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Final Trends" sheetId="3" r:id="rId7"/>
    <sheet state="visible" name="Participants" sheetId="4" r:id="rId8"/>
    <sheet state="visible" name="Block Combinations" sheetId="5" r:id="rId9"/>
    <sheet state="hidden" name="(test)Denominator matrix" sheetId="6" r:id="rId10"/>
    <sheet state="visible" name="Denominator matrix" sheetId="7" r:id="rId11"/>
    <sheet state="visible" name="Similarity matrix" sheetId="8" r:id="rId12"/>
    <sheet state="visible" name="DO NOT TOUCH THE SHEETS TO THE " sheetId="9" r:id="rId13"/>
    <sheet state="visible" name="Similarity proportion" sheetId="10" r:id="rId14"/>
    <sheet state="visible" name="Copy of Similarity proportion" sheetId="11" r:id="rId15"/>
    <sheet state="visible" name="Ranking" sheetId="12" r:id="rId16"/>
  </sheets>
  <definedNames>
    <definedName hidden="1" localSheetId="0" name="_xlnm._FilterDatabase">Sheet1!$A$1:$CF$264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tc={0d2d7430-25b2-4270-acf3-230424ab9058}</author>
    <author>tc={16b45c3a-fad3-4cb0-af1e-0007ca5a7ea0}</author>
    <author>tc={1855193f-0eb1-4838-b419-752cecd71571}</author>
    <author>tc={222cce9a-1a8f-414e-a750-cb99f8c424ef}</author>
    <author>tc={3f5b4b48-4bf5-4ac7-a663-c764a301d086}</author>
    <author>tc={49c0cdd0-8b4a-432d-85a0-8de6844b1377}</author>
    <author>tc={5909e205-7481-478f-ba13-4c562ea76b31}</author>
    <author>tc={7f963620-d3dd-4c92-9b41-f06ddb52f7b6}</author>
    <author>tc={8b50a7d8-cfbc-4f2f-a018-83b9dadaa434}</author>
    <author>tc={8b9fa644-ff7b-4d2c-a2d1-0d551944f264}</author>
    <author>tc={8c21ae31-cade-45a8-9ba4-e0c3cb296716}</author>
    <author>tc={9b8e4809-5633-4ace-9ae5-f16785a8f0eb}</author>
    <author>tc={9cd4b5f6-4ccf-4739-b615-1433ec24256b}</author>
    <author>tc={b0787010-402e-40bc-9d1f-cb9da89c5f71}</author>
    <author>tc={dcde727a-6ef8-4118-87b7-78266b01662b}</author>
    <author>tc={fedd1b83-2ffb-44a7-92ec-0f180a8c3bde}</author>
  </authors>
  <commentList>
    <comment authorId="0" xr:uid="{0d2d7430-25b2-4270-acf3-230424ab9058}" ref="BJ6">
      <text>
        <t xml:space="preserve">[Threaded comment]
 Your version of Excel allows you to read this threaded comment; however, any edits to it will get removed if the file is opened in a newer version of Excel. Learn more: https://go.microsoft.com/fwlink/?linkid=870924
Comment:
	last video nalang sa arrangement
</t>
      </text>
    </comment>
    <comment authorId="1" xr:uid="{16b45c3a-fad3-4cb0-af1e-0007ca5a7ea0}" ref="A1">
      <text>
        <t xml:space="preserve">[Threaded comment]
 Your version of Excel allows you to read this threaded comment; however, any edits to it will get removed if the file is opened in a newer version of Excel. Learn more: https://go.microsoft.com/fwlink/?linkid=870924
Comment:
	i think it was taken down na..
</t>
      </text>
    </comment>
    <comment authorId="2" xr:uid="{1855193f-0eb1-4838-b419-752cecd71571}" ref="BI19">
      <text>
        <t xml:space="preserve">[Threaded comment]
 Your version of Excel allows you to read this threaded comment; however, any edits to it will get removed if the file is opened in a newer version of Excel. Learn more: https://go.microsoft.com/fwlink/?linkid=870924
Comment:
	if she consents, ask consent for the other video too
</t>
      </text>
    </comment>
    <comment authorId="3" xr:uid="{222cce9a-1a8f-414e-a750-cb99f8c424ef}" ref="AT26">
      <text>
        <t xml:space="preserve">[Threaded comment]
 Your version of Excel allows you to read this threaded comment; however, any edits to it will get removed if the file is opened in a newer version of Excel. Learn more: https://go.microsoft.com/fwlink/?linkid=870924
Comment:
	asked for a copy of our study once done
</t>
      </text>
    </comment>
    <comment authorId="4" xr:uid="{3f5b4b48-4bf5-4ac7-a663-c764a301d086}" ref="BI259">
      <text>
        <t xml:space="preserve">[Threaded comment]
 Your version of Excel allows you to read this threaded comment; however, any edits to it will get removed if the file is opened in a newer version of Excel. Learn more: https://go.microsoft.com/fwlink/?linkid=870924
Comment:
	would like to see final product?
</t>
      </text>
    </comment>
    <comment authorId="5" xr:uid="{49c0cdd0-8b4a-432d-85a0-8de6844b1377}" ref="BI176">
      <text>
        <t xml:space="preserve">[Threaded comment]
 Your version of Excel allows you to read this threaded comment; however, any edits to it will get removed if the file is opened in a newer version of Excel. Learn more: https://go.microsoft.com/fwlink/?linkid=870924
Comment:
	cam follow up
</t>
      </text>
    </comment>
    <comment authorId="6" xr:uid="{5909e205-7481-478f-ba13-4c562ea76b31}" ref="AT43">
      <text>
        <t xml:space="preserve">[Threaded comment]
 Your version of Excel allows you to read this threaded comment; however, any edits to it will get removed if the file is opened in a newer version of Excel. Learn more: https://go.microsoft.com/fwlink/?linkid=870924
Comment:
	would like to hear updates?
</t>
      </text>
    </comment>
    <comment authorId="7" xr:uid="{7f963620-d3dd-4c92-9b41-f06ddb52f7b6}" ref="BJ247">
      <text>
        <t xml:space="preserve">[Threaded comment]
 Your version of Excel allows you to read this threaded comment; however, any edits to it will get removed if the file is opened in a newer version of Excel. Learn more: https://go.microsoft.com/fwlink/?linkid=870924
Comment:
	horizontal vid
</t>
      </text>
    </comment>
    <comment authorId="8" xr:uid="{8b50a7d8-cfbc-4f2f-a018-83b9dadaa434}" ref="BI4">
      <text>
        <t xml:space="preserve">[Threaded comment]
 Your version of Excel allows you to read this threaded comment; however, any edits to it will get removed if the file is opened in a newer version of Excel. Learn more: https://go.microsoft.com/fwlink/?linkid=870924
Comment:
	if she consents, ask for other vids too
</t>
      </text>
    </comment>
    <comment authorId="9" xr:uid="{8b9fa644-ff7b-4d2c-a2d1-0d551944f264}" ref="AO29">
      <text>
        <t xml:space="preserve">[Threaded comment]
 Your version of Excel allows you to read this threaded comment; however, any edits to it will get removed if the file is opened in a newer version of Excel. Learn more: https://go.microsoft.com/fwlink/?linkid=870924
Comment:
	wants to see thesis once done
</t>
      </text>
    </comment>
    <comment authorId="10" xr:uid="{8c21ae31-cade-45a8-9ba4-e0c3cb296716}" ref="BJ217">
      <text>
        <t xml:space="preserve">[Threaded comment]
 Your version of Excel allows you to read this threaded comment; however, any edits to it will get removed if the file is opened in a newer version of Excel. Learn more: https://go.microsoft.com/fwlink/?linkid=870924
Comment:
	for approval (tagalog)
</t>
      </text>
    </comment>
    <comment authorId="11" xr:uid="{9b8e4809-5633-4ace-9ae5-f16785a8f0eb}" ref="BJ225">
      <text>
        <t xml:space="preserve">[Threaded comment]
 Your version of Excel allows you to read this threaded comment; however, any edits to it will get removed if the file is opened in a newer version of Excel. Learn more: https://go.microsoft.com/fwlink/?linkid=870924
Comment:
	3:05 duration..
</t>
      </text>
    </comment>
    <comment authorId="12" xr:uid="{9cd4b5f6-4ccf-4739-b615-1433ec24256b}" ref="AT17">
      <text>
        <t xml:space="preserve">[Threaded comment]
 Your version of Excel allows you to read this threaded comment; however, any edits to it will get removed if the file is opened in a newer version of Excel. Learn more: https://go.microsoft.com/fwlink/?linkid=870924
Comment:
	asked for updates?
</t>
      </text>
    </comment>
    <comment authorId="13" xr:uid="{b0787010-402e-40bc-9d1f-cb9da89c5f71}" ref="BJ207">
      <text>
        <t xml:space="preserve">[Threaded comment]
 Your version of Excel allows you to read this threaded comment; however, any edits to it will get removed if the file is opened in a newer version of Excel. Learn more: https://go.microsoft.com/fwlink/?linkid=870924
Comment:
	for approval ung vid (tagalog)
</t>
      </text>
    </comment>
    <comment authorId="14" xr:uid="{dcde727a-6ef8-4118-87b7-78266b01662b}" ref="BD53">
      <text>
        <t xml:space="preserve">[Threaded comment]
 Your version of Excel allows you to read this threaded comment; however, any edits to it will get removed if the file is opened in a newer version of Excel. Learn more: https://go.microsoft.com/fwlink/?linkid=870924
Comment:
	wants update once study is done
</t>
      </text>
    </comment>
    <comment authorId="15" xr:uid="{fedd1b83-2ffb-44a7-92ec-0f180a8c3bde}" ref="BJ220">
      <text>
        <t xml:space="preserve">[Threaded comment]
 Your version of Excel allows you to read this threaded comment; however, any edits to it will get removed if the file is opened in a newer version of Excel. Learn more: https://go.microsoft.com/fwlink/?linkid=870924
Comment:
	for approval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tc={29eede0d-67a3-41fd-818d-7c53037006d3}</author>
  </authors>
  <commentList>
    <comment authorId="0" xr:uid="{29eede0d-67a3-41fd-818d-7c53037006d3}" ref="C48">
      <text>
        <t xml:space="preserve">[Threaded comment]
 Your version of Excel allows you to read this threaded comment; however, any edits to it will get removed if the file is opened in a newer version of Excel. Learn more: https://go.microsoft.com/fwlink/?linkid=870924
Comment:
	deleted
</t>
      </text>
    </comment>
  </commentList>
</comments>
</file>

<file path=xl/sharedStrings.xml><?xml version="1.0" encoding="utf-8"?>
<sst xmlns="http://schemas.openxmlformats.org/spreadsheetml/2006/main" count="4839" uniqueCount="3055">
  <si>
    <t>Creator</t>
  </si>
  <si>
    <t>TT Link</t>
  </si>
  <si>
    <t>Status</t>
  </si>
  <si>
    <t>Email</t>
  </si>
  <si>
    <t>email</t>
  </si>
  <si>
    <t>#1: YOU REMEMBER YOU HAVE FREE WILL</t>
  </si>
  <si>
    <t>#2: food challenge pt2 (where to eat)</t>
  </si>
  <si>
    <t>#3: MY FAV HIS FAV</t>
  </si>
  <si>
    <t>#4: ROCK PAPER SCISSORS CHALLENGE</t>
  </si>
  <si>
    <t>#5: OH WERE U WAITING FOR THAT BOX TO HIT ME</t>
  </si>
  <si>
    <t>#6: I'm trying my best</t>
  </si>
  <si>
    <t>#7: WHERE?? CHALLENGE</t>
  </si>
  <si>
    <t>#8: HOW MUCH DO I OWE YOU</t>
  </si>
  <si>
    <t>#9: how to bait n kidnap me</t>
  </si>
  <si>
    <t>#10: sorry we're late, __ throwing a fit</t>
  </si>
  <si>
    <t>#11: Holy fkn airball</t>
  </si>
  <si>
    <t>#12: Im having sm fun / but we're just doing _</t>
  </si>
  <si>
    <t>#13: target challenge</t>
  </si>
  <si>
    <t>clairelysse</t>
  </si>
  <si>
    <t>https://www.tiktok.com/@clairelysse/video/7487790901935279368?is_from_webapp=1&amp;sender_device=pc&amp;web_id=7529868947924829714</t>
  </si>
  <si>
    <t>0129clrc@gmail.com</t>
  </si>
  <si>
    <t>Consented, Not Included</t>
  </si>
  <si>
    <t>troubelleee</t>
  </si>
  <si>
    <t>https://vt.tiktok.com/ZSDS2Rk6b/</t>
  </si>
  <si>
    <t>deleted</t>
  </si>
  <si>
    <t>ravethecrave</t>
  </si>
  <si>
    <t>https://vt.tiktok.com/ZSAVXhMLG/</t>
  </si>
  <si>
    <t>Messaged</t>
  </si>
  <si>
    <t>adeline.higley</t>
  </si>
  <si>
    <t>https://vt.tiktok.com/ZSAVp4tJm/</t>
  </si>
  <si>
    <t>presello.official</t>
  </si>
  <si>
    <t>https://vt.tiktok.com/ZSAVskq1w/</t>
  </si>
  <si>
    <t>NEW</t>
  </si>
  <si>
    <t>Consented</t>
  </si>
  <si>
    <t>seoul.drop</t>
  </si>
  <si>
    <t>https://www.tiktok.com/@seoul.drop/video/7537034038679244062?is_from_webapp=1&amp;sender_device=pc&amp;web_id=7529858502199395858</t>
  </si>
  <si>
    <t>thejulysocial</t>
  </si>
  <si>
    <t>https://vt.tiktok.com/ZSAVQLVHV/</t>
  </si>
  <si>
    <t>hello@thejulysocial.com</t>
  </si>
  <si>
    <t>kiannady_</t>
  </si>
  <si>
    <t>https://vt.tiktok.com/ZSAVQgjDc/</t>
  </si>
  <si>
    <t>laneigeca</t>
  </si>
  <si>
    <t>https://www.tiktok.com/@laneigeca/video/7473887935046110519?is_from_webapp=1&amp;sender_device=pc&amp;web_id=7529868947924829714</t>
  </si>
  <si>
    <t>https://www.tiktok.com/@kiannady_/video/7539847364056763655?is_from_webapp=1&amp;sender_device=pc&amp;web_id=7529868947924829714</t>
  </si>
  <si>
    <t>tenten.io</t>
  </si>
  <si>
    <t>https://vt.tiktok.com/ZSAVWJoUX/</t>
  </si>
  <si>
    <t>_cjma</t>
  </si>
  <si>
    <t>https://www.tiktok.com/@_cjma/video/7486125299793415446?is_from_webapp=1&amp;sender_device=pc&amp;web_id=7529858502199395858</t>
  </si>
  <si>
    <t>ashandwhit</t>
  </si>
  <si>
    <t>https://www.tiktok.com/@ashandwhit/video/7526376199342312734?is_from_webapp=1&amp;sender_device=pc&amp;web_id=7529868947924829714</t>
  </si>
  <si>
    <t>ashleyandwhitty@gmail.com</t>
  </si>
  <si>
    <t>thehanniediaries</t>
  </si>
  <si>
    <t>https://www.tiktok.com/@thehanniediaries/video/7476572873746894122?is_from_webapp=1&amp;sender_device=pc&amp;web_id=7529868947924829714</t>
  </si>
  <si>
    <t>ariel@ozlaneagency.com</t>
  </si>
  <si>
    <t>f_fabes</t>
  </si>
  <si>
    <t>https://vt.tiktok.com/ZSDA5fKct/</t>
  </si>
  <si>
    <t>adelinehkim</t>
  </si>
  <si>
    <t>https://vt.tiktok.com/ZSAVXUhwh/</t>
  </si>
  <si>
    <t>adeline@repertoire.us</t>
  </si>
  <si>
    <t>karenchavezzzz</t>
  </si>
  <si>
    <t>https://vt.tiktok.com/ZSAVW3B6J/</t>
  </si>
  <si>
    <t>decathlonph</t>
  </si>
  <si>
    <t>https://vt.tiktok.com/ZSAVpEWAr/</t>
  </si>
  <si>
    <t>jaczdrivein</t>
  </si>
  <si>
    <t>https://www.tiktok.com/@jaczdrivein/video/7535961624058858783?is_from_webapp=1&amp;sender_device=pc&amp;web_id=7529858502199395858</t>
  </si>
  <si>
    <t>zigzag.careers</t>
  </si>
  <si>
    <t>https://vt.tiktok.com/ZSAVQjUXw/</t>
  </si>
  <si>
    <t>esnyrrr</t>
  </si>
  <si>
    <t>https://vt.tiktok.com/ZSAVQcb7P/</t>
  </si>
  <si>
    <t>chatimeph</t>
  </si>
  <si>
    <t>https://www.tiktok.com/@chatimeph/video/7476419939264630034?is_from_webapp=1&amp;sender_device=pc&amp;web_id=7529868947924829714</t>
  </si>
  <si>
    <t>samantha.franz</t>
  </si>
  <si>
    <t>https://www.tiktok.com/@samantha.franz/video/7539428103076990215?is_from_webapp=1&amp;sender_device=pc&amp;web_id=7529868947924829714</t>
  </si>
  <si>
    <t>bagel_yass.collec</t>
  </si>
  <si>
    <t>https://vt.tiktok.com/ZSAVnQH3F/</t>
  </si>
  <si>
    <t>danipenano</t>
  </si>
  <si>
    <t>https://www.tiktok.com/@danipenano/video/7514910935954525448?is_from_webapp=1&amp;sender_device=pc&amp;web_id=7529858502199395858</t>
  </si>
  <si>
    <t>kaylarosegibson</t>
  </si>
  <si>
    <t>https://www.tiktok.com/@kaylarosegibson/video/7490299170658503954?is_from_webapp=1&amp;sender_device=pc&amp;web_id=7529868947924829714</t>
  </si>
  <si>
    <t>kaylarose.mgt@gmail.com</t>
  </si>
  <si>
    <t>first 5 trends: 1,2,5,7,8</t>
  </si>
  <si>
    <t>https://www.canva.com/design/DAGx6OzNxbU/AHmLLtEl4KHZNdaoA9BrRA/edit</t>
  </si>
  <si>
    <t>k.wamp</t>
  </si>
  <si>
    <t>https://www.tiktok.com/@k.wamp/video/7374153120483478827?is_from_webapp=1&amp;sender_device=pc&amp;web_id=7529868947924829714</t>
  </si>
  <si>
    <t>gabby@alorasociety.com</t>
  </si>
  <si>
    <t>mjhaidel</t>
  </si>
  <si>
    <t>https://vt.tiktok.com/ZSDA55Va1/</t>
  </si>
  <si>
    <t>sarahh.ongg</t>
  </si>
  <si>
    <t>https://vt.tiktok.com/ZSAVXMChs/</t>
  </si>
  <si>
    <t>sarahhongg23@gmail.com</t>
  </si>
  <si>
    <t>michelle.gacasan</t>
  </si>
  <si>
    <t>https://vt.tiktok.com/ZSAVWvYwa/</t>
  </si>
  <si>
    <t>lpub.jpa</t>
  </si>
  <si>
    <t>https://vt.tiktok.com/ZSAVsYPTB/</t>
  </si>
  <si>
    <t>ouncecoffee</t>
  </si>
  <si>
    <t>https://www.tiktok.com/@ouncecoffee/video/7539578267213303054?is_from_webapp=1&amp;sender_device=pc&amp;web_id=7529858502199395858</t>
  </si>
  <si>
    <t>securitybankcareers</t>
  </si>
  <si>
    <t>https://vt.tiktok.com/ZSAVxTjsV/</t>
  </si>
  <si>
    <t>retractables.ph</t>
  </si>
  <si>
    <t>https://vt.tiktok.com/ZSAVQtA1Q/</t>
  </si>
  <si>
    <t>theoriginote.ph</t>
  </si>
  <si>
    <t>https://www.tiktok.com/@theoriginote.ph/video/7501638878785326344?is_from_webapp=1&amp;sender_device=pc&amp;web_id=7529868947924829714</t>
  </si>
  <si>
    <t>kailady</t>
  </si>
  <si>
    <t>https://www.tiktok.com/@kailady/video/7539571671703784711?is_from_webapp=1&amp;sender_device=pc&amp;web_id=7529868947924829714</t>
  </si>
  <si>
    <t>nikishen1025</t>
  </si>
  <si>
    <t>https://vt.tiktok.com/ZSAVnb5yf/</t>
  </si>
  <si>
    <t>fallinginsociety</t>
  </si>
  <si>
    <t>https://www.tiktok.com/@fallinginsociety/video/7525815822405651725?is_from_webapp=1&amp;sender_device=pc&amp;web_id=7529858502199395858</t>
  </si>
  <si>
    <t>abbieherbert</t>
  </si>
  <si>
    <t>https://www.tiktok.com/@abbieherbert/video/6869848082406821125?is_from_webapp=1&amp;sender_device=pc&amp;web_id=7529868947924829714</t>
  </si>
  <si>
    <t>TeamAbbieHerbert@gersh.com</t>
  </si>
  <si>
    <t>last 5 tends: 9,10,11,12,13</t>
  </si>
  <si>
    <t>https://www.canva.com/design/DAGzfIt7Tq8/vqD-yMhEBHhBtpt6SEBX6w/edit?ui=eyJIIjp7IkEiOnRydWV9fQ</t>
  </si>
  <si>
    <t>momshieodille</t>
  </si>
  <si>
    <t>https://www.tiktok.com/@momshieodille/video/7455549600980634888?is_from_webapp=1&amp;sender_device=pc&amp;web_id=7529868947924829714</t>
  </si>
  <si>
    <t>odillekathrina@yahoo.com.ph</t>
  </si>
  <si>
    <t>sukishiyokoo</t>
  </si>
  <si>
    <t>https://vt.tiktok.com/ZSDA5eTt1/</t>
  </si>
  <si>
    <t>dailydoseofjos</t>
  </si>
  <si>
    <t>https://vt.tiktok.com/ZSAVXYVdL/</t>
  </si>
  <si>
    <t>josiellisinquiry1@gmail.com</t>
  </si>
  <si>
    <t>bobbylightss01</t>
  </si>
  <si>
    <t>https://vt.tiktok.com/ZSAVWbmJd/</t>
  </si>
  <si>
    <t>completewedo</t>
  </si>
  <si>
    <t>https://vt.tiktok.com/ZSAVsDAAW/</t>
  </si>
  <si>
    <t>parallaxcoffeelab</t>
  </si>
  <si>
    <t>https://www.tiktok.com/@parallaxcoffeelab/video/7535135254219164942?is_from_webapp=1&amp;sender_device=pc&amp;web_id=7529858502199395858</t>
  </si>
  <si>
    <t>parlonph</t>
  </si>
  <si>
    <t>https://vt.tiktok.com/ZSAVxsP39/</t>
  </si>
  <si>
    <t>hello@parlon.world</t>
  </si>
  <si>
    <t>sharladavyna</t>
  </si>
  <si>
    <t>https://vt.tiktok.com/ZSAVQbsEa/</t>
  </si>
  <si>
    <t>gvnthelabel</t>
  </si>
  <si>
    <t>https://www.tiktok.com/@gvnthelabel/video/7507247501431311623?is_from_webapp=1&amp;sender_device=pc&amp;web_id=7529868947924829714</t>
  </si>
  <si>
    <t>kare.bautista</t>
  </si>
  <si>
    <t>https://www.tiktok.com/@kare.bautista/video/7530972681924087057?is_from_webapp=1&amp;sender_device=pc&amp;web_id=7529868947924829714</t>
  </si>
  <si>
    <t>Cannot message</t>
  </si>
  <si>
    <t>gabriella.sally</t>
  </si>
  <si>
    <t>https://vt.tiktok.com/ZSAVWNaHL/</t>
  </si>
  <si>
    <t>mila.magnani</t>
  </si>
  <si>
    <t>https://www.tiktok.com/@mila.magnani/video/7484311872817106219?is_from_webapp=1&amp;sender_device=pc&amp;web_id=7529858502199395858</t>
  </si>
  <si>
    <t>simplyivee</t>
  </si>
  <si>
    <t>https://www.tiktok.com/@simplyivee/video/7119152830182690091?is_from_webapp=1&amp;sender_device=pc&amp;web_id=7529868947924829714</t>
  </si>
  <si>
    <t>richard.cooler.mgmt@gmail.com</t>
  </si>
  <si>
    <t>kakaconsent lang</t>
  </si>
  <si>
    <t>gelamac_</t>
  </si>
  <si>
    <t>https://www.tiktok.com/@gelamac_/video/7505661542025743621?is_from_webapp=1&amp;sender_device=pc&amp;web_id=7529868947924829714</t>
  </si>
  <si>
    <t>gelamacalalad@gmail.com</t>
  </si>
  <si>
    <t>nvocal123</t>
  </si>
  <si>
    <t>https://vt.tiktok.com/ZSDA5w11C/</t>
  </si>
  <si>
    <t>sarahmgaeta</t>
  </si>
  <si>
    <t>https://vt.tiktok.com/ZSAVXfNAB/</t>
  </si>
  <si>
    <t>yonmiin</t>
  </si>
  <si>
    <t>https://vt.tiktok.com/ZSAV76qKk/</t>
  </si>
  <si>
    <t>tjtheaterarts</t>
  </si>
  <si>
    <t>https://vt.tiktok.com/ZSAVsBq2s/</t>
  </si>
  <si>
    <t>pjscoffeepensacola</t>
  </si>
  <si>
    <t>https://www.tiktok.com/@pjscoffeepensacola/video/7540995085467438349?is_from_webapp=1&amp;sender_device=pc&amp;web_id=7529858502199395858</t>
  </si>
  <si>
    <t>kfoandmanders</t>
  </si>
  <si>
    <t>https://vt.tiktok.com/ZSAVQJDKc/</t>
  </si>
  <si>
    <t>aaalxandra</t>
  </si>
  <si>
    <t>https://vt.tiktok.com/ZSAVCSdJP/</t>
  </si>
  <si>
    <t>spencer.barbosa</t>
  </si>
  <si>
    <t>https://www.tiktok.com/@spencer.barbosa/video/7470307135851695366?is_from_webapp=1&amp;sender_device=pc&amp;web_id=7529868947924829714</t>
  </si>
  <si>
    <t>h.akd0g</t>
  </si>
  <si>
    <t>https://www.tiktok.com/@h.akd0g/video/7533174782536338695?is_from_webapp=1&amp;sender_device=pc&amp;web_id=7529868947924829714</t>
  </si>
  <si>
    <t>jackiecamardo</t>
  </si>
  <si>
    <t>https://vt.tiktok.com/ZSAVWAvDL/</t>
  </si>
  <si>
    <t>vivianagalvezz</t>
  </si>
  <si>
    <t>https://www.tiktok.com/@vivianagalvezz/video/7518548197925555470?is_from_webapp=1&amp;sender_device=pc&amp;web_id=7529858502199395858</t>
  </si>
  <si>
    <t>aili.likes.adventure</t>
  </si>
  <si>
    <t>https://www.tiktok.com/@aili.likes.adventure/video/7514489015815441707?is_from_webapp=1&amp;sender_device=pc&amp;web_id=7529868947924829714</t>
  </si>
  <si>
    <t>aili@nextintalent.com</t>
  </si>
  <si>
    <t>ateshi___</t>
  </si>
  <si>
    <t>https://www.tiktok.com/@ateshi___/video/7492043988241763639?is_from_webapp=1&amp;sender_device=pc&amp;web_id=7529868947924829714</t>
  </si>
  <si>
    <t>chobaniflippp</t>
  </si>
  <si>
    <t>https://vt.tiktok.com/ZSDA53WXK/</t>
  </si>
  <si>
    <t>deleted mid study</t>
  </si>
  <si>
    <t>caitlinandbecca1</t>
  </si>
  <si>
    <t>https://vt.tiktok.com/ZSAVXpPNr/</t>
  </si>
  <si>
    <t>sha.madiii</t>
  </si>
  <si>
    <t>https://vt.tiktok.com/ZSAVWEFv7/</t>
  </si>
  <si>
    <t>jgworldwide</t>
  </si>
  <si>
    <t>https://vt.tiktok.com/ZSAVs8Y9Y/</t>
  </si>
  <si>
    <t>send results</t>
  </si>
  <si>
    <t>nrmitabnita</t>
  </si>
  <si>
    <t>https://www.tiktok.com/@nrmitabnita/video/7541541464795319566?is_from_webapp=1&amp;sender_device=pc&amp;web_id=7529858502199395858</t>
  </si>
  <si>
    <t>a.alaynaa_</t>
  </si>
  <si>
    <t>https://vt.tiktok.com/ZSAVx3bEP/</t>
  </si>
  <si>
    <t>heart_avii</t>
  </si>
  <si>
    <t>https://vt.tiktok.com/ZSAVCP7GR/</t>
  </si>
  <si>
    <t>heartavii.contact@gmail.com</t>
  </si>
  <si>
    <t>kristyna.zamcova</t>
  </si>
  <si>
    <t>https://www.tiktok.com/@kristyna.zamcova/video/7473509616186314006?is_from_webapp=1&amp;sender_device=pc&amp;web_id=7529868947924829714</t>
  </si>
  <si>
    <t>awrabriguela</t>
  </si>
  <si>
    <t>https://www.tiktok.com/@awrabriguela/video/7542098494325280008?is_from_webapp=1&amp;sender_device=pc&amp;web_id=7529868947924829714</t>
  </si>
  <si>
    <t>allenvert</t>
  </si>
  <si>
    <t>https://vt.tiktok.com/ZSAVWk5C2/</t>
  </si>
  <si>
    <t>provisions.yakima</t>
  </si>
  <si>
    <t>https://www.tiktok.com/@provisions.yakima/video/7515117095349259566?is_from_webapp=1&amp;sender_device=pc&amp;web_id=7529858502199395858</t>
  </si>
  <si>
    <t>jessicabaio</t>
  </si>
  <si>
    <t>https://www.tiktok.com/@jessicabaio/video/6869488964395355398?is_from_webapp=1&amp;sender_device=pc&amp;web_id=7529868947924829714</t>
  </si>
  <si>
    <t>adv.maris</t>
  </si>
  <si>
    <t>https://www.tiktok.com/@adv.maris/video/7499286048913050923?is_from_webapp=1&amp;sender_device=pc&amp;web_id=7529868947924829714</t>
  </si>
  <si>
    <t>just_thaing</t>
  </si>
  <si>
    <t>https://vt.tiktok.com/ZSDA5Hb7N/</t>
  </si>
  <si>
    <t>delfinarn</t>
  </si>
  <si>
    <t>https://vt.tiktok.com/ZSAVXKGVH/</t>
  </si>
  <si>
    <t>filippogandolfo</t>
  </si>
  <si>
    <t>https://vt.tiktok.com/ZSAV7Bp8T/</t>
  </si>
  <si>
    <t>ubckwave</t>
  </si>
  <si>
    <t>https://vt.tiktok.com/ZSAVsHpt1/</t>
  </si>
  <si>
    <t>darlinsdinertx</t>
  </si>
  <si>
    <t>https://www.tiktok.com/@darlinsdinertx/video/7541796609747717406?is_from_webapp=1&amp;sender_device=pc&amp;web_id=7529858502199395858</t>
  </si>
  <si>
    <t>shesxin</t>
  </si>
  <si>
    <t>https://vt.tiktok.com/ZSAVQNo8E/</t>
  </si>
  <si>
    <t>casey.dasilva</t>
  </si>
  <si>
    <t>https://vt.tiktok.com/ZSAVCStQf/</t>
  </si>
  <si>
    <t>inquiries.caseydasilva@gmail.com</t>
  </si>
  <si>
    <t>nausikamalshi</t>
  </si>
  <si>
    <t>https://www.tiktok.com/@nausikamalshi/video/7485068513783106822?is_from_webapp=1&amp;sender_device=pc&amp;web_id=7529868947924829714</t>
  </si>
  <si>
    <t>russcojarvina_</t>
  </si>
  <si>
    <t>https://www.tiktok.com/@russcojarvina_/video/7532056769934249224?is_from_webapp=1&amp;sender_device=pc&amp;web_id=7529868947924829714</t>
  </si>
  <si>
    <t>sophia_hg1</t>
  </si>
  <si>
    <t>https://vt.tiktok.com/ZSAVWrcRD/</t>
  </si>
  <si>
    <t>flywithamyangela</t>
  </si>
  <si>
    <t>https://www.tiktok.com/@flywithamyangela/video/7527388566901542166?is_from_webapp=1&amp;sender_device=pc&amp;web_id=7529858502199395858</t>
  </si>
  <si>
    <t>jrandblessie</t>
  </si>
  <si>
    <t>https://www.tiktok.com/@jrandblessie/video/7471463047949733162?is_from_webapp=1&amp;sender_device=pc&amp;web_id=7529868947924829714</t>
  </si>
  <si>
    <t>paige.braude</t>
  </si>
  <si>
    <t>https://www.tiktok.com/@paige.braude/video/7506666091163356462?is_from_webapp=1&amp;sender_device=pc&amp;web_id=7529868947924829714</t>
  </si>
  <si>
    <t>paigebraude@gmail.com</t>
  </si>
  <si>
    <t>heytrishadae</t>
  </si>
  <si>
    <t>https://vt.tiktok.com/ZSDA5aWvP/</t>
  </si>
  <si>
    <t>abigailcraig</t>
  </si>
  <si>
    <t>https://vt.tiktok.com/ZSAVXKax1/</t>
  </si>
  <si>
    <t>abigailgcraigg@gmail.com</t>
  </si>
  <si>
    <t>1.best.memes</t>
  </si>
  <si>
    <t>https://vt.tiktok.com/ZSAV7Dmvn/</t>
  </si>
  <si>
    <t>fintech.calgary</t>
  </si>
  <si>
    <t>https://vt.tiktok.com/ZSAVsHPde/</t>
  </si>
  <si>
    <t>caringtonarms_</t>
  </si>
  <si>
    <t>https://www.tiktok.com/@caringtonarms_/video/7540359115848125718?is_from_webapp=1&amp;sender_device=pc&amp;web_id=7529858502199395858</t>
  </si>
  <si>
    <t>ig</t>
  </si>
  <si>
    <t>belle__wilson</t>
  </si>
  <si>
    <t>https://vt.tiktok.com/ZSAVxcYhJ/</t>
  </si>
  <si>
    <t>attyjcd@gmail.com</t>
  </si>
  <si>
    <t>cocoriroo</t>
  </si>
  <si>
    <t>https://vt.tiktok.com/ZSAVCUQgR/</t>
  </si>
  <si>
    <t>klaileaj</t>
  </si>
  <si>
    <t>https://www.tiktok.com/@klaileaj/video/7470933959812189462?is_from_webapp=1&amp;sender_device=pc&amp;web_id=7529868947924829714</t>
  </si>
  <si>
    <t>daisiesfolife</t>
  </si>
  <si>
    <t>https://www.tiktok.com/@daisiesfolife/video/7531263426715258126?is_from_webapp=1&amp;sender_device=pc&amp;web_id=7529868947924829714</t>
  </si>
  <si>
    <t>erinruizart</t>
  </si>
  <si>
    <t>https://vt.tiktok.com/ZSAVWr7Sv/</t>
  </si>
  <si>
    <t>weirdsortanot</t>
  </si>
  <si>
    <t>https://www.tiktok.com/@weirdsortanot/video/7480305481173716270?is_from_webapp=1&amp;sender_device=pc&amp;web_id=7529858502199395858</t>
  </si>
  <si>
    <t>_addirobertson_</t>
  </si>
  <si>
    <t>https://www.tiktok.com/@_addirobertson_/video/7471383932672511278?is_from_webapp=1&amp;sender_device=pc&amp;web_id=7529868947924829714</t>
  </si>
  <si>
    <t>addirobertson6@gmail.com</t>
  </si>
  <si>
    <t>maligoshik</t>
  </si>
  <si>
    <t>https://www.tiktok.com/@maligoshik/video/7331439871468375302?is_from_webapp=1&amp;sender_device=pc&amp;web_id=7529868947924829714</t>
  </si>
  <si>
    <t>hello@maligoshik.com</t>
  </si>
  <si>
    <t>aa.nomnoms</t>
  </si>
  <si>
    <t>https://vt.tiktok.com/ZSDAaF6f2/</t>
  </si>
  <si>
    <t>laurwholooks4</t>
  </si>
  <si>
    <t>https://vt.tiktok.com/ZSAVXVSTd/</t>
  </si>
  <si>
    <t>kassyymiraa</t>
  </si>
  <si>
    <t>https://vt.tiktok.com/ZSAV7MmfB/</t>
  </si>
  <si>
    <t>fitchburgstate</t>
  </si>
  <si>
    <t>https://vt.tiktok.com/ZSAVsCtao/</t>
  </si>
  <si>
    <t>strangebrewcoffeein</t>
  </si>
  <si>
    <t>https://www.tiktok.com/@strangebrewcoffeein/video/7536267754811313439?is_from_webapp=1&amp;sender_device=pc&amp;web_id=7529858502199395858</t>
  </si>
  <si>
    <t>notnikady</t>
  </si>
  <si>
    <t>https://vt.tiktok.com/ZSAVQdPGx/</t>
  </si>
  <si>
    <t>annikamdy@gmail.com</t>
  </si>
  <si>
    <t>ellaaa.killa</t>
  </si>
  <si>
    <t>https://vt.tiktok.com/ZSAVCFGDo/</t>
  </si>
  <si>
    <t>chimamalko</t>
  </si>
  <si>
    <t>https://www.tiktok.com/@chimamalko/video/7467746763433217326?is_from_webapp=1&amp;sender_device=pc&amp;web_id=7529868947924829714</t>
  </si>
  <si>
    <t>kiody__</t>
  </si>
  <si>
    <t>https://www.tiktok.com/@kiody__/video/7535688484657433873?is_from_webapp=1&amp;sender_device=pc&amp;web_id=7529868947924829714</t>
  </si>
  <si>
    <t>alyyyjn_</t>
  </si>
  <si>
    <t>https://vt.tiktok.com/ZSAVWjdjD/</t>
  </si>
  <si>
    <t>andreiiiii3636</t>
  </si>
  <si>
    <t>https://www.tiktok.com/@andreiiiii3636/video/7519020169025375495?is_from_webapp=1&amp;sender_device=pc&amp;web_id=7529858502199395858</t>
  </si>
  <si>
    <t>https://www.tiktok.com/@kaylarosegibson/video/7498116646087724306?is_from_webapp=1&amp;sender_device=pc&amp;web_id=7529868947924829714</t>
  </si>
  <si>
    <t>List of trends</t>
  </si>
  <si>
    <t>yas.francis</t>
  </si>
  <si>
    <t>https://www.tiktok.com/@yas.francis/video/7474017420135501102?is_from_webapp=1&amp;sender_device=pc&amp;web_id=7529868947924829714</t>
  </si>
  <si>
    <t>yfrancis2022@gmail.com</t>
  </si>
  <si>
    <t>_joemommaaa</t>
  </si>
  <si>
    <t>https://vt.tiktok.com/ZSDAae8Gr/</t>
  </si>
  <si>
    <t>mercedes.pomerleau</t>
  </si>
  <si>
    <t>https://vt.tiktok.com/ZSAVXQn7s/</t>
  </si>
  <si>
    <t>snvoid</t>
  </si>
  <si>
    <t>https://vt.tiktok.com/ZSAV7Sn6F/</t>
  </si>
  <si>
    <t>purplebugph</t>
  </si>
  <si>
    <t>https://vt.tiktok.com/ZSAVsng9V/</t>
  </si>
  <si>
    <t>zimo.bakery.and.c</t>
  </si>
  <si>
    <t>https://www.tiktok.com/@zimo.bakery.and.c/video/7541134698056011021?is_from_webapp=1&amp;sender_device=pc&amp;web_id=7529858502199395858</t>
  </si>
  <si>
    <t>muktiorganics</t>
  </si>
  <si>
    <t>https://vt.tiktok.com/ZSAVxvpK7/</t>
  </si>
  <si>
    <t>_pottea</t>
  </si>
  <si>
    <t>https://vt.tiktok.com/ZSAVV9dhq/</t>
  </si>
  <si>
    <t>rarebreezy_shoes</t>
  </si>
  <si>
    <t>https://www.tiktok.com/@rarebreezy_shoes/video/7472976795629931784?is_from_webapp=1&amp;sender_device=pc&amp;web_id=7529868947924829714</t>
  </si>
  <si>
    <t>eriaaa_m</t>
  </si>
  <si>
    <t>https://www.tiktok.com/@eriaaa_m/video/7541681928659848456?is_from_webapp=1&amp;sender_device=pc&amp;web_id=7529868947924829714</t>
  </si>
  <si>
    <t>noa..marin</t>
  </si>
  <si>
    <t>https://vt.tiktok.com/ZSAVWaXes/</t>
  </si>
  <si>
    <t>angelicadchvzz</t>
  </si>
  <si>
    <t>https://www.tiktok.com/@angelicadchvzz/video/7477958483552259336?is_from_webapp=1&amp;sender_device=pc&amp;web_id=7529858502199395858</t>
  </si>
  <si>
    <t>https://www.tiktok.com/@kaylarosegibson/video/7482502968000957704?is_from_webapp=1&amp;sender_device=pc&amp;web_id=7529868947924829714</t>
  </si>
  <si>
    <t>you remember you have free will</t>
  </si>
  <si>
    <t>griffith_uni</t>
  </si>
  <si>
    <t>https://www.tiktok.com/@griffith_uni/video/7465839078433492232?is_from_webapp=1&amp;sender_device=pc&amp;web_id=7529868947924829714</t>
  </si>
  <si>
    <t>_zxick</t>
  </si>
  <si>
    <t>https://vt.tiktok.com/ZSDAaL3nK/</t>
  </si>
  <si>
    <t>claraspannaus</t>
  </si>
  <si>
    <t>https://vt.tiktok.com/ZSAVXVmG2/</t>
  </si>
  <si>
    <t>krist..iana</t>
  </si>
  <si>
    <t>https://vt.tiktok.com/ZSAV7mGK1/</t>
  </si>
  <si>
    <t>cleancorpau</t>
  </si>
  <si>
    <t>https://vt.tiktok.com/ZSAVs4moA/</t>
  </si>
  <si>
    <t>i dont rlly like pero pwede</t>
  </si>
  <si>
    <t>club29decherd</t>
  </si>
  <si>
    <t>https://www.tiktok.com/@club29decherd/video/7535116470519336222?is_from_webapp=1&amp;sender_device=pc&amp;web_id=7529858502199395858</t>
  </si>
  <si>
    <t>amo_thobye</t>
  </si>
  <si>
    <t>https://vt.tiktok.com/ZSAVQLn9k/</t>
  </si>
  <si>
    <t>amothobye@gmail.com</t>
  </si>
  <si>
    <t>silly.monse</t>
  </si>
  <si>
    <t>https://vt.tiktok.com/ZSAVCSvoH/</t>
  </si>
  <si>
    <t>https://www.tiktok.com/@kristyna.zamcova/video/7473522329037982998?is_from_webapp=1&amp;sender_device=pc&amp;web_id=7529868947924829714</t>
  </si>
  <si>
    <t>jellyaace._</t>
  </si>
  <si>
    <t>https://www.tiktok.com/@jellyaace._/video/7535085676858068231?is_from_webapp=1&amp;sender_device=pc&amp;web_id=7529868947924829714</t>
  </si>
  <si>
    <t>kristinagenau</t>
  </si>
  <si>
    <t>https://vt.tiktok.com/ZSAVWdJg6/</t>
  </si>
  <si>
    <t>pladalp_</t>
  </si>
  <si>
    <t>https://www.tiktok.com/@pladalp_/video/7541651942443994423?is_from_webapp=1&amp;sender_device=pc&amp;web_id=7529858502199395858</t>
  </si>
  <si>
    <t>https://www.tiktok.com/@kaylarosegibson/video/7494780860902690055?is_from_webapp=1&amp;sender_device=pc&amp;web_id=7529868947924829714</t>
  </si>
  <si>
    <t>food challenge</t>
  </si>
  <si>
    <t>joeando</t>
  </si>
  <si>
    <t>https://www.tiktok.com/@joeando/video/7165667445594934574?is_from_webapp=1&amp;sender_device=pc&amp;web_id=7529868947924829714</t>
  </si>
  <si>
    <t>teoandsheks</t>
  </si>
  <si>
    <t>https://vt.tiktok.com/ZSDA5ENAG/</t>
  </si>
  <si>
    <t>fallingfromgrace</t>
  </si>
  <si>
    <t>https://vt.tiktok.com/ZSAVXsfmc/</t>
  </si>
  <si>
    <t>jamsones_2</t>
  </si>
  <si>
    <t>https://vt.tiktok.com/ZSAV7X3Eq/</t>
  </si>
  <si>
    <t>legacytolifted</t>
  </si>
  <si>
    <t>https://vt.tiktok.com/ZSAVsV2E2/</t>
  </si>
  <si>
    <t>surfshackcastlerock</t>
  </si>
  <si>
    <t>https://www.tiktok.com/@surfshackcastlerock/video/7535841470595730710?is_from_webapp=1&amp;sender_device=pc&amp;web_id=7529858502199395858</t>
  </si>
  <si>
    <t>allexadalessio</t>
  </si>
  <si>
    <t>https://vt.tiktok.com/ZSAVxKDNc/</t>
  </si>
  <si>
    <t>https://www.instagram.com/allexadalessio/</t>
  </si>
  <si>
    <t>nathandegrn</t>
  </si>
  <si>
    <t>https://vt.tiktok.com/ZSAVCNK7U/</t>
  </si>
  <si>
    <t>mollyatmidnight</t>
  </si>
  <si>
    <t>https://www.tiktok.com/@mollyatmidnight/video/7473172343464987926?is_from_webapp=1&amp;sender_device=pc&amp;web_id=7529868947924829714</t>
  </si>
  <si>
    <t>bitanywatnat</t>
  </si>
  <si>
    <t>https://www.tiktok.com/@bitanywatnat/video/7540573802564979975?is_from_webapp=1&amp;sender_device=pc&amp;web_id=7529868947924829714</t>
  </si>
  <si>
    <t>yoyo.spaces</t>
  </si>
  <si>
    <t>https://vt.tiktok.com/ZSAVWHFHG/</t>
  </si>
  <si>
    <t>clarrengggg</t>
  </si>
  <si>
    <t>https://www.tiktok.com/@clarrengggg/video/7519760474582322450?is_from_webapp=1&amp;sender_device=pc&amp;web_id=7529858502199395858</t>
  </si>
  <si>
    <t>thequistfamily</t>
  </si>
  <si>
    <t>https://www.tiktok.com/@thequistfamily/video/7466983735309913390?is_from_webapp=1&amp;sender_device=pc&amp;web_id=7529868947924829714</t>
  </si>
  <si>
    <t>CourtneyandAlexQuist@gmail.com</t>
  </si>
  <si>
    <t>my fave, his fave</t>
  </si>
  <si>
    <t>victoriaxmariah</t>
  </si>
  <si>
    <t>https://www.tiktok.com/@victoriaxmariah/video/7456976760916266286?is_from_webapp=1&amp;sender_device=pc&amp;web_id=7529868947924829714</t>
  </si>
  <si>
    <t>inigojap</t>
  </si>
  <si>
    <t>https://vt.tiktok.com/ZSDAaRqGM/</t>
  </si>
  <si>
    <t>aylafr3din</t>
  </si>
  <si>
    <t>https://vt.tiktok.com/ZSAVX4Rst/</t>
  </si>
  <si>
    <t>aylafredin@gmail.com</t>
  </si>
  <si>
    <t>itsdiamonddust</t>
  </si>
  <si>
    <t>https://vt.tiktok.com/ZSAV7mLmW/</t>
  </si>
  <si>
    <t>hydrogenfitness</t>
  </si>
  <si>
    <t>https://vt.tiktok.com/ZSAVsoxbY/</t>
  </si>
  <si>
    <t>mjscoffeebar</t>
  </si>
  <si>
    <t>https://www.tiktok.com/@mjscoffeebar/video/7539950568786332934?is_from_webapp=1&amp;sender_device=pc&amp;web_id=7529858502199395858</t>
  </si>
  <si>
    <t>alyssanaka</t>
  </si>
  <si>
    <t>https://vt.tiktok.com/ZSAVQYq2y/</t>
  </si>
  <si>
    <t>AlyssaNakaSilver@gmail.com</t>
  </si>
  <si>
    <t>douknowkent</t>
  </si>
  <si>
    <t>https://vt.tiktok.com/ZSAVCuuyX/</t>
  </si>
  <si>
    <t>skylar_diecast</t>
  </si>
  <si>
    <t>https://www.tiktok.com/@skylar_diecast/video/7479268371700223240?is_from_webapp=1&amp;sender_device=pc&amp;web_id=7529868947924829714</t>
  </si>
  <si>
    <t>louiemrn</t>
  </si>
  <si>
    <t>https://www.tiktok.com/@louiemrn/video/7534307314237443335?is_from_webapp=1&amp;sender_device=pc&amp;web_id=7529868947924829714</t>
  </si>
  <si>
    <t>auv.n.jack</t>
  </si>
  <si>
    <t>https://www.tiktok.com/@auv.n.jack/video/7519508979634949431?is_from_webapp=1&amp;sender_device=pc&amp;web_id=7529858502199395858</t>
  </si>
  <si>
    <t>migmiggymig</t>
  </si>
  <si>
    <t>https://www.tiktok.com/@migmiggymig/video/7487622680309419286?is_from_webapp=1&amp;sender_device=pc&amp;web_id=7529858502199395858</t>
  </si>
  <si>
    <t>aubrayandbailey</t>
  </si>
  <si>
    <t>https://www.tiktok.com/@aubrayandbailey/video/7277775628546395422?is_from_webapp=1&amp;sender_device=pc&amp;web_id=7529868947924829714</t>
  </si>
  <si>
    <t>collabs@aubrayandbailey.com</t>
  </si>
  <si>
    <t>rock paper scissors food challenge</t>
  </si>
  <si>
    <t>volkswagensg</t>
  </si>
  <si>
    <t>https://www.tiktok.com/@volkswagensg/video/7476028960699206930?is_from_webapp=1&amp;sender_device=pc&amp;web_id=7529868947924829714</t>
  </si>
  <si>
    <t>gl_jz</t>
  </si>
  <si>
    <t>https://vt.tiktok.com/ZSDA5EBqo/</t>
  </si>
  <si>
    <t>isabelletrotter</t>
  </si>
  <si>
    <t>https://vt.tiktok.com/ZSAVXueuC/</t>
  </si>
  <si>
    <t>isabellegtrotter@gmail.com</t>
  </si>
  <si>
    <t>ellexismoss</t>
  </si>
  <si>
    <t>https://vt.tiktok.com/ZSAV7xjHS/</t>
  </si>
  <si>
    <t>pixiogaming</t>
  </si>
  <si>
    <t>https://vt.tiktok.com/ZSAqcprMf/</t>
  </si>
  <si>
    <t>278nutrition</t>
  </si>
  <si>
    <t>https://www.tiktok.com/@278nutrition/video/7538411940561898782?is_from_webapp=1&amp;sender_device=pc&amp;web_id=7529858502199395858</t>
  </si>
  <si>
    <t>kaemia</t>
  </si>
  <si>
    <t>https://vt.tiktok.com/ZSAVxEF9R/</t>
  </si>
  <si>
    <t>Did not consent</t>
  </si>
  <si>
    <t>jessicafakhri</t>
  </si>
  <si>
    <t>https://vt.tiktok.com/ZSAVCrFvc/</t>
  </si>
  <si>
    <t>anastasia.c.chronicles</t>
  </si>
  <si>
    <t>https://www.tiktok.com/@anastasia.c.chronicles/video/7468981725352201505?is_from_webapp=1&amp;sender_device=pc&amp;web_id=7529868947924829714</t>
  </si>
  <si>
    <t>andweaso</t>
  </si>
  <si>
    <t>https://www.tiktok.com/@andweaso/video/7532105050844417288?is_from_webapp=1&amp;sender_device=pc&amp;web_id=7529868947924829714</t>
  </si>
  <si>
    <t>mikaylademaiterr</t>
  </si>
  <si>
    <t>https://www.tiktok.com/@mikaylademaiterr/video/7509206684959608070?is_from_webapp=1&amp;sender_device=pc&amp;web_id=7529858502199395858</t>
  </si>
  <si>
    <t>_marghsss</t>
  </si>
  <si>
    <t>https://www.tiktok.com/@_marghsss/video/7512255755878223146?is_from_webapp=1&amp;sender_device=pc&amp;web_id=7529858502199395858</t>
  </si>
  <si>
    <t>andreaandlewis</t>
  </si>
  <si>
    <t>https://www.tiktok.com/@andreaandlewis/video/6870581248448908549?is_from_webapp=1&amp;sender_device=pc&amp;web_id=7529868947924829714</t>
  </si>
  <si>
    <t>lewisandreaofficial@gmail.com</t>
  </si>
  <si>
    <t>oh were u waiting for that box to hit me?</t>
  </si>
  <si>
    <t>anna.antonje</t>
  </si>
  <si>
    <t>https://www.tiktok.com/@anna.antonje/video/7443465454921846038?is_from_webapp=1&amp;sender_device=pc&amp;web_id=7529868947924829714</t>
  </si>
  <si>
    <t>thisjenngirl</t>
  </si>
  <si>
    <t>https://vt.tiktok.com/ZSDAa4jsr/</t>
  </si>
  <si>
    <t>sam_vlogzz</t>
  </si>
  <si>
    <t>https://vt.tiktok.com/ZSAVX7DYb/</t>
  </si>
  <si>
    <t>teachermrsthomas</t>
  </si>
  <si>
    <t>https://vt.tiktok.com/ZSAV7utqK/</t>
  </si>
  <si>
    <t>soocialhub</t>
  </si>
  <si>
    <t>https://vt.tiktok.com/ZSAqcw5Kw/</t>
  </si>
  <si>
    <t>acaidelightok</t>
  </si>
  <si>
    <t>https://www.tiktok.com/@acaidelightok/video/7535672114477681950?is_from_webapp=1&amp;sender_device=pc&amp;web_id=7529858502199395858</t>
  </si>
  <si>
    <t>dinoraan</t>
  </si>
  <si>
    <t>https://vt.tiktok.com/ZSAVQ4PXL/</t>
  </si>
  <si>
    <t>dinoranurillaeva@gmail.com</t>
  </si>
  <si>
    <t>https://vt.tiktok.com/ZSAVCFPqD/</t>
  </si>
  <si>
    <t>rebisco.ph</t>
  </si>
  <si>
    <t>https://www.tiktok.com/@rebisco.ph/video/7473722343882247442?is_from_webapp=1&amp;sender_device=pc&amp;web_id=7529868947924829714</t>
  </si>
  <si>
    <t>nacho.bizz</t>
  </si>
  <si>
    <t>https://www.tiktok.com/@nacho.bizz/video/7541698829935054088?is_from_webapp=1&amp;sender_device=pc&amp;web_id=7529868947924829714</t>
  </si>
  <si>
    <t>biscuitaddict06</t>
  </si>
  <si>
    <t>https://www.tiktok.com/@biscuitaddict06/video/7516551249475456263?is_from_webapp=1&amp;sender_device=pc&amp;web_id=7529858502199395858</t>
  </si>
  <si>
    <t>danjanine</t>
  </si>
  <si>
    <t>https://www.tiktok.com/@danjanine/video/7519978917613079821?is_from_webapp=1&amp;sender_device=pc&amp;web_id=7529858502199395858</t>
  </si>
  <si>
    <t>aileenchristineee</t>
  </si>
  <si>
    <t>https://www.tiktok.com/@aileenchristineee/video/6867743685199596806?is_from_webapp=1&amp;sender_device=pc&amp;web_id=7529868947924829714</t>
  </si>
  <si>
    <t>this looks like it was made by a 5 year old, im trying my best</t>
  </si>
  <si>
    <t>ambardriscoll</t>
  </si>
  <si>
    <t>https://www.tiktok.com/@ambardriscoll/video/7503566266301582594?is_from_webapp=1&amp;sender_device=pc&amp;web_id=7529868947924829714</t>
  </si>
  <si>
    <t>ambar@mvetalent.com</t>
  </si>
  <si>
    <t>clairealexistiu</t>
  </si>
  <si>
    <t>https://vt.tiktok.com/ZSDAaX7TN/</t>
  </si>
  <si>
    <t>meganjspams</t>
  </si>
  <si>
    <t>https://vt.tiktok.com/ZSAVX3YCK/</t>
  </si>
  <si>
    <t>meganmarie800</t>
  </si>
  <si>
    <t>https://vt.tiktok.com/ZSAqTeheg/</t>
  </si>
  <si>
    <t>parkplacernv</t>
  </si>
  <si>
    <t>https://vt.tiktok.com/ZSAqc7arm/</t>
  </si>
  <si>
    <t>leasing@parkplaceatreno.com</t>
  </si>
  <si>
    <t>eastfield.farm.plants</t>
  </si>
  <si>
    <t>https://www.tiktok.com/@eastfield.farm.plants/video/7542576997017390358?is_from_webapp=1&amp;sender_device=pc&amp;web_id=7529858502199395858</t>
  </si>
  <si>
    <t>glossmoves</t>
  </si>
  <si>
    <t>https://vt.tiktok.com/ZSAVQjnwA/</t>
  </si>
  <si>
    <t>lincandcanyon</t>
  </si>
  <si>
    <t>https://vt.tiktok.com/ZSAVCsYk6/</t>
  </si>
  <si>
    <t>lincandcanyon@gb-dm.com</t>
  </si>
  <si>
    <t>gabyy.library</t>
  </si>
  <si>
    <t>https://www.tiktok.com/@gabyy.library/video/7474052998965005614?is_from_webapp=1&amp;sender_device=pc&amp;web_id=7529868947924829714</t>
  </si>
  <si>
    <t>nicoleeeyxx</t>
  </si>
  <si>
    <t>https://www.tiktok.com/@nicoleeeyxx/video/7533826466778254610?is_from_webapp=1&amp;sender_device=pc&amp;web_id=7529868947924829714</t>
  </si>
  <si>
    <t>.vienna.s</t>
  </si>
  <si>
    <t>https://www.tiktok.com/@.vienna.s/video/7511759087261158678?is_from_webapp=1&amp;sender_device=pc&amp;web_id=7529858502199395858</t>
  </si>
  <si>
    <t>evzeca</t>
  </si>
  <si>
    <t>https://www.tiktok.com/@evzeca/video/7539581917465677070?is_from_webapp=1&amp;sender_device=pc&amp;web_id=7529858502199395858</t>
  </si>
  <si>
    <t>matt_and_abby</t>
  </si>
  <si>
    <t>https://www.tiktok.com/@matt_and_abby/video/6869099288610229509?is_from_webapp=1&amp;sender_device=pc&amp;web_id=7529868947924829714</t>
  </si>
  <si>
    <t>business@mattandabby.co</t>
  </si>
  <si>
    <t>RED ------&gt;</t>
  </si>
  <si>
    <t>Has several videos we used</t>
  </si>
  <si>
    <t>WHERE??</t>
  </si>
  <si>
    <t>samanthaysabel.co</t>
  </si>
  <si>
    <t>https://www.tiktok.com/@samanthaysabel.co/video/7502777453358746888?is_from_webapp=1&amp;sender_device=pc&amp;web_id=7529868947924829714</t>
  </si>
  <si>
    <t>allisonmrey</t>
  </si>
  <si>
    <t>https://vt.tiktok.com/ZSDAay8k1/</t>
  </si>
  <si>
    <t>zeliha_clark</t>
  </si>
  <si>
    <t>https://vt.tiktok.com/ZSAVXQjAj/</t>
  </si>
  <si>
    <t>zelihaclark@ddaglobal.com</t>
  </si>
  <si>
    <t>nonsensewit.nixx</t>
  </si>
  <si>
    <t>https://vt.tiktok.com/ZSAq3GpsG/</t>
  </si>
  <si>
    <t>shaker.auto.group</t>
  </si>
  <si>
    <t>https://vt.tiktok.com/ZSAq3AAUy/</t>
  </si>
  <si>
    <t>menomonie.market</t>
  </si>
  <si>
    <t>https://www.tiktok.com/@menomonie.market/video/7536306811540884767?is_from_webapp=1&amp;sender_device=pc&amp;web_id=7529858502199395858</t>
  </si>
  <si>
    <t>karimilanivlogs</t>
  </si>
  <si>
    <t>https://vt.tiktok.com/ZSAVQ6pxV/</t>
  </si>
  <si>
    <t>https://www.instagram.com/kari_milani</t>
  </si>
  <si>
    <t>kennyand_thejets</t>
  </si>
  <si>
    <t>https://vt.tiktok.com/ZSAVCwmHN/</t>
  </si>
  <si>
    <t>fitsbymon</t>
  </si>
  <si>
    <t>https://www.tiktok.com/@fitsbymon/video/7474664201806499094?is_from_webapp=1&amp;sender_device=pc&amp;web_id=7529868947924829714</t>
  </si>
  <si>
    <t>gmaregionaltv_</t>
  </si>
  <si>
    <t>https://www.tiktok.com/@gmaregionaltv_/video/7543181685425245447?is_from_webapp=1&amp;sender_device=pc&amp;web_id=7529868947924829714</t>
  </si>
  <si>
    <t>theexerciseengineer</t>
  </si>
  <si>
    <t>https://www.tiktok.com/@theexerciseengineer/video/7508996910724795670?is_from_webapp=1&amp;sender_device=pc&amp;web_id=7529858502199395858</t>
  </si>
  <si>
    <t>jun1k1t</t>
  </si>
  <si>
    <t>https://www.tiktok.com/@jun1k1t/video/7514516690030316843?is_from_webapp=1&amp;sender_device=pc&amp;web_id=7529858502199395858</t>
  </si>
  <si>
    <t>arissaadams</t>
  </si>
  <si>
    <t>https://www.tiktok.com/@arissaadams/video/7163684708839378182?is_from_webapp=1&amp;sender_device=pc&amp;web_id=7529868947924829714</t>
  </si>
  <si>
    <t>adamsarissa15@gmail.com</t>
  </si>
  <si>
    <t>how much do i owe u</t>
  </si>
  <si>
    <t>love.maceee</t>
  </si>
  <si>
    <t>https://www.tiktok.com/@love.maceee/video/7516108400787295495?is_from_webapp=1&amp;sender_device=pc&amp;web_id=7529868947924829714</t>
  </si>
  <si>
    <t>thecabrerafam</t>
  </si>
  <si>
    <t>https://vt.tiktok.com/ZSDAaurWa/</t>
  </si>
  <si>
    <t>kev_sndvl</t>
  </si>
  <si>
    <t>https://vt.tiktok.com/ZSAsRwXpV/</t>
  </si>
  <si>
    <t>naye.martinezz</t>
  </si>
  <si>
    <t>https://vt.tiktok.com/ZSAq3wcrh/</t>
  </si>
  <si>
    <t>lightartcreators</t>
  </si>
  <si>
    <t>https://vt.tiktok.com/ZSAq368EC/</t>
  </si>
  <si>
    <t>pinkdoorhgt</t>
  </si>
  <si>
    <t>https://www.tiktok.com/@pinkdoorhgt/video/7539871335816662294?is_from_webapp=1&amp;sender_device=pc&amp;web_id=7529858502199395858</t>
  </si>
  <si>
    <t>sophiesticated618</t>
  </si>
  <si>
    <t>https://vt.tiktok.com/ZSAV47CrT/</t>
  </si>
  <si>
    <t>yapi_so</t>
  </si>
  <si>
    <t>https://vt.tiktok.com/ZSAV45FDC/</t>
  </si>
  <si>
    <t>mynameisadrienne</t>
  </si>
  <si>
    <t>https://www.tiktok.com/@mynameisadrienne/video/7471042913544195374?is_from_webapp=1&amp;sender_device=pc&amp;web_id=7529868947924829714</t>
  </si>
  <si>
    <t>yzhakane</t>
  </si>
  <si>
    <t>https://www.tiktok.com/@yzhakane/video/7541302079588011272?is_from_webapp=1&amp;sender_device=pc&amp;web_id=7529868947924829714</t>
  </si>
  <si>
    <t>fern.sthetics</t>
  </si>
  <si>
    <t>https://www.tiktok.com/@fern.sthetics/video/7509130988149017864?is_from_webapp=1&amp;sender_device=pc&amp;web_id=7529858502199395858</t>
  </si>
  <si>
    <t>austinandhaven5</t>
  </si>
  <si>
    <t>https://www.tiktok.com/@austinandhaven5/video/7522243782847368479?is_from_webapp=1&amp;sender_device=pc&amp;web_id=7529858502199395858</t>
  </si>
  <si>
    <t>laura88lee</t>
  </si>
  <si>
    <t>https://www.tiktok.com/@laura88lee/video/7325856822592539934?is_from_webapp=1&amp;sender_device=pc&amp;web_id=7529868947924829714</t>
  </si>
  <si>
    <t>how to kidnap me</t>
  </si>
  <si>
    <t>lifeaszeph</t>
  </si>
  <si>
    <t>https://www.tiktok.com/@lifeaszeph/video/7451788412312489246?is_from_webapp=1&amp;sender_device=pc&amp;web_id=7529868947924829714</t>
  </si>
  <si>
    <t>Zephriseorfall@gmail</t>
  </si>
  <si>
    <t>thekadproject</t>
  </si>
  <si>
    <t>https://vt.tiktok.com/ZSDAaqREC/</t>
  </si>
  <si>
    <t>its_justnatt</t>
  </si>
  <si>
    <t>https://vt.tiktok.com/ZSAVq5nkt/</t>
  </si>
  <si>
    <t>nataliefoo02@gmail.com</t>
  </si>
  <si>
    <t>munchies_78</t>
  </si>
  <si>
    <t>https://vt.tiktok.com/ZSAqT1G8X/</t>
  </si>
  <si>
    <t>eastern.market.canton</t>
  </si>
  <si>
    <t>https://vt.tiktok.com/ZSAq3ADaV/</t>
  </si>
  <si>
    <t>palm.coffee.lounge</t>
  </si>
  <si>
    <t>https://www.tiktok.com/@palm.coffee.lounge/video/7544037628421704982?is_from_webapp=1&amp;sender_device=pc&amp;web_id=7529858502199395858</t>
  </si>
  <si>
    <t>taylor_zaydie</t>
  </si>
  <si>
    <t>https://vt.tiktok.com/ZSAVVSQmg/</t>
  </si>
  <si>
    <t>rip_on_heaven</t>
  </si>
  <si>
    <t>https://vt.tiktok.com/ZSAVVhMjv/</t>
  </si>
  <si>
    <t>sksnnbwe</t>
  </si>
  <si>
    <t>https://www.tiktok.com/@sksnnbwe/video/7466277657542511915?is_from_webapp=1&amp;sender_device=pc&amp;web_id=7529868947924829714</t>
  </si>
  <si>
    <t>microwavablep0pcorn</t>
  </si>
  <si>
    <t>https://www.tiktok.com/@microwavablep0pcorn/video/7528764177473719570?is_from_webapp=1&amp;sender_device=pc&amp;web_id=7529868947924829714</t>
  </si>
  <si>
    <t>somebody_you_fw</t>
  </si>
  <si>
    <t>https://www.tiktok.com/@somebody_you_fw/video/7538996939266755854?is_from_webapp=1&amp;sender_device=pc&amp;web_id=7529858502199395858</t>
  </si>
  <si>
    <t>katie.bri25</t>
  </si>
  <si>
    <t>https://www.tiktok.com/@katie.bri25/video/7536026187391356215?is_from_webapp=1&amp;sender_device=pc&amp;web_id=7529858502199395858</t>
  </si>
  <si>
    <t>_thescottfamily</t>
  </si>
  <si>
    <t>https://www.tiktok.com/@_thescottfamily/video/6870273964351016198?is_from_webapp=1&amp;sender_device=pc&amp;web_id=7529868947924829714</t>
  </si>
  <si>
    <t>TeamRogerandTalia@gersh.com</t>
  </si>
  <si>
    <t>sorry we're late, __ was throwing a fit</t>
  </si>
  <si>
    <t>notconstancezhang93</t>
  </si>
  <si>
    <t>https://www.tiktok.com/@notconstancezhang93/video/7369633099023519018?is_from_webapp=1&amp;sender_device=pc&amp;web_id=7529868947924829714</t>
  </si>
  <si>
    <t>Constancezqz@gmail.com</t>
  </si>
  <si>
    <t>marcodaos</t>
  </si>
  <si>
    <t>https://vt.tiktok.com/ZSDAa4K5o/</t>
  </si>
  <si>
    <t>brynnguymon</t>
  </si>
  <si>
    <t>https://vt.tiktok.com/ZSAVbJx7m/</t>
  </si>
  <si>
    <t>brynnguymon@palettemgmt.com</t>
  </si>
  <si>
    <t>_alyviagrace</t>
  </si>
  <si>
    <t>https://vt.tiktok.com/ZSAq3qpoj/</t>
  </si>
  <si>
    <t>solugenixdr</t>
  </si>
  <si>
    <t>https://vt.tiktok.com/ZSAq3yXtd/</t>
  </si>
  <si>
    <t>cakeboutiquenj</t>
  </si>
  <si>
    <t>https://www.tiktok.com/@cakeboutiquenj/video/7539654471010372919?is_from_webapp=1&amp;sender_device=pc&amp;web_id=7529858502199395858</t>
  </si>
  <si>
    <t>imanisallahh</t>
  </si>
  <si>
    <t>https://vt.tiktok.com/ZSAVVsfK9/</t>
  </si>
  <si>
    <t>kikaydinsay_</t>
  </si>
  <si>
    <t>https://vt.tiktok.com/ZSAVVaq7R/</t>
  </si>
  <si>
    <t>kikaydinsay@gmail.com</t>
  </si>
  <si>
    <t>leahgiggle</t>
  </si>
  <si>
    <t>https://www.tiktok.com/@leahgiggle/video/7520771574207712543?is_from_webapp=1&amp;sender_device=pc&amp;web_id=7529868947924829714</t>
  </si>
  <si>
    <t>chynnachuaa</t>
  </si>
  <si>
    <t>https://www.tiktok.com/@chynnachuaa/video/7536834940202224904?is_from_webapp=1&amp;sender_device=pc&amp;web_id=7529868947924829714</t>
  </si>
  <si>
    <t>15hourss</t>
  </si>
  <si>
    <t>https://www.tiktok.com/@15hourrss/video/7511927587984248107?is_from_webapp=1&amp;sender_device=pc&amp;web_id=7529858502199395858</t>
  </si>
  <si>
    <t>themorrisfambam</t>
  </si>
  <si>
    <t>https://www.tiktok.com/@themorrisfambam/video/7507492909160074526?is_from_webapp=1&amp;sender_device=pc&amp;web_id=7529858502199395858</t>
  </si>
  <si>
    <t>brittany.xavier</t>
  </si>
  <si>
    <t>https://www.tiktok.com/@brittany.xavier/video/6909256535436692737?is_from_webapp=1&amp;sender_device=pc&amp;web_id=7529868947924829714</t>
  </si>
  <si>
    <t>holy airball</t>
  </si>
  <si>
    <t>nikki.gott</t>
  </si>
  <si>
    <t>https://www.tiktok.com/@nikki.gott/video/7538926247401868574?is_from_webapp=1&amp;sender_device=pc&amp;web_id=7529868947924829714</t>
  </si>
  <si>
    <t>nikkigottcent@gmail.com</t>
  </si>
  <si>
    <t>iam.maks</t>
  </si>
  <si>
    <t>https://vt.tiktok.com/ZSDAaP3KN/</t>
  </si>
  <si>
    <t>aneliesetannoui</t>
  </si>
  <si>
    <t>https://vt.tiktok.com/ZSAVbe6os/</t>
  </si>
  <si>
    <t>aneliese.tannourji@outlook.com</t>
  </si>
  <si>
    <t>daisypitts</t>
  </si>
  <si>
    <t>https://vt.tiktok.com/ZSAqTuqNX/</t>
  </si>
  <si>
    <t>sdhumanesociety</t>
  </si>
  <si>
    <t>https://vt.tiktok.com/ZSDRb3Mpo/</t>
  </si>
  <si>
    <t>cupbop</t>
  </si>
  <si>
    <t>https://www.tiktok.com/@cupbop/video/7541560963426716942?is_from_webapp=1&amp;sender_device=pc&amp;web_id=7529868947924829714</t>
  </si>
  <si>
    <t>taniaturdean</t>
  </si>
  <si>
    <t>https://www.tiktok.com/@taniaturdean/video/7473452610926693654?is_from_webapp=1&amp;sender_device=pc&amp;web_id=7534997804440471048</t>
  </si>
  <si>
    <t>nattarts</t>
  </si>
  <si>
    <t>https://vt.tiktok.com/ZSAvpuS1F/</t>
  </si>
  <si>
    <t>its.sofii.vb</t>
  </si>
  <si>
    <t>https://www.tiktok.com/@its.sofii.vb/video/7471775493516283191?is_from_webapp=1&amp;sender_device=pc&amp;web_id=7529868947924829714</t>
  </si>
  <si>
    <t>paige_go</t>
  </si>
  <si>
    <t>https://www.tiktok.com/@paige_go/video/7533923640908188946?is_from_webapp=1&amp;sender_device=pc&amp;web_id=7529868947924829714</t>
  </si>
  <si>
    <t>mommy.dans</t>
  </si>
  <si>
    <t>https://www.tiktok.com/@mommy.dans/video/7517917239304015121?is_from_webapp=1&amp;sender_device=pc&amp;web_id=7529868947924829714</t>
  </si>
  <si>
    <t>urmrselastyles</t>
  </si>
  <si>
    <t>https://www.tiktok.com/@urmrselastyles/video/7545122823392546055?is_from_webapp=1&amp;sender_device=pc&amp;web_id=7529858502199395858</t>
  </si>
  <si>
    <t>https://www.tiktok.com/@brittany.xavier/video/6902938334113303809?is_from_webapp=1&amp;sender_device=pc&amp;web_id=7529868947924829714</t>
  </si>
  <si>
    <t>im having sm fun/ but we're just doing __ / but we're doing __ together</t>
  </si>
  <si>
    <t>hailzngrace</t>
  </si>
  <si>
    <t>https://www.tiktok.com/@hailzngrace/video/7514516374224489771?is_from_webapp=1&amp;sender_device=pc&amp;web_id=7529868947924829714</t>
  </si>
  <si>
    <t>purelyaria</t>
  </si>
  <si>
    <t>https://vt.tiktok.com/ZSDAaEBCG/</t>
  </si>
  <si>
    <t>michael.diconstanzo</t>
  </si>
  <si>
    <t>https://www.tiktok.com/@michael.dicostanzo/video/7374955868519157038?is_from_webapp=1&amp;sender_device=pc&amp;web_id=7534997804440471048</t>
  </si>
  <si>
    <t>mdicostanzo@viralnationtalent.com</t>
  </si>
  <si>
    <t>mundospizzeria</t>
  </si>
  <si>
    <t>https://vt.tiktok.com/ZSDRpgxbs/</t>
  </si>
  <si>
    <t>il_leadership</t>
  </si>
  <si>
    <t>https://vt.tiktok.com/ZSDRbn7b1/</t>
  </si>
  <si>
    <t>brewdliciouscoffee</t>
  </si>
  <si>
    <t>https://www.tiktok.com/@brewdliciouscoffee/video/7536292226394066189?is_from_webapp=1&amp;sender_device=pc&amp;web_id=7529868947924829714</t>
  </si>
  <si>
    <t>mcd_creative</t>
  </si>
  <si>
    <t>https://www.tiktok.com/@mcd_creative/video/7358768689556016401?is_from_webapp=1&amp;sender_device=pc&amp;web_id=7534997804440471048</t>
  </si>
  <si>
    <t>aqilahwf</t>
  </si>
  <si>
    <t>https://vt.tiktok.com/ZSAvpcC4K/</t>
  </si>
  <si>
    <t>sara.durante5</t>
  </si>
  <si>
    <t>https://www.tiktok.com/@sara.durante5/video/7521136157501967621?is_from_webapp=1&amp;sender_device=pc&amp;web_id=7529868947924829714</t>
  </si>
  <si>
    <t>_ameeong</t>
  </si>
  <si>
    <t>https://www.tiktok.com/@_ameeong/video/7532529094261591314?is_from_webapp=1&amp;sender_device=pc&amp;web_id=7529868947924829714</t>
  </si>
  <si>
    <t>imeldalyyy</t>
  </si>
  <si>
    <t>https://www.tiktok.com/@imeldalyyy/video/7510962544870280504?is_from_webapp=1&amp;sender_device=pc&amp;web_id=7529868947924829714</t>
  </si>
  <si>
    <t>msdmickey135</t>
  </si>
  <si>
    <t>https://www.tiktok.com/@msdmickey135/video/7510590647372500255?is_from_webapp=1&amp;sender_device=pc&amp;web_id=7529858502199395858</t>
  </si>
  <si>
    <t>mikaelasdougherty@gmail.com</t>
  </si>
  <si>
    <t>julia.jo1</t>
  </si>
  <si>
    <t>https://www.tiktok.com/@julia.jo1/video/6872061186486095109?is_from_webapp=1&amp;sender_device=pc&amp;web_id=7529868947924829714</t>
  </si>
  <si>
    <t>exchange gift challenge</t>
  </si>
  <si>
    <t>jadielane</t>
  </si>
  <si>
    <t>https://www.tiktok.com/@jadielane/video/7503338388653870382?is_from_webapp=1&amp;sender_device=pc&amp;web_id=7529868947924829714</t>
  </si>
  <si>
    <t>Jadielanecollabs@gmail.com</t>
  </si>
  <si>
    <t>jassyyy.4</t>
  </si>
  <si>
    <t>https://vt.tiktok.com/ZSDAmdv7S/</t>
  </si>
  <si>
    <t>annaa.allisonn</t>
  </si>
  <si>
    <t>https://vt.tiktok.com/ZSAvQJ8Yw/</t>
  </si>
  <si>
    <t>anondaeallison@gmail.com</t>
  </si>
  <si>
    <t>itssky0.0</t>
  </si>
  <si>
    <t>https://vt.tiktok.com/ZSDRpbrpg/</t>
  </si>
  <si>
    <t>https://vt.tiktok.com/ZSDRboVNc/</t>
  </si>
  <si>
    <t>dae.gee</t>
  </si>
  <si>
    <t>https://www.tiktok.com/@dae.gee/video/7538842751920590110?is_from_webapp=1&amp;sender_device=pc&amp;web_id=7529868947924829714</t>
  </si>
  <si>
    <t>ananotana</t>
  </si>
  <si>
    <t>https://www.tiktok.com/@ananotana/video/7347499172737666347?is_from_webapp=1&amp;sender_device=pc&amp;web_id=7534997804440471048</t>
  </si>
  <si>
    <t>simp2257</t>
  </si>
  <si>
    <t>https://vt.tiktok.com/ZSAvpuy47/</t>
  </si>
  <si>
    <t>Unavailable</t>
  </si>
  <si>
    <t>savt.aesthetics</t>
  </si>
  <si>
    <t>https://www.tiktok.com/@savt.aesthetics/video/7469452316941290783?is_from_webapp=1&amp;sender_device=pc&amp;web_id=7529868947924829714</t>
  </si>
  <si>
    <t>savtoddaesthetic@gmail.com</t>
  </si>
  <si>
    <t>dreaniks</t>
  </si>
  <si>
    <t>https://www.tiktok.com/@dreaniks/video/7531330789850516754?lang=en</t>
  </si>
  <si>
    <t>commonmode</t>
  </si>
  <si>
    <t>https://www.tiktok.com/@commonmode/video/7518995607902489863?is_from_webapp=1&amp;sender_device=pc&amp;web_id=7529868947924829714</t>
  </si>
  <si>
    <t>sramii2</t>
  </si>
  <si>
    <t>https://www.tiktok.com/@sramii2/video/7545608318652288270</t>
  </si>
  <si>
    <t>themontestwins</t>
  </si>
  <si>
    <t>https://www.tiktok.com/@themontestwins/video/6903616059081788678?is_from_webapp=1&amp;sender_device=pc&amp;web_id=7529868947924829714</t>
  </si>
  <si>
    <t>montestwins@portraitmgmt.com</t>
  </si>
  <si>
    <t>.kirsten0</t>
  </si>
  <si>
    <t>https://www.tiktok.com/@.kirsten0/video/7423889587870780704?is_from_webapp=1&amp;sender_device=pc&amp;web_id=7529868947924829714</t>
  </si>
  <si>
    <t>kykeyumz</t>
  </si>
  <si>
    <t>https://vt.tiktok.com/ZSDAmehYa/</t>
  </si>
  <si>
    <t>mialmiranda</t>
  </si>
  <si>
    <t>https://vt.tiktok.com/ZSAvQ72vM/</t>
  </si>
  <si>
    <t>mialovemiranda@gmail.com</t>
  </si>
  <si>
    <t>judyannlabticluna_on_ig</t>
  </si>
  <si>
    <t>https://vt.tiktok.com/ZSDRsFWwM/</t>
  </si>
  <si>
    <t>rhsfilipinoclub</t>
  </si>
  <si>
    <t>https://vt.tiktok.com/ZSDRgyWya/</t>
  </si>
  <si>
    <t>brewologyri</t>
  </si>
  <si>
    <t>https://www.tiktok.com/@brewologyri/video/7545134730618899767?is_from_webapp=1&amp;sender_device=pc&amp;web_id=7529868947924829714</t>
  </si>
  <si>
    <t>luxegen</t>
  </si>
  <si>
    <t>https://www.tiktok.com/@luxegen/video/7350398632736116000?is_from_webapp=1&amp;sender_device=pc&amp;web_id=7534997804440471048</t>
  </si>
  <si>
    <t>pasang_lb</t>
  </si>
  <si>
    <t>https://vt.tiktok.com/ZSAvpcqgh/</t>
  </si>
  <si>
    <t>ebtihel_malik</t>
  </si>
  <si>
    <t>https://www.tiktok.com/@ebtihel_malik/video/7478810853534403863?is_from_webapp=1&amp;sender_device=pc&amp;web_id=7529868947924829714</t>
  </si>
  <si>
    <t>sophiajiaa</t>
  </si>
  <si>
    <t>https://www.tiktok.com/@sophiajiaa/video/7534019039190912263?lang=en</t>
  </si>
  <si>
    <t>kytchen_kravings</t>
  </si>
  <si>
    <t>https://www.tiktok.com/@kytchen_kravings/video/7513158312913915158?is_from_webapp=1&amp;sender_device=pc&amp;web_id=7529868947924829714</t>
  </si>
  <si>
    <t>hollyybergyy</t>
  </si>
  <si>
    <t>https://www.tiktok.com/@hollyybergyy/video/7540538612929056014</t>
  </si>
  <si>
    <t>fairviewofficial</t>
  </si>
  <si>
    <t>https://www.tiktok.com/@fairviewofficial/video/6940055162392268038?is_from_webapp=1&amp;sender_device=pc&amp;web_id=7529868947924829714</t>
  </si>
  <si>
    <t>candiceeprr</t>
  </si>
  <si>
    <t>https://www.tiktok.com/@candiceeprr/video/7534789723420822786?is_from_webapp=1&amp;sender_device=pc&amp;web_id=7529868947924829714</t>
  </si>
  <si>
    <t>dani__and__jo</t>
  </si>
  <si>
    <t>https://vt.tiktok.com/ZSDAa7uGv/</t>
  </si>
  <si>
    <t>riisepeters</t>
  </si>
  <si>
    <t>https://vt.tiktok.com/ZSAvQK6Qd/</t>
  </si>
  <si>
    <t>contact@riisepeters.com</t>
  </si>
  <si>
    <t>theguysfromyesterday</t>
  </si>
  <si>
    <t>https://vt.tiktok.com/ZSDRsUcKR/</t>
  </si>
  <si>
    <t>gummy_rush</t>
  </si>
  <si>
    <t>https://vt.tiktok.com/ZSDRgjjuA/</t>
  </si>
  <si>
    <t>freshcupplayhouse</t>
  </si>
  <si>
    <t>https://www.tiktok.com/@freshcupplayhouse/video/7548733446726618398?is_from_webapp=1&amp;sender_device=pc&amp;web_id=7529868947924829714</t>
  </si>
  <si>
    <t>_mira_mo</t>
  </si>
  <si>
    <t>https://vt.tiktok.com/ZSAojf62h/</t>
  </si>
  <si>
    <t>simandoooo</t>
  </si>
  <si>
    <t>https://vt.tiktok.com/ZSAvpw2a6/</t>
  </si>
  <si>
    <t>heidilereng</t>
  </si>
  <si>
    <t>https://www.tiktok.com/@heidilereng/video/7474242580524403970?is_from_webapp=1&amp;sender_device=pc&amp;web_id=7529868947924829714</t>
  </si>
  <si>
    <t>desyaaaaaaaaaang</t>
  </si>
  <si>
    <t>https://www.tiktok.com/@desyaaaaaaaaaang/video/7533657633388137735?lang=en</t>
  </si>
  <si>
    <t>notpariscottrell</t>
  </si>
  <si>
    <t>https://www.tiktok.com/@notpariscottrell/video/7506077979529710855?is_from_webapp=1&amp;sender_device=pc&amp;web_id=7529868947924829714</t>
  </si>
  <si>
    <t>paulinebataller</t>
  </si>
  <si>
    <t>https://www.tiktok.com/@paulinebataller/video/7474194344744865045</t>
  </si>
  <si>
    <t>alyssarafael</t>
  </si>
  <si>
    <t>https://www.tiktok.com/@alyssarafael/video/6879245557534067974?is_from_webapp=1&amp;sender_device=pc&amp;web_id=7529868947924829714</t>
  </si>
  <si>
    <t>contact@alyssarafael.com</t>
  </si>
  <si>
    <t>_claudiahamilton</t>
  </si>
  <si>
    <t>https://www.tiktok.com/@_claudiahamilton/video/7164887675156139269?is_from_webapp=1&amp;sender_device=pc&amp;web_id=7529868947924829714</t>
  </si>
  <si>
    <t>kriiizhaaa</t>
  </si>
  <si>
    <t>https://vt.tiktok.com/ZSDAm8akn/</t>
  </si>
  <si>
    <t>kylee.grive</t>
  </si>
  <si>
    <t>https://vt.tiktok.com/ZSAvCFm42/</t>
  </si>
  <si>
    <t>kyleegrive@gmail.com</t>
  </si>
  <si>
    <t>aznmc_</t>
  </si>
  <si>
    <t>https://vt.tiktok.com/ZSDRsLgDh/</t>
  </si>
  <si>
    <t>bchs.hosa</t>
  </si>
  <si>
    <t>https://vt.tiktok.com/ZSDRgvBTJ/</t>
  </si>
  <si>
    <t>cplrayscoffee</t>
  </si>
  <si>
    <t>https://www.tiktok.com/@cplrayscoffee/video/7541907163074022669?is_from_webapp=1&amp;sender_device=pc&amp;web_id=7529868947924829714</t>
  </si>
  <si>
    <t>laurabrookerxoxo</t>
  </si>
  <si>
    <t>https://vt.tiktok.com/ZSAojX4Ps/</t>
  </si>
  <si>
    <t>yuehaaan</t>
  </si>
  <si>
    <t>https://vt.tiktok.com/ZSAvpwJx2/</t>
  </si>
  <si>
    <t>violet_autumn_</t>
  </si>
  <si>
    <t>https://www.tiktok.com/@violet_autumn_/video/7466107890554719534?is_from_webapp=1&amp;sender_device=pc&amp;web_id=7529868947924829714</t>
  </si>
  <si>
    <t>unica.hijaa</t>
  </si>
  <si>
    <t>https://www.tiktok.com/@unica.hijaa/video/7541258684232420628?is_from_webapp=1&amp;sender_device=pc&amp;web_id=7529868947924829714</t>
  </si>
  <si>
    <t>hannahong22</t>
  </si>
  <si>
    <t>https://www.tiktok.com/@hannahong22/video/7517118935481797906?is_from_webapp=1&amp;sender_device=pc&amp;web_id=7529868947924829714</t>
  </si>
  <si>
    <t>mbsangels</t>
  </si>
  <si>
    <t>https://www.tiktok.com/@mbsangels/video/7537753796995190038?is_from_webapp=1&amp;sender_device=pc&amp;web_id=7529858502199395858</t>
  </si>
  <si>
    <t>toriandelektramb@gmail.com</t>
  </si>
  <si>
    <t>sue.rose</t>
  </si>
  <si>
    <t>https://www.tiktok.com/@sue.rose/video/6880244813120195845?is_from_webapp=1&amp;sender_device=pc&amp;web_id=7529868947924829714</t>
  </si>
  <si>
    <t>suexjosh@gmail.com
suerose@jakerosenentertainment.com</t>
  </si>
  <si>
    <t>daileenjovet5</t>
  </si>
  <si>
    <t>https://www.tiktok.com/@daileenjovet5/video/7459201329077030175?is_from_webapp=1&amp;sender_device=pc&amp;web_id=7529868947924829714</t>
  </si>
  <si>
    <t>josie_spammin</t>
  </si>
  <si>
    <t>https://vt.tiktok.com/ZSDAmhhjG/</t>
  </si>
  <si>
    <t>meglskalla</t>
  </si>
  <si>
    <t>https://vt.tiktok.com/ZSAvCAQKe/</t>
  </si>
  <si>
    <t>team@jenniferpowell.com</t>
  </si>
  <si>
    <t>aub.says</t>
  </si>
  <si>
    <t>https://vt.tiktok.com/ZSDRsBA8W/</t>
  </si>
  <si>
    <t>arizonafireplaces</t>
  </si>
  <si>
    <t>https://vt.tiktok.com/ZSDRg4s47/</t>
  </si>
  <si>
    <t>wildberrysmoothieco</t>
  </si>
  <si>
    <t>https://www.tiktok.com/@wildberrysmoothieco/video/7546269847013936415?is_from_webapp=1&amp;sender_device=pc&amp;web_id=7529868947924829714</t>
  </si>
  <si>
    <t>salmaelboukili3</t>
  </si>
  <si>
    <t>https://vt.tiktok.com/ZSAojPTb2/</t>
  </si>
  <si>
    <t>nanagmzz</t>
  </si>
  <si>
    <t>https://vt.tiktok.com/ZSAvp39Cw/</t>
  </si>
  <si>
    <t>giagracesmith</t>
  </si>
  <si>
    <t>https://www.tiktok.com/@giagracesmith/video/7469751409668361494?is_from_webapp=1&amp;sender_device=pc&amp;web_id=7529868947924829714</t>
  </si>
  <si>
    <t>thisisafront</t>
  </si>
  <si>
    <t>https://www.tiktok.com/@thisisafront/video/7540136220626586902?is_from_webapp=1&amp;sender_device=pc&amp;web_id=7529868947924829714</t>
  </si>
  <si>
    <t>mawieri</t>
  </si>
  <si>
    <t>https://www.tiktok.com/@mawieri/video/7510178099716427026?is_from_webapp=1&amp;sender_device=pc&amp;web_id=7529868947924829714</t>
  </si>
  <si>
    <t>typo_shop</t>
  </si>
  <si>
    <t>https://www.tiktok.com/@typo_shop/video/7515300621927353617?is_from_webapp=1&amp;sender_device=pc&amp;web_id=7529868947924829714</t>
  </si>
  <si>
    <t>kimetherton99</t>
  </si>
  <si>
    <t>https://www.tiktok.com/@kimetherton99/video/6880242982054825222?is_from_webapp=1&amp;sender_device=pc&amp;web_id=7529868947924829714</t>
  </si>
  <si>
    <t>kimetherton99@gmail.com</t>
  </si>
  <si>
    <t>alottamayo</t>
  </si>
  <si>
    <t>https://www.tiktok.com/@alottamayo/video/7480372191985437994?is_from_webapp=1&amp;sender_device=pc&amp;web_id=7529868947924829714</t>
  </si>
  <si>
    <t>jjentryyy</t>
  </si>
  <si>
    <t>https://vt.tiktok.com/ZSDAmrRJr/</t>
  </si>
  <si>
    <t>adzxchance</t>
  </si>
  <si>
    <t>https://vt.tiktok.com/ZSAvCU8VN/</t>
  </si>
  <si>
    <t>mark_marian15</t>
  </si>
  <si>
    <t>https://vt.tiktok.com/ZSDRsJ2FU/</t>
  </si>
  <si>
    <t>cafemonaco.ph</t>
  </si>
  <si>
    <t>https://vt.tiktok.com/ZSDRpJXwL/</t>
  </si>
  <si>
    <t>poppys.sipanddrift</t>
  </si>
  <si>
    <t>https://www.tiktok.com/@poppys.sipanddrift/video/7539596163926723854?is_from_webapp=1&amp;sender_device=pc&amp;web_id=7529868947924829714</t>
  </si>
  <si>
    <t>oncampuspromotions</t>
  </si>
  <si>
    <t>https://vt.tiktok.com/ZSAojXwkP/</t>
  </si>
  <si>
    <t>jennifer.antal</t>
  </si>
  <si>
    <t>https://vt.tiktok.com/ZSAvpWr5x/</t>
  </si>
  <si>
    <t>fabulatehq</t>
  </si>
  <si>
    <t>https://www.tiktok.com/@fabulatehq/video/7480402418694491410?is_from_webapp=1&amp;sender_device=pc&amp;web_id=7529868947924829714</t>
  </si>
  <si>
    <t>louiseanastasiaa</t>
  </si>
  <si>
    <t>https://www.tiktok.com/@louiseanastasiaa/video/7528654023243631878?is_from_webapp=1&amp;sender_device=pc&amp;web_id=7529868947924829714</t>
  </si>
  <si>
    <t>amysofiab</t>
  </si>
  <si>
    <t>https://www.tiktok.com/@amysofiab/video/7508760477703539970?is_from_webapp=1&amp;sender_device=pc&amp;web_id=7529868947924829714</t>
  </si>
  <si>
    <t>alexandeunice</t>
  </si>
  <si>
    <t>https://www.tiktok.com/@alexandeunice/video/7467234532798909703?is_from_webapp=1&amp;sender_device=pc&amp;web_id=7529868947924829714</t>
  </si>
  <si>
    <t>contact@mer-studios.com</t>
  </si>
  <si>
    <t>juandchan</t>
  </si>
  <si>
    <t>https://www.tiktok.com/@juandchan/video/6880320042005777669?is_from_webapp=1&amp;sender_device=pc&amp;web_id=7529868947924829714</t>
  </si>
  <si>
    <t>juandchanco@gmail.com</t>
  </si>
  <si>
    <t>lilybarnicott</t>
  </si>
  <si>
    <t>https://www.tiktok.com/@lilybarnicott/video/7537474367144463638?is_from_webapp=1&amp;sender_device=pc&amp;web_id=7529868947924829714</t>
  </si>
  <si>
    <t>aldriandeleon</t>
  </si>
  <si>
    <t>https://vt.tiktok.com/ZSDAmU79s/</t>
  </si>
  <si>
    <t>ashlyn_bischoff</t>
  </si>
  <si>
    <t>https://vt.tiktok.com/ZSAvCCRXr/</t>
  </si>
  <si>
    <t>ashlynb.business@gmail.com</t>
  </si>
  <si>
    <t>skylovemommy</t>
  </si>
  <si>
    <t>https://vt.tiktok.com/ZSDRsgw6M/</t>
  </si>
  <si>
    <t>yunnanbypotomac</t>
  </si>
  <si>
    <t>https://vt.tiktok.com/ZSDRgbHF6/</t>
  </si>
  <si>
    <t>carlosmexrestaurant</t>
  </si>
  <si>
    <t>https://www.tiktok.com/@carlosmexrestaurant/video/7544513956912713015?is_from_webapp=1&amp;sender_device=pc&amp;web_id=7529868947924829714</t>
  </si>
  <si>
    <t>lexxrexx_</t>
  </si>
  <si>
    <t>https://vt.tiktok.com/ZSAojhPuK/</t>
  </si>
  <si>
    <t>mariesavellano</t>
  </si>
  <si>
    <t>https://vt.tiktok.com/ZSAvp3sWu/</t>
  </si>
  <si>
    <t>caraasport</t>
  </si>
  <si>
    <t>https://www.tiktok.com/@caraasport/video/7484374421122141483?is_from_webapp=1&amp;sender_device=pc&amp;web_id=7529868947924829714</t>
  </si>
  <si>
    <t>whitlynetland</t>
  </si>
  <si>
    <t>https://www.tiktok.com/@whitlynetland/video/7529144263129517343?is_from_webapp=1&amp;sender_device=pc&amp;web_id=7529868947924829714</t>
  </si>
  <si>
    <t>sophiaisabel.yt</t>
  </si>
  <si>
    <t>https://www.tiktok.com/@sophiaisabel.yt/video/7519102183850151176?is_from_webapp=1&amp;sender_device=pc&amp;web_id=7529868947924829714</t>
  </si>
  <si>
    <t>ericafwu</t>
  </si>
  <si>
    <t>https://www.tiktok.com/@ericafwu/video/7516619536284552491?is_from_webapp=1&amp;sender_device=pc&amp;web_id=7529868947924829714</t>
  </si>
  <si>
    <t>erica.wu@theviralistgroup.com</t>
  </si>
  <si>
    <t>hunnaxlib</t>
  </si>
  <si>
    <t>https://www.tiktok.com/@hunnaxlib/video/6872116913602825477?is_from_webapp=1&amp;sender_device=pc&amp;web_id=7529868947924829714</t>
  </si>
  <si>
    <t>nick@grail-talent.com</t>
  </si>
  <si>
    <t>grapegrapegrapeyyy</t>
  </si>
  <si>
    <t>https://www.tiktok.com/@grapegrapegrapeyyy/video/7455543826250206506?is_from_webapp=1&amp;sender_device=pc&amp;web_id=7529868947924829714</t>
  </si>
  <si>
    <t>grapegrapegrapeyyy@gmail.com</t>
  </si>
  <si>
    <t>jasminecostley</t>
  </si>
  <si>
    <t>https://vt.tiktok.com/ZSDAmu8Yn/</t>
  </si>
  <si>
    <t>allimaxfield</t>
  </si>
  <si>
    <t>https://vt.tiktok.com/ZSAvCf7hh/</t>
  </si>
  <si>
    <t>allimaxfieldcollabs@gmail.com</t>
  </si>
  <si>
    <t>emereenichole</t>
  </si>
  <si>
    <t>https://vt.tiktok.com/ZSDRscUF4/</t>
  </si>
  <si>
    <t>hmongstoutstudentorg</t>
  </si>
  <si>
    <t>https://vt.tiktok.com/ZSDRgvmqh/</t>
  </si>
  <si>
    <t>xapacoffee</t>
  </si>
  <si>
    <t>https://www.tiktok.com/@xapacoffee/video/7548887299476475166?is_from_webapp=1&amp;sender_device=pc&amp;web_id=7529868947924829714</t>
  </si>
  <si>
    <t>just_annaz</t>
  </si>
  <si>
    <t>https://vt.tiktok.com/ZSAoj6LT3/</t>
  </si>
  <si>
    <t>amibipinlove</t>
  </si>
  <si>
    <t>https://vt.tiktok.com/ZSAvpXW2G/</t>
  </si>
  <si>
    <t>selina.shf</t>
  </si>
  <si>
    <t>https://www.tiktok.com/@selina.shf/video/7470508950975237398?is_from_webapp=1&amp;sender_device=pc&amp;web_id=7529868947924829714</t>
  </si>
  <si>
    <t>selina.shfcontact@gmail.com</t>
  </si>
  <si>
    <t>prtynicxs</t>
  </si>
  <si>
    <t>https://www.tiktok.com/@prtynicxs/video/7544779195751091474?is_from_webapp=1&amp;sender_device=pc&amp;web_id=7529868947924829714</t>
  </si>
  <si>
    <t>krismasr</t>
  </si>
  <si>
    <t>https://www.tiktok.com/@krismasr/video/7507483220401949998?is_from_webapp=1&amp;sender_device=pc&amp;web_id=7529868947924829714</t>
  </si>
  <si>
    <t>paula.wagener</t>
  </si>
  <si>
    <t>https://www.tiktok.com/@paula.wagener/video/7473061878034484502?is_from_webapp=1&amp;sender_device=pc&amp;web_id=7529868947924829714</t>
  </si>
  <si>
    <t>rinispencer</t>
  </si>
  <si>
    <t>https://www.tiktok.com/@rinispencer/video/6928941076367674629?is_from_webapp=1&amp;sender_device=pc&amp;web_id=7529868947924829714</t>
  </si>
  <si>
    <t>ashleeyyyy.x</t>
  </si>
  <si>
    <t>https://www.tiktok.com/@ashleeyyyy.x/video/7512188715108732182?is_from_webapp=1&amp;sender_device=pc&amp;web_id=7529868947924829714</t>
  </si>
  <si>
    <t>yourgurlyana</t>
  </si>
  <si>
    <t>https://vt.tiktok.com/ZSDAmfMYm/</t>
  </si>
  <si>
    <t>carlyminnick</t>
  </si>
  <si>
    <t>https://vt.tiktok.com/ZSAvCQvRT/</t>
  </si>
  <si>
    <t>carlyminnick@comcast.net</t>
  </si>
  <si>
    <t>_jessiecarr</t>
  </si>
  <si>
    <t>https://vt.tiktok.com/ZSDYE6FPc/</t>
  </si>
  <si>
    <t>laura.canada</t>
  </si>
  <si>
    <t>https://vt.tiktok.com/ZSDRpR5Ew/</t>
  </si>
  <si>
    <t>pollencafeandicecream</t>
  </si>
  <si>
    <t>https://www.tiktok.com/@pollencafeandicecream/video/7547140126825073933?is_from_webapp=1&amp;sender_device=pc&amp;web_id=7529868947924829714</t>
  </si>
  <si>
    <t>gracierigsby</t>
  </si>
  <si>
    <t>https://vt.tiktok.com/ZSAojSXWL/</t>
  </si>
  <si>
    <t>jimanj0</t>
  </si>
  <si>
    <t>https://vt.tiktok.com/ZSAvs162B/</t>
  </si>
  <si>
    <t>eastgateness</t>
  </si>
  <si>
    <t>https://www.tiktok.com/@eastgateness/video/7507251228879981846?is_from_webapp=1&amp;sender_device=pc&amp;web_id=7529868947924829714</t>
  </si>
  <si>
    <t>evriiiiil</t>
  </si>
  <si>
    <t>https://www.tiktok.com/@evriiiiil/video/7545284733018574098?is_from_webapp=1&amp;sender_device=pc&amp;web_id=7529868947924829714</t>
  </si>
  <si>
    <t>gcsuico</t>
  </si>
  <si>
    <t>https://www.tiktok.com/@gcsuico/video/7510964090185993492?is_from_webapp=1&amp;sender_device=pc&amp;web_id=7529868947924829714</t>
  </si>
  <si>
    <t>sunnyside.northampton</t>
  </si>
  <si>
    <t>https://www.tiktok.com/@sunnyside.northampton/video/7539905279681367318?is_from_webapp=1&amp;sender_device=pc&amp;web_id=7529868947924829714</t>
  </si>
  <si>
    <t>parkerehenry7</t>
  </si>
  <si>
    <t>https://www.tiktok.com/@parkerehenry7/video/6885891850096413958?is_from_webapp=1&amp;sender_device=pc&amp;web_id=7529868947924829714</t>
  </si>
  <si>
    <t>soapsterr</t>
  </si>
  <si>
    <t>https://www.tiktok.com/@soapsterr/video/7475501954366688558?is_from_webapp=1&amp;sender_device=pc&amp;web_id=7529868947924829714</t>
  </si>
  <si>
    <t>swynng29@gmail.com</t>
  </si>
  <si>
    <t>ggeoxn</t>
  </si>
  <si>
    <t>https://vt.tiktok.com/ZSDAmCBYg/</t>
  </si>
  <si>
    <t>thelullabyclub</t>
  </si>
  <si>
    <t>https://vt.tiktok.com/ZSAvCM911/</t>
  </si>
  <si>
    <t>tongbin08</t>
  </si>
  <si>
    <t>https://vt.tiktok.com/ZSDYEdCMW/</t>
  </si>
  <si>
    <t>thejudgegroup</t>
  </si>
  <si>
    <t>https://vt.tiktok.com/ZSDRpS8YL/</t>
  </si>
  <si>
    <t>tcc.magnolia</t>
  </si>
  <si>
    <t>https://www.tiktok.com/@tcc.magnolia/video/7533673734629002527?is_from_webapp=1&amp;sender_device=pc&amp;web_id=7529868947924829714</t>
  </si>
  <si>
    <t>tra.ciey</t>
  </si>
  <si>
    <t>https://vt.tiktok.com/ZSAojxbFL/</t>
  </si>
  <si>
    <t>raquelvillagran</t>
  </si>
  <si>
    <t>https://vt.tiktok.com/ZSAvsUWXC/</t>
  </si>
  <si>
    <t>cosmetify</t>
  </si>
  <si>
    <t>https://www.tiktok.com/@cosmetify/video/7471320711651691778?is_from_webapp=1&amp;sender_device=pc&amp;web_id=7529868947924829714</t>
  </si>
  <si>
    <t>eilidhstiktoke</t>
  </si>
  <si>
    <t>https://www.tiktok.com/@eilidhstiktoke/video/7544369832804781334?is_from_webapp=1&amp;sender_device=pc&amp;web_id=7529868947924829714</t>
  </si>
  <si>
    <t>heliotroniq</t>
  </si>
  <si>
    <t>https://www.tiktok.com/@heliotroniq/video/7514317387538156821?is_from_webapp=1&amp;sender_device=pc&amp;web_id=7529868947924829714</t>
  </si>
  <si>
    <t>centralpub</t>
  </si>
  <si>
    <t>https://www.tiktok.com/@centralpub/video/7548220492784717111?is_from_webapp=1&amp;sender_device=pc&amp;web_id=7529868947924829714</t>
  </si>
  <si>
    <t>its.namess</t>
  </si>
  <si>
    <t>https://www.tiktok.com/@its.namess/video/6920522122670460161?is_from_webapp=1&amp;sender_device=pc&amp;web_id=7529868947924829714</t>
  </si>
  <si>
    <t>all.hail.ash</t>
  </si>
  <si>
    <t>https://www.tiktok.com/@all.hail.ash/video/7497404044869176618?is_from_webapp=1&amp;sender_device=pc&amp;web_id=7529868947924829714</t>
  </si>
  <si>
    <t>angeel.nh</t>
  </si>
  <si>
    <t>https://vt.tiktok.com/ZSDAmsRDx/</t>
  </si>
  <si>
    <t>hallieandmaddi</t>
  </si>
  <si>
    <t>https://vt.tiktok.com/ZSAvChqAJ/</t>
  </si>
  <si>
    <t>hallieandmaddi@thisisamplify.com</t>
  </si>
  <si>
    <t>itsnicoleanne</t>
  </si>
  <si>
    <t>https://vt.tiktok.com/ZSDYE6UeL/</t>
  </si>
  <si>
    <t>gmbcc_ugm</t>
  </si>
  <si>
    <t>https://vt.tiktok.com/ZSDRp5tvH/</t>
  </si>
  <si>
    <t>chipley.nutrition</t>
  </si>
  <si>
    <t>https://www.tiktok.com/@chipley.nutrition/video/7538899491726937358?is_from_webapp=1&amp;sender_device=pc&amp;web_id=7529868947924829714</t>
  </si>
  <si>
    <t>coconuthead1301</t>
  </si>
  <si>
    <t>https://vt.tiktok.com/ZSAoj6fP2/</t>
  </si>
  <si>
    <t>naurah.alatas</t>
  </si>
  <si>
    <t>https://vt.tiktok.com/ZSAvsB7cp/</t>
  </si>
  <si>
    <t>crochetlin</t>
  </si>
  <si>
    <t>https://www.tiktok.com/@crochetlin/video/7537654349737053462?is_from_webapp=1&amp;sender_device=pc&amp;web_id=7529868947924829714</t>
  </si>
  <si>
    <t>alennamariz</t>
  </si>
  <si>
    <t>https://www.tiktok.com/@alennamariz/video/7540694502915181842?is_from_webapp=1&amp;sender_device=pc&amp;web_id=7529868947924829714</t>
  </si>
  <si>
    <t>ungkuhanimm</t>
  </si>
  <si>
    <t>https://www.tiktok.com/@ungkuhanimm/video/7534748773285727495?is_from_webapp=1&amp;sender_device=pc&amp;web_id=7529868947924829714</t>
  </si>
  <si>
    <t>giuliana.kyla_spam</t>
  </si>
  <si>
    <t>https://www.tiktok.com/@giuliana.kyla_spam/video/7462164980066995487?is_from_webapp=1&amp;sender_device=pc&amp;web_id=7529868947924829714</t>
  </si>
  <si>
    <t>makenziedawn</t>
  </si>
  <si>
    <t>https://www.tiktok.com/@makenziedawn/video/6929281274448284934?is_from_webapp=1&amp;sender_device=pc&amp;web_id=7529868947924829714</t>
  </si>
  <si>
    <t>hudatruly</t>
  </si>
  <si>
    <t>https://www.tiktok.com/@hudatruly/video/7495503965417721118?is_from_webapp=1&amp;sender_device=pc&amp;web_id=7529868947924829714</t>
  </si>
  <si>
    <t>kqanki</t>
  </si>
  <si>
    <t>https://vt.tiktok.com/ZSDAtK6Su/</t>
  </si>
  <si>
    <t>tal3ighasky3</t>
  </si>
  <si>
    <t>https://vt.tiktok.com/ZSAvCYpFs/</t>
  </si>
  <si>
    <t>simona@envisionagency.co</t>
  </si>
  <si>
    <t>jinisaranghae</t>
  </si>
  <si>
    <t>https://www.tiktok.com/@jinisaranghae/video/7528369479215090951?_r=1&amp;u_code=dld85c1ma82k8j&amp;region=PH&amp;mid=7528369519253850896&amp;preview_pb=0&amp;sharer_language=en&amp;_d=ej46a99b4fjbkf&amp;share_item_id=7528369479215090951&amp;source=h5_t&amp;timestamp=1757758291&amp;item_author_type=2&amp;utm_source=copy&amp;tt_from=copy&amp;enable_checksum=1&amp;utm_medium=ios&amp;share_link_id=5D3B51A0-AAE0-4915-BA34-77609A367ABA&amp;user_id=7025407709412475930&amp;sec_user_id=MS4wLjABAAAAzkzh3aRqShBW8cg0QtSWUK27KDC3fkAGjIm63tDPPaTYZ6CmtPpDSnlQ_4JivfuH&amp;social_share_type=0&amp;ug_btm=b5836,b2878&amp;utm_campaign=client_share&amp;link_reflow_popup_iteration_sharer=%7B%22follow_to_play_duration%22:-1,%22profile_clickable%22:1,%22dynamic_cover%22:1,%22click_empty_to_play%22:1%7D&amp;share_app_id=1180</t>
  </si>
  <si>
    <t>spicevillage</t>
  </si>
  <si>
    <t>https://vt.tiktok.com/ZSDRpAetP/</t>
  </si>
  <si>
    <t>lovecledis</t>
  </si>
  <si>
    <t>https://www.tiktok.com/@lovecledis/video/7540689487119060255?is_from_webapp=1&amp;sender_device=pc&amp;web_id=7529868947924829714</t>
  </si>
  <si>
    <t>rkenia93</t>
  </si>
  <si>
    <t>https://vt.tiktok.com/ZSAoj6p2A/</t>
  </si>
  <si>
    <t>reformedbypilates</t>
  </si>
  <si>
    <t>https://www.tiktok.com/@reformedbypilates/video/7514472512755928363?is_from_webapp=1&amp;sender_device=pc&amp;web_id=7529868947924829714</t>
  </si>
  <si>
    <t>jillpicklescott</t>
  </si>
  <si>
    <t>https://www.tiktok.com/@jillpicklescott/video/7544949597173501214?is_from_webapp=1&amp;sender_device=pc&amp;web_id=7529868947924829714</t>
  </si>
  <si>
    <t>_stephaniegutierrez</t>
  </si>
  <si>
    <t>https://www.tiktok.com/@_stephaniegutierrez/video/7513604694929902879?is_from_webapp=1&amp;sender_device=pc&amp;web_id=7529868947924829714</t>
  </si>
  <si>
    <t>clairelowe7</t>
  </si>
  <si>
    <t>https://www.tiktok.com/@clairelowe7/video/7506951249732980010?is_from_webapp=1&amp;sender_device=pc&amp;web_id=7529868947924829714</t>
  </si>
  <si>
    <t>chopluem</t>
  </si>
  <si>
    <t>https://www.tiktok.com/@chopluem/video/6894552807484050690?is_from_webapp=1&amp;sender_device=pc&amp;web_id=7529868947924829714</t>
  </si>
  <si>
    <t>ieattwinkletoejewels</t>
  </si>
  <si>
    <t>https://www.tiktok.com/@ieattwinkletoejewels/video/7531110566518115615?is_from_webapp=1&amp;sender_device=pc&amp;web_id=7529868947924829714</t>
  </si>
  <si>
    <t>miuutrann</t>
  </si>
  <si>
    <t>https://vt.tiktok.com/ZSDAn6atC/</t>
  </si>
  <si>
    <t>sarahfritzmua</t>
  </si>
  <si>
    <t>https://vt.tiktok.com/ZSAvC6wYX/</t>
  </si>
  <si>
    <t>roxy@theministryoftalent.com</t>
  </si>
  <si>
    <t>_kyabab</t>
  </si>
  <si>
    <t>https://vt.tiktok.com/ZSDYEF7QB/</t>
  </si>
  <si>
    <t>aurorarcm</t>
  </si>
  <si>
    <t>https://vt.tiktok.com/ZSDRpSuVV/</t>
  </si>
  <si>
    <t>white.house.nutri</t>
  </si>
  <si>
    <t>https://www.tiktok.com/@white.house.nutri/video/7536599305449114935?is_from_webapp=1&amp;sender_device=pc&amp;web_id=7529868947924829714</t>
  </si>
  <si>
    <t>lana.liz_</t>
  </si>
  <si>
    <t>https://vt.tiktok.com/ZSAojXdPe/</t>
  </si>
  <si>
    <t>laviniamincu</t>
  </si>
  <si>
    <t>https://www.tiktok.com/@laviniamincu/video/7483458878059908374?is_from_webapp=1&amp;sender_device=pc&amp;web_id=7529868947924829714</t>
  </si>
  <si>
    <t>ash_nevxz</t>
  </si>
  <si>
    <t>https://www.tiktok.com/@ash_nevxz/video/7543254738045848839?is_from_webapp=1&amp;sender_device=pc&amp;web_id=7529868947924829714</t>
  </si>
  <si>
    <t>maiabotero</t>
  </si>
  <si>
    <t>https://www.tiktok.com/@maiabotero/video/7508148385313213742?is_from_webapp=1&amp;sender_device=pc&amp;web_id=7529868947924829714</t>
  </si>
  <si>
    <t>meganraineyy</t>
  </si>
  <si>
    <t>https://www.tiktok.com/@meganraineyy/video/7518146215557500182?is_from_webapp=1&amp;sender_device=pc&amp;web_id=7529868947924829714</t>
  </si>
  <si>
    <t>iamalilstitious</t>
  </si>
  <si>
    <t>https://www.tiktok.com/@iamalilstitious/video/6918561254357437702?is_from_webapp=1&amp;sender_device=pc&amp;web_id=7529868947924829714</t>
  </si>
  <si>
    <t>delusionallyssa</t>
  </si>
  <si>
    <t>https://www.tiktok.com/@delusionallyssa/video/7473969116538244382?is_from_webapp=1&amp;sender_device=pc&amp;web_id=7529868947924829714</t>
  </si>
  <si>
    <t>brennaroseharsch</t>
  </si>
  <si>
    <t>https://vt.tiktok.com/ZSDAtnDHR/</t>
  </si>
  <si>
    <t>mimimorgan.30</t>
  </si>
  <si>
    <t>https://vt.tiktok.com/ZSAvC2MFU/</t>
  </si>
  <si>
    <t>mimimorgan.30@icloud.com</t>
  </si>
  <si>
    <t>michellemennella</t>
  </si>
  <si>
    <t>https://vt.tiktok.com/ZSDYEaSgh/</t>
  </si>
  <si>
    <t>gannonu</t>
  </si>
  <si>
    <t>https://vt.tiktok.com/ZSDRpSM4T/</t>
  </si>
  <si>
    <t>tazitaavenue</t>
  </si>
  <si>
    <t>https://www.tiktok.com/@tazitaavenue/video/7539642412377967927?is_from_webapp=1&amp;sender_device=pc&amp;web_id=7529868947924829714</t>
  </si>
  <si>
    <t>mellyapplebaum</t>
  </si>
  <si>
    <t>https://vt.tiktok.com/ZSAojQvkD/</t>
  </si>
  <si>
    <t>oliviaburtonlondon</t>
  </si>
  <si>
    <t>https://www.tiktok.com/@oliviaburtonlondon/video/7481697559107489046?is_from_webapp=1&amp;sender_device=pc&amp;web_id=7529868947924829714</t>
  </si>
  <si>
    <t>jea.mariz</t>
  </si>
  <si>
    <t>https://www.tiktok.com/@jea.mariz/video/7543718287851425047?is_from_webapp=1&amp;sender_device=pc&amp;web_id=7529868947924829714</t>
  </si>
  <si>
    <t>desungpinas</t>
  </si>
  <si>
    <t>https://www.tiktok.com/@desungpinas/video/7517154915186232594?is_from_webapp=1&amp;sender_device=pc&amp;web_id=7529868947924829714</t>
  </si>
  <si>
    <t>nananuengsit</t>
  </si>
  <si>
    <t>https://www.tiktok.com/@nananuengsit/video/7506916513811582226?is_from_webapp=1&amp;sender_device=pc&amp;web_id=7529868947924829714</t>
  </si>
  <si>
    <t>espressomartiniqueeniee</t>
  </si>
  <si>
    <t>https://www.tiktok.com/@espressomartiniqueeniee/video/6895143423309843718?is_from_webapp=1&amp;sender_device=pc&amp;web_id=7529868947924829714</t>
  </si>
  <si>
    <t>frankoceanlover2354</t>
  </si>
  <si>
    <t>https://www.tiktok.com/@frankoceanlover2354/video/7516599533040651551?is_from_webapp=1&amp;sender_device=pc&amp;web_id=7529868947924829714</t>
  </si>
  <si>
    <t>_ptty19</t>
  </si>
  <si>
    <t>https://vt.tiktok.com/ZSDAnLQ7b/</t>
  </si>
  <si>
    <t>alanamolden</t>
  </si>
  <si>
    <t>https://vt.tiktok.com/ZSAvCaFaT/</t>
  </si>
  <si>
    <t xml:space="preserve"> alanam@clementinegroup.co</t>
  </si>
  <si>
    <t>zayamita05</t>
  </si>
  <si>
    <t>https://vt.tiktok.com/ZSDSYuS6b/</t>
  </si>
  <si>
    <t>ustacsssg</t>
  </si>
  <si>
    <t>https://vt.tiktok.com/ZSDRpMy2x/</t>
  </si>
  <si>
    <t>hometownenergynutrition1</t>
  </si>
  <si>
    <t>https://www.tiktok.com/@hometownenergynutrition1/video/7539242841986387214?is_from_webapp=1&amp;sender_device=pc&amp;web_id=7529868947924829714</t>
  </si>
  <si>
    <t>just_katlego16</t>
  </si>
  <si>
    <t>https://vt.tiktok.com/ZSDSs469C/</t>
  </si>
  <si>
    <t>__camilaleal</t>
  </si>
  <si>
    <t>https://www.tiktok.com/@__camilaleal/video/7483363242685828360?is_from_webapp=1&amp;sender_device=pc&amp;web_id=7529868947924829714</t>
  </si>
  <si>
    <t>kedjecc</t>
  </si>
  <si>
    <t>https://www.tiktok.com/@kedjecc/video/7544292142873726209?is_from_webapp=1&amp;sender_device=pc&amp;web_id=7529868947924829714</t>
  </si>
  <si>
    <t>elizamasa</t>
  </si>
  <si>
    <t>https://www.tiktok.com/@elizamasa/video/7512443472167587079?is_from_webapp=1&amp;sender_device=pc&amp;web_id=7529868947924829714</t>
  </si>
  <si>
    <t>tuesday.coffee</t>
  </si>
  <si>
    <t>https://www.tiktok.com/@tuesday.coffee/video/7545878345620196621?is_from_webapp=1&amp;sender_device=pc&amp;web_id=7529868947924829714</t>
  </si>
  <si>
    <t>kaestlecastle</t>
  </si>
  <si>
    <t>https://www.tiktok.com/@kaestlecastle/video/6859095156877004037?is_from_webapp=1&amp;sender_device=pc&amp;web_id=7529868947924829714</t>
  </si>
  <si>
    <t>ashlynnsspamm_1086</t>
  </si>
  <si>
    <t>https://www.tiktok.com/@ashlynnsspamm_1086/video/7535007222972091678?is_from_webapp=1&amp;sender_device=pc&amp;web_id=7529868947924829714</t>
  </si>
  <si>
    <t>eurekapagaduann</t>
  </si>
  <si>
    <t>https://vt.tiktok.com/ZSDAnHLsj/</t>
  </si>
  <si>
    <t>ccstudiosinc</t>
  </si>
  <si>
    <t>https://vt.tiktok.com/ZSAvCAUYH/</t>
  </si>
  <si>
    <t>jjanneth_jjed</t>
  </si>
  <si>
    <t>https://vt.tiktok.com/ZSDSYX1Ra/</t>
  </si>
  <si>
    <t>goldenfitmeals</t>
  </si>
  <si>
    <t>https://vt.tiktok.com/ZSDRpkuoN/</t>
  </si>
  <si>
    <t>meganelisejohnson</t>
  </si>
  <si>
    <t>https://www.tiktok.com/@meganelisejohnson/video/7536241903361101086?is_from_webapp=1&amp;sender_device=pc&amp;web_id=7529868947924829714</t>
  </si>
  <si>
    <t>maki3nzie</t>
  </si>
  <si>
    <t>https://vt.tiktok.com/ZSDSGF3Pf/</t>
  </si>
  <si>
    <t>underdogauthors</t>
  </si>
  <si>
    <t>https://www.tiktok.com/@underdogauthors/video/7468226522692832545?is_from_webapp=1&amp;sender_device=pc&amp;web_id=7529868947924829714</t>
  </si>
  <si>
    <t>zheeeenia</t>
  </si>
  <si>
    <t>https://www.tiktok.com/@zheeeenia/video/7542106423883205906?is_from_webapp=1&amp;sender_device=pc&amp;web_id=7529868947924829714</t>
  </si>
  <si>
    <t>giocelinesean</t>
  </si>
  <si>
    <t>https://www.tiktok.com/@giocelinesean/video/7536038584839654662?is_from_webapp=1&amp;sender_device=pc&amp;web_id=7529868947924829714</t>
  </si>
  <si>
    <t>elizabethslife09</t>
  </si>
  <si>
    <t>https://www.tiktok.com/@elizabethslife09/video/7486995726426180907?is_from_webapp=1&amp;sender_device=pc&amp;web_id=7529868947924829714</t>
  </si>
  <si>
    <t>elizabeth@idolsandicons.co</t>
  </si>
  <si>
    <t>50ragtop</t>
  </si>
  <si>
    <t>https://www.tiktok.com/@50ragtop/video/6886972355294416130?is_from_webapp=1&amp;sender_device=pc&amp;web_id=7529868947924829714</t>
  </si>
  <si>
    <t>miksandbits</t>
  </si>
  <si>
    <t>https://www.tiktok.com/@miksandbits/video/7441834626353515797?is_from_webapp=1&amp;sender_device=pc&amp;web_id=7529868947924829714</t>
  </si>
  <si>
    <t>juszesek</t>
  </si>
  <si>
    <t>https://vt.tiktok.com/ZSDAnHbgs/</t>
  </si>
  <si>
    <t>tyandco3</t>
  </si>
  <si>
    <t>https://vt.tiktok.com/ZSAvCxUmx/</t>
  </si>
  <si>
    <t>crazysouls74</t>
  </si>
  <si>
    <t>https://vt.tiktok.com/ZSDS2RpdE/</t>
  </si>
  <si>
    <t>tpx.ph</t>
  </si>
  <si>
    <t>https://vt.tiktok.com/ZSDRpuNmm/</t>
  </si>
  <si>
    <t>cmlanes</t>
  </si>
  <si>
    <t>https://www.tiktok.com/@cmlanes/video/7540472246335229239?is_from_webapp=1&amp;sender_device=pc&amp;web_id=7529868947924829714</t>
  </si>
  <si>
    <t>mr.swartzberg</t>
  </si>
  <si>
    <t>https://www.tiktok.com/@mr.swartzberg/video/7545138536907869470?is_from_webapp=1&amp;sender_device=pc&amp;web_id=7529868947924829714</t>
  </si>
  <si>
    <t>hzl._.s</t>
  </si>
  <si>
    <t>https://www.tiktok.com/@hzl._.s/video/7543962900956826898?is_from_webapp=1&amp;sender_device=pc&amp;web_id=7529868947924829714</t>
  </si>
  <si>
    <t>missbrillian</t>
  </si>
  <si>
    <t>https://www.tiktok.com/@missbrillian/video/7512834104048618769?is_from_webapp=1&amp;sender_device=pc&amp;web_id=7529868947924829714</t>
  </si>
  <si>
    <t>kathryn..larson</t>
  </si>
  <si>
    <t>https://www.tiktok.com/@kathryn..larson/video/7520410214303010062?is_from_webapp=1&amp;sender_device=pc&amp;web_id=7529868947924829714</t>
  </si>
  <si>
    <t>hayleyhacker6</t>
  </si>
  <si>
    <t>https://www.tiktok.com/@hayleyhacker6/video/6874373406830152966?is_from_webapp=1&amp;sender_device=pc&amp;web_id=7529868947924829714</t>
  </si>
  <si>
    <t>tiffanyyreed</t>
  </si>
  <si>
    <t>https://www.tiktok.com/@tiffanyyreed/video/7515957536550407466?is_from_webapp=1&amp;sender_device=pc&amp;web_id=7529868947924829714</t>
  </si>
  <si>
    <t>shaneewing55</t>
  </si>
  <si>
    <t>https://vt.tiktok.com/ZSDAnfhqV/</t>
  </si>
  <si>
    <t>insensitiveb</t>
  </si>
  <si>
    <t>https://vt.tiktok.com/ZSDADC6TJ/</t>
  </si>
  <si>
    <t>magicsingph</t>
  </si>
  <si>
    <t>https://vt.tiktok.com/ZSDRph3uU/</t>
  </si>
  <si>
    <t>jaylorswift</t>
  </si>
  <si>
    <t>https://www.tiktok.com/@jaylorswift/video/7545005469971107127?is_from_webapp=1&amp;sender_device=pc&amp;web_id=7529868947924829714</t>
  </si>
  <si>
    <t>justin</t>
  </si>
  <si>
    <t>MISSING</t>
  </si>
  <si>
    <t>skinspce</t>
  </si>
  <si>
    <t>https://www.tiktok.com/@skinspce/video/7472435579129548054?is_from_webapp=1&amp;sender_device=pc&amp;web_id=7529868947924829714</t>
  </si>
  <si>
    <t>raman98@hotmail.co.uk</t>
  </si>
  <si>
    <t>thrmrcrz</t>
  </si>
  <si>
    <t>https://www.tiktok.com/@thrmrcrz/video/7545480727098395905?is_from_webapp=1&amp;sender_device=pc&amp;web_id=7529868947924829714</t>
  </si>
  <si>
    <t>www.notizzy.com</t>
  </si>
  <si>
    <t>https://www.tiktok.com/@www.notizzy.com/video/7509036900502539563?is_from_webapp=1&amp;sender_device=pc&amp;web_id=7529868947924829714</t>
  </si>
  <si>
    <t>pink_fish_0505</t>
  </si>
  <si>
    <t>https://www.tiktok.com/@pink_fish_0505/video/7530734323645959437?is_from_webapp=1&amp;sender_device=pc&amp;web_id=7529868947924829714</t>
  </si>
  <si>
    <t>galandjosh</t>
  </si>
  <si>
    <t>https://www.tiktok.com/@galandjosh/video/6867305678373932294?is_from_webapp=1&amp;sender_device=pc&amp;web_id=7529868947924829714</t>
  </si>
  <si>
    <t>galandjosh@slogansocial.com</t>
  </si>
  <si>
    <t>david.ob11</t>
  </si>
  <si>
    <t>https://www.tiktok.com/@david.ob11/video/7460594093018746114?is_from_webapp=1&amp;sender_device=pc&amp;web_id=7529868947924829714</t>
  </si>
  <si>
    <t>yngdavett@gmail.com</t>
  </si>
  <si>
    <t>notoliviapiage</t>
  </si>
  <si>
    <t>https://vt.tiktok.com/ZSDAWDq6M/</t>
  </si>
  <si>
    <t>jersey parents</t>
  </si>
  <si>
    <t>4sistersz</t>
  </si>
  <si>
    <t>https://vt.tiktok.com/ZSDADKN2X/</t>
  </si>
  <si>
    <t>5gcoffeehouseph</t>
  </si>
  <si>
    <t>https://vt.tiktok.com/ZSDRpS1Ce/</t>
  </si>
  <si>
    <t>theperkypupcoffeeco</t>
  </si>
  <si>
    <t>https://www.tiktok.com/@theperkypupcoffeeco/video/7536170810470337823?is_from_webapp=1&amp;sender_device=pc&amp;web_id=7529868947924829714</t>
  </si>
  <si>
    <t>https://vt.tiktok.com/ZSDyuj5of/</t>
  </si>
  <si>
    <t>tiiaalgans</t>
  </si>
  <si>
    <t>https://www.tiktok.com/@tiiaalgans/video/7472772763946634518?is_from_webapp=1&amp;sender_device=pc&amp;web_id=7529868947924829714</t>
  </si>
  <si>
    <t>tiia.alg@gmail.com</t>
  </si>
  <si>
    <t>virgo..duh</t>
  </si>
  <si>
    <t>https://www.tiktok.com/@virgo..duh/video/7542880258853375240?is_from_webapp=1&amp;sender_device=pc&amp;web_id=7529868947924829714</t>
  </si>
  <si>
    <t>maizysteve_</t>
  </si>
  <si>
    <t>https://www.tiktok.com/@maizysteve_/video/7529893792753683720?is_from_webapp=1&amp;sender_device=pc&amp;web_id=7529868947924829714</t>
  </si>
  <si>
    <t>erika_alyana</t>
  </si>
  <si>
    <t>https://www.tiktok.com/@erika_alyana/video/7487988629202095378?is_from_webapp=1&amp;sender_device=pc&amp;web_id=7529868947924829714</t>
  </si>
  <si>
    <t>ysteb</t>
  </si>
  <si>
    <t>https://www.tiktok.com/@ysteb/video/6924829233931980037?is_from_webapp=1&amp;sender_device=pc&amp;web_id=7529868947924829714</t>
  </si>
  <si>
    <t>zeeweenomnom</t>
  </si>
  <si>
    <t>https://www.tiktok.com/@zeeweenomnom/video/7530531105972178190?is_from_webapp=1&amp;sender_device=pc&amp;web_id=7529868947924829714</t>
  </si>
  <si>
    <t>felishalynchxo</t>
  </si>
  <si>
    <t>https://vt.tiktok.com/ZSDAWhdqh/</t>
  </si>
  <si>
    <t>shawn</t>
  </si>
  <si>
    <t>emiefra.diary</t>
  </si>
  <si>
    <t>https://vt.tiktok.com/ZSDAU6bSr/</t>
  </si>
  <si>
    <t>Scxnts</t>
  </si>
  <si>
    <t>https://www.instagram.com/reel/DHA6emiomlx/?igsh=b21iYjFoYXJ6aDlh</t>
  </si>
  <si>
    <t>Joshua Lu</t>
  </si>
  <si>
    <t>ironhorsebtx</t>
  </si>
  <si>
    <t>https://www.tiktok.com/@ironhorsebtx/video/7543846880036293918?is_from_webapp=1&amp;sender_device=pc&amp;web_id=7529868947924829714</t>
  </si>
  <si>
    <t>inm.unsw</t>
  </si>
  <si>
    <t>https://vt.tiktok.com/ZSDymKWn8/</t>
  </si>
  <si>
    <t>graciegirlhere</t>
  </si>
  <si>
    <t>https://www.tiktok.com/@graciegirlhere/video/7467289187792784671?is_from_webapp=1&amp;sender_device=pc&amp;web_id=7529868947924829714</t>
  </si>
  <si>
    <t>nikki.mosquito</t>
  </si>
  <si>
    <t>https://www.tiktok.com/@nikki.mosquito/video/7545300406063156510?is_from_webapp=1&amp;sender_device=pc&amp;web_id=7529868947924829714</t>
  </si>
  <si>
    <t>jordynparkerr8</t>
  </si>
  <si>
    <t>https://www.tiktok.com/@jordynparkerr8/video/7506488897237503262?is_from_webapp=1&amp;sender_device=pc&amp;web_id=7529868947924829714</t>
  </si>
  <si>
    <t>courtneyself_</t>
  </si>
  <si>
    <t>https://www.tiktok.com/@courtneyself_/video/7530817897342487839?is_from_webapp=1&amp;sender_device=pc&amp;web_id=7529868947924829714</t>
  </si>
  <si>
    <t>anapaulaholla</t>
  </si>
  <si>
    <t>https://www.tiktok.com/@anapaulaholla/video/6859116192091737349?is_from_webapp=1&amp;sender_device=pc&amp;web_id=7529868947924829714</t>
  </si>
  <si>
    <t>hanim_104</t>
  </si>
  <si>
    <t>https://www.tiktok.com/@hanim_104/video/7523958234248383762?is_from_webapp=1&amp;sender_device=pc&amp;web_id=7529868947924829714</t>
  </si>
  <si>
    <t>kanpaiboca</t>
  </si>
  <si>
    <t>https://vt.tiktok.com/ZSDAWDuoD/</t>
  </si>
  <si>
    <t>chtki_in_korea147</t>
  </si>
  <si>
    <t>https://vt.tiktok.com/ZSDAUkKM1/</t>
  </si>
  <si>
    <t>DLSU JEMA</t>
  </si>
  <si>
    <t>https://www.instagram.com/reel/DHlQiijy-G1/?igsh=bHIzMXU5ODlocXFi</t>
  </si>
  <si>
    <t>Angelo Laz</t>
  </si>
  <si>
    <t>dezarey_</t>
  </si>
  <si>
    <t>https://www.tiktok.com/@dezarey_/video/7535531416260529421?is_from_webapp=1&amp;sender_device=pc&amp;web_id=7529868947924829714</t>
  </si>
  <si>
    <t>https://vt.tiktok.com/ZSDyuyRRc/</t>
  </si>
  <si>
    <t>not_tash_s</t>
  </si>
  <si>
    <t>https://www.tiktok.com/@not_tash_s/video/7475043555296283935?is_from_webapp=1&amp;sender_device=pc&amp;web_id=7529868947924829714</t>
  </si>
  <si>
    <t>tashasheridans@gmail.com</t>
  </si>
  <si>
    <t>_deniseee17</t>
  </si>
  <si>
    <t>https://www.tiktok.com/@_deniseee17/video/7544662440345111815?is_from_webapp=1&amp;sender_device=pc&amp;web_id=7529868947924829714</t>
  </si>
  <si>
    <t>veronicaridad_</t>
  </si>
  <si>
    <t>https://www.tiktok.com/@veronicaridad_/video/7513532073911553288?is_from_webapp=1&amp;sender_device=pc&amp;web_id=7529868947924829714</t>
  </si>
  <si>
    <t>teacher.maria.juana0302</t>
  </si>
  <si>
    <t>https://www.tiktok.com/@teacher.maria.juana0302/video/7540929623333408030?is_from_webapp=1&amp;sender_device=pc&amp;web_id=7529868947924829714</t>
  </si>
  <si>
    <t>justin_glaze</t>
  </si>
  <si>
    <t>https://www.tiktok.com/@justin_glaze/video/7256606886768708910?is_from_webapp=1&amp;sender_device=pc&amp;web_id=7529868947924829714</t>
  </si>
  <si>
    <t>holls.help</t>
  </si>
  <si>
    <t>https://www.tiktok.com/@holls.help/video/7497934231805496598?is_from_webapp=1&amp;sender_device=pc&amp;web_id=7529868947924829714</t>
  </si>
  <si>
    <t>dylanandanna</t>
  </si>
  <si>
    <t>https://vt.tiktok.com/ZSDAWSBhK/</t>
  </si>
  <si>
    <t>zayandliaa</t>
  </si>
  <si>
    <t>https://vt.tiktok.com/ZSDAfqMkE/</t>
  </si>
  <si>
    <t>psalms23coffee</t>
  </si>
  <si>
    <t>https://www.tiktok.com/@psalms23coffee/video/7541970329992826142?is_from_webapp=1&amp;sender_device=pc&amp;web_id=7529868947924829714</t>
  </si>
  <si>
    <t>https://vt.tiktok.com/ZSDyuHBAN/</t>
  </si>
  <si>
    <t>sarah.spams.a.lot</t>
  </si>
  <si>
    <t>https://www.tiktok.com/@sarah.spams.a.lot/video/7466507433767226666?is_from_webapp=1&amp;sender_device=pc&amp;web_id=7529868947924829714</t>
  </si>
  <si>
    <t>sofiamaraguinot_</t>
  </si>
  <si>
    <t>https://www.tiktok.com/@sofiamaraguinot_/video/7543925837624593672?is_from_webapp=1&amp;sender_device=pc&amp;web_id=7529868947924829714</t>
  </si>
  <si>
    <t>gwenji12</t>
  </si>
  <si>
    <t>https://www.tiktok.com/@gwenji12/video/7506959433738554655?is_from_webapp=1&amp;sender_device=pc&amp;web_id=7529868947924829714</t>
  </si>
  <si>
    <t>audi.ferrin</t>
  </si>
  <si>
    <t>https://www.tiktok.com/@audi.ferrin/video/7522668695500393783?is_from_webapp=1&amp;sender_device=pc&amp;web_id=7529868947924829714</t>
  </si>
  <si>
    <t>thefitnessmarshall</t>
  </si>
  <si>
    <t>https://www.tiktok.com/@thefitnessmarshall/video/7180781982111124782?is_from_webapp=1&amp;sender_device=pc&amp;web_id=7529868947924829714</t>
  </si>
  <si>
    <t>cmarshall@mattermediagroup.com</t>
  </si>
  <si>
    <t>.analaurabarbosa</t>
  </si>
  <si>
    <t>https://www.tiktok.com/@.analaurabarbosa/video/7475754648599530783?is_from_webapp=1&amp;sender_device=pc&amp;web_id=7529868947924829714</t>
  </si>
  <si>
    <t>jemmymeowy</t>
  </si>
  <si>
    <t>https://vt.tiktok.com/ZSDAW54u2/</t>
  </si>
  <si>
    <t>12nostrils</t>
  </si>
  <si>
    <t>https://vt.tiktok.com/ZSDSsQUrj/</t>
  </si>
  <si>
    <t>aubreyandversace</t>
  </si>
  <si>
    <t>https://vt.tiktok.com/ZSDAP1NHG/</t>
  </si>
  <si>
    <t>antlerscoffeehouse</t>
  </si>
  <si>
    <t>https://www.tiktok.com/@antlerscoffeehouse/video/7545176397803687190?is_from_webapp=1&amp;sender_device=pc&amp;web_id=7529868947924829714</t>
  </si>
  <si>
    <t>chloerbrts</t>
  </si>
  <si>
    <t>https://vt.tiktok.com/ZSDyq2oBV/</t>
  </si>
  <si>
    <t>pooja.kisoensingh</t>
  </si>
  <si>
    <t>https://www.tiktok.com/@pooja.kisoensingh/video/7513258145376914693?is_from_webapp=1&amp;sender_device=pc&amp;web_id=7529868947924829714</t>
  </si>
  <si>
    <t>chad242</t>
  </si>
  <si>
    <t>https://www.tiktok.com/@chad242/video/7539828353243663634?is_from_webapp=1&amp;sender_device=pc&amp;web_id=7529868947924829714</t>
  </si>
  <si>
    <t>clinton25889</t>
  </si>
  <si>
    <t>https://www.tiktok.com/@clinton25889/video/7508529258772434183?is_from_webapp=1&amp;sender_device=pc&amp;web_id=7529868947924829714</t>
  </si>
  <si>
    <t>carolinaaa_w</t>
  </si>
  <si>
    <t>https://www.tiktok.com/@carolinaaa_w/video/7473430133622328598?is_from_webapp=1&amp;sender_device=pc&amp;web_id=7529868947924829714</t>
  </si>
  <si>
    <t>carolinawsr99@gmail.com</t>
  </si>
  <si>
    <t>neeley_twins</t>
  </si>
  <si>
    <t>https://www.tiktok.com/@neeley_twins/video/6878682036027051269?is_from_webapp=1&amp;sender_device=pc&amp;web_id=7529868947924829714</t>
  </si>
  <si>
    <t>user080912060111</t>
  </si>
  <si>
    <t>https://www.tiktok.com/@user080912060111/video/7531096665705417997?is_from_webapp=1&amp;sender_device=pc&amp;web_id=7529868947924829714</t>
  </si>
  <si>
    <t>jjmoniquez</t>
  </si>
  <si>
    <t>https://vt.tiktok.com/ZSDAWMQnK/</t>
  </si>
  <si>
    <t>tamara060596</t>
  </si>
  <si>
    <t>https://vt.tiktok.com/ZSDAfbLMP/</t>
  </si>
  <si>
    <t>the.new.wellington</t>
  </si>
  <si>
    <t>https://www.tiktok.com/@the.new.wellington/video/7542990206480239894?is_from_webapp=1&amp;sender_device=pc&amp;web_id=7529868947924829714</t>
  </si>
  <si>
    <t>Sophia</t>
  </si>
  <si>
    <t>skindaddie</t>
  </si>
  <si>
    <t>https://www.tiktok.com/@skindaddie/video/7476592776478543147?is_from_webapp=1&amp;sender_device=pc&amp;web_id=7529868947924829714</t>
  </si>
  <si>
    <t>miss_sampaguita</t>
  </si>
  <si>
    <t>https://www.tiktok.com/@miss_sampaguita/video/7545092860807220488?is_from_webapp=1&amp;sender_device=pc&amp;web_id=7529868947924829714</t>
  </si>
  <si>
    <t>nicole.finianos</t>
  </si>
  <si>
    <t>https://www.tiktok.com/@nicole.finianos/video/7514645395138563336?is_from_webapp=1&amp;sender_device=pc&amp;web_id=7529868947924829714</t>
  </si>
  <si>
    <t>charlieemilybutler</t>
  </si>
  <si>
    <t>https://www.tiktok.com/@charlieemilybutler/video/7520580490169044242?is_from_webapp=1&amp;sender_device=pc&amp;web_id=7529868947924829714</t>
  </si>
  <si>
    <t>charlieemilybutler@gmail.com</t>
  </si>
  <si>
    <t>famousblonde</t>
  </si>
  <si>
    <t>https://www.tiktok.com/@famousblonde/video/6855800860400684293?is_from_webapp=1&amp;sender_device=pc&amp;web_id=7529868947924829714</t>
  </si>
  <si>
    <t>kisforkya</t>
  </si>
  <si>
    <t>https://www.tiktok.com/@kisforkya/video/7496548112152939798?is_from_webapp=1&amp;sender_device=pc&amp;web_id=7529868947924829714</t>
  </si>
  <si>
    <t>mamemaenimori</t>
  </si>
  <si>
    <t>https://vt.tiktok.com/ZSDUXGkr7/</t>
  </si>
  <si>
    <t>sheabug27</t>
  </si>
  <si>
    <t>https://vt.tiktok.com/ZSDAfb1Vq/</t>
  </si>
  <si>
    <t>taqueriavallarta1</t>
  </si>
  <si>
    <t>https://www.tiktok.com/@taqueriavallarta1/video/7547813619958811918?is_from_webapp=1&amp;sender_device=pc&amp;web_id=7529868947924829714</t>
  </si>
  <si>
    <t>megtruck</t>
  </si>
  <si>
    <t>https://www.tiktok.com/@megtruck/video/7467430140843248938?is_from_webapp=1&amp;sender_device=pc&amp;web_id=7529868947924829714</t>
  </si>
  <si>
    <t>trucksismeghan@gmail.com</t>
  </si>
  <si>
    <t>alychiatoo</t>
  </si>
  <si>
    <t>https://www.tiktok.com/@alychiatoo/video/7543851865365089554?is_from_webapp=1&amp;sender_device=pc&amp;web_id=7529868947924829714</t>
  </si>
  <si>
    <t>gioasjiyoww</t>
  </si>
  <si>
    <t>https://www.tiktok.com/@gioasjiyoww/video/7511785253237787912?is_from_webapp=1&amp;sender_device=pc&amp;web_id=7529868947924829714</t>
  </si>
  <si>
    <t>addymae177</t>
  </si>
  <si>
    <t>https://www.tiktok.com/@addymae177/video/7547843023061798175?is_from_webapp=1&amp;sender_device=pc&amp;web_id=7529868947924829714</t>
  </si>
  <si>
    <t>teacherthingsforthird</t>
  </si>
  <si>
    <t>https://www.tiktok.com/@teacherthingsforthird/video/7118463776726289706?is_from_webapp=1&amp;sender_device=pc&amp;web_id=7529868947924829714</t>
  </si>
  <si>
    <t>user_10.11.10</t>
  </si>
  <si>
    <t>https://www.tiktok.com/@user_10.11.10/video/7497824510700178718?is_from_webapp=1&amp;sender_device=pc&amp;web_id=7529868947924829714</t>
  </si>
  <si>
    <t>kylehuiso</t>
  </si>
  <si>
    <t>https://vt.tiktok.com/ZSDymypMt/</t>
  </si>
  <si>
    <t>yeti_boy23</t>
  </si>
  <si>
    <t>https://vt.tiktok.com/ZSDAfGsC5/</t>
  </si>
  <si>
    <t>willow.fern.brighton</t>
  </si>
  <si>
    <t>https://www.tiktok.com/@willow.fern.brighton/video/7547782019799944479?is_from_webapp=1&amp;sender_device=pc&amp;web_id=7529868947924829714</t>
  </si>
  <si>
    <t>oh.emmii</t>
  </si>
  <si>
    <t>https://www.tiktok.com/@oh.emmii/video/7474157749669154094?is_from_webapp=1&amp;sender_device=pc&amp;web_id=7529868947924829714</t>
  </si>
  <si>
    <t>frankieprimavera</t>
  </si>
  <si>
    <t>https://www.tiktok.com/@frankieprimavera/video/7545511627081223431?is_from_webapp=1&amp;sender_device=pc&amp;web_id=7529868947924829714</t>
  </si>
  <si>
    <t>madisonloweee</t>
  </si>
  <si>
    <t>https://www.tiktok.com/@madisonloweee/video/7508839090540907822?is_from_webapp=1&amp;sender_device=pc&amp;web_id=7529868947924829714</t>
  </si>
  <si>
    <t>michellesays</t>
  </si>
  <si>
    <t>https://www.tiktok.com/@michellesays/video/7547540977460759822?is_from_webapp=1&amp;sender_device=pc&amp;web_id=7529868947924829714</t>
  </si>
  <si>
    <t>Michellesays@select.co</t>
  </si>
  <si>
    <t>georgieg2468</t>
  </si>
  <si>
    <t>https://www.tiktok.com/@georgieg2468/video/6929022815102323970?is_from_webapp=1&amp;sender_device=pc&amp;web_id=7529868947924829714</t>
  </si>
  <si>
    <t>nadzdiaries</t>
  </si>
  <si>
    <t>https://www.tiktok.com/@nadzdiaries/video/7532216136776060215?is_from_webapp=1&amp;sender_device=pc&amp;web_id=7529868947924829714</t>
  </si>
  <si>
    <t>nadaelbeyali@gmail.com</t>
  </si>
  <si>
    <t>mayamartorillaspe</t>
  </si>
  <si>
    <t>https://vt.tiktok.com/ZSDymBtcr/</t>
  </si>
  <si>
    <t>kellyhumphreys87</t>
  </si>
  <si>
    <t>https://vt.tiktok.com/ZSDAfgxjX/</t>
  </si>
  <si>
    <t>c.hristina.z</t>
  </si>
  <si>
    <t>https://www.tiktok.com/@c.hristina.z/video/7538122087609814286?is_from_webapp=1&amp;sender_device=pc&amp;web_id=7529868947924829714</t>
  </si>
  <si>
    <t>housruk</t>
  </si>
  <si>
    <t>https://www.tiktok.com/@housruk/video/7472704815672478998?is_from_webapp=1&amp;sender_device=pc&amp;web_id=7529868947924829714</t>
  </si>
  <si>
    <t>notmurphyy_</t>
  </si>
  <si>
    <t>https://www.tiktok.com/@notmurphyy_/video/7544436790430567687?is_from_webapp=1&amp;sender_device=pc&amp;web_id=7529868947924829714</t>
  </si>
  <si>
    <t>aurzljn</t>
  </si>
  <si>
    <t>https://www.tiktok.com/@aurzljn/video/7522305815315860743?is_from_webapp=1&amp;sender_device=pc&amp;web_id=7529868947924829714</t>
  </si>
  <si>
    <t>un.dia.fuerte</t>
  </si>
  <si>
    <t>https://www.tiktok.com/@un.dia.fuerte/video/7510441723089276206?is_from_webapp=1&amp;sender_device=pc&amp;web_id=7529868947924829714</t>
  </si>
  <si>
    <t>theploofs</t>
  </si>
  <si>
    <t>https://www.tiktok.com/@theploofs/video/6869471377750117637?is_from_webapp=1&amp;sender_device=pc&amp;web_id=7529868947924829714</t>
  </si>
  <si>
    <t>Biz-joey@matl-ent.com</t>
  </si>
  <si>
    <t>r1hvnnaaaaa</t>
  </si>
  <si>
    <t>https://www.tiktok.com/@r1hvnnaaaaa/video/7537241743570308360?is_from_webapp=1&amp;sender_device=pc&amp;web_id=7529868947924829714</t>
  </si>
  <si>
    <t>nestllysid</t>
  </si>
  <si>
    <t>https://vt.tiktok.com/ZSDymQeRb/</t>
  </si>
  <si>
    <t>celinaataya</t>
  </si>
  <si>
    <t>https://vt.tiktok.com/ZSDAPh1tE/</t>
  </si>
  <si>
    <t>joely_bird</t>
  </si>
  <si>
    <t>https://www.tiktok.com/@joely_bird/video/7545406096454814998?is_from_webapp=1&amp;sender_device=pc&amp;web_id=7529868947924829714</t>
  </si>
  <si>
    <t>jacscaveofwonders</t>
  </si>
  <si>
    <t>https://www.tiktok.com/@jacscaveofwonders/video/7471833814537456914?is_from_webapp=1&amp;sender_device=pc&amp;web_id=7529868947924829714</t>
  </si>
  <si>
    <t>lyyzsaaa</t>
  </si>
  <si>
    <t>https://www.tiktok.com/@lyyzsaaa/video/7545715002729073927?is_from_webapp=1&amp;sender_device=pc&amp;web_id=7529868947924829714</t>
  </si>
  <si>
    <t>moretoamedic</t>
  </si>
  <si>
    <t>https://www.tiktok.com/@moretoamedic/video/7508083178440117526?is_from_webapp=1&amp;sender_device=pc&amp;web_id=7529868947924829714</t>
  </si>
  <si>
    <t>maite__fonseca</t>
  </si>
  <si>
    <t>https://www.tiktok.com/@maite__fonseca/video/7480076778740911382?is_from_webapp=1&amp;sender_device=pc&amp;web_id=7529868947924829714</t>
  </si>
  <si>
    <t>maite@levenagency.co</t>
  </si>
  <si>
    <t>brooke_lynnmilne</t>
  </si>
  <si>
    <t>https://www.tiktok.com/@brooke_lynnmilne/video/7059608289847463214?is_from_webapp=1&amp;sender_device=pc&amp;web_id=7529868947924829714</t>
  </si>
  <si>
    <t>brooke.anderson014@gmail.com</t>
  </si>
  <si>
    <t>typriv18</t>
  </si>
  <si>
    <t>https://www.tiktok.com/@typriv18/video/7464211051987356959?is_from_webapp=1&amp;sender_device=pc&amp;web_id=7529868947924829714</t>
  </si>
  <si>
    <t>jnlzbthm</t>
  </si>
  <si>
    <t>https://vt.tiktok.com/ZSDymD7pP/</t>
  </si>
  <si>
    <t>naomi_rudolph</t>
  </si>
  <si>
    <t>https://vt.tiktok.com/ZSDAP24qE/</t>
  </si>
  <si>
    <t>sweetvailcafe</t>
  </si>
  <si>
    <t>https://www.tiktok.com/@sweetvailcafe/video/7547032022657649951?is_from_webapp=1&amp;sender_device=pc&amp;web_id=7529868947924829714</t>
  </si>
  <si>
    <t>alice_gigney</t>
  </si>
  <si>
    <t>https://www.tiktok.com/@alice_gigney/video/7501010491242745110?is_from_webapp=1&amp;sender_device=pc&amp;web_id=7529868947924829714</t>
  </si>
  <si>
    <t>sengwaah</t>
  </si>
  <si>
    <t>https://www.tiktok.com/@sengwaah/video/7539852686271712520?is_from_webapp=1&amp;sender_device=pc&amp;web_id=7529868947924829714</t>
  </si>
  <si>
    <t>soltanaslife</t>
  </si>
  <si>
    <t>https://www.tiktok.com/@soltanaslife/video/7549305642226421005?is_from_webapp=1&amp;sender_device=pc&amp;web_id=7529868947924829714</t>
  </si>
  <si>
    <t>life.of.soltana@gmail.com</t>
  </si>
  <si>
    <t>biankaalexis</t>
  </si>
  <si>
    <t>https://www.tiktok.com/@biankaalexis/video/6856525009431661830?is_from_webapp=1&amp;sender_device=pc&amp;web_id=7529868947924829714</t>
  </si>
  <si>
    <t>biankaalexisbusiness@gmail</t>
  </si>
  <si>
    <t>saabr.na</t>
  </si>
  <si>
    <t>https://www.tiktok.com/@saabr.na/video/7526193281210912022?is_from_webapp=1&amp;sender_device=pc&amp;web_id=7529868947924829714</t>
  </si>
  <si>
    <t>sabrina.ugc@gmx.at</t>
  </si>
  <si>
    <t>gkfornxid</t>
  </si>
  <si>
    <t>https://vt.tiktok.com/ZSDym42TE/</t>
  </si>
  <si>
    <t>lesliehernandezt</t>
  </si>
  <si>
    <t>https://vt.tiktok.com/ZSDAPANvD/</t>
  </si>
  <si>
    <t>mariahmixes</t>
  </si>
  <si>
    <t>https://www.tiktok.com/@mariahmixes/video/7544558848820923679?is_from_webapp=1&amp;sender_device=pc&amp;web_id=7529868947924829714</t>
  </si>
  <si>
    <t>mari_rebuilt</t>
  </si>
  <si>
    <t>https://www.tiktok.com/@mari_rebuilt/video/7520389275926465798?is_from_webapp=1&amp;sender_device=pc&amp;web_id=7529868947924829714</t>
  </si>
  <si>
    <t>pzxctaz</t>
  </si>
  <si>
    <t>https://www.tiktok.com/@pzxctaz/video/7545360063586684168?is_from_webapp=1&amp;sender_device=pc&amp;web_id=7529868947924829714</t>
  </si>
  <si>
    <t>isabellajuliaw</t>
  </si>
  <si>
    <t>https://www.tiktok.com/@isabellajuliaw/video/7465125314180484383?is_from_webapp=1&amp;sender_device=pc&amp;web_id=7529868947924829714</t>
  </si>
  <si>
    <t>isabellajuliaw@gmail.com</t>
  </si>
  <si>
    <t>trinahmaee_</t>
  </si>
  <si>
    <t>https://www.tiktok.com/@trinahmaee_/video/6889452204181163265?is_from_webapp=1&amp;sender_device=pc&amp;web_id=7529868947924829714</t>
  </si>
  <si>
    <t>celinest</t>
  </si>
  <si>
    <t>https://www.tiktok.com/@celinest/video/7492010595399617810?is_from_webapp=1&amp;sender_device=pc&amp;web_id=7529868947924829714</t>
  </si>
  <si>
    <t>jueimae02</t>
  </si>
  <si>
    <t>https://vt.tiktok.com/ZSDym5Auk/</t>
  </si>
  <si>
    <t>sydneemcevoy</t>
  </si>
  <si>
    <t>https://vt.tiktok.com/ZSDAPBePR/</t>
  </si>
  <si>
    <t>50flavsbakerybrew</t>
  </si>
  <si>
    <t>https://www.tiktok.com/@50flavsbakerybrew/video/7548937563378175245?is_from_webapp=1&amp;sender_device=pc&amp;web_id=7529868947924829714</t>
  </si>
  <si>
    <t>microphonegoddesss</t>
  </si>
  <si>
    <t>https://www.tiktok.com/@microphonegoddesss/video/7476080398078905622?is_from_webapp=1&amp;sender_device=pc&amp;web_id=7529868947924829714</t>
  </si>
  <si>
    <t>saintnico.222</t>
  </si>
  <si>
    <t>https://www.tiktok.com/@saintnico.222/video/7541721960754072839?is_from_webapp=1&amp;sender_device=pc&amp;web_id=7529868947924829714</t>
  </si>
  <si>
    <t>ellisealou</t>
  </si>
  <si>
    <t>https://www.tiktok.com/@ellisealou/video/7473601722720619822?is_from_webapp=1&amp;sender_device=pc&amp;web_id=7529868947924829714</t>
  </si>
  <si>
    <t>kaitlyn@cmgworldwide.com</t>
  </si>
  <si>
    <t>sarahbetts</t>
  </si>
  <si>
    <t>https://www.tiktok.com/@sarahbetts/video/7090888315821362434?is_from_webapp=1&amp;sender_device=pc&amp;web_id=7529868947924829714</t>
  </si>
  <si>
    <t>sarahbetts@thisisamplify.com</t>
  </si>
  <si>
    <t>joohanney</t>
  </si>
  <si>
    <t>https://www.tiktok.com/@joohanney/video/7505012201946631442?is_from_webapp=1&amp;sender_device=pc&amp;web_id=7529868947924829714</t>
  </si>
  <si>
    <t>itspaulramos</t>
  </si>
  <si>
    <t>https://vt.tiktok.com/ZSDyujFXt/</t>
  </si>
  <si>
    <t>lizzy.305</t>
  </si>
  <si>
    <t>https://vt.tiktok.com/ZSDAPywy5/)</t>
  </si>
  <si>
    <t>eltapcafe</t>
  </si>
  <si>
    <t>https://www.tiktok.com/@eltapcafe/video/7548945156406283575?is_from_webapp=1&amp;sender_device=pc&amp;web_id=7529868947924829714</t>
  </si>
  <si>
    <t>texas_starch_co</t>
  </si>
  <si>
    <t>https://www.tiktok.com/@texas_starch_co/video/7529418189613141262?is_from_webapp=1&amp;sender_device=pc&amp;web_id=7529868947924829714</t>
  </si>
  <si>
    <t>pomaonemillion</t>
  </si>
  <si>
    <t>https://www.tiktok.com/@pomaonemillion/video/7544719340474502418?is_from_webapp=1&amp;sender_device=pc&amp;web_id=7529868947924829714</t>
  </si>
  <si>
    <t>aaronsalley</t>
  </si>
  <si>
    <t>https://www.tiktok.com/@aaronsalley/video/7548960518225005838?is_from_webapp=1&amp;sender_device=pc&amp;web_id=7529868947924829714</t>
  </si>
  <si>
    <t>https://www.tiktok.com/@sarahbetts/video/7106478823243304193?is_from_webapp=1&amp;sender_device=pc&amp;web_id=7529868947924829714</t>
  </si>
  <si>
    <t>uehehumicvs</t>
  </si>
  <si>
    <t>https://www.tiktok.com/@uehehumicvs/video/7537502827782950158?is_from_webapp=1&amp;sender_device=pc&amp;web_id=7529868947924829714</t>
  </si>
  <si>
    <t>thebatosparty</t>
  </si>
  <si>
    <t>https://vt.tiktok.com/ZSDAP2urp/</t>
  </si>
  <si>
    <t>ourhometowncoffee</t>
  </si>
  <si>
    <t>https://www.tiktok.com/@ourhometowncoffee/video/7540708595806014733?is_from_webapp=1&amp;sender_device=pc&amp;web_id=7529868947924829714</t>
  </si>
  <si>
    <t>12.gauge.n</t>
  </si>
  <si>
    <t>https://www.tiktok.com/@12.gauge.n/video/7470768868496297262?lang=en</t>
  </si>
  <si>
    <t>itsugcpammy</t>
  </si>
  <si>
    <t>https://www.tiktok.com/@itsugcpammy/video/7542441708106026258?is_from_webapp=1&amp;sender_device=pc&amp;web_id=7529868947924829714</t>
  </si>
  <si>
    <t>eliserosemaryyy</t>
  </si>
  <si>
    <t>https://www.tiktok.com/@eliserosemaryyy/video/7532610844199357727?is_from_webapp=1&amp;sender_device=pc&amp;web_id=7529868947924829714</t>
  </si>
  <si>
    <t>petersoneliser@gmail.com</t>
  </si>
  <si>
    <t>https://www.tiktok.com/@sarahbetts/video/7114638647785278722?is_from_webapp=1&amp;sender_device=pc&amp;web_id=7529868947924829714</t>
  </si>
  <si>
    <t>bambibella777</t>
  </si>
  <si>
    <t>https://www.tiktok.com/@bambibella777/video/7517687471442906390?is_from_webapp=1&amp;sender_device=pc&amp;web_id=7529868947924829714</t>
  </si>
  <si>
    <t>crizabensing</t>
  </si>
  <si>
    <t>https://vt.tiktok.com/ZSDAP5UoV/</t>
  </si>
  <si>
    <t>tuttlesmeatmarket</t>
  </si>
  <si>
    <t>https://www.tiktok.com/@tuttlesmeatmarket/video/7532642606728170807?is_from_webapp=1&amp;sender_device=pc&amp;web_id=7529868947924829714</t>
  </si>
  <si>
    <t>dancecodemunich</t>
  </si>
  <si>
    <t>https://www.tiktok.com/@dancecodemunich/video/7494361403499859222?is_from_webapp=1&amp;sender_device=pc&amp;web_id=7529868947924829714</t>
  </si>
  <si>
    <t>quinnfre</t>
  </si>
  <si>
    <t>https://www.tiktok.com/@quinnfre/video/7544358126716275976?is_from_webapp=1&amp;sender_device=pc&amp;web_id=7529868947924829714</t>
  </si>
  <si>
    <t>nurse.maddi</t>
  </si>
  <si>
    <t>https://www.tiktok.com/@nurse.maddi/video/7537198347812195614?is_from_webapp=1&amp;sender_device=pc&amp;web_id=7529868947924829714</t>
  </si>
  <si>
    <t>https://www.tiktok.com/@sarahbetts/video/7121661537546226946?is_from_webapp=1&amp;sender_device=pc&amp;web_id=7529868947924829714</t>
  </si>
  <si>
    <t>y0rubangel</t>
  </si>
  <si>
    <t>https://www.tiktok.com/@y0rubangel/video/7377131822708313386?is_from_webapp=1&amp;sender_device=pc&amp;web_id=7529868947924829714</t>
  </si>
  <si>
    <t>liy_1203</t>
  </si>
  <si>
    <t>https://vt.tiktok.com/ZSDAPMJX6/</t>
  </si>
  <si>
    <t>ferbersamelisengarten</t>
  </si>
  <si>
    <t>https://www.tiktok.com/@ferbersamelisengarten/video/7492863080737557782?is_from_webapp=1&amp;sender_device=pc&amp;web_id=7529868947924829714</t>
  </si>
  <si>
    <t>whoooootfisdesiiiii</t>
  </si>
  <si>
    <t>https://www.tiktok.com/@whoooootfisdesiiiii/video/7542242175157832977?is_from_webapp=1&amp;sender_device=pc&amp;web_id=7529868947924829714</t>
  </si>
  <si>
    <t>tru_moo</t>
  </si>
  <si>
    <t>https://www.tiktok.com/@tru_moo/video/7524075818000207134?is_from_webapp=1&amp;sender_device=pc&amp;web_id=7529868947924829714</t>
  </si>
  <si>
    <t>https://www.tiktok.com/@sarahbetts/video/7136524523553246466?is_from_webapp=1&amp;sender_device=pc&amp;web_id=7529868947924829714</t>
  </si>
  <si>
    <t>kimccchii</t>
  </si>
  <si>
    <t>https://www.tiktok.com/@kimccchii/video/7535497433040686366?is_from_webapp=1&amp;sender_device=pc&amp;web_id=7529868947924829714</t>
  </si>
  <si>
    <t>Kimberlybeltran.g@gmail.com</t>
  </si>
  <si>
    <t>jesereysanchez</t>
  </si>
  <si>
    <t>https://vt.tiktok.com/ZSDAPxvrq/</t>
  </si>
  <si>
    <t>its.christinne</t>
  </si>
  <si>
    <t>https://www.tiktok.com/@its.christinne/video/7469759856216509703?is_from_webapp=1&amp;sender_device=pc&amp;web_id=7529868947924829714</t>
  </si>
  <si>
    <t>.zouielouise</t>
  </si>
  <si>
    <t>https://www.tiktok.com/@.zouielouise/video/7545034183911951623?is_from_webapp=1&amp;sender_device=pc&amp;web_id=7529868947924829714</t>
  </si>
  <si>
    <t>isabelladalonzo</t>
  </si>
  <si>
    <t>https://www.tiktok.com/@isabelladalonzo/video/7549290056683392311?is_from_webapp=1&amp;sender_device=pc&amp;web_id=7529868947924829714</t>
  </si>
  <si>
    <t>https://www.tiktok.com/@sarahbetts/video/7145057538734689537?is_from_webapp=1&amp;sender_device=pc&amp;web_id=7529868947924829714</t>
  </si>
  <si>
    <t>carocore_</t>
  </si>
  <si>
    <t>https://www.tiktok.com/@carocore_/video/7503596826533154094?is_from_webapp=1&amp;sender_device=pc&amp;web_id=7529868947924829714</t>
  </si>
  <si>
    <t>carolinewolfe7710@icloud.com</t>
  </si>
  <si>
    <t>switdonnie</t>
  </si>
  <si>
    <t>https://vt.tiktok.com/ZSDAPEpuP/</t>
  </si>
  <si>
    <t>mollymrynn</t>
  </si>
  <si>
    <t>https://www.tiktok.com/@mollymrynn/video/7468720105896152352?is_from_webapp=1&amp;sender_device=pc&amp;web_id=7529868947924829714</t>
  </si>
  <si>
    <t>katie_burns512</t>
  </si>
  <si>
    <t>https://www.tiktok.com/@katie_burns512/video/7529676368594963743?is_from_webapp=1&amp;sender_device=pc&amp;web_id=7529868947924829714</t>
  </si>
  <si>
    <t>.hana_a</t>
  </si>
  <si>
    <t>https://www.tiktok.com/@.hana_a/video/7487347357013593364?is_from_webapp=1&amp;sender_device=pc&amp;web_id=7529868947924829714</t>
  </si>
  <si>
    <t>https://www.tiktok.com/@sarahbetts/video/7160649291004972290?is_from_webapp=1&amp;sender_device=pc&amp;web_id=7529868947924829714</t>
  </si>
  <si>
    <t>anetatsar</t>
  </si>
  <si>
    <t>https://www.tiktok.com/@anetatsar/video/7529664237375950135?is_from_webapp=1&amp;sender_device=pc&amp;web_id=7529868947924829714</t>
  </si>
  <si>
    <t>pujaranamagar60</t>
  </si>
  <si>
    <t>https://vt.tiktok.com/ZSDAPQEVQ/</t>
  </si>
  <si>
    <t>gold.x.jewels</t>
  </si>
  <si>
    <t>https://www.tiktok.com/@gold.x.jewels/video/7542498052209151264?is_from_webapp=1&amp;sender_device=pc&amp;web_id=7529868947924829714</t>
  </si>
  <si>
    <t>Total Consented:</t>
  </si>
  <si>
    <t>polshkova.veronika</t>
  </si>
  <si>
    <t>https://www.tiktok.com/@polshkova.veronika/video/7473807799596895534?is_from_webapp=1&amp;sender_device=pc&amp;web_id=7529868947924829714</t>
  </si>
  <si>
    <t>https://www.tiktok.com/@sarahbetts/video/7221131858304666881?is_from_webapp=1&amp;sender_device=pc&amp;web_id=7529868947924829714</t>
  </si>
  <si>
    <t>mrstirfrypt2</t>
  </si>
  <si>
    <t>https://www.tiktok.com/@mrstirfrypt2/video/7530097944502996279?is_from_webapp=1&amp;sender_device=pc&amp;web_id=7529868947924829714</t>
  </si>
  <si>
    <t>kaylin_li</t>
  </si>
  <si>
    <t>https://vt.tiktok.com/ZSDAP4oVT/</t>
  </si>
  <si>
    <t>liljellys</t>
  </si>
  <si>
    <t>https://www.tiktok.com/@liljellys/video/7479964398237355310?is_from_webapp=1&amp;sender_device=pc&amp;web_id=7529868947924829714</t>
  </si>
  <si>
    <t>blockmeganout</t>
  </si>
  <si>
    <t>https://www.tiktok.com/@blockmeganout/video/7480355549838658859?is_from_webapp=1&amp;sender_device=pc&amp;web_id=7529868947924829714</t>
  </si>
  <si>
    <t>megan.ga.hs@gmail.com</t>
  </si>
  <si>
    <t>https://www.tiktok.com/@sarahbetts/video/7335045393207594258?is_from_webapp=1&amp;sender_device=pc&amp;web_id=7529868947924829714</t>
  </si>
  <si>
    <t>riley_hope13</t>
  </si>
  <si>
    <t>https://www.tiktok.com/@riley_hope13/video/7512166446911278382?is_from_webapp=1&amp;sender_device=pc&amp;web_id=7529868947924829714</t>
  </si>
  <si>
    <t>rileyhope0913@gmail.com</t>
  </si>
  <si>
    <t>gerardvillar738</t>
  </si>
  <si>
    <t>https://vt.tiktok.com/ZSDAPqyRP/</t>
  </si>
  <si>
    <t>torotoro131</t>
  </si>
  <si>
    <t>https://www.tiktok.com/@torotoro131/video/7482566668749638943?is_from_webapp=1&amp;sender_device=pc&amp;web_id=7529868947924829714</t>
  </si>
  <si>
    <t>Meme video clips for marketing</t>
  </si>
  <si>
    <t>vianeyquirozm</t>
  </si>
  <si>
    <t>https://www.tiktok.com/@vianeyquirozm/video/7483340998257511710?is_from_webapp=1&amp;sender_device=pc&amp;web_id=7529868947924829714</t>
  </si>
  <si>
    <t>https://www.tiktok.com/@sarahbetts/video/7307217421633391879?is_from_webapp=1&amp;sender_device=pc&amp;web_id=7529868947924829714</t>
  </si>
  <si>
    <t>joywithkendall</t>
  </si>
  <si>
    <t>https://www.tiktok.com/@joywithkendall/video/7525251478936685838?is_from_webapp=1&amp;sender_device=pc&amp;web_id=7529868947924829714</t>
  </si>
  <si>
    <t>shairahkmelo</t>
  </si>
  <si>
    <t>https://vt.tiktok.com/ZSDya7pGy/</t>
  </si>
  <si>
    <t>mals.inspo</t>
  </si>
  <si>
    <t>https://www.tiktok.com/@mals.inspo/video/7486546269389868319?is_from_webapp=1&amp;sender_device=pc&amp;web_id=7529868947924829714</t>
  </si>
  <si>
    <t>acharyasejal</t>
  </si>
  <si>
    <t>https://www.tiktok.com/@acharyasejal/video/7529363725271338247?is_from_webapp=1&amp;sender_device=pc&amp;web_id=7529868947924829714</t>
  </si>
  <si>
    <t>acharyasejal0@gmail.com</t>
  </si>
  <si>
    <t>https://www.tiktok.com/@sarahbetts/video/7274193590249737479?is_from_webapp=1&amp;sender_device=pc&amp;web_id=7529868947924829714</t>
  </si>
  <si>
    <t>simplyunplugged</t>
  </si>
  <si>
    <t>https://www.tiktok.com/@simplyunplugged/video/7519195701356596511?is_from_webapp=1&amp;sender_device=pc&amp;web_id=7529868947924829714</t>
  </si>
  <si>
    <t>deyberamen</t>
  </si>
  <si>
    <t>https://vt.tiktok.com/ZSDyaPJEU/</t>
  </si>
  <si>
    <t>Englicom - Dave Twan</t>
  </si>
  <si>
    <t>whatyoudontsee.annie</t>
  </si>
  <si>
    <t>https://www.tiktok.com/@whatyoudontsee.annie/video/7473750137131601157?is_from_webapp=1&amp;sender_device=pc&amp;web_id=7529868947924829714</t>
  </si>
  <si>
    <t>tzerine07</t>
  </si>
  <si>
    <t>https://www.tiktok.com/@tzerine07/video/7546359062863121681?is_from_webapp=1&amp;sender_device=pc&amp;web_id=7529868947924829714</t>
  </si>
  <si>
    <t>https://www.tiktok.com/@sarahbetts41/video/7274893313310838059?is_from_webapp=1&amp;sender_device=pc&amp;web_id=7529868947924829714</t>
  </si>
  <si>
    <t>vidaveneracion_</t>
  </si>
  <si>
    <t>https://www.tiktok.com/@vidaveneracion_/video/7542489440325750034?is_from_webapp=1&amp;sender_device=pc&amp;web_id=7529868947924829714</t>
  </si>
  <si>
    <t>vmflxl0206_</t>
  </si>
  <si>
    <t>https://vt.tiktok.com/ZSDymhtXE/</t>
  </si>
  <si>
    <t>angiewulala</t>
  </si>
  <si>
    <t>https://www.tiktok.com/@angiewulala/video/7486227989483769134?is_from_webapp=1&amp;sender_device=pc&amp;web_id=7529868947924829714</t>
  </si>
  <si>
    <t>rodlinejrm</t>
  </si>
  <si>
    <t>https://www.tiktok.com/@rodlinejrm/video/7546058581209074952?is_from_webapp=1&amp;sender_device=pc&amp;web_id=7529868947924829714</t>
  </si>
  <si>
    <t>jack_biggs</t>
  </si>
  <si>
    <t>https://www.tiktok.com/@jack_biggs/video/7346280810351267105?is_from_webapp=1&amp;sender_device=pc&amp;web_id=7529868947924829714</t>
  </si>
  <si>
    <t>si@sharpergrp.com</t>
  </si>
  <si>
    <t>theilzezile</t>
  </si>
  <si>
    <t>https://www.tiktok.com/@theilzezile/video/7529460758007057686?is_from_webapp=1&amp;sender_device=pc&amp;web_id=7529868947924829714</t>
  </si>
  <si>
    <t>ninadeecee</t>
  </si>
  <si>
    <t>https://vt.tiktok.com/ZSDyacerk/</t>
  </si>
  <si>
    <t>angelicaeilish</t>
  </si>
  <si>
    <t>https://www.tiktok.com/@angelicaeilish/video/7504224318021225750?is_from_webapp=1&amp;sender_device=pc&amp;web_id=7529868947924829714</t>
  </si>
  <si>
    <t>solarteamtwente</t>
  </si>
  <si>
    <t>https://www.tiktok.com/@solarteamtwente/video/7539455288156392726?is_from_webapp=1&amp;sender_device=pc&amp;web_id=7529868947924829714</t>
  </si>
  <si>
    <t>micahandchloe</t>
  </si>
  <si>
    <t>https://www.tiktok.com/@micahandchloe/video/7241391720850574593?is_from_webapp=1&amp;sender_device=pc&amp;web_id=7529868947924829714</t>
  </si>
  <si>
    <t>mikeandchloelala@gmail.com</t>
  </si>
  <si>
    <t>myagre2001</t>
  </si>
  <si>
    <t>https://www.tiktok.com/@myagre2001/video/7505163418173852933?is_from_webapp=1&amp;sender_device=pc&amp;web_id=7529868947924829714</t>
  </si>
  <si>
    <t>itz.shahzadd</t>
  </si>
  <si>
    <t>https://vt.tiktok.com/ZSDyuJeS3/</t>
  </si>
  <si>
    <t>jennifer.fnb</t>
  </si>
  <si>
    <t>https://www.tiktok.com/@jennifer.fnb/video/7472789944163962134?is_from_webapp=1&amp;sender_device=pc&amp;web_id=7529868947924829714</t>
  </si>
  <si>
    <t>matildaakerr</t>
  </si>
  <si>
    <t>https://www.tiktok.com/@matildaakerr/video/7515942982374132999?is_from_webapp=1&amp;sender_device=pc&amp;web_id=7529868947924829714</t>
  </si>
  <si>
    <t>joelandkat</t>
  </si>
  <si>
    <t>https://www.tiktok.com/@joelandkat/video/7189942304113773851?is_from_webapp=1&amp;sender_device=pc&amp;web_id=7529868947924829714</t>
  </si>
  <si>
    <t>joelandkat21@gmail.com</t>
  </si>
  <si>
    <t>sarliunlimited</t>
  </si>
  <si>
    <t>https://www.tiktok.com/@sarliunlimited/video/7547028611975482646?is_from_webapp=1&amp;sender_device=pc&amp;web_id=7529868947924829714</t>
  </si>
  <si>
    <t>info@table33.de</t>
  </si>
  <si>
    <t>saralesss</t>
  </si>
  <si>
    <t>https://www.tiktok.com/@saralesss/video/7473496876919098642?is_from_webapp=1&amp;sender_device=pc&amp;web_id=7529868947924829714</t>
  </si>
  <si>
    <t>pookie4u2_</t>
  </si>
  <si>
    <t>https://www.tiktok.com/@pookie4u2_/video/7473729910385806634?is_from_webapp=1&amp;sender_device=pc&amp;web_id=7529868947924829714</t>
  </si>
  <si>
    <t>bramty</t>
  </si>
  <si>
    <t>https://www.tiktok.com/@bramty/video/7332616230970412330?is_from_webapp=1&amp;sender_device=pc&amp;web_id=7529868947924829714</t>
  </si>
  <si>
    <t>payner34</t>
  </si>
  <si>
    <t>https://www.tiktok.com/@payner34/video/7464328463063960878?is_from_webapp=1&amp;sender_device=pc&amp;web_id=7529868947924829714</t>
  </si>
  <si>
    <t>rousseaus_room</t>
  </si>
  <si>
    <t>https://www.tiktok.com/@rousseaus_room/video/7475337556016499973?is_from_webapp=1&amp;sender_device=pc&amp;web_id=7529868947924829714</t>
  </si>
  <si>
    <t>locarr_</t>
  </si>
  <si>
    <t>https://www.tiktok.com/@locarr_/video/7496574470967020843?is_from_webapp=1&amp;sender_device=pc&amp;web_id=7529868947924829714</t>
  </si>
  <si>
    <t>contactlocarr@gmail.com</t>
  </si>
  <si>
    <t>shiv_sewlal</t>
  </si>
  <si>
    <t>https://www.tiktok.com/@shiv_sewlal/video/7286844552701316357?is_from_webapp=1&amp;sender_device=pc&amp;web_id=7529868947924829714</t>
  </si>
  <si>
    <t>shivsewlal@gmail.com</t>
  </si>
  <si>
    <t>saffronbarker</t>
  </si>
  <si>
    <t>https://www.tiktok.com/@saffronbarker/video/7523883145356184854?is_from_webapp=1&amp;sender_device=pc&amp;web_id=7529868947924829714</t>
  </si>
  <si>
    <t>metal_threads_and</t>
  </si>
  <si>
    <t>https://www.tiktok.com/@metal_threads_and/video/7467330125550472494?is_from_webapp=1&amp;sender_device=pc&amp;web_id=7529868947924829714</t>
  </si>
  <si>
    <t>koreanbbq30</t>
  </si>
  <si>
    <t>https://www.tiktok.com/@koreanbbq30/video/7520293158631099703?is_from_webapp=1&amp;sender_device=pc&amp;web_id=7529868947924829714</t>
  </si>
  <si>
    <t>mishacsocial@gmail.com</t>
  </si>
  <si>
    <t>katclark</t>
  </si>
  <si>
    <t>https://www.tiktok.com/@katclark/video/7123102565587225857?is_from_webapp=1&amp;sender_device=pc&amp;web_id=7529868947924829714</t>
  </si>
  <si>
    <t>coldxsoup</t>
  </si>
  <si>
    <t>https://www.tiktok.com/@coldxsoup/video/7154146696237403438?is_from_webapp=1&amp;sender_device=pc&amp;web_id=7529868947924829714</t>
  </si>
  <si>
    <t>i4_slow</t>
  </si>
  <si>
    <t>https://www.tiktok.com/@i4_slow/video/7474441969524165918?is_from_webapp=1&amp;sender_device=pc&amp;web_id=7529868947924829714</t>
  </si>
  <si>
    <t>scootonaroundnpr</t>
  </si>
  <si>
    <t>https://www.tiktok.com/@scootonaroundnpr/video/7507209125940563246?is_from_webapp=1&amp;sender_device=pc&amp;web_id=7529868947924829714</t>
  </si>
  <si>
    <t>tazandalessia</t>
  </si>
  <si>
    <t>https://www.tiktok.com/@tazandalessia/video/7277090151044631809?is_from_webapp=1&amp;sender_device=pc&amp;web_id=7529868947924829714</t>
  </si>
  <si>
    <t>sophiabamff</t>
  </si>
  <si>
    <t>https://www.tiktok.com/@sophiabamff/video/7528028919891594527?is_from_webapp=1&amp;sender_device=pc&amp;web_id=7529868947924829714</t>
  </si>
  <si>
    <t>Sophia@bloketalent.com</t>
  </si>
  <si>
    <t>mahitunam</t>
  </si>
  <si>
    <t>https://www.tiktok.com/@mahitunam/video/7469815987987156242?is_from_webapp=1&amp;sender_device=pc&amp;web_id=7529868947924829714</t>
  </si>
  <si>
    <t>francescacrisafulli</t>
  </si>
  <si>
    <t>https://www.tiktok.com/@francescacrisafulli/video/7528194289239739678?is_from_webapp=1&amp;sender_device=pc&amp;web_id=7529868947924829714</t>
  </si>
  <si>
    <t>frankiecrisafulli@icloud.com</t>
  </si>
  <si>
    <t>almurph18</t>
  </si>
  <si>
    <t>https://www.tiktok.com/@almurph18/video/6942793041413459206?is_from_webapp=1&amp;sender_device=pc&amp;web_id=7529868947924829714</t>
  </si>
  <si>
    <t>gracemarsalo</t>
  </si>
  <si>
    <t>https://www.tiktok.com/@gracemarsalo/video/7455427270635752747?is_from_webapp=1&amp;sender_device=pc&amp;web_id=7529868947924829714</t>
  </si>
  <si>
    <t>marsalograce@gmail.com</t>
  </si>
  <si>
    <t>newyorkeronline</t>
  </si>
  <si>
    <t>https://www.tiktok.com/@newyorkeronline/video/7489012203673144598?is_from_webapp=1&amp;sender_device=pc&amp;web_id=7529868947924829714</t>
  </si>
  <si>
    <t>ava_29</t>
  </si>
  <si>
    <t>https://www.tiktok.com/@ava_29/video/7549707985526852895?is_from_webapp=1&amp;sender_device=pc&amp;web_id=7529868947924829714</t>
  </si>
  <si>
    <t>makenzieandmalia</t>
  </si>
  <si>
    <t>https://www.tiktok.com/@makenzieandmalia/video/6885012257764429061?is_from_webapp=1&amp;sender_device=pc&amp;web_id=7529868947924829714</t>
  </si>
  <si>
    <t>mia.kettler@thedigitalbrandarchitects.com</t>
  </si>
  <si>
    <t>cozycornerkai</t>
  </si>
  <si>
    <t>https://www.tiktok.com/@cozycornerkai/video/7468745106925833514?is_from_webapp=1&amp;sender_device=pc&amp;web_id=7529868947924829714</t>
  </si>
  <si>
    <t>kai@hermanaagency.com</t>
  </si>
  <si>
    <t>victoriassecretitaly</t>
  </si>
  <si>
    <t>https://www.tiktok.com/@victoriassecretitaly/video/7492333793731284246?is_from_webapp=1&amp;sender_device=pc&amp;web_id=7529868947924829714</t>
  </si>
  <si>
    <t>svecovasenta</t>
  </si>
  <si>
    <t>https://www.tiktok.com/@svecovasenta/video/7485852844633984287?is_from_webapp=1&amp;sender_device=pc&amp;web_id=7529868947924829714</t>
  </si>
  <si>
    <t>maya.and.hunter</t>
  </si>
  <si>
    <t>https://www.tiktok.com/@maya.and.hunter/video/7223523835570785582?is_from_webapp=1&amp;sender_device=pc&amp;web_id=7529868947924829714</t>
  </si>
  <si>
    <t>mayaandhunter@mayaandhunter.com</t>
  </si>
  <si>
    <t>gabschase</t>
  </si>
  <si>
    <t>https://www.tiktok.com/@gabschase/video/7517684963303607582?is_from_webapp=1&amp;sender_device=pc&amp;web_id=7529868947924829714</t>
  </si>
  <si>
    <t>emma@manns.nyc</t>
  </si>
  <si>
    <t>pauline_brenner</t>
  </si>
  <si>
    <t>https://www.tiktok.com/@pauline_brenner/video/7469862667302276374?is_from_webapp=1&amp;sender_device=pc&amp;web_id=7529868947924829714</t>
  </si>
  <si>
    <t>pauline@ykonic-talents.com</t>
  </si>
  <si>
    <t>maci_miotto</t>
  </si>
  <si>
    <t>https://www.tiktok.com/@maci_miotto/video/7538562807973907726?is_from_webapp=1&amp;sender_device=pc&amp;web_id=7529868947924829714</t>
  </si>
  <si>
    <t>.bettlebee</t>
  </si>
  <si>
    <t>https://www.tiktok.com/@.bettlebee/video/6941008301144460550?is_from_webapp=1&amp;sender_device=pc&amp;web_id=7529868947924829714</t>
  </si>
  <si>
    <t>babyydabz</t>
  </si>
  <si>
    <t>https://www.tiktok.com/@babyydabz/video/7473598915229519147?is_from_webapp=1&amp;sender_device=pc&amp;web_id=7529868947924829714</t>
  </si>
  <si>
    <t>dabinkimm21@gmail.com</t>
  </si>
  <si>
    <t>caitzdurling</t>
  </si>
  <si>
    <t>https://www.tiktok.com/@caitzdurling/video/7468623059348442400?is_from_webapp=1&amp;sender_device=pc&amp;web_id=7529868947924829714</t>
  </si>
  <si>
    <t>caitzdurling@komi.group</t>
  </si>
  <si>
    <t>user754357870</t>
  </si>
  <si>
    <t>https://www.tiktok.com/@user754357870/video/7471482166283603231?is_from_webapp=1&amp;sender_device=pc&amp;web_id=7529868947924829714</t>
  </si>
  <si>
    <t>maggiebrandner7@gmail.com</t>
  </si>
  <si>
    <t>https://www.tiktok.com/@arissaadams/video/7185456054807973125?is_from_webapp=1&amp;sender_device=pc&amp;web_id=7529868947924829714</t>
  </si>
  <si>
    <t>christian.sangg</t>
  </si>
  <si>
    <t>https://www.tiktok.com/@christian.sangg/video/7466246083849489672?is_from_webapp=1&amp;sender_device=pc&amp;web_id=7529868947924829714</t>
  </si>
  <si>
    <t>v2ethereal@yahoo.com</t>
  </si>
  <si>
    <t>inna_turadzhyk</t>
  </si>
  <si>
    <t>https://www.tiktok.com/@inna_turadzhyk/video/7476778070968372485?is_from_webapp=1&amp;sender_device=pc&amp;web_id=7529868947924829714</t>
  </si>
  <si>
    <t>inna.pinch.999@gmail.com</t>
  </si>
  <si>
    <t>alisonxflores</t>
  </si>
  <si>
    <t>https://www.tiktok.com/@alisonxflores/video/7498404701579316511?is_from_webapp=1&amp;sender_device=pc&amp;web_id=7529868947924829714</t>
  </si>
  <si>
    <t>https://www.tiktok.com/@ashlyn_bischoff/video/7218328249661803822?is_from_webapp=1&amp;sender_device=pc&amp;web_id=7529868947924829714</t>
  </si>
  <si>
    <t>ashlyn.bischoff@teamwass.com</t>
  </si>
  <si>
    <t>renee.noe</t>
  </si>
  <si>
    <t>https://www.tiktok.com/@renee.noe/video/7466317558677769503?is_from_webapp=1&amp;sender_device=pc&amp;web_id=7529868947924829714</t>
  </si>
  <si>
    <t>adam.hays@wilhelmina.com</t>
  </si>
  <si>
    <t>katiemcev0y</t>
  </si>
  <si>
    <t>https://www.tiktok.com/@katiemcev0y/video/7470967592627326238?is_from_webapp=1&amp;sender_device=pc&amp;web_id=7529868947924829714</t>
  </si>
  <si>
    <t>jackjacksegura</t>
  </si>
  <si>
    <t>https://www.tiktok.com/@jackjacksegura/video/7464792922412682542?is_from_webapp=1&amp;sender_device=pc&amp;web_id=7529868947924829714</t>
  </si>
  <si>
    <t>management+Segura@33ave.com</t>
  </si>
  <si>
    <t>meghanandjack</t>
  </si>
  <si>
    <t>https://www.tiktok.com/@meghanandjack/video/7295505225656372523?is_from_webapp=1&amp;sender_device=pc&amp;web_id=7529868947924829714</t>
  </si>
  <si>
    <t>meghanandjack@currentsmgmt.com</t>
  </si>
  <si>
    <t>oliviagraceherring</t>
  </si>
  <si>
    <t>https://www.tiktok.com/@oliviagraceherring/video/7508839100925971714?is_from_webapp=1&amp;sender_device=pc&amp;web_id=7529868947924829714</t>
  </si>
  <si>
    <t>lanolips</t>
  </si>
  <si>
    <t>https://www.tiktok.com/@lanolips/video/7477447002754764039?is_from_webapp=1&amp;sender_device=pc&amp;web_id=7529868947924829714</t>
  </si>
  <si>
    <t>clarissaaroman</t>
  </si>
  <si>
    <t>https://www.tiktok.com/@clarissaaroman/video/7488241719838772511?is_from_webapp=1&amp;sender_device=pc&amp;web_id=7529868947924829714</t>
  </si>
  <si>
    <t>clarissaromann@gmail.com</t>
  </si>
  <si>
    <t>misschloeex</t>
  </si>
  <si>
    <t>https://www.tiktok.com/@misschloeex/video/7139213151911824645?is_from_webapp=1&amp;sender_device=pc&amp;web_id=7529868947924829714</t>
  </si>
  <si>
    <t>sarbasile</t>
  </si>
  <si>
    <t>https://www.tiktok.com/@sarbasile/video/7523009071184661791?is_from_webapp=1&amp;sender_device=pc&amp;web_id=7529868947924829714</t>
  </si>
  <si>
    <t>saiebeauty</t>
  </si>
  <si>
    <t>https://www.tiktok.com/@saiebeauty/video/7470274619619085614?is_from_webapp=1&amp;sender_device=pc&amp;web_id=7529868947924829714</t>
  </si>
  <si>
    <t>anaruanooo</t>
  </si>
  <si>
    <t>https://www.tiktok.com/@anaruanooo/video/7502099334352129311?is_from_webapp=1&amp;sender_device=pc&amp;web_id=7529868947924829714</t>
  </si>
  <si>
    <t>janieceandisaiah</t>
  </si>
  <si>
    <t>https://www.tiktok.com/@janieceandisaiah/video/7294421357868141866?is_from_webapp=1&amp;sender_device=pc&amp;web_id=7529868947924829714</t>
  </si>
  <si>
    <t>Isaiah@jakerosenentertainment.com</t>
  </si>
  <si>
    <t>laparasian</t>
  </si>
  <si>
    <t>https://www.tiktok.com/@laparasian/video/7385529175542631687?is_from_webapp=1&amp;sender_device=pc&amp;web_id=7529868947924829714</t>
  </si>
  <si>
    <t>laparasian@gmail.com</t>
  </si>
  <si>
    <t>sephoracanada</t>
  </si>
  <si>
    <t>https://www.tiktok.com/@sephoracanada/video/7475467439430503735?is_from_webapp=1&amp;sender_device=pc&amp;web_id=7529868947924829714</t>
  </si>
  <si>
    <t>niiiiiamh10</t>
  </si>
  <si>
    <t>https://www.tiktok.com/@niiiiiamh10/video/7504247915561504022?is_from_webapp=1&amp;sender_device=pc&amp;web_id=7529868947924829714</t>
  </si>
  <si>
    <t>joeyandelly21</t>
  </si>
  <si>
    <t>https://www.tiktok.com/@joeyandelly21/video/6928409512739130629?is_from_webapp=1&amp;sender_device=pc&amp;web_id=7529868947924829714</t>
  </si>
  <si>
    <t>iamcarla.b</t>
  </si>
  <si>
    <t>https://www.tiktok.com/@iamcarla.b/video/7468511637406911790?is_from_webapp=1&amp;sender_device=pc&amp;web_id=7529868947924829714</t>
  </si>
  <si>
    <t>@carladiazdeleon15@icloud.com</t>
  </si>
  <si>
    <t>snackje</t>
  </si>
  <si>
    <t>https://www.tiktok.com/@snackje/video/7486481820071120150?is_from_webapp=1&amp;sender_device=pc&amp;web_id=7529868947924829714</t>
  </si>
  <si>
    <t>jiatitan</t>
  </si>
  <si>
    <t>https://www.tiktok.com/@jiatitan/video/7484219246923271430?is_from_webapp=1&amp;sender_device=pc&amp;web_id=7529868947924829714</t>
  </si>
  <si>
    <t>kaylaturnerx</t>
  </si>
  <si>
    <t>https://www.tiktok.com/@kaylaturnerx/video/7086502068172754181?is_from_webapp=1&amp;sender_device=pc&amp;web_id=7529868947924829714</t>
  </si>
  <si>
    <t>thisisclouds</t>
  </si>
  <si>
    <t>https://www.tiktok.com/@thisisclouds/video/7239703164193082666?is_from_webapp=1&amp;sender_device=pc&amp;web_id=7529868947924829714</t>
  </si>
  <si>
    <t>oliviakennar</t>
  </si>
  <si>
    <t>https://www.tiktok.com/@oliviakennar/video/7477130119300254978?is_from_webapp=1&amp;sender_device=pc&amp;web_id=7529868947924829714</t>
  </si>
  <si>
    <t>oliviakennar@outlook.com</t>
  </si>
  <si>
    <t>evah3rr</t>
  </si>
  <si>
    <t>https://www.tiktok.com/@evah3rr/video/7540781369127996703?is_from_webapp=1&amp;sender_device=pc&amp;web_id=7529868947924829714</t>
  </si>
  <si>
    <t>heyaimeenicole</t>
  </si>
  <si>
    <t>https://www.tiktok.com/@heyaimeenicole/video/7181900318945365291?is_from_webapp=1&amp;sender_device=pc&amp;web_id=7529868947924829714</t>
  </si>
  <si>
    <t>emilypaigebooks</t>
  </si>
  <si>
    <t>https://www.tiktok.com/@emilypaigebooks/video/7547501838468222263?is_from_webapp=1&amp;sender_device=pc&amp;web_id=7529868947924829714</t>
  </si>
  <si>
    <t>emilybookslifestyle@gmail.com</t>
  </si>
  <si>
    <t>lisagozlanjewelry</t>
  </si>
  <si>
    <t>https://www.tiktok.com/@lisagozlanjewelry/video/7476219568713944366?is_from_webapp=1&amp;sender_device=pc&amp;web_id=7529868947924829714</t>
  </si>
  <si>
    <t>alexandrarothwell</t>
  </si>
  <si>
    <t>https://www.tiktok.com/@alexandrarothwell/video/7515788626031037718?is_from_webapp=1&amp;sender_device=pc&amp;web_id=7529868947924829714</t>
  </si>
  <si>
    <t>alexandra.rothwell@outlook.com</t>
  </si>
  <si>
    <t>daniellelindsaym</t>
  </si>
  <si>
    <t>https://www.tiktok.com/@daniellelindsaym/video/7206407851969891590?is_from_webapp=1&amp;sender_device=pc&amp;web_id=7529868947924829714</t>
  </si>
  <si>
    <t>duncancarswell</t>
  </si>
  <si>
    <t>https://www.tiktok.com/@duncancarswell/video/7402085498992217374?is_from_webapp=1&amp;sender_device=pc&amp;web_id=7529868947924829714</t>
  </si>
  <si>
    <t>lilsrtl</t>
  </si>
  <si>
    <t>https://www.tiktok.com/@lilsrtl/video/7469913839375551766?is_from_webapp=1&amp;sender_device=pc&amp;web_id=7529868947924829714</t>
  </si>
  <si>
    <t>makayla_shank_25</t>
  </si>
  <si>
    <t>https://www.tiktok.com/@makayla_shank_25/video/7513302040077192494?is_from_webapp=1&amp;sender_device=pc&amp;web_id=7529868947924829714</t>
  </si>
  <si>
    <t>mxkeen17</t>
  </si>
  <si>
    <t>https://www.tiktok.com/@mxkeen17/video/7206724882133044485?is_from_webapp=1&amp;sender_device=pc&amp;web_id=7529868947924829714</t>
  </si>
  <si>
    <t>rumag</t>
  </si>
  <si>
    <t>https://www.tiktok.com/@rumag/video/7184047692006395142?is_from_webapp=1&amp;sender_device=pc&amp;web_id=7529868947924829714</t>
  </si>
  <si>
    <t>luchy_wayne</t>
  </si>
  <si>
    <t>https://www.tiktok.com/@luchy_wayne/video/7472082238847503621?is_from_webapp=1&amp;sender_device=pc&amp;web_id=7529868947924829714</t>
  </si>
  <si>
    <t>nguenther</t>
  </si>
  <si>
    <t>https://www.tiktok.com/@nguenther/video/7474665368158539038?is_from_webapp=1&amp;sender_device=pc&amp;web_id=7529868947924829714</t>
  </si>
  <si>
    <t>bryceandkya</t>
  </si>
  <si>
    <t>https://www.tiktok.com/@bryceandkya/video/7323756119489252650?is_from_webapp=1&amp;sender_device=pc&amp;web_id=7529868947924829714</t>
  </si>
  <si>
    <t>bkwaybusiness@gmail.com</t>
  </si>
  <si>
    <t>richieruhruh</t>
  </si>
  <si>
    <t>https://www.tiktok.com/@richieruhruh/video/7377377987743763758?is_from_webapp=1&amp;sender_device=pc&amp;web_id=7529868947924829714</t>
  </si>
  <si>
    <t>richieruhh@gmail.com</t>
  </si>
  <si>
    <t>kentsicecreamco</t>
  </si>
  <si>
    <t>https://www.tiktok.com/@kentsicecreamco/video/7475117084159085830?is_from_webapp=1&amp;sender_device=pc&amp;web_id=7529868947924829714</t>
  </si>
  <si>
    <t>hrvargas2</t>
  </si>
  <si>
    <t>https://www.tiktok.com/@hrvargas2/video/7544197038737509663?is_from_webapp=1&amp;sender_device=pc&amp;web_id=7529868947924829714</t>
  </si>
  <si>
    <t>xtnbuenaobra</t>
  </si>
  <si>
    <t>https://www.tiktok.com/@xtnbuenaobra/video/7443379670529101064?is_from_webapp=1&amp;sender_device=pc&amp;web_id=7529868947924829714</t>
  </si>
  <si>
    <t>gracecobble</t>
  </si>
  <si>
    <t>https://www.tiktok.com/@gracecobble/video/7547485881486085406?is_from_webapp=1&amp;sender_device=pc&amp;web_id=7529868947924829714</t>
  </si>
  <si>
    <t>cobblegrace@gmail.com</t>
  </si>
  <si>
    <t>brookies.haulss</t>
  </si>
  <si>
    <t>https://www.tiktok.com/@brookies.haulss/video/7468781641809284398?is_from_webapp=1&amp;sender_device=pc&amp;web_id=7529868947924829714</t>
  </si>
  <si>
    <t>brookieshaulss@gmail.com</t>
  </si>
  <si>
    <t>theoakastonclinton</t>
  </si>
  <si>
    <t>https://www.tiktok.com/@theoakastonclinton/video/7526883051595517206?is_from_webapp=1&amp;sender_device=pc&amp;web_id=7529868947924829714</t>
  </si>
  <si>
    <t>bethany.pt.2</t>
  </si>
  <si>
    <t>https://www.tiktok.com/@bethany.pt.2/video/7313282562326170926?is_from_webapp=1&amp;sender_device=pc&amp;web_id=7529868947924829714</t>
  </si>
  <si>
    <t>k8wyatt</t>
  </si>
  <si>
    <t>https://www.tiktok.com/@k8wyatt/video/7498733003716365614?is_from_webapp=1&amp;sender_device=pc&amp;web_id=7529868947924829714</t>
  </si>
  <si>
    <t>katewyattsocial@gmail.com</t>
  </si>
  <si>
    <t>magnetichillwinery</t>
  </si>
  <si>
    <t>https://www.tiktok.com/@magnetichillwinery/video/7500017792729484549?is_from_webapp=1&amp;sender_device=pc&amp;web_id=7529868947924829714</t>
  </si>
  <si>
    <t>emilyyt11</t>
  </si>
  <si>
    <t>https://www.tiktok.com/@emilyyt11/video/7510867191907011871?is_from_webapp=1&amp;sender_device=pc&amp;web_id=7529868947924829714</t>
  </si>
  <si>
    <t>emilyytrujillo17@gmail.com</t>
  </si>
  <si>
    <t>lindayuqian</t>
  </si>
  <si>
    <t>https://www.tiktok.com/@lindayuqian/video/7365904108693327110?is_from_webapp=1&amp;sender_device=pc&amp;web_id=7529868947924829714</t>
  </si>
  <si>
    <t>lindayu@famfluence.com</t>
  </si>
  <si>
    <t>estellelebourgeois_</t>
  </si>
  <si>
    <t>https://www.tiktok.com/@estellelebourgeois_/video/7405680774487231786?is_from_webapp=1&amp;sender_device=pc&amp;web_id=7529868947924829714</t>
  </si>
  <si>
    <t>teamestelle@hgmedia.us</t>
  </si>
  <si>
    <t>mae.west</t>
  </si>
  <si>
    <t>https://www.tiktok.com/@mae.west/video/7467732916202769670?is_from_webapp=1&amp;sender_device=pc&amp;web_id=7529868947924829714</t>
  </si>
  <si>
    <t>maewestpr@gmail.com</t>
  </si>
  <si>
    <t>sam.mrclle</t>
  </si>
  <si>
    <t>https://www.tiktok.com/@sam.mrclle/video/7514404040051150098?is_from_webapp=1&amp;sender_device=pc&amp;web_id=7529868947924829714</t>
  </si>
  <si>
    <t>https://www.tiktok.com/@maya.and.hunter/video/7446935924711116074?is_from_webapp=1&amp;sender_device=pc&amp;web_id=7529868947924829714</t>
  </si>
  <si>
    <t>lenahassan1</t>
  </si>
  <si>
    <t>https://www.tiktok.com/@lenahassan1/video/7535169458814438669?is_from_webapp=1&amp;sender_device=pc&amp;web_id=7529868947924829714</t>
  </si>
  <si>
    <t>Lenahassan1616@gmail.com</t>
  </si>
  <si>
    <t>kaysee786</t>
  </si>
  <si>
    <t>https://www.tiktok.com/@kaysee786/video/7471774843491421462?is_from_webapp=1&amp;sender_device=pc&amp;web_id=7529868947924829714</t>
  </si>
  <si>
    <t>wilsonfarm</t>
  </si>
  <si>
    <t>https://www.tiktok.com/@wilsonfarm/video/7486495250052123934?is_from_webapp=1&amp;sender_device=pc&amp;web_id=7529868947924829714</t>
  </si>
  <si>
    <t>keirstenlanae</t>
  </si>
  <si>
    <t>https://www.tiktok.com/@keirstenlanae/video/7436923559332597038?is_from_webapp=1&amp;sender_device=pc&amp;web_id=7529868947924829714</t>
  </si>
  <si>
    <t>Keirsten@1amtalentgroup.com</t>
  </si>
  <si>
    <t>itsdannimoreno</t>
  </si>
  <si>
    <t>https://www.tiktok.com/@itsdannimoreno/video/7155912067583610118?is_from_webapp=1&amp;sender_device=pc&amp;web_id=7529868947924829714</t>
  </si>
  <si>
    <t>hello@we-are-aria.com</t>
  </si>
  <si>
    <t>natalieeena</t>
  </si>
  <si>
    <t>https://www.tiktok.com/@natalieeena/video/7537200853023804679?is_from_webapp=1&amp;sender_device=pc&amp;web_id=7529868947924829714</t>
  </si>
  <si>
    <t>rrrosette_</t>
  </si>
  <si>
    <t>https://www.tiktok.com/@rrrosette_/video/7529037002340060471?is_from_webapp=1&amp;sender_device=pc&amp;web_id=7529868947924829714</t>
  </si>
  <si>
    <t>let.me.take.a.shelfie</t>
  </si>
  <si>
    <t>https://www.tiktok.com/@let.me.take.a.shelfie/video/7078567798133280002?is_from_webapp=1&amp;sender_device=pc&amp;web_id=7529868947924829714</t>
  </si>
  <si>
    <t>tania_dowd</t>
  </si>
  <si>
    <t>https://www.tiktok.com/@tania_dowd/video/7510572549378428182?is_from_webapp=1&amp;sender_device=pc&amp;web_id=7529868947924829714</t>
  </si>
  <si>
    <t>rosekoreanbeauty</t>
  </si>
  <si>
    <t>https://www.tiktok.com/@rosekoreanbeauty/video/7470125845341048087?is_from_webapp=1&amp;sender_device=pc&amp;web_id=7529868947924829714</t>
  </si>
  <si>
    <t>lucy.wade_</t>
  </si>
  <si>
    <t>https://www.tiktok.com/@lucy.wade_/video/7483834422509210898?is_from_webapp=1&amp;sender_device=pc&amp;web_id=7529868947924829714</t>
  </si>
  <si>
    <t>alexissroberti</t>
  </si>
  <si>
    <t>https://www.tiktok.com/@alexissroberti/video/7150072149552844078?is_from_webapp=1&amp;sender_device=pc&amp;web_id=7529868947924829714</t>
  </si>
  <si>
    <t>taylorladams14</t>
  </si>
  <si>
    <t>https://www.tiktok.com/@taylorladams14/video/7538609170958896398?is_from_webapp=1&amp;sender_device=pc&amp;web_id=7529868947924829714</t>
  </si>
  <si>
    <t>taylor-adams@fromatoztalent.com</t>
  </si>
  <si>
    <t>annikaluciaaa</t>
  </si>
  <si>
    <t>https://www.tiktok.com/@annikaluciaaa/video/7472072364860181782?is_from_webapp=1&amp;sender_device=pc&amp;web_id=7529868947924829714</t>
  </si>
  <si>
    <t>collabs.annikalucia@gmail.com</t>
  </si>
  <si>
    <t>naomi._blackwell</t>
  </si>
  <si>
    <t>https://www.tiktok.com/@naomi._blackwell/video/7501155780700228906?is_from_webapp=1&amp;sender_device=pc&amp;web_id=7529868947924829714</t>
  </si>
  <si>
    <t>teamaqto</t>
  </si>
  <si>
    <t>https://www.tiktok.com/@teamaqto/video/6928491091805179142?is_from_webapp=1&amp;sender_device=pc&amp;web_id=7529868947924829714</t>
  </si>
  <si>
    <t>daniellamonet</t>
  </si>
  <si>
    <t>https://www.tiktok.com/@daniellamonet/video/7402013856194776351?is_from_webapp=1&amp;sender_device=pc&amp;web_id=7529868947924829714</t>
  </si>
  <si>
    <t>kiara.3times</t>
  </si>
  <si>
    <t>https://www.tiktok.com/@kiara.3times/video/7473943120632188202?is_from_webapp=1&amp;sender_device=pc&amp;web_id=7529868947924829714</t>
  </si>
  <si>
    <t>streamcoffee.co</t>
  </si>
  <si>
    <t>https://www.tiktok.com/@streamcoffee.co/video/7502497730611219742?is_from_webapp=1&amp;sender_device=pc&amp;web_id=7529868947924829714</t>
  </si>
  <si>
    <t>aly.mariii</t>
  </si>
  <si>
    <t>https://www.tiktok.com/@aly.mariii/video/7379051333296360747?is_from_webapp=1&amp;sender_device=pc&amp;web_id=7529868947924829714</t>
  </si>
  <si>
    <t>elizajanekjar</t>
  </si>
  <si>
    <t>https://www.tiktok.com/@elizajanekjar/video/7479619719910395182?is_from_webapp=1&amp;sender_device=pc&amp;web_id=7529868947924829714</t>
  </si>
  <si>
    <t>stitchedby.soleil</t>
  </si>
  <si>
    <t>https://www.tiktok.com/@stitchedby.soleil/video/7477644122694700331?is_from_webapp=1&amp;sender_device=pc&amp;web_id=7529868947924829714</t>
  </si>
  <si>
    <t>stitchedbysol@gmail.com</t>
  </si>
  <si>
    <t>tahjaah</t>
  </si>
  <si>
    <t>https://www.tiktok.com/@tahjaah/video/7505541743438220575?is_from_webapp=1&amp;sender_device=pc&amp;web_id=7529868947924829714</t>
  </si>
  <si>
    <t>courtney_marr</t>
  </si>
  <si>
    <t>https://www.tiktok.com/@courtney_marr/video/7293752861274459397?is_from_webapp=1&amp;sender_device=pc&amp;web_id=7529868947924829714</t>
  </si>
  <si>
    <t>milda_new1</t>
  </si>
  <si>
    <t>https://www.tiktok.com/@milda_new1/video/7508012720147402006?is_from_webapp=1&amp;sender_device=pc&amp;web_id=7529868947924829714</t>
  </si>
  <si>
    <t>atiyana.a</t>
  </si>
  <si>
    <t>https://www.tiktok.com/@atiyana.a/video/7532256610312375607?is_from_webapp=1&amp;sender_device=pc&amp;web_id=7529868947924829714</t>
  </si>
  <si>
    <t>topthatdonuts</t>
  </si>
  <si>
    <t>https://www.tiktok.com/@topthatdonuts/video/7503216882074324267?is_from_webapp=1&amp;sender_device=pc&amp;web_id=7529868947924829714</t>
  </si>
  <si>
    <t>thattgirllnyaa</t>
  </si>
  <si>
    <t>https://www.tiktok.com/@thattgirllnyaa/video/7287025629210397995?is_from_webapp=1&amp;sender_device=pc&amp;web_id=7529868947924829714</t>
  </si>
  <si>
    <t>Nyahunter14@gmail.com</t>
  </si>
  <si>
    <t>itsbenreid</t>
  </si>
  <si>
    <t>https://www.tiktok.com/@itsbenreid/video/7487341950459301162?is_from_webapp=1&amp;sender_device=pc&amp;web_id=7529868947924829714</t>
  </si>
  <si>
    <t>ben@masetalentgroup.com</t>
  </si>
  <si>
    <t>bungeeandm22</t>
  </si>
  <si>
    <t>https://www.tiktok.com/@bungeeandm22/video/7471887604171001095?is_from_webapp=1&amp;sender_device=pc&amp;web_id=7529868947924829714</t>
  </si>
  <si>
    <t>user5269680393455</t>
  </si>
  <si>
    <t>https://www.tiktok.com/@user5269680393455/video/7549638561943932215?is_from_webapp=1&amp;sender_device=pc&amp;web_id=7529868947924829714</t>
  </si>
  <si>
    <t>thesmfamily</t>
  </si>
  <si>
    <t>https://www.tiktok.com/@thesmfamily/video/7282099170683456801?is_from_webapp=1&amp;sender_device=pc&amp;web_id=7529868947924829714</t>
  </si>
  <si>
    <t>millie@thecreatorco.co.uk</t>
  </si>
  <si>
    <t>lauralove5514</t>
  </si>
  <si>
    <t>https://www.tiktok.com/@lauralove5514/video/7164947337251392811?is_from_webapp=1&amp;sender_device=pc&amp;web_id=7529868947924829714</t>
  </si>
  <si>
    <t>fangirl_account7</t>
  </si>
  <si>
    <t>https://www.tiktok.com/@fangirl_account7/video/7531776436458278166?is_from_webapp=1&amp;sender_device=pc&amp;web_id=7529868947924829714</t>
  </si>
  <si>
    <t>madsodum</t>
  </si>
  <si>
    <t>https://www.tiktok.com/@madsodum/video/7515116091648085278?is_from_webapp=1&amp;sender_device=pc&amp;web_id=7529868947924829714</t>
  </si>
  <si>
    <t>Fitwithmads@gmail.com</t>
  </si>
  <si>
    <t>abbytuckett</t>
  </si>
  <si>
    <t>https://www.tiktok.com/@abbytuckett/video/7447288464049229102?is_from_webapp=1&amp;sender_device=pc&amp;web_id=7529868947924829714</t>
  </si>
  <si>
    <t>abstuckett@gmail.com</t>
  </si>
  <si>
    <t>vanessalealia</t>
  </si>
  <si>
    <t>https://www.tiktok.com/@vanessalealia/video/7456459942698978562?is_from_webapp=1&amp;sender_device=pc&amp;web_id=7529868947924829714</t>
  </si>
  <si>
    <t>vanessa@sesamyagency.com</t>
  </si>
  <si>
    <t>_e.v08</t>
  </si>
  <si>
    <t>https://www.tiktok.com/@_e.v08/video/7470155628086971681?is_from_webapp=1&amp;sender_device=pc&amp;web_id=7529868947924829714</t>
  </si>
  <si>
    <t>shingojingo</t>
  </si>
  <si>
    <t>https://www.tiktok.com/@shingojingo/video/7474568699698023685?is_from_webapp=1&amp;sender_device=pc&amp;web_id=7529868947924829714</t>
  </si>
  <si>
    <t>silly.bo.billies</t>
  </si>
  <si>
    <t>https://www.tiktok.com/@silly.bo.billies/video/7255017699573746990?is_from_webapp=1&amp;sender_device=pc&amp;web_id=7529868947924829714</t>
  </si>
  <si>
    <t>emilylilburn</t>
  </si>
  <si>
    <t>https://www.tiktok.com/@emilylilburn/video/7507665189349690646?is_from_webapp=1&amp;sender_device=pc&amp;web_id=7529868947924829714</t>
  </si>
  <si>
    <t>emily@niche-commercial.com</t>
  </si>
  <si>
    <t>taleasophiarogel</t>
  </si>
  <si>
    <t>https://www.tiktok.com/@taleasophiarogel/video/7469460089041095958?is_from_webapp=1&amp;sender_device=pc&amp;web_id=7529868947924829714</t>
  </si>
  <si>
    <t>clarissa-lucattini@grail-talent.com</t>
  </si>
  <si>
    <t>hannah.moyav</t>
  </si>
  <si>
    <t>https://www.tiktok.com/@hannah.moyav/video/7548791200996789520?is_from_webapp=1&amp;sender_device=pc&amp;web_id=7529868947924829714</t>
  </si>
  <si>
    <t>https://www.tiktok.com/@thesmfamily/video/7162643862027111686?is_from_webapp=1&amp;sender_device=pc&amp;web_id=7529868947924829714</t>
  </si>
  <si>
    <t>tillyoddyblack</t>
  </si>
  <si>
    <t>https://www.tiktok.com/@tillyoddyblack/video/7321661606016863496?is_from_webapp=1&amp;sender_device=pc&amp;web_id=7529868947924829714</t>
  </si>
  <si>
    <t>admin@creativerep.com.au</t>
  </si>
  <si>
    <t>thelittleledger._</t>
  </si>
  <si>
    <t>https://www.tiktok.com/@thelittleledger._/video/7523182379989519634?is_from_webapp=1&amp;sender_device=pc&amp;web_id=7529868947924829714</t>
  </si>
  <si>
    <t>daniiiyrmrz</t>
  </si>
  <si>
    <t>https://www.tiktok.com/@daniiiyrmrz/video/7484753324378475819?is_from_webapp=1&amp;sender_device=pc&amp;web_id=7529868947924829714</t>
  </si>
  <si>
    <t>https://www.tiktok.com/@tazandalessia/video/7359840999444614418?is_from_webapp=1&amp;sender_device=pc&amp;web_id=7529868947924829714</t>
  </si>
  <si>
    <t>iamabiarchila</t>
  </si>
  <si>
    <t>https://www.tiktok.com/@iamabiarchila/video/7496315914032319786?is_from_webapp=1&amp;sender_device=pc&amp;web_id=7529868947924829714</t>
  </si>
  <si>
    <t>teamabi@fixated.com</t>
  </si>
  <si>
    <t>flaatch</t>
  </si>
  <si>
    <t>https://www.tiktok.com/@flaatch/video/7472839351370616086?is_from_webapp=1&amp;sender_device=pc&amp;web_id=7529868947924829714</t>
  </si>
  <si>
    <t>hannah.ry</t>
  </si>
  <si>
    <t>https://www.tiktok.com/@hannah.ry/video/7468098832778218757?is_from_webapp=1&amp;sender_device=pc&amp;web_id=7529868947924829714</t>
  </si>
  <si>
    <t>hannahry123@gmail.com</t>
  </si>
  <si>
    <t>brooklynandbailey</t>
  </si>
  <si>
    <t>https://www.tiktok.com/@brooklynandbailey/video/6874323053795462406?is_from_webapp=1&amp;sender_device=pc&amp;web_id=7529868947924829714</t>
  </si>
  <si>
    <t>elenataber</t>
  </si>
  <si>
    <t>https://www.tiktok.com/@elenataber/video/7417794321971186975?is_from_webapp=1&amp;sender_device=pc&amp;web_id=7529868947924829714</t>
  </si>
  <si>
    <t>abigail_maybe</t>
  </si>
  <si>
    <t>https://www.tiktok.com/@abigail_maybe/video/7469882487070543137?is_from_webapp=1&amp;sender_device=pc&amp;web_id=7529868947924829714</t>
  </si>
  <si>
    <t>thefatkat.mnl</t>
  </si>
  <si>
    <t>https://www.tiktok.com/@thefatkat.mnl/video/7520563155798461704?is_from_webapp=1&amp;sender_device=pc&amp;web_id=7529868947924829714</t>
  </si>
  <si>
    <t>samandmonica</t>
  </si>
  <si>
    <t>https://www.tiktok.com/@samandmonica/video/6900651147430792449?is_from_webapp=1&amp;sender_device=pc&amp;web_id=7529868947924829714</t>
  </si>
  <si>
    <t>raimeetravel</t>
  </si>
  <si>
    <t>https://www.tiktok.com/@raimeetravel/video/7513699333091380510?is_from_webapp=1&amp;sender_device=pc&amp;web_id=7529868947924829714</t>
  </si>
  <si>
    <t>raimee@anchormedia.com</t>
  </si>
  <si>
    <t>quelriveraa</t>
  </si>
  <si>
    <t>https://www.tiktok.com/@quelriveraa/video/7468488046334201119?is_from_webapp=1&amp;sender_device=pc&amp;web_id=7529868947924829714</t>
  </si>
  <si>
    <t>graciebclarkk</t>
  </si>
  <si>
    <t>https://www.tiktok.com/@graciebclarkk/video/7472164055789161734?is_from_webapp=1&amp;sender_device=pc&amp;web_id=7529868947924829714</t>
  </si>
  <si>
    <t>graciebclark.business@gmail.com</t>
  </si>
  <si>
    <t>jcstrudel</t>
  </si>
  <si>
    <t>https://www.tiktok.com/@jcstrudel/video/6862126065985326341?is_from_webapp=1&amp;sender_device=pc&amp;web_id=7529868947924829714</t>
  </si>
  <si>
    <t>ameliekpf</t>
  </si>
  <si>
    <t>https://www.tiktok.com/@ameliekpf/video/7376186208277368097?is_from_webapp=1&amp;sender_device=pc&amp;web_id=7529868947924829714</t>
  </si>
  <si>
    <t>amelie@graceissey.com</t>
  </si>
  <si>
    <t>avaareadsss</t>
  </si>
  <si>
    <t>https://www.tiktok.com/@avaareadsss/video/7481733247781670186?is_from_webapp=1&amp;sender_device=pc&amp;web_id=7529868947924829714</t>
  </si>
  <si>
    <t>avartobin@gmail.com</t>
  </si>
  <si>
    <t>cilantros.claxton</t>
  </si>
  <si>
    <t>https://www.tiktok.com/@cilantros.claxton/video/7531144469454933262?is_from_webapp=1&amp;sender_device=pc&amp;web_id=7529868947924829714</t>
  </si>
  <si>
    <t>dallinxbella</t>
  </si>
  <si>
    <t>https://www.tiktok.com/@dallinxbella/video/6870187581661891845?is_from_webapp=1&amp;sender_device=pc&amp;web_id=7529868947924829714</t>
  </si>
  <si>
    <t>aims.lc</t>
  </si>
  <si>
    <t>https://www.tiktok.com/@aims.lc/video/7303732432702852354?is_from_webapp=1&amp;sender_device=pc&amp;web_id=7529868947924829714</t>
  </si>
  <si>
    <t>Alyssa@bornbredtalent.com</t>
  </si>
  <si>
    <t>4ng3lofdeath</t>
  </si>
  <si>
    <t>https://www.tiktok.com/@4ng3lofdeath/video/7474866995838684446?is_from_webapp=1&amp;sender_device=pc&amp;web_id=7529868947924829714</t>
  </si>
  <si>
    <t>cueandcurtain</t>
  </si>
  <si>
    <t>https://www.tiktok.com/@cueandcurtain/video/7464724493915770142?is_from_webapp=1&amp;sender_device=pc&amp;web_id=7529868947924829714</t>
  </si>
  <si>
    <t>jojohnsonoverby</t>
  </si>
  <si>
    <t>https://www.tiktok.com/@jojohnsonoverby/video/6865121899702144262?is_from_webapp=1&amp;sender_device=pc&amp;web_id=7529868947924829714</t>
  </si>
  <si>
    <t>theoverbys@parkertalentmanagement.com</t>
  </si>
  <si>
    <t>ela75178</t>
  </si>
  <si>
    <t>https://www.tiktok.com/@ela75178/video/7521791715565456653?is_from_webapp=1&amp;sender_device=pc&amp;web_id=7529868947924829714</t>
  </si>
  <si>
    <t>emanuelawrepetto@gmail.com</t>
  </si>
  <si>
    <t>julzinnovations</t>
  </si>
  <si>
    <t>https://www.tiktok.com/@julzinnovations/video/7502192886704868613?is_from_webapp=1&amp;sender_device=pc&amp;web_id=7529868947924829714</t>
  </si>
  <si>
    <t>julz.innovations@hotmail.com</t>
  </si>
  <si>
    <t>kianapay</t>
  </si>
  <si>
    <t>https://www.tiktok.com/@kianapay/video/7505370434251066646?is_from_webapp=1&amp;sender_device=pc&amp;web_id=7529868947924829714</t>
  </si>
  <si>
    <t>noahschnacky</t>
  </si>
  <si>
    <t>https://www.tiktok.com/@noahschnacky/video/6872434374806080773?is_from_webapp=1&amp;sender_device=pc&amp;web_id=7529868947924829714</t>
  </si>
  <si>
    <t>logynbrown</t>
  </si>
  <si>
    <t>https://www.tiktok.com/@logynbrown/video/7481431117216861486?is_from_webapp=1&amp;sender_device=pc&amp;web_id=7529868947924829714</t>
  </si>
  <si>
    <t>logynmbrown@gmail.com</t>
  </si>
  <si>
    <t>michelleraskin</t>
  </si>
  <si>
    <t>https://www.tiktok.com/@michelleraskin/video/7470773114905906462?is_from_webapp=1&amp;sender_device=pc&amp;web_id=7529868947924829714</t>
  </si>
  <si>
    <t>mere.joyy</t>
  </si>
  <si>
    <t>https://www.tiktok.com/@mere.joyy/video/7458064521970863406?is_from_webapp=1&amp;sender_device=pc&amp;web_id=7529868947924829714</t>
  </si>
  <si>
    <t>kayla@grail-talent.com</t>
  </si>
  <si>
    <t>teambalmert</t>
  </si>
  <si>
    <t>https://www.tiktok.com/@teambalmert/video/6868695489408208133?is_from_webapp=1&amp;sender_device=pc&amp;web_id=7529868947924829714</t>
  </si>
  <si>
    <t>TeamBalmert@gmail.com</t>
  </si>
  <si>
    <t>nikimahmoudi</t>
  </si>
  <si>
    <t>https://www.tiktok.com/@nikimahmoudi/video/7484110596850388279?is_from_webapp=1&amp;sender_device=pc&amp;web_id=7529868947924829714</t>
  </si>
  <si>
    <t>robbiejay_somesay</t>
  </si>
  <si>
    <t>https://www.tiktok.com/@robbiejay_somesay/video/7470912449848429846?is_from_webapp=1&amp;sender_device=pc&amp;web_id=7529868947924829714</t>
  </si>
  <si>
    <t>natalie.and.oliver</t>
  </si>
  <si>
    <t>https://www.tiktok.com/@natalie.and.oliver/video/7475046884193635592?is_from_webapp=1&amp;sender_device=pc&amp;web_id=7529868947924829714</t>
  </si>
  <si>
    <t>oliverkaasgaard@gmail.com</t>
  </si>
  <si>
    <t>lukeandalexis1</t>
  </si>
  <si>
    <t>https://www.tiktok.com/@lukeandalexis1/video/7050987830880800047?is_from_webapp=1&amp;sender_device=pc&amp;web_id=7529868947924829714</t>
  </si>
  <si>
    <t>davis.benz@grail-talent.com</t>
  </si>
  <si>
    <t>ash.bartolo</t>
  </si>
  <si>
    <t>https://www.tiktok.com/@ash.bartolo/video/7439303680978898192?is_from_webapp=1&amp;sender_device=pc&amp;web_id=7529868947924829714</t>
  </si>
  <si>
    <t>ilovemybf_158</t>
  </si>
  <si>
    <t>https://www.tiktok.com/@ilovemybf_158/video/7539091005350350094?is_from_webapp=1&amp;sender_device=pc&amp;web_id=7529868947924829714</t>
  </si>
  <si>
    <t>milosoftserve</t>
  </si>
  <si>
    <t>https://www.tiktok.com/@milosoftserve/video/7458301755831405842?is_from_webapp=1&amp;sender_device=pc&amp;web_id=7529868947924829714</t>
  </si>
  <si>
    <t>.alaynagrace</t>
  </si>
  <si>
    <t>https://www.tiktok.com/@.alaynagrace/video/7065453334089731375?is_from_webapp=1&amp;sender_device=pc&amp;web_id=7529868947924829714</t>
  </si>
  <si>
    <t>alaynagracemusic@gmail.com</t>
  </si>
  <si>
    <t>jordann.francis</t>
  </si>
  <si>
    <t>https://www.tiktok.com/@jordann.francis/video/7521394157508726071?is_from_webapp=1&amp;sender_device=pc&amp;web_id=7529868947924829714</t>
  </si>
  <si>
    <t>jordanfrancis7073@gmail.com</t>
  </si>
  <si>
    <t>revofitness</t>
  </si>
  <si>
    <t>https://www.tiktok.com/@revofitness/video/7480458900974734593?is_from_webapp=1&amp;sender_device=pc&amp;web_id=7529868947924829714</t>
  </si>
  <si>
    <t>queensarmsoxton</t>
  </si>
  <si>
    <t>https://www.tiktok.com/@queensarmsoxton/video/7496957779815533846?is_from_webapp=1&amp;sender_device=pc&amp;web_id=7529868947924829714</t>
  </si>
  <si>
    <t>madisonlunde</t>
  </si>
  <si>
    <t>https://www.tiktok.com/@madisonlunde/video/6879627931681918214?is_from_webapp=1&amp;sender_device=pc&amp;web_id=7529868947924829714</t>
  </si>
  <si>
    <t>maddieroselunde@gmail.com</t>
  </si>
  <si>
    <t>sammii.moore</t>
  </si>
  <si>
    <t>https://www.tiktok.com/@sammii.moore/video/7478402389863681310?is_from_webapp=1&amp;sender_device=pc&amp;web_id=7529868947924829714</t>
  </si>
  <si>
    <t>sammimoore29@gmail.com</t>
  </si>
  <si>
    <t>vievemuse</t>
  </si>
  <si>
    <t>https://www.tiktok.com/@vievemuse/video/7473920373990362390?is_from_webapp=1&amp;sender_device=pc&amp;web_id=7529868947924829714</t>
  </si>
  <si>
    <t>dakotas.paige</t>
  </si>
  <si>
    <t>https://www.tiktok.com/@dakotas.paige/video/7474077515833740590?is_from_webapp=1&amp;sender_device=pc&amp;web_id=7529868947924829714</t>
  </si>
  <si>
    <t>dakotapaigecollabs@gmail.com</t>
  </si>
  <si>
    <t>ray_mo423</t>
  </si>
  <si>
    <t>https://www.tiktok.com/@ray_mo423/video/7092151107442445610?is_from_webapp=1&amp;sender_device=pc&amp;web_id=7529868947924829714</t>
  </si>
  <si>
    <t>gonzalez_jaycee</t>
  </si>
  <si>
    <t>https://www.tiktok.com/@gonzalez_jaycee/video/7506537353423424799?is_from_webapp=1&amp;sender_device=pc&amp;web_id=7529868947924829714</t>
  </si>
  <si>
    <t>vinyl.malte</t>
  </si>
  <si>
    <t>https://www.tiktok.com/@vinyl.malte/video/7527619628349099266?is_from_webapp=1&amp;sender_device=pc&amp;web_id=7529868947924829714</t>
  </si>
  <si>
    <t>mileswithellieandemma</t>
  </si>
  <si>
    <t>https://www.tiktok.com/@mileswithellieandemma/video/7468427583370120479?is_from_webapp=1&amp;sender_device=pc&amp;web_id=7529868947924829714</t>
  </si>
  <si>
    <t>kayleearmbrust</t>
  </si>
  <si>
    <t>https://www.tiktok.com/@kayleearmbrust/video/7014634000211823878?is_from_webapp=1&amp;sender_device=pc&amp;web_id=7529868947924829714</t>
  </si>
  <si>
    <t>muakays@gmail.com</t>
  </si>
  <si>
    <t>dearblairies</t>
  </si>
  <si>
    <t>https://www.tiktok.com/@dearblairies/video/7527568239564459271?is_from_webapp=1&amp;sender_device=pc&amp;web_id=7529868947924829714</t>
  </si>
  <si>
    <t>blairblehh@gmail.com</t>
  </si>
  <si>
    <t>matchpointmatcha</t>
  </si>
  <si>
    <t>https://www.tiktok.com/@matchpointmatcha/video/7491726140726431007?is_from_webapp=1&amp;sender_device=pc&amp;web_id=7529868947924829714</t>
  </si>
  <si>
    <t>themskarib</t>
  </si>
  <si>
    <t>https://www.tiktok.com/@themskarib/video/7473153571861761326?is_from_webapp=1&amp;sender_device=pc&amp;web_id=7529868947924829714</t>
  </si>
  <si>
    <t>karib@sunandskyentertainment.com</t>
  </si>
  <si>
    <t>paytonmelphy</t>
  </si>
  <si>
    <t>https://www.tiktok.com/@paytonmelphy/video/6853879451411926277?is_from_webapp=1&amp;sender_device=pc&amp;web_id=7529868947924829714</t>
  </si>
  <si>
    <t>sydneybmichelle</t>
  </si>
  <si>
    <t>https://www.tiktok.com/@sydneybmichelle/video/7469934973923986734?is_from_webapp=1&amp;sender_device=pc&amp;web_id=7529868947924829714</t>
  </si>
  <si>
    <t>collabwithsyd@gmail.com</t>
  </si>
  <si>
    <t>mancavebartender</t>
  </si>
  <si>
    <t>https://www.tiktok.com/@mancavebartender/video/7471353935249378562?is_from_webapp=1&amp;sender_device=pc&amp;web_id=7529868947924829714</t>
  </si>
  <si>
    <t>Mcbartender1@gmail.com</t>
  </si>
  <si>
    <t>ourkiver</t>
  </si>
  <si>
    <t>https://www.tiktok.com/@ourkiver/video/7478957731022458120?is_from_webapp=1&amp;sender_device=pc&amp;web_id=7529868947924829714</t>
  </si>
  <si>
    <t>mbraver6</t>
  </si>
  <si>
    <t>https://www.tiktok.com/@mbraver6/video/6860568612155952389?is_from_webapp=1&amp;sender_device=pc&amp;web_id=7529868947924829714</t>
  </si>
  <si>
    <t>realdrseattle</t>
  </si>
  <si>
    <t>https://www.tiktok.com/@realdrseattle/video/7477786958366838058?is_from_webapp=1&amp;sender_device=pc&amp;web_id=7529868947924829714</t>
  </si>
  <si>
    <t>yotheregoeschris_</t>
  </si>
  <si>
    <t>https://www.tiktok.com/@yotheregoeschris_/video/7472776896971918635?is_from_webapp=1&amp;sender_device=pc&amp;web_id=7529868947924829714</t>
  </si>
  <si>
    <t>allysonlindsey7</t>
  </si>
  <si>
    <t>https://www.tiktok.com/@allysonlindsey7/video/7481821040893742382?is_from_webapp=1&amp;sender_device=pc&amp;web_id=7529868947924829714</t>
  </si>
  <si>
    <t>Jacksonally77@gmail.com</t>
  </si>
  <si>
    <t>courtschaos</t>
  </si>
  <si>
    <t>https://www.tiktok.com/@courtschaos/video/6863637435503447302?is_from_webapp=1&amp;sender_device=pc&amp;web_id=7529868947924829714</t>
  </si>
  <si>
    <t>courtschaosmgmt@gmail</t>
  </si>
  <si>
    <t>myhome_inspo</t>
  </si>
  <si>
    <t>https://www.tiktok.com/@myhome_inspo/video/7452912102232149291?is_from_webapp=1&amp;sender_device=pc&amp;web_id=7529868947924829714</t>
  </si>
  <si>
    <t>homeinspo2@gmail.com</t>
  </si>
  <si>
    <t>charlies.desserts</t>
  </si>
  <si>
    <t>https://www.tiktok.com/@charlies.desserts/video/7488381501722103062?is_from_webapp=1&amp;sender_device=pc&amp;web_id=7529868947924829714</t>
  </si>
  <si>
    <t>maaikelothmann</t>
  </si>
  <si>
    <t>https://www.tiktok.com/@maaikelothmann/video/7509838758376656150?is_from_webapp=1&amp;sender_device=pc&amp;web_id=7529868947924829714</t>
  </si>
  <si>
    <t>julia_and_bobby</t>
  </si>
  <si>
    <t>https://www.tiktok.com/@julia_and_bobby/video/6870854764813421829?is_from_webapp=1&amp;sender_device=pc&amp;web_id=7529868947924829714</t>
  </si>
  <si>
    <t>allieee_lynn</t>
  </si>
  <si>
    <t>https://www.tiktok.com/@allieee_lynn/video/7447228877123996970?is_from_webapp=1&amp;sender_device=pc&amp;web_id=7529868947924829714</t>
  </si>
  <si>
    <t>meagan_smith_</t>
  </si>
  <si>
    <t>https://www.tiktok.com/@meagan_smith_/video/7473634446202293550?is_from_webapp=1&amp;sender_device=pc&amp;web_id=7529868947924829714</t>
  </si>
  <si>
    <t>meagansmithcollabs@gmail.com</t>
  </si>
  <si>
    <t>ambriel.g</t>
  </si>
  <si>
    <t>https://www.tiktok.com/@ambriel.g/video/7475261094358027538?is_from_webapp=1&amp;sender_device=pc&amp;web_id=7529868947924829714</t>
  </si>
  <si>
    <t>rhemaelaine</t>
  </si>
  <si>
    <t>https://www.tiktok.com/@rhemaelaine/video/7168190044761754926?is_from_webapp=1&amp;sender_device=pc&amp;web_id=7529868947924829714</t>
  </si>
  <si>
    <t>cultadoptee</t>
  </si>
  <si>
    <t>https://www.tiktok.com/@cultadoptee/video/7330440561218030894?is_from_webapp=1&amp;sender_device=pc&amp;web_id=7529868947924829714</t>
  </si>
  <si>
    <t>blaze_star86_</t>
  </si>
  <si>
    <t>https://www.tiktok.com/@blaze_star86_/video/7473529209462246698?is_from_webapp=1&amp;sender_device=pc&amp;web_id=7529868947924829714</t>
  </si>
  <si>
    <t>corwithmomo</t>
  </si>
  <si>
    <t>https://www.tiktok.com/@corwithmomo/video/7460936861276474625?is_from_webapp=1&amp;sender_device=pc&amp;web_id=7529868947924829714</t>
  </si>
  <si>
    <t>corandmomo@gmail.com</t>
  </si>
  <si>
    <t>aaronxpia</t>
  </si>
  <si>
    <t>https://www.tiktok.com/@aaronxpia/video/6937703237797547269?is_from_webapp=1&amp;sender_device=pc&amp;web_id=7529868947924829714</t>
  </si>
  <si>
    <t>aaronxpia@gmail.com</t>
  </si>
  <si>
    <t>gracemayofficial</t>
  </si>
  <si>
    <t>https://www.tiktok.com/@gracemayofficial/video/7449537082806095134?is_from_webapp=1&amp;sender_device=pc&amp;web_id=7529868947924829714</t>
  </si>
  <si>
    <t>gracemay@select.co</t>
  </si>
  <si>
    <t>perriesian</t>
  </si>
  <si>
    <t>https://www.tiktok.com/@perriesian/video/7470540605106507030?is_from_webapp=1&amp;sender_device=pc&amp;web_id=7529868947924829714</t>
  </si>
  <si>
    <t>hannah.lamden@finerymedia.com</t>
  </si>
  <si>
    <t>gabriellarongstad</t>
  </si>
  <si>
    <t>https://www.tiktok.com/@gabriellarongstad/video/7517819158181072159?is_from_webapp=1&amp;sender_device=pc&amp;web_id=7529868947924829714</t>
  </si>
  <si>
    <t>Gabriellarongstad@shinetalentgroup.com</t>
  </si>
  <si>
    <t>laney.higgins</t>
  </si>
  <si>
    <t>https://www.tiktok.com/@laney.higgins/video/7345194521266752810?is_from_webapp=1&amp;sender_device=pc&amp;web_id=7529868947924829714</t>
  </si>
  <si>
    <t>lrhiggins04@gmail.com</t>
  </si>
  <si>
    <t>brookemiccio</t>
  </si>
  <si>
    <t>https://www.tiktok.com/@brookemiccio/video/7539302150401215774?is_from_webapp=1&amp;sender_device=pc&amp;web_id=7529868947924829714</t>
  </si>
  <si>
    <t>brookemiccio@underscoretalent.com</t>
  </si>
  <si>
    <t>marcel.sawa</t>
  </si>
  <si>
    <t>https://www.tiktok.com/@marcel.sawa/video/7492493713042656518?is_from_webapp=1&amp;sender_device=pc&amp;web_id=7529868947924829714</t>
  </si>
  <si>
    <t>rachelgwilson</t>
  </si>
  <si>
    <t>https://www.tiktok.com/@rachelgwilson/video/7468785837988121887?is_from_webapp=1&amp;sender_device=pc&amp;web_id=7529868947924829714</t>
  </si>
  <si>
    <t>Rachelw@v1sionventures.com</t>
  </si>
  <si>
    <t>katikay2099</t>
  </si>
  <si>
    <t>https://www.tiktok.com/@katikay2099/video/6856143063937584389?is_from_webapp=1&amp;sender_device=pc&amp;web_id=7529868947924829714</t>
  </si>
  <si>
    <t>katelazarski</t>
  </si>
  <si>
    <t>https://www.tiktok.com/@katelazarski/video/7449040803344698654?is_from_webapp=1&amp;sender_device=pc&amp;web_id=7529868947924829714</t>
  </si>
  <si>
    <t>jennajoyo</t>
  </si>
  <si>
    <t>https://www.tiktok.com/@jennajoyo/video/7471026941265513758?is_from_webapp=1&amp;sender_device=pc&amp;web_id=7529868947924829714</t>
  </si>
  <si>
    <t>mariogelato</t>
  </si>
  <si>
    <t>https://www.tiktok.com/@mariogelato/video/7517679688492387606?is_from_webapp=1&amp;sender_device=pc&amp;web_id=7529868947924829714</t>
  </si>
  <si>
    <t>mario-gelato@gmx.de</t>
  </si>
  <si>
    <t>ryryvanderhorst</t>
  </si>
  <si>
    <t>https://www.tiktok.com/@ryryvanderhorst/video/6854667145138261254?is_from_webapp=1&amp;sender_device=pc&amp;web_id=7529868947924829714</t>
  </si>
  <si>
    <t>sophie_concio</t>
  </si>
  <si>
    <t>https://www.tiktok.com/@sophie_concio/video/7457768621557828870?is_from_webapp=1&amp;sender_device=pc&amp;web_id=7529868947924829714</t>
  </si>
  <si>
    <t>olfabk_j</t>
  </si>
  <si>
    <t>https://www.tiktok.com/@olfabk_j/video/7471757751388032311?is_from_webapp=1&amp;sender_device=pc&amp;web_id=7529868947924829714</t>
  </si>
  <si>
    <t>chanice.75</t>
  </si>
  <si>
    <t>https://www.tiktok.com/@chanice.75/video/7511374246594055446?is_from_webapp=1&amp;sender_device=pc&amp;web_id=7529868947924829714</t>
  </si>
  <si>
    <t>thebubnies</t>
  </si>
  <si>
    <t>https://www.tiktok.com/@thebubnies/video/7446428441165057323?is_from_webapp=1&amp;sender_device=pc&amp;web_id=7529868947924829714</t>
  </si>
  <si>
    <t>ourhistoricalhouse</t>
  </si>
  <si>
    <t>https://www.tiktok.com/@ourhistoricalhouse/video/7461733763945418027?is_from_webapp=1&amp;sender_device=pc&amp;web_id=7529868947924829714</t>
  </si>
  <si>
    <t>ourhistoricalhouse@gmail.com</t>
  </si>
  <si>
    <t>me.and.romy</t>
  </si>
  <si>
    <t>https://www.tiktok.com/@me.and.romy/video/7472877074097786143?is_from_webapp=1&amp;sender_device=pc&amp;web_id=7529868947924829714</t>
  </si>
  <si>
    <t>clara3012</t>
  </si>
  <si>
    <t>https://www.tiktok.com/@clara3012/video/7493612993876430102?is_from_webapp=1&amp;sender_device=pc&amp;web_id=7529868947924829714</t>
  </si>
  <si>
    <t>clara-panam@outlook.com</t>
  </si>
  <si>
    <t>meechandmeno</t>
  </si>
  <si>
    <t>https://www.tiktok.com/@meechandmeno/video/7454349452443290926?is_from_webapp=1&amp;sender_device=pc&amp;web_id=7529868947924829714</t>
  </si>
  <si>
    <t>samiah.deyanira</t>
  </si>
  <si>
    <t>https://www.tiktok.com/@samiah.deyanira/video/7487977789606481182?is_from_webapp=1&amp;sender_device=pc&amp;web_id=7529868947924829714</t>
  </si>
  <si>
    <t>heathermaex</t>
  </si>
  <si>
    <t>https://www.tiktok.com/@heathermaex/video/7472054081654115606?is_from_webapp=1&amp;sender_device=pc&amp;web_id=7529868947924829714</t>
  </si>
  <si>
    <t>heathermae333@gmail.com</t>
  </si>
  <si>
    <t>sweetlifeofbria</t>
  </si>
  <si>
    <t>https://www.tiktok.com/@sweetlifeofbria/video/7475916055693708590?is_from_webapp=1&amp;sender_device=pc&amp;web_id=7529868947924829714</t>
  </si>
  <si>
    <t>hannahandregal</t>
  </si>
  <si>
    <t>https://www.tiktok.com/@hannahandregal/video/7450240354080623915?is_from_webapp=1&amp;sender_device=pc&amp;web_id=7529868947924829714</t>
  </si>
  <si>
    <t>hannahandregal@creatorsociety.com</t>
  </si>
  <si>
    <t>kozykalena</t>
  </si>
  <si>
    <t>https://www.tiktok.com/@kozykalena/video/7480918769498459423?is_from_webapp=1&amp;sender_device=pc&amp;web_id=7529868947924829714</t>
  </si>
  <si>
    <t>kalenawhite16@gmail.com</t>
  </si>
  <si>
    <t>itsashayy</t>
  </si>
  <si>
    <t>https://www.tiktok.com/@itsashayy/video/7469815866595577131?is_from_webapp=1&amp;sender_device=pc&amp;web_id=7529868947924829714</t>
  </si>
  <si>
    <t>ashlihoyle@yahoo.com</t>
  </si>
  <si>
    <t>lizzy.witha.y</t>
  </si>
  <si>
    <t>https://www.tiktok.com/@lizzy.witha.y/video/7464177014212218130?is_from_webapp=1&amp;sender_device=pc&amp;web_id=7529868947924829714</t>
  </si>
  <si>
    <t>allyduhrey</t>
  </si>
  <si>
    <t>https://www.tiktok.com/@allyduhrey/video/7324144964298886443?is_from_webapp=1&amp;sender_device=pc&amp;web_id=7529868947924829714</t>
  </si>
  <si>
    <t>emelie_shr</t>
  </si>
  <si>
    <t>https://www.tiktok.com/@emelie_shr/video/7462053983746559254?is_from_webapp=1&amp;sender_device=pc&amp;web_id=7529868947924829714</t>
  </si>
  <si>
    <t>eschaare09@gmail.com</t>
  </si>
  <si>
    <t>xhollyxoxo3</t>
  </si>
  <si>
    <t>https://www.tiktok.com/@xhollyxoxo3/video/7506991025437560086?is_from_webapp=1&amp;sender_device=pc&amp;web_id=7529868947924829714</t>
  </si>
  <si>
    <t>weluvvniki</t>
  </si>
  <si>
    <t>https://www.tiktok.com/@weluvvniki/video/7520609393587539222?is_from_webapp=1&amp;sender_device=pc&amp;web_id=7529868947924829714</t>
  </si>
  <si>
    <t>nikitabrangstrup@gmail.com</t>
  </si>
  <si>
    <t>madi.weeks</t>
  </si>
  <si>
    <t>https://www.tiktok.com/@madi.weeks/video/7199382873395236138?is_from_webapp=1&amp;sender_device=pc&amp;web_id=7529868947924829714</t>
  </si>
  <si>
    <t>thegolden_mav</t>
  </si>
  <si>
    <t>https://www.tiktok.com/@thegolden_mav/video/7307834877032893739?is_from_webapp=1&amp;sender_device=pc&amp;web_id=7529868947924829714</t>
  </si>
  <si>
    <t>sillyslimesierra</t>
  </si>
  <si>
    <t>https://www.tiktok.com/@sillyslimesierra/video/7534903020941774110?is_from_webapp=1&amp;sender_device=pc&amp;web_id=7529868947924829714</t>
  </si>
  <si>
    <t>samanthamejia75</t>
  </si>
  <si>
    <t>https://www.tiktok.com/@samanthamejia75/video/7523321780958678302?is_from_webapp=1&amp;sender_device=pc&amp;web_id=7529868947924829714</t>
  </si>
  <si>
    <t>samanthamejia343@gmail.com</t>
  </si>
  <si>
    <t>morgancrowder13</t>
  </si>
  <si>
    <t>https://www.tiktok.com/@morgancrowder13/video/6853228937258994950?is_from_webapp=1&amp;sender_device=pc&amp;web_id=7529868947924829714</t>
  </si>
  <si>
    <t>its.parkermartin</t>
  </si>
  <si>
    <t>https://www.tiktok.com/@its.parkermartin/video/7517524318708927799?is_from_webapp=1&amp;sender_device=pc&amp;web_id=7529868947924829714</t>
  </si>
  <si>
    <t>pmartbrands@gmail.com</t>
  </si>
  <si>
    <t>itz._yae</t>
  </si>
  <si>
    <t>https://www.tiktok.com/@itz._yae/video/7467913042555178283?is_from_webapp=1&amp;sender_device=pc&amp;web_id=7529868947924829714</t>
  </si>
  <si>
    <t>thecousins.lifee</t>
  </si>
  <si>
    <t>https://www.tiktok.com/@thecousins.lifee/video/7506953551789231382?is_from_webapp=1&amp;sender_device=pc&amp;web_id=7529868947924829714</t>
  </si>
  <si>
    <t>mconley_</t>
  </si>
  <si>
    <t>https://www.tiktok.com/@mconley_/video/6866580678541151494?is_from_webapp=1&amp;sender_device=pc&amp;web_id=7529868947924829714</t>
  </si>
  <si>
    <t>wild_milk</t>
  </si>
  <si>
    <t>https://www.tiktok.com/@wild_milk/video/7466857100853923103?is_from_webapp=1&amp;sender_device=pc&amp;web_id=7529868947924829714</t>
  </si>
  <si>
    <t>Mikwildbusiness@gmail.com</t>
  </si>
  <si>
    <t>jamesfan826</t>
  </si>
  <si>
    <t>https://www.tiktok.com/@jamesfan826/video/7485927393517997342?is_from_webapp=1&amp;sender_device=pc&amp;web_id=7529868947924829714</t>
  </si>
  <si>
    <t>aikoflynn</t>
  </si>
  <si>
    <t>https://www.tiktok.com/@aikoflynn/video/7506328532289637688?is_from_webapp=1&amp;sender_device=pc&amp;web_id=7529868947924829714</t>
  </si>
  <si>
    <t>jessicathoday</t>
  </si>
  <si>
    <t>https://www.tiktok.com/@jessicathoday/video/7293454371667447047?is_from_webapp=1&amp;sender_device=pc&amp;web_id=7529868947924829714</t>
  </si>
  <si>
    <t>elina@huume.com.au</t>
  </si>
  <si>
    <t>jenna._.shay</t>
  </si>
  <si>
    <t>https://www.tiktok.com/@jenna._.shay/video/7534635126777597215?is_from_webapp=1&amp;sender_device=pc&amp;web_id=7529868947924829714</t>
  </si>
  <si>
    <t>iconic0lov3</t>
  </si>
  <si>
    <t>https://www.tiktok.com/@iconic0lov3/video/7508093491201854750?is_from_webapp=1&amp;sender_device=pc&amp;web_id=7529868947924829714</t>
  </si>
  <si>
    <t>24nicok@gmail.com</t>
  </si>
  <si>
    <t>iamprimmm</t>
  </si>
  <si>
    <t>https://www.tiktok.com/@iamprimmm/video/7531261131722132754?is_from_webapp=1&amp;sender_device=pc&amp;web_id=7529868947924829714</t>
  </si>
  <si>
    <t>carrington143</t>
  </si>
  <si>
    <t>https://www.tiktok.com/@carrington143/video/7213188230492409134?is_from_webapp=1&amp;sender_device=pc&amp;web_id=7529868947924829714</t>
  </si>
  <si>
    <t>lamont@empiresocialmgmt.com</t>
  </si>
  <si>
    <t>simranbagria</t>
  </si>
  <si>
    <t>https://www.tiktok.com/@simranbagria/video/7540289472752291095?is_from_webapp=1&amp;sender_device=pc&amp;web_id=7529868947924829714</t>
  </si>
  <si>
    <t>simk.enquiries@gmail.com</t>
  </si>
  <si>
    <t>josymariiee</t>
  </si>
  <si>
    <t>https://www.tiktok.com/@josymariiee/video/7469113163338779926?is_from_webapp=1&amp;sender_device=pc&amp;web_id=7529868947924829714</t>
  </si>
  <si>
    <t>linda.szaa</t>
  </si>
  <si>
    <t>https://www.tiktok.com/@linda.szaa/video/7505803202105740546?is_from_webapp=1&amp;sender_device=pc&amp;web_id=7529868947924829714</t>
  </si>
  <si>
    <t>lindasza@sesamyagency.com</t>
  </si>
  <si>
    <t>mummy_gascoigne</t>
  </si>
  <si>
    <t>https://www.tiktok.com/@mummy_gascoigne/video/7285790629081222433?is_from_webapp=1&amp;sender_device=pc&amp;web_id=7529868947924829714</t>
  </si>
  <si>
    <t>mummygascoigne@gmail.com</t>
  </si>
  <si>
    <t>theshawnajean</t>
  </si>
  <si>
    <t>https://www.tiktok.com/@theshawnajean/video/7489614205859990827?is_from_webapp=1&amp;sender_device=pc&amp;web_id=7529868947924829714</t>
  </si>
  <si>
    <t>theshawnajean@gmail.com</t>
  </si>
  <si>
    <t>idylleed</t>
  </si>
  <si>
    <t>https://www.tiktok.com/@idylleed/video/7482074274203831574?is_from_webapp=1&amp;sender_device=pc&amp;web_id=7529868947924829714</t>
  </si>
  <si>
    <t>idil@iconvision.agency</t>
  </si>
  <si>
    <t>laynebaca</t>
  </si>
  <si>
    <t>https://www.tiktok.com/@laynebaca/video/6886274909715057925?is_from_webapp=1&amp;sender_device=pc&amp;web_id=7529868947924829714</t>
  </si>
  <si>
    <t>https://www.tiktok.com/@sammii.moore/video/7504174953688796446?is_from_webapp=1&amp;sender_device=pc&amp;web_id=7529868947924829714</t>
  </si>
  <si>
    <t>emilykrogsboel</t>
  </si>
  <si>
    <t>https://www.tiktok.com/@emilykrogsboel/video/7478644065211338006?is_from_webapp=1&amp;sender_device=pc&amp;web_id=7529868947924829714</t>
  </si>
  <si>
    <t>emily.krogsbol@gmail.com</t>
  </si>
  <si>
    <t>https://www.tiktok.com/@katclark/video/7121595003771653377?is_from_webapp=1&amp;sender_device=pc&amp;web_id=7529868947924829714</t>
  </si>
  <si>
    <t>shutupthomy</t>
  </si>
  <si>
    <t>https://www.tiktok.com/@shutupthomy/video/7521832716451613974?is_from_webapp=1&amp;sender_device=pc&amp;web_id=7529868947924829714</t>
  </si>
  <si>
    <t>Tomasreisdealmeida@gmail.com</t>
  </si>
  <si>
    <t>marah_snoubar</t>
  </si>
  <si>
    <t>https://www.tiktok.com/@marah_snoubar/video/7475404379806485806?is_from_webapp=1&amp;sender_device=pc&amp;web_id=7529868947924829714</t>
  </si>
  <si>
    <t>marahsnoubar@dulcedo.com</t>
  </si>
  <si>
    <t>deven.saylor</t>
  </si>
  <si>
    <t>https://www.tiktok.com/@deven.saylor/video/7130367740770061614?is_from_webapp=1&amp;sender_device=pc&amp;web_id=7529868947924829714</t>
  </si>
  <si>
    <t>devensaylorcollabs@gmail.com</t>
  </si>
  <si>
    <t>connerbabcock</t>
  </si>
  <si>
    <t>https://www.tiktok.com/@connerbabcock/video/7481053956773465390?is_from_webapp=1&amp;sender_device=pc&amp;web_id=7529868947924829714</t>
  </si>
  <si>
    <t>ainsley@jabberhaus.com</t>
  </si>
  <si>
    <t>jamaicasoraya</t>
  </si>
  <si>
    <t>https://www.tiktok.com/@jamaicasoraya/video/7475973982311763222?is_from_webapp=1&amp;sender_device=pc&amp;web_id=7529868947924829714</t>
  </si>
  <si>
    <t>hollyanddiego</t>
  </si>
  <si>
    <t>https://www.tiktok.com/@hollyanddiego/video/7125764975385267461?is_from_webapp=1&amp;sender_device=pc&amp;web_id=7529868947924829714</t>
  </si>
  <si>
    <t>jessarakelyan</t>
  </si>
  <si>
    <t>https://www.tiktok.com/@jessarakelyan/video/7532236574952672543?is_from_webapp=1&amp;sender_device=pc&amp;web_id=7529868947924829714</t>
  </si>
  <si>
    <t>Hijessarakelyan@gmail.com</t>
  </si>
  <si>
    <t>isabelisaacson</t>
  </si>
  <si>
    <t>https://www.tiktok.com/@isabelisaacson/video/7481458672577613099?is_from_webapp=1&amp;sender_device=pc&amp;web_id=7529868947924829714</t>
  </si>
  <si>
    <t>millie.topley00</t>
  </si>
  <si>
    <t>https://www.tiktok.com/@millie.topley00/video/7131063480450305286?is_from_webapp=1&amp;sender_device=pc&amp;web_id=7529868947924829714</t>
  </si>
  <si>
    <t>undressforjess</t>
  </si>
  <si>
    <t>https://www.tiktok.com/@undressforjess/video/7504153177709874478?is_from_webapp=1&amp;sender_device=pc&amp;web_id=7529868947924829714</t>
  </si>
  <si>
    <t>jessicashepardxo@gmail.com</t>
  </si>
  <si>
    <t>jacangjeni</t>
  </si>
  <si>
    <t>https://www.tiktok.com/@jacangjeni/video/7463565574895963414?is_from_webapp=1&amp;sender_device=pc&amp;web_id=7529868947924829714</t>
  </si>
  <si>
    <t>jacangjeni@hotmail.com</t>
  </si>
  <si>
    <t>stenic1</t>
  </si>
  <si>
    <t>https://www.tiktok.com/@stenic1/video/7119213227640212741?is_from_webapp=1&amp;sender_device=pc&amp;web_id=7529868947924829714</t>
  </si>
  <si>
    <t>georgediazofficial</t>
  </si>
  <si>
    <t>https://www.tiktok.com/@georgediazofficial/video/7161122395212844294?is_from_webapp=1&amp;sender_device=pc&amp;web_id=7529868947924829714</t>
  </si>
  <si>
    <t>averykroll1</t>
  </si>
  <si>
    <t>https://www.tiktok.com/@averykroll1/video/7488876379493240106?is_from_webapp=1&amp;sender_device=pc&amp;web_id=7529868947924829714</t>
  </si>
  <si>
    <t>averyk@select.co</t>
  </si>
  <si>
    <t>sophiena_official</t>
  </si>
  <si>
    <t>https://www.tiktok.com/@sophiena_official/video/7144423782244044038?is_from_webapp=1&amp;sender_device=pc&amp;web_id=7529868947924829714</t>
  </si>
  <si>
    <t>maddie@connectmgt.com</t>
  </si>
  <si>
    <t>hailee.shh</t>
  </si>
  <si>
    <t>https://www.tiktok.com/@hailee.shh/video/7540897571900820791?is_from_webapp=1&amp;sender_device=pc&amp;web_id=7529868947924829714</t>
  </si>
  <si>
    <t>kennedy.pricee</t>
  </si>
  <si>
    <t>https://www.tiktok.com/@kennedy.pricee/video/7463995684321037598?is_from_webapp=1&amp;sender_device=pc&amp;web_id=7529868947924829714</t>
  </si>
  <si>
    <t>kennedyelizabethprice@gmail.com</t>
  </si>
  <si>
    <t>callumandbeca</t>
  </si>
  <si>
    <t>https://www.tiktok.com/@callumandbeca/video/7441692942709951777?is_from_webapp=1&amp;sender_device=pc&amp;web_id=7529868947924829714</t>
  </si>
  <si>
    <t>ThatOneCouple@connectmgt.com</t>
  </si>
  <si>
    <t>ulyanikitaa</t>
  </si>
  <si>
    <t>https://www.tiktok.com/@ulyanikitaa/video/7510121835124641031?is_from_webapp=1&amp;sender_device=pc&amp;web_id=7529868947924829714</t>
  </si>
  <si>
    <t>ulyanikitaa@gmail.com</t>
  </si>
  <si>
    <t>itsolivialevett</t>
  </si>
  <si>
    <t>https://www.tiktok.com/@itsolivialevett/video/7513474490337152278?is_from_webapp=1&amp;sender_device=pc&amp;web_id=7529868947924829714</t>
  </si>
  <si>
    <t>olivia@inspomanagement.co.uk</t>
  </si>
  <si>
    <t>demiheffron</t>
  </si>
  <si>
    <t>https://www.tiktok.com/@demiheffron/video/7061579982958644485?is_from_webapp=1&amp;sender_device=pc&amp;web_id=7529868947924829714</t>
  </si>
  <si>
    <t>demilouise2621@gmail.com</t>
  </si>
  <si>
    <t>modagoatt</t>
  </si>
  <si>
    <t>https://www.tiktok.com/@modagoatt/video/7449499818063334699?is_from_webapp=1&amp;sender_device=pc&amp;web_id=7529868947924829714</t>
  </si>
  <si>
    <t>modagoattent@gmail.com</t>
  </si>
  <si>
    <t>gregoriansisters</t>
  </si>
  <si>
    <t>https://www.tiktok.com/@gregoriansisters/video/7550022436289252630?is_from_webapp=1&amp;sender_device=pc&amp;web_id=7529868947924829714</t>
  </si>
  <si>
    <t>beth@alphatalentgroup.com</t>
  </si>
  <si>
    <t>joannehayley891</t>
  </si>
  <si>
    <t>https://www.tiktok.com/@joannehayley891/video/7509937262587628822?is_from_webapp=1&amp;sender_device=pc&amp;web_id=7529868947924829714</t>
  </si>
  <si>
    <t>joannehayleysimpson@hotmail.com</t>
  </si>
  <si>
    <t>becca.fey</t>
  </si>
  <si>
    <t>https://www.tiktok.com/@becca.fey/video/7229825932461100334?is_from_webapp=1&amp;sender_device=pc&amp;web_id=7529868947924829714</t>
  </si>
  <si>
    <t>isobelfd</t>
  </si>
  <si>
    <t>https://www.tiktok.com/@isobelfd/video/7489838579745574166?is_from_webapp=1&amp;sender_device=pc&amp;web_id=7529868947924829714</t>
  </si>
  <si>
    <t>charley.cross@thefourmodels.com</t>
  </si>
  <si>
    <t>ollyandnatalia</t>
  </si>
  <si>
    <t>https://www.tiktok.com/@ollyandnatalia/video/7464559268453305622?is_from_webapp=1&amp;sender_device=pc&amp;web_id=7529868947924829714</t>
  </si>
  <si>
    <t>s_amal_m</t>
  </si>
  <si>
    <t>https://www.tiktok.com/@s_amal_m/video/7522212916695682318?is_from_webapp=1&amp;sender_device=pc&amp;web_id=7529868947924829714</t>
  </si>
  <si>
    <t>colette_eli</t>
  </si>
  <si>
    <t>https://www.tiktok.com/@colette_eli/video/7464735951516880158?is_from_webapp=1&amp;sender_device=pc&amp;web_id=7529868947924829714</t>
  </si>
  <si>
    <t>inquiries-coletteandelibiz@gmail.com</t>
  </si>
  <si>
    <t>life.withdna</t>
  </si>
  <si>
    <t>https://www.tiktok.com/@life.withdna/video/7531489297845816598?is_from_webapp=1&amp;sender_device=pc&amp;web_id=7529868947924829714</t>
  </si>
  <si>
    <t>aamiradarnel@gmail.com</t>
  </si>
  <si>
    <t>mimi.justmimi</t>
  </si>
  <si>
    <t>https://www.tiktok.com/@mimi.justmimi/video/7493370849433521451?is_from_webapp=1&amp;sender_device=pc&amp;web_id=7529868947924829714</t>
  </si>
  <si>
    <t>zoezferg</t>
  </si>
  <si>
    <t>https://www.tiktok.com/@zoezferg/video/7466573804492360990?is_from_webapp=1&amp;sender_device=pc&amp;web_id=7529868947924829714</t>
  </si>
  <si>
    <t>zoefergusonmgmt@gmail.com</t>
  </si>
  <si>
    <t>darcimae18</t>
  </si>
  <si>
    <t>https://www.tiktok.com/@darcimae18/video/6926562447163755781?is_from_webapp=1&amp;sender_device=pc&amp;web_id=7529868947924829714</t>
  </si>
  <si>
    <t>darcimae18@icloud.com</t>
  </si>
  <si>
    <t>linds_wing</t>
  </si>
  <si>
    <t>https://www.tiktok.com/@linds_wing/video/7504073304920247598?is_from_webapp=1&amp;sender_device=pc&amp;web_id=7529868947924829714</t>
  </si>
  <si>
    <t>lindsemc@gmail.com</t>
  </si>
  <si>
    <t>tekaathenriette</t>
  </si>
  <si>
    <t>https://www.tiktok.com/@tekaathenriette/video/7484266997824408854?is_from_webapp=1&amp;sender_device=pc&amp;web_id=7529868947924829714</t>
  </si>
  <si>
    <t>dorianjessica</t>
  </si>
  <si>
    <t>https://www.tiktok.com/@dorianjessica/video/7169676974510591238?is_from_webapp=1&amp;sender_device=pc&amp;web_id=7529868947924829714</t>
  </si>
  <si>
    <t>dori@connectmgt.com</t>
  </si>
  <si>
    <t>wackyaudge</t>
  </si>
  <si>
    <t>https://www.tiktok.com/@wackyaudge/video/7487456810186657055?is_from_webapp=1&amp;sender_device=pc&amp;web_id=7529868947924829714</t>
  </si>
  <si>
    <t>kirstenwinterxx</t>
  </si>
  <si>
    <t>https://www.tiktok.com/@kirstenwinterxx/video/7154087779473919238?is_from_webapp=1&amp;sender_device=pc&amp;web_id=7529868947924829714</t>
  </si>
  <si>
    <t>kirstenwinter99@gmail.com</t>
  </si>
  <si>
    <t>taylorpopik</t>
  </si>
  <si>
    <t>https://www.tiktok.com/@taylorpopik/video/7541476465485892878?is_from_webapp=1&amp;sender_device=pc&amp;web_id=7529868947924829714</t>
  </si>
  <si>
    <t>karasmith55117</t>
  </si>
  <si>
    <t>https://www.tiktok.com/@karasmith55117/video/7418215785807629600?is_from_webapp=1&amp;sender_device=pc&amp;web_id=7529868947924829714</t>
  </si>
  <si>
    <t>jamieandcallum</t>
  </si>
  <si>
    <t>https://www.tiktok.com/@jamieandcallum/video/7529532869367139606?is_from_webapp=1&amp;sender_device=pc&amp;web_id=7529868947924829714</t>
  </si>
  <si>
    <t>thewestermans2.0</t>
  </si>
  <si>
    <t>https://www.tiktok.com/@thewestermans2.0/video/6988888298382953733?is_from_webapp=1&amp;sender_device=pc&amp;web_id=7529868947924829714</t>
  </si>
  <si>
    <t>laplanchada.prescott</t>
  </si>
  <si>
    <t>https://www.tiktok.com/@laplanchada.prescott/video/7507430907331054878?is_from_webapp=1&amp;sender_device=pc&amp;web_id=7529868947924829714</t>
  </si>
  <si>
    <t>nathanandgrace</t>
  </si>
  <si>
    <t>https://www.tiktok.com/@nathanandgrace/video/6933677059189296389?is_from_webapp=1&amp;sender_device=pc&amp;web_id=7529868947924829714</t>
  </si>
  <si>
    <t>grace@nathanandgrace.co.uk</t>
  </si>
  <si>
    <t>cococentenom</t>
  </si>
  <si>
    <t>https://www.tiktok.com/@cococentenom/video/7520917720368729366?is_from_webapp=1&amp;sender_device=pc&amp;web_id=7529868947924829714</t>
  </si>
  <si>
    <t>aureliano@lagency.nl</t>
  </si>
  <si>
    <t>tamzinmayxo</t>
  </si>
  <si>
    <t>https://www.tiktok.com/@tamzinmayxo/video/6926214916097494278?is_from_webapp=1&amp;sender_device=pc&amp;web_id=7529868947924829714</t>
  </si>
  <si>
    <t>okayasmin</t>
  </si>
  <si>
    <t>https://www.tiktok.com/@okayasmin/video/7535939509691665686?is_from_webapp=1&amp;sender_device=pc&amp;web_id=7529868947924829714</t>
  </si>
  <si>
    <t>yasmin@outreachtalentgroup.com</t>
  </si>
  <si>
    <t>carlywyeth</t>
  </si>
  <si>
    <t>https://www.tiktok.com/@carlywyeth/video/6897592624845180162?is_from_webapp=1&amp;sender_device=pc&amp;web_id=7529868947924829714</t>
  </si>
  <si>
    <t>taylor_likestoshop</t>
  </si>
  <si>
    <t>https://www.tiktok.com/@taylor_likestoshop/video/7466194112065309998?is_from_webapp=1&amp;sender_device=pc&amp;web_id=7529868947924829714</t>
  </si>
  <si>
    <t>taylorbarcel@gmail.com</t>
  </si>
  <si>
    <t>theturnerfam</t>
  </si>
  <si>
    <t>https://www.tiktok.com/@theturnerfam/video/6928787577516444933?is_from_webapp=1&amp;sender_device=pc&amp;web_id=7529868947924829714</t>
  </si>
  <si>
    <t>talia.kruzhkov</t>
  </si>
  <si>
    <t>https://www.tiktok.com/@talia.kruzhkov/video/7479496426947398942?is_from_webapp=1&amp;sender_device=pc&amp;web_id=7529868947924829714</t>
  </si>
  <si>
    <t>lucymayo_makeup</t>
  </si>
  <si>
    <t>https://www.tiktok.com/@lucymayo_makeup/video/6949532264615169285?is_from_webapp=1&amp;sender_device=pc&amp;web_id=7529868947924829714</t>
  </si>
  <si>
    <t>ghazaa7</t>
  </si>
  <si>
    <t>https://www.tiktok.com/@ghazaa7/video/7466861444982787350?is_from_webapp=1&amp;sender_device=pc&amp;web_id=7529868947924829714</t>
  </si>
  <si>
    <t>brookejamesxx</t>
  </si>
  <si>
    <t>https://www.tiktok.com/@brookejamesxx/video/7412335429715791136?is_from_webapp=1&amp;sender_device=pc&amp;web_id=7529868947924829714</t>
  </si>
  <si>
    <t>Brookejamesx@icloud.com</t>
  </si>
  <si>
    <t>chelsie.spam0</t>
  </si>
  <si>
    <t>https://www.tiktok.com/@chelsie.spam0/video/7486059070395567382?is_from_webapp=1&amp;sender_device=pc&amp;web_id=7529868947924829714</t>
  </si>
  <si>
    <t>dannimariekeogh</t>
  </si>
  <si>
    <t>https://www.tiktok.com/@dannimariekeogh/video/6935102205099789573?is_from_webapp=1&amp;sender_device=pc&amp;web_id=7529868947924829714</t>
  </si>
  <si>
    <t>zeinkurdi</t>
  </si>
  <si>
    <t>https://www.tiktok.com/@zeinkurdi/video/7477251643432602902?is_from_webapp=1&amp;sender_device=pc&amp;web_id=7529868947924829714</t>
  </si>
  <si>
    <t>zeinalkurdi@gmail.com</t>
  </si>
  <si>
    <t>hollyharriss</t>
  </si>
  <si>
    <t>https://www.tiktok.com/@hollyharriss/video/6929179297693355269?is_from_webapp=1&amp;sender_device=pc&amp;web_id=7529868947924829714</t>
  </si>
  <si>
    <t>naomii.tz</t>
  </si>
  <si>
    <t>https://www.tiktok.com/@naomii.tz/video/7543622476106943766?is_from_webapp=1&amp;sender_device=pc&amp;web_id=7529868947924829714</t>
  </si>
  <si>
    <t>kayedinsleyx</t>
  </si>
  <si>
    <t>https://www.tiktok.com/@kayedinsleyx/video/6925826382178061573?is_from_webapp=1&amp;sender_device=pc&amp;web_id=7529868947924829714</t>
  </si>
  <si>
    <t>lylylieee</t>
  </si>
  <si>
    <t>https://www.tiktok.com/@lylylieee/video/7516116393297775880?is_from_webapp=1&amp;sender_device=pc&amp;web_id=7529868947924829714</t>
  </si>
  <si>
    <t>parisa_91x</t>
  </si>
  <si>
    <t>https://www.tiktok.com/@parisa_91x/video/6922094684298939649?is_from_webapp=1&amp;sender_device=pc&amp;web_id=7529868947924829714</t>
  </si>
  <si>
    <t>thecreatingkorean</t>
  </si>
  <si>
    <t>https://www.tiktok.com/@thecreatingkorean/video/7497673267105352991?is_from_webapp=1&amp;sender_device=pc&amp;web_id=7529868947924829714</t>
  </si>
  <si>
    <t>tayxox4</t>
  </si>
  <si>
    <t>https://www.tiktok.com/@tayxox4/video/7548931870466051330?is_from_webapp=1&amp;sender_device=pc&amp;web_id=7529868947924829714</t>
  </si>
  <si>
    <t>wackelpuddings55</t>
  </si>
  <si>
    <t>https://www.tiktok.com/@wackelpuddings55/video/7539970214453169430?is_from_webapp=1&amp;sender_device=pc&amp;web_id=7529868947924829714</t>
  </si>
  <si>
    <t>x_kaseyc_x</t>
  </si>
  <si>
    <t>https://www.tiktok.com/@x_kaseyc_x/video/7531758694812470550?is_from_webapp=1&amp;sender_device=pc&amp;web_id=7529868947924829714</t>
  </si>
  <si>
    <t>thriftwithmee</t>
  </si>
  <si>
    <t>https://www.tiktok.com/@thriftwithmee/video/7548422228203916566?is_from_webapp=1&amp;sender_device=pc&amp;web_id=7529868947924829714</t>
  </si>
  <si>
    <t>joshandeloise28</t>
  </si>
  <si>
    <t>https://www.tiktok.com/@joshandeloise28/video/7544829851425934614?is_from_webapp=1&amp;sender_device=pc&amp;web_id=7529868947924829714</t>
  </si>
  <si>
    <t>maeandevie</t>
  </si>
  <si>
    <t>https://www.tiktok.com/@maeandevie/video/7543136512662179094?is_from_webapp=1&amp;sender_device=pc&amp;web_id=7529868947924829714</t>
  </si>
  <si>
    <t>em.ily14g33</t>
  </si>
  <si>
    <t>https://www.tiktok.com/@em.ily14g33/video/6923572855712091398?is_from_webapp=1&amp;sender_device=pc&amp;web_id=7529868947924829714</t>
  </si>
  <si>
    <t>tonewithtee</t>
  </si>
  <si>
    <t>https://www.tiktok.com/@tonewithtee/video/7525047892139052310?is_from_webapp=1&amp;sender_device=pc&amp;web_id=7529868947924829714</t>
  </si>
  <si>
    <t>naomibuckley1</t>
  </si>
  <si>
    <t>https://www.tiktok.com/@naomibuckley1/video/6928812129101319430?is_from_webapp=1&amp;sender_device=pc&amp;web_id=7529868947924829714</t>
  </si>
  <si>
    <t>emmaruddle12</t>
  </si>
  <si>
    <t>https://www.tiktok.com/@emmaruddle12/video/7468225129084964139?is_from_webapp=1&amp;sender_device=pc&amp;web_id=7529868947924829714</t>
  </si>
  <si>
    <t>erruddle@mail.fhsu.edu</t>
  </si>
  <si>
    <t>katie_louisex132</t>
  </si>
  <si>
    <t>https://www.tiktok.com/@katie_louisex132/video/7199651418880478470?is_from_webapp=1&amp;sender_device=pc&amp;web_id=7529868947924829714</t>
  </si>
  <si>
    <t>Katies_life@outlook.com</t>
  </si>
  <si>
    <t>karacovaleski</t>
  </si>
  <si>
    <t>https://www.tiktok.com/@karacovaleski/video/7504483161389141279?is_from_webapp=1&amp;sender_device=pc&amp;web_id=7529868947924829714</t>
  </si>
  <si>
    <t>libbyeve1999</t>
  </si>
  <si>
    <t>https://www.tiktok.com/@libbyeve1999/video/7065053306003016966?is_from_webapp=1&amp;sender_device=pc&amp;web_id=7529868947924829714</t>
  </si>
  <si>
    <t>farahtawfiik</t>
  </si>
  <si>
    <t>https://www.tiktok.com/@farahtawfiik/video/7471032243784273160?is_from_webapp=1&amp;sender_device=pc&amp;web_id=7529868947924829714</t>
  </si>
  <si>
    <t>gabriella626smale</t>
  </si>
  <si>
    <t>https://www.tiktok.com/@gabriella626smale/video/7150347425939475717?is_from_webapp=1&amp;sender_device=pc&amp;web_id=7529868947924829714</t>
  </si>
  <si>
    <t>nayhaqueiroz</t>
  </si>
  <si>
    <t>https://www.tiktok.com/@nayhaqueiroz/video/7488421841506192662?is_from_webapp=1&amp;sender_device=pc&amp;web_id=7529868947924829714</t>
  </si>
  <si>
    <t>nayhaqueiroz@gmail.com</t>
  </si>
  <si>
    <t>lils.buckland</t>
  </si>
  <si>
    <t>https://www.tiktok.com/@lils.buckland/video/7485740597114850582?is_from_webapp=1&amp;sender_device=pc&amp;web_id=7529868947924829714</t>
  </si>
  <si>
    <t>shantigirl_</t>
  </si>
  <si>
    <t>https://www.tiktok.com/@shantigirl_/video/7474936862449077520?is_from_webapp=1&amp;sender_device=pc&amp;web_id=7529868947924829714</t>
  </si>
  <si>
    <t>ashantibandilloo@gmail.com</t>
  </si>
  <si>
    <t>sophlawson</t>
  </si>
  <si>
    <t>https://www.tiktok.com/@sophlawson/video/7241658864838511898?is_from_webapp=1&amp;sender_device=pc&amp;web_id=7529868947924829714</t>
  </si>
  <si>
    <t>amelia0livia</t>
  </si>
  <si>
    <t>https://www.tiktok.com/@amelia0livia/video/7469401261276794144?is_from_webapp=1&amp;sender_device=pc&amp;web_id=7529868947924829714</t>
  </si>
  <si>
    <t>amelia.olivia@naotalent.com</t>
  </si>
  <si>
    <t>jadefrankish</t>
  </si>
  <si>
    <t>https://www.tiktok.com/@jadefrankish/video/7435243043118189857?is_from_webapp=1&amp;sender_device=pc&amp;web_id=7529868947924829714</t>
  </si>
  <si>
    <t>gentianabdh</t>
  </si>
  <si>
    <t>https://www.tiktok.com/@gentianabdh/video/7546651381227162902?is_from_webapp=1&amp;sender_device=pc&amp;web_id=7529868947924829714</t>
  </si>
  <si>
    <t>gabsbrown_</t>
  </si>
  <si>
    <t>https://www.tiktok.com/@gabsbrown_/video/7415351935869488417?is_from_webapp=1&amp;sender_device=pc&amp;web_id=7529868947924829714</t>
  </si>
  <si>
    <t>ainsleyvryan</t>
  </si>
  <si>
    <t>https://www.tiktok.com/@ainsleyvryan/video/7549624025069129015?is_from_webapp=1&amp;sender_device=pc&amp;web_id=7529868947924829714</t>
  </si>
  <si>
    <t>chandleralexiss</t>
  </si>
  <si>
    <t>https://www.tiktok.com/@chandleralexiss/video/7336607030188182817?is_from_webapp=1&amp;sender_device=pc&amp;web_id=7529868947924829714</t>
  </si>
  <si>
    <t>chandleralexisg@yahoo.com</t>
  </si>
  <si>
    <t>dumbhorsegurls</t>
  </si>
  <si>
    <t>https://www.tiktok.com/@dumbhorsegurls/video/7508016472615259438?is_from_webapp=1&amp;sender_device=pc&amp;web_id=7529868947924829714</t>
  </si>
  <si>
    <t>fashionlifestyleemily</t>
  </si>
  <si>
    <t>https://www.tiktok.com/@fashionlifestyleemily/video/7529579897468030230?is_from_webapp=1&amp;sender_device=pc&amp;web_id=7529868947924829714</t>
  </si>
  <si>
    <t>iwasjokingunlesss</t>
  </si>
  <si>
    <t>https://www.tiktok.com/@iwasjokingunlesss/video/7541930413002919199?is_from_webapp=1&amp;sender_device=pc&amp;web_id=7529868947924829714</t>
  </si>
  <si>
    <t>samanthahopkinson</t>
  </si>
  <si>
    <t>https://www.tiktok.com/@samanthahopkinson/video/6897568047264009473?is_from_webapp=1&amp;sender_device=pc&amp;web_id=7529868947924829714</t>
  </si>
  <si>
    <t>nurvarold</t>
  </si>
  <si>
    <t>https://www.tiktok.com/@nurvarold/video/7548542783846370567?is_from_webapp=1&amp;sender_device=pc&amp;web_id=7529868947924829714</t>
  </si>
  <si>
    <t>rachelpeakex</t>
  </si>
  <si>
    <t>https://www.tiktok.com/@rachelpeakex/video/6929596123560611078?is_from_webapp=1&amp;sender_device=pc&amp;web_id=7529868947924829714</t>
  </si>
  <si>
    <t>briellecherie</t>
  </si>
  <si>
    <t>https://www.tiktok.com/@briellecherie/video/7475760027219791146?is_from_webapp=1&amp;sender_device=pc&amp;web_id=7529868947924829714</t>
  </si>
  <si>
    <t>teambrielle@itgirlagency.com</t>
  </si>
  <si>
    <t>lib_1005</t>
  </si>
  <si>
    <t>https://www.tiktok.com/@lib_1005/video/7547036636706917654?is_from_webapp=1&amp;sender_device=pc&amp;web_id=7529868947924829714</t>
  </si>
  <si>
    <t>kaysvrgs</t>
  </si>
  <si>
    <t>https://www.tiktok.com/@kaysvrgs/video/7478729282710277422?is_from_webapp=1&amp;sender_device=pc&amp;web_id=7529868947924829714</t>
  </si>
  <si>
    <t>kaysvrga@gmail.com</t>
  </si>
  <si>
    <t>russfestivalfriend</t>
  </si>
  <si>
    <t>https://www.tiktok.com/@russfestivalfriend/video/6862730740702973189?is_from_webapp=1&amp;sender_device=pc&amp;web_id=7529868947924829714</t>
  </si>
  <si>
    <t>russfestivalfriend@gmail.com</t>
  </si>
  <si>
    <t>idontthinkitskezi</t>
  </si>
  <si>
    <t>https://www.tiktok.com/@idontthinkitskezi/video/7494299571221269766?is_from_webapp=1&amp;sender_device=pc&amp;web_id=7529868947924829714</t>
  </si>
  <si>
    <t>danbecadventures</t>
  </si>
  <si>
    <t>https://www.tiktok.com/@danbecadventures/video/7547321933734382870?is_from_webapp=1&amp;sender_device=pc&amp;web_id=7529868947924829714</t>
  </si>
  <si>
    <t>naturallysi</t>
  </si>
  <si>
    <t>https://www.tiktok.com/@naturallysi/video/7529545337946574110?is_from_webapp=1&amp;sender_device=pc&amp;web_id=7529868947924829714</t>
  </si>
  <si>
    <t>lauranewell</t>
  </si>
  <si>
    <t>https://www.tiktok.com/@lauranewell/video/7344040933123460384?is_from_webapp=1&amp;sender_device=pc&amp;web_id=7529868947924829714</t>
  </si>
  <si>
    <t>mamaandlailaa@gmail.com</t>
  </si>
  <si>
    <t>kalleahs</t>
  </si>
  <si>
    <t>https://www.tiktok.com/@kalleahs/video/7539290172190461215?is_from_webapp=1&amp;sender_device=pc&amp;web_id=7529868947924829714</t>
  </si>
  <si>
    <t>elliemcentee</t>
  </si>
  <si>
    <t>https://www.tiktok.com/@elliemcentee/video/7544741678372900118?is_from_webapp=1&amp;sender_device=pc&amp;web_id=7529868947924829714</t>
  </si>
  <si>
    <t>burrowshair</t>
  </si>
  <si>
    <t>https://www.tiktok.com/@burrowshair/video/7547581532014234888?is_from_webapp=1&amp;sender_device=pc&amp;web_id=7529868947924829714</t>
  </si>
  <si>
    <t>theaestheticslady</t>
  </si>
  <si>
    <t>https://www.tiktok.com/@theaestheticslady/video/7063127080514407685?is_from_webapp=1&amp;sender_device=pc&amp;web_id=7529868947924829714</t>
  </si>
  <si>
    <t>isabellaevelinaaa</t>
  </si>
  <si>
    <t>https://www.tiktok.com/@isabellaevelinaaa/video/7546738067516738871?is_from_webapp=1&amp;sender_device=pc&amp;web_id=7529868947924829714</t>
  </si>
  <si>
    <t>milliesmith110</t>
  </si>
  <si>
    <t>https://www.tiktok.com/@milliesmith110/video/6926542189141036293?is_from_webapp=1&amp;sender_device=pc&amp;web_id=7529868947924829714</t>
  </si>
  <si>
    <t>lataevia1</t>
  </si>
  <si>
    <t>https://www.tiktok.com/@lataevia1/video/7547103433644444933?is_from_webapp=1&amp;sender_device=pc&amp;web_id=7529868947924829714</t>
  </si>
  <si>
    <t>lowkeyaintme</t>
  </si>
  <si>
    <t>https://www.tiktok.com/@lowkeyaintme/video/7542906488394747158?is_from_webapp=1&amp;sender_device=pc&amp;web_id=7529868947924829714</t>
  </si>
  <si>
    <t>dianachabarek</t>
  </si>
  <si>
    <t>https://www.tiktok.com/@dianachabarek/video/7527380446783540502?is_from_webapp=1&amp;sender_device=pc&amp;web_id=7529868947924829714</t>
  </si>
  <si>
    <t>libbieportman</t>
  </si>
  <si>
    <t>https://www.tiktok.com/@libbieportman/video/6931758282293939461?is_from_webapp=1&amp;sender_device=pc&amp;web_id=7529868947924829714</t>
  </si>
  <si>
    <t>everyndaylife</t>
  </si>
  <si>
    <t>https://www.tiktok.com/@everyndaylife/video/7543901428520127751?is_from_webapp=1&amp;sender_device=pc&amp;web_id=7529868947924829714</t>
  </si>
  <si>
    <t>erynsison28@gmail.com</t>
  </si>
  <si>
    <t>nicoleprycex</t>
  </si>
  <si>
    <t>https://www.tiktok.com/@nicoleprycex/video/6928789471265656070?is_from_webapp=1&amp;sender_device=pc&amp;web_id=7529868947924829714</t>
  </si>
  <si>
    <t>johnesthesia</t>
  </si>
  <si>
    <t>https://www.tiktok.com/@johnesthesia/video/7523822036855180557?is_from_webapp=1&amp;sender_device=pc&amp;web_id=7529868947924829714</t>
  </si>
  <si>
    <t>emilygreenhoff</t>
  </si>
  <si>
    <t>https://www.tiktok.com/@emilygreenhoff/video/7332543454431563041?is_from_webapp=1&amp;sender_device=pc&amp;web_id=7529868947924829714</t>
  </si>
  <si>
    <t>ele_ge</t>
  </si>
  <si>
    <t>https://www.tiktok.com/@ele_ge/video/7486534810702286102?is_from_webapp=1&amp;sender_device=pc&amp;web_id=7529868947924829714</t>
  </si>
  <si>
    <t>hannahmullett_</t>
  </si>
  <si>
    <t>https://www.tiktok.com/@hannahmullett_/video/6949870399664540934?is_from_webapp=1&amp;sender_device=pc&amp;web_id=7529868947924829714</t>
  </si>
  <si>
    <t>mayaxdevi</t>
  </si>
  <si>
    <t>https://www.tiktok.com/@mayaxdevi/video/7498211339509189931?is_from_webapp=1&amp;sender_device=pc&amp;web_id=7529868947924829714</t>
  </si>
  <si>
    <t>amyriach97</t>
  </si>
  <si>
    <t>https://www.tiktok.com/@amyriach97/video/7157733567420747014?is_from_webapp=1&amp;sender_device=pc&amp;web_id=7529868947924829714</t>
  </si>
  <si>
    <t>callista_tt</t>
  </si>
  <si>
    <t>https://www.tiktok.com/@callista_tt/video/7539933494479260930?is_from_webapp=1&amp;sender_device=pc&amp;web_id=7529868947924829714</t>
  </si>
  <si>
    <t>derrynmckillopx</t>
  </si>
  <si>
    <t>https://www.tiktok.com/@derrynmckillopx/video/6929568091110264069?is_from_webapp=1&amp;sender_device=pc&amp;web_id=7529868947924829714</t>
  </si>
  <si>
    <t>lozvassallo</t>
  </si>
  <si>
    <t>https://www.tiktok.com/@lozvassallo/video/7482865461802175766?is_from_webapp=1&amp;sender_device=pc&amp;web_id=7529868947924829714</t>
  </si>
  <si>
    <t>erinantheia</t>
  </si>
  <si>
    <t>https://www.tiktok.com/@erinantheia/video/7376965914610191648?is_from_webapp=1&amp;sender_device=pc&amp;web_id=7529868947924829714</t>
  </si>
  <si>
    <t>karlamcanton</t>
  </si>
  <si>
    <t>https://www.tiktok.com/@karlamcanton/video/7484434760975125803?is_from_webapp=1&amp;sender_device=pc&amp;web_id=7529868947924829714</t>
  </si>
  <si>
    <t>karla.canton.kc@gmail.com</t>
  </si>
  <si>
    <t>mummyoflittlebear</t>
  </si>
  <si>
    <t>https://www.tiktok.com/@mummyoflittlebear/video/6926161721350524166?is_from_webapp=1&amp;sender_device=pc&amp;web_id=7529868947924829714</t>
  </si>
  <si>
    <t>melinaa.bam</t>
  </si>
  <si>
    <t>https://www.tiktok.com/@melinaa.bam/video/7535059288717298966?is_from_webapp=1&amp;sender_device=pc&amp;web_id=7529868947924829714</t>
  </si>
  <si>
    <t>laurendalgity</t>
  </si>
  <si>
    <t>https://www.tiktok.com/@laurendalgity/video/6931818579830525190?is_from_webapp=1&amp;sender_device=pc&amp;web_id=7529868947924829714</t>
  </si>
  <si>
    <t>thatoneb1ondegirll</t>
  </si>
  <si>
    <t>https://www.tiktok.com/@thatoneb1ondegirll/video/7479268090107235615?is_from_webapp=1&amp;sender_device=pc&amp;web_id=7529868947924829714</t>
  </si>
  <si>
    <t>bradandcourts</t>
  </si>
  <si>
    <t>https://www.tiktok.com/@bradandcourts/video/7020006445810765062?is_from_webapp=1&amp;sender_device=pc&amp;web_id=7529868947924829714</t>
  </si>
  <si>
    <t>sabrinezarhdani</t>
  </si>
  <si>
    <t>https://www.tiktok.com/@sabrinezarhdani/video/7496983807300504837?is_from_webapp=1&amp;sender_device=pc&amp;web_id=7529868947924829714</t>
  </si>
  <si>
    <t>sabrinezarhdani@gmail.com</t>
  </si>
  <si>
    <t>sham_terrie</t>
  </si>
  <si>
    <t>https://www.tiktok.com/@sham_terrie/video/7184429809429236998?is_from_webapp=1&amp;sender_device=pc&amp;web_id=7529868947924829714</t>
  </si>
  <si>
    <t>shamterrie@gmail.com</t>
  </si>
  <si>
    <t>dashita.yf</t>
  </si>
  <si>
    <t>https://www.tiktok.com/@dashita.yf/video/7473792424670694678?is_from_webapp=1&amp;sender_device=pc&amp;web_id=7529868947924829714</t>
  </si>
  <si>
    <t>kates.diary</t>
  </si>
  <si>
    <t>https://www.tiktok.com/@kates.diary/video/7197458958339034374?is_from_webapp=1&amp;sender_device=pc&amp;web_id=7529868947924829714</t>
  </si>
  <si>
    <t>jillian_leigh42</t>
  </si>
  <si>
    <t>https://www.tiktok.com/@jillian_leigh42/video/7198990818181401902?is_from_webapp=1&amp;sender_device=pc&amp;web_id=7529868947924829714</t>
  </si>
  <si>
    <t>angelmacrg</t>
  </si>
  <si>
    <t>https://www.tiktok.com/@angelmacrg/video/7235269734806064390?is_from_webapp=1&amp;sender_device=pc&amp;web_id=7529868947924829714</t>
  </si>
  <si>
    <t>angelmacaraig17@gmail.com</t>
  </si>
  <si>
    <t>megandhina</t>
  </si>
  <si>
    <t>https://www.tiktok.com/@megandhina/video/7316107170142096641?is_from_webapp=1&amp;sender_device=pc&amp;web_id=7529868947924829714</t>
  </si>
  <si>
    <t>yoitsmesij</t>
  </si>
  <si>
    <t>https://www.tiktok.com/@yoitsmesij/video/7308538339928444166?is_from_webapp=1&amp;sender_device=pc&amp;web_id=7529868947924829714</t>
  </si>
  <si>
    <t>jamesandcasey</t>
  </si>
  <si>
    <t>https://www.tiktok.com/@jamesandcasey/video/7450515470748372232?is_from_webapp=1&amp;sender_device=pc&amp;web_id=7529868947924829714</t>
  </si>
  <si>
    <t>itskrizzap</t>
  </si>
  <si>
    <t>https://www.tiktok.com/@itskrizzap/video/7516788871850429714?is_from_webapp=1&amp;sender_device=pc&amp;web_id=7529868947924829714</t>
  </si>
  <si>
    <t>simonjosephjavier</t>
  </si>
  <si>
    <t>https://www.tiktok.com/@simonjosephjavier/video/7324715511902637317?is_from_webapp=1&amp;sender_device=pc&amp;web_id=7529868947924829714</t>
  </si>
  <si>
    <t>simonjavier03@gmail.com</t>
  </si>
  <si>
    <t>imjoshnava</t>
  </si>
  <si>
    <t>https://www.tiktok.com/@imjoshnava/video/7047759471841479963?is_from_webapp=1&amp;sender_device=pc&amp;web_id=7529868947924829714</t>
  </si>
  <si>
    <t>joyce_shiela</t>
  </si>
  <si>
    <t>https://www.tiktok.com/@joyce_shiela/video/7261222775182871814?is_from_webapp=1&amp;sender_device=pc&amp;web_id=7529868947924829714</t>
  </si>
  <si>
    <t>engr.chrisvillacrusis</t>
  </si>
  <si>
    <t>https://www.tiktok.com/@engr.chrisvillacrusis/video/7319422349521161477?is_from_webapp=1&amp;sender_device=pc&amp;web_id=7529868947924829714</t>
  </si>
  <si>
    <t>joshuablue07</t>
  </si>
  <si>
    <t>https://www.tiktok.com/@joshuablue07/video/7182575057812688154?is_from_webapp=1&amp;sender_device=pc&amp;web_id=7529868947924829714</t>
  </si>
  <si>
    <t>meah.the.mom</t>
  </si>
  <si>
    <t>https://www.tiktok.com/@meah.the.mom/video/6996493497750555905?is_from_webapp=1&amp;sender_device=pc&amp;web_id=7529868947924829714</t>
  </si>
  <si>
    <t>robinandkaren10</t>
  </si>
  <si>
    <t>https://www.tiktok.com/@robinandkaren10/video/7335358413343411462?is_from_webapp=1&amp;sender_device=pc&amp;web_id=7529868947924829714</t>
  </si>
  <si>
    <t>liramarcial</t>
  </si>
  <si>
    <t>https://www.tiktok.com/@liramarcial/video/7218879386164956422?is_from_webapp=1&amp;sender_device=pc&amp;web_id=7529868947924829714</t>
  </si>
  <si>
    <t>helena.ringer</t>
  </si>
  <si>
    <t>https://www.tiktok.com/@helena.ringer/video/6921430536749632773?is_from_webapp=1&amp;sender_device=pc&amp;web_id=7529868947924829714</t>
  </si>
  <si>
    <t>tamikataikato</t>
  </si>
  <si>
    <t>https://www.tiktok.com/@tamikataikato/video/6915123198535290113?is_from_webapp=1&amp;sender_device=pc&amp;web_id=7529868947924829714</t>
  </si>
  <si>
    <t>info@omgeeaus.com</t>
  </si>
  <si>
    <t>psychic.jesa</t>
  </si>
  <si>
    <t>https://www.tiktok.com/@psychic.jesa/video/7058627363143175451?is_from_webapp=1&amp;sender_device=pc&amp;web_id=7529868947924829714</t>
  </si>
  <si>
    <t>picattchu29@gmail.com</t>
  </si>
  <si>
    <t>mariiaerika</t>
  </si>
  <si>
    <t>https://www.tiktok.com/@mariiaerika/video/7009966775135767834?is_from_webapp=1&amp;sender_device=pc&amp;web_id=7529868947924829714</t>
  </si>
  <si>
    <t>loraeya</t>
  </si>
  <si>
    <t>https://www.tiktok.com/@loraeya/video/7546098544613297415?is_from_webapp=1&amp;sender_device=pc&amp;web_id=7529868947924829714</t>
  </si>
  <si>
    <t>work.lorreatan@gmail.com</t>
  </si>
  <si>
    <t>_ericadrs</t>
  </si>
  <si>
    <t>https://www.tiktok.com/@_ericadrs/video/6961028248952114433?is_from_webapp=1&amp;sender_device=pc&amp;web_id=7529868947924829714</t>
  </si>
  <si>
    <t>belleeee0101</t>
  </si>
  <si>
    <t>https://www.tiktok.com/@belleeee0101/video/7452352826505727239?is_from_webapp=1&amp;sender_device=pc&amp;web_id=7529868947924829714</t>
  </si>
  <si>
    <t>akosi_abi</t>
  </si>
  <si>
    <t>https://www.tiktok.com/@akosi_abi/video/7412957453723241736?is_from_webapp=1&amp;sender_device=pc&amp;web_id=7529868947924829714</t>
  </si>
  <si>
    <t>abhiealidon11@gmail.com</t>
  </si>
  <si>
    <t>_jannahd.a</t>
  </si>
  <si>
    <t>https://www.tiktok.com/@_jannahd.a/video/7453931027128470801?is_from_webapp=1&amp;sender_device=pc&amp;web_id=7529868947924829714</t>
  </si>
  <si>
    <t>staceyzaire</t>
  </si>
  <si>
    <t>https://www.tiktok.com/@staceyzaire/video/7527954517728578834?is_from_webapp=1&amp;sender_device=pc&amp;web_id=7529868947924829714</t>
  </si>
  <si>
    <t>aneesahxr</t>
  </si>
  <si>
    <t>https://www.tiktok.com/@aneesahxr/video/7076516889890966789?is_from_webapp=1&amp;sender_device=pc&amp;web_id=7529868947924829714</t>
  </si>
  <si>
    <t>tnmteo</t>
  </si>
  <si>
    <t>https://www.tiktok.com/@tnmteo/video/7179206160686402843?is_from_webapp=1&amp;sender_device=pc&amp;web_id=7529868947924829714</t>
  </si>
  <si>
    <t>arcelieandjames</t>
  </si>
  <si>
    <t>https://www.tiktok.com/@arcelieandjames/video/7336772935186664709?is_from_webapp=1&amp;sender_device=pc&amp;web_id=7529868947924829714</t>
  </si>
  <si>
    <t>arcelietizon13@gmail.com</t>
  </si>
  <si>
    <t>_kurifinds</t>
  </si>
  <si>
    <t>https://www.tiktok.com/@_kurifinds/video/7452644176627371271?is_from_webapp=1&amp;sender_device=pc&amp;web_id=7529868947924829714</t>
  </si>
  <si>
    <t>kurifinds@gmail.com</t>
  </si>
  <si>
    <t>arciagae</t>
  </si>
  <si>
    <t>https://www.tiktok.com/@arciagae/video/7451794538861006111?is_from_webapp=1&amp;sender_device=pc&amp;web_id=7529868947924829714</t>
  </si>
  <si>
    <t>marykristelilagan</t>
  </si>
  <si>
    <t>https://www.tiktok.com/@marykristelilagan/video/7310932372847889669?is_from_webapp=1&amp;sender_device=pc&amp;web_id=7529868947924829714</t>
  </si>
  <si>
    <t>marykristelilagan@gmail.com</t>
  </si>
  <si>
    <t>hannah.carlos</t>
  </si>
  <si>
    <t>https://www.tiktok.com/@hannah.carlos/video/7185559348955893018?is_from_webapp=1&amp;sender_device=pc&amp;web_id=7529868947924829714</t>
  </si>
  <si>
    <t>hannahcarlosph@gmail.com</t>
  </si>
  <si>
    <t>chrizanneeeee</t>
  </si>
  <si>
    <t>https://www.tiktok.com/@chrizanneeeee/video/7146210205062171931?is_from_webapp=1&amp;sender_device=pc&amp;web_id=7529868947924829714</t>
  </si>
  <si>
    <t>cannamille_</t>
  </si>
  <si>
    <t>https://www.tiktok.com/@cannamille_/video/7456769870508707079?is_from_webapp=1&amp;sender_device=pc&amp;web_id=7529868947924829714</t>
  </si>
  <si>
    <t>theantoniobro</t>
  </si>
  <si>
    <t>https://www.tiktok.com/@theantoniobro/video/7194860125721578778?is_from_webapp=1&amp;sender_device=pc&amp;web_id=7529868947924829714</t>
  </si>
  <si>
    <t>jhayannetaclin@gmail.com</t>
  </si>
  <si>
    <t>gemr_rse</t>
  </si>
  <si>
    <t>https://www.tiktok.com/@gemr_rse/video/7458301157002300680?is_from_webapp=1&amp;sender_device=pc&amp;web_id=7529868947924829714</t>
  </si>
  <si>
    <t>arakimberly</t>
  </si>
  <si>
    <t>https://www.tiktok.com/@arakimberly/video/7183571775609998618?is_from_webapp=1&amp;sender_device=pc&amp;web_id=7529868947924829714</t>
  </si>
  <si>
    <t>jshenille</t>
  </si>
  <si>
    <t>https://www.tiktok.com/@jshenille/video/6913159019452484865?is_from_webapp=1&amp;sender_device=pc&amp;web_id=7529868947924829714</t>
  </si>
  <si>
    <t>judytakeuchi</t>
  </si>
  <si>
    <t>https://www.tiktok.com/@judytakeuchi/video/7064794593379880194?is_from_webapp=1&amp;sender_device=pc&amp;web_id=7529868947924829714</t>
  </si>
  <si>
    <t>judytakeuchi.inquiries@gmail.com</t>
  </si>
  <si>
    <t>kimsangalang_</t>
  </si>
  <si>
    <t>https://www.tiktok.com/@kimsangalang_/video/7168836641769966849?is_from_webapp=1&amp;sender_device=pc&amp;web_id=7529868947924829714</t>
  </si>
  <si>
    <t>mermaidaira</t>
  </si>
  <si>
    <t>https://www.tiktok.com/@mermaidaira/video/6918381134233505025?is_from_webapp=1&amp;sender_device=pc&amp;web_id=7529868947924829714</t>
  </si>
  <si>
    <t>inquire.airajavier@gmail.com</t>
  </si>
  <si>
    <t>hanhami21</t>
  </si>
  <si>
    <t>https://www.tiktok.com/@hanhami21/video/7443382100859899154?is_from_webapp=1&amp;sender_device=pc&amp;web_id=7529868947924829714</t>
  </si>
  <si>
    <t>wentao143</t>
  </si>
  <si>
    <t>https://www.tiktok.com/@wentao143/video/7313600668777057542?is_from_webapp=1&amp;sender_device=pc&amp;web_id=7529868947924829714</t>
  </si>
  <si>
    <t>only.llyss</t>
  </si>
  <si>
    <t>https://www.tiktok.com/@only.llyss/video/7241565246220012806?is_from_webapp=1&amp;sender_device=pc&amp;web_id=7529868947924829714</t>
  </si>
  <si>
    <t>ellaniebres</t>
  </si>
  <si>
    <t>https://www.tiktok.com/@ellaniebres/video/7454217285117562119?is_from_webapp=1&amp;sender_device=pc&amp;web_id=7529868947924829714</t>
  </si>
  <si>
    <t>darestlessfeet</t>
  </si>
  <si>
    <t>https://www.tiktok.com/@darestlessfeet/video/7206923171172322561?is_from_webapp=1&amp;sender_device=pc&amp;web_id=7529868947924829714</t>
  </si>
  <si>
    <t>gracey_0589</t>
  </si>
  <si>
    <t>https://www.tiktok.com/@gracey_0589/video/7413329850858999058?is_from_webapp=1&amp;sender_device=pc&amp;web_id=7529868947924829714</t>
  </si>
  <si>
    <t>thisisemzeee</t>
  </si>
  <si>
    <t>https://www.tiktok.com/@thisisemzeee/video/7177403530649603355?is_from_webapp=1&amp;sender_device=pc&amp;web_id=7529868947924829714</t>
  </si>
  <si>
    <t>fayretaleee</t>
  </si>
  <si>
    <t>https://www.tiktok.com/@fayretaleee/video/7535049588420529416?is_from_webapp=1&amp;sender_device=pc&amp;web_id=7529868947924829714</t>
  </si>
  <si>
    <t>itsmelelaaaa</t>
  </si>
  <si>
    <t>https://www.tiktok.com/@itsmelelaaaa/video/7452863883804544263?is_from_webapp=1&amp;sender_device=pc&amp;web_id=7529868947924829714</t>
  </si>
  <si>
    <t>cecexbrandon</t>
  </si>
  <si>
    <t>https://www.tiktok.com/@cecexbrandon/video/7275143260958592302?is_from_webapp=1&amp;sender_device=pc&amp;web_id=7529868947924829714</t>
  </si>
  <si>
    <t>yourshop011</t>
  </si>
  <si>
    <t>https://www.tiktok.com/@yourshop011/video/7529472796347436306?is_from_webapp=1&amp;sender_device=pc&amp;web_id=7529868947924829714</t>
  </si>
  <si>
    <t>nebreelliah</t>
  </si>
  <si>
    <t>https://www.tiktok.com/@nebreelliah/video/7533971259277806856?is_from_webapp=1&amp;sender_device=pc&amp;web_id=7529868947924829714</t>
  </si>
  <si>
    <t>kelvinjohn.08</t>
  </si>
  <si>
    <t>https://www.tiktok.com/@kelvinjohn.08/video/7527686400368741639?is_from_webapp=1&amp;sender_device=pc&amp;web_id=7529868947924829714</t>
  </si>
  <si>
    <t>ninipahnini</t>
  </si>
  <si>
    <t>https://www.tiktok.com/@ninipahnini/video/6909633763446230278?is_from_webapp=1&amp;sender_device=pc&amp;web_id=7529868947924829714</t>
  </si>
  <si>
    <t>wtf_reii</t>
  </si>
  <si>
    <t>https://www.tiktok.com/@wtf_reii/video/7198486369377815835?is_from_webapp=1&amp;sender_device=pc&amp;web_id=7529868947924829714</t>
  </si>
  <si>
    <t>_rgnntro</t>
  </si>
  <si>
    <t>https://www.tiktok.com/@_rgnntro/video/7548834574529203464?is_from_webapp=1&amp;sender_device=pc&amp;web_id=7529868947924829714</t>
  </si>
  <si>
    <t>rmrzaubs_</t>
  </si>
  <si>
    <t>https://www.tiktok.com/@rmrzaubs_/video/7316526255027817733?is_from_webapp=1&amp;sender_device=pc&amp;web_id=7529868947924829714</t>
  </si>
  <si>
    <t>emmersonb_</t>
  </si>
  <si>
    <t>https://www.tiktok.com/@emmersonb_/video/7496048129280707847?is_from_webapp=1&amp;sender_device=pc&amp;web_id=7529868947924829714</t>
  </si>
  <si>
    <t>ken.romero69</t>
  </si>
  <si>
    <t>https://www.tiktok.com/@ken.romero69/video/7528261148248952071?is_from_webapp=1&amp;sender_device=pc&amp;web_id=7529868947924829714</t>
  </si>
  <si>
    <t>risspenetrante</t>
  </si>
  <si>
    <t>https://www.tiktok.com/@risspenetrante/video/7260714342876744966?is_from_webapp=1&amp;sender_device=pc&amp;web_id=7529868947924829714</t>
  </si>
  <si>
    <t>asmqty</t>
  </si>
  <si>
    <t>https://www.tiktok.com/@asmqty/video/7459059637153713413?is_from_webapp=1&amp;sender_device=pc&amp;web_id=7529868947924829714</t>
  </si>
  <si>
    <t>_anethem</t>
  </si>
  <si>
    <t>https://www.tiktok.com/@_anethem/video/7522068866323778824?is_from_webapp=1&amp;sender_device=pc&amp;web_id=7529868947924829714</t>
  </si>
  <si>
    <t>meequin_</t>
  </si>
  <si>
    <t>https://www.tiktok.com/@meequin_/video/7184073055755455787?is_from_webapp=1&amp;sender_device=pc&amp;web_id=7529868947924829714</t>
  </si>
  <si>
    <t>johatnyan</t>
  </si>
  <si>
    <t>https://www.tiktok.com/@johatnyan/video/7316147272851492102?is_from_webapp=1&amp;sender_device=pc&amp;web_id=7529868947924829714</t>
  </si>
  <si>
    <t>_elibee</t>
  </si>
  <si>
    <t>https://www.tiktok.com/@_elibee/video/7446544033146506503?is_from_webapp=1&amp;sender_device=pc&amp;web_id=7529868947924829714</t>
  </si>
  <si>
    <t>gideoncayog</t>
  </si>
  <si>
    <t>https://www.tiktok.com/@gideoncayog/video/7317133754676317446?is_from_webapp=1&amp;sender_device=pc&amp;web_id=7529868947924829714</t>
  </si>
  <si>
    <t>#</t>
  </si>
  <si>
    <t>Trend #</t>
  </si>
  <si>
    <t>Unique Creator</t>
  </si>
  <si>
    <t>Hi newyorkeronline!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https://www.tiktok.com/@newyorkeronline/video/7489012203673144598]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t>
  </si>
  <si>
    <t>#3: OH WERE U WAITING FOR THAT BOX TO HIT ME</t>
  </si>
  <si>
    <t xml:space="preserve">#4: WHERE?? CHALLENGE                        </t>
  </si>
  <si>
    <t xml:space="preserve">#5: HOW MUCH DO I OWE YOU                        </t>
  </si>
  <si>
    <t>#6: how to bait n kidnap me</t>
  </si>
  <si>
    <t>#7: sorry we're late, __ throwing a fit</t>
  </si>
  <si>
    <t>#8: Holy fkn airball</t>
  </si>
  <si>
    <t>#9: Im having sm fun / but we're just doing _</t>
  </si>
  <si>
    <t>#10: target challenge</t>
  </si>
  <si>
    <t>https://www.tiktok.com/@f_fabes/video/7465098107282296071?is_from_webapp=1&amp;sender_device=pc</t>
  </si>
  <si>
    <t>sophia</t>
  </si>
  <si>
    <t>ok</t>
  </si>
  <si>
    <t>https://www.tiktok.com/@mjhaidel/video/7461954375372606738?_r=1&amp;_t=ZS-8zoFrwyYGZg</t>
  </si>
  <si>
    <t>https://www.tiktok.com/@presello.official/video/7489696341958954245?_r=1&amp;_t=ZS-8zLAg34bVI5</t>
  </si>
  <si>
    <t>https://www.tiktok.com/@thejulysocial/video/7358112217222368518?_r=1&amp;_t=ZS-8zL3jyrIaMk</t>
  </si>
  <si>
    <t>https://www.tiktok.com/@aaalxandra/video/7542360293356113160?_r=1&amp;_t=ZS-8zL4jkZwpM7</t>
  </si>
  <si>
    <t>https://www.tiktok.com/@bagel_yass.collec/video/7539505423544552712?_t=ZS-8zLEGux9w7E&amp;_r=1</t>
  </si>
  <si>
    <t>https://www.tiktok.com/@nvocal123/video/7465301641684618514?_r=1&amp;_t=ZS-8zoFyvnPCgG</t>
  </si>
  <si>
    <t>https://www.tiktok.com/@ubckwave/video/7470031622251810103?_r=1&amp;_t=ZS-8zLB6NYo99I</t>
  </si>
  <si>
    <t>https://www.tiktok.com/@zigzag.careers/video/7380188818974018822?_r=1&amp;_t=ZS-8zL3lYBQn5j</t>
  </si>
  <si>
    <t>https://www.tiktok.com/@heart_avii/video/7316856457163558149?_r=1&amp;_t=ZS-8zL4ktuqg7j</t>
  </si>
  <si>
    <t>https://www.tiktok.com/@_zxick/video/7467189731646803208?_r=1&amp;_t=ZS-8zoGcPDj1YD</t>
  </si>
  <si>
    <t>https://www.tiktok.com/@fintech.calgary/video/7471019949411028279?_r=1&amp;_t=ZS-8zLBAgp1y9E</t>
  </si>
  <si>
    <t>https://www.tiktok.com/@securitybankcareers/video/7366179516613430536?_r=1&amp;_t=ZS-8zL3m9uNQd6</t>
  </si>
  <si>
    <t>https://www.tiktok.com/@cocoriroo/video/7419985255454625042?_r=1&amp;_t=ZS-8zL4lvcO4Zz</t>
  </si>
  <si>
    <t>https://www.tiktok.com/@clairealexistiu/video/7529376216667720978?_r=1&amp;_t=ZS-8zoGxfmkx3h</t>
  </si>
  <si>
    <t>https://www.tiktok.com/@cleancorpau/video/7470387738269715719?_r=1&amp;_t=ZS-8zLBJKvaqKl</t>
  </si>
  <si>
    <t>https://www.tiktok.com/@amo_thobye/video/7349988820592381189?_r=1&amp;_t=ZS-8zL3yZgXXms</t>
  </si>
  <si>
    <t>https://www.tiktok.com/@_pottea/video/7542057761706675474?_r=1&amp;_t=ZS-8zL7DRHFtsg</t>
  </si>
  <si>
    <t>https://www.tiktok.com/@kykeyumz/video/7464186444425252103?_r=1&amp;_t=ZS-8zoHYYeKfzB</t>
  </si>
  <si>
    <t>https://www.tiktok.com/@pixiogaming/video/7475845247797431582?_r=1&amp;_t=ZS-8zM7WcPYvOX</t>
  </si>
  <si>
    <t>https://www.tiktok.com/@salmaelboukili3/video/7350249556807814406?_r=1&amp;_t=ZS-8zYdads5Jn6</t>
  </si>
  <si>
    <t>https://www.tiktok.com/@douknowkent/video/7542146785150651655?_r=1&amp;_t=ZS-8zL4om9UI2k</t>
  </si>
  <si>
    <t>https://www.tiktok.com/@kriiizhaaa/video/7464784291969436946?_r=1&amp;_t=ZS-8zoHk1SUy5o</t>
  </si>
  <si>
    <t>https://www.tiktok.com/@sdhumanesociety/video/7465125336716463406?_r=1&amp;_t=ZS-8zd0q0brQX6</t>
  </si>
  <si>
    <t>https://www.tiktok.com/@just_katlego16/video/7347420388646849798?_r=1&amp;_t=ZS-8znmCyPtzJX</t>
  </si>
  <si>
    <t>https://www.tiktok.com/@kikaydinsay_/video/7247518357296024837?_r=1&amp;_t=ZS-8zL79BrDJpQ</t>
  </si>
  <si>
    <t>https://www.tiktok.com/@jemmymeowy/video/7465214181470457089?_r=1&amp;_t=ZS-8zofS9yvnOR</t>
  </si>
  <si>
    <t>https://www.tiktok.com/@bchs.hosa/video/7485453977837112622?_r=1&amp;_t=ZS-8zd1UXhUtyH</t>
  </si>
  <si>
    <t>https://www.tiktok.com/@maki3nzie/video/7399320768691145990?_r=1&amp;_t=ZS-8znmFzhPTZS</t>
  </si>
  <si>
    <t>https://www.tiktok.com/@nattarts/video/7235266313780759815?_r=1&amp;_t=ZS-8zTTQ1D5ZnL</t>
  </si>
  <si>
    <t>https://www.tiktok.com/@itspaulramos/video/7464886168388111623?_r=1&amp;_t=ZS-8zqffeQ89Jt</t>
  </si>
  <si>
    <t>https://www.tiktok.com/@laura.canada/video/7530353428178930951?_r=1&amp;_t=ZS-8zd1ly8TO1S</t>
  </si>
  <si>
    <t>https://www.tiktok.com/@chloerbrts/video/7374092429625937159?_r=1&amp;_t=ZS-8zqmN8XaHL8</t>
  </si>
  <si>
    <t>https://www.tiktok.com/@aqilahwf/video/7298646672320597266?_r=1&amp;_t=ZS-8zTTUUGjbuM</t>
  </si>
  <si>
    <t>https://www.tiktok.com/@chobaniflippp/video/7533492687010286856?_r=1&amp;_t=ZS-8zoG0o4iFgD</t>
  </si>
  <si>
    <t>https://www.tiktok.com/@spicevillage/video/7489536311938845983?_r=1&amp;_t=ZS-8zd1uS6tGLN</t>
  </si>
  <si>
    <t>https://www.tiktok.com/@yuehaaan/video/7542122123360357650?_r=1&amp;_t=ZS-8zTTZngW0Di</t>
  </si>
  <si>
    <t>https://www.tiktok.com/@gabriella.sally/video/7513608400496807173?_t=ZS-8zLEMxd4qyv&amp;_r=1</t>
  </si>
  <si>
    <t>https://www.tiktok.com/@inigojap/video/7469296068874882311?_r=1&amp;_t=ZS-8zoGqEAiVXR</t>
  </si>
  <si>
    <t>instagram link</t>
  </si>
  <si>
    <t>https://www.tiktok.com/@sophia_hg1/video/7508738317454773522?_r=1&amp;_t=ZS-8zLEVeKdaVx</t>
  </si>
  <si>
    <t>Video IDs</t>
  </si>
  <si>
    <t>MANUAL</t>
  </si>
  <si>
    <t>For copy+paste</t>
  </si>
  <si>
    <t xml:space="preserve">Day </t>
  </si>
  <si>
    <t>Block Set</t>
  </si>
  <si>
    <t>Canva Link</t>
  </si>
  <si>
    <t>Answered</t>
  </si>
  <si>
    <t>Labeled</t>
  </si>
  <si>
    <t>Similarity matrix</t>
  </si>
  <si>
    <t>shan test</t>
  </si>
  <si>
    <t>Participant ID</t>
  </si>
  <si>
    <t>Hanna De Los Santos</t>
  </si>
  <si>
    <t>A</t>
  </si>
  <si>
    <t>https://www.canva.com/design/DAGzzlv17NI/VcwBfNpy-Jx9QzVeU9WtHg/edit?utm_content=DAGzzlv17NI&amp;utm_campaign=designshare&amp;utm_medium=link2&amp;utm_source=sharebutton</t>
  </si>
  <si>
    <t>P1</t>
  </si>
  <si>
    <t>Carlene Presas</t>
  </si>
  <si>
    <t>https://www.canva.com/design/DAGzzgmJc_o/z04oq0eiAAP_O7kTndLKYA/edit?utm_content=DAGzzgmJc_o&amp;utm_campaign=designshare&amp;utm_medium=link2&amp;utm_source=sharebutton</t>
  </si>
  <si>
    <t>P2</t>
  </si>
  <si>
    <t>Laraine Presas</t>
  </si>
  <si>
    <t>B</t>
  </si>
  <si>
    <t>https://www.canva.com/design/DAGzzi75VQI/OMyDrdutJ-Fwa1yG7LfdiA/edit?utm_content=DAGzzi75VQI&amp;utm_campaign=designshare&amp;utm_medium=link2&amp;utm_source=sharebutton</t>
  </si>
  <si>
    <t>P3</t>
  </si>
  <si>
    <t>Reece Lopez</t>
  </si>
  <si>
    <t>https://www.canva.com/design/DAGzziXj4N8/OczHCr0KJ6mgmErH3HAsxQ/edit?utm_content=DAGzziXj4N8&amp;utm_campaign=designshare&amp;utm_medium=link2&amp;utm_source=sharebutton</t>
  </si>
  <si>
    <t>P4</t>
  </si>
  <si>
    <t>Christine Joy Rosel</t>
  </si>
  <si>
    <t>C</t>
  </si>
  <si>
    <t>https://www.canva.com/design/DAGzzhXZH4w/de6R-SdV9QfjcDF6rzqawQ/edit?utm_content=DAGzzhXZH4w&amp;utm_campaign=designshare&amp;utm_medium=link2&amp;utm_source=sharebutton</t>
  </si>
  <si>
    <t>P5</t>
  </si>
  <si>
    <t>Rafael Dilla</t>
  </si>
  <si>
    <t>https://www.canva.com/design/DAGzziNj8hA/LJ2ObUq69_DghVlCs_ykJA/edit?utm_content=DAGzziNj8hA&amp;utm_campaign=designshare&amp;utm_medium=link2&amp;utm_source=sharebutton</t>
  </si>
  <si>
    <t>P6</t>
  </si>
  <si>
    <t>Ysabela Erika Alvarez</t>
  </si>
  <si>
    <t>D</t>
  </si>
  <si>
    <t>https://www.canva.com/design/DAGzznSIyF8/iLjcv4gGt8ibybkPbjsZuw/edit?utm_content=DAGzznSIyF8&amp;utm_campaign=designshare&amp;utm_medium=link2&amp;utm_source=sharebutton</t>
  </si>
  <si>
    <t>P7</t>
  </si>
  <si>
    <t>Lindsey Jorja Tan</t>
  </si>
  <si>
    <t>https://www.canva.com/design/DAGzzlBZhuA/I1Qtsdd1hTycTSvcputOXQ/edit?utm_content=DAGzzlBZhuA&amp;utm_campaign=designshare&amp;utm_medium=link2&amp;utm_source=sharebutton</t>
  </si>
  <si>
    <t>P8</t>
  </si>
  <si>
    <t>Myka Janelle Go</t>
  </si>
  <si>
    <t>E</t>
  </si>
  <si>
    <t>https://www.canva.com/design/DAGzzg5q-yg/yRQTTeIN3JCB_TUwaeUWDA/edit?utm_content=DAGzzg5q-yg&amp;utm_campaign=designshare&amp;utm_medium=link2&amp;utm_source=sharebutton</t>
  </si>
  <si>
    <t>P9</t>
  </si>
  <si>
    <t>Rachel Gabrielle Castro</t>
  </si>
  <si>
    <t>https://www.canva.com/design/DAGzz69mAgs/LuITqTPFVwMztEiH3pG_lQ/edit?utm_content=DAGzz69mAgs&amp;utm_campaign=designshare&amp;utm_medium=link2&amp;utm_source=sharebutton</t>
  </si>
  <si>
    <t>P10</t>
  </si>
  <si>
    <t>Miguel Dinulos</t>
  </si>
  <si>
    <t>F</t>
  </si>
  <si>
    <t>https://www.canva.com/design/DAGzzqSKWWY/hYSi43FqcgyQt1LqzsU85Q/edit?utm_content=DAGzzqSKWWY&amp;utm_campaign=designshare&amp;utm_medium=link2&amp;utm_source=sharebutton</t>
  </si>
  <si>
    <t>P11</t>
  </si>
  <si>
    <t>Peter Baesa</t>
  </si>
  <si>
    <t>https://www.canva.com/design/DAGz-b_iJq8/_H1WqtiqsMGjK5Jbcu8ztQ/edit?utm_content=DAGz-b_iJq8&amp;utm_campaign=designshare&amp;utm_medium=link2&amp;utm_source=sharebutton</t>
  </si>
  <si>
    <t>P12</t>
  </si>
  <si>
    <t>Jona Tarriela</t>
  </si>
  <si>
    <t>G</t>
  </si>
  <si>
    <t>https://www.canva.com/design/DAGzzpO4hQA/DrMdMAvOMeSQFRM3vVoD0A/edit?utm_content=DAGzzpO4hQA&amp;utm_campaign=designshare&amp;utm_medium=link2&amp;utm_source=sharebutton</t>
  </si>
  <si>
    <t>P13</t>
  </si>
  <si>
    <t>Josh Sy</t>
  </si>
  <si>
    <t>https://www.canva.com/design/DAGz-wRYLJ8/4OjxFJXBR0xV3b50x2ZRkw/edit?utm_content=DAGz-wRYLJ8&amp;utm_campaign=designshare&amp;utm_medium=link2&amp;utm_source=sharebutton</t>
  </si>
  <si>
    <t>P14</t>
  </si>
  <si>
    <t>Juliana Maramag</t>
  </si>
  <si>
    <t>H</t>
  </si>
  <si>
    <t>https://www.canva.com/design/DAGzz644d6k/29gewtL608N_HIwfnEGNBA/edit?utm_content=DAGzz644d6k&amp;utm_campaign=designshare&amp;utm_medium=link2&amp;utm_source=sharebutton</t>
  </si>
  <si>
    <t>P15</t>
  </si>
  <si>
    <t>Justin To</t>
  </si>
  <si>
    <t>https://www.canva.com/design/DAGz-khb8MM/O0WoUyQtJClJ4fb_lEDCrA/edit?utm_content=DAGz-khb8MM&amp;utm_campaign=designshare&amp;utm_medium=link2&amp;utm_source=sharebutton</t>
  </si>
  <si>
    <t>P16</t>
  </si>
  <si>
    <t>Shawn Tan</t>
  </si>
  <si>
    <t>I</t>
  </si>
  <si>
    <t>https://www.canva.com/design/DAGzz9XpaUA/Hue8wrURcI3J_vwMGsJBQg/edit?utm_content=DAGzz9XpaUA&amp;utm_campaign=designshare&amp;utm_medium=link2&amp;utm_source=sharebutton</t>
  </si>
  <si>
    <t>P17</t>
  </si>
  <si>
    <t>James Feliciano</t>
  </si>
  <si>
    <t>https://www.canva.com/design/DAG0Cif7MfE/UvUOPdwkcY2Elxlkl4GjSw/edit?utm_content=DAG0Cif7MfE&amp;utm_campaign=designshare&amp;utm_medium=link2&amp;utm_source=sharebutton</t>
  </si>
  <si>
    <t>P18</t>
  </si>
  <si>
    <t>Sidney Ramos</t>
  </si>
  <si>
    <t>J</t>
  </si>
  <si>
    <t>https://www.canva.com/design/DAGzz7ago9Q/WzI3Xqjz9qMdDRn6REDmgg/edit?utm_content=DAGzz7ago9Q&amp;utm_campaign=designshare&amp;utm_medium=link2&amp;utm_source=sharebutton</t>
  </si>
  <si>
    <t>P19</t>
  </si>
  <si>
    <t>Alison Castaneda</t>
  </si>
  <si>
    <t>https://www.canva.com/design/DAG0IqPIey8/xoM7Ri7ir8ak7ziIfFncLQ/edit?utm_content=DAG0IqPIey8&amp;utm_campaign=designshare&amp;utm_medium=link2&amp;utm_source=sharebutton</t>
  </si>
  <si>
    <t>P20</t>
  </si>
  <si>
    <t>Yuen Jean Villaflores</t>
  </si>
  <si>
    <t>K</t>
  </si>
  <si>
    <t>https://www.canva.com/design/DAGzz-7jDoI/W4iiIi6u9kLiBfPwZQ_mvw/edit?utm_content=DAGzz-7jDoI&amp;utm_campaign=designshare&amp;utm_medium=link2&amp;utm_source=sharebutton</t>
  </si>
  <si>
    <t>P21</t>
  </si>
  <si>
    <t>Jeano Paulo Santos</t>
  </si>
  <si>
    <t>https://www.canva.com/design/DAG0Sj8HmlA/XUqlDCuOTnC3mnXUAmjOWg/edit?utm_content=DAG0Sj8HmlA&amp;utm_campaign=designshare&amp;utm_medium=link2&amp;utm_source=sharebutton</t>
  </si>
  <si>
    <t>P22</t>
  </si>
  <si>
    <t>Kings Lim</t>
  </si>
  <si>
    <t>L</t>
  </si>
  <si>
    <t>https://www.canva.com/design/DAGzzyYmg5c/XIlSpqJlLNzO5moHWhwuww/edit?utm_content=DAGzzyYmg5c&amp;utm_campaign=designshare&amp;utm_medium=link2&amp;utm_source=sharebutton</t>
  </si>
  <si>
    <t>P23</t>
  </si>
  <si>
    <t>Julia Chu</t>
  </si>
  <si>
    <t>https://www.canva.com/design/DAG0Vfg7Q7I/Stq_i66Q6cxRPKktrDVVVA/edit?utm_content=DAG0Vfg7Q7I&amp;utm_campaign=designshare&amp;utm_medium=link2&amp;utm_source=sharebutton</t>
  </si>
  <si>
    <t>P24</t>
  </si>
  <si>
    <t>Laserna, Marvin John</t>
  </si>
  <si>
    <t>M</t>
  </si>
  <si>
    <t>https://www.canva.com/design/DAGzz0yPVkI/t7vByQVXUf67aANvH614zw/edit?utm_content=DAGzz0yPVkI&amp;utm_campaign=designshare&amp;utm_medium=link2&amp;utm_source=sharebutton</t>
  </si>
  <si>
    <t>P25</t>
  </si>
  <si>
    <t>Raymundo, Aron Giuseppe</t>
  </si>
  <si>
    <t>https://www.canva.com/design/DAG0VVd4JOA/yD7QMgAaVc8XUAn-sEzUDA/edit?utm_content=DAG0VVd4JOA&amp;utm_campaign=designshare&amp;utm_medium=link2&amp;utm_source=sharebutton</t>
  </si>
  <si>
    <t>P26</t>
  </si>
  <si>
    <t>Dumpit, Sealtiel Benedict</t>
  </si>
  <si>
    <t>N</t>
  </si>
  <si>
    <t>https://www.canva.com/design/DAGzzvT8Ku8/cIlIIi7MDL10Cue7yVecCA/edit?utm_content=DAGzzvT8Ku8&amp;utm_campaign=designshare&amp;utm_medium=link2&amp;utm_source=sharebutton</t>
  </si>
  <si>
    <t>P27</t>
  </si>
  <si>
    <t>Joseph Enriquez</t>
  </si>
  <si>
    <t>https://www.canva.com/design/DAG0VbyhIKc/RomIVabbaanVyOSsuoyseg/edit?utm_content=DAG0VbyhIKc&amp;utm_campaign=designshare&amp;utm_medium=link2&amp;utm_source=sharebutton</t>
  </si>
  <si>
    <t>P28</t>
  </si>
  <si>
    <t>Joshzel Edralin</t>
  </si>
  <si>
    <t>O</t>
  </si>
  <si>
    <t>https://www.canva.com/design/DAGzzhZHQ2Q/zwww7qEnNYYJVNwXeWFMKQ/edit?utm_content=DAGzzhZHQ2Q&amp;utm_campaign=designshare&amp;utm_medium=link2&amp;utm_source=sharebutton</t>
  </si>
  <si>
    <t>P29</t>
  </si>
  <si>
    <t>Luis Robles</t>
  </si>
  <si>
    <t>https://www.canva.com/design/DAG0VYKUsV0/DgchJBWaE3YWiJEIH1FUMw/edit?utm_content=DAG0VYKUsV0&amp;utm_campaign=designshare&amp;utm_medium=link2&amp;utm_source=sharebutton</t>
  </si>
  <si>
    <t>P30</t>
  </si>
  <si>
    <t>Alexa Limosnero</t>
  </si>
  <si>
    <t>NEW1</t>
  </si>
  <si>
    <t>https://www.canva.com/design/DAG2qUXNiaQ/6taPrO2RSq885xkvtzVkvQ/edit?utm_content=DAG2qUXNiaQ&amp;utm_campaign=designshare&amp;utm_medium=link2&amp;utm_source=sharebutton</t>
  </si>
  <si>
    <t>P31</t>
  </si>
  <si>
    <t>Princess Sucaldito</t>
  </si>
  <si>
    <t>https://www.canva.com/design/DAG2qulqHic/OQba2ScFosQz4RpWONpNCg/edit?utm_content=DAG2qulqHic&amp;utm_campaign=designshare&amp;utm_medium=link2&amp;utm_source=sharebutton</t>
  </si>
  <si>
    <t>P32</t>
  </si>
  <si>
    <t>Marjorie Abe</t>
  </si>
  <si>
    <t>NEW2</t>
  </si>
  <si>
    <t>https://www.canva.com/design/DAG2xbZmPmk/DaEB-Zzv5HhX_asm1WMBzQ/edit?utm_content=DAG2xbZmPmk&amp;utm_campaign=designshare&amp;utm_medium=link2&amp;utm_source=sharebutton</t>
  </si>
  <si>
    <t>P33</t>
  </si>
  <si>
    <t>Jaryll Salvador</t>
  </si>
  <si>
    <t>https://www.canva.com/design/DAG2xQ3tspI/x-DVxeqD15o-_h2oTNhglw/edit?utm_content=DAG2xQ3tspI&amp;utm_campaign=designshare&amp;utm_medium=link2&amp;utm_source=sharebutton</t>
  </si>
  <si>
    <t>P34</t>
  </si>
  <si>
    <t>Bielle Rasco</t>
  </si>
  <si>
    <t>NEW3</t>
  </si>
  <si>
    <t>https://www.canva.com/design/DAG2xtQKOIg/Q6m_JXLhfENbhnZJzl0aRw/edit?utm_content=DAG2xtQKOIg&amp;utm_campaign=designshare&amp;utm_medium=link2&amp;utm_source=sharebutton</t>
  </si>
  <si>
    <t>P35</t>
  </si>
  <si>
    <t>Julia Weng</t>
  </si>
  <si>
    <t>https://www.canva.com/design/DAG2xrDV9g0/88IaK3gO5vB48jYcw4kvcA/edit?utm_content=DAG2xrDV9g0&amp;utm_campaign=designshare&amp;utm_medium=link2&amp;utm_source=sharebutton</t>
  </si>
  <si>
    <t>P36</t>
  </si>
  <si>
    <t>Vince Alejandrino</t>
  </si>
  <si>
    <t>NEW4</t>
  </si>
  <si>
    <t>https://www.canva.com/design/DAG25my0qQk/qhGYYLHCV7BV9eMB6XLd4w/edit?utm_content=DAG25my0qQk&amp;utm_campaign=designshare&amp;utm_medium=link2&amp;utm_source=sharebutton</t>
  </si>
  <si>
    <t>P37</t>
  </si>
  <si>
    <t>Alyanna Aragon</t>
  </si>
  <si>
    <t>https://www.canva.com/design/DAG25omVwYU/I05bEVhCyCpogJHD58w8Zg/edit?utm_content=DAG25omVwYU&amp;utm_campaign=designshare&amp;utm_medium=link2&amp;utm_source=sharebutton</t>
  </si>
  <si>
    <t>P38</t>
  </si>
  <si>
    <t>Pei-Han Tsai</t>
  </si>
  <si>
    <t>NEW5</t>
  </si>
  <si>
    <t>https://www.canva.com/design/DAG25la6WOw/vbEe0cg4c5vrMXJoJj4nDQ/edit?utm_content=DAG25la6WOw&amp;utm_campaign=designshare&amp;utm_medium=link2&amp;utm_source=sharebutton</t>
  </si>
  <si>
    <t>P39</t>
  </si>
  <si>
    <t>Nielle Ang</t>
  </si>
  <si>
    <t>https://www.canva.com/design/DAG25jPeeO0/k0X49sE7ZLKFKafH-XDbaw/edit?utm_content=DAG25jPeeO0&amp;utm_campaign=designshare&amp;utm_medium=link2&amp;utm_source=sharebutton</t>
  </si>
  <si>
    <t>P40</t>
  </si>
  <si>
    <t xml:space="preserve">Set Name </t>
  </si>
  <si>
    <t>Combination</t>
  </si>
  <si>
    <t>Block A</t>
  </si>
  <si>
    <t>{Set2, Set3, Set5, Set8}</t>
  </si>
  <si>
    <t>Block B</t>
  </si>
  <si>
    <t>{Set1, Set2, Set9, Set10}</t>
  </si>
  <si>
    <t>Block C</t>
  </si>
  <si>
    <t>{Set2, Set3, Set7, Set10}</t>
  </si>
  <si>
    <t>Block D</t>
  </si>
  <si>
    <t>{Set1, Set2, Set6, Set9}</t>
  </si>
  <si>
    <t>Block E</t>
  </si>
  <si>
    <t>{Set2, Set5, Set6, Set8}</t>
  </si>
  <si>
    <t>Block F</t>
  </si>
  <si>
    <t>{Set2, Set4, Set5, Set7}</t>
  </si>
  <si>
    <t>Block G</t>
  </si>
  <si>
    <t>{Set3, Set6, Set8, Set10}</t>
  </si>
  <si>
    <t>Block H</t>
  </si>
  <si>
    <t>{Set4, Set7, Set8, Set10}</t>
  </si>
  <si>
    <t>Block I</t>
  </si>
  <si>
    <t>{Set1, Set5, Set6, Set10}</t>
  </si>
  <si>
    <t>Block J</t>
  </si>
  <si>
    <t>{Set3, Set4, Set7, Set8}</t>
  </si>
  <si>
    <t>Block K</t>
  </si>
  <si>
    <t>{Set3, Set4, Set7, Set9}</t>
  </si>
  <si>
    <t>Block L</t>
  </si>
  <si>
    <t>{Set3, Set4, Set9, Set10}</t>
  </si>
  <si>
    <t>Block M</t>
  </si>
  <si>
    <t>{Set1, Set5, Set6, Set8}</t>
  </si>
  <si>
    <t>Block N</t>
  </si>
  <si>
    <t>{Set1, Set6, Set7, Set9}</t>
  </si>
  <si>
    <t>Block O</t>
  </si>
  <si>
    <t>{Set1, Set4, Set5, Set9}</t>
  </si>
  <si>
    <t>Block NEW1</t>
  </si>
  <si>
    <t>{Set1, Set3, Set4, Set6}</t>
  </si>
  <si>
    <t>all sets shown together at least once</t>
  </si>
  <si>
    <t>P</t>
  </si>
  <si>
    <t>Block NEW2</t>
  </si>
  <si>
    <t>{Set1, Set5, Set8, Set9}</t>
  </si>
  <si>
    <t>Q</t>
  </si>
  <si>
    <t>Block NEW3</t>
  </si>
  <si>
    <t>{Set1, Set3, Set5, Set7}</t>
  </si>
  <si>
    <t>all sets shown together at least twice</t>
  </si>
  <si>
    <t>R</t>
  </si>
  <si>
    <t>Block NEW4</t>
  </si>
  <si>
    <t>{Set2, Set4, Set6, Set7}</t>
  </si>
  <si>
    <t>S</t>
  </si>
  <si>
    <t>Block NEW5</t>
  </si>
  <si>
    <t>{Set5, Set8, Set9, Set10}</t>
  </si>
  <si>
    <t>T</t>
  </si>
  <si>
    <t>DENOMINATOR MATRIX (block-based)</t>
  </si>
  <si>
    <t>set</t>
  </si>
  <si>
    <t>sum</t>
  </si>
  <si>
    <t>AFTER EXTRA PARTICIPANTS: update both intersecting cells AND green cells (count of times the set appeared)</t>
  </si>
  <si>
    <t>DENOMINATOR MATRIX (participant no.)</t>
  </si>
  <si>
    <t>done</t>
  </si>
  <si>
    <t>Video id
[video#]-[trend#]</t>
  </si>
  <si>
    <t>TREND 1</t>
  </si>
  <si>
    <t>TREND 2</t>
  </si>
  <si>
    <t>TREND 3</t>
  </si>
  <si>
    <t>TREND 4</t>
  </si>
  <si>
    <t>TREND 5</t>
  </si>
  <si>
    <t>TREND 6</t>
  </si>
  <si>
    <t>TREND 7</t>
  </si>
  <si>
    <t>TREND 8</t>
  </si>
  <si>
    <t>TREND 9</t>
  </si>
  <si>
    <t>TREND 10</t>
  </si>
  <si>
    <t>1-1</t>
  </si>
  <si>
    <t>2-1</t>
  </si>
  <si>
    <t>3-1</t>
  </si>
  <si>
    <t>4-1</t>
  </si>
  <si>
    <t>5-1</t>
  </si>
  <si>
    <t>6-1</t>
  </si>
  <si>
    <t>7-1</t>
  </si>
  <si>
    <t>8-1</t>
  </si>
  <si>
    <t>9-1</t>
  </si>
  <si>
    <t>10-1</t>
  </si>
  <si>
    <t>1-2</t>
  </si>
  <si>
    <t>2-2</t>
  </si>
  <si>
    <t>3-2</t>
  </si>
  <si>
    <t>4-2</t>
  </si>
  <si>
    <t>5-2</t>
  </si>
  <si>
    <t>6-2</t>
  </si>
  <si>
    <t>7-2</t>
  </si>
  <si>
    <t>8-2</t>
  </si>
  <si>
    <t>9-2</t>
  </si>
  <si>
    <t>10-2</t>
  </si>
  <si>
    <t>1-3</t>
  </si>
  <si>
    <t>2-3</t>
  </si>
  <si>
    <t>3-3</t>
  </si>
  <si>
    <t>4-3</t>
  </si>
  <si>
    <t>5-3</t>
  </si>
  <si>
    <t>6-3</t>
  </si>
  <si>
    <t>7-3</t>
  </si>
  <si>
    <t>8-3</t>
  </si>
  <si>
    <t>9-3</t>
  </si>
  <si>
    <t>10-3</t>
  </si>
  <si>
    <t>1-4</t>
  </si>
  <si>
    <t>2-4</t>
  </si>
  <si>
    <t>3-4</t>
  </si>
  <si>
    <t>4-4</t>
  </si>
  <si>
    <t>5-4</t>
  </si>
  <si>
    <t>6-4</t>
  </si>
  <si>
    <t>7-4</t>
  </si>
  <si>
    <t>8-4</t>
  </si>
  <si>
    <t>9-4</t>
  </si>
  <si>
    <t>10-4</t>
  </si>
  <si>
    <t>1-5</t>
  </si>
  <si>
    <t>2-5</t>
  </si>
  <si>
    <t>3-5</t>
  </si>
  <si>
    <t>4-5</t>
  </si>
  <si>
    <t>5-5</t>
  </si>
  <si>
    <t>6-5</t>
  </si>
  <si>
    <t>7-5</t>
  </si>
  <si>
    <t>8-5</t>
  </si>
  <si>
    <t>9-5</t>
  </si>
  <si>
    <t>10-5</t>
  </si>
  <si>
    <t>1-6</t>
  </si>
  <si>
    <t>2-6</t>
  </si>
  <si>
    <t>3-6</t>
  </si>
  <si>
    <t>4-6</t>
  </si>
  <si>
    <t>5-6</t>
  </si>
  <si>
    <t>6-6</t>
  </si>
  <si>
    <t>7-6</t>
  </si>
  <si>
    <t>8-6</t>
  </si>
  <si>
    <t>9-6</t>
  </si>
  <si>
    <t>10-6</t>
  </si>
  <si>
    <t>1-7</t>
  </si>
  <si>
    <t>2-7</t>
  </si>
  <si>
    <t>3-7</t>
  </si>
  <si>
    <t>4-7</t>
  </si>
  <si>
    <t>5-7</t>
  </si>
  <si>
    <t>6-7</t>
  </si>
  <si>
    <t>7-7</t>
  </si>
  <si>
    <t>8-7</t>
  </si>
  <si>
    <t>9-7</t>
  </si>
  <si>
    <t>10-7</t>
  </si>
  <si>
    <t>1-8</t>
  </si>
  <si>
    <t>2-8</t>
  </si>
  <si>
    <t>3-8</t>
  </si>
  <si>
    <t>4-8</t>
  </si>
  <si>
    <t>5-8</t>
  </si>
  <si>
    <t>6-8</t>
  </si>
  <si>
    <t>7-8</t>
  </si>
  <si>
    <t>8-8</t>
  </si>
  <si>
    <t>9-8</t>
  </si>
  <si>
    <t>10-8</t>
  </si>
  <si>
    <t>1-9</t>
  </si>
  <si>
    <t>2-9</t>
  </si>
  <si>
    <t>3-9</t>
  </si>
  <si>
    <t>4-9</t>
  </si>
  <si>
    <t>5-9</t>
  </si>
  <si>
    <t>6-9</t>
  </si>
  <si>
    <t>7-9</t>
  </si>
  <si>
    <t>8-9</t>
  </si>
  <si>
    <t>9-9</t>
  </si>
  <si>
    <t>10-9</t>
  </si>
  <si>
    <t>1-10</t>
  </si>
  <si>
    <t>2-10</t>
  </si>
  <si>
    <t>3-10</t>
  </si>
  <si>
    <t>4-10</t>
  </si>
  <si>
    <t>5-10</t>
  </si>
  <si>
    <t>6-10</t>
  </si>
  <si>
    <t>7-10</t>
  </si>
  <si>
    <t>8-10</t>
  </si>
  <si>
    <t>9-10</t>
  </si>
  <si>
    <t>10-10</t>
  </si>
  <si>
    <t>1st</t>
  </si>
  <si>
    <t>2nd</t>
  </si>
  <si>
    <t>3rd</t>
  </si>
  <si>
    <t>4th</t>
  </si>
  <si>
    <t>5th</t>
  </si>
  <si>
    <t>6th</t>
  </si>
  <si>
    <t>7th</t>
  </si>
  <si>
    <t>8th</t>
  </si>
  <si>
    <t>9th</t>
  </si>
  <si>
    <t>10th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</si>
</sst>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000"/>
  </numFmts>
  <fonts count="33">
    <font>
      <sz val="10.0"/>
      <color rgb="FF000000"/>
      <name val="Arial"/>
      <scheme val="minor"/>
    </font>
    <font>
      <b/>
      <color theme="1"/>
      <name val="Lexend"/>
    </font>
    <font>
      <color theme="1"/>
      <name val="Lexend"/>
    </font>
    <font/>
    <font>
      <u/>
      <color rgb="FF0000FF"/>
      <name val="Lexend"/>
    </font>
    <font>
      <u/>
      <color rgb="FF0000FF"/>
      <name val="Lexend"/>
    </font>
    <font>
      <u/>
      <color rgb="FF0000FF"/>
      <name val="Lexend"/>
    </font>
    <font>
      <u/>
      <color rgb="FF0000FF"/>
      <name val="Lexend"/>
    </font>
    <font>
      <color rgb="FF000000"/>
      <name val="Lexend"/>
    </font>
    <font>
      <sz val="12.0"/>
      <color rgb="FF161823"/>
      <name val="TikTokFont"/>
    </font>
    <font>
      <u/>
      <color rgb="FF0000FF"/>
      <name val="Lexend"/>
    </font>
    <font>
      <u/>
      <color rgb="FF0000FF"/>
      <name val="Lexend"/>
    </font>
    <font>
      <u/>
      <color rgb="FF0000FF"/>
      <name val="Lexend"/>
    </font>
    <font>
      <u/>
      <color rgb="FF0000FF"/>
      <name val="Lexend"/>
    </font>
    <font>
      <u/>
      <color rgb="FF0000FF"/>
    </font>
    <font>
      <u/>
      <color rgb="FF0000FF"/>
      <name val="Lexend"/>
    </font>
    <font>
      <sz val="12.0"/>
      <color rgb="FF161823"/>
      <name val="Arial"/>
    </font>
    <font>
      <u/>
      <color rgb="FF0000FF"/>
      <name val="Lexend"/>
    </font>
    <font>
      <color theme="1"/>
      <name val="Arial"/>
      <scheme val="minor"/>
    </font>
    <font>
      <u/>
      <color rgb="FF0000FF"/>
    </font>
    <font>
      <u/>
      <color rgb="FF0000FF"/>
      <name val="Lexend"/>
    </font>
    <font>
      <u/>
      <color rgb="FF0000FF"/>
    </font>
    <font>
      <u/>
      <color rgb="FF0000FF"/>
    </font>
    <font>
      <b/>
      <color theme="1"/>
      <name val="Arial"/>
      <scheme val="minor"/>
    </font>
    <font>
      <b/>
      <i/>
      <color theme="1"/>
      <name val="Arial"/>
      <scheme val="minor"/>
    </font>
    <font>
      <u/>
      <color rgb="FF0000FF"/>
    </font>
    <font>
      <b/>
      <sz val="10.0"/>
      <color theme="1"/>
      <name val="Arial"/>
      <scheme val="minor"/>
    </font>
    <font>
      <sz val="10.0"/>
      <color theme="1"/>
      <name val="Arial"/>
      <scheme val="minor"/>
    </font>
    <font>
      <b/>
      <color rgb="FFFFFFFF"/>
      <name val="Arial"/>
      <scheme val="minor"/>
    </font>
    <font>
      <b/>
      <sz val="8.0"/>
      <color theme="1"/>
      <name val="Arial"/>
      <scheme val="minor"/>
    </font>
    <font>
      <b/>
      <sz val="8.0"/>
      <color theme="1"/>
      <name val="Arial"/>
    </font>
    <font>
      <b/>
      <color theme="1"/>
      <name val="Arial"/>
    </font>
    <font>
      <b/>
      <sz val="12.0"/>
      <color theme="1"/>
      <name val="Arial"/>
      <scheme val="minor"/>
    </font>
  </fonts>
  <fills count="15">
    <fill>
      <patternFill patternType="none"/>
    </fill>
    <fill>
      <patternFill patternType="lightGray"/>
    </fill>
    <fill>
      <patternFill patternType="solid">
        <fgColor rgb="FFF9CB9C"/>
        <bgColor rgb="FFF9CB9C"/>
      </patternFill>
    </fill>
    <fill>
      <patternFill patternType="solid">
        <fgColor theme="7"/>
        <bgColor theme="7"/>
      </patternFill>
    </fill>
    <fill>
      <patternFill patternType="solid">
        <fgColor rgb="FFFF0000"/>
        <bgColor rgb="FFFF0000"/>
      </patternFill>
    </fill>
    <fill>
      <patternFill patternType="solid">
        <fgColor rgb="FFFFF2CC"/>
        <bgColor rgb="FFFFF2CC"/>
      </patternFill>
    </fill>
    <fill>
      <patternFill patternType="solid">
        <fgColor rgb="FFFFFFFF"/>
        <bgColor rgb="FFFFFFFF"/>
      </patternFill>
    </fill>
    <fill>
      <patternFill patternType="solid">
        <fgColor rgb="FFE6B8AF"/>
        <bgColor rgb="FFE6B8AF"/>
      </patternFill>
    </fill>
    <fill>
      <patternFill patternType="solid">
        <fgColor rgb="FFEA9999"/>
        <bgColor rgb="FFEA9999"/>
      </patternFill>
    </fill>
    <fill>
      <patternFill patternType="solid">
        <fgColor rgb="FF00FF00"/>
        <bgColor rgb="FF00FF00"/>
      </patternFill>
    </fill>
    <fill>
      <patternFill patternType="solid">
        <fgColor rgb="FFB7E1CD"/>
        <bgColor rgb="FFB7E1CD"/>
      </patternFill>
    </fill>
    <fill>
      <patternFill patternType="solid">
        <fgColor rgb="FFD9EAD3"/>
        <bgColor rgb="FFD9EAD3"/>
      </patternFill>
    </fill>
    <fill>
      <patternFill patternType="solid">
        <fgColor rgb="FF38761D"/>
        <bgColor rgb="FF38761D"/>
      </patternFill>
    </fill>
    <fill>
      <patternFill patternType="solid">
        <fgColor rgb="FF93C47D"/>
        <bgColor rgb="FF93C47D"/>
      </patternFill>
    </fill>
    <fill>
      <patternFill patternType="solid">
        <fgColor rgb="FFB6D7A8"/>
        <bgColor rgb="FFB6D7A8"/>
      </patternFill>
    </fill>
  </fills>
  <borders count="33">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border>
    <border>
      <left style="medium">
        <color rgb="FF000000"/>
      </left>
    </border>
    <border>
      <right style="thick">
        <color rgb="FF000000"/>
      </right>
    </border>
    <border>
      <left style="thick">
        <color rgb="FF000000"/>
      </left>
      <bottom style="thick">
        <color rgb="FF000000"/>
      </bottom>
    </border>
    <border>
      <bottom style="thick">
        <color rgb="FF000000"/>
      </bottom>
    </border>
    <border>
      <left style="medium">
        <color rgb="FF000000"/>
      </left>
      <bottom style="thick">
        <color rgb="FF000000"/>
      </bottom>
    </border>
    <border>
      <right style="thick">
        <color rgb="FF000000"/>
      </right>
      <bottom style="thick">
        <color rgb="FF000000"/>
      </bottom>
    </border>
    <border>
      <top style="thick">
        <color rgb="FF000000"/>
      </top>
    </border>
    <border>
      <right style="thick">
        <color rgb="FF000000"/>
      </right>
      <top style="thick">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right style="thick">
        <color rgb="FF000000"/>
      </right>
      <top style="thin">
        <color rgb="FF000000"/>
      </top>
      <bottom style="thin">
        <color rgb="FF000000"/>
      </bottom>
    </border>
    <border>
      <left style="medium">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top style="thin">
        <color rgb="FF000000"/>
      </top>
      <bottom style="thick">
        <color rgb="FF000000"/>
      </bottom>
    </border>
    <border>
      <right style="thin">
        <color rgb="FF000000"/>
      </right>
      <bottom style="thick">
        <color rgb="FF000000"/>
      </bottom>
    </border>
    <border>
      <left style="thin">
        <color rgb="FF000000"/>
      </left>
      <bottom style="thick">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1" fillId="2"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2" numFmtId="0" xfId="0" applyAlignment="1" applyFont="1">
      <alignment vertical="center"/>
    </xf>
    <xf borderId="2" fillId="3" fontId="1" numFmtId="0" xfId="0" applyAlignment="1" applyBorder="1" applyFill="1" applyFont="1">
      <alignment horizontal="center" readingOrder="0" vertical="center"/>
    </xf>
    <xf borderId="3" fillId="0" fontId="3" numFmtId="0" xfId="0" applyBorder="1" applyFont="1"/>
    <xf borderId="4" fillId="0" fontId="3" numFmtId="0" xfId="0" applyBorder="1" applyFont="1"/>
    <xf borderId="0" fillId="0" fontId="2" numFmtId="0" xfId="0" applyAlignment="1" applyFont="1">
      <alignment readingOrder="0" vertical="center"/>
    </xf>
    <xf borderId="2" fillId="4" fontId="1" numFmtId="0" xfId="0" applyAlignment="1" applyBorder="1" applyFill="1" applyFont="1">
      <alignment horizontal="center" readingOrder="0" vertical="center"/>
    </xf>
    <xf borderId="2" fillId="5" fontId="1" numFmtId="0" xfId="0" applyAlignment="1" applyBorder="1" applyFill="1" applyFont="1">
      <alignment horizontal="center" readingOrder="0" vertical="center"/>
    </xf>
    <xf borderId="5" fillId="0" fontId="2" numFmtId="0" xfId="0" applyAlignment="1" applyBorder="1" applyFont="1">
      <alignment readingOrder="0" vertical="center"/>
    </xf>
    <xf borderId="0" fillId="0" fontId="4" numFmtId="0" xfId="0" applyAlignment="1" applyFont="1">
      <alignment readingOrder="0" shrinkToFit="0" vertical="center" wrapText="0"/>
    </xf>
    <xf borderId="6" fillId="0" fontId="2" numFmtId="0" xfId="0" applyAlignment="1" applyBorder="1" applyFont="1">
      <alignment readingOrder="0" vertical="center"/>
    </xf>
    <xf borderId="0" fillId="0" fontId="5" numFmtId="0" xfId="0" applyAlignment="1" applyFont="1">
      <alignment readingOrder="0" shrinkToFit="0" vertical="center" wrapText="0"/>
    </xf>
    <xf borderId="0" fillId="0" fontId="6" numFmtId="0" xfId="0" applyAlignment="1" applyFont="1">
      <alignment readingOrder="0" vertical="center"/>
    </xf>
    <xf borderId="0" fillId="0" fontId="2" numFmtId="0" xfId="0" applyAlignment="1" applyFont="1">
      <alignment readingOrder="0" vertical="center"/>
    </xf>
    <xf borderId="5" fillId="5" fontId="2" numFmtId="0" xfId="0" applyAlignment="1" applyBorder="1" applyFont="1">
      <alignment readingOrder="0" vertical="center"/>
    </xf>
    <xf borderId="0" fillId="5" fontId="7" numFmtId="0" xfId="0" applyAlignment="1" applyFont="1">
      <alignment readingOrder="0" shrinkToFit="0" vertical="center" wrapText="0"/>
    </xf>
    <xf borderId="0" fillId="5" fontId="2" numFmtId="0" xfId="0" applyAlignment="1" applyFont="1">
      <alignment readingOrder="0" vertical="center"/>
    </xf>
    <xf borderId="6" fillId="5" fontId="2" numFmtId="0" xfId="0" applyAlignment="1" applyBorder="1" applyFont="1">
      <alignment readingOrder="0" vertical="center"/>
    </xf>
    <xf borderId="0" fillId="0" fontId="8" numFmtId="0" xfId="0" applyAlignment="1" applyFont="1">
      <alignment readingOrder="0" shrinkToFit="0" vertical="center" wrapText="0"/>
    </xf>
    <xf borderId="0" fillId="0" fontId="8" numFmtId="0" xfId="0" applyAlignment="1" applyFont="1">
      <alignment readingOrder="0" vertical="center"/>
    </xf>
    <xf borderId="6" fillId="0" fontId="2" numFmtId="0" xfId="0" applyAlignment="1" applyBorder="1" applyFont="1">
      <alignment readingOrder="0" vertical="center"/>
    </xf>
    <xf borderId="6" fillId="0" fontId="2" numFmtId="0" xfId="0" applyAlignment="1" applyBorder="1" applyFont="1">
      <alignment vertical="center"/>
    </xf>
    <xf borderId="5" fillId="0" fontId="2" numFmtId="0" xfId="0" applyAlignment="1" applyBorder="1" applyFont="1">
      <alignment readingOrder="0" vertical="center"/>
    </xf>
    <xf borderId="0" fillId="6" fontId="9" numFmtId="0" xfId="0" applyAlignment="1" applyFill="1" applyFont="1">
      <alignment horizontal="left" readingOrder="0"/>
    </xf>
    <xf borderId="5" fillId="0" fontId="10" numFmtId="0" xfId="0" applyAlignment="1" applyBorder="1" applyFont="1">
      <alignment readingOrder="0" vertical="center"/>
    </xf>
    <xf borderId="0" fillId="0" fontId="11" numFmtId="0" xfId="0" applyAlignment="1" applyFont="1">
      <alignment readingOrder="0" vertical="center"/>
    </xf>
    <xf borderId="0" fillId="0" fontId="2" numFmtId="0" xfId="0" applyAlignment="1" applyFont="1">
      <alignment readingOrder="0" shrinkToFit="0" vertical="center" wrapText="0"/>
    </xf>
    <xf borderId="0" fillId="0" fontId="2" numFmtId="0" xfId="0" applyAlignment="1" applyFont="1">
      <alignment readingOrder="0" vertical="center"/>
    </xf>
    <xf borderId="7" fillId="0" fontId="2" numFmtId="0" xfId="0" applyAlignment="1" applyBorder="1" applyFont="1">
      <alignment readingOrder="0" vertical="center"/>
    </xf>
    <xf borderId="8" fillId="0" fontId="12" numFmtId="0" xfId="0" applyAlignment="1" applyBorder="1" applyFont="1">
      <alignment readingOrder="0" vertical="center"/>
    </xf>
    <xf borderId="8" fillId="0" fontId="2" numFmtId="0" xfId="0" applyAlignment="1" applyBorder="1" applyFont="1">
      <alignment readingOrder="0" vertical="center"/>
    </xf>
    <xf borderId="9" fillId="0" fontId="2" numFmtId="0" xfId="0" applyAlignment="1" applyBorder="1" applyFont="1">
      <alignment readingOrder="0" vertical="center"/>
    </xf>
    <xf borderId="8" fillId="0" fontId="13" numFmtId="0" xfId="0" applyAlignment="1" applyBorder="1" applyFont="1">
      <alignment readingOrder="0" shrinkToFit="0" vertical="center" wrapText="0"/>
    </xf>
    <xf borderId="8" fillId="0" fontId="2" numFmtId="0" xfId="0" applyAlignment="1" applyBorder="1" applyFont="1">
      <alignment readingOrder="0" vertical="center"/>
    </xf>
    <xf borderId="8" fillId="0" fontId="2" numFmtId="0" xfId="0" applyAlignment="1" applyBorder="1" applyFont="1">
      <alignment vertical="center"/>
    </xf>
    <xf borderId="0" fillId="0" fontId="2" numFmtId="0" xfId="0" applyAlignment="1" applyFont="1">
      <alignment shrinkToFit="0" vertical="center" wrapText="0"/>
    </xf>
    <xf borderId="0" fillId="7" fontId="2" numFmtId="0" xfId="0" applyAlignment="1" applyFill="1" applyFont="1">
      <alignment readingOrder="0" vertical="center"/>
    </xf>
    <xf borderId="0" fillId="0" fontId="14" numFmtId="0" xfId="0" applyAlignment="1" applyFont="1">
      <alignment readingOrder="0"/>
    </xf>
    <xf borderId="0" fillId="0" fontId="2" numFmtId="0" xfId="0" applyAlignment="1" applyFont="1">
      <alignment readingOrder="0" shrinkToFit="0" vertical="center" wrapText="0"/>
    </xf>
    <xf borderId="2" fillId="0" fontId="2" numFmtId="0" xfId="0" applyAlignment="1" applyBorder="1" applyFont="1">
      <alignment readingOrder="0" vertical="center"/>
    </xf>
    <xf borderId="3" fillId="0" fontId="15" numFmtId="0" xfId="0" applyAlignment="1" applyBorder="1" applyFont="1">
      <alignment readingOrder="0" vertical="center"/>
    </xf>
    <xf borderId="3" fillId="0" fontId="2" numFmtId="0" xfId="0" applyAlignment="1" applyBorder="1" applyFont="1">
      <alignment readingOrder="0" vertical="center"/>
    </xf>
    <xf borderId="0" fillId="6" fontId="16" numFmtId="0" xfId="0" applyAlignment="1" applyFont="1">
      <alignment horizontal="left" readingOrder="0"/>
    </xf>
    <xf borderId="5" fillId="0" fontId="17" numFmtId="0" xfId="0" applyAlignment="1" applyBorder="1" applyFont="1">
      <alignment readingOrder="0" vertical="center"/>
    </xf>
    <xf borderId="10" fillId="0" fontId="2" numFmtId="0" xfId="0" applyAlignment="1" applyBorder="1" applyFont="1">
      <alignment horizontal="right" vertical="center"/>
    </xf>
    <xf borderId="11" fillId="0" fontId="2" numFmtId="0" xfId="0" applyAlignment="1" applyBorder="1" applyFont="1">
      <alignment readingOrder="0" shrinkToFit="0" vertical="center" wrapText="0"/>
    </xf>
    <xf borderId="11" fillId="0" fontId="2" numFmtId="0" xfId="0" applyAlignment="1" applyBorder="1" applyFont="1">
      <alignment readingOrder="0" shrinkToFit="0" vertical="center" wrapText="1"/>
    </xf>
    <xf borderId="12" fillId="0" fontId="2" numFmtId="0" xfId="0" applyAlignment="1" applyBorder="1" applyFont="1">
      <alignment horizontal="right" vertical="center"/>
    </xf>
    <xf borderId="11" fillId="0" fontId="2" numFmtId="0" xfId="0" applyAlignment="1" applyBorder="1" applyFont="1">
      <alignment horizontal="right" vertical="center"/>
    </xf>
    <xf borderId="0" fillId="0" fontId="2" numFmtId="0" xfId="0" applyAlignment="1" applyFont="1">
      <alignment shrinkToFit="0" vertical="center" wrapText="0"/>
    </xf>
    <xf borderId="2" fillId="0" fontId="2" numFmtId="0" xfId="0" applyAlignment="1" applyBorder="1" applyFont="1">
      <alignment horizontal="right" vertical="center"/>
    </xf>
    <xf borderId="3" fillId="0" fontId="2" numFmtId="0" xfId="0" applyAlignment="1" applyBorder="1" applyFont="1">
      <alignment readingOrder="0" shrinkToFit="0" vertical="center" wrapText="0"/>
    </xf>
    <xf borderId="3" fillId="0" fontId="2" numFmtId="0" xfId="0" applyAlignment="1" applyBorder="1" applyFont="1">
      <alignment horizontal="right" vertical="center"/>
    </xf>
    <xf borderId="4" fillId="0" fontId="2" numFmtId="0" xfId="0" applyAlignment="1" applyBorder="1" applyFont="1">
      <alignment horizontal="right" vertical="center"/>
    </xf>
    <xf borderId="0" fillId="0" fontId="2" numFmtId="0" xfId="0" applyAlignment="1" applyFont="1">
      <alignment readingOrder="0" vertical="center"/>
    </xf>
    <xf borderId="0" fillId="0" fontId="18" numFmtId="0" xfId="0" applyAlignment="1" applyFont="1">
      <alignment readingOrder="0"/>
    </xf>
    <xf borderId="0" fillId="0" fontId="18" numFmtId="0" xfId="0" applyAlignment="1" applyFont="1">
      <alignment shrinkToFit="0" wrapText="1"/>
    </xf>
    <xf borderId="0" fillId="0" fontId="18" numFmtId="0" xfId="0" applyAlignment="1" applyFont="1">
      <alignment shrinkToFit="0" wrapText="0"/>
    </xf>
    <xf borderId="0" fillId="0" fontId="18" numFmtId="0" xfId="0" applyFont="1"/>
    <xf borderId="0" fillId="0" fontId="19" numFmtId="0" xfId="0" applyFont="1"/>
    <xf borderId="0" fillId="0" fontId="2" numFmtId="0" xfId="0" applyAlignment="1" applyFont="1">
      <alignment readingOrder="0" shrinkToFit="0" vertical="center" wrapText="1"/>
    </xf>
    <xf borderId="0" fillId="0" fontId="18" numFmtId="0" xfId="0" applyAlignment="1" applyFont="1">
      <alignment readingOrder="0" shrinkToFit="0" wrapText="0"/>
    </xf>
    <xf borderId="0" fillId="5" fontId="18" numFmtId="0" xfId="0" applyAlignment="1" applyFont="1">
      <alignment horizontal="center" shrinkToFit="0" wrapText="1"/>
    </xf>
    <xf borderId="0" fillId="5" fontId="1" numFmtId="0" xfId="0" applyAlignment="1" applyFont="1">
      <alignment horizontal="center" readingOrder="0" shrinkToFit="0" vertical="center" wrapText="1"/>
    </xf>
    <xf borderId="0" fillId="5" fontId="1" numFmtId="0" xfId="0" applyAlignment="1" applyFont="1">
      <alignment horizontal="center" readingOrder="0" shrinkToFit="0" vertical="center" wrapText="0"/>
    </xf>
    <xf borderId="0" fillId="8" fontId="20" numFmtId="0" xfId="0" applyAlignment="1" applyFill="1" applyFont="1">
      <alignment readingOrder="0" shrinkToFit="0" vertical="center" wrapText="0"/>
    </xf>
    <xf borderId="0" fillId="0" fontId="21" numFmtId="0" xfId="0" applyAlignment="1" applyFont="1">
      <alignment readingOrder="0" shrinkToFit="0" wrapText="0"/>
    </xf>
    <xf borderId="0" fillId="0" fontId="22" numFmtId="0" xfId="0" applyAlignment="1" applyFont="1">
      <alignment readingOrder="0" shrinkToFit="0" vertical="center" wrapText="0"/>
    </xf>
    <xf borderId="0" fillId="0" fontId="23" numFmtId="0" xfId="0" applyFont="1"/>
    <xf borderId="0" fillId="0" fontId="23" numFmtId="0" xfId="0" applyAlignment="1" applyFont="1">
      <alignment readingOrder="0"/>
    </xf>
    <xf borderId="0" fillId="0" fontId="23" numFmtId="0" xfId="0" applyAlignment="1" applyFont="1">
      <alignment readingOrder="0" shrinkToFit="0" wrapText="0"/>
    </xf>
    <xf borderId="0" fillId="0" fontId="24" numFmtId="0" xfId="0" applyAlignment="1" applyFont="1">
      <alignment readingOrder="0" shrinkToFit="0" wrapText="0"/>
    </xf>
    <xf borderId="0" fillId="9" fontId="18" numFmtId="0" xfId="0" applyFill="1" applyFont="1"/>
    <xf borderId="0" fillId="4" fontId="18" numFmtId="0" xfId="0" applyFont="1"/>
    <xf borderId="0" fillId="9" fontId="18" numFmtId="0" xfId="0" applyAlignment="1" applyFont="1">
      <alignment readingOrder="0"/>
    </xf>
    <xf borderId="0" fillId="10" fontId="18" numFmtId="0" xfId="0" applyAlignment="1" applyFill="1" applyFont="1">
      <alignment readingOrder="0"/>
    </xf>
    <xf borderId="0" fillId="0" fontId="25" numFmtId="0" xfId="0" applyAlignment="1" applyFont="1">
      <alignment readingOrder="0" shrinkToFit="0" wrapText="0"/>
    </xf>
    <xf borderId="0" fillId="0" fontId="26" numFmtId="0" xfId="0" applyAlignment="1" applyFont="1">
      <alignment readingOrder="0"/>
    </xf>
    <xf borderId="0" fillId="0" fontId="27" numFmtId="0" xfId="0" applyAlignment="1" applyFont="1">
      <alignment readingOrder="0"/>
    </xf>
    <xf borderId="0" fillId="0" fontId="0" numFmtId="0" xfId="0" applyAlignment="1" applyFont="1">
      <alignment readingOrder="0"/>
    </xf>
    <xf borderId="0" fillId="0" fontId="27" numFmtId="0" xfId="0" applyFont="1"/>
    <xf borderId="0" fillId="5" fontId="18" numFmtId="0" xfId="0" applyAlignment="1" applyFont="1">
      <alignment readingOrder="0"/>
    </xf>
    <xf borderId="0" fillId="5" fontId="23" numFmtId="0" xfId="0" applyAlignment="1" applyFont="1">
      <alignment readingOrder="0"/>
    </xf>
    <xf borderId="0" fillId="11" fontId="18" numFmtId="0" xfId="0" applyAlignment="1" applyFill="1" applyFont="1">
      <alignment readingOrder="0"/>
    </xf>
    <xf borderId="0" fillId="11" fontId="23" numFmtId="0" xfId="0" applyAlignment="1" applyFont="1">
      <alignment readingOrder="0"/>
    </xf>
    <xf borderId="0" fillId="12" fontId="28" numFmtId="0" xfId="0" applyAlignment="1" applyFill="1" applyFont="1">
      <alignment horizontal="center" readingOrder="0"/>
    </xf>
    <xf borderId="9" fillId="0" fontId="18" numFmtId="0" xfId="0" applyAlignment="1" applyBorder="1" applyFont="1">
      <alignment horizontal="right" readingOrder="0" vertical="bottom"/>
    </xf>
    <xf borderId="0" fillId="0" fontId="23" numFmtId="0" xfId="0" applyAlignment="1" applyFont="1">
      <alignment horizontal="right" readingOrder="0"/>
    </xf>
    <xf borderId="1" fillId="13" fontId="18" numFmtId="0" xfId="0" applyAlignment="1" applyBorder="1" applyFill="1" applyFont="1">
      <alignment horizontal="right" readingOrder="0"/>
    </xf>
    <xf borderId="1" fillId="0" fontId="18" numFmtId="0" xfId="0" applyAlignment="1" applyBorder="1" applyFont="1">
      <alignment horizontal="right" readingOrder="0"/>
    </xf>
    <xf borderId="1" fillId="0" fontId="23" numFmtId="0" xfId="0" applyAlignment="1" applyBorder="1" applyFont="1">
      <alignment horizontal="right" readingOrder="0"/>
    </xf>
    <xf borderId="0" fillId="0" fontId="29" numFmtId="0" xfId="0" applyAlignment="1" applyFont="1">
      <alignment horizontal="center" readingOrder="0" vertical="center"/>
    </xf>
    <xf borderId="6" fillId="0" fontId="3" numFmtId="0" xfId="0" applyBorder="1" applyFont="1"/>
    <xf borderId="13" fillId="11" fontId="23" numFmtId="0" xfId="0" applyAlignment="1" applyBorder="1" applyFont="1">
      <alignment horizontal="center" readingOrder="0" vertical="center"/>
    </xf>
    <xf borderId="14" fillId="13" fontId="23" numFmtId="0" xfId="0" applyAlignment="1" applyBorder="1" applyFont="1">
      <alignment horizontal="center" readingOrder="0" vertical="center"/>
    </xf>
    <xf borderId="14" fillId="11" fontId="23" numFmtId="0" xfId="0" applyAlignment="1" applyBorder="1" applyFont="1">
      <alignment horizontal="center" readingOrder="0" vertical="center"/>
    </xf>
    <xf borderId="15" fillId="0" fontId="3" numFmtId="0" xfId="0" applyBorder="1" applyFont="1"/>
    <xf borderId="8" fillId="0" fontId="3" numFmtId="0" xfId="0" applyBorder="1" applyFont="1"/>
    <xf borderId="9" fillId="0" fontId="3" numFmtId="0" xfId="0" applyBorder="1" applyFont="1"/>
    <xf borderId="16" fillId="0" fontId="23" numFmtId="164" xfId="0" applyAlignment="1" applyBorder="1" applyFont="1" applyNumberFormat="1">
      <alignment horizontal="center" readingOrder="0" vertical="center"/>
    </xf>
    <xf borderId="17" fillId="0" fontId="23" numFmtId="164" xfId="0" applyAlignment="1" applyBorder="1" applyFont="1" applyNumberFormat="1">
      <alignment horizontal="center" readingOrder="0" vertical="center"/>
    </xf>
    <xf borderId="18" fillId="0" fontId="23" numFmtId="164" xfId="0" applyAlignment="1" applyBorder="1" applyFont="1" applyNumberFormat="1">
      <alignment horizontal="center" readingOrder="0" vertical="center"/>
    </xf>
    <xf borderId="19" fillId="0" fontId="23" numFmtId="164" xfId="0" applyAlignment="1" applyBorder="1" applyFont="1" applyNumberFormat="1">
      <alignment horizontal="center" readingOrder="0" vertical="center"/>
    </xf>
    <xf borderId="20" fillId="11" fontId="23" numFmtId="0" xfId="0" applyAlignment="1" applyBorder="1" applyFont="1">
      <alignment horizontal="center" readingOrder="0" textRotation="90" vertical="center"/>
    </xf>
    <xf borderId="21" fillId="0" fontId="23" numFmtId="164" xfId="0" applyAlignment="1" applyBorder="1" applyFont="1" applyNumberFormat="1">
      <alignment horizontal="center" readingOrder="0" vertical="center"/>
    </xf>
    <xf borderId="22" fillId="4" fontId="18" numFmtId="0" xfId="0" applyBorder="1" applyFont="1"/>
    <xf borderId="23" fillId="0" fontId="18" numFmtId="0" xfId="0" applyAlignment="1" applyBorder="1" applyFont="1">
      <alignment readingOrder="0"/>
    </xf>
    <xf borderId="22" fillId="0" fontId="18" numFmtId="0" xfId="0" applyBorder="1" applyFont="1"/>
    <xf borderId="9" fillId="0" fontId="18" numFmtId="0" xfId="0" applyBorder="1" applyFont="1"/>
    <xf borderId="23" fillId="0" fontId="18" numFmtId="0" xfId="0" applyBorder="1" applyFont="1"/>
    <xf borderId="22" fillId="0" fontId="18" numFmtId="0" xfId="0" applyAlignment="1" applyBorder="1" applyFont="1">
      <alignment readingOrder="0"/>
    </xf>
    <xf borderId="24" fillId="0" fontId="18" numFmtId="0" xfId="0" applyBorder="1" applyFont="1"/>
    <xf borderId="15" fillId="0" fontId="23" numFmtId="164" xfId="0" applyAlignment="1" applyBorder="1" applyFont="1" applyNumberFormat="1">
      <alignment horizontal="center" readingOrder="0" vertical="center"/>
    </xf>
    <xf borderId="1" fillId="4" fontId="18" numFmtId="0" xfId="0" applyBorder="1" applyFont="1"/>
    <xf borderId="1" fillId="0" fontId="18" numFmtId="0" xfId="0" applyAlignment="1" applyBorder="1" applyFont="1">
      <alignment readingOrder="0"/>
    </xf>
    <xf borderId="12" fillId="0" fontId="18" numFmtId="0" xfId="0" applyBorder="1" applyFont="1"/>
    <xf borderId="1" fillId="0" fontId="18" numFmtId="0" xfId="0" applyBorder="1" applyFont="1"/>
    <xf borderId="25" fillId="0" fontId="18" numFmtId="0" xfId="0" applyBorder="1" applyFont="1"/>
    <xf borderId="15" fillId="0" fontId="23" numFmtId="164" xfId="0" applyAlignment="1" applyBorder="1" applyFont="1" applyNumberFormat="1">
      <alignment horizontal="center" vertical="center"/>
    </xf>
    <xf borderId="17" fillId="0" fontId="3" numFmtId="0" xfId="0" applyBorder="1" applyFont="1"/>
    <xf borderId="19" fillId="0" fontId="23" numFmtId="164" xfId="0" applyAlignment="1" applyBorder="1" applyFont="1" applyNumberFormat="1">
      <alignment horizontal="center" vertical="center"/>
    </xf>
    <xf borderId="26" fillId="0" fontId="18" numFmtId="0" xfId="0" applyAlignment="1" applyBorder="1" applyFont="1">
      <alignment readingOrder="0"/>
    </xf>
    <xf borderId="27" fillId="0" fontId="18" numFmtId="0" xfId="0" applyAlignment="1" applyBorder="1" applyFont="1">
      <alignment readingOrder="0"/>
    </xf>
    <xf borderId="27" fillId="4" fontId="18" numFmtId="0" xfId="0" applyBorder="1" applyFont="1"/>
    <xf borderId="26" fillId="0" fontId="18" numFmtId="0" xfId="0" applyBorder="1" applyFont="1"/>
    <xf borderId="28" fillId="0" fontId="18" numFmtId="0" xfId="0" applyBorder="1" applyFont="1"/>
    <xf borderId="27" fillId="0" fontId="18" numFmtId="0" xfId="0" applyBorder="1" applyFont="1"/>
    <xf borderId="29" fillId="0" fontId="18" numFmtId="0" xfId="0" applyBorder="1" applyFont="1"/>
    <xf borderId="0" fillId="14" fontId="23" numFmtId="0" xfId="0" applyAlignment="1" applyFill="1" applyFont="1">
      <alignment horizontal="center" readingOrder="0" textRotation="90" vertical="center"/>
    </xf>
    <xf borderId="7" fillId="0" fontId="18" numFmtId="0" xfId="0" applyBorder="1" applyFont="1"/>
    <xf borderId="10" fillId="0" fontId="18" numFmtId="0" xfId="0" applyBorder="1" applyFont="1"/>
    <xf borderId="30" fillId="0" fontId="18" numFmtId="0" xfId="0" applyBorder="1" applyFont="1"/>
    <xf borderId="0" fillId="11" fontId="23" numFmtId="0" xfId="0" applyAlignment="1" applyFont="1">
      <alignment horizontal="center" readingOrder="0" textRotation="90" vertical="center"/>
    </xf>
    <xf borderId="22" fillId="4" fontId="18" numFmtId="0" xfId="0" applyAlignment="1" applyBorder="1" applyFont="1">
      <alignment readingOrder="0"/>
    </xf>
    <xf borderId="25" fillId="0" fontId="18" numFmtId="0" xfId="0" applyAlignment="1" applyBorder="1" applyFont="1">
      <alignment readingOrder="0"/>
    </xf>
    <xf borderId="10" fillId="0" fontId="18" numFmtId="0" xfId="0" applyAlignment="1" applyBorder="1" applyFont="1">
      <alignment readingOrder="0"/>
    </xf>
    <xf borderId="12" fillId="0" fontId="18" numFmtId="0" xfId="0" applyAlignment="1" applyBorder="1" applyFont="1">
      <alignment readingOrder="0"/>
    </xf>
    <xf borderId="29" fillId="0" fontId="18" numFmtId="0" xfId="0" applyAlignment="1" applyBorder="1" applyFont="1">
      <alignment readingOrder="0"/>
    </xf>
    <xf borderId="9" fillId="0" fontId="18" numFmtId="0" xfId="0" applyAlignment="1" applyBorder="1" applyFont="1">
      <alignment readingOrder="0"/>
    </xf>
    <xf borderId="7" fillId="0" fontId="18" numFmtId="0" xfId="0" applyAlignment="1" applyBorder="1" applyFont="1">
      <alignment readingOrder="0"/>
    </xf>
    <xf borderId="28" fillId="0" fontId="18" numFmtId="0" xfId="0" applyAlignment="1" applyBorder="1" applyFont="1">
      <alignment readingOrder="0"/>
    </xf>
    <xf borderId="30" fillId="0" fontId="18" numFmtId="0" xfId="0" applyAlignment="1" applyBorder="1" applyFont="1">
      <alignment readingOrder="0"/>
    </xf>
    <xf borderId="24" fillId="0" fontId="18" numFmtId="0" xfId="0" applyAlignment="1" applyBorder="1" applyFont="1">
      <alignment readingOrder="0"/>
    </xf>
    <xf borderId="29" fillId="4" fontId="18" numFmtId="0" xfId="0" applyBorder="1" applyFont="1"/>
    <xf borderId="14" fillId="0" fontId="18" numFmtId="0" xfId="0" applyBorder="1" applyFont="1"/>
    <xf borderId="31" fillId="0" fontId="23" numFmtId="164" xfId="0" applyAlignment="1" applyBorder="1" applyFont="1" applyNumberFormat="1">
      <alignment horizontal="center" readingOrder="0" vertical="center"/>
    </xf>
    <xf borderId="22" fillId="4" fontId="18" numFmtId="165" xfId="0" applyAlignment="1" applyBorder="1" applyFont="1" applyNumberFormat="1">
      <alignment horizontal="right" readingOrder="0"/>
    </xf>
    <xf borderId="23" fillId="0" fontId="18" numFmtId="165" xfId="0" applyAlignment="1" applyBorder="1" applyFont="1" applyNumberFormat="1">
      <alignment horizontal="right" readingOrder="0"/>
    </xf>
    <xf borderId="22" fillId="0" fontId="18" numFmtId="165" xfId="0" applyAlignment="1" applyBorder="1" applyFont="1" applyNumberFormat="1">
      <alignment horizontal="right" readingOrder="0"/>
    </xf>
    <xf borderId="1" fillId="4" fontId="18" numFmtId="165" xfId="0" applyAlignment="1" applyBorder="1" applyFont="1" applyNumberFormat="1">
      <alignment horizontal="right"/>
    </xf>
    <xf borderId="1" fillId="0" fontId="18" numFmtId="165" xfId="0" applyAlignment="1" applyBorder="1" applyFont="1" applyNumberFormat="1">
      <alignment horizontal="right"/>
    </xf>
    <xf borderId="26" fillId="0" fontId="18" numFmtId="165" xfId="0" applyAlignment="1" applyBorder="1" applyFont="1" applyNumberFormat="1">
      <alignment horizontal="right" readingOrder="0"/>
    </xf>
    <xf borderId="27" fillId="0" fontId="18" numFmtId="165" xfId="0" applyAlignment="1" applyBorder="1" applyFont="1" applyNumberFormat="1">
      <alignment horizontal="right" readingOrder="0"/>
    </xf>
    <xf borderId="27" fillId="4" fontId="18" numFmtId="165" xfId="0" applyAlignment="1" applyBorder="1" applyFont="1" applyNumberFormat="1">
      <alignment horizontal="right"/>
    </xf>
    <xf borderId="27" fillId="0" fontId="18" numFmtId="165" xfId="0" applyAlignment="1" applyBorder="1" applyFont="1" applyNumberFormat="1">
      <alignment horizontal="right"/>
    </xf>
    <xf borderId="16" fillId="0" fontId="23" numFmtId="49" xfId="0" applyAlignment="1" applyBorder="1" applyFont="1" applyNumberFormat="1">
      <alignment horizontal="center" readingOrder="0" vertical="center"/>
    </xf>
    <xf borderId="17" fillId="0" fontId="23" numFmtId="49" xfId="0" applyAlignment="1" applyBorder="1" applyFont="1" applyNumberFormat="1">
      <alignment horizontal="center" readingOrder="0" vertical="center"/>
    </xf>
    <xf borderId="18" fillId="0" fontId="23" numFmtId="49" xfId="0" applyAlignment="1" applyBorder="1" applyFont="1" applyNumberFormat="1">
      <alignment horizontal="center" readingOrder="0" vertical="center"/>
    </xf>
    <xf borderId="31" fillId="0" fontId="23" numFmtId="49" xfId="0" applyAlignment="1" applyBorder="1" applyFont="1" applyNumberFormat="1">
      <alignment horizontal="center" readingOrder="0" vertical="center"/>
    </xf>
    <xf borderId="21" fillId="0" fontId="23" numFmtId="49" xfId="0" applyAlignment="1" applyBorder="1" applyFont="1" applyNumberFormat="1">
      <alignment horizontal="center" readingOrder="0" vertical="center"/>
    </xf>
    <xf borderId="15" fillId="0" fontId="23" numFmtId="49" xfId="0" applyAlignment="1" applyBorder="1" applyFont="1" applyNumberFormat="1">
      <alignment horizontal="center" readingOrder="0" vertical="center"/>
    </xf>
    <xf borderId="15" fillId="0" fontId="23" numFmtId="49" xfId="0" applyAlignment="1" applyBorder="1" applyFont="1" applyNumberFormat="1">
      <alignment horizontal="center" vertical="center"/>
    </xf>
    <xf borderId="19" fillId="0" fontId="23" numFmtId="49" xfId="0" applyAlignment="1" applyBorder="1" applyFont="1" applyNumberFormat="1">
      <alignment horizontal="center" vertical="center"/>
    </xf>
    <xf borderId="0" fillId="0" fontId="30" numFmtId="0" xfId="0" applyAlignment="1" applyFont="1">
      <alignment horizontal="center" vertical="center"/>
    </xf>
    <xf borderId="13" fillId="11" fontId="31" numFmtId="0" xfId="0" applyAlignment="1" applyBorder="1" applyFont="1">
      <alignment horizontal="center" vertical="center"/>
    </xf>
    <xf borderId="13" fillId="13" fontId="31" numFmtId="0" xfId="0" applyAlignment="1" applyBorder="1" applyFont="1">
      <alignment horizontal="center" readingOrder="0" vertical="center"/>
    </xf>
    <xf borderId="13" fillId="11" fontId="31" numFmtId="0" xfId="0" applyAlignment="1" applyBorder="1" applyFont="1">
      <alignment horizontal="center" readingOrder="0" vertical="center"/>
    </xf>
    <xf borderId="16" fillId="0" fontId="31" numFmtId="164" xfId="0" applyAlignment="1" applyBorder="1" applyFont="1" applyNumberFormat="1">
      <alignment horizontal="center" vertical="center"/>
    </xf>
    <xf borderId="32" fillId="0" fontId="31" numFmtId="164" xfId="0" applyAlignment="1" applyBorder="1" applyFont="1" applyNumberFormat="1">
      <alignment horizontal="center" vertical="center"/>
    </xf>
    <xf borderId="16" fillId="0" fontId="31" numFmtId="164" xfId="0" applyAlignment="1" applyBorder="1" applyFont="1" applyNumberFormat="1">
      <alignment horizontal="center" readingOrder="0" vertical="center"/>
    </xf>
    <xf borderId="32" fillId="0" fontId="31" numFmtId="164" xfId="0" applyAlignment="1" applyBorder="1" applyFont="1" applyNumberFormat="1">
      <alignment horizontal="center" readingOrder="0" vertical="center"/>
    </xf>
    <xf borderId="0" fillId="0" fontId="32" numFmtId="0" xfId="0" applyAlignment="1" applyFont="1">
      <alignment horizontal="center" readingOrder="0" vertical="center"/>
    </xf>
    <xf borderId="0" fillId="0" fontId="18" numFmtId="164" xfId="0" applyFont="1" applyNumberFormat="1"/>
    <xf borderId="0" fillId="0" fontId="18" numFmtId="165" xfId="0" applyFont="1" applyNumberFormat="1"/>
    <xf borderId="5" fillId="0" fontId="18" numFmtId="164" xfId="0" applyBorder="1" applyFont="1" applyNumberFormat="1"/>
    <xf borderId="15" fillId="0" fontId="18" numFmtId="165" xfId="0" applyBorder="1" applyFont="1" applyNumberFormat="1"/>
    <xf borderId="13" fillId="0" fontId="18" numFmtId="164" xfId="0" applyBorder="1" applyFont="1" applyNumberFormat="1"/>
    <xf borderId="15" fillId="0" fontId="18" numFmtId="0" xfId="0" applyBorder="1" applyFont="1"/>
  </cellXfs>
  <cellStyles count="1">
    <cellStyle xfId="0" name="Normal" builtinId="0"/>
  </cellStyles>
  <dxfs count="2">
    <dxf>
      <font>
        <b/>
      </font>
      <fill>
        <patternFill patternType="solid">
          <fgColor rgb="FFE6B8AF"/>
          <bgColor rgb="FFE6B8A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65</xdr:col>
      <xdr:colOff>323850</xdr:colOff>
      <xdr:row>27</xdr:row>
      <xdr:rowOff>266700</xdr:rowOff>
    </xdr:from>
    <xdr:ext cx="4600575" cy="1990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tthew Kristoffer Ong" id="{9076dba5-c4ce-46c5-842c-751c0e58d0c1}" providerId="google-sheets"/>
  <x18tc:person displayName="Shanette Giane Presas" id="{11d769fc-ddbd-42d3-b894-c0b8c107329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259" dT="2025-09-19T02:19:57.00" personId="{11d769fc-ddbd-42d3-b894-c0b8c1073290}" id="{3f5b4b48-4bf5-4ac7-a663-c764a301d086}" done="0">
    <x18tc:text xml:space="preserve">would like to see final product?</x18tc:text>
  </x18tc:threadedComment>
  <x18tc:threadedComment ref="AT43" dT="2025-09-03T09:13:06.00" personId="{11d769fc-ddbd-42d3-b894-c0b8c1073290}" id="{5909e205-7481-478f-ba13-4c562ea76b31}" done="0">
    <x18tc:text xml:space="preserve">would like to hear updates?</x18tc:text>
  </x18tc:threadedComment>
  <x18tc:threadedComment ref="BJ6" dT="2025-09-23T13:40:34.00" personId="{11d769fc-ddbd-42d3-b894-c0b8c1073290}" id="{0d2d7430-25b2-4270-acf3-230424ab9058}" done="0">
    <x18tc:text xml:space="preserve">last video nalang sa arrangement</x18tc:text>
  </x18tc:threadedComment>
  <x18tc:threadedComment ref="BJ225" dT="2025-09-18T08:07:12.00" personId="{11d769fc-ddbd-42d3-b894-c0b8c1073290}" id="{9b8e4809-5633-4ace-9ae5-f16785a8f0eb}" done="0">
    <x18tc:text xml:space="preserve">3:05 duration..</x18tc:text>
  </x18tc:threadedComment>
  <x18tc:threadedComment ref="BI4" dT="2025-09-16T16:40:42.00" personId="{11d769fc-ddbd-42d3-b894-c0b8c1073290}" id="{8b50a7d8-cfbc-4f2f-a018-83b9dadaa434}" done="0">
    <x18tc:text xml:space="preserve">if she consents, ask for other vids too</x18tc:text>
  </x18tc:threadedComment>
  <x18tc:threadedComment ref="AT17" dT="2025-09-02T08:20:21.00" personId="{11d769fc-ddbd-42d3-b894-c0b8c1073290}" id="{9cd4b5f6-4ccf-4739-b615-1433ec24256b}" done="0">
    <x18tc:text xml:space="preserve">asked for updates?</x18tc:text>
  </x18tc:threadedComment>
  <x18tc:threadedComment ref="A1" dT="2025-10-26T16:16:53.00" personId="{11d769fc-ddbd-42d3-b894-c0b8c1073290}" id="{16b45c3a-fad3-4cb0-af1e-0007ca5a7ea0}" done="0">
    <x18tc:text xml:space="preserve">i think it was taken down na..</x18tc:text>
  </x18tc:threadedComment>
  <x18tc:threadedComment ref="BD53" dT="2025-09-13T15:37:17.00" personId="{11d769fc-ddbd-42d3-b894-c0b8c1073290}" id="{dcde727a-6ef8-4118-87b7-78266b01662b}" done="0">
    <x18tc:text xml:space="preserve">wants update once study is done</x18tc:text>
  </x18tc:threadedComment>
  <x18tc:threadedComment ref="BJ247" dT="2025-09-18T08:34:31.00" personId="{11d769fc-ddbd-42d3-b894-c0b8c1073290}" id="{7f963620-d3dd-4c92-9b41-f06ddb52f7b6}" done="0">
    <x18tc:text xml:space="preserve">horizontal vid</x18tc:text>
  </x18tc:threadedComment>
  <x18tc:threadedComment ref="AO29" dT="2025-09-02T13:36:28.00" personId="{11d769fc-ddbd-42d3-b894-c0b8c1073290}" id="{8b9fa644-ff7b-4d2c-a2d1-0d551944f264}" done="0">
    <x18tc:text xml:space="preserve">wants to see thesis once done</x18tc:text>
  </x18tc:threadedComment>
  <x18tc:threadedComment ref="AT26" dT="2025-09-01T14:25:17.00" personId="{11d769fc-ddbd-42d3-b894-c0b8c1073290}" id="{222cce9a-1a8f-414e-a750-cb99f8c424ef}" done="0">
    <x18tc:text xml:space="preserve">asked for a copy of our study once done</x18tc:text>
  </x18tc:threadedComment>
  <x18tc:threadedComment ref="BI176" dT="2025-09-17T07:29:52.00" personId="{11d769fc-ddbd-42d3-b894-c0b8c1073290}" id="{49c0cdd0-8b4a-432d-85a0-8de6844b1377}" done="0">
    <x18tc:text xml:space="preserve">cam follow up</x18tc:text>
  </x18tc:threadedComment>
  <x18tc:threadedComment ref="BJ217" dT="2025-09-18T07:32:47.00" personId="{11d769fc-ddbd-42d3-b894-c0b8c1073290}" id="{8c21ae31-cade-45a8-9ba4-e0c3cb296716}" done="0">
    <x18tc:text xml:space="preserve">for approval (tagalog)</x18tc:text>
  </x18tc:threadedComment>
  <x18tc:threadedComment ref="BJ207" dT="2025-09-18T07:21:11.00" personId="{11d769fc-ddbd-42d3-b894-c0b8c1073290}" id="{b0787010-402e-40bc-9d1f-cb9da89c5f71}" done="0">
    <x18tc:text xml:space="preserve">for approval ung vid (tagalog)</x18tc:text>
  </x18tc:threadedComment>
  <x18tc:threadedComment ref="BJ220" dT="2025-09-18T07:35:26.00" personId="{11d769fc-ddbd-42d3-b894-c0b8c1073290}" id="{fedd1b83-2ffb-44a7-92ec-0f180a8c3bde}" done="0">
    <x18tc:text xml:space="preserve">for approval</x18tc:text>
  </x18tc:threadedComment>
  <x18tc:threadedComment ref="BI19" dT="2025-09-16T16:40:29.00" personId="{11d769fc-ddbd-42d3-b894-c0b8c1073290}" id="{1855193f-0eb1-4838-b419-752cecd71571}" done="0">
    <x18tc:text xml:space="preserve">if she consents, ask consent for the other video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8" dT="2025-09-28T17:01:45.00" personId="{9076dba5-c4ce-46c5-842c-751c0e58d0c1}" id="{29eede0d-67a3-41fd-818d-7c53037006d3}" done="0">
    <x18tc:text xml:space="preserve">deleted</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tiktok.com/@anna.antonje/video/7443465454921846038?is_from_webapp=1&amp;sender_device=pc&amp;web_id=7529868947924829714" TargetMode="External"/><Relationship Id="rId194" Type="http://schemas.openxmlformats.org/officeDocument/2006/relationships/hyperlink" Target="https://vt.tiktok.com/ZSAqcw5Kw/" TargetMode="External"/><Relationship Id="rId193" Type="http://schemas.openxmlformats.org/officeDocument/2006/relationships/hyperlink" Target="https://vt.tiktok.com/ZSAV7utqK/" TargetMode="External"/><Relationship Id="rId192" Type="http://schemas.openxmlformats.org/officeDocument/2006/relationships/hyperlink" Target="https://vt.tiktok.com/ZSAVX7DYb/" TargetMode="External"/><Relationship Id="rId191" Type="http://schemas.openxmlformats.org/officeDocument/2006/relationships/hyperlink" Target="https://vt.tiktok.com/ZSDAa4jsr/" TargetMode="External"/><Relationship Id="rId187" Type="http://schemas.openxmlformats.org/officeDocument/2006/relationships/hyperlink" Target="https://www.tiktok.com/@mikaylademaiterr/video/7509206684959608070?is_from_webapp=1&amp;sender_device=pc&amp;web_id=7529858502199395858" TargetMode="External"/><Relationship Id="rId186" Type="http://schemas.openxmlformats.org/officeDocument/2006/relationships/hyperlink" Target="https://www.tiktok.com/@andweaso/video/7532105050844417288?is_from_webapp=1&amp;sender_device=pc&amp;web_id=7529868947924829714" TargetMode="External"/><Relationship Id="rId185" Type="http://schemas.openxmlformats.org/officeDocument/2006/relationships/hyperlink" Target="https://www.tiktok.com/@anastasia.c.chronicles/video/7468981725352201505?is_from_webapp=1&amp;sender_device=pc&amp;web_id=7529868947924829714" TargetMode="External"/><Relationship Id="rId184" Type="http://schemas.openxmlformats.org/officeDocument/2006/relationships/hyperlink" Target="https://vt.tiktok.com/ZSAVCrFvc/" TargetMode="External"/><Relationship Id="rId189" Type="http://schemas.openxmlformats.org/officeDocument/2006/relationships/hyperlink" Target="https://www.tiktok.com/@andreaandlewis/video/6870581248448908549?is_from_webapp=1&amp;sender_device=pc&amp;web_id=7529868947924829714" TargetMode="External"/><Relationship Id="rId188" Type="http://schemas.openxmlformats.org/officeDocument/2006/relationships/hyperlink" Target="https://www.tiktok.com/@_marghsss/video/7512255755878223146?is_from_webapp=1&amp;sender_device=pc&amp;web_id=7529858502199395858" TargetMode="External"/><Relationship Id="rId183" Type="http://schemas.openxmlformats.org/officeDocument/2006/relationships/hyperlink" Target="https://vt.tiktok.com/ZSAVxEF9R/" TargetMode="External"/><Relationship Id="rId182" Type="http://schemas.openxmlformats.org/officeDocument/2006/relationships/hyperlink" Target="https://www.tiktok.com/@278nutrition/video/7538411940561898782?is_from_webapp=1&amp;sender_device=pc&amp;web_id=7529858502199395858" TargetMode="External"/><Relationship Id="rId181" Type="http://schemas.openxmlformats.org/officeDocument/2006/relationships/hyperlink" Target="https://vt.tiktok.com/ZSAqcprMf/" TargetMode="External"/><Relationship Id="rId180" Type="http://schemas.openxmlformats.org/officeDocument/2006/relationships/hyperlink" Target="https://vt.tiktok.com/ZSAV7xjHS/" TargetMode="External"/><Relationship Id="rId176" Type="http://schemas.openxmlformats.org/officeDocument/2006/relationships/hyperlink" Target="https://www.tiktok.com/@aubrayandbailey/video/7277775628546395422?is_from_webapp=1&amp;sender_device=pc&amp;web_id=7529868947924829714" TargetMode="External"/><Relationship Id="rId175" Type="http://schemas.openxmlformats.org/officeDocument/2006/relationships/hyperlink" Target="https://www.tiktok.com/@migmiggymig/video/7487622680309419286?is_from_webapp=1&amp;sender_device=pc&amp;web_id=7529858502199395858" TargetMode="External"/><Relationship Id="rId174" Type="http://schemas.openxmlformats.org/officeDocument/2006/relationships/hyperlink" Target="https://www.tiktok.com/@auv.n.jack/video/7519508979634949431?is_from_webapp=1&amp;sender_device=pc&amp;web_id=7529858502199395858" TargetMode="External"/><Relationship Id="rId173" Type="http://schemas.openxmlformats.org/officeDocument/2006/relationships/hyperlink" Target="https://www.tiktok.com/@louiemrn/video/7534307314237443335?is_from_webapp=1&amp;sender_device=pc&amp;web_id=7529868947924829714" TargetMode="External"/><Relationship Id="rId179" Type="http://schemas.openxmlformats.org/officeDocument/2006/relationships/hyperlink" Target="https://vt.tiktok.com/ZSAVXueuC/" TargetMode="External"/><Relationship Id="rId178" Type="http://schemas.openxmlformats.org/officeDocument/2006/relationships/hyperlink" Target="https://vt.tiktok.com/ZSDA5EBqo/" TargetMode="External"/><Relationship Id="rId177" Type="http://schemas.openxmlformats.org/officeDocument/2006/relationships/hyperlink" Target="https://www.tiktok.com/@volkswagensg/video/7476028960699206930?is_from_webapp=1&amp;sender_device=pc&amp;web_id=7529868947924829714" TargetMode="External"/><Relationship Id="rId198" Type="http://schemas.openxmlformats.org/officeDocument/2006/relationships/hyperlink" Target="https://www.tiktok.com/@rebisco.ph/video/7473722343882247442?is_from_webapp=1&amp;sender_device=pc&amp;web_id=7529868947924829714" TargetMode="External"/><Relationship Id="rId197" Type="http://schemas.openxmlformats.org/officeDocument/2006/relationships/hyperlink" Target="https://vt.tiktok.com/ZSAVCFPqD/" TargetMode="External"/><Relationship Id="rId196" Type="http://schemas.openxmlformats.org/officeDocument/2006/relationships/hyperlink" Target="https://vt.tiktok.com/ZSAVQ4PXL/" TargetMode="External"/><Relationship Id="rId195" Type="http://schemas.openxmlformats.org/officeDocument/2006/relationships/hyperlink" Target="https://www.tiktok.com/@acaidelightok/video/7535672114477681950?is_from_webapp=1&amp;sender_device=pc&amp;web_id=7529858502199395858" TargetMode="External"/><Relationship Id="rId199" Type="http://schemas.openxmlformats.org/officeDocument/2006/relationships/hyperlink" Target="https://www.tiktok.com/@nacho.bizz/video/7541698829935054088?is_from_webapp=1&amp;sender_device=pc&amp;web_id=7529868947924829714" TargetMode="External"/><Relationship Id="rId150" Type="http://schemas.openxmlformats.org/officeDocument/2006/relationships/hyperlink" Target="https://www.tiktok.com/@joeando/video/7165667445594934574?is_from_webapp=1&amp;sender_device=pc&amp;web_id=7529868947924829714" TargetMode="External"/><Relationship Id="rId392" Type="http://schemas.openxmlformats.org/officeDocument/2006/relationships/hyperlink" Target="https://www.tiktok.com/@xapacoffee/video/7548887299476475166?is_from_webapp=1&amp;sender_device=pc&amp;web_id=7529868947924829714" TargetMode="External"/><Relationship Id="rId391" Type="http://schemas.openxmlformats.org/officeDocument/2006/relationships/hyperlink" Target="https://vt.tiktok.com/ZSDRgvmqh/" TargetMode="External"/><Relationship Id="rId390" Type="http://schemas.openxmlformats.org/officeDocument/2006/relationships/hyperlink" Target="https://vt.tiktok.com/ZSDRscUF4/"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tiktok.com/@kaylarosegibson/video/7494780860902690055?is_from_webapp=1&amp;sender_device=pc&amp;web_id=7529868947924829714" TargetMode="External"/><Relationship Id="rId4" Type="http://schemas.openxmlformats.org/officeDocument/2006/relationships/hyperlink" Target="https://www.tiktok.com/@clairelysse/video/7487790901935279368?is_from_webapp=1&amp;sender_device=pc&amp;web_id=7529868947924829714" TargetMode="External"/><Relationship Id="rId148" Type="http://schemas.openxmlformats.org/officeDocument/2006/relationships/hyperlink" Target="https://www.tiktok.com/@pladalp_/video/7541651942443994423?is_from_webapp=1&amp;sender_device=pc&amp;web_id=7529858502199395858" TargetMode="External"/><Relationship Id="rId1090" Type="http://schemas.openxmlformats.org/officeDocument/2006/relationships/hyperlink" Target="https://www.tiktok.com/@kaysvrgs/video/7478729282710277422?is_from_webapp=1&amp;sender_device=pc&amp;web_id=7529868947924829714" TargetMode="External"/><Relationship Id="rId1091" Type="http://schemas.openxmlformats.org/officeDocument/2006/relationships/hyperlink" Target="https://www.tiktok.com/@russfestivalfriend/video/6862730740702973189?is_from_webapp=1&amp;sender_device=pc&amp;web_id=7529868947924829714" TargetMode="External"/><Relationship Id="rId1092" Type="http://schemas.openxmlformats.org/officeDocument/2006/relationships/hyperlink" Target="https://www.tiktok.com/@idontthinkitskezi/video/7494299571221269766?is_from_webapp=1&amp;sender_device=pc&amp;web_id=7529868947924829714" TargetMode="External"/><Relationship Id="rId1093" Type="http://schemas.openxmlformats.org/officeDocument/2006/relationships/hyperlink" Target="https://www.tiktok.com/@danbecadventures/video/7547321933734382870?is_from_webapp=1&amp;sender_device=pc&amp;web_id=7529868947924829714" TargetMode="External"/><Relationship Id="rId1094" Type="http://schemas.openxmlformats.org/officeDocument/2006/relationships/hyperlink" Target="https://www.tiktok.com/@naturallysi/video/7529545337946574110?is_from_webapp=1&amp;sender_device=pc&amp;web_id=7529868947924829714" TargetMode="External"/><Relationship Id="rId9" Type="http://schemas.openxmlformats.org/officeDocument/2006/relationships/hyperlink" Target="https://www.tiktok.com/@seoul.drop/video/7537034038679244062?is_from_webapp=1&amp;sender_device=pc&amp;web_id=7529858502199395858" TargetMode="External"/><Relationship Id="rId143" Type="http://schemas.openxmlformats.org/officeDocument/2006/relationships/hyperlink" Target="https://vt.tiktok.com/ZSAVQLn9k/" TargetMode="External"/><Relationship Id="rId385" Type="http://schemas.openxmlformats.org/officeDocument/2006/relationships/hyperlink" Target="https://www.tiktok.com/@ericafwu/video/7516619536284552491?is_from_webapp=1&amp;sender_device=pc&amp;web_id=7529868947924829714" TargetMode="External"/><Relationship Id="rId1095" Type="http://schemas.openxmlformats.org/officeDocument/2006/relationships/hyperlink" Target="https://www.tiktok.com/@lauranewell/video/7344040933123460384?is_from_webapp=1&amp;sender_device=pc&amp;web_id=7529868947924829714" TargetMode="External"/><Relationship Id="rId142" Type="http://schemas.openxmlformats.org/officeDocument/2006/relationships/hyperlink" Target="https://www.tiktok.com/@club29decherd/video/7535116470519336222?is_from_webapp=1&amp;sender_device=pc&amp;web_id=7529858502199395858" TargetMode="External"/><Relationship Id="rId384" Type="http://schemas.openxmlformats.org/officeDocument/2006/relationships/hyperlink" Target="https://www.tiktok.com/@sophiaisabel.yt/video/7519102183850151176?is_from_webapp=1&amp;sender_device=pc&amp;web_id=7529868947924829714" TargetMode="External"/><Relationship Id="rId1096" Type="http://schemas.openxmlformats.org/officeDocument/2006/relationships/hyperlink" Target="https://www.tiktok.com/@kalleahs/video/7539290172190461215?is_from_webapp=1&amp;sender_device=pc&amp;web_id=7529868947924829714" TargetMode="External"/><Relationship Id="rId141" Type="http://schemas.openxmlformats.org/officeDocument/2006/relationships/hyperlink" Target="https://vt.tiktok.com/ZSAVs4moA/" TargetMode="External"/><Relationship Id="rId383" Type="http://schemas.openxmlformats.org/officeDocument/2006/relationships/hyperlink" Target="https://www.tiktok.com/@whitlynetland/video/7529144263129517343?is_from_webapp=1&amp;sender_device=pc&amp;web_id=7529868947924829714" TargetMode="External"/><Relationship Id="rId1097" Type="http://schemas.openxmlformats.org/officeDocument/2006/relationships/hyperlink" Target="https://www.tiktok.com/@elliemcentee/video/7544741678372900118?is_from_webapp=1&amp;sender_device=pc&amp;web_id=7529868947924829714" TargetMode="External"/><Relationship Id="rId140" Type="http://schemas.openxmlformats.org/officeDocument/2006/relationships/hyperlink" Target="https://vt.tiktok.com/ZSAV7mGK1/" TargetMode="External"/><Relationship Id="rId382" Type="http://schemas.openxmlformats.org/officeDocument/2006/relationships/hyperlink" Target="https://www.tiktok.com/@caraasport/video/7484374421122141483?is_from_webapp=1&amp;sender_device=pc&amp;web_id=7529868947924829714" TargetMode="External"/><Relationship Id="rId1098" Type="http://schemas.openxmlformats.org/officeDocument/2006/relationships/hyperlink" Target="https://www.tiktok.com/@burrowshair/video/7547581532014234888?is_from_webapp=1&amp;sender_device=pc&amp;web_id=7529868947924829714" TargetMode="External"/><Relationship Id="rId5" Type="http://schemas.openxmlformats.org/officeDocument/2006/relationships/hyperlink" Target="https://vt.tiktok.com/ZSDS2Rk6b/" TargetMode="External"/><Relationship Id="rId147" Type="http://schemas.openxmlformats.org/officeDocument/2006/relationships/hyperlink" Target="https://vt.tiktok.com/ZSAVWdJg6/" TargetMode="External"/><Relationship Id="rId389" Type="http://schemas.openxmlformats.org/officeDocument/2006/relationships/hyperlink" Target="https://vt.tiktok.com/ZSAvCf7hh/" TargetMode="External"/><Relationship Id="rId1099" Type="http://schemas.openxmlformats.org/officeDocument/2006/relationships/hyperlink" Target="https://www.tiktok.com/@theaestheticslady/video/7063127080514407685?is_from_webapp=1&amp;sender_device=pc&amp;web_id=7529868947924829714" TargetMode="External"/><Relationship Id="rId6" Type="http://schemas.openxmlformats.org/officeDocument/2006/relationships/hyperlink" Target="https://vt.tiktok.com/ZSAVXhMLG/" TargetMode="External"/><Relationship Id="rId146" Type="http://schemas.openxmlformats.org/officeDocument/2006/relationships/hyperlink" Target="https://www.tiktok.com/@jellyaace._/video/7535085676858068231?is_from_webapp=1&amp;sender_device=pc&amp;web_id=7529868947924829714" TargetMode="External"/><Relationship Id="rId388" Type="http://schemas.openxmlformats.org/officeDocument/2006/relationships/hyperlink" Target="https://vt.tiktok.com/ZSDAmu8Yn/" TargetMode="External"/><Relationship Id="rId7" Type="http://schemas.openxmlformats.org/officeDocument/2006/relationships/hyperlink" Target="https://vt.tiktok.com/ZSAVp4tJm/" TargetMode="External"/><Relationship Id="rId145" Type="http://schemas.openxmlformats.org/officeDocument/2006/relationships/hyperlink" Target="https://www.tiktok.com/@kristyna.zamcova/video/7473522329037982998?is_from_webapp=1&amp;sender_device=pc&amp;web_id=7529868947924829714" TargetMode="External"/><Relationship Id="rId387" Type="http://schemas.openxmlformats.org/officeDocument/2006/relationships/hyperlink" Target="https://www.tiktok.com/@grapegrapegrapeyyy/video/7455543826250206506?is_from_webapp=1&amp;sender_device=pc&amp;web_id=7529868947924829714" TargetMode="External"/><Relationship Id="rId8" Type="http://schemas.openxmlformats.org/officeDocument/2006/relationships/hyperlink" Target="https://vt.tiktok.com/ZSAVskq1w/" TargetMode="External"/><Relationship Id="rId144" Type="http://schemas.openxmlformats.org/officeDocument/2006/relationships/hyperlink" Target="https://vt.tiktok.com/ZSAVCSvoH/" TargetMode="External"/><Relationship Id="rId386" Type="http://schemas.openxmlformats.org/officeDocument/2006/relationships/hyperlink" Target="https://www.tiktok.com/@hunnaxlib/video/6872116913602825477?is_from_webapp=1&amp;sender_device=pc&amp;web_id=7529868947924829714" TargetMode="External"/><Relationship Id="rId381" Type="http://schemas.openxmlformats.org/officeDocument/2006/relationships/hyperlink" Target="https://vt.tiktok.com/ZSAvp3sWu/" TargetMode="External"/><Relationship Id="rId380" Type="http://schemas.openxmlformats.org/officeDocument/2006/relationships/hyperlink" Target="https://vt.tiktok.com/ZSAojhPuK/" TargetMode="External"/><Relationship Id="rId139" Type="http://schemas.openxmlformats.org/officeDocument/2006/relationships/hyperlink" Target="https://vt.tiktok.com/ZSAVXVmG2/" TargetMode="External"/><Relationship Id="rId138" Type="http://schemas.openxmlformats.org/officeDocument/2006/relationships/hyperlink" Target="https://vt.tiktok.com/ZSDAaL3nK/" TargetMode="External"/><Relationship Id="rId137" Type="http://schemas.openxmlformats.org/officeDocument/2006/relationships/hyperlink" Target="https://www.tiktok.com/@griffith_uni/video/7465839078433492232?is_from_webapp=1&amp;sender_device=pc&amp;web_id=7529868947924829714" TargetMode="External"/><Relationship Id="rId379" Type="http://schemas.openxmlformats.org/officeDocument/2006/relationships/hyperlink" Target="https://www.tiktok.com/@carlosmexrestaurant/video/7544513956912713015?is_from_webapp=1&amp;sender_device=pc&amp;web_id=7529868947924829714" TargetMode="External"/><Relationship Id="rId1080" Type="http://schemas.openxmlformats.org/officeDocument/2006/relationships/hyperlink" Target="https://www.tiktok.com/@ainsleyvryan/video/7549624025069129015?is_from_webapp=1&amp;sender_device=pc&amp;web_id=7529868947924829714" TargetMode="External"/><Relationship Id="rId1081" Type="http://schemas.openxmlformats.org/officeDocument/2006/relationships/hyperlink" Target="https://www.tiktok.com/@chandleralexiss/video/7336607030188182817?is_from_webapp=1&amp;sender_device=pc&amp;web_id=7529868947924829714" TargetMode="External"/><Relationship Id="rId1082" Type="http://schemas.openxmlformats.org/officeDocument/2006/relationships/hyperlink" Target="https://www.tiktok.com/@dumbhorsegurls/video/7508016472615259438?is_from_webapp=1&amp;sender_device=pc&amp;web_id=7529868947924829714" TargetMode="External"/><Relationship Id="rId1083" Type="http://schemas.openxmlformats.org/officeDocument/2006/relationships/hyperlink" Target="https://www.tiktok.com/@fashionlifestyleemily/video/7529579897468030230?is_from_webapp=1&amp;sender_device=pc&amp;web_id=7529868947924829714" TargetMode="External"/><Relationship Id="rId132" Type="http://schemas.openxmlformats.org/officeDocument/2006/relationships/hyperlink" Target="https://www.tiktok.com/@rarebreezy_shoes/video/7472976795629931784?is_from_webapp=1&amp;sender_device=pc&amp;web_id=7529868947924829714" TargetMode="External"/><Relationship Id="rId374" Type="http://schemas.openxmlformats.org/officeDocument/2006/relationships/hyperlink" Target="https://www.tiktok.com/@lilybarnicott/video/7537474367144463638?is_from_webapp=1&amp;sender_device=pc&amp;web_id=7529868947924829714" TargetMode="External"/><Relationship Id="rId1084" Type="http://schemas.openxmlformats.org/officeDocument/2006/relationships/hyperlink" Target="https://www.tiktok.com/@iwasjokingunlesss/video/7541930413002919199?is_from_webapp=1&amp;sender_device=pc&amp;web_id=7529868947924829714" TargetMode="External"/><Relationship Id="rId131" Type="http://schemas.openxmlformats.org/officeDocument/2006/relationships/hyperlink" Target="https://vt.tiktok.com/ZSAVV9dhq/" TargetMode="External"/><Relationship Id="rId373" Type="http://schemas.openxmlformats.org/officeDocument/2006/relationships/hyperlink" Target="https://www.tiktok.com/@juandchan/video/6880320042005777669?is_from_webapp=1&amp;sender_device=pc&amp;web_id=7529868947924829714" TargetMode="External"/><Relationship Id="rId1085" Type="http://schemas.openxmlformats.org/officeDocument/2006/relationships/hyperlink" Target="https://www.tiktok.com/@samanthahopkinson/video/6897568047264009473?is_from_webapp=1&amp;sender_device=pc&amp;web_id=7529868947924829714" TargetMode="External"/><Relationship Id="rId130" Type="http://schemas.openxmlformats.org/officeDocument/2006/relationships/hyperlink" Target="https://vt.tiktok.com/ZSAVxvpK7/" TargetMode="External"/><Relationship Id="rId372" Type="http://schemas.openxmlformats.org/officeDocument/2006/relationships/hyperlink" Target="https://www.tiktok.com/@alexandeunice/video/7467234532798909703?is_from_webapp=1&amp;sender_device=pc&amp;web_id=7529868947924829714" TargetMode="External"/><Relationship Id="rId1086" Type="http://schemas.openxmlformats.org/officeDocument/2006/relationships/hyperlink" Target="https://www.tiktok.com/@nurvarold/video/7548542783846370567?is_from_webapp=1&amp;sender_device=pc&amp;web_id=7529868947924829714" TargetMode="External"/><Relationship Id="rId371" Type="http://schemas.openxmlformats.org/officeDocument/2006/relationships/hyperlink" Target="https://www.tiktok.com/@amysofiab/video/7508760477703539970?is_from_webapp=1&amp;sender_device=pc&amp;web_id=7529868947924829714" TargetMode="External"/><Relationship Id="rId1087" Type="http://schemas.openxmlformats.org/officeDocument/2006/relationships/hyperlink" Target="https://www.tiktok.com/@rachelpeakex/video/6929596123560611078?is_from_webapp=1&amp;sender_device=pc&amp;web_id=7529868947924829714" TargetMode="External"/><Relationship Id="rId136" Type="http://schemas.openxmlformats.org/officeDocument/2006/relationships/hyperlink" Target="https://www.tiktok.com/@kaylarosegibson/video/7482502968000957704?is_from_webapp=1&amp;sender_device=pc&amp;web_id=7529868947924829714" TargetMode="External"/><Relationship Id="rId378" Type="http://schemas.openxmlformats.org/officeDocument/2006/relationships/hyperlink" Target="https://vt.tiktok.com/ZSDRgbHF6/" TargetMode="External"/><Relationship Id="rId1088" Type="http://schemas.openxmlformats.org/officeDocument/2006/relationships/hyperlink" Target="https://www.tiktok.com/@briellecherie/video/7475760027219791146?is_from_webapp=1&amp;sender_device=pc&amp;web_id=7529868947924829714" TargetMode="External"/><Relationship Id="rId135" Type="http://schemas.openxmlformats.org/officeDocument/2006/relationships/hyperlink" Target="https://www.tiktok.com/@angelicadchvzz/video/7477958483552259336?is_from_webapp=1&amp;sender_device=pc&amp;web_id=7529858502199395858" TargetMode="External"/><Relationship Id="rId377" Type="http://schemas.openxmlformats.org/officeDocument/2006/relationships/hyperlink" Target="https://vt.tiktok.com/ZSDRsgw6M/" TargetMode="External"/><Relationship Id="rId1089" Type="http://schemas.openxmlformats.org/officeDocument/2006/relationships/hyperlink" Target="https://www.tiktok.com/@lib_1005/video/7547036636706917654?is_from_webapp=1&amp;sender_device=pc&amp;web_id=7529868947924829714" TargetMode="External"/><Relationship Id="rId134" Type="http://schemas.openxmlformats.org/officeDocument/2006/relationships/hyperlink" Target="https://vt.tiktok.com/ZSAVWaXes/" TargetMode="External"/><Relationship Id="rId376" Type="http://schemas.openxmlformats.org/officeDocument/2006/relationships/hyperlink" Target="https://vt.tiktok.com/ZSAvCCRXr/" TargetMode="External"/><Relationship Id="rId133" Type="http://schemas.openxmlformats.org/officeDocument/2006/relationships/hyperlink" Target="https://www.tiktok.com/@eriaaa_m/video/7541681928659848456?is_from_webapp=1&amp;sender_device=pc&amp;web_id=7529868947924829714" TargetMode="External"/><Relationship Id="rId375" Type="http://schemas.openxmlformats.org/officeDocument/2006/relationships/hyperlink" Target="https://vt.tiktok.com/ZSDAmU79s/" TargetMode="External"/><Relationship Id="rId172" Type="http://schemas.openxmlformats.org/officeDocument/2006/relationships/hyperlink" Target="https://www.tiktok.com/@skylar_diecast/video/7479268371700223240?is_from_webapp=1&amp;sender_device=pc&amp;web_id=7529868947924829714" TargetMode="External"/><Relationship Id="rId171" Type="http://schemas.openxmlformats.org/officeDocument/2006/relationships/hyperlink" Target="https://vt.tiktok.com/ZSAVCuuyX/" TargetMode="External"/><Relationship Id="rId170" Type="http://schemas.openxmlformats.org/officeDocument/2006/relationships/hyperlink" Target="https://vt.tiktok.com/ZSAVQYq2y/" TargetMode="External"/><Relationship Id="rId165" Type="http://schemas.openxmlformats.org/officeDocument/2006/relationships/hyperlink" Target="https://vt.tiktok.com/ZSDAaRqGM/" TargetMode="External"/><Relationship Id="rId164" Type="http://schemas.openxmlformats.org/officeDocument/2006/relationships/hyperlink" Target="https://www.tiktok.com/@victoriaxmariah/video/7456976760916266286?is_from_webapp=1&amp;sender_device=pc&amp;web_id=7529868947924829714" TargetMode="External"/><Relationship Id="rId163" Type="http://schemas.openxmlformats.org/officeDocument/2006/relationships/hyperlink" Target="https://www.tiktok.com/@thequistfamily/video/7466983735309913390?is_from_webapp=1&amp;sender_device=pc&amp;web_id=7529868947924829714" TargetMode="External"/><Relationship Id="rId162" Type="http://schemas.openxmlformats.org/officeDocument/2006/relationships/hyperlink" Target="https://www.tiktok.com/@clarrengggg/video/7519760474582322450?is_from_webapp=1&amp;sender_device=pc&amp;web_id=7529858502199395858" TargetMode="External"/><Relationship Id="rId169" Type="http://schemas.openxmlformats.org/officeDocument/2006/relationships/hyperlink" Target="https://www.tiktok.com/@mjscoffeebar/video/7539950568786332934?is_from_webapp=1&amp;sender_device=pc&amp;web_id=7529858502199395858" TargetMode="External"/><Relationship Id="rId168" Type="http://schemas.openxmlformats.org/officeDocument/2006/relationships/hyperlink" Target="https://vt.tiktok.com/ZSAVsoxbY/" TargetMode="External"/><Relationship Id="rId167" Type="http://schemas.openxmlformats.org/officeDocument/2006/relationships/hyperlink" Target="https://vt.tiktok.com/ZSAV7mLmW/" TargetMode="External"/><Relationship Id="rId166" Type="http://schemas.openxmlformats.org/officeDocument/2006/relationships/hyperlink" Target="https://vt.tiktok.com/ZSAVX4Rst/" TargetMode="External"/><Relationship Id="rId161" Type="http://schemas.openxmlformats.org/officeDocument/2006/relationships/hyperlink" Target="https://vt.tiktok.com/ZSAVWHFHG/" TargetMode="External"/><Relationship Id="rId160" Type="http://schemas.openxmlformats.org/officeDocument/2006/relationships/hyperlink" Target="https://www.tiktok.com/@bitanywatnat/video/7540573802564979975?is_from_webapp=1&amp;sender_device=pc&amp;web_id=7529868947924829714" TargetMode="External"/><Relationship Id="rId159" Type="http://schemas.openxmlformats.org/officeDocument/2006/relationships/hyperlink" Target="https://www.tiktok.com/@mollyatmidnight/video/7473172343464987926?is_from_webapp=1&amp;sender_device=pc&amp;web_id=7529868947924829714" TargetMode="External"/><Relationship Id="rId154" Type="http://schemas.openxmlformats.org/officeDocument/2006/relationships/hyperlink" Target="https://vt.tiktok.com/ZSAVsV2E2/" TargetMode="External"/><Relationship Id="rId396" Type="http://schemas.openxmlformats.org/officeDocument/2006/relationships/hyperlink" Target="https://www.tiktok.com/@prtynicxs/video/7544779195751091474?is_from_webapp=1&amp;sender_device=pc&amp;web_id=7529868947924829714" TargetMode="External"/><Relationship Id="rId153" Type="http://schemas.openxmlformats.org/officeDocument/2006/relationships/hyperlink" Target="https://vt.tiktok.com/ZSAV7X3Eq/" TargetMode="External"/><Relationship Id="rId395" Type="http://schemas.openxmlformats.org/officeDocument/2006/relationships/hyperlink" Target="https://www.tiktok.com/@selina.shf/video/7470508950975237398?is_from_webapp=1&amp;sender_device=pc&amp;web_id=7529868947924829714" TargetMode="External"/><Relationship Id="rId152" Type="http://schemas.openxmlformats.org/officeDocument/2006/relationships/hyperlink" Target="https://vt.tiktok.com/ZSAVXsfmc/" TargetMode="External"/><Relationship Id="rId394" Type="http://schemas.openxmlformats.org/officeDocument/2006/relationships/hyperlink" Target="https://vt.tiktok.com/ZSAvpXW2G/" TargetMode="External"/><Relationship Id="rId151" Type="http://schemas.openxmlformats.org/officeDocument/2006/relationships/hyperlink" Target="https://vt.tiktok.com/ZSDA5ENAG/" TargetMode="External"/><Relationship Id="rId393" Type="http://schemas.openxmlformats.org/officeDocument/2006/relationships/hyperlink" Target="https://vt.tiktok.com/ZSAoj6LT3/" TargetMode="External"/><Relationship Id="rId158" Type="http://schemas.openxmlformats.org/officeDocument/2006/relationships/hyperlink" Target="https://vt.tiktok.com/ZSAVCNK7U/" TargetMode="External"/><Relationship Id="rId157" Type="http://schemas.openxmlformats.org/officeDocument/2006/relationships/hyperlink" Target="https://www.instagram.com/allexadalessio/" TargetMode="External"/><Relationship Id="rId399" Type="http://schemas.openxmlformats.org/officeDocument/2006/relationships/hyperlink" Target="https://www.tiktok.com/@rinispencer/video/6928941076367674629?is_from_webapp=1&amp;sender_device=pc&amp;web_id=7529868947924829714" TargetMode="External"/><Relationship Id="rId156" Type="http://schemas.openxmlformats.org/officeDocument/2006/relationships/hyperlink" Target="https://vt.tiktok.com/ZSAVxKDNc/" TargetMode="External"/><Relationship Id="rId398" Type="http://schemas.openxmlformats.org/officeDocument/2006/relationships/hyperlink" Target="https://www.tiktok.com/@paula.wagener/video/7473061878034484502?is_from_webapp=1&amp;sender_device=pc&amp;web_id=7529868947924829714" TargetMode="External"/><Relationship Id="rId155" Type="http://schemas.openxmlformats.org/officeDocument/2006/relationships/hyperlink" Target="https://www.tiktok.com/@surfshackcastlerock/video/7535841470595730710?is_from_webapp=1&amp;sender_device=pc&amp;web_id=7529858502199395858" TargetMode="External"/><Relationship Id="rId397" Type="http://schemas.openxmlformats.org/officeDocument/2006/relationships/hyperlink" Target="https://www.tiktok.com/@krismasr/video/7507483220401949998?is_from_webapp=1&amp;sender_device=pc&amp;web_id=7529868947924829714" TargetMode="External"/><Relationship Id="rId808" Type="http://schemas.openxmlformats.org/officeDocument/2006/relationships/hyperlink" Target="https://www.tiktok.com/@k8wyatt/video/7498733003716365614?is_from_webapp=1&amp;sender_device=pc&amp;web_id=7529868947924829714" TargetMode="External"/><Relationship Id="rId807" Type="http://schemas.openxmlformats.org/officeDocument/2006/relationships/hyperlink" Target="https://www.tiktok.com/@bethany.pt.2/video/7313282562326170926?is_from_webapp=1&amp;sender_device=pc&amp;web_id=7529868947924829714" TargetMode="External"/><Relationship Id="rId806" Type="http://schemas.openxmlformats.org/officeDocument/2006/relationships/hyperlink" Target="https://www.tiktok.com/@theoakastonclinton/video/7526883051595517206?is_from_webapp=1&amp;sender_device=pc&amp;web_id=7529868947924829714" TargetMode="External"/><Relationship Id="rId805" Type="http://schemas.openxmlformats.org/officeDocument/2006/relationships/hyperlink" Target="https://www.tiktok.com/@brookies.haulss/video/7468781641809284398?is_from_webapp=1&amp;sender_device=pc&amp;web_id=7529868947924829714" TargetMode="External"/><Relationship Id="rId809" Type="http://schemas.openxmlformats.org/officeDocument/2006/relationships/hyperlink" Target="https://www.tiktok.com/@magnetichillwinery/video/7500017792729484549?is_from_webapp=1&amp;sender_device=pc&amp;web_id=7529868947924829714" TargetMode="External"/><Relationship Id="rId800" Type="http://schemas.openxmlformats.org/officeDocument/2006/relationships/hyperlink" Target="https://www.tiktok.com/@richieruhruh/video/7377377987743763758?is_from_webapp=1&amp;sender_device=pc&amp;web_id=7529868947924829714" TargetMode="External"/><Relationship Id="rId804" Type="http://schemas.openxmlformats.org/officeDocument/2006/relationships/hyperlink" Target="https://www.tiktok.com/@gracecobble/video/7547485881486085406?is_from_webapp=1&amp;sender_device=pc&amp;web_id=7529868947924829714" TargetMode="External"/><Relationship Id="rId803" Type="http://schemas.openxmlformats.org/officeDocument/2006/relationships/hyperlink" Target="https://www.tiktok.com/@xtnbuenaobra/video/7443379670529101064?is_from_webapp=1&amp;sender_device=pc&amp;web_id=7529868947924829714" TargetMode="External"/><Relationship Id="rId802" Type="http://schemas.openxmlformats.org/officeDocument/2006/relationships/hyperlink" Target="https://www.tiktok.com/@hrvargas2/video/7544197038737509663?is_from_webapp=1&amp;sender_device=pc&amp;web_id=7529868947924829714" TargetMode="External"/><Relationship Id="rId801" Type="http://schemas.openxmlformats.org/officeDocument/2006/relationships/hyperlink" Target="https://www.tiktok.com/@kentsicecreamco/video/7475117084159085830?is_from_webapp=1&amp;sender_device=pc&amp;web_id=7529868947924829714" TargetMode="External"/><Relationship Id="rId40" Type="http://schemas.openxmlformats.org/officeDocument/2006/relationships/hyperlink" Target="https://www.tiktok.com/@theoriginote.ph/video/7501638878785326344?is_from_webapp=1&amp;sender_device=pc&amp;web_id=7529868947924829714" TargetMode="External"/><Relationship Id="rId42" Type="http://schemas.openxmlformats.org/officeDocument/2006/relationships/hyperlink" Target="https://vt.tiktok.com/ZSAVnb5yf/" TargetMode="External"/><Relationship Id="rId41" Type="http://schemas.openxmlformats.org/officeDocument/2006/relationships/hyperlink" Target="https://www.tiktok.com/@kailady/video/7539571671703784711?is_from_webapp=1&amp;sender_device=pc&amp;web_id=7529868947924829714" TargetMode="External"/><Relationship Id="rId44" Type="http://schemas.openxmlformats.org/officeDocument/2006/relationships/hyperlink" Target="https://www.tiktok.com/@abbieherbert/video/6869848082406821125?is_from_webapp=1&amp;sender_device=pc&amp;web_id=7529868947924829714" TargetMode="External"/><Relationship Id="rId43" Type="http://schemas.openxmlformats.org/officeDocument/2006/relationships/hyperlink" Target="https://www.tiktok.com/@fallinginsociety/video/7525815822405651725?is_from_webapp=1&amp;sender_device=pc&amp;web_id=7529858502199395858" TargetMode="External"/><Relationship Id="rId46" Type="http://schemas.openxmlformats.org/officeDocument/2006/relationships/hyperlink" Target="https://www.tiktok.com/@momshieodille/video/7455549600980634888?is_from_webapp=1&amp;sender_device=pc&amp;web_id=7529868947924829714" TargetMode="External"/><Relationship Id="rId45" Type="http://schemas.openxmlformats.org/officeDocument/2006/relationships/hyperlink" Target="https://www.canva.com/design/DAGzfIt7Tq8/vqD-yMhEBHhBtpt6SEBX6w/edit?ui=eyJIIjp7IkEiOnRydWV9fQ" TargetMode="External"/><Relationship Id="rId509" Type="http://schemas.openxmlformats.org/officeDocument/2006/relationships/hyperlink" Target="https://www.tiktok.com/@kathryn..larson/video/7520410214303010062?is_from_webapp=1&amp;sender_device=pc&amp;web_id=7529868947924829714" TargetMode="External"/><Relationship Id="rId508" Type="http://schemas.openxmlformats.org/officeDocument/2006/relationships/hyperlink" Target="https://www.tiktok.com/@missbrillian/video/7512834104048618769?is_from_webapp=1&amp;sender_device=pc&amp;web_id=7529868947924829714" TargetMode="External"/><Relationship Id="rId503" Type="http://schemas.openxmlformats.org/officeDocument/2006/relationships/hyperlink" Target="http://tpx.ph" TargetMode="External"/><Relationship Id="rId745" Type="http://schemas.openxmlformats.org/officeDocument/2006/relationships/hyperlink" Target="https://www.tiktok.com/@newyorkeronline/video/7489012203673144598?is_from_webapp=1&amp;sender_device=pc&amp;web_id=7529868947924829714" TargetMode="External"/><Relationship Id="rId987" Type="http://schemas.openxmlformats.org/officeDocument/2006/relationships/hyperlink" Target="https://www.tiktok.com/@mummy_gascoigne/video/7285790629081222433?is_from_webapp=1&amp;sender_device=pc&amp;web_id=7529868947924829714" TargetMode="External"/><Relationship Id="rId502" Type="http://schemas.openxmlformats.org/officeDocument/2006/relationships/hyperlink" Target="https://vt.tiktok.com/ZSDS2RpdE/" TargetMode="External"/><Relationship Id="rId744" Type="http://schemas.openxmlformats.org/officeDocument/2006/relationships/hyperlink" Target="https://www.tiktok.com/@gracemarsalo/video/7455427270635752747?is_from_webapp=1&amp;sender_device=pc&amp;web_id=7529868947924829714" TargetMode="External"/><Relationship Id="rId986" Type="http://schemas.openxmlformats.org/officeDocument/2006/relationships/hyperlink" Target="https://www.tiktok.com/@linda.szaa/video/7505803202105740546?is_from_webapp=1&amp;sender_device=pc&amp;web_id=7529868947924829714" TargetMode="External"/><Relationship Id="rId501" Type="http://schemas.openxmlformats.org/officeDocument/2006/relationships/hyperlink" Target="https://vt.tiktok.com/ZSAvCxUmx/" TargetMode="External"/><Relationship Id="rId743" Type="http://schemas.openxmlformats.org/officeDocument/2006/relationships/hyperlink" Target="https://www.tiktok.com/@almurph18/video/6942793041413459206?is_from_webapp=1&amp;sender_device=pc&amp;web_id=7529868947924829714" TargetMode="External"/><Relationship Id="rId985" Type="http://schemas.openxmlformats.org/officeDocument/2006/relationships/hyperlink" Target="https://www.tiktok.com/@josymariiee/video/7469113163338779926?is_from_webapp=1&amp;sender_device=pc&amp;web_id=7529868947924829714" TargetMode="External"/><Relationship Id="rId500" Type="http://schemas.openxmlformats.org/officeDocument/2006/relationships/hyperlink" Target="https://vt.tiktok.com/ZSDAnHbgs/" TargetMode="External"/><Relationship Id="rId742" Type="http://schemas.openxmlformats.org/officeDocument/2006/relationships/hyperlink" Target="https://www.tiktok.com/@francescacrisafulli/video/7528194289239739678?is_from_webapp=1&amp;sender_device=pc&amp;web_id=7529868947924829714" TargetMode="External"/><Relationship Id="rId984" Type="http://schemas.openxmlformats.org/officeDocument/2006/relationships/hyperlink" Target="https://www.tiktok.com/@simranbagria/video/7540289472752291095?is_from_webapp=1&amp;sender_device=pc&amp;web_id=7529868947924829714" TargetMode="External"/><Relationship Id="rId507" Type="http://schemas.openxmlformats.org/officeDocument/2006/relationships/hyperlink" Target="https://www.tiktok.com/@hzl._.s/video/7543962900956826898?is_from_webapp=1&amp;sender_device=pc&amp;web_id=7529868947924829714" TargetMode="External"/><Relationship Id="rId749" Type="http://schemas.openxmlformats.org/officeDocument/2006/relationships/hyperlink" Target="https://www.tiktok.com/@victoriassecretitaly/video/7492333793731284246?is_from_webapp=1&amp;sender_device=pc&amp;web_id=7529868947924829714" TargetMode="External"/><Relationship Id="rId506" Type="http://schemas.openxmlformats.org/officeDocument/2006/relationships/hyperlink" Target="https://www.tiktok.com/@mr.swartzberg/video/7545138536907869470?is_from_webapp=1&amp;sender_device=pc&amp;web_id=7529868947924829714" TargetMode="External"/><Relationship Id="rId748" Type="http://schemas.openxmlformats.org/officeDocument/2006/relationships/hyperlink" Target="https://www.tiktok.com/@cozycornerkai/video/7468745106925833514?is_from_webapp=1&amp;sender_device=pc&amp;web_id=7529868947924829714" TargetMode="External"/><Relationship Id="rId505" Type="http://schemas.openxmlformats.org/officeDocument/2006/relationships/hyperlink" Target="https://www.tiktok.com/@cmlanes/video/7540472246335229239?is_from_webapp=1&amp;sender_device=pc&amp;web_id=7529868947924829714" TargetMode="External"/><Relationship Id="rId747" Type="http://schemas.openxmlformats.org/officeDocument/2006/relationships/hyperlink" Target="https://www.tiktok.com/@makenzieandmalia/video/6885012257764429061?is_from_webapp=1&amp;sender_device=pc&amp;web_id=7529868947924829714" TargetMode="External"/><Relationship Id="rId989" Type="http://schemas.openxmlformats.org/officeDocument/2006/relationships/hyperlink" Target="https://www.tiktok.com/@idylleed/video/7482074274203831574?is_from_webapp=1&amp;sender_device=pc&amp;web_id=7529868947924829714" TargetMode="External"/><Relationship Id="rId504" Type="http://schemas.openxmlformats.org/officeDocument/2006/relationships/hyperlink" Target="https://vt.tiktok.com/ZSDRpuNmm/" TargetMode="External"/><Relationship Id="rId746" Type="http://schemas.openxmlformats.org/officeDocument/2006/relationships/hyperlink" Target="https://www.tiktok.com/@ava_29/video/7549707985526852895?is_from_webapp=1&amp;sender_device=pc&amp;web_id=7529868947924829714" TargetMode="External"/><Relationship Id="rId988" Type="http://schemas.openxmlformats.org/officeDocument/2006/relationships/hyperlink" Target="https://www.tiktok.com/@theshawnajean/video/7489614205859990827?is_from_webapp=1&amp;sender_device=pc&amp;web_id=7529868947924829714" TargetMode="External"/><Relationship Id="rId48" Type="http://schemas.openxmlformats.org/officeDocument/2006/relationships/hyperlink" Target="https://vt.tiktok.com/ZSAVXYVdL/" TargetMode="External"/><Relationship Id="rId47" Type="http://schemas.openxmlformats.org/officeDocument/2006/relationships/hyperlink" Target="https://vt.tiktok.com/ZSDA5eTt1/" TargetMode="External"/><Relationship Id="rId49" Type="http://schemas.openxmlformats.org/officeDocument/2006/relationships/hyperlink" Target="https://vt.tiktok.com/ZSAVWbmJd/" TargetMode="External"/><Relationship Id="rId741" Type="http://schemas.openxmlformats.org/officeDocument/2006/relationships/hyperlink" Target="https://www.tiktok.com/@mahitunam/video/7469815987987156242?is_from_webapp=1&amp;sender_device=pc&amp;web_id=7529868947924829714" TargetMode="External"/><Relationship Id="rId983" Type="http://schemas.openxmlformats.org/officeDocument/2006/relationships/hyperlink" Target="https://www.tiktok.com/@carrington143/video/7213188230492409134?is_from_webapp=1&amp;sender_device=pc&amp;web_id=7529868947924829714" TargetMode="External"/><Relationship Id="rId740" Type="http://schemas.openxmlformats.org/officeDocument/2006/relationships/hyperlink" Target="https://www.tiktok.com/@sophiabamff/video/7528028919891594527?is_from_webapp=1&amp;sender_device=pc&amp;web_id=7529868947924829714" TargetMode="External"/><Relationship Id="rId982" Type="http://schemas.openxmlformats.org/officeDocument/2006/relationships/hyperlink" Target="https://www.tiktok.com/@iamprimmm/video/7531261131722132754?is_from_webapp=1&amp;sender_device=pc&amp;web_id=7529868947924829714" TargetMode="External"/><Relationship Id="rId981" Type="http://schemas.openxmlformats.org/officeDocument/2006/relationships/hyperlink" Target="https://www.tiktok.com/@iconic0lov3/video/7508093491201854750?is_from_webapp=1&amp;sender_device=pc&amp;web_id=7529868947924829714" TargetMode="External"/><Relationship Id="rId980" Type="http://schemas.openxmlformats.org/officeDocument/2006/relationships/hyperlink" Target="https://www.tiktok.com/@jenna._.shay/video/7534635126777597215?is_from_webapp=1&amp;sender_device=pc&amp;web_id=7529868947924829714" TargetMode="External"/><Relationship Id="rId31" Type="http://schemas.openxmlformats.org/officeDocument/2006/relationships/hyperlink" Target="https://www.tiktok.com/@k.wamp/video/7374153120483478827?is_from_webapp=1&amp;sender_device=pc&amp;web_id=7529868947924829714" TargetMode="External"/><Relationship Id="rId30" Type="http://schemas.openxmlformats.org/officeDocument/2006/relationships/hyperlink" Target="https://www.canva.com/design/DAGx6OzNxbU/AHmLLtEl4KHZNdaoA9BrRA/edit" TargetMode="External"/><Relationship Id="rId33" Type="http://schemas.openxmlformats.org/officeDocument/2006/relationships/hyperlink" Target="https://vt.tiktok.com/ZSAVXMChs/" TargetMode="External"/><Relationship Id="rId32" Type="http://schemas.openxmlformats.org/officeDocument/2006/relationships/hyperlink" Target="https://vt.tiktok.com/ZSDA55Va1/" TargetMode="External"/><Relationship Id="rId35" Type="http://schemas.openxmlformats.org/officeDocument/2006/relationships/hyperlink" Target="https://vt.tiktok.com/ZSAVsYPTB/" TargetMode="External"/><Relationship Id="rId34" Type="http://schemas.openxmlformats.org/officeDocument/2006/relationships/hyperlink" Target="https://vt.tiktok.com/ZSAVWvYwa/" TargetMode="External"/><Relationship Id="rId739" Type="http://schemas.openxmlformats.org/officeDocument/2006/relationships/hyperlink" Target="https://www.tiktok.com/@tazandalessia/video/7277090151044631809?is_from_webapp=1&amp;sender_device=pc&amp;web_id=7529868947924829714" TargetMode="External"/><Relationship Id="rId734" Type="http://schemas.openxmlformats.org/officeDocument/2006/relationships/hyperlink" Target="https://www.tiktok.com/@koreanbbq30/video/7520293158631099703?is_from_webapp=1&amp;sender_device=pc&amp;web_id=7529868947924829714" TargetMode="External"/><Relationship Id="rId976" Type="http://schemas.openxmlformats.org/officeDocument/2006/relationships/hyperlink" Target="https://www.tiktok.com/@wild_milk/video/7466857100853923103?is_from_webapp=1&amp;sender_device=pc&amp;web_id=7529868947924829714" TargetMode="External"/><Relationship Id="rId733" Type="http://schemas.openxmlformats.org/officeDocument/2006/relationships/hyperlink" Target="https://www.tiktok.com/@metal_threads_and/video/7467330125550472494?is_from_webapp=1&amp;sender_device=pc&amp;web_id=7529868947924829714" TargetMode="External"/><Relationship Id="rId975" Type="http://schemas.openxmlformats.org/officeDocument/2006/relationships/hyperlink" Target="https://www.tiktok.com/@mconley_/video/6866580678541151494?is_from_webapp=1&amp;sender_device=pc&amp;web_id=7529868947924829714" TargetMode="External"/><Relationship Id="rId732" Type="http://schemas.openxmlformats.org/officeDocument/2006/relationships/hyperlink" Target="https://www.tiktok.com/@saffronbarker/video/7523883145356184854?is_from_webapp=1&amp;sender_device=pc&amp;web_id=7529868947924829714" TargetMode="External"/><Relationship Id="rId974" Type="http://schemas.openxmlformats.org/officeDocument/2006/relationships/hyperlink" Target="https://www.tiktok.com/@thecousins.lifee/video/7506953551789231382?is_from_webapp=1&amp;sender_device=pc&amp;web_id=7529868947924829714" TargetMode="External"/><Relationship Id="rId731" Type="http://schemas.openxmlformats.org/officeDocument/2006/relationships/hyperlink" Target="https://www.tiktok.com/@shiv_sewlal/video/7286844552701316357?is_from_webapp=1&amp;sender_device=pc&amp;web_id=7529868947924829714" TargetMode="External"/><Relationship Id="rId973" Type="http://schemas.openxmlformats.org/officeDocument/2006/relationships/hyperlink" Target="https://www.tiktok.com/@itz._yae/video/7467913042555178283?is_from_webapp=1&amp;sender_device=pc&amp;web_id=7529868947924829714" TargetMode="External"/><Relationship Id="rId738" Type="http://schemas.openxmlformats.org/officeDocument/2006/relationships/hyperlink" Target="https://www.tiktok.com/@scootonaroundnpr/video/7507209125940563246?is_from_webapp=1&amp;sender_device=pc&amp;web_id=7529868947924829714" TargetMode="External"/><Relationship Id="rId737" Type="http://schemas.openxmlformats.org/officeDocument/2006/relationships/hyperlink" Target="https://www.tiktok.com/@i4_slow/video/7474441969524165918?is_from_webapp=1&amp;sender_device=pc&amp;web_id=7529868947924829714" TargetMode="External"/><Relationship Id="rId979" Type="http://schemas.openxmlformats.org/officeDocument/2006/relationships/hyperlink" Target="https://www.tiktok.com/@jessicathoday/video/7293454371667447047?is_from_webapp=1&amp;sender_device=pc&amp;web_id=7529868947924829714" TargetMode="External"/><Relationship Id="rId736" Type="http://schemas.openxmlformats.org/officeDocument/2006/relationships/hyperlink" Target="https://www.tiktok.com/@coldxsoup/video/7154146696237403438?is_from_webapp=1&amp;sender_device=pc&amp;web_id=7529868947924829714" TargetMode="External"/><Relationship Id="rId978" Type="http://schemas.openxmlformats.org/officeDocument/2006/relationships/hyperlink" Target="https://www.tiktok.com/@aikoflynn/video/7506328532289637688?is_from_webapp=1&amp;sender_device=pc&amp;web_id=7529868947924829714" TargetMode="External"/><Relationship Id="rId735" Type="http://schemas.openxmlformats.org/officeDocument/2006/relationships/hyperlink" Target="https://www.tiktok.com/@katclark/video/7123102565587225857?is_from_webapp=1&amp;sender_device=pc&amp;web_id=7529868947924829714" TargetMode="External"/><Relationship Id="rId977" Type="http://schemas.openxmlformats.org/officeDocument/2006/relationships/hyperlink" Target="https://www.tiktok.com/@jamesfan826/video/7485927393517997342?is_from_webapp=1&amp;sender_device=pc&amp;web_id=7529868947924829714" TargetMode="External"/><Relationship Id="rId37" Type="http://schemas.openxmlformats.org/officeDocument/2006/relationships/hyperlink" Target="https://vt.tiktok.com/ZSAVxTjsV/" TargetMode="External"/><Relationship Id="rId36" Type="http://schemas.openxmlformats.org/officeDocument/2006/relationships/hyperlink" Target="https://www.tiktok.com/@ouncecoffee/video/7539578267213303054?is_from_webapp=1&amp;sender_device=pc&amp;web_id=7529858502199395858" TargetMode="External"/><Relationship Id="rId39" Type="http://schemas.openxmlformats.org/officeDocument/2006/relationships/hyperlink" Target="https://vt.tiktok.com/ZSAVQtA1Q/" TargetMode="External"/><Relationship Id="rId38" Type="http://schemas.openxmlformats.org/officeDocument/2006/relationships/hyperlink" Target="http://retractables.ph/" TargetMode="External"/><Relationship Id="rId730" Type="http://schemas.openxmlformats.org/officeDocument/2006/relationships/hyperlink" Target="https://www.tiktok.com/@locarr_/video/7496574470967020843?is_from_webapp=1&amp;sender_device=pc&amp;web_id=7529868947924829714" TargetMode="External"/><Relationship Id="rId972" Type="http://schemas.openxmlformats.org/officeDocument/2006/relationships/hyperlink" Target="https://www.tiktok.com/@its.parkermartin/video/7517524318708927799?is_from_webapp=1&amp;sender_device=pc&amp;web_id=7529868947924829714" TargetMode="External"/><Relationship Id="rId971" Type="http://schemas.openxmlformats.org/officeDocument/2006/relationships/hyperlink" Target="https://www.tiktok.com/@morgancrowder13/video/6853228937258994950?is_from_webapp=1&amp;sender_device=pc&amp;web_id=7529868947924829714" TargetMode="External"/><Relationship Id="rId970" Type="http://schemas.openxmlformats.org/officeDocument/2006/relationships/hyperlink" Target="https://www.tiktok.com/@samanthamejia75/video/7523321780958678302?is_from_webapp=1&amp;sender_device=pc&amp;web_id=7529868947924829714" TargetMode="External"/><Relationship Id="rId1114" Type="http://schemas.openxmlformats.org/officeDocument/2006/relationships/hyperlink" Target="https://www.tiktok.com/@callista_tt/video/7539933494479260930?is_from_webapp=1&amp;sender_device=pc&amp;web_id=7529868947924829714" TargetMode="External"/><Relationship Id="rId1115" Type="http://schemas.openxmlformats.org/officeDocument/2006/relationships/hyperlink" Target="https://www.tiktok.com/@derrynmckillopx/video/6929568091110264069?is_from_webapp=1&amp;sender_device=pc&amp;web_id=7529868947924829714" TargetMode="External"/><Relationship Id="rId20" Type="http://schemas.openxmlformats.org/officeDocument/2006/relationships/hyperlink" Target="https://vt.tiktok.com/ZSAVW3B6J/" TargetMode="External"/><Relationship Id="rId1116" Type="http://schemas.openxmlformats.org/officeDocument/2006/relationships/hyperlink" Target="https://www.tiktok.com/@lozvassallo/video/7482865461802175766?is_from_webapp=1&amp;sender_device=pc&amp;web_id=7529868947924829714" TargetMode="External"/><Relationship Id="rId1117" Type="http://schemas.openxmlformats.org/officeDocument/2006/relationships/hyperlink" Target="https://www.tiktok.com/@erinantheia/video/7376965914610191648?is_from_webapp=1&amp;sender_device=pc&amp;web_id=7529868947924829714" TargetMode="External"/><Relationship Id="rId22" Type="http://schemas.openxmlformats.org/officeDocument/2006/relationships/hyperlink" Target="https://www.tiktok.com/@jaczdrivein/video/7535961624058858783?is_from_webapp=1&amp;sender_device=pc&amp;web_id=7529858502199395858" TargetMode="External"/><Relationship Id="rId1118" Type="http://schemas.openxmlformats.org/officeDocument/2006/relationships/hyperlink" Target="https://www.tiktok.com/@karlamcanton/video/7484434760975125803?is_from_webapp=1&amp;sender_device=pc&amp;web_id=7529868947924829714" TargetMode="External"/><Relationship Id="rId21" Type="http://schemas.openxmlformats.org/officeDocument/2006/relationships/hyperlink" Target="https://vt.tiktok.com/ZSAVpEWAr/" TargetMode="External"/><Relationship Id="rId1119" Type="http://schemas.openxmlformats.org/officeDocument/2006/relationships/hyperlink" Target="https://www.tiktok.com/@mummyoflittlebear/video/6926161721350524166?is_from_webapp=1&amp;sender_device=pc&amp;web_id=7529868947924829714" TargetMode="External"/><Relationship Id="rId24" Type="http://schemas.openxmlformats.org/officeDocument/2006/relationships/hyperlink" Target="https://vt.tiktok.com/ZSAVQcb7P/" TargetMode="External"/><Relationship Id="rId23" Type="http://schemas.openxmlformats.org/officeDocument/2006/relationships/hyperlink" Target="https://vt.tiktok.com/ZSAVQjUXw/" TargetMode="External"/><Relationship Id="rId525" Type="http://schemas.openxmlformats.org/officeDocument/2006/relationships/hyperlink" Target="https://www.tiktok.com/@theperkypupcoffeeco/video/7536170810470337823?is_from_webapp=1&amp;sender_device=pc&amp;web_id=7529868947924829714" TargetMode="External"/><Relationship Id="rId767" Type="http://schemas.openxmlformats.org/officeDocument/2006/relationships/hyperlink" Target="https://www.tiktok.com/@meghanandjack/video/7295505225656372523?is_from_webapp=1&amp;sender_device=pc&amp;web_id=7529868947924829714" TargetMode="External"/><Relationship Id="rId524" Type="http://schemas.openxmlformats.org/officeDocument/2006/relationships/hyperlink" Target="https://vt.tiktok.com/ZSDRpS1Ce/" TargetMode="External"/><Relationship Id="rId766" Type="http://schemas.openxmlformats.org/officeDocument/2006/relationships/hyperlink" Target="https://www.tiktok.com/@jackjacksegura/video/7464792922412682542?is_from_webapp=1&amp;sender_device=pc&amp;web_id=7529868947924829714" TargetMode="External"/><Relationship Id="rId523" Type="http://schemas.openxmlformats.org/officeDocument/2006/relationships/hyperlink" Target="https://vt.tiktok.com/ZSDADKN2X/" TargetMode="External"/><Relationship Id="rId765" Type="http://schemas.openxmlformats.org/officeDocument/2006/relationships/hyperlink" Target="https://www.tiktok.com/@katiemcev0y/video/7470967592627326238?is_from_webapp=1&amp;sender_device=pc&amp;web_id=7529868947924829714" TargetMode="External"/><Relationship Id="rId522" Type="http://schemas.openxmlformats.org/officeDocument/2006/relationships/hyperlink" Target="https://vt.tiktok.com/ZSDAWDq6M/" TargetMode="External"/><Relationship Id="rId764" Type="http://schemas.openxmlformats.org/officeDocument/2006/relationships/hyperlink" Target="https://www.tiktok.com/@renee.noe/video/7466317558677769503?is_from_webapp=1&amp;sender_device=pc&amp;web_id=7529868947924829714" TargetMode="External"/><Relationship Id="rId529" Type="http://schemas.openxmlformats.org/officeDocument/2006/relationships/hyperlink" Target="https://www.tiktok.com/@maizysteve_/video/7529893792753683720?is_from_webapp=1&amp;sender_device=pc&amp;web_id=7529868947924829714" TargetMode="External"/><Relationship Id="rId528" Type="http://schemas.openxmlformats.org/officeDocument/2006/relationships/hyperlink" Target="https://www.tiktok.com/@virgo..duh/video/7542880258853375240?is_from_webapp=1&amp;sender_device=pc&amp;web_id=7529868947924829714" TargetMode="External"/><Relationship Id="rId527" Type="http://schemas.openxmlformats.org/officeDocument/2006/relationships/hyperlink" Target="https://www.tiktok.com/@tiiaalgans/video/7472772763946634518?is_from_webapp=1&amp;sender_device=pc&amp;web_id=7529868947924829714" TargetMode="External"/><Relationship Id="rId769" Type="http://schemas.openxmlformats.org/officeDocument/2006/relationships/hyperlink" Target="https://www.tiktok.com/@lanolips/video/7477447002754764039?is_from_webapp=1&amp;sender_device=pc&amp;web_id=7529868947924829714" TargetMode="External"/><Relationship Id="rId526" Type="http://schemas.openxmlformats.org/officeDocument/2006/relationships/hyperlink" Target="https://vt.tiktok.com/ZSDyuj5of/" TargetMode="External"/><Relationship Id="rId768" Type="http://schemas.openxmlformats.org/officeDocument/2006/relationships/hyperlink" Target="https://www.tiktok.com/@oliviagraceherring/video/7508839100925971714?is_from_webapp=1&amp;sender_device=pc&amp;web_id=7529868947924829714" TargetMode="External"/><Relationship Id="rId26" Type="http://schemas.openxmlformats.org/officeDocument/2006/relationships/hyperlink" Target="https://www.tiktok.com/@samantha.franz/video/7539428103076990215?is_from_webapp=1&amp;sender_device=pc&amp;web_id=7529868947924829714" TargetMode="External"/><Relationship Id="rId25" Type="http://schemas.openxmlformats.org/officeDocument/2006/relationships/hyperlink" Target="https://www.tiktok.com/@chatimeph/video/7476419939264630034?is_from_webapp=1&amp;sender_device=pc&amp;web_id=7529868947924829714" TargetMode="External"/><Relationship Id="rId28" Type="http://schemas.openxmlformats.org/officeDocument/2006/relationships/hyperlink" Target="https://www.tiktok.com/@danipenano/video/7514910935954525448?is_from_webapp=1&amp;sender_device=pc&amp;web_id=7529858502199395858" TargetMode="External"/><Relationship Id="rId27" Type="http://schemas.openxmlformats.org/officeDocument/2006/relationships/hyperlink" Target="https://vt.tiktok.com/ZSAVnQH3F/" TargetMode="External"/><Relationship Id="rId521" Type="http://schemas.openxmlformats.org/officeDocument/2006/relationships/hyperlink" Target="https://www.tiktok.com/@david.ob11/video/7460594093018746114?is_from_webapp=1&amp;sender_device=pc&amp;web_id=7529868947924829714" TargetMode="External"/><Relationship Id="rId763" Type="http://schemas.openxmlformats.org/officeDocument/2006/relationships/hyperlink" Target="https://www.tiktok.com/@ashlyn_bischoff/video/7218328249661803822?is_from_webapp=1&amp;sender_device=pc&amp;web_id=7529868947924829714" TargetMode="External"/><Relationship Id="rId1110" Type="http://schemas.openxmlformats.org/officeDocument/2006/relationships/hyperlink" Target="https://www.tiktok.com/@ele_ge/video/7486534810702286102?is_from_webapp=1&amp;sender_device=pc&amp;web_id=7529868947924829714" TargetMode="External"/><Relationship Id="rId29" Type="http://schemas.openxmlformats.org/officeDocument/2006/relationships/hyperlink" Target="https://www.tiktok.com/@kaylarosegibson/video/7490299170658503954?is_from_webapp=1&amp;sender_device=pc&amp;web_id=7529868947924829714" TargetMode="External"/><Relationship Id="rId520" Type="http://schemas.openxmlformats.org/officeDocument/2006/relationships/hyperlink" Target="https://www.tiktok.com/@galandjosh/video/6867305678373932294?is_from_webapp=1&amp;sender_device=pc&amp;web_id=7529868947924829714" TargetMode="External"/><Relationship Id="rId762" Type="http://schemas.openxmlformats.org/officeDocument/2006/relationships/hyperlink" Target="https://www.tiktok.com/@alisonxflores/video/7498404701579316511?is_from_webapp=1&amp;sender_device=pc&amp;web_id=7529868947924829714" TargetMode="External"/><Relationship Id="rId1111" Type="http://schemas.openxmlformats.org/officeDocument/2006/relationships/hyperlink" Target="https://www.tiktok.com/@hannahmullett_/video/6949870399664540934?is_from_webapp=1&amp;sender_device=pc&amp;web_id=7529868947924829714" TargetMode="External"/><Relationship Id="rId761" Type="http://schemas.openxmlformats.org/officeDocument/2006/relationships/hyperlink" Target="https://www.tiktok.com/@inna_turadzhyk/video/7476778070968372485?is_from_webapp=1&amp;sender_device=pc&amp;web_id=7529868947924829714" TargetMode="External"/><Relationship Id="rId1112" Type="http://schemas.openxmlformats.org/officeDocument/2006/relationships/hyperlink" Target="https://www.tiktok.com/@mayaxdevi/video/7498211339509189931?is_from_webapp=1&amp;sender_device=pc&amp;web_id=7529868947924829714" TargetMode="External"/><Relationship Id="rId760" Type="http://schemas.openxmlformats.org/officeDocument/2006/relationships/hyperlink" Target="https://www.tiktok.com/@christian.sangg/video/7466246083849489672?is_from_webapp=1&amp;sender_device=pc&amp;web_id=7529868947924829714" TargetMode="External"/><Relationship Id="rId1113" Type="http://schemas.openxmlformats.org/officeDocument/2006/relationships/hyperlink" Target="https://www.tiktok.com/@amyriach97/video/7157733567420747014?is_from_webapp=1&amp;sender_device=pc&amp;web_id=7529868947924829714" TargetMode="External"/><Relationship Id="rId1103" Type="http://schemas.openxmlformats.org/officeDocument/2006/relationships/hyperlink" Target="https://www.tiktok.com/@lowkeyaintme/video/7542906488394747158?is_from_webapp=1&amp;sender_device=pc&amp;web_id=7529868947924829714" TargetMode="External"/><Relationship Id="rId1104" Type="http://schemas.openxmlformats.org/officeDocument/2006/relationships/hyperlink" Target="https://www.tiktok.com/@dianachabarek/video/7527380446783540502?is_from_webapp=1&amp;sender_device=pc&amp;web_id=7529868947924829714" TargetMode="External"/><Relationship Id="rId1105" Type="http://schemas.openxmlformats.org/officeDocument/2006/relationships/hyperlink" Target="https://www.tiktok.com/@libbieportman/video/6931758282293939461?is_from_webapp=1&amp;sender_device=pc&amp;web_id=7529868947924829714" TargetMode="External"/><Relationship Id="rId1106" Type="http://schemas.openxmlformats.org/officeDocument/2006/relationships/hyperlink" Target="https://www.tiktok.com/@everyndaylife/video/7543901428520127751?is_from_webapp=1&amp;sender_device=pc&amp;web_id=7529868947924829714" TargetMode="External"/><Relationship Id="rId11" Type="http://schemas.openxmlformats.org/officeDocument/2006/relationships/hyperlink" Target="https://vt.tiktok.com/ZSAVQgjDc/" TargetMode="External"/><Relationship Id="rId1107" Type="http://schemas.openxmlformats.org/officeDocument/2006/relationships/hyperlink" Target="https://www.tiktok.com/@nicoleprycex/video/6928789471265656070?is_from_webapp=1&amp;sender_device=pc&amp;web_id=7529868947924829714" TargetMode="External"/><Relationship Id="rId10" Type="http://schemas.openxmlformats.org/officeDocument/2006/relationships/hyperlink" Target="https://vt.tiktok.com/ZSAVQLVHV/" TargetMode="External"/><Relationship Id="rId1108" Type="http://schemas.openxmlformats.org/officeDocument/2006/relationships/hyperlink" Target="https://www.tiktok.com/@johnesthesia/video/7523822036855180557?is_from_webapp=1&amp;sender_device=pc&amp;web_id=7529868947924829714" TargetMode="External"/><Relationship Id="rId13" Type="http://schemas.openxmlformats.org/officeDocument/2006/relationships/hyperlink" Target="https://www.tiktok.com/@kiannady_/video/7539847364056763655?is_from_webapp=1&amp;sender_device=pc&amp;web_id=7529868947924829714" TargetMode="External"/><Relationship Id="rId1109" Type="http://schemas.openxmlformats.org/officeDocument/2006/relationships/hyperlink" Target="https://www.tiktok.com/@emilygreenhoff/video/7332543454431563041?is_from_webapp=1&amp;sender_device=pc&amp;web_id=7529868947924829714" TargetMode="External"/><Relationship Id="rId12" Type="http://schemas.openxmlformats.org/officeDocument/2006/relationships/hyperlink" Target="https://www.tiktok.com/@laneigeca/video/7473887935046110519?is_from_webapp=1&amp;sender_device=pc&amp;web_id=7529868947924829714" TargetMode="External"/><Relationship Id="rId519" Type="http://schemas.openxmlformats.org/officeDocument/2006/relationships/hyperlink" Target="https://www.tiktok.com/@pink_fish_0505/video/7530734323645959437?is_from_webapp=1&amp;sender_device=pc&amp;web_id=7529868947924829714" TargetMode="External"/><Relationship Id="rId514" Type="http://schemas.openxmlformats.org/officeDocument/2006/relationships/hyperlink" Target="https://vt.tiktok.com/ZSDRph3uU/" TargetMode="External"/><Relationship Id="rId756" Type="http://schemas.openxmlformats.org/officeDocument/2006/relationships/hyperlink" Target="https://www.tiktok.com/@babyydabz/video/7473598915229519147?is_from_webapp=1&amp;sender_device=pc&amp;web_id=7529868947924829714" TargetMode="External"/><Relationship Id="rId998" Type="http://schemas.openxmlformats.org/officeDocument/2006/relationships/hyperlink" Target="https://www.tiktok.com/@jamaicasoraya/video/7475973982311763222?is_from_webapp=1&amp;sender_device=pc&amp;web_id=7529868947924829714" TargetMode="External"/><Relationship Id="rId513" Type="http://schemas.openxmlformats.org/officeDocument/2006/relationships/hyperlink" Target="https://vt.tiktok.com/ZSDADC6TJ/" TargetMode="External"/><Relationship Id="rId755" Type="http://schemas.openxmlformats.org/officeDocument/2006/relationships/hyperlink" Target="https://www.tiktok.com/@.bettlebee/video/6941008301144460550?is_from_webapp=1&amp;sender_device=pc&amp;web_id=7529868947924829714" TargetMode="External"/><Relationship Id="rId997" Type="http://schemas.openxmlformats.org/officeDocument/2006/relationships/hyperlink" Target="https://www.tiktok.com/@connerbabcock/video/7481053956773465390?is_from_webapp=1&amp;sender_device=pc&amp;web_id=7529868947924829714" TargetMode="External"/><Relationship Id="rId512" Type="http://schemas.openxmlformats.org/officeDocument/2006/relationships/hyperlink" Target="https://vt.tiktok.com/ZSDAnfhqV/" TargetMode="External"/><Relationship Id="rId754" Type="http://schemas.openxmlformats.org/officeDocument/2006/relationships/hyperlink" Target="https://www.tiktok.com/@maci_miotto/video/7538562807973907726?is_from_webapp=1&amp;sender_device=pc&amp;web_id=7529868947924829714" TargetMode="External"/><Relationship Id="rId996" Type="http://schemas.openxmlformats.org/officeDocument/2006/relationships/hyperlink" Target="https://www.tiktok.com/@deven.saylor/video/7130367740770061614?is_from_webapp=1&amp;sender_device=pc&amp;web_id=7529868947924829714" TargetMode="External"/><Relationship Id="rId511" Type="http://schemas.openxmlformats.org/officeDocument/2006/relationships/hyperlink" Target="https://www.tiktok.com/@tiffanyyreed/video/7515957536550407466?is_from_webapp=1&amp;sender_device=pc&amp;web_id=7529868947924829714" TargetMode="External"/><Relationship Id="rId753" Type="http://schemas.openxmlformats.org/officeDocument/2006/relationships/hyperlink" Target="https://www.tiktok.com/@pauline_brenner/video/7469862667302276374?is_from_webapp=1&amp;sender_device=pc&amp;web_id=7529868947924829714" TargetMode="External"/><Relationship Id="rId995" Type="http://schemas.openxmlformats.org/officeDocument/2006/relationships/hyperlink" Target="https://www.tiktok.com/@marah_snoubar/video/7475404379806485806?is_from_webapp=1&amp;sender_device=pc&amp;web_id=7529868947924829714" TargetMode="External"/><Relationship Id="rId518" Type="http://schemas.openxmlformats.org/officeDocument/2006/relationships/hyperlink" Target="https://www.tiktok.com/@www.notizzy.com/video/7509036900502539563?is_from_webapp=1&amp;sender_device=pc&amp;web_id=7529868947924829714" TargetMode="External"/><Relationship Id="rId517" Type="http://schemas.openxmlformats.org/officeDocument/2006/relationships/hyperlink" Target="https://www.tiktok.com/@thrmrcrz/video/7545480727098395905?is_from_webapp=1&amp;sender_device=pc&amp;web_id=7529868947924829714" TargetMode="External"/><Relationship Id="rId759" Type="http://schemas.openxmlformats.org/officeDocument/2006/relationships/hyperlink" Target="https://www.tiktok.com/@arissaadams/video/7185456054807973125?is_from_webapp=1&amp;sender_device=pc&amp;web_id=7529868947924829714" TargetMode="External"/><Relationship Id="rId516" Type="http://schemas.openxmlformats.org/officeDocument/2006/relationships/hyperlink" Target="https://www.tiktok.com/@skinspce/video/7472435579129548054?is_from_webapp=1&amp;sender_device=pc&amp;web_id=7529868947924829714" TargetMode="External"/><Relationship Id="rId758" Type="http://schemas.openxmlformats.org/officeDocument/2006/relationships/hyperlink" Target="https://www.tiktok.com/@user754357870/video/7471482166283603231?is_from_webapp=1&amp;sender_device=pc&amp;web_id=7529868947924829714" TargetMode="External"/><Relationship Id="rId515" Type="http://schemas.openxmlformats.org/officeDocument/2006/relationships/hyperlink" Target="https://www.tiktok.com/@jaylorswift/video/7545005469971107127?is_from_webapp=1&amp;sender_device=pc&amp;web_id=7529868947924829714" TargetMode="External"/><Relationship Id="rId757" Type="http://schemas.openxmlformats.org/officeDocument/2006/relationships/hyperlink" Target="https://www.tiktok.com/@caitzdurling/video/7468623059348442400?is_from_webapp=1&amp;sender_device=pc&amp;web_id=7529868947924829714" TargetMode="External"/><Relationship Id="rId999" Type="http://schemas.openxmlformats.org/officeDocument/2006/relationships/hyperlink" Target="https://www.tiktok.com/@hollyanddiego/video/7125764975385267461?is_from_webapp=1&amp;sender_device=pc&amp;web_id=7529868947924829714" TargetMode="External"/><Relationship Id="rId15" Type="http://schemas.openxmlformats.org/officeDocument/2006/relationships/hyperlink" Target="https://www.tiktok.com/@_cjma/video/7486125299793415446?is_from_webapp=1&amp;sender_device=pc&amp;web_id=7529858502199395858" TargetMode="External"/><Relationship Id="rId990" Type="http://schemas.openxmlformats.org/officeDocument/2006/relationships/hyperlink" Target="https://www.tiktok.com/@laynebaca/video/6886274909715057925?is_from_webapp=1&amp;sender_device=pc&amp;web_id=7529868947924829714" TargetMode="External"/><Relationship Id="rId14" Type="http://schemas.openxmlformats.org/officeDocument/2006/relationships/hyperlink" Target="https://vt.tiktok.com/ZSAVWJoUX/" TargetMode="External"/><Relationship Id="rId17" Type="http://schemas.openxmlformats.org/officeDocument/2006/relationships/hyperlink" Target="https://www.tiktok.com/@thehanniediaries/video/7476572873746894122?is_from_webapp=1&amp;sender_device=pc&amp;web_id=7529868947924829714" TargetMode="External"/><Relationship Id="rId16" Type="http://schemas.openxmlformats.org/officeDocument/2006/relationships/hyperlink" Target="https://www.tiktok.com/@ashandwhit/video/7526376199342312734?is_from_webapp=1&amp;sender_device=pc&amp;web_id=7529868947924829714" TargetMode="External"/><Relationship Id="rId19" Type="http://schemas.openxmlformats.org/officeDocument/2006/relationships/hyperlink" Target="https://vt.tiktok.com/ZSAVXUhwh/" TargetMode="External"/><Relationship Id="rId510" Type="http://schemas.openxmlformats.org/officeDocument/2006/relationships/hyperlink" Target="https://www.tiktok.com/@hayleyhacker6/video/6874373406830152966?is_from_webapp=1&amp;sender_device=pc&amp;web_id=7529868947924829714" TargetMode="External"/><Relationship Id="rId752" Type="http://schemas.openxmlformats.org/officeDocument/2006/relationships/hyperlink" Target="https://www.tiktok.com/@gabschase/video/7517684963303607582?is_from_webapp=1&amp;sender_device=pc&amp;web_id=7529868947924829714" TargetMode="External"/><Relationship Id="rId994" Type="http://schemas.openxmlformats.org/officeDocument/2006/relationships/hyperlink" Target="https://www.tiktok.com/@shutupthomy/video/7521832716451613974?is_from_webapp=1&amp;sender_device=pc&amp;web_id=7529868947924829714" TargetMode="External"/><Relationship Id="rId18" Type="http://schemas.openxmlformats.org/officeDocument/2006/relationships/hyperlink" Target="https://vt.tiktok.com/ZSDA5fKct/" TargetMode="External"/><Relationship Id="rId751" Type="http://schemas.openxmlformats.org/officeDocument/2006/relationships/hyperlink" Target="https://www.tiktok.com/@maya.and.hunter/video/7223523835570785582?is_from_webapp=1&amp;sender_device=pc&amp;web_id=7529868947924829714" TargetMode="External"/><Relationship Id="rId993" Type="http://schemas.openxmlformats.org/officeDocument/2006/relationships/hyperlink" Target="https://www.tiktok.com/@katclark/video/7121595003771653377?is_from_webapp=1&amp;sender_device=pc&amp;web_id=7529868947924829714" TargetMode="External"/><Relationship Id="rId1100" Type="http://schemas.openxmlformats.org/officeDocument/2006/relationships/hyperlink" Target="https://www.tiktok.com/@isabellaevelinaaa/video/7546738067516738871?is_from_webapp=1&amp;sender_device=pc&amp;web_id=7529868947924829714" TargetMode="External"/><Relationship Id="rId750" Type="http://schemas.openxmlformats.org/officeDocument/2006/relationships/hyperlink" Target="https://www.tiktok.com/@svecovasenta/video/7485852844633984287?is_from_webapp=1&amp;sender_device=pc&amp;web_id=7529868947924829714" TargetMode="External"/><Relationship Id="rId992" Type="http://schemas.openxmlformats.org/officeDocument/2006/relationships/hyperlink" Target="https://www.tiktok.com/@emilykrogsboel/video/7478644065211338006?is_from_webapp=1&amp;sender_device=pc&amp;web_id=7529868947924829714" TargetMode="External"/><Relationship Id="rId1101" Type="http://schemas.openxmlformats.org/officeDocument/2006/relationships/hyperlink" Target="https://www.tiktok.com/@milliesmith110/video/6926542189141036293?is_from_webapp=1&amp;sender_device=pc&amp;web_id=7529868947924829714" TargetMode="External"/><Relationship Id="rId991" Type="http://schemas.openxmlformats.org/officeDocument/2006/relationships/hyperlink" Target="https://www.tiktok.com/@sammii.moore/video/7504174953688796446?is_from_webapp=1&amp;sender_device=pc&amp;web_id=7529868947924829714" TargetMode="External"/><Relationship Id="rId1102" Type="http://schemas.openxmlformats.org/officeDocument/2006/relationships/hyperlink" Target="https://www.tiktok.com/@lataevia1/video/7547103433644444933?is_from_webapp=1&amp;sender_device=pc&amp;web_id=7529868947924829714" TargetMode="External"/><Relationship Id="rId84" Type="http://schemas.openxmlformats.org/officeDocument/2006/relationships/hyperlink" Target="https://www.tiktok.com/@jessicabaio/video/6869488964395355398?is_from_webapp=1&amp;sender_device=pc&amp;web_id=7529868947924829714" TargetMode="External"/><Relationship Id="rId83" Type="http://schemas.openxmlformats.org/officeDocument/2006/relationships/hyperlink" Target="https://www.tiktok.com/@provisions.yakima/video/7515117095349259566?is_from_webapp=1&amp;sender_device=pc&amp;web_id=7529858502199395858" TargetMode="External"/><Relationship Id="rId86" Type="http://schemas.openxmlformats.org/officeDocument/2006/relationships/hyperlink" Target="https://vt.tiktok.com/ZSDA5Hb7N/" TargetMode="External"/><Relationship Id="rId85" Type="http://schemas.openxmlformats.org/officeDocument/2006/relationships/hyperlink" Target="https://www.tiktok.com/@adv.maris/video/7499286048913050923?is_from_webapp=1&amp;sender_device=pc&amp;web_id=7529868947924829714" TargetMode="External"/><Relationship Id="rId88" Type="http://schemas.openxmlformats.org/officeDocument/2006/relationships/hyperlink" Target="https://vt.tiktok.com/ZSAV7Bp8T/" TargetMode="External"/><Relationship Id="rId87" Type="http://schemas.openxmlformats.org/officeDocument/2006/relationships/hyperlink" Target="https://vt.tiktok.com/ZSAVXKGVH/" TargetMode="External"/><Relationship Id="rId89" Type="http://schemas.openxmlformats.org/officeDocument/2006/relationships/hyperlink" Target="https://vt.tiktok.com/ZSAVsHpt1/" TargetMode="External"/><Relationship Id="rId709" Type="http://schemas.openxmlformats.org/officeDocument/2006/relationships/hyperlink" Target="https://www.tiktok.com/@vidaveneracion_/video/7542489440325750034?is_from_webapp=1&amp;sender_device=pc&amp;web_id=7529868947924829714" TargetMode="External"/><Relationship Id="rId708" Type="http://schemas.openxmlformats.org/officeDocument/2006/relationships/hyperlink" Target="https://www.tiktok.com/@sarahbetts41/video/7274893313310838059?is_from_webapp=1&amp;sender_device=pc&amp;web_id=7529868947924829714" TargetMode="External"/><Relationship Id="rId707" Type="http://schemas.openxmlformats.org/officeDocument/2006/relationships/hyperlink" Target="https://www.tiktok.com/@tzerine07/video/7546359062863121681?is_from_webapp=1&amp;sender_device=pc&amp;web_id=7529868947924829714" TargetMode="External"/><Relationship Id="rId949" Type="http://schemas.openxmlformats.org/officeDocument/2006/relationships/hyperlink" Target="https://www.tiktok.com/@olfabk_j/video/7471757751388032311?is_from_webapp=1&amp;sender_device=pc&amp;web_id=7529868947924829714" TargetMode="External"/><Relationship Id="rId706" Type="http://schemas.openxmlformats.org/officeDocument/2006/relationships/hyperlink" Target="https://www.tiktok.com/@whatyoudontsee.annie/video/7473750137131601157?is_from_webapp=1&amp;sender_device=pc&amp;web_id=7529868947924829714" TargetMode="External"/><Relationship Id="rId948" Type="http://schemas.openxmlformats.org/officeDocument/2006/relationships/hyperlink" Target="https://www.tiktok.com/@sophie_concio/video/7457768621557828870?is_from_webapp=1&amp;sender_device=pc&amp;web_id=7529868947924829714" TargetMode="External"/><Relationship Id="rId80" Type="http://schemas.openxmlformats.org/officeDocument/2006/relationships/hyperlink" Target="https://www.tiktok.com/@kristyna.zamcova/video/7473509616186314006?is_from_webapp=1&amp;sender_device=pc&amp;web_id=7529868947924829714" TargetMode="External"/><Relationship Id="rId82" Type="http://schemas.openxmlformats.org/officeDocument/2006/relationships/hyperlink" Target="https://vt.tiktok.com/ZSAVWk5C2/" TargetMode="External"/><Relationship Id="rId81" Type="http://schemas.openxmlformats.org/officeDocument/2006/relationships/hyperlink" Target="https://www.tiktok.com/@awrabriguela/video/7542098494325280008?is_from_webapp=1&amp;sender_device=pc&amp;web_id=7529868947924829714" TargetMode="External"/><Relationship Id="rId701" Type="http://schemas.openxmlformats.org/officeDocument/2006/relationships/hyperlink" Target="https://www.tiktok.com/@mals.inspo/video/7486546269389868319?is_from_webapp=1&amp;sender_device=pc&amp;web_id=7529868947924829714" TargetMode="External"/><Relationship Id="rId943" Type="http://schemas.openxmlformats.org/officeDocument/2006/relationships/hyperlink" Target="https://www.tiktok.com/@katikay2099/video/6856143063937584389?is_from_webapp=1&amp;sender_device=pc&amp;web_id=7529868947924829714" TargetMode="External"/><Relationship Id="rId700" Type="http://schemas.openxmlformats.org/officeDocument/2006/relationships/hyperlink" Target="https://vt.tiktok.com/ZSDya7pGy/" TargetMode="External"/><Relationship Id="rId942" Type="http://schemas.openxmlformats.org/officeDocument/2006/relationships/hyperlink" Target="https://www.tiktok.com/@rachelgwilson/video/7468785837988121887?is_from_webapp=1&amp;sender_device=pc&amp;web_id=7529868947924829714" TargetMode="External"/><Relationship Id="rId941" Type="http://schemas.openxmlformats.org/officeDocument/2006/relationships/hyperlink" Target="https://www.tiktok.com/@marcel.sawa/video/7492493713042656518?is_from_webapp=1&amp;sender_device=pc&amp;web_id=7529868947924829714" TargetMode="External"/><Relationship Id="rId940" Type="http://schemas.openxmlformats.org/officeDocument/2006/relationships/hyperlink" Target="https://www.tiktok.com/@brookemiccio/video/7539302150401215774?is_from_webapp=1&amp;sender_device=pc&amp;web_id=7529868947924829714" TargetMode="External"/><Relationship Id="rId705" Type="http://schemas.openxmlformats.org/officeDocument/2006/relationships/hyperlink" Target="https://vt.tiktok.com/ZSDyaPJEU/" TargetMode="External"/><Relationship Id="rId947" Type="http://schemas.openxmlformats.org/officeDocument/2006/relationships/hyperlink" Target="https://www.tiktok.com/@ryryvanderhorst/video/6854667145138261254?is_from_webapp=1&amp;sender_device=pc&amp;web_id=7529868947924829714" TargetMode="External"/><Relationship Id="rId704" Type="http://schemas.openxmlformats.org/officeDocument/2006/relationships/hyperlink" Target="https://www.tiktok.com/@simplyunplugged/video/7519195701356596511?is_from_webapp=1&amp;sender_device=pc&amp;web_id=7529868947924829714" TargetMode="External"/><Relationship Id="rId946" Type="http://schemas.openxmlformats.org/officeDocument/2006/relationships/hyperlink" Target="https://www.tiktok.com/@mariogelato/video/7517679688492387606?is_from_webapp=1&amp;sender_device=pc&amp;web_id=7529868947924829714" TargetMode="External"/><Relationship Id="rId703" Type="http://schemas.openxmlformats.org/officeDocument/2006/relationships/hyperlink" Target="https://www.tiktok.com/@sarahbetts/video/7274193590249737479?is_from_webapp=1&amp;sender_device=pc&amp;web_id=7529868947924829714" TargetMode="External"/><Relationship Id="rId945" Type="http://schemas.openxmlformats.org/officeDocument/2006/relationships/hyperlink" Target="https://www.tiktok.com/@jennajoyo/video/7471026941265513758?is_from_webapp=1&amp;sender_device=pc&amp;web_id=7529868947924829714" TargetMode="External"/><Relationship Id="rId702" Type="http://schemas.openxmlformats.org/officeDocument/2006/relationships/hyperlink" Target="https://www.tiktok.com/@acharyasejal/video/7529363725271338247?is_from_webapp=1&amp;sender_device=pc&amp;web_id=7529868947924829714" TargetMode="External"/><Relationship Id="rId944" Type="http://schemas.openxmlformats.org/officeDocument/2006/relationships/hyperlink" Target="https://www.tiktok.com/@katelazarski/video/7449040803344698654?is_from_webapp=1&amp;sender_device=pc&amp;web_id=7529868947924829714" TargetMode="External"/><Relationship Id="rId73" Type="http://schemas.openxmlformats.org/officeDocument/2006/relationships/hyperlink" Target="https://vt.tiktok.com/ZSDA53WXK/" TargetMode="External"/><Relationship Id="rId72" Type="http://schemas.openxmlformats.org/officeDocument/2006/relationships/hyperlink" Target="https://www.tiktok.com/@ateshi___/video/7492043988241763639?is_from_webapp=1&amp;sender_device=pc&amp;web_id=7529868947924829714" TargetMode="External"/><Relationship Id="rId75" Type="http://schemas.openxmlformats.org/officeDocument/2006/relationships/hyperlink" Target="https://vt.tiktok.com/ZSAVWEFv7/" TargetMode="External"/><Relationship Id="rId74" Type="http://schemas.openxmlformats.org/officeDocument/2006/relationships/hyperlink" Target="https://vt.tiktok.com/ZSAVXpPNr/" TargetMode="External"/><Relationship Id="rId77" Type="http://schemas.openxmlformats.org/officeDocument/2006/relationships/hyperlink" Target="https://www.tiktok.com/@nrmitabnita/video/7541541464795319566?is_from_webapp=1&amp;sender_device=pc&amp;web_id=7529858502199395858" TargetMode="External"/><Relationship Id="rId76" Type="http://schemas.openxmlformats.org/officeDocument/2006/relationships/hyperlink" Target="https://vt.tiktok.com/ZSAVs8Y9Y/" TargetMode="External"/><Relationship Id="rId79" Type="http://schemas.openxmlformats.org/officeDocument/2006/relationships/hyperlink" Target="https://vt.tiktok.com/ZSAVCP7GR/" TargetMode="External"/><Relationship Id="rId78" Type="http://schemas.openxmlformats.org/officeDocument/2006/relationships/hyperlink" Target="https://vt.tiktok.com/ZSAVx3bEP/" TargetMode="External"/><Relationship Id="rId939" Type="http://schemas.openxmlformats.org/officeDocument/2006/relationships/hyperlink" Target="https://www.tiktok.com/@laney.higgins/video/7345194521266752810?is_from_webapp=1&amp;sender_device=pc&amp;web_id=7529868947924829714" TargetMode="External"/><Relationship Id="rId938" Type="http://schemas.openxmlformats.org/officeDocument/2006/relationships/hyperlink" Target="https://www.tiktok.com/@gabriellarongstad/video/7517819158181072159?is_from_webapp=1&amp;sender_device=pc&amp;web_id=7529868947924829714" TargetMode="External"/><Relationship Id="rId937" Type="http://schemas.openxmlformats.org/officeDocument/2006/relationships/hyperlink" Target="https://www.tiktok.com/@perriesian/video/7470540605106507030?is_from_webapp=1&amp;sender_device=pc&amp;web_id=7529868947924829714" TargetMode="External"/><Relationship Id="rId71" Type="http://schemas.openxmlformats.org/officeDocument/2006/relationships/hyperlink" Target="https://www.tiktok.com/@aili.likes.adventure/video/7514489015815441707?is_from_webapp=1&amp;sender_device=pc&amp;web_id=7529868947924829714" TargetMode="External"/><Relationship Id="rId70" Type="http://schemas.openxmlformats.org/officeDocument/2006/relationships/hyperlink" Target="https://www.tiktok.com/@vivianagalvezz/video/7518548197925555470?is_from_webapp=1&amp;sender_device=pc&amp;web_id=7529858502199395858" TargetMode="External"/><Relationship Id="rId932" Type="http://schemas.openxmlformats.org/officeDocument/2006/relationships/hyperlink" Target="https://www.tiktok.com/@cultadoptee/video/7330440561218030894?is_from_webapp=1&amp;sender_device=pc&amp;web_id=7529868947924829714" TargetMode="External"/><Relationship Id="rId931" Type="http://schemas.openxmlformats.org/officeDocument/2006/relationships/hyperlink" Target="https://www.tiktok.com/@rhemaelaine/video/7168190044761754926?is_from_webapp=1&amp;sender_device=pc&amp;web_id=7529868947924829714" TargetMode="External"/><Relationship Id="rId930" Type="http://schemas.openxmlformats.org/officeDocument/2006/relationships/hyperlink" Target="https://www.tiktok.com/@ambriel.g/video/7475261094358027538?is_from_webapp=1&amp;sender_device=pc&amp;web_id=7529868947924829714" TargetMode="External"/><Relationship Id="rId936" Type="http://schemas.openxmlformats.org/officeDocument/2006/relationships/hyperlink" Target="https://www.tiktok.com/@gracemayofficial/video/7449537082806095134?is_from_webapp=1&amp;sender_device=pc&amp;web_id=7529868947924829714" TargetMode="External"/><Relationship Id="rId935" Type="http://schemas.openxmlformats.org/officeDocument/2006/relationships/hyperlink" Target="https://www.tiktok.com/@aaronxpia/video/6937703237797547269?is_from_webapp=1&amp;sender_device=pc&amp;web_id=7529868947924829714" TargetMode="External"/><Relationship Id="rId934" Type="http://schemas.openxmlformats.org/officeDocument/2006/relationships/hyperlink" Target="https://www.tiktok.com/@corwithmomo/video/7460936861276474625?is_from_webapp=1&amp;sender_device=pc&amp;web_id=7529868947924829714" TargetMode="External"/><Relationship Id="rId933" Type="http://schemas.openxmlformats.org/officeDocument/2006/relationships/hyperlink" Target="https://www.tiktok.com/@blaze_star86_/video/7473529209462246698?is_from_webapp=1&amp;sender_device=pc&amp;web_id=7529868947924829714" TargetMode="External"/><Relationship Id="rId62" Type="http://schemas.openxmlformats.org/officeDocument/2006/relationships/hyperlink" Target="https://vt.tiktok.com/ZSAV76qKk/" TargetMode="External"/><Relationship Id="rId61" Type="http://schemas.openxmlformats.org/officeDocument/2006/relationships/hyperlink" Target="https://vt.tiktok.com/ZSAVXfNAB/" TargetMode="External"/><Relationship Id="rId64" Type="http://schemas.openxmlformats.org/officeDocument/2006/relationships/hyperlink" Target="https://www.tiktok.com/@pjscoffeepensacola/video/7540995085467438349?is_from_webapp=1&amp;sender_device=pc&amp;web_id=7529858502199395858" TargetMode="External"/><Relationship Id="rId63" Type="http://schemas.openxmlformats.org/officeDocument/2006/relationships/hyperlink" Target="https://vt.tiktok.com/ZSAVsBq2s/" TargetMode="External"/><Relationship Id="rId66" Type="http://schemas.openxmlformats.org/officeDocument/2006/relationships/hyperlink" Target="https://vt.tiktok.com/ZSAVCSdJP/" TargetMode="External"/><Relationship Id="rId65" Type="http://schemas.openxmlformats.org/officeDocument/2006/relationships/hyperlink" Target="https://vt.tiktok.com/ZSAVQJDKc/" TargetMode="External"/><Relationship Id="rId68" Type="http://schemas.openxmlformats.org/officeDocument/2006/relationships/hyperlink" Target="https://www.tiktok.com/@h.akd0g/video/7533174782536338695?is_from_webapp=1&amp;sender_device=pc&amp;web_id=7529868947924829714" TargetMode="External"/><Relationship Id="rId67" Type="http://schemas.openxmlformats.org/officeDocument/2006/relationships/hyperlink" Target="https://www.tiktok.com/@spencer.barbosa/video/7470307135851695366?is_from_webapp=1&amp;sender_device=pc&amp;web_id=7529868947924829714" TargetMode="External"/><Relationship Id="rId729" Type="http://schemas.openxmlformats.org/officeDocument/2006/relationships/hyperlink" Target="https://www.tiktok.com/@rousseaus_room/video/7475337556016499973?is_from_webapp=1&amp;sender_device=pc&amp;web_id=7529868947924829714" TargetMode="External"/><Relationship Id="rId728" Type="http://schemas.openxmlformats.org/officeDocument/2006/relationships/hyperlink" Target="https://www.tiktok.com/@payner34/video/7464328463063960878?is_from_webapp=1&amp;sender_device=pc&amp;web_id=7529868947924829714" TargetMode="External"/><Relationship Id="rId60" Type="http://schemas.openxmlformats.org/officeDocument/2006/relationships/hyperlink" Target="https://vt.tiktok.com/ZSDA5w11C/" TargetMode="External"/><Relationship Id="rId723" Type="http://schemas.openxmlformats.org/officeDocument/2006/relationships/hyperlink" Target="https://www.tiktok.com/@joelandkat/video/7189942304113773851?is_from_webapp=1&amp;sender_device=pc&amp;web_id=7529868947924829714" TargetMode="External"/><Relationship Id="rId965" Type="http://schemas.openxmlformats.org/officeDocument/2006/relationships/hyperlink" Target="https://www.tiktok.com/@xhollyxoxo3/video/7506991025437560086?is_from_webapp=1&amp;sender_device=pc&amp;web_id=7529868947924829714" TargetMode="External"/><Relationship Id="rId722" Type="http://schemas.openxmlformats.org/officeDocument/2006/relationships/hyperlink" Target="https://www.tiktok.com/@matildaakerr/video/7515942982374132999?is_from_webapp=1&amp;sender_device=pc&amp;web_id=7529868947924829714" TargetMode="External"/><Relationship Id="rId964" Type="http://schemas.openxmlformats.org/officeDocument/2006/relationships/hyperlink" Target="https://www.tiktok.com/@emelie_shr/video/7462053983746559254?is_from_webapp=1&amp;sender_device=pc&amp;web_id=7529868947924829714" TargetMode="External"/><Relationship Id="rId721" Type="http://schemas.openxmlformats.org/officeDocument/2006/relationships/hyperlink" Target="https://www.tiktok.com/@jennifer.fnb/video/7472789944163962134?is_from_webapp=1&amp;sender_device=pc&amp;web_id=7529868947924829714" TargetMode="External"/><Relationship Id="rId963" Type="http://schemas.openxmlformats.org/officeDocument/2006/relationships/hyperlink" Target="https://www.tiktok.com/@allyduhrey/video/7324144964298886443?is_from_webapp=1&amp;sender_device=pc&amp;web_id=7529868947924829714" TargetMode="External"/><Relationship Id="rId720" Type="http://schemas.openxmlformats.org/officeDocument/2006/relationships/hyperlink" Target="https://vt.tiktok.com/ZSDyuJeS3/" TargetMode="External"/><Relationship Id="rId962" Type="http://schemas.openxmlformats.org/officeDocument/2006/relationships/hyperlink" Target="https://www.tiktok.com/@lizzy.witha.y/video/7464177014212218130?is_from_webapp=1&amp;sender_device=pc&amp;web_id=7529868947924829714" TargetMode="External"/><Relationship Id="rId727" Type="http://schemas.openxmlformats.org/officeDocument/2006/relationships/hyperlink" Target="https://www.tiktok.com/@bramty/video/7332616230970412330?is_from_webapp=1&amp;sender_device=pc&amp;web_id=7529868947924829714" TargetMode="External"/><Relationship Id="rId969" Type="http://schemas.openxmlformats.org/officeDocument/2006/relationships/hyperlink" Target="https://www.tiktok.com/@sillyslimesierra/video/7534903020941774110?is_from_webapp=1&amp;sender_device=pc&amp;web_id=7529868947924829714" TargetMode="External"/><Relationship Id="rId726" Type="http://schemas.openxmlformats.org/officeDocument/2006/relationships/hyperlink" Target="https://www.tiktok.com/@pookie4u2_/video/7473729910385806634?is_from_webapp=1&amp;sender_device=pc&amp;web_id=7529868947924829714" TargetMode="External"/><Relationship Id="rId968" Type="http://schemas.openxmlformats.org/officeDocument/2006/relationships/hyperlink" Target="https://www.tiktok.com/@thegolden_mav/video/7307834877032893739?is_from_webapp=1&amp;sender_device=pc&amp;web_id=7529868947924829714" TargetMode="External"/><Relationship Id="rId725" Type="http://schemas.openxmlformats.org/officeDocument/2006/relationships/hyperlink" Target="https://www.tiktok.com/@saralesss/video/7473496876919098642?is_from_webapp=1&amp;sender_device=pc&amp;web_id=7529868947924829714" TargetMode="External"/><Relationship Id="rId967" Type="http://schemas.openxmlformats.org/officeDocument/2006/relationships/hyperlink" Target="https://www.tiktok.com/@madi.weeks/video/7199382873395236138?is_from_webapp=1&amp;sender_device=pc&amp;web_id=7529868947924829714" TargetMode="External"/><Relationship Id="rId724" Type="http://schemas.openxmlformats.org/officeDocument/2006/relationships/hyperlink" Target="https://www.tiktok.com/@sarliunlimited/video/7547028611975482646?is_from_webapp=1&amp;sender_device=pc&amp;web_id=7529868947924829714" TargetMode="External"/><Relationship Id="rId966" Type="http://schemas.openxmlformats.org/officeDocument/2006/relationships/hyperlink" Target="https://www.tiktok.com/@weluvvniki/video/7520609393587539222?is_from_webapp=1&amp;sender_device=pc&amp;web_id=7529868947924829714" TargetMode="External"/><Relationship Id="rId69" Type="http://schemas.openxmlformats.org/officeDocument/2006/relationships/hyperlink" Target="https://vt.tiktok.com/ZSAVWAvDL/" TargetMode="External"/><Relationship Id="rId961" Type="http://schemas.openxmlformats.org/officeDocument/2006/relationships/hyperlink" Target="https://www.tiktok.com/@itsashayy/video/7469815866595577131?is_from_webapp=1&amp;sender_device=pc&amp;web_id=7529868947924829714" TargetMode="External"/><Relationship Id="rId960" Type="http://schemas.openxmlformats.org/officeDocument/2006/relationships/hyperlink" Target="https://www.tiktok.com/@kozykalena/video/7480918769498459423?is_from_webapp=1&amp;sender_device=pc&amp;web_id=7529868947924829714" TargetMode="External"/><Relationship Id="rId51" Type="http://schemas.openxmlformats.org/officeDocument/2006/relationships/hyperlink" Target="https://www.tiktok.com/@parallaxcoffeelab/video/7535135254219164942?is_from_webapp=1&amp;sender_device=pc&amp;web_id=7529858502199395858" TargetMode="External"/><Relationship Id="rId50" Type="http://schemas.openxmlformats.org/officeDocument/2006/relationships/hyperlink" Target="https://vt.tiktok.com/ZSAVsDAAW/" TargetMode="External"/><Relationship Id="rId53" Type="http://schemas.openxmlformats.org/officeDocument/2006/relationships/hyperlink" Target="https://vt.tiktok.com/ZSAVQbsEa/" TargetMode="External"/><Relationship Id="rId52" Type="http://schemas.openxmlformats.org/officeDocument/2006/relationships/hyperlink" Target="https://vt.tiktok.com/ZSAVxsP39/" TargetMode="External"/><Relationship Id="rId55" Type="http://schemas.openxmlformats.org/officeDocument/2006/relationships/hyperlink" Target="https://www.tiktok.com/@kare.bautista/video/7530972681924087057?is_from_webapp=1&amp;sender_device=pc&amp;web_id=7529868947924829714" TargetMode="External"/><Relationship Id="rId54" Type="http://schemas.openxmlformats.org/officeDocument/2006/relationships/hyperlink" Target="https://www.tiktok.com/@gvnthelabel/video/7507247501431311623?is_from_webapp=1&amp;sender_device=pc&amp;web_id=7529868947924829714" TargetMode="External"/><Relationship Id="rId57" Type="http://schemas.openxmlformats.org/officeDocument/2006/relationships/hyperlink" Target="https://www.tiktok.com/@mila.magnani/video/7484311872817106219?is_from_webapp=1&amp;sender_device=pc&amp;web_id=7529858502199395858" TargetMode="External"/><Relationship Id="rId56" Type="http://schemas.openxmlformats.org/officeDocument/2006/relationships/hyperlink" Target="https://vt.tiktok.com/ZSAVWNaHL/" TargetMode="External"/><Relationship Id="rId719" Type="http://schemas.openxmlformats.org/officeDocument/2006/relationships/hyperlink" Target="https://www.tiktok.com/@myagre2001/video/7505163418173852933?is_from_webapp=1&amp;sender_device=pc&amp;web_id=7529868947924829714" TargetMode="External"/><Relationship Id="rId718" Type="http://schemas.openxmlformats.org/officeDocument/2006/relationships/hyperlink" Target="https://www.tiktok.com/@micahandchloe/video/7241391720850574593?is_from_webapp=1&amp;sender_device=pc&amp;web_id=7529868947924829714" TargetMode="External"/><Relationship Id="rId717" Type="http://schemas.openxmlformats.org/officeDocument/2006/relationships/hyperlink" Target="https://www.tiktok.com/@solarteamtwente/video/7539455288156392726?is_from_webapp=1&amp;sender_device=pc&amp;web_id=7529868947924829714" TargetMode="External"/><Relationship Id="rId959" Type="http://schemas.openxmlformats.org/officeDocument/2006/relationships/hyperlink" Target="https://www.tiktok.com/@hannahandregal/video/7450240354080623915?is_from_webapp=1&amp;sender_device=pc&amp;web_id=7529868947924829714" TargetMode="External"/><Relationship Id="rId712" Type="http://schemas.openxmlformats.org/officeDocument/2006/relationships/hyperlink" Target="https://www.tiktok.com/@rodlinejrm/video/7546058581209074952?is_from_webapp=1&amp;sender_device=pc&amp;web_id=7529868947924829714" TargetMode="External"/><Relationship Id="rId954" Type="http://schemas.openxmlformats.org/officeDocument/2006/relationships/hyperlink" Target="https://www.tiktok.com/@clara3012/video/7493612993876430102?is_from_webapp=1&amp;sender_device=pc&amp;web_id=7529868947924829714" TargetMode="External"/><Relationship Id="rId711" Type="http://schemas.openxmlformats.org/officeDocument/2006/relationships/hyperlink" Target="https://www.tiktok.com/@angiewulala/video/7486227989483769134?is_from_webapp=1&amp;sender_device=pc&amp;web_id=7529868947924829714" TargetMode="External"/><Relationship Id="rId953" Type="http://schemas.openxmlformats.org/officeDocument/2006/relationships/hyperlink" Target="https://www.tiktok.com/@me.and.romy/video/7472877074097786143?is_from_webapp=1&amp;sender_device=pc&amp;web_id=7529868947924829714" TargetMode="External"/><Relationship Id="rId710" Type="http://schemas.openxmlformats.org/officeDocument/2006/relationships/hyperlink" Target="https://vt.tiktok.com/ZSDymhtXE/" TargetMode="External"/><Relationship Id="rId952" Type="http://schemas.openxmlformats.org/officeDocument/2006/relationships/hyperlink" Target="https://www.tiktok.com/@ourhistoricalhouse/video/7461733763945418027?is_from_webapp=1&amp;sender_device=pc&amp;web_id=7529868947924829714" TargetMode="External"/><Relationship Id="rId951" Type="http://schemas.openxmlformats.org/officeDocument/2006/relationships/hyperlink" Target="https://www.tiktok.com/@thebubnies/video/7446428441165057323?is_from_webapp=1&amp;sender_device=pc&amp;web_id=7529868947924829714" TargetMode="External"/><Relationship Id="rId716" Type="http://schemas.openxmlformats.org/officeDocument/2006/relationships/hyperlink" Target="https://www.tiktok.com/@angelicaeilish/video/7504224318021225750?is_from_webapp=1&amp;sender_device=pc&amp;web_id=7529868947924829714" TargetMode="External"/><Relationship Id="rId958" Type="http://schemas.openxmlformats.org/officeDocument/2006/relationships/hyperlink" Target="https://www.tiktok.com/@sweetlifeofbria/video/7475916055693708590?is_from_webapp=1&amp;sender_device=pc&amp;web_id=7529868947924829714" TargetMode="External"/><Relationship Id="rId715" Type="http://schemas.openxmlformats.org/officeDocument/2006/relationships/hyperlink" Target="https://vt.tiktok.com/ZSDyacerk/" TargetMode="External"/><Relationship Id="rId957" Type="http://schemas.openxmlformats.org/officeDocument/2006/relationships/hyperlink" Target="https://www.tiktok.com/@heathermaex/video/7472054081654115606?is_from_webapp=1&amp;sender_device=pc&amp;web_id=7529868947924829714" TargetMode="External"/><Relationship Id="rId714" Type="http://schemas.openxmlformats.org/officeDocument/2006/relationships/hyperlink" Target="https://www.tiktok.com/@theilzezile/video/7529460758007057686?is_from_webapp=1&amp;sender_device=pc&amp;web_id=7529868947924829714" TargetMode="External"/><Relationship Id="rId956" Type="http://schemas.openxmlformats.org/officeDocument/2006/relationships/hyperlink" Target="https://www.tiktok.com/@samiah.deyanira/video/7487977789606481182?is_from_webapp=1&amp;sender_device=pc&amp;web_id=7529868947924829714" TargetMode="External"/><Relationship Id="rId713" Type="http://schemas.openxmlformats.org/officeDocument/2006/relationships/hyperlink" Target="https://www.tiktok.com/@jack_biggs/video/7346280810351267105?is_from_webapp=1&amp;sender_device=pc&amp;web_id=7529868947924829714" TargetMode="External"/><Relationship Id="rId955" Type="http://schemas.openxmlformats.org/officeDocument/2006/relationships/hyperlink" Target="https://www.tiktok.com/@meechandmeno/video/7454349452443290926?is_from_webapp=1&amp;sender_device=pc&amp;web_id=7529868947924829714" TargetMode="External"/><Relationship Id="rId59" Type="http://schemas.openxmlformats.org/officeDocument/2006/relationships/hyperlink" Target="https://www.tiktok.com/@gelamac_/video/7505661542025743621?is_from_webapp=1&amp;sender_device=pc&amp;web_id=7529868947924829714" TargetMode="External"/><Relationship Id="rId58" Type="http://schemas.openxmlformats.org/officeDocument/2006/relationships/hyperlink" Target="https://www.tiktok.com/@simplyivee/video/7119152830182690091?is_from_webapp=1&amp;sender_device=pc&amp;web_id=7529868947924829714" TargetMode="External"/><Relationship Id="rId950" Type="http://schemas.openxmlformats.org/officeDocument/2006/relationships/hyperlink" Target="https://www.tiktok.com/@chanice.75/video/7511374246594055446?is_from_webapp=1&amp;sender_device=pc&amp;web_id=7529868947924829714" TargetMode="External"/><Relationship Id="rId590" Type="http://schemas.openxmlformats.org/officeDocument/2006/relationships/hyperlink" Target="https://www.tiktok.com/@gioasjiyoww/video/7511785253237787912?is_from_webapp=1&amp;sender_device=pc&amp;web_id=7529868947924829714" TargetMode="External"/><Relationship Id="rId107" Type="http://schemas.openxmlformats.org/officeDocument/2006/relationships/hyperlink" Target="https://www.tiktok.com/@daisiesfolife/video/7531263426715258126?is_from_webapp=1&amp;sender_device=pc&amp;web_id=7529868947924829714" TargetMode="External"/><Relationship Id="rId349" Type="http://schemas.openxmlformats.org/officeDocument/2006/relationships/hyperlink" Target="https://vt.tiktok.com/ZSAvCAQKe/" TargetMode="External"/><Relationship Id="rId106" Type="http://schemas.openxmlformats.org/officeDocument/2006/relationships/hyperlink" Target="https://www.tiktok.com/@klaileaj/video/7470933959812189462?is_from_webapp=1&amp;sender_device=pc&amp;web_id=7529868947924829714" TargetMode="External"/><Relationship Id="rId348" Type="http://schemas.openxmlformats.org/officeDocument/2006/relationships/hyperlink" Target="https://vt.tiktok.com/ZSDAmhhjG/" TargetMode="External"/><Relationship Id="rId105" Type="http://schemas.openxmlformats.org/officeDocument/2006/relationships/hyperlink" Target="https://vt.tiktok.com/ZSAVCUQgR/" TargetMode="External"/><Relationship Id="rId347" Type="http://schemas.openxmlformats.org/officeDocument/2006/relationships/hyperlink" Target="https://www.tiktok.com/@daileenjovet5/video/7459201329077030175?is_from_webapp=1&amp;sender_device=pc&amp;web_id=7529868947924829714" TargetMode="External"/><Relationship Id="rId589" Type="http://schemas.openxmlformats.org/officeDocument/2006/relationships/hyperlink" Target="https://www.tiktok.com/@alychiatoo/video/7543851865365089554?is_from_webapp=1&amp;sender_device=pc&amp;web_id=7529868947924829714" TargetMode="External"/><Relationship Id="rId104" Type="http://schemas.openxmlformats.org/officeDocument/2006/relationships/hyperlink" Target="https://vt.tiktok.com/ZSAVxcYhJ/" TargetMode="External"/><Relationship Id="rId346" Type="http://schemas.openxmlformats.org/officeDocument/2006/relationships/hyperlink" Target="https://www.tiktok.com/@sue.rose/video/6880244813120195845?is_from_webapp=1&amp;sender_device=pc&amp;web_id=7529868947924829714" TargetMode="External"/><Relationship Id="rId588" Type="http://schemas.openxmlformats.org/officeDocument/2006/relationships/hyperlink" Target="https://www.tiktok.com/@megtruck/video/7467430140843248938?is_from_webapp=1&amp;sender_device=pc&amp;web_id=7529868947924829714" TargetMode="External"/><Relationship Id="rId109" Type="http://schemas.openxmlformats.org/officeDocument/2006/relationships/hyperlink" Target="https://www.tiktok.com/@weirdsortanot/video/7480305481173716270?is_from_webapp=1&amp;sender_device=pc&amp;web_id=7529858502199395858" TargetMode="External"/><Relationship Id="rId1170" Type="http://schemas.openxmlformats.org/officeDocument/2006/relationships/hyperlink" Target="https://www.tiktok.com/@only.llyss/video/7241565246220012806?is_from_webapp=1&amp;sender_device=pc&amp;web_id=7529868947924829714" TargetMode="External"/><Relationship Id="rId108" Type="http://schemas.openxmlformats.org/officeDocument/2006/relationships/hyperlink" Target="https://vt.tiktok.com/ZSAVWr7Sv/" TargetMode="External"/><Relationship Id="rId1171" Type="http://schemas.openxmlformats.org/officeDocument/2006/relationships/hyperlink" Target="https://www.tiktok.com/@ellaniebres/video/7454217285117562119?is_from_webapp=1&amp;sender_device=pc&amp;web_id=7529868947924829714" TargetMode="External"/><Relationship Id="rId341" Type="http://schemas.openxmlformats.org/officeDocument/2006/relationships/hyperlink" Target="https://vt.tiktok.com/ZSAvpwJx2/" TargetMode="External"/><Relationship Id="rId583" Type="http://schemas.openxmlformats.org/officeDocument/2006/relationships/hyperlink" Target="https://www.tiktok.com/@famousblonde/video/6855800860400684293?is_from_webapp=1&amp;sender_device=pc&amp;web_id=7529868947924829714" TargetMode="External"/><Relationship Id="rId1172" Type="http://schemas.openxmlformats.org/officeDocument/2006/relationships/hyperlink" Target="https://www.tiktok.com/@darestlessfeet/video/7206923171172322561?is_from_webapp=1&amp;sender_device=pc&amp;web_id=7529868947924829714" TargetMode="External"/><Relationship Id="rId340" Type="http://schemas.openxmlformats.org/officeDocument/2006/relationships/hyperlink" Target="https://vt.tiktok.com/ZSAojX4Ps/" TargetMode="External"/><Relationship Id="rId582" Type="http://schemas.openxmlformats.org/officeDocument/2006/relationships/hyperlink" Target="https://www.tiktok.com/@charlieemilybutler/video/7520580490169044242?is_from_webapp=1&amp;sender_device=pc&amp;web_id=7529868947924829714" TargetMode="External"/><Relationship Id="rId1173" Type="http://schemas.openxmlformats.org/officeDocument/2006/relationships/hyperlink" Target="https://www.tiktok.com/@gracey_0589/video/7413329850858999058?is_from_webapp=1&amp;sender_device=pc&amp;web_id=7529868947924829714" TargetMode="External"/><Relationship Id="rId581" Type="http://schemas.openxmlformats.org/officeDocument/2006/relationships/hyperlink" Target="https://www.tiktok.com/@nicole.finianos/video/7514645395138563336?is_from_webapp=1&amp;sender_device=pc&amp;web_id=7529868947924829714" TargetMode="External"/><Relationship Id="rId1174" Type="http://schemas.openxmlformats.org/officeDocument/2006/relationships/hyperlink" Target="https://www.tiktok.com/@thisisemzeee/video/7177403530649603355?is_from_webapp=1&amp;sender_device=pc&amp;web_id=7529868947924829714" TargetMode="External"/><Relationship Id="rId580" Type="http://schemas.openxmlformats.org/officeDocument/2006/relationships/hyperlink" Target="https://www.tiktok.com/@miss_sampaguita/video/7545092860807220488?is_from_webapp=1&amp;sender_device=pc&amp;web_id=7529868947924829714" TargetMode="External"/><Relationship Id="rId1175" Type="http://schemas.openxmlformats.org/officeDocument/2006/relationships/hyperlink" Target="https://www.tiktok.com/@fayretaleee/video/7535049588420529416?is_from_webapp=1&amp;sender_device=pc&amp;web_id=7529868947924829714" TargetMode="External"/><Relationship Id="rId103" Type="http://schemas.openxmlformats.org/officeDocument/2006/relationships/hyperlink" Target="https://www.tiktok.com/@caringtonarms_/video/7540359115848125718?is_from_webapp=1&amp;sender_device=pc&amp;web_id=7529858502199395858" TargetMode="External"/><Relationship Id="rId345" Type="http://schemas.openxmlformats.org/officeDocument/2006/relationships/hyperlink" Target="https://www.tiktok.com/@mbsangels/video/7537753796995190038?is_from_webapp=1&amp;sender_device=pc&amp;web_id=7529858502199395858" TargetMode="External"/><Relationship Id="rId587" Type="http://schemas.openxmlformats.org/officeDocument/2006/relationships/hyperlink" Target="https://www.tiktok.com/@taqueriavallarta1/video/7547813619958811918?is_from_webapp=1&amp;sender_device=pc&amp;web_id=7529868947924829714" TargetMode="External"/><Relationship Id="rId1176" Type="http://schemas.openxmlformats.org/officeDocument/2006/relationships/hyperlink" Target="https://www.tiktok.com/@itsmelelaaaa/video/7452863883804544263?is_from_webapp=1&amp;sender_device=pc&amp;web_id=7529868947924829714" TargetMode="External"/><Relationship Id="rId102" Type="http://schemas.openxmlformats.org/officeDocument/2006/relationships/hyperlink" Target="https://vt.tiktok.com/ZSAVsHPde/" TargetMode="External"/><Relationship Id="rId344" Type="http://schemas.openxmlformats.org/officeDocument/2006/relationships/hyperlink" Target="https://www.tiktok.com/@hannahong22/video/7517118935481797906?is_from_webapp=1&amp;sender_device=pc&amp;web_id=7529868947924829714" TargetMode="External"/><Relationship Id="rId586" Type="http://schemas.openxmlformats.org/officeDocument/2006/relationships/hyperlink" Target="https://vt.tiktok.com/ZSDAfb1Vq/" TargetMode="External"/><Relationship Id="rId1177" Type="http://schemas.openxmlformats.org/officeDocument/2006/relationships/hyperlink" Target="https://www.tiktok.com/@cecexbrandon/video/7275143260958592302?is_from_webapp=1&amp;sender_device=pc&amp;web_id=7529868947924829714" TargetMode="External"/><Relationship Id="rId101" Type="http://schemas.openxmlformats.org/officeDocument/2006/relationships/hyperlink" Target="https://vt.tiktok.com/ZSAV7Dmvn/" TargetMode="External"/><Relationship Id="rId343" Type="http://schemas.openxmlformats.org/officeDocument/2006/relationships/hyperlink" Target="https://www.tiktok.com/@unica.hijaa/video/7541258684232420628?is_from_webapp=1&amp;sender_device=pc&amp;web_id=7529868947924829714" TargetMode="External"/><Relationship Id="rId585" Type="http://schemas.openxmlformats.org/officeDocument/2006/relationships/hyperlink" Target="https://vt.tiktok.com/ZSDUXGkr7/" TargetMode="External"/><Relationship Id="rId1178" Type="http://schemas.openxmlformats.org/officeDocument/2006/relationships/hyperlink" Target="https://www.tiktok.com/@yourshop011/video/7529472796347436306?is_from_webapp=1&amp;sender_device=pc&amp;web_id=7529868947924829714" TargetMode="External"/><Relationship Id="rId100" Type="http://schemas.openxmlformats.org/officeDocument/2006/relationships/hyperlink" Target="https://vt.tiktok.com/ZSAVXKax1/" TargetMode="External"/><Relationship Id="rId342" Type="http://schemas.openxmlformats.org/officeDocument/2006/relationships/hyperlink" Target="https://www.tiktok.com/@violet_autumn_/video/7466107890554719534?is_from_webapp=1&amp;sender_device=pc&amp;web_id=7529868947924829714" TargetMode="External"/><Relationship Id="rId584" Type="http://schemas.openxmlformats.org/officeDocument/2006/relationships/hyperlink" Target="https://www.tiktok.com/@kisforkya/video/7496548112152939798?is_from_webapp=1&amp;sender_device=pc&amp;web_id=7529868947924829714" TargetMode="External"/><Relationship Id="rId1179" Type="http://schemas.openxmlformats.org/officeDocument/2006/relationships/hyperlink" Target="https://www.tiktok.com/@nebreelliah/video/7533971259277806856?is_from_webapp=1&amp;sender_device=pc&amp;web_id=7529868947924829714" TargetMode="External"/><Relationship Id="rId1169" Type="http://schemas.openxmlformats.org/officeDocument/2006/relationships/hyperlink" Target="https://www.tiktok.com/@wentao143/video/7313600668777057542?is_from_webapp=1&amp;sender_device=pc&amp;web_id=7529868947924829714" TargetMode="External"/><Relationship Id="rId338" Type="http://schemas.openxmlformats.org/officeDocument/2006/relationships/hyperlink" Target="https://vt.tiktok.com/ZSDRgvBTJ/" TargetMode="External"/><Relationship Id="rId337" Type="http://schemas.openxmlformats.org/officeDocument/2006/relationships/hyperlink" Target="https://vt.tiktok.com/ZSDRsLgDh/" TargetMode="External"/><Relationship Id="rId579" Type="http://schemas.openxmlformats.org/officeDocument/2006/relationships/hyperlink" Target="https://www.tiktok.com/@skindaddie/video/7476592776478543147?is_from_webapp=1&amp;sender_device=pc&amp;web_id=7529868947924829714" TargetMode="External"/><Relationship Id="rId336" Type="http://schemas.openxmlformats.org/officeDocument/2006/relationships/hyperlink" Target="https://vt.tiktok.com/ZSAvCFm42/" TargetMode="External"/><Relationship Id="rId578" Type="http://schemas.openxmlformats.org/officeDocument/2006/relationships/hyperlink" Target="https://www.tiktok.com/@the.new.wellington/video/7542990206480239894?is_from_webapp=1&amp;sender_device=pc&amp;web_id=7529868947924829714" TargetMode="External"/><Relationship Id="rId335" Type="http://schemas.openxmlformats.org/officeDocument/2006/relationships/hyperlink" Target="https://vt.tiktok.com/ZSDAm8akn/" TargetMode="External"/><Relationship Id="rId577" Type="http://schemas.openxmlformats.org/officeDocument/2006/relationships/hyperlink" Target="https://vt.tiktok.com/ZSDAfbLMP/" TargetMode="External"/><Relationship Id="rId339" Type="http://schemas.openxmlformats.org/officeDocument/2006/relationships/hyperlink" Target="https://www.tiktok.com/@cplrayscoffee/video/7541907163074022669?is_from_webapp=1&amp;sender_device=pc&amp;web_id=7529868947924829714" TargetMode="External"/><Relationship Id="rId1160" Type="http://schemas.openxmlformats.org/officeDocument/2006/relationships/hyperlink" Target="https://www.tiktok.com/@cannamille_/video/7456769870508707079?is_from_webapp=1&amp;sender_device=pc&amp;web_id=7529868947924829714" TargetMode="External"/><Relationship Id="rId330" Type="http://schemas.openxmlformats.org/officeDocument/2006/relationships/hyperlink" Target="https://www.tiktok.com/@desyaaaaaaaaaang/video/7533657633388137735?lang=en" TargetMode="External"/><Relationship Id="rId572" Type="http://schemas.openxmlformats.org/officeDocument/2006/relationships/hyperlink" Target="https://www.tiktok.com/@clinton25889/video/7508529258772434183?is_from_webapp=1&amp;sender_device=pc&amp;web_id=7529868947924829714" TargetMode="External"/><Relationship Id="rId1161" Type="http://schemas.openxmlformats.org/officeDocument/2006/relationships/hyperlink" Target="https://www.tiktok.com/@theantoniobro/video/7194860125721578778?is_from_webapp=1&amp;sender_device=pc&amp;web_id=7529868947924829714" TargetMode="External"/><Relationship Id="rId571" Type="http://schemas.openxmlformats.org/officeDocument/2006/relationships/hyperlink" Target="https://www.tiktok.com/@chad242/video/7539828353243663634?is_from_webapp=1&amp;sender_device=pc&amp;web_id=7529868947924829714" TargetMode="External"/><Relationship Id="rId1162" Type="http://schemas.openxmlformats.org/officeDocument/2006/relationships/hyperlink" Target="https://www.tiktok.com/@gemr_rse/video/7458301157002300680?is_from_webapp=1&amp;sender_device=pc&amp;web_id=7529868947924829714" TargetMode="External"/><Relationship Id="rId570" Type="http://schemas.openxmlformats.org/officeDocument/2006/relationships/hyperlink" Target="https://www.tiktok.com/@pooja.kisoensingh/video/7513258145376914693?is_from_webapp=1&amp;sender_device=pc&amp;web_id=7529868947924829714" TargetMode="External"/><Relationship Id="rId1163" Type="http://schemas.openxmlformats.org/officeDocument/2006/relationships/hyperlink" Target="https://www.tiktok.com/@arakimberly/video/7183571775609998618?is_from_webapp=1&amp;sender_device=pc&amp;web_id=7529868947924829714" TargetMode="External"/><Relationship Id="rId1164" Type="http://schemas.openxmlformats.org/officeDocument/2006/relationships/hyperlink" Target="https://www.tiktok.com/@jshenille/video/6913159019452484865?is_from_webapp=1&amp;sender_device=pc&amp;web_id=7529868947924829714" TargetMode="External"/><Relationship Id="rId334" Type="http://schemas.openxmlformats.org/officeDocument/2006/relationships/hyperlink" Target="https://www.tiktok.com/@_claudiahamilton/video/7164887675156139269?is_from_webapp=1&amp;sender_device=pc&amp;web_id=7529868947924829714" TargetMode="External"/><Relationship Id="rId576" Type="http://schemas.openxmlformats.org/officeDocument/2006/relationships/hyperlink" Target="https://vt.tiktok.com/ZSDAWMQnK/" TargetMode="External"/><Relationship Id="rId1165" Type="http://schemas.openxmlformats.org/officeDocument/2006/relationships/hyperlink" Target="https://www.tiktok.com/@judytakeuchi/video/7064794593379880194?is_from_webapp=1&amp;sender_device=pc&amp;web_id=7529868947924829714" TargetMode="External"/><Relationship Id="rId333" Type="http://schemas.openxmlformats.org/officeDocument/2006/relationships/hyperlink" Target="https://www.tiktok.com/@alyssarafael/video/6879245557534067974?is_from_webapp=1&amp;sender_device=pc&amp;web_id=7529868947924829714" TargetMode="External"/><Relationship Id="rId575" Type="http://schemas.openxmlformats.org/officeDocument/2006/relationships/hyperlink" Target="https://www.tiktok.com/@user080912060111/video/7531096665705417997?is_from_webapp=1&amp;sender_device=pc&amp;web_id=7529868947924829714" TargetMode="External"/><Relationship Id="rId1166" Type="http://schemas.openxmlformats.org/officeDocument/2006/relationships/hyperlink" Target="https://www.tiktok.com/@kimsangalang_/video/7168836641769966849?is_from_webapp=1&amp;sender_device=pc&amp;web_id=7529868947924829714" TargetMode="External"/><Relationship Id="rId332" Type="http://schemas.openxmlformats.org/officeDocument/2006/relationships/hyperlink" Target="https://www.tiktok.com/@paulinebataller/video/7474194344744865045" TargetMode="External"/><Relationship Id="rId574" Type="http://schemas.openxmlformats.org/officeDocument/2006/relationships/hyperlink" Target="https://www.tiktok.com/@neeley_twins/video/6878682036027051269?is_from_webapp=1&amp;sender_device=pc&amp;web_id=7529868947924829714" TargetMode="External"/><Relationship Id="rId1167" Type="http://schemas.openxmlformats.org/officeDocument/2006/relationships/hyperlink" Target="https://www.tiktok.com/@mermaidaira/video/6918381134233505025?is_from_webapp=1&amp;sender_device=pc&amp;web_id=7529868947924829714" TargetMode="External"/><Relationship Id="rId331" Type="http://schemas.openxmlformats.org/officeDocument/2006/relationships/hyperlink" Target="https://www.tiktok.com/@notpariscottrell/video/7506077979529710855?is_from_webapp=1&amp;sender_device=pc&amp;web_id=7529868947924829714" TargetMode="External"/><Relationship Id="rId573" Type="http://schemas.openxmlformats.org/officeDocument/2006/relationships/hyperlink" Target="https://www.tiktok.com/@carolinaaa_w/video/7473430133622328598?is_from_webapp=1&amp;sender_device=pc&amp;web_id=7529868947924829714" TargetMode="External"/><Relationship Id="rId1168" Type="http://schemas.openxmlformats.org/officeDocument/2006/relationships/hyperlink" Target="https://www.tiktok.com/@hanhami21/video/7443382100859899154?is_from_webapp=1&amp;sender_device=pc&amp;web_id=7529868947924829714" TargetMode="External"/><Relationship Id="rId370" Type="http://schemas.openxmlformats.org/officeDocument/2006/relationships/hyperlink" Target="https://www.tiktok.com/@louiseanastasiaa/video/7528654023243631878?is_from_webapp=1&amp;sender_device=pc&amp;web_id=7529868947924829714" TargetMode="External"/><Relationship Id="rId129" Type="http://schemas.openxmlformats.org/officeDocument/2006/relationships/hyperlink" Target="https://www.tiktok.com/@zimo.bakery.and.c/video/7541134698056011021?is_from_webapp=1&amp;sender_device=pc&amp;web_id=7529858502199395858" TargetMode="External"/><Relationship Id="rId128" Type="http://schemas.openxmlformats.org/officeDocument/2006/relationships/hyperlink" Target="https://vt.tiktok.com/ZSAVsng9V/" TargetMode="External"/><Relationship Id="rId127" Type="http://schemas.openxmlformats.org/officeDocument/2006/relationships/hyperlink" Target="https://vt.tiktok.com/ZSAV7Sn6F/" TargetMode="External"/><Relationship Id="rId369" Type="http://schemas.openxmlformats.org/officeDocument/2006/relationships/hyperlink" Target="https://www.tiktok.com/@fabulatehq/video/7480402418694491410?is_from_webapp=1&amp;sender_device=pc&amp;web_id=7529868947924829714" TargetMode="External"/><Relationship Id="rId126" Type="http://schemas.openxmlformats.org/officeDocument/2006/relationships/hyperlink" Target="https://vt.tiktok.com/ZSAVXQn7s/" TargetMode="External"/><Relationship Id="rId368" Type="http://schemas.openxmlformats.org/officeDocument/2006/relationships/hyperlink" Target="https://vt.tiktok.com/ZSAvpWr5x/" TargetMode="External"/><Relationship Id="rId1190" Type="http://schemas.openxmlformats.org/officeDocument/2006/relationships/hyperlink" Target="https://www.tiktok.com/@meequin_/video/7184073055755455787?is_from_webapp=1&amp;sender_device=pc&amp;web_id=7529868947924829714" TargetMode="External"/><Relationship Id="rId1191" Type="http://schemas.openxmlformats.org/officeDocument/2006/relationships/hyperlink" Target="https://www.tiktok.com/@johatnyan/video/7316147272851492102?is_from_webapp=1&amp;sender_device=pc&amp;web_id=7529868947924829714" TargetMode="External"/><Relationship Id="rId1192" Type="http://schemas.openxmlformats.org/officeDocument/2006/relationships/hyperlink" Target="https://www.tiktok.com/@_elibee/video/7446544033146506503?is_from_webapp=1&amp;sender_device=pc&amp;web_id=7529868947924829714" TargetMode="External"/><Relationship Id="rId1193" Type="http://schemas.openxmlformats.org/officeDocument/2006/relationships/hyperlink" Target="https://www.tiktok.com/@gideoncayog/video/7317133754676317446?is_from_webapp=1&amp;sender_device=pc&amp;web_id=7529868947924829714" TargetMode="External"/><Relationship Id="rId121" Type="http://schemas.openxmlformats.org/officeDocument/2006/relationships/hyperlink" Target="https://vt.tiktok.com/ZSAVWjdjD/" TargetMode="External"/><Relationship Id="rId363" Type="http://schemas.openxmlformats.org/officeDocument/2006/relationships/hyperlink" Target="https://vt.tiktok.com/ZSDRsJ2FU/" TargetMode="External"/><Relationship Id="rId1194" Type="http://schemas.openxmlformats.org/officeDocument/2006/relationships/drawing" Target="../drawings/drawing1.xml"/><Relationship Id="rId120" Type="http://schemas.openxmlformats.org/officeDocument/2006/relationships/hyperlink" Target="https://www.tiktok.com/@kiody__/video/7535688484657433873?is_from_webapp=1&amp;sender_device=pc&amp;web_id=7529868947924829714" TargetMode="External"/><Relationship Id="rId362" Type="http://schemas.openxmlformats.org/officeDocument/2006/relationships/hyperlink" Target="https://vt.tiktok.com/ZSAvCU8VN/" TargetMode="External"/><Relationship Id="rId1195" Type="http://schemas.openxmlformats.org/officeDocument/2006/relationships/vmlDrawing" Target="../drawings/vmlDrawing1.vml"/><Relationship Id="rId361" Type="http://schemas.openxmlformats.org/officeDocument/2006/relationships/hyperlink" Target="https://vt.tiktok.com/ZSDAmrRJr/" TargetMode="External"/><Relationship Id="rId360" Type="http://schemas.openxmlformats.org/officeDocument/2006/relationships/hyperlink" Target="https://www.tiktok.com/@alottamayo/video/7480372191985437994?is_from_webapp=1&amp;sender_device=pc&amp;web_id=7529868947924829714" TargetMode="External"/><Relationship Id="rId125" Type="http://schemas.openxmlformats.org/officeDocument/2006/relationships/hyperlink" Target="https://vt.tiktok.com/ZSDAae8Gr/" TargetMode="External"/><Relationship Id="rId367" Type="http://schemas.openxmlformats.org/officeDocument/2006/relationships/hyperlink" Target="https://vt.tiktok.com/ZSAojXwkP/" TargetMode="External"/><Relationship Id="rId124" Type="http://schemas.openxmlformats.org/officeDocument/2006/relationships/hyperlink" Target="https://www.tiktok.com/@yas.francis/video/7474017420135501102?is_from_webapp=1&amp;sender_device=pc&amp;web_id=7529868947924829714" TargetMode="External"/><Relationship Id="rId366" Type="http://schemas.openxmlformats.org/officeDocument/2006/relationships/hyperlink" Target="https://www.tiktok.com/@poppys.sipanddrift/video/7539596163926723854?is_from_webapp=1&amp;sender_device=pc&amp;web_id=7529868947924829714" TargetMode="External"/><Relationship Id="rId123" Type="http://schemas.openxmlformats.org/officeDocument/2006/relationships/hyperlink" Target="https://www.tiktok.com/@kaylarosegibson/video/7498116646087724306?is_from_webapp=1&amp;sender_device=pc&amp;web_id=7529868947924829714" TargetMode="External"/><Relationship Id="rId365" Type="http://schemas.openxmlformats.org/officeDocument/2006/relationships/hyperlink" Target="https://vt.tiktok.com/ZSDRpJXwL/" TargetMode="External"/><Relationship Id="rId122" Type="http://schemas.openxmlformats.org/officeDocument/2006/relationships/hyperlink" Target="https://www.tiktok.com/@andreiiiii3636/video/7519020169025375495?is_from_webapp=1&amp;sender_device=pc&amp;web_id=7529858502199395858" TargetMode="External"/><Relationship Id="rId364" Type="http://schemas.openxmlformats.org/officeDocument/2006/relationships/hyperlink" Target="http://cafemonaco.ph" TargetMode="External"/><Relationship Id="rId95" Type="http://schemas.openxmlformats.org/officeDocument/2006/relationships/hyperlink" Target="https://vt.tiktok.com/ZSAVWrcRD/" TargetMode="External"/><Relationship Id="rId94" Type="http://schemas.openxmlformats.org/officeDocument/2006/relationships/hyperlink" Target="https://www.tiktok.com/@russcojarvina_/video/7532056769934249224?is_from_webapp=1&amp;sender_device=pc&amp;web_id=7529868947924829714" TargetMode="External"/><Relationship Id="rId97" Type="http://schemas.openxmlformats.org/officeDocument/2006/relationships/hyperlink" Target="https://www.tiktok.com/@jrandblessie/video/7471463047949733162?is_from_webapp=1&amp;sender_device=pc&amp;web_id=7529868947924829714" TargetMode="External"/><Relationship Id="rId96" Type="http://schemas.openxmlformats.org/officeDocument/2006/relationships/hyperlink" Target="https://www.tiktok.com/@flywithamyangela/video/7527388566901542166?is_from_webapp=1&amp;sender_device=pc&amp;web_id=7529858502199395858" TargetMode="External"/><Relationship Id="rId99" Type="http://schemas.openxmlformats.org/officeDocument/2006/relationships/hyperlink" Target="https://vt.tiktok.com/ZSDA5aWvP/" TargetMode="External"/><Relationship Id="rId98" Type="http://schemas.openxmlformats.org/officeDocument/2006/relationships/hyperlink" Target="https://www.tiktok.com/@paige.braude/video/7506666091163356462?is_from_webapp=1&amp;sender_device=pc&amp;web_id=7529868947924829714" TargetMode="External"/><Relationship Id="rId91" Type="http://schemas.openxmlformats.org/officeDocument/2006/relationships/hyperlink" Target="https://vt.tiktok.com/ZSAVQNo8E/" TargetMode="External"/><Relationship Id="rId90" Type="http://schemas.openxmlformats.org/officeDocument/2006/relationships/hyperlink" Target="https://www.tiktok.com/@darlinsdinertx/video/7541796609747717406?is_from_webapp=1&amp;sender_device=pc&amp;web_id=7529858502199395858" TargetMode="External"/><Relationship Id="rId93" Type="http://schemas.openxmlformats.org/officeDocument/2006/relationships/hyperlink" Target="https://www.tiktok.com/@nausikamalshi/video/7485068513783106822?is_from_webapp=1&amp;sender_device=pc&amp;web_id=7529868947924829714" TargetMode="External"/><Relationship Id="rId92" Type="http://schemas.openxmlformats.org/officeDocument/2006/relationships/hyperlink" Target="https://vt.tiktok.com/ZSAVCStQf/" TargetMode="External"/><Relationship Id="rId118" Type="http://schemas.openxmlformats.org/officeDocument/2006/relationships/hyperlink" Target="https://vt.tiktok.com/ZSAVCFGDo/" TargetMode="External"/><Relationship Id="rId117" Type="http://schemas.openxmlformats.org/officeDocument/2006/relationships/hyperlink" Target="https://vt.tiktok.com/ZSAVQdPGx/" TargetMode="External"/><Relationship Id="rId359" Type="http://schemas.openxmlformats.org/officeDocument/2006/relationships/hyperlink" Target="https://www.tiktok.com/@kimetherton99/video/6880242982054825222?is_from_webapp=1&amp;sender_device=pc&amp;web_id=7529868947924829714" TargetMode="External"/><Relationship Id="rId116" Type="http://schemas.openxmlformats.org/officeDocument/2006/relationships/hyperlink" Target="https://www.tiktok.com/@strangebrewcoffeein/video/7536267754811313439?is_from_webapp=1&amp;sender_device=pc&amp;web_id=7529858502199395858" TargetMode="External"/><Relationship Id="rId358" Type="http://schemas.openxmlformats.org/officeDocument/2006/relationships/hyperlink" Target="https://www.tiktok.com/@typo_shop/video/7515300621927353617?is_from_webapp=1&amp;sender_device=pc&amp;web_id=7529868947924829714" TargetMode="External"/><Relationship Id="rId115" Type="http://schemas.openxmlformats.org/officeDocument/2006/relationships/hyperlink" Target="https://vt.tiktok.com/ZSAVsCtao/" TargetMode="External"/><Relationship Id="rId357" Type="http://schemas.openxmlformats.org/officeDocument/2006/relationships/hyperlink" Target="https://www.tiktok.com/@mawieri/video/7510178099716427026?is_from_webapp=1&amp;sender_device=pc&amp;web_id=7529868947924829714" TargetMode="External"/><Relationship Id="rId599" Type="http://schemas.openxmlformats.org/officeDocument/2006/relationships/hyperlink" Target="https://www.tiktok.com/@madisonloweee/video/7508839090540907822?is_from_webapp=1&amp;sender_device=pc&amp;web_id=7529868947924829714" TargetMode="External"/><Relationship Id="rId1180" Type="http://schemas.openxmlformats.org/officeDocument/2006/relationships/hyperlink" Target="https://www.tiktok.com/@kelvinjohn.08/video/7527686400368741639?is_from_webapp=1&amp;sender_device=pc&amp;web_id=7529868947924829714" TargetMode="External"/><Relationship Id="rId1181" Type="http://schemas.openxmlformats.org/officeDocument/2006/relationships/hyperlink" Target="https://www.tiktok.com/@ninipahnini/video/6909633763446230278?is_from_webapp=1&amp;sender_device=pc&amp;web_id=7529868947924829714" TargetMode="External"/><Relationship Id="rId119" Type="http://schemas.openxmlformats.org/officeDocument/2006/relationships/hyperlink" Target="https://www.tiktok.com/@chimamalko/video/7467746763433217326?is_from_webapp=1&amp;sender_device=pc&amp;web_id=7529868947924829714" TargetMode="External"/><Relationship Id="rId1182" Type="http://schemas.openxmlformats.org/officeDocument/2006/relationships/hyperlink" Target="https://www.tiktok.com/@wtf_reii/video/7198486369377815835?is_from_webapp=1&amp;sender_device=pc&amp;web_id=7529868947924829714" TargetMode="External"/><Relationship Id="rId110" Type="http://schemas.openxmlformats.org/officeDocument/2006/relationships/hyperlink" Target="https://www.tiktok.com/@_addirobertson_/video/7471383932672511278?is_from_webapp=1&amp;sender_device=pc&amp;web_id=7529868947924829714" TargetMode="External"/><Relationship Id="rId352" Type="http://schemas.openxmlformats.org/officeDocument/2006/relationships/hyperlink" Target="https://www.tiktok.com/@wildberrysmoothieco/video/7546269847013936415?is_from_webapp=1&amp;sender_device=pc&amp;web_id=7529868947924829714" TargetMode="External"/><Relationship Id="rId594" Type="http://schemas.openxmlformats.org/officeDocument/2006/relationships/hyperlink" Target="https://vt.tiktok.com/ZSDymypMt/" TargetMode="External"/><Relationship Id="rId1183" Type="http://schemas.openxmlformats.org/officeDocument/2006/relationships/hyperlink" Target="https://www.tiktok.com/@_rgnntro/video/7548834574529203464?is_from_webapp=1&amp;sender_device=pc&amp;web_id=7529868947924829714" TargetMode="External"/><Relationship Id="rId351" Type="http://schemas.openxmlformats.org/officeDocument/2006/relationships/hyperlink" Target="https://vt.tiktok.com/ZSDRg4s47/" TargetMode="External"/><Relationship Id="rId593" Type="http://schemas.openxmlformats.org/officeDocument/2006/relationships/hyperlink" Target="https://www.tiktok.com/@user_10.11.10/video/7497824510700178718?is_from_webapp=1&amp;sender_device=pc&amp;web_id=7529868947924829714" TargetMode="External"/><Relationship Id="rId1184" Type="http://schemas.openxmlformats.org/officeDocument/2006/relationships/hyperlink" Target="https://www.tiktok.com/@rmrzaubs_/video/7316526255027817733?is_from_webapp=1&amp;sender_device=pc&amp;web_id=7529868947924829714" TargetMode="External"/><Relationship Id="rId350" Type="http://schemas.openxmlformats.org/officeDocument/2006/relationships/hyperlink" Target="https://vt.tiktok.com/ZSDRsBA8W/" TargetMode="External"/><Relationship Id="rId592" Type="http://schemas.openxmlformats.org/officeDocument/2006/relationships/hyperlink" Target="https://www.tiktok.com/@teacherthingsforthird/video/7118463776726289706?is_from_webapp=1&amp;sender_device=pc&amp;web_id=7529868947924829714" TargetMode="External"/><Relationship Id="rId1185" Type="http://schemas.openxmlformats.org/officeDocument/2006/relationships/hyperlink" Target="https://www.tiktok.com/@emmersonb_/video/7496048129280707847?is_from_webapp=1&amp;sender_device=pc&amp;web_id=7529868947924829714" TargetMode="External"/><Relationship Id="rId591" Type="http://schemas.openxmlformats.org/officeDocument/2006/relationships/hyperlink" Target="https://www.tiktok.com/@addymae177/video/7547843023061798175?is_from_webapp=1&amp;sender_device=pc&amp;web_id=7529868947924829714" TargetMode="External"/><Relationship Id="rId1186" Type="http://schemas.openxmlformats.org/officeDocument/2006/relationships/hyperlink" Target="https://www.tiktok.com/@ken.romero69/video/7528261148248952071?is_from_webapp=1&amp;sender_device=pc&amp;web_id=7529868947924829714" TargetMode="External"/><Relationship Id="rId114" Type="http://schemas.openxmlformats.org/officeDocument/2006/relationships/hyperlink" Target="https://vt.tiktok.com/ZSAV7MmfB/" TargetMode="External"/><Relationship Id="rId356" Type="http://schemas.openxmlformats.org/officeDocument/2006/relationships/hyperlink" Target="https://www.tiktok.com/@thisisafront/video/7540136220626586902?is_from_webapp=1&amp;sender_device=pc&amp;web_id=7529868947924829714" TargetMode="External"/><Relationship Id="rId598" Type="http://schemas.openxmlformats.org/officeDocument/2006/relationships/hyperlink" Target="https://www.tiktok.com/@frankieprimavera/video/7545511627081223431?is_from_webapp=1&amp;sender_device=pc&amp;web_id=7529868947924829714" TargetMode="External"/><Relationship Id="rId1187" Type="http://schemas.openxmlformats.org/officeDocument/2006/relationships/hyperlink" Target="https://www.tiktok.com/@risspenetrante/video/7260714342876744966?is_from_webapp=1&amp;sender_device=pc&amp;web_id=7529868947924829714" TargetMode="External"/><Relationship Id="rId113" Type="http://schemas.openxmlformats.org/officeDocument/2006/relationships/hyperlink" Target="https://vt.tiktok.com/ZSAVXVSTd/" TargetMode="External"/><Relationship Id="rId355" Type="http://schemas.openxmlformats.org/officeDocument/2006/relationships/hyperlink" Target="https://www.tiktok.com/@giagracesmith/video/7469751409668361494?is_from_webapp=1&amp;sender_device=pc&amp;web_id=7529868947924829714" TargetMode="External"/><Relationship Id="rId597" Type="http://schemas.openxmlformats.org/officeDocument/2006/relationships/hyperlink" Target="https://www.tiktok.com/@oh.emmii/video/7474157749669154094?is_from_webapp=1&amp;sender_device=pc&amp;web_id=7529868947924829714" TargetMode="External"/><Relationship Id="rId1188" Type="http://schemas.openxmlformats.org/officeDocument/2006/relationships/hyperlink" Target="https://www.tiktok.com/@asmqty/video/7459059637153713413?is_from_webapp=1&amp;sender_device=pc&amp;web_id=7529868947924829714" TargetMode="External"/><Relationship Id="rId112" Type="http://schemas.openxmlformats.org/officeDocument/2006/relationships/hyperlink" Target="https://vt.tiktok.com/ZSDAaF6f2/" TargetMode="External"/><Relationship Id="rId354" Type="http://schemas.openxmlformats.org/officeDocument/2006/relationships/hyperlink" Target="https://vt.tiktok.com/ZSAvp39Cw/" TargetMode="External"/><Relationship Id="rId596" Type="http://schemas.openxmlformats.org/officeDocument/2006/relationships/hyperlink" Target="https://www.tiktok.com/@willow.fern.brighton/video/7547782019799944479?is_from_webapp=1&amp;sender_device=pc&amp;web_id=7529868947924829714" TargetMode="External"/><Relationship Id="rId1189" Type="http://schemas.openxmlformats.org/officeDocument/2006/relationships/hyperlink" Target="https://www.tiktok.com/@_anethem/video/7522068866323778824?is_from_webapp=1&amp;sender_device=pc&amp;web_id=7529868947924829714" TargetMode="External"/><Relationship Id="rId111" Type="http://schemas.openxmlformats.org/officeDocument/2006/relationships/hyperlink" Target="https://www.tiktok.com/@maligoshik/video/7331439871468375302?is_from_webapp=1&amp;sender_device=pc&amp;web_id=7529868947924829714" TargetMode="External"/><Relationship Id="rId353" Type="http://schemas.openxmlformats.org/officeDocument/2006/relationships/hyperlink" Target="https://vt.tiktok.com/ZSAojPTb2/" TargetMode="External"/><Relationship Id="rId595" Type="http://schemas.openxmlformats.org/officeDocument/2006/relationships/hyperlink" Target="https://vt.tiktok.com/ZSDAfGsC5/" TargetMode="External"/><Relationship Id="rId1136" Type="http://schemas.openxmlformats.org/officeDocument/2006/relationships/hyperlink" Target="https://www.tiktok.com/@joyce_shiela/video/7261222775182871814?is_from_webapp=1&amp;sender_device=pc&amp;web_id=7529868947924829714" TargetMode="External"/><Relationship Id="rId1137" Type="http://schemas.openxmlformats.org/officeDocument/2006/relationships/hyperlink" Target="https://www.tiktok.com/@engr.chrisvillacrusis/video/7319422349521161477?is_from_webapp=1&amp;sender_device=pc&amp;web_id=7529868947924829714" TargetMode="External"/><Relationship Id="rId1138" Type="http://schemas.openxmlformats.org/officeDocument/2006/relationships/hyperlink" Target="https://www.tiktok.com/@joshuablue07/video/7182575057812688154?is_from_webapp=1&amp;sender_device=pc&amp;web_id=7529868947924829714" TargetMode="External"/><Relationship Id="rId1139" Type="http://schemas.openxmlformats.org/officeDocument/2006/relationships/hyperlink" Target="https://www.tiktok.com/@meah.the.mom/video/6996493497750555905?is_from_webapp=1&amp;sender_device=pc&amp;web_id=7529868947924829714" TargetMode="External"/><Relationship Id="rId305" Type="http://schemas.openxmlformats.org/officeDocument/2006/relationships/hyperlink" Target="https://www.tiktok.com/@commonmode/video/7518995607902489863?is_from_webapp=1&amp;sender_device=pc&amp;web_id=7529868947924829714" TargetMode="External"/><Relationship Id="rId547" Type="http://schemas.openxmlformats.org/officeDocument/2006/relationships/hyperlink" Target="https://www.tiktok.com/@dezarey_/video/7535531416260529421?is_from_webapp=1&amp;sender_device=pc&amp;web_id=7529868947924829714" TargetMode="External"/><Relationship Id="rId789" Type="http://schemas.openxmlformats.org/officeDocument/2006/relationships/hyperlink" Target="https://www.tiktok.com/@lisagozlanjewelry/video/7476219568713944366?is_from_webapp=1&amp;sender_device=pc&amp;web_id=7529868947924829714" TargetMode="External"/><Relationship Id="rId304" Type="http://schemas.openxmlformats.org/officeDocument/2006/relationships/hyperlink" Target="https://www.tiktok.com/@dreaniks/video/7531330789850516754?lang=en" TargetMode="External"/><Relationship Id="rId546" Type="http://schemas.openxmlformats.org/officeDocument/2006/relationships/hyperlink" Target="https://www.instagram.com/reel/DHlQiijy-G1/?igsh=bHIzMXU5ODlocXFi" TargetMode="External"/><Relationship Id="rId788" Type="http://schemas.openxmlformats.org/officeDocument/2006/relationships/hyperlink" Target="https://www.tiktok.com/@emilypaigebooks/video/7547501838468222263?is_from_webapp=1&amp;sender_device=pc&amp;web_id=7529868947924829714" TargetMode="External"/><Relationship Id="rId303" Type="http://schemas.openxmlformats.org/officeDocument/2006/relationships/hyperlink" Target="https://www.tiktok.com/@savt.aesthetics/video/7469452316941290783?is_from_webapp=1&amp;sender_device=pc&amp;web_id=7529868947924829714" TargetMode="External"/><Relationship Id="rId545" Type="http://schemas.openxmlformats.org/officeDocument/2006/relationships/hyperlink" Target="https://vt.tiktok.com/ZSDAUkKM1/" TargetMode="External"/><Relationship Id="rId787" Type="http://schemas.openxmlformats.org/officeDocument/2006/relationships/hyperlink" Target="https://www.tiktok.com/@heyaimeenicole/video/7181900318945365291?is_from_webapp=1&amp;sender_device=pc&amp;web_id=7529868947924829714" TargetMode="External"/><Relationship Id="rId302" Type="http://schemas.openxmlformats.org/officeDocument/2006/relationships/hyperlink" Target="https://vt.tiktok.com/ZSAvpuy47/" TargetMode="External"/><Relationship Id="rId544" Type="http://schemas.openxmlformats.org/officeDocument/2006/relationships/hyperlink" Target="https://vt.tiktok.com/ZSDAWDuoD/" TargetMode="External"/><Relationship Id="rId786" Type="http://schemas.openxmlformats.org/officeDocument/2006/relationships/hyperlink" Target="https://www.tiktok.com/@evah3rr/video/7540781369127996703?is_from_webapp=1&amp;sender_device=pc&amp;web_id=7529868947924829714" TargetMode="External"/><Relationship Id="rId309" Type="http://schemas.openxmlformats.org/officeDocument/2006/relationships/hyperlink" Target="https://vt.tiktok.com/ZSDAmehYa/" TargetMode="External"/><Relationship Id="rId308" Type="http://schemas.openxmlformats.org/officeDocument/2006/relationships/hyperlink" Target="https://www.tiktok.com/@.kirsten0/video/7423889587870780704?is_from_webapp=1&amp;sender_device=pc&amp;web_id=7529868947924829714" TargetMode="External"/><Relationship Id="rId307" Type="http://schemas.openxmlformats.org/officeDocument/2006/relationships/hyperlink" Target="https://www.tiktok.com/@themontestwins/video/6903616059081788678?is_from_webapp=1&amp;sender_device=pc&amp;web_id=7529868947924829714" TargetMode="External"/><Relationship Id="rId549" Type="http://schemas.openxmlformats.org/officeDocument/2006/relationships/hyperlink" Target="https://www.tiktok.com/@not_tash_s/video/7475043555296283935?is_from_webapp=1&amp;sender_device=pc&amp;web_id=7529868947924829714" TargetMode="External"/><Relationship Id="rId306" Type="http://schemas.openxmlformats.org/officeDocument/2006/relationships/hyperlink" Target="https://www.tiktok.com/@sramii2/video/7545608318652288270" TargetMode="External"/><Relationship Id="rId548" Type="http://schemas.openxmlformats.org/officeDocument/2006/relationships/hyperlink" Target="https://vt.tiktok.com/ZSDyuyRRc/" TargetMode="External"/><Relationship Id="rId781" Type="http://schemas.openxmlformats.org/officeDocument/2006/relationships/hyperlink" Target="https://www.tiktok.com/@snackje/video/7486481820071120150?is_from_webapp=1&amp;sender_device=pc&amp;web_id=7529868947924829714" TargetMode="External"/><Relationship Id="rId780" Type="http://schemas.openxmlformats.org/officeDocument/2006/relationships/hyperlink" Target="https://www.tiktok.com/@iamcarla.b/video/7468511637406911790?is_from_webapp=1&amp;sender_device=pc&amp;web_id=7529868947924829714" TargetMode="External"/><Relationship Id="rId1130" Type="http://schemas.openxmlformats.org/officeDocument/2006/relationships/hyperlink" Target="https://www.tiktok.com/@megandhina/video/7316107170142096641?is_from_webapp=1&amp;sender_device=pc&amp;web_id=7529868947924829714" TargetMode="External"/><Relationship Id="rId1131" Type="http://schemas.openxmlformats.org/officeDocument/2006/relationships/hyperlink" Target="https://www.tiktok.com/@yoitsmesij/video/7308538339928444166?is_from_webapp=1&amp;sender_device=pc&amp;web_id=7529868947924829714" TargetMode="External"/><Relationship Id="rId301" Type="http://schemas.openxmlformats.org/officeDocument/2006/relationships/hyperlink" Target="https://www.tiktok.com/@ananotana/video/7347499172737666347?is_from_webapp=1&amp;sender_device=pc&amp;web_id=7534997804440471048" TargetMode="External"/><Relationship Id="rId543" Type="http://schemas.openxmlformats.org/officeDocument/2006/relationships/hyperlink" Target="https://www.tiktok.com/@hanim_104/video/7523958234248383762?is_from_webapp=1&amp;sender_device=pc&amp;web_id=7529868947924829714" TargetMode="External"/><Relationship Id="rId785" Type="http://schemas.openxmlformats.org/officeDocument/2006/relationships/hyperlink" Target="https://www.tiktok.com/@oliviakennar/video/7477130119300254978?is_from_webapp=1&amp;sender_device=pc&amp;web_id=7529868947924829714" TargetMode="External"/><Relationship Id="rId1132" Type="http://schemas.openxmlformats.org/officeDocument/2006/relationships/hyperlink" Target="https://www.tiktok.com/@jamesandcasey/video/7450515470748372232?is_from_webapp=1&amp;sender_device=pc&amp;web_id=7529868947924829714" TargetMode="External"/><Relationship Id="rId300" Type="http://schemas.openxmlformats.org/officeDocument/2006/relationships/hyperlink" Target="https://www.tiktok.com/@dae.gee/video/7538842751920590110?is_from_webapp=1&amp;sender_device=pc&amp;web_id=7529868947924829714" TargetMode="External"/><Relationship Id="rId542" Type="http://schemas.openxmlformats.org/officeDocument/2006/relationships/hyperlink" Target="https://www.tiktok.com/@anapaulaholla/video/6859116192091737349?is_from_webapp=1&amp;sender_device=pc&amp;web_id=7529868947924829714" TargetMode="External"/><Relationship Id="rId784" Type="http://schemas.openxmlformats.org/officeDocument/2006/relationships/hyperlink" Target="https://www.tiktok.com/@thisisclouds/video/7239703164193082666?is_from_webapp=1&amp;sender_device=pc&amp;web_id=7529868947924829714" TargetMode="External"/><Relationship Id="rId1133" Type="http://schemas.openxmlformats.org/officeDocument/2006/relationships/hyperlink" Target="https://www.tiktok.com/@itskrizzap/video/7516788871850429714?is_from_webapp=1&amp;sender_device=pc&amp;web_id=7529868947924829714" TargetMode="External"/><Relationship Id="rId541" Type="http://schemas.openxmlformats.org/officeDocument/2006/relationships/hyperlink" Target="https://www.tiktok.com/@courtneyself_/video/7530817897342487839?is_from_webapp=1&amp;sender_device=pc&amp;web_id=7529868947924829714" TargetMode="External"/><Relationship Id="rId783" Type="http://schemas.openxmlformats.org/officeDocument/2006/relationships/hyperlink" Target="https://www.tiktok.com/@kaylaturnerx/video/7086502068172754181?is_from_webapp=1&amp;sender_device=pc&amp;web_id=7529868947924829714" TargetMode="External"/><Relationship Id="rId1134" Type="http://schemas.openxmlformats.org/officeDocument/2006/relationships/hyperlink" Target="https://www.tiktok.com/@simonjosephjavier/video/7324715511902637317?is_from_webapp=1&amp;sender_device=pc&amp;web_id=7529868947924829714" TargetMode="External"/><Relationship Id="rId540" Type="http://schemas.openxmlformats.org/officeDocument/2006/relationships/hyperlink" Target="https://www.tiktok.com/@jordynparkerr8/video/7506488897237503262?is_from_webapp=1&amp;sender_device=pc&amp;web_id=7529868947924829714" TargetMode="External"/><Relationship Id="rId782" Type="http://schemas.openxmlformats.org/officeDocument/2006/relationships/hyperlink" Target="https://www.tiktok.com/@jiatitan/video/7484219246923271430?is_from_webapp=1&amp;sender_device=pc&amp;web_id=7529868947924829714" TargetMode="External"/><Relationship Id="rId1135" Type="http://schemas.openxmlformats.org/officeDocument/2006/relationships/hyperlink" Target="https://www.tiktok.com/@imjoshnava/video/7047759471841479963?is_from_webapp=1&amp;sender_device=pc&amp;web_id=7529868947924829714" TargetMode="External"/><Relationship Id="rId1125" Type="http://schemas.openxmlformats.org/officeDocument/2006/relationships/hyperlink" Target="https://www.tiktok.com/@sham_terrie/video/7184429809429236998?is_from_webapp=1&amp;sender_device=pc&amp;web_id=7529868947924829714" TargetMode="External"/><Relationship Id="rId1126" Type="http://schemas.openxmlformats.org/officeDocument/2006/relationships/hyperlink" Target="https://www.tiktok.com/@dashita.yf/video/7473792424670694678?is_from_webapp=1&amp;sender_device=pc&amp;web_id=7529868947924829714" TargetMode="External"/><Relationship Id="rId1127" Type="http://schemas.openxmlformats.org/officeDocument/2006/relationships/hyperlink" Target="https://www.tiktok.com/@kates.diary/video/7197458958339034374?is_from_webapp=1&amp;sender_device=pc&amp;web_id=7529868947924829714" TargetMode="External"/><Relationship Id="rId1128" Type="http://schemas.openxmlformats.org/officeDocument/2006/relationships/hyperlink" Target="https://www.tiktok.com/@jillian_leigh42/video/7198990818181401902?is_from_webapp=1&amp;sender_device=pc&amp;web_id=7529868947924829714" TargetMode="External"/><Relationship Id="rId1129" Type="http://schemas.openxmlformats.org/officeDocument/2006/relationships/hyperlink" Target="https://www.tiktok.com/@angelmacrg/video/7235269734806064390?is_from_webapp=1&amp;sender_device=pc&amp;web_id=7529868947924829714" TargetMode="External"/><Relationship Id="rId536" Type="http://schemas.openxmlformats.org/officeDocument/2006/relationships/hyperlink" Target="https://www.tiktok.com/@ironhorsebtx/video/7543846880036293918?is_from_webapp=1&amp;sender_device=pc&amp;web_id=7529868947924829714" TargetMode="External"/><Relationship Id="rId778" Type="http://schemas.openxmlformats.org/officeDocument/2006/relationships/hyperlink" Target="https://www.tiktok.com/@niiiiiamh10/video/7504247915561504022?is_from_webapp=1&amp;sender_device=pc&amp;web_id=7529868947924829714" TargetMode="External"/><Relationship Id="rId535" Type="http://schemas.openxmlformats.org/officeDocument/2006/relationships/hyperlink" Target="https://www.instagram.com/reel/DHA6emiomlx/?igsh=b21iYjFoYXJ6aDlh" TargetMode="External"/><Relationship Id="rId777" Type="http://schemas.openxmlformats.org/officeDocument/2006/relationships/hyperlink" Target="https://www.tiktok.com/@sephoracanada/video/7475467439430503735?is_from_webapp=1&amp;sender_device=pc&amp;web_id=7529868947924829714" TargetMode="External"/><Relationship Id="rId534" Type="http://schemas.openxmlformats.org/officeDocument/2006/relationships/hyperlink" Target="https://vt.tiktok.com/ZSDAU6bSr/" TargetMode="External"/><Relationship Id="rId776" Type="http://schemas.openxmlformats.org/officeDocument/2006/relationships/hyperlink" Target="https://www.tiktok.com/@laparasian/video/7385529175542631687?is_from_webapp=1&amp;sender_device=pc&amp;web_id=7529868947924829714" TargetMode="External"/><Relationship Id="rId533" Type="http://schemas.openxmlformats.org/officeDocument/2006/relationships/hyperlink" Target="https://vt.tiktok.com/ZSDAWhdqh/" TargetMode="External"/><Relationship Id="rId775" Type="http://schemas.openxmlformats.org/officeDocument/2006/relationships/hyperlink" Target="https://www.tiktok.com/@janieceandisaiah/video/7294421357868141866?is_from_webapp=1&amp;sender_device=pc&amp;web_id=7529868947924829714" TargetMode="External"/><Relationship Id="rId539" Type="http://schemas.openxmlformats.org/officeDocument/2006/relationships/hyperlink" Target="https://www.tiktok.com/@nikki.mosquito/video/7545300406063156510?is_from_webapp=1&amp;sender_device=pc&amp;web_id=7529868947924829714" TargetMode="External"/><Relationship Id="rId538" Type="http://schemas.openxmlformats.org/officeDocument/2006/relationships/hyperlink" Target="https://www.tiktok.com/@graciegirlhere/video/7467289187792784671?is_from_webapp=1&amp;sender_device=pc&amp;web_id=7529868947924829714" TargetMode="External"/><Relationship Id="rId537" Type="http://schemas.openxmlformats.org/officeDocument/2006/relationships/hyperlink" Target="https://vt.tiktok.com/ZSDymKWn8/" TargetMode="External"/><Relationship Id="rId779" Type="http://schemas.openxmlformats.org/officeDocument/2006/relationships/hyperlink" Target="https://www.tiktok.com/@joeyandelly21/video/6928409512739130629?is_from_webapp=1&amp;sender_device=pc&amp;web_id=7529868947924829714" TargetMode="External"/><Relationship Id="rId770" Type="http://schemas.openxmlformats.org/officeDocument/2006/relationships/hyperlink" Target="https://www.tiktok.com/@clarissaaroman/video/7488241719838772511?is_from_webapp=1&amp;sender_device=pc&amp;web_id=7529868947924829714" TargetMode="External"/><Relationship Id="rId1120" Type="http://schemas.openxmlformats.org/officeDocument/2006/relationships/hyperlink" Target="https://www.tiktok.com/@melinaa.bam/video/7535059288717298966?is_from_webapp=1&amp;sender_device=pc&amp;web_id=7529868947924829714" TargetMode="External"/><Relationship Id="rId532" Type="http://schemas.openxmlformats.org/officeDocument/2006/relationships/hyperlink" Target="https://www.tiktok.com/@zeeweenomnom/video/7530531105972178190?is_from_webapp=1&amp;sender_device=pc&amp;web_id=7529868947924829714" TargetMode="External"/><Relationship Id="rId774" Type="http://schemas.openxmlformats.org/officeDocument/2006/relationships/hyperlink" Target="https://www.tiktok.com/@anaruanooo/video/7502099334352129311?is_from_webapp=1&amp;sender_device=pc&amp;web_id=7529868947924829714" TargetMode="External"/><Relationship Id="rId1121" Type="http://schemas.openxmlformats.org/officeDocument/2006/relationships/hyperlink" Target="https://www.tiktok.com/@laurendalgity/video/6931818579830525190?is_from_webapp=1&amp;sender_device=pc&amp;web_id=7529868947924829714" TargetMode="External"/><Relationship Id="rId531" Type="http://schemas.openxmlformats.org/officeDocument/2006/relationships/hyperlink" Target="https://www.tiktok.com/@ysteb/video/6924829233931980037?is_from_webapp=1&amp;sender_device=pc&amp;web_id=7529868947924829714" TargetMode="External"/><Relationship Id="rId773" Type="http://schemas.openxmlformats.org/officeDocument/2006/relationships/hyperlink" Target="https://www.tiktok.com/@saiebeauty/video/7470274619619085614?is_from_webapp=1&amp;sender_device=pc&amp;web_id=7529868947924829714" TargetMode="External"/><Relationship Id="rId1122" Type="http://schemas.openxmlformats.org/officeDocument/2006/relationships/hyperlink" Target="https://www.tiktok.com/@thatoneb1ondegirll/video/7479268090107235615?is_from_webapp=1&amp;sender_device=pc&amp;web_id=7529868947924829714" TargetMode="External"/><Relationship Id="rId530" Type="http://schemas.openxmlformats.org/officeDocument/2006/relationships/hyperlink" Target="https://www.tiktok.com/@erika_alyana/video/7487988629202095378?is_from_webapp=1&amp;sender_device=pc&amp;web_id=7529868947924829714" TargetMode="External"/><Relationship Id="rId772" Type="http://schemas.openxmlformats.org/officeDocument/2006/relationships/hyperlink" Target="https://www.tiktok.com/@sarbasile/video/7523009071184661791?is_from_webapp=1&amp;sender_device=pc&amp;web_id=7529868947924829714" TargetMode="External"/><Relationship Id="rId1123" Type="http://schemas.openxmlformats.org/officeDocument/2006/relationships/hyperlink" Target="https://www.tiktok.com/@bradandcourts/video/7020006445810765062?is_from_webapp=1&amp;sender_device=pc&amp;web_id=7529868947924829714" TargetMode="External"/><Relationship Id="rId771" Type="http://schemas.openxmlformats.org/officeDocument/2006/relationships/hyperlink" Target="https://www.tiktok.com/@misschloeex/video/7139213151911824645?is_from_webapp=1&amp;sender_device=pc&amp;web_id=7529868947924829714" TargetMode="External"/><Relationship Id="rId1124" Type="http://schemas.openxmlformats.org/officeDocument/2006/relationships/hyperlink" Target="https://www.tiktok.com/@sabrinezarhdani/video/7496983807300504837?is_from_webapp=1&amp;sender_device=pc&amp;web_id=7529868947924829714" TargetMode="External"/><Relationship Id="rId1158" Type="http://schemas.openxmlformats.org/officeDocument/2006/relationships/hyperlink" Target="https://www.tiktok.com/@hannah.carlos/video/7185559348955893018?is_from_webapp=1&amp;sender_device=pc&amp;web_id=7529868947924829714" TargetMode="External"/><Relationship Id="rId1159" Type="http://schemas.openxmlformats.org/officeDocument/2006/relationships/hyperlink" Target="https://www.tiktok.com/@chrizanneeeee/video/7146210205062171931?is_from_webapp=1&amp;sender_device=pc&amp;web_id=7529868947924829714" TargetMode="External"/><Relationship Id="rId327" Type="http://schemas.openxmlformats.org/officeDocument/2006/relationships/hyperlink" Target="https://vt.tiktok.com/ZSAojf62h/" TargetMode="External"/><Relationship Id="rId569" Type="http://schemas.openxmlformats.org/officeDocument/2006/relationships/hyperlink" Target="https://vt.tiktok.com/ZSDyq2oBV/" TargetMode="External"/><Relationship Id="rId326" Type="http://schemas.openxmlformats.org/officeDocument/2006/relationships/hyperlink" Target="https://www.tiktok.com/@freshcupplayhouse/video/7548733446726618398?is_from_webapp=1&amp;sender_device=pc&amp;web_id=7529868947924829714" TargetMode="External"/><Relationship Id="rId568" Type="http://schemas.openxmlformats.org/officeDocument/2006/relationships/hyperlink" Target="https://www.tiktok.com/@antlerscoffeehouse/video/7545176397803687190?is_from_webapp=1&amp;sender_device=pc&amp;web_id=7529868947924829714" TargetMode="External"/><Relationship Id="rId325" Type="http://schemas.openxmlformats.org/officeDocument/2006/relationships/hyperlink" Target="https://vt.tiktok.com/ZSDRgjjuA/" TargetMode="External"/><Relationship Id="rId567" Type="http://schemas.openxmlformats.org/officeDocument/2006/relationships/hyperlink" Target="https://vt.tiktok.com/ZSDAP1NHG/" TargetMode="External"/><Relationship Id="rId324" Type="http://schemas.openxmlformats.org/officeDocument/2006/relationships/hyperlink" Target="https://vt.tiktok.com/ZSDRsUcKR/" TargetMode="External"/><Relationship Id="rId566" Type="http://schemas.openxmlformats.org/officeDocument/2006/relationships/hyperlink" Target="https://vt.tiktok.com/ZSDSsQUrj/" TargetMode="External"/><Relationship Id="rId329" Type="http://schemas.openxmlformats.org/officeDocument/2006/relationships/hyperlink" Target="https://www.tiktok.com/@heidilereng/video/7474242580524403970?is_from_webapp=1&amp;sender_device=pc&amp;web_id=7529868947924829714" TargetMode="External"/><Relationship Id="rId328" Type="http://schemas.openxmlformats.org/officeDocument/2006/relationships/hyperlink" Target="https://vt.tiktok.com/ZSAvpw2a6/" TargetMode="External"/><Relationship Id="rId561" Type="http://schemas.openxmlformats.org/officeDocument/2006/relationships/hyperlink" Target="https://www.tiktok.com/@gwenji12/video/7506959433738554655?is_from_webapp=1&amp;sender_device=pc&amp;web_id=7529868947924829714" TargetMode="External"/><Relationship Id="rId1150" Type="http://schemas.openxmlformats.org/officeDocument/2006/relationships/hyperlink" Target="https://www.tiktok.com/@_jannahd.a/video/7453931027128470801?is_from_webapp=1&amp;sender_device=pc&amp;web_id=7529868947924829714" TargetMode="External"/><Relationship Id="rId560" Type="http://schemas.openxmlformats.org/officeDocument/2006/relationships/hyperlink" Target="https://www.tiktok.com/@sofiamaraguinot_/video/7543925837624593672?is_from_webapp=1&amp;sender_device=pc&amp;web_id=7529868947924829714" TargetMode="External"/><Relationship Id="rId1151" Type="http://schemas.openxmlformats.org/officeDocument/2006/relationships/hyperlink" Target="https://www.tiktok.com/@staceyzaire/video/7527954517728578834?is_from_webapp=1&amp;sender_device=pc&amp;web_id=7529868947924829714" TargetMode="External"/><Relationship Id="rId1152" Type="http://schemas.openxmlformats.org/officeDocument/2006/relationships/hyperlink" Target="https://www.tiktok.com/@aneesahxr/video/7076516889890966789?is_from_webapp=1&amp;sender_device=pc&amp;web_id=7529868947924829714" TargetMode="External"/><Relationship Id="rId1153" Type="http://schemas.openxmlformats.org/officeDocument/2006/relationships/hyperlink" Target="https://www.tiktok.com/@tnmteo/video/7179206160686402843?is_from_webapp=1&amp;sender_device=pc&amp;web_id=7529868947924829714" TargetMode="External"/><Relationship Id="rId323" Type="http://schemas.openxmlformats.org/officeDocument/2006/relationships/hyperlink" Target="https://vt.tiktok.com/ZSAvQK6Qd/" TargetMode="External"/><Relationship Id="rId565" Type="http://schemas.openxmlformats.org/officeDocument/2006/relationships/hyperlink" Target="https://vt.tiktok.com/ZSDAW54u2/" TargetMode="External"/><Relationship Id="rId1154" Type="http://schemas.openxmlformats.org/officeDocument/2006/relationships/hyperlink" Target="https://www.tiktok.com/@arcelieandjames/video/7336772935186664709?is_from_webapp=1&amp;sender_device=pc&amp;web_id=7529868947924829714" TargetMode="External"/><Relationship Id="rId322" Type="http://schemas.openxmlformats.org/officeDocument/2006/relationships/hyperlink" Target="https://vt.tiktok.com/ZSDAa7uGv/" TargetMode="External"/><Relationship Id="rId564" Type="http://schemas.openxmlformats.org/officeDocument/2006/relationships/hyperlink" Target="https://www.tiktok.com/@.analaurabarbosa/video/7475754648599530783?is_from_webapp=1&amp;sender_device=pc&amp;web_id=7529868947924829714" TargetMode="External"/><Relationship Id="rId1155" Type="http://schemas.openxmlformats.org/officeDocument/2006/relationships/hyperlink" Target="https://www.tiktok.com/@_kurifinds/video/7452644176627371271?is_from_webapp=1&amp;sender_device=pc&amp;web_id=7529868947924829714" TargetMode="External"/><Relationship Id="rId321" Type="http://schemas.openxmlformats.org/officeDocument/2006/relationships/hyperlink" Target="https://www.tiktok.com/@candiceeprr/video/7534789723420822786?is_from_webapp=1&amp;sender_device=pc&amp;web_id=7529868947924829714" TargetMode="External"/><Relationship Id="rId563" Type="http://schemas.openxmlformats.org/officeDocument/2006/relationships/hyperlink" Target="https://www.tiktok.com/@thefitnessmarshall/video/7180781982111124782?is_from_webapp=1&amp;sender_device=pc&amp;web_id=7529868947924829714" TargetMode="External"/><Relationship Id="rId1156" Type="http://schemas.openxmlformats.org/officeDocument/2006/relationships/hyperlink" Target="https://www.tiktok.com/@arciagae/video/7451794538861006111?is_from_webapp=1&amp;sender_device=pc&amp;web_id=7529868947924829714" TargetMode="External"/><Relationship Id="rId320" Type="http://schemas.openxmlformats.org/officeDocument/2006/relationships/hyperlink" Target="https://www.tiktok.com/@fairviewofficial/video/6940055162392268038?is_from_webapp=1&amp;sender_device=pc&amp;web_id=7529868947924829714" TargetMode="External"/><Relationship Id="rId562" Type="http://schemas.openxmlformats.org/officeDocument/2006/relationships/hyperlink" Target="https://www.tiktok.com/@audi.ferrin/video/7522668695500393783?is_from_webapp=1&amp;sender_device=pc&amp;web_id=7529868947924829714" TargetMode="External"/><Relationship Id="rId1157" Type="http://schemas.openxmlformats.org/officeDocument/2006/relationships/hyperlink" Target="https://www.tiktok.com/@marykristelilagan/video/7310932372847889669?is_from_webapp=1&amp;sender_device=pc&amp;web_id=7529868947924829714" TargetMode="External"/><Relationship Id="rId1147" Type="http://schemas.openxmlformats.org/officeDocument/2006/relationships/hyperlink" Target="https://www.tiktok.com/@_ericadrs/video/6961028248952114433?is_from_webapp=1&amp;sender_device=pc&amp;web_id=7529868947924829714" TargetMode="External"/><Relationship Id="rId1148" Type="http://schemas.openxmlformats.org/officeDocument/2006/relationships/hyperlink" Target="https://www.tiktok.com/@belleeee0101/video/7452352826505727239?is_from_webapp=1&amp;sender_device=pc&amp;web_id=7529868947924829714" TargetMode="External"/><Relationship Id="rId1149" Type="http://schemas.openxmlformats.org/officeDocument/2006/relationships/hyperlink" Target="https://www.tiktok.com/@akosi_abi/video/7412957453723241736?is_from_webapp=1&amp;sender_device=pc&amp;web_id=7529868947924829714" TargetMode="External"/><Relationship Id="rId316" Type="http://schemas.openxmlformats.org/officeDocument/2006/relationships/hyperlink" Target="https://www.tiktok.com/@ebtihel_malik/video/7478810853534403863?is_from_webapp=1&amp;sender_device=pc&amp;web_id=7529868947924829714" TargetMode="External"/><Relationship Id="rId558" Type="http://schemas.openxmlformats.org/officeDocument/2006/relationships/hyperlink" Target="https://vt.tiktok.com/ZSDyuHBAN/" TargetMode="External"/><Relationship Id="rId315" Type="http://schemas.openxmlformats.org/officeDocument/2006/relationships/hyperlink" Target="https://vt.tiktok.com/ZSAvpcqgh/" TargetMode="External"/><Relationship Id="rId557" Type="http://schemas.openxmlformats.org/officeDocument/2006/relationships/hyperlink" Target="https://www.tiktok.com/@psalms23coffee/video/7541970329992826142?is_from_webapp=1&amp;sender_device=pc&amp;web_id=7529868947924829714" TargetMode="External"/><Relationship Id="rId799" Type="http://schemas.openxmlformats.org/officeDocument/2006/relationships/hyperlink" Target="https://www.tiktok.com/@bryceandkya/video/7323756119489252650?is_from_webapp=1&amp;sender_device=pc&amp;web_id=7529868947924829714" TargetMode="External"/><Relationship Id="rId314" Type="http://schemas.openxmlformats.org/officeDocument/2006/relationships/hyperlink" Target="https://www.tiktok.com/@luxegen/video/7350398632736116000?is_from_webapp=1&amp;sender_device=pc&amp;web_id=7534997804440471048" TargetMode="External"/><Relationship Id="rId556" Type="http://schemas.openxmlformats.org/officeDocument/2006/relationships/hyperlink" Target="https://vt.tiktok.com/ZSDAfqMkE/" TargetMode="External"/><Relationship Id="rId798" Type="http://schemas.openxmlformats.org/officeDocument/2006/relationships/hyperlink" Target="https://www.tiktok.com/@nguenther/video/7474665368158539038?is_from_webapp=1&amp;sender_device=pc&amp;web_id=7529868947924829714" TargetMode="External"/><Relationship Id="rId313" Type="http://schemas.openxmlformats.org/officeDocument/2006/relationships/hyperlink" Target="https://www.tiktok.com/@brewologyri/video/7545134730618899767?is_from_webapp=1&amp;sender_device=pc&amp;web_id=7529868947924829714" TargetMode="External"/><Relationship Id="rId555" Type="http://schemas.openxmlformats.org/officeDocument/2006/relationships/hyperlink" Target="https://vt.tiktok.com/ZSDAWSBhK/" TargetMode="External"/><Relationship Id="rId797" Type="http://schemas.openxmlformats.org/officeDocument/2006/relationships/hyperlink" Target="https://www.tiktok.com/@luchy_wayne/video/7472082238847503621?is_from_webapp=1&amp;sender_device=pc&amp;web_id=7529868947924829714" TargetMode="External"/><Relationship Id="rId319" Type="http://schemas.openxmlformats.org/officeDocument/2006/relationships/hyperlink" Target="https://www.tiktok.com/@hollyybergyy/video/7540538612929056014" TargetMode="External"/><Relationship Id="rId318" Type="http://schemas.openxmlformats.org/officeDocument/2006/relationships/hyperlink" Target="https://www.tiktok.com/@kytchen_kravings/video/7513158312913915158?is_from_webapp=1&amp;sender_device=pc&amp;web_id=7529868947924829714" TargetMode="External"/><Relationship Id="rId317" Type="http://schemas.openxmlformats.org/officeDocument/2006/relationships/hyperlink" Target="https://www.tiktok.com/@sophiajiaa/video/7534019039190912263?lang=en" TargetMode="External"/><Relationship Id="rId559" Type="http://schemas.openxmlformats.org/officeDocument/2006/relationships/hyperlink" Target="https://www.tiktok.com/@sarah.spams.a.lot/video/7466507433767226666?is_from_webapp=1&amp;sender_device=pc&amp;web_id=7529868947924829714" TargetMode="External"/><Relationship Id="rId550" Type="http://schemas.openxmlformats.org/officeDocument/2006/relationships/hyperlink" Target="https://www.tiktok.com/@_deniseee17/video/7544662440345111815?is_from_webapp=1&amp;sender_device=pc&amp;web_id=7529868947924829714" TargetMode="External"/><Relationship Id="rId792" Type="http://schemas.openxmlformats.org/officeDocument/2006/relationships/hyperlink" Target="https://www.tiktok.com/@duncancarswell/video/7402085498992217374?is_from_webapp=1&amp;sender_device=pc&amp;web_id=7529868947924829714" TargetMode="External"/><Relationship Id="rId791" Type="http://schemas.openxmlformats.org/officeDocument/2006/relationships/hyperlink" Target="https://www.tiktok.com/@daniellelindsaym/video/7206407851969891590?is_from_webapp=1&amp;sender_device=pc&amp;web_id=7529868947924829714" TargetMode="External"/><Relationship Id="rId1140" Type="http://schemas.openxmlformats.org/officeDocument/2006/relationships/hyperlink" Target="https://www.tiktok.com/@robinandkaren10/video/7335358413343411462?is_from_webapp=1&amp;sender_device=pc&amp;web_id=7529868947924829714" TargetMode="External"/><Relationship Id="rId790" Type="http://schemas.openxmlformats.org/officeDocument/2006/relationships/hyperlink" Target="https://www.tiktok.com/@alexandrarothwell/video/7515788626031037718?is_from_webapp=1&amp;sender_device=pc&amp;web_id=7529868947924829714" TargetMode="External"/><Relationship Id="rId1141" Type="http://schemas.openxmlformats.org/officeDocument/2006/relationships/hyperlink" Target="https://www.tiktok.com/@liramarcial/video/7218879386164956422?is_from_webapp=1&amp;sender_device=pc&amp;web_id=7529868947924829714" TargetMode="External"/><Relationship Id="rId1142" Type="http://schemas.openxmlformats.org/officeDocument/2006/relationships/hyperlink" Target="https://www.tiktok.com/@helena.ringer/video/6921430536749632773?is_from_webapp=1&amp;sender_device=pc&amp;web_id=7529868947924829714" TargetMode="External"/><Relationship Id="rId312" Type="http://schemas.openxmlformats.org/officeDocument/2006/relationships/hyperlink" Target="https://vt.tiktok.com/ZSDRgyWya/" TargetMode="External"/><Relationship Id="rId554" Type="http://schemas.openxmlformats.org/officeDocument/2006/relationships/hyperlink" Target="https://www.tiktok.com/@holls.help/video/7497934231805496598?is_from_webapp=1&amp;sender_device=pc&amp;web_id=7529868947924829714" TargetMode="External"/><Relationship Id="rId796" Type="http://schemas.openxmlformats.org/officeDocument/2006/relationships/hyperlink" Target="https://www.tiktok.com/@rumag/video/7184047692006395142?is_from_webapp=1&amp;sender_device=pc&amp;web_id=7529868947924829714" TargetMode="External"/><Relationship Id="rId1143" Type="http://schemas.openxmlformats.org/officeDocument/2006/relationships/hyperlink" Target="https://www.tiktok.com/@tamikataikato/video/6915123198535290113?is_from_webapp=1&amp;sender_device=pc&amp;web_id=7529868947924829714" TargetMode="External"/><Relationship Id="rId311" Type="http://schemas.openxmlformats.org/officeDocument/2006/relationships/hyperlink" Target="https://vt.tiktok.com/ZSDRsFWwM/" TargetMode="External"/><Relationship Id="rId553" Type="http://schemas.openxmlformats.org/officeDocument/2006/relationships/hyperlink" Target="https://www.tiktok.com/@justin_glaze/video/7256606886768708910?is_from_webapp=1&amp;sender_device=pc&amp;web_id=7529868947924829714" TargetMode="External"/><Relationship Id="rId795" Type="http://schemas.openxmlformats.org/officeDocument/2006/relationships/hyperlink" Target="https://www.tiktok.com/@mxkeen17/video/7206724882133044485?is_from_webapp=1&amp;sender_device=pc&amp;web_id=7529868947924829714" TargetMode="External"/><Relationship Id="rId1144" Type="http://schemas.openxmlformats.org/officeDocument/2006/relationships/hyperlink" Target="https://www.tiktok.com/@psychic.jesa/video/7058627363143175451?is_from_webapp=1&amp;sender_device=pc&amp;web_id=7529868947924829714" TargetMode="External"/><Relationship Id="rId310" Type="http://schemas.openxmlformats.org/officeDocument/2006/relationships/hyperlink" Target="https://vt.tiktok.com/ZSAvQ72vM/" TargetMode="External"/><Relationship Id="rId552" Type="http://schemas.openxmlformats.org/officeDocument/2006/relationships/hyperlink" Target="https://www.tiktok.com/@teacher.maria.juana0302/video/7540929623333408030?is_from_webapp=1&amp;sender_device=pc&amp;web_id=7529868947924829714" TargetMode="External"/><Relationship Id="rId794" Type="http://schemas.openxmlformats.org/officeDocument/2006/relationships/hyperlink" Target="https://www.tiktok.com/@makayla_shank_25/video/7513302040077192494?is_from_webapp=1&amp;sender_device=pc&amp;web_id=7529868947924829714" TargetMode="External"/><Relationship Id="rId1145" Type="http://schemas.openxmlformats.org/officeDocument/2006/relationships/hyperlink" Target="https://www.tiktok.com/@mariiaerika/video/7009966775135767834?is_from_webapp=1&amp;sender_device=pc&amp;web_id=7529868947924829714" TargetMode="External"/><Relationship Id="rId551" Type="http://schemas.openxmlformats.org/officeDocument/2006/relationships/hyperlink" Target="https://www.tiktok.com/@veronicaridad_/video/7513532073911553288?is_from_webapp=1&amp;sender_device=pc&amp;web_id=7529868947924829714" TargetMode="External"/><Relationship Id="rId793" Type="http://schemas.openxmlformats.org/officeDocument/2006/relationships/hyperlink" Target="https://www.tiktok.com/@lilsrtl/video/7469913839375551766?is_from_webapp=1&amp;sender_device=pc&amp;web_id=7529868947924829714" TargetMode="External"/><Relationship Id="rId1146" Type="http://schemas.openxmlformats.org/officeDocument/2006/relationships/hyperlink" Target="https://www.tiktok.com/@loraeya/video/7546098544613297415?is_from_webapp=1&amp;sender_device=pc&amp;web_id=7529868947924829714" TargetMode="External"/><Relationship Id="rId297" Type="http://schemas.openxmlformats.org/officeDocument/2006/relationships/hyperlink" Target="https://vt.tiktok.com/ZSAvQJ8Yw/" TargetMode="External"/><Relationship Id="rId296" Type="http://schemas.openxmlformats.org/officeDocument/2006/relationships/hyperlink" Target="https://vt.tiktok.com/ZSDAmdv7S/" TargetMode="External"/><Relationship Id="rId295" Type="http://schemas.openxmlformats.org/officeDocument/2006/relationships/hyperlink" Target="https://www.tiktok.com/@jadielane/video/7503338388653870382?is_from_webapp=1&amp;sender_device=pc&amp;web_id=7529868947924829714" TargetMode="External"/><Relationship Id="rId294" Type="http://schemas.openxmlformats.org/officeDocument/2006/relationships/hyperlink" Target="https://www.tiktok.com/@julia.jo1/video/6872061186486095109?is_from_webapp=1&amp;sender_device=pc&amp;web_id=7529868947924829714" TargetMode="External"/><Relationship Id="rId299" Type="http://schemas.openxmlformats.org/officeDocument/2006/relationships/hyperlink" Target="https://vt.tiktok.com/ZSDRboVNc/" TargetMode="External"/><Relationship Id="rId298" Type="http://schemas.openxmlformats.org/officeDocument/2006/relationships/hyperlink" Target="https://vt.tiktok.com/ZSDRpbrpg/" TargetMode="External"/><Relationship Id="rId271" Type="http://schemas.openxmlformats.org/officeDocument/2006/relationships/hyperlink" Target="https://vt.tiktok.com/ZSAVbe6os/" TargetMode="External"/><Relationship Id="rId270" Type="http://schemas.openxmlformats.org/officeDocument/2006/relationships/hyperlink" Target="https://vt.tiktok.com/ZSDAaP3KN/" TargetMode="External"/><Relationship Id="rId269" Type="http://schemas.openxmlformats.org/officeDocument/2006/relationships/hyperlink" Target="https://www.tiktok.com/@nikki.gott/video/7538926247401868574?is_from_webapp=1&amp;sender_device=pc&amp;web_id=7529868947924829714" TargetMode="External"/><Relationship Id="rId264" Type="http://schemas.openxmlformats.org/officeDocument/2006/relationships/hyperlink" Target="https://www.tiktok.com/@leahgiggle/video/7520771574207712543?is_from_webapp=1&amp;sender_device=pc&amp;web_id=7529868947924829714" TargetMode="External"/><Relationship Id="rId263" Type="http://schemas.openxmlformats.org/officeDocument/2006/relationships/hyperlink" Target="https://vt.tiktok.com/ZSAVVaq7R/" TargetMode="External"/><Relationship Id="rId262" Type="http://schemas.openxmlformats.org/officeDocument/2006/relationships/hyperlink" Target="https://vt.tiktok.com/ZSAVVsfK9/" TargetMode="External"/><Relationship Id="rId261" Type="http://schemas.openxmlformats.org/officeDocument/2006/relationships/hyperlink" Target="https://www.tiktok.com/@cakeboutiquenj/video/7539654471010372919?is_from_webapp=1&amp;sender_device=pc&amp;web_id=7529858502199395858" TargetMode="External"/><Relationship Id="rId268" Type="http://schemas.openxmlformats.org/officeDocument/2006/relationships/hyperlink" Target="https://www.tiktok.com/@brittany.xavier/video/6909256535436692737?is_from_webapp=1&amp;sender_device=pc&amp;web_id=7529868947924829714" TargetMode="External"/><Relationship Id="rId267" Type="http://schemas.openxmlformats.org/officeDocument/2006/relationships/hyperlink" Target="https://www.tiktok.com/@themorrisfambam/video/7507492909160074526?is_from_webapp=1&amp;sender_device=pc&amp;web_id=7529858502199395858" TargetMode="External"/><Relationship Id="rId266" Type="http://schemas.openxmlformats.org/officeDocument/2006/relationships/hyperlink" Target="https://www.tiktok.com/@15hourrss/video/7511927587984248107?is_from_webapp=1&amp;sender_device=pc&amp;web_id=7529858502199395858" TargetMode="External"/><Relationship Id="rId265" Type="http://schemas.openxmlformats.org/officeDocument/2006/relationships/hyperlink" Target="https://www.tiktok.com/@chynnachuaa/video/7536834940202224904?is_from_webapp=1&amp;sender_device=pc&amp;web_id=7529868947924829714" TargetMode="External"/><Relationship Id="rId260" Type="http://schemas.openxmlformats.org/officeDocument/2006/relationships/hyperlink" Target="https://vt.tiktok.com/ZSAq3yXtd/" TargetMode="External"/><Relationship Id="rId259" Type="http://schemas.openxmlformats.org/officeDocument/2006/relationships/hyperlink" Target="https://vt.tiktok.com/ZSAq3qpoj/" TargetMode="External"/><Relationship Id="rId258" Type="http://schemas.openxmlformats.org/officeDocument/2006/relationships/hyperlink" Target="https://vt.tiktok.com/ZSAVbJx7m/" TargetMode="External"/><Relationship Id="rId253" Type="http://schemas.openxmlformats.org/officeDocument/2006/relationships/hyperlink" Target="https://www.tiktok.com/@somebody_you_fw/video/7538996939266755854?is_from_webapp=1&amp;sender_device=pc&amp;web_id=7529858502199395858" TargetMode="External"/><Relationship Id="rId495" Type="http://schemas.openxmlformats.org/officeDocument/2006/relationships/hyperlink" Target="https://www.tiktok.com/@zheeeenia/video/7542106423883205906?is_from_webapp=1&amp;sender_device=pc&amp;web_id=7529868947924829714" TargetMode="External"/><Relationship Id="rId252" Type="http://schemas.openxmlformats.org/officeDocument/2006/relationships/hyperlink" Target="https://www.tiktok.com/@microwavablep0pcorn/video/7528764177473719570?is_from_webapp=1&amp;sender_device=pc&amp;web_id=7529868947924829714" TargetMode="External"/><Relationship Id="rId494" Type="http://schemas.openxmlformats.org/officeDocument/2006/relationships/hyperlink" Target="https://www.tiktok.com/@underdogauthors/video/7468226522692832545?is_from_webapp=1&amp;sender_device=pc&amp;web_id=7529868947924829714" TargetMode="External"/><Relationship Id="rId251" Type="http://schemas.openxmlformats.org/officeDocument/2006/relationships/hyperlink" Target="https://www.tiktok.com/@sksnnbwe/video/7466277657542511915?is_from_webapp=1&amp;sender_device=pc&amp;web_id=7529868947924829714" TargetMode="External"/><Relationship Id="rId493" Type="http://schemas.openxmlformats.org/officeDocument/2006/relationships/hyperlink" Target="https://vt.tiktok.com/ZSDSGF3Pf/" TargetMode="External"/><Relationship Id="rId250" Type="http://schemas.openxmlformats.org/officeDocument/2006/relationships/hyperlink" Target="https://vt.tiktok.com/ZSAVVhMjv/" TargetMode="External"/><Relationship Id="rId492" Type="http://schemas.openxmlformats.org/officeDocument/2006/relationships/hyperlink" Target="https://www.tiktok.com/@meganelisejohnson/video/7536241903361101086?is_from_webapp=1&amp;sender_device=pc&amp;web_id=7529868947924829714" TargetMode="External"/><Relationship Id="rId257" Type="http://schemas.openxmlformats.org/officeDocument/2006/relationships/hyperlink" Target="https://vt.tiktok.com/ZSDAa4K5o/" TargetMode="External"/><Relationship Id="rId499" Type="http://schemas.openxmlformats.org/officeDocument/2006/relationships/hyperlink" Target="https://www.tiktok.com/@miksandbits/video/7441834626353515797?is_from_webapp=1&amp;sender_device=pc&amp;web_id=7529868947924829714" TargetMode="External"/><Relationship Id="rId256" Type="http://schemas.openxmlformats.org/officeDocument/2006/relationships/hyperlink" Target="https://www.tiktok.com/@notconstancezhang93/video/7369633099023519018?is_from_webapp=1&amp;sender_device=pc&amp;web_id=7529868947924829714" TargetMode="External"/><Relationship Id="rId498" Type="http://schemas.openxmlformats.org/officeDocument/2006/relationships/hyperlink" Target="https://www.tiktok.com/@50ragtop/video/6886972355294416130?is_from_webapp=1&amp;sender_device=pc&amp;web_id=7529868947924829714" TargetMode="External"/><Relationship Id="rId255" Type="http://schemas.openxmlformats.org/officeDocument/2006/relationships/hyperlink" Target="https://www.tiktok.com/@_thescottfamily/video/6870273964351016198?is_from_webapp=1&amp;sender_device=pc&amp;web_id=7529868947924829714" TargetMode="External"/><Relationship Id="rId497" Type="http://schemas.openxmlformats.org/officeDocument/2006/relationships/hyperlink" Target="https://www.tiktok.com/@elizabethslife09/video/7486995726426180907?is_from_webapp=1&amp;sender_device=pc&amp;web_id=7529868947924829714" TargetMode="External"/><Relationship Id="rId254" Type="http://schemas.openxmlformats.org/officeDocument/2006/relationships/hyperlink" Target="https://www.tiktok.com/@katie.bri25/video/7536026187391356215?is_from_webapp=1&amp;sender_device=pc&amp;web_id=7529858502199395858" TargetMode="External"/><Relationship Id="rId496" Type="http://schemas.openxmlformats.org/officeDocument/2006/relationships/hyperlink" Target="https://www.tiktok.com/@giocelinesean/video/7536038584839654662?is_from_webapp=1&amp;sender_device=pc&amp;web_id=7529868947924829714" TargetMode="External"/><Relationship Id="rId293" Type="http://schemas.openxmlformats.org/officeDocument/2006/relationships/hyperlink" Target="https://www.tiktok.com/@msdmickey135/video/7510590647372500255?is_from_webapp=1&amp;sender_device=pc&amp;web_id=7529858502199395858" TargetMode="External"/><Relationship Id="rId292" Type="http://schemas.openxmlformats.org/officeDocument/2006/relationships/hyperlink" Target="https://www.tiktok.com/@imeldalyyy/video/7510962544870280504?is_from_webapp=1&amp;sender_device=pc&amp;web_id=7529868947924829714" TargetMode="External"/><Relationship Id="rId291" Type="http://schemas.openxmlformats.org/officeDocument/2006/relationships/hyperlink" Target="https://www.tiktok.com/@_ameeong/video/7532529094261591314?is_from_webapp=1&amp;sender_device=pc&amp;web_id=7529868947924829714" TargetMode="External"/><Relationship Id="rId290" Type="http://schemas.openxmlformats.org/officeDocument/2006/relationships/hyperlink" Target="https://www.tiktok.com/@sara.durante5/video/7521136157501967621?is_from_webapp=1&amp;sender_device=pc&amp;web_id=7529868947924829714" TargetMode="External"/><Relationship Id="rId286" Type="http://schemas.openxmlformats.org/officeDocument/2006/relationships/hyperlink" Target="https://vt.tiktok.com/ZSDRbn7b1/" TargetMode="External"/><Relationship Id="rId285" Type="http://schemas.openxmlformats.org/officeDocument/2006/relationships/hyperlink" Target="https://vt.tiktok.com/ZSDRpgxbs/" TargetMode="External"/><Relationship Id="rId284" Type="http://schemas.openxmlformats.org/officeDocument/2006/relationships/hyperlink" Target="https://www.tiktok.com/@michael.dicostanzo/video/7374955868519157038?is_from_webapp=1&amp;sender_device=pc&amp;web_id=7534997804440471048" TargetMode="External"/><Relationship Id="rId283" Type="http://schemas.openxmlformats.org/officeDocument/2006/relationships/hyperlink" Target="https://vt.tiktok.com/ZSDAaEBCG/" TargetMode="External"/><Relationship Id="rId289" Type="http://schemas.openxmlformats.org/officeDocument/2006/relationships/hyperlink" Target="https://vt.tiktok.com/ZSAvpcC4K/" TargetMode="External"/><Relationship Id="rId288" Type="http://schemas.openxmlformats.org/officeDocument/2006/relationships/hyperlink" Target="https://www.tiktok.com/@mcd_creative/video/7358768689556016401?is_from_webapp=1&amp;sender_device=pc&amp;web_id=7534997804440471048" TargetMode="External"/><Relationship Id="rId287" Type="http://schemas.openxmlformats.org/officeDocument/2006/relationships/hyperlink" Target="https://www.tiktok.com/@brewdliciouscoffee/video/7536292226394066189?is_from_webapp=1&amp;sender_device=pc&amp;web_id=7529868947924829714" TargetMode="External"/><Relationship Id="rId282" Type="http://schemas.openxmlformats.org/officeDocument/2006/relationships/hyperlink" Target="https://www.tiktok.com/@hailzngrace/video/7514516374224489771?is_from_webapp=1&amp;sender_device=pc&amp;web_id=7529868947924829714" TargetMode="External"/><Relationship Id="rId281" Type="http://schemas.openxmlformats.org/officeDocument/2006/relationships/hyperlink" Target="https://www.tiktok.com/@brittany.xavier/video/6902938334113303809?is_from_webapp=1&amp;sender_device=pc&amp;web_id=7529868947924829714" TargetMode="External"/><Relationship Id="rId280" Type="http://schemas.openxmlformats.org/officeDocument/2006/relationships/hyperlink" Target="https://www.tiktok.com/@urmrselastyles/video/7545122823392546055?is_from_webapp=1&amp;sender_device=pc&amp;web_id=7529858502199395858" TargetMode="External"/><Relationship Id="rId275" Type="http://schemas.openxmlformats.org/officeDocument/2006/relationships/hyperlink" Target="https://www.tiktok.com/@taniaturdean/video/7473452610926693654?is_from_webapp=1&amp;sender_device=pc&amp;web_id=7534997804440471048" TargetMode="External"/><Relationship Id="rId274" Type="http://schemas.openxmlformats.org/officeDocument/2006/relationships/hyperlink" Target="https://www.tiktok.com/@cupbop/video/7541560963426716942?is_from_webapp=1&amp;sender_device=pc&amp;web_id=7529868947924829714" TargetMode="External"/><Relationship Id="rId273" Type="http://schemas.openxmlformats.org/officeDocument/2006/relationships/hyperlink" Target="https://vt.tiktok.com/ZSDRb3Mpo/" TargetMode="External"/><Relationship Id="rId272" Type="http://schemas.openxmlformats.org/officeDocument/2006/relationships/hyperlink" Target="https://vt.tiktok.com/ZSAqTuqNX/" TargetMode="External"/><Relationship Id="rId279" Type="http://schemas.openxmlformats.org/officeDocument/2006/relationships/hyperlink" Target="https://www.tiktok.com/@mommy.dans/video/7517917239304015121?is_from_webapp=1&amp;sender_device=pc&amp;web_id=7529868947924829714" TargetMode="External"/><Relationship Id="rId278" Type="http://schemas.openxmlformats.org/officeDocument/2006/relationships/hyperlink" Target="https://www.tiktok.com/@paige_go/video/7533923640908188946?is_from_webapp=1&amp;sender_device=pc&amp;web_id=7529868947924829714" TargetMode="External"/><Relationship Id="rId277" Type="http://schemas.openxmlformats.org/officeDocument/2006/relationships/hyperlink" Target="https://www.tiktok.com/@its.sofii.vb/video/7471775493516283191?is_from_webapp=1&amp;sender_device=pc&amp;web_id=7529868947924829714" TargetMode="External"/><Relationship Id="rId276" Type="http://schemas.openxmlformats.org/officeDocument/2006/relationships/hyperlink" Target="https://vt.tiktok.com/ZSAvpuS1F/" TargetMode="External"/><Relationship Id="rId907" Type="http://schemas.openxmlformats.org/officeDocument/2006/relationships/hyperlink" Target="https://www.tiktok.com/@ray_mo423/video/7092151107442445610?is_from_webapp=1&amp;sender_device=pc&amp;web_id=7529868947924829714" TargetMode="External"/><Relationship Id="rId906" Type="http://schemas.openxmlformats.org/officeDocument/2006/relationships/hyperlink" Target="https://www.tiktok.com/@dakotas.paige/video/7474077515833740590?is_from_webapp=1&amp;sender_device=pc&amp;web_id=7529868947924829714" TargetMode="External"/><Relationship Id="rId905" Type="http://schemas.openxmlformats.org/officeDocument/2006/relationships/hyperlink" Target="https://www.tiktok.com/@vievemuse/video/7473920373990362390?is_from_webapp=1&amp;sender_device=pc&amp;web_id=7529868947924829714" TargetMode="External"/><Relationship Id="rId904" Type="http://schemas.openxmlformats.org/officeDocument/2006/relationships/hyperlink" Target="https://www.tiktok.com/@sammii.moore/video/7478402389863681310?is_from_webapp=1&amp;sender_device=pc&amp;web_id=7529868947924829714" TargetMode="External"/><Relationship Id="rId909" Type="http://schemas.openxmlformats.org/officeDocument/2006/relationships/hyperlink" Target="https://www.tiktok.com/@vinyl.malte/video/7527619628349099266?is_from_webapp=1&amp;sender_device=pc&amp;web_id=7529868947924829714" TargetMode="External"/><Relationship Id="rId908" Type="http://schemas.openxmlformats.org/officeDocument/2006/relationships/hyperlink" Target="https://www.tiktok.com/@gonzalez_jaycee/video/7506537353423424799?is_from_webapp=1&amp;sender_device=pc&amp;web_id=7529868947924829714" TargetMode="External"/><Relationship Id="rId903" Type="http://schemas.openxmlformats.org/officeDocument/2006/relationships/hyperlink" Target="https://www.tiktok.com/@madisonlunde/video/6879627931681918214?is_from_webapp=1&amp;sender_device=pc&amp;web_id=7529868947924829714" TargetMode="External"/><Relationship Id="rId902" Type="http://schemas.openxmlformats.org/officeDocument/2006/relationships/hyperlink" Target="https://www.tiktok.com/@queensarmsoxton/video/7496957779815533846?is_from_webapp=1&amp;sender_device=pc&amp;web_id=7529868947924829714" TargetMode="External"/><Relationship Id="rId901" Type="http://schemas.openxmlformats.org/officeDocument/2006/relationships/hyperlink" Target="https://www.tiktok.com/@revofitness/video/7480458900974734593?is_from_webapp=1&amp;sender_device=pc&amp;web_id=7529868947924829714" TargetMode="External"/><Relationship Id="rId900" Type="http://schemas.openxmlformats.org/officeDocument/2006/relationships/hyperlink" Target="https://www.tiktok.com/@jordann.francis/video/7521394157508726071?is_from_webapp=1&amp;sender_device=pc&amp;web_id=7529868947924829714" TargetMode="External"/><Relationship Id="rId929" Type="http://schemas.openxmlformats.org/officeDocument/2006/relationships/hyperlink" Target="https://www.tiktok.com/@meagan_smith_/video/7473634446202293550?is_from_webapp=1&amp;sender_device=pc&amp;web_id=7529868947924829714" TargetMode="External"/><Relationship Id="rId928" Type="http://schemas.openxmlformats.org/officeDocument/2006/relationships/hyperlink" Target="https://www.tiktok.com/@allieee_lynn/video/7447228877123996970?is_from_webapp=1&amp;sender_device=pc&amp;web_id=7529868947924829714" TargetMode="External"/><Relationship Id="rId927" Type="http://schemas.openxmlformats.org/officeDocument/2006/relationships/hyperlink" Target="https://www.tiktok.com/@julia_and_bobby/video/6870854764813421829?is_from_webapp=1&amp;sender_device=pc&amp;web_id=7529868947924829714" TargetMode="External"/><Relationship Id="rId926" Type="http://schemas.openxmlformats.org/officeDocument/2006/relationships/hyperlink" Target="https://www.tiktok.com/@maaikelothmann/video/7509838758376656150?is_from_webapp=1&amp;sender_device=pc&amp;web_id=7529868947924829714" TargetMode="External"/><Relationship Id="rId921" Type="http://schemas.openxmlformats.org/officeDocument/2006/relationships/hyperlink" Target="https://www.tiktok.com/@yotheregoeschris_/video/7472776896971918635?is_from_webapp=1&amp;sender_device=pc&amp;web_id=7529868947924829714" TargetMode="External"/><Relationship Id="rId920" Type="http://schemas.openxmlformats.org/officeDocument/2006/relationships/hyperlink" Target="https://www.tiktok.com/@realdrseattle/video/7477786958366838058?is_from_webapp=1&amp;sender_device=pc&amp;web_id=7529868947924829714" TargetMode="External"/><Relationship Id="rId925" Type="http://schemas.openxmlformats.org/officeDocument/2006/relationships/hyperlink" Target="https://www.tiktok.com/@charlies.desserts/video/7488381501722103062?is_from_webapp=1&amp;sender_device=pc&amp;web_id=7529868947924829714" TargetMode="External"/><Relationship Id="rId924" Type="http://schemas.openxmlformats.org/officeDocument/2006/relationships/hyperlink" Target="https://www.tiktok.com/@myhome_inspo/video/7452912102232149291?is_from_webapp=1&amp;sender_device=pc&amp;web_id=7529868947924829714" TargetMode="External"/><Relationship Id="rId923" Type="http://schemas.openxmlformats.org/officeDocument/2006/relationships/hyperlink" Target="https://www.tiktok.com/@courtschaos/video/6863637435503447302?is_from_webapp=1&amp;sender_device=pc&amp;web_id=7529868947924829714" TargetMode="External"/><Relationship Id="rId922" Type="http://schemas.openxmlformats.org/officeDocument/2006/relationships/hyperlink" Target="https://www.tiktok.com/@allysonlindsey7/video/7481821040893742382?is_from_webapp=1&amp;sender_device=pc&amp;web_id=7529868947924829714" TargetMode="External"/><Relationship Id="rId918" Type="http://schemas.openxmlformats.org/officeDocument/2006/relationships/hyperlink" Target="https://www.tiktok.com/@ourkiver/video/7478957731022458120?is_from_webapp=1&amp;sender_device=pc&amp;web_id=7529868947924829714" TargetMode="External"/><Relationship Id="rId917" Type="http://schemas.openxmlformats.org/officeDocument/2006/relationships/hyperlink" Target="https://www.tiktok.com/@mancavebartender/video/7471353935249378562?is_from_webapp=1&amp;sender_device=pc&amp;web_id=7529868947924829714" TargetMode="External"/><Relationship Id="rId916" Type="http://schemas.openxmlformats.org/officeDocument/2006/relationships/hyperlink" Target="https://www.tiktok.com/@sydneybmichelle/video/7469934973923986734?is_from_webapp=1&amp;sender_device=pc&amp;web_id=7529868947924829714" TargetMode="External"/><Relationship Id="rId915" Type="http://schemas.openxmlformats.org/officeDocument/2006/relationships/hyperlink" Target="https://www.tiktok.com/@paytonmelphy/video/6853879451411926277?is_from_webapp=1&amp;sender_device=pc&amp;web_id=7529868947924829714" TargetMode="External"/><Relationship Id="rId919" Type="http://schemas.openxmlformats.org/officeDocument/2006/relationships/hyperlink" Target="https://www.tiktok.com/@mbraver6/video/6860568612155952389?is_from_webapp=1&amp;sender_device=pc&amp;web_id=7529868947924829714" TargetMode="External"/><Relationship Id="rId910" Type="http://schemas.openxmlformats.org/officeDocument/2006/relationships/hyperlink" Target="https://www.tiktok.com/@mileswithellieandemma/video/7468427583370120479?is_from_webapp=1&amp;sender_device=pc&amp;web_id=7529868947924829714" TargetMode="External"/><Relationship Id="rId914" Type="http://schemas.openxmlformats.org/officeDocument/2006/relationships/hyperlink" Target="https://www.tiktok.com/@themskarib/video/7473153571861761326?is_from_webapp=1&amp;sender_device=pc&amp;web_id=7529868947924829714" TargetMode="External"/><Relationship Id="rId913" Type="http://schemas.openxmlformats.org/officeDocument/2006/relationships/hyperlink" Target="https://www.tiktok.com/@matchpointmatcha/video/7491726140726431007?is_from_webapp=1&amp;sender_device=pc&amp;web_id=7529868947924829714" TargetMode="External"/><Relationship Id="rId912" Type="http://schemas.openxmlformats.org/officeDocument/2006/relationships/hyperlink" Target="https://www.tiktok.com/@dearblairies/video/7527568239564459271?is_from_webapp=1&amp;sender_device=pc&amp;web_id=7529868947924829714" TargetMode="External"/><Relationship Id="rId911" Type="http://schemas.openxmlformats.org/officeDocument/2006/relationships/hyperlink" Target="https://www.tiktok.com/@kayleearmbrust/video/7014634000211823878?is_from_webapp=1&amp;sender_device=pc&amp;web_id=7529868947924829714" TargetMode="External"/><Relationship Id="rId629" Type="http://schemas.openxmlformats.org/officeDocument/2006/relationships/hyperlink" Target="https://vt.tiktok.com/ZSDym42TE/" TargetMode="External"/><Relationship Id="rId624" Type="http://schemas.openxmlformats.org/officeDocument/2006/relationships/hyperlink" Target="https://www.tiktok.com/@alice_gigney/video/7501010491242745110?is_from_webapp=1&amp;sender_device=pc&amp;web_id=7529868947924829714" TargetMode="External"/><Relationship Id="rId866" Type="http://schemas.openxmlformats.org/officeDocument/2006/relationships/hyperlink" Target="https://www.tiktok.com/@hannah.ry/video/7468098832778218757?is_from_webapp=1&amp;sender_device=pc&amp;web_id=7529868947924829714" TargetMode="External"/><Relationship Id="rId623" Type="http://schemas.openxmlformats.org/officeDocument/2006/relationships/hyperlink" Target="https://www.tiktok.com/@sweetvailcafe/video/7547032022657649951?is_from_webapp=1&amp;sender_device=pc&amp;web_id=7529868947924829714" TargetMode="External"/><Relationship Id="rId865" Type="http://schemas.openxmlformats.org/officeDocument/2006/relationships/hyperlink" Target="https://www.tiktok.com/@flaatch/video/7472839351370616086?is_from_webapp=1&amp;sender_device=pc&amp;web_id=7529868947924829714" TargetMode="External"/><Relationship Id="rId622" Type="http://schemas.openxmlformats.org/officeDocument/2006/relationships/hyperlink" Target="https://vt.tiktok.com/ZSDAP24qE/" TargetMode="External"/><Relationship Id="rId864" Type="http://schemas.openxmlformats.org/officeDocument/2006/relationships/hyperlink" Target="https://www.tiktok.com/@iamabiarchila/video/7496315914032319786?is_from_webapp=1&amp;sender_device=pc&amp;web_id=7529868947924829714" TargetMode="External"/><Relationship Id="rId621" Type="http://schemas.openxmlformats.org/officeDocument/2006/relationships/hyperlink" Target="https://vt.tiktok.com/ZSDymD7pP/" TargetMode="External"/><Relationship Id="rId863" Type="http://schemas.openxmlformats.org/officeDocument/2006/relationships/hyperlink" Target="https://www.tiktok.com/@tazandalessia/video/7359840999444614418?is_from_webapp=1&amp;sender_device=pc&amp;web_id=7529868947924829714" TargetMode="External"/><Relationship Id="rId628" Type="http://schemas.openxmlformats.org/officeDocument/2006/relationships/hyperlink" Target="https://www.tiktok.com/@saabr.na/video/7526193281210912022?is_from_webapp=1&amp;sender_device=pc&amp;web_id=7529868947924829714" TargetMode="External"/><Relationship Id="rId627" Type="http://schemas.openxmlformats.org/officeDocument/2006/relationships/hyperlink" Target="https://www.tiktok.com/@biankaalexis/video/6856525009431661830?is_from_webapp=1&amp;sender_device=pc&amp;web_id=7529868947924829714" TargetMode="External"/><Relationship Id="rId869" Type="http://schemas.openxmlformats.org/officeDocument/2006/relationships/hyperlink" Target="https://www.tiktok.com/@abigail_maybe/video/7469882487070543137?is_from_webapp=1&amp;sender_device=pc&amp;web_id=7529868947924829714" TargetMode="External"/><Relationship Id="rId626" Type="http://schemas.openxmlformats.org/officeDocument/2006/relationships/hyperlink" Target="https://www.tiktok.com/@soltanaslife/video/7549305642226421005?is_from_webapp=1&amp;sender_device=pc&amp;web_id=7529868947924829714" TargetMode="External"/><Relationship Id="rId868" Type="http://schemas.openxmlformats.org/officeDocument/2006/relationships/hyperlink" Target="https://www.tiktok.com/@elenataber/video/7417794321971186975?is_from_webapp=1&amp;sender_device=pc&amp;web_id=7529868947924829714" TargetMode="External"/><Relationship Id="rId625" Type="http://schemas.openxmlformats.org/officeDocument/2006/relationships/hyperlink" Target="https://www.tiktok.com/@sengwaah/video/7539852686271712520?is_from_webapp=1&amp;sender_device=pc&amp;web_id=7529868947924829714" TargetMode="External"/><Relationship Id="rId867" Type="http://schemas.openxmlformats.org/officeDocument/2006/relationships/hyperlink" Target="https://www.tiktok.com/@brooklynandbailey/video/6874323053795462406?is_from_webapp=1&amp;sender_device=pc&amp;web_id=7529868947924829714" TargetMode="External"/><Relationship Id="rId620" Type="http://schemas.openxmlformats.org/officeDocument/2006/relationships/hyperlink" Target="https://www.tiktok.com/@typriv18/video/7464211051987356959?is_from_webapp=1&amp;sender_device=pc&amp;web_id=7529868947924829714" TargetMode="External"/><Relationship Id="rId862" Type="http://schemas.openxmlformats.org/officeDocument/2006/relationships/hyperlink" Target="https://www.tiktok.com/@daniiiyrmrz/video/7484753324378475819?is_from_webapp=1&amp;sender_device=pc&amp;web_id=7529868947924829714" TargetMode="External"/><Relationship Id="rId861" Type="http://schemas.openxmlformats.org/officeDocument/2006/relationships/hyperlink" Target="https://www.tiktok.com/@thelittleledger._/video/7523182379989519634?is_from_webapp=1&amp;sender_device=pc&amp;web_id=7529868947924829714" TargetMode="External"/><Relationship Id="rId860" Type="http://schemas.openxmlformats.org/officeDocument/2006/relationships/hyperlink" Target="https://www.tiktok.com/@tillyoddyblack/video/7321661606016863496?is_from_webapp=1&amp;sender_device=pc&amp;web_id=7529868947924829714" TargetMode="External"/><Relationship Id="rId619" Type="http://schemas.openxmlformats.org/officeDocument/2006/relationships/hyperlink" Target="https://www.tiktok.com/@brooke_lynnmilne/video/7059608289847463214?is_from_webapp=1&amp;sender_device=pc&amp;web_id=7529868947924829714" TargetMode="External"/><Relationship Id="rId618" Type="http://schemas.openxmlformats.org/officeDocument/2006/relationships/hyperlink" Target="https://www.tiktok.com/@maite__fonseca/video/7480076778740911382?is_from_webapp=1&amp;sender_device=pc&amp;web_id=7529868947924829714" TargetMode="External"/><Relationship Id="rId613" Type="http://schemas.openxmlformats.org/officeDocument/2006/relationships/hyperlink" Target="https://vt.tiktok.com/ZSDAPh1tE/" TargetMode="External"/><Relationship Id="rId855" Type="http://schemas.openxmlformats.org/officeDocument/2006/relationships/hyperlink" Target="https://www.tiktok.com/@silly.bo.billies/video/7255017699573746990?is_from_webapp=1&amp;sender_device=pc&amp;web_id=7529868947924829714" TargetMode="External"/><Relationship Id="rId612" Type="http://schemas.openxmlformats.org/officeDocument/2006/relationships/hyperlink" Target="https://vt.tiktok.com/ZSDymQeRb/" TargetMode="External"/><Relationship Id="rId854" Type="http://schemas.openxmlformats.org/officeDocument/2006/relationships/hyperlink" Target="https://www.tiktok.com/@shingojingo/video/7474568699698023685?is_from_webapp=1&amp;sender_device=pc&amp;web_id=7529868947924829714" TargetMode="External"/><Relationship Id="rId611" Type="http://schemas.openxmlformats.org/officeDocument/2006/relationships/hyperlink" Target="https://www.tiktok.com/@r1hvnnaaaaa/video/7537241743570308360?is_from_webapp=1&amp;sender_device=pc&amp;web_id=7529868947924829714" TargetMode="External"/><Relationship Id="rId853" Type="http://schemas.openxmlformats.org/officeDocument/2006/relationships/hyperlink" Target="https://www.tiktok.com/@_e.v08/video/7470155628086971681?is_from_webapp=1&amp;sender_device=pc&amp;web_id=7529868947924829714" TargetMode="External"/><Relationship Id="rId610" Type="http://schemas.openxmlformats.org/officeDocument/2006/relationships/hyperlink" Target="https://www.tiktok.com/@theploofs/video/6869471377750117637?is_from_webapp=1&amp;sender_device=pc&amp;web_id=7529868947924829714" TargetMode="External"/><Relationship Id="rId852" Type="http://schemas.openxmlformats.org/officeDocument/2006/relationships/hyperlink" Target="https://www.tiktok.com/@vanessalealia/video/7456459942698978562?is_from_webapp=1&amp;sender_device=pc&amp;web_id=7529868947924829714" TargetMode="External"/><Relationship Id="rId617" Type="http://schemas.openxmlformats.org/officeDocument/2006/relationships/hyperlink" Target="https://www.tiktok.com/@moretoamedic/video/7508083178440117526?is_from_webapp=1&amp;sender_device=pc&amp;web_id=7529868947924829714" TargetMode="External"/><Relationship Id="rId859" Type="http://schemas.openxmlformats.org/officeDocument/2006/relationships/hyperlink" Target="https://www.tiktok.com/@thesmfamily/video/7162643862027111686?is_from_webapp=1&amp;sender_device=pc&amp;web_id=7529868947924829714" TargetMode="External"/><Relationship Id="rId616" Type="http://schemas.openxmlformats.org/officeDocument/2006/relationships/hyperlink" Target="https://www.tiktok.com/@lyyzsaaa/video/7545715002729073927?is_from_webapp=1&amp;sender_device=pc&amp;web_id=7529868947924829714" TargetMode="External"/><Relationship Id="rId858" Type="http://schemas.openxmlformats.org/officeDocument/2006/relationships/hyperlink" Target="https://www.tiktok.com/@hannah.moyav/video/7548791200996789520?is_from_webapp=1&amp;sender_device=pc&amp;web_id=7529868947924829714" TargetMode="External"/><Relationship Id="rId615" Type="http://schemas.openxmlformats.org/officeDocument/2006/relationships/hyperlink" Target="https://www.tiktok.com/@jacscaveofwonders/video/7471833814537456914?is_from_webapp=1&amp;sender_device=pc&amp;web_id=7529868947924829714" TargetMode="External"/><Relationship Id="rId857" Type="http://schemas.openxmlformats.org/officeDocument/2006/relationships/hyperlink" Target="https://www.tiktok.com/@taleasophiarogel/video/7469460089041095958?is_from_webapp=1&amp;sender_device=pc&amp;web_id=7529868947924829714" TargetMode="External"/><Relationship Id="rId614" Type="http://schemas.openxmlformats.org/officeDocument/2006/relationships/hyperlink" Target="https://www.tiktok.com/@joely_bird/video/7545406096454814998?is_from_webapp=1&amp;sender_device=pc&amp;web_id=7529868947924829714" TargetMode="External"/><Relationship Id="rId856" Type="http://schemas.openxmlformats.org/officeDocument/2006/relationships/hyperlink" Target="https://www.tiktok.com/@emilylilburn/video/7507665189349690646?is_from_webapp=1&amp;sender_device=pc&amp;web_id=7529868947924829714" TargetMode="External"/><Relationship Id="rId851" Type="http://schemas.openxmlformats.org/officeDocument/2006/relationships/hyperlink" Target="https://www.tiktok.com/@abbytuckett/video/7447288464049229102?is_from_webapp=1&amp;sender_device=pc&amp;web_id=7529868947924829714" TargetMode="External"/><Relationship Id="rId850" Type="http://schemas.openxmlformats.org/officeDocument/2006/relationships/hyperlink" Target="https://www.tiktok.com/@madsodum/video/7515116091648085278?is_from_webapp=1&amp;sender_device=pc&amp;web_id=7529868947924829714" TargetMode="External"/><Relationship Id="rId409" Type="http://schemas.openxmlformats.org/officeDocument/2006/relationships/hyperlink" Target="https://www.tiktok.com/@evriiiiil/video/7545284733018574098?is_from_webapp=1&amp;sender_device=pc&amp;web_id=7529868947924829714" TargetMode="External"/><Relationship Id="rId404" Type="http://schemas.openxmlformats.org/officeDocument/2006/relationships/hyperlink" Target="https://vt.tiktok.com/ZSDRpR5Ew/" TargetMode="External"/><Relationship Id="rId646" Type="http://schemas.openxmlformats.org/officeDocument/2006/relationships/hyperlink" Target="https://vt.tiktok.com/ZSDAPywy5/)" TargetMode="External"/><Relationship Id="rId888" Type="http://schemas.openxmlformats.org/officeDocument/2006/relationships/hyperlink" Target="https://www.tiktok.com/@logynbrown/video/7481431117216861486?is_from_webapp=1&amp;sender_device=pc&amp;web_id=7529868947924829714" TargetMode="External"/><Relationship Id="rId403" Type="http://schemas.openxmlformats.org/officeDocument/2006/relationships/hyperlink" Target="https://vt.tiktok.com/ZSDYE6FPc/" TargetMode="External"/><Relationship Id="rId645" Type="http://schemas.openxmlformats.org/officeDocument/2006/relationships/hyperlink" Target="https://vt.tiktok.com/ZSDyujFXt/" TargetMode="External"/><Relationship Id="rId887" Type="http://schemas.openxmlformats.org/officeDocument/2006/relationships/hyperlink" Target="https://www.tiktok.com/@noahschnacky/video/6872434374806080773?is_from_webapp=1&amp;sender_device=pc&amp;web_id=7529868947924829714" TargetMode="External"/><Relationship Id="rId402" Type="http://schemas.openxmlformats.org/officeDocument/2006/relationships/hyperlink" Target="https://vt.tiktok.com/ZSAvCQvRT/" TargetMode="External"/><Relationship Id="rId644" Type="http://schemas.openxmlformats.org/officeDocument/2006/relationships/hyperlink" Target="https://www.tiktok.com/@joohanney/video/7505012201946631442?is_from_webapp=1&amp;sender_device=pc&amp;web_id=7529868947924829714" TargetMode="External"/><Relationship Id="rId886" Type="http://schemas.openxmlformats.org/officeDocument/2006/relationships/hyperlink" Target="https://www.tiktok.com/@kianapay/video/7505370434251066646?is_from_webapp=1&amp;sender_device=pc&amp;web_id=7529868947924829714" TargetMode="External"/><Relationship Id="rId401" Type="http://schemas.openxmlformats.org/officeDocument/2006/relationships/hyperlink" Target="https://vt.tiktok.com/ZSDAmfMYm/" TargetMode="External"/><Relationship Id="rId643" Type="http://schemas.openxmlformats.org/officeDocument/2006/relationships/hyperlink" Target="https://www.tiktok.com/@sarahbetts/video/7090888315821362434?is_from_webapp=1&amp;sender_device=pc&amp;web_id=7529868947924829714" TargetMode="External"/><Relationship Id="rId885" Type="http://schemas.openxmlformats.org/officeDocument/2006/relationships/hyperlink" Target="https://www.tiktok.com/@julzinnovations/video/7502192886704868613?is_from_webapp=1&amp;sender_device=pc&amp;web_id=7529868947924829714" TargetMode="External"/><Relationship Id="rId408" Type="http://schemas.openxmlformats.org/officeDocument/2006/relationships/hyperlink" Target="https://www.tiktok.com/@eastgateness/video/7507251228879981846?is_from_webapp=1&amp;sender_device=pc&amp;web_id=7529868947924829714" TargetMode="External"/><Relationship Id="rId407" Type="http://schemas.openxmlformats.org/officeDocument/2006/relationships/hyperlink" Target="https://vt.tiktok.com/ZSAvs162B/" TargetMode="External"/><Relationship Id="rId649" Type="http://schemas.openxmlformats.org/officeDocument/2006/relationships/hyperlink" Target="https://www.tiktok.com/@pomaonemillion/video/7544719340474502418?is_from_webapp=1&amp;sender_device=pc&amp;web_id=7529868947924829714" TargetMode="External"/><Relationship Id="rId406" Type="http://schemas.openxmlformats.org/officeDocument/2006/relationships/hyperlink" Target="https://vt.tiktok.com/ZSAojSXWL/" TargetMode="External"/><Relationship Id="rId648" Type="http://schemas.openxmlformats.org/officeDocument/2006/relationships/hyperlink" Target="https://www.tiktok.com/@texas_starch_co/video/7529418189613141262?is_from_webapp=1&amp;sender_device=pc&amp;web_id=7529868947924829714" TargetMode="External"/><Relationship Id="rId405" Type="http://schemas.openxmlformats.org/officeDocument/2006/relationships/hyperlink" Target="https://www.tiktok.com/@pollencafeandicecream/video/7547140126825073933?is_from_webapp=1&amp;sender_device=pc&amp;web_id=7529868947924829714" TargetMode="External"/><Relationship Id="rId647" Type="http://schemas.openxmlformats.org/officeDocument/2006/relationships/hyperlink" Target="https://www.tiktok.com/@eltapcafe/video/7548945156406283575?is_from_webapp=1&amp;sender_device=pc&amp;web_id=7529868947924829714" TargetMode="External"/><Relationship Id="rId889" Type="http://schemas.openxmlformats.org/officeDocument/2006/relationships/hyperlink" Target="https://www.tiktok.com/@michelleraskin/video/7470773114905906462?is_from_webapp=1&amp;sender_device=pc&amp;web_id=7529868947924829714" TargetMode="External"/><Relationship Id="rId880" Type="http://schemas.openxmlformats.org/officeDocument/2006/relationships/hyperlink" Target="https://www.tiktok.com/@aims.lc/video/7303732432702852354?is_from_webapp=1&amp;sender_device=pc&amp;web_id=7529868947924829714" TargetMode="External"/><Relationship Id="rId400" Type="http://schemas.openxmlformats.org/officeDocument/2006/relationships/hyperlink" Target="https://www.tiktok.com/@ashleeyyyy.x/video/7512188715108732182?is_from_webapp=1&amp;sender_device=pc&amp;web_id=7529868947924829714" TargetMode="External"/><Relationship Id="rId642" Type="http://schemas.openxmlformats.org/officeDocument/2006/relationships/hyperlink" Target="https://www.tiktok.com/@ellisealou/video/7473601722720619822?is_from_webapp=1&amp;sender_device=pc&amp;web_id=7529868947924829714" TargetMode="External"/><Relationship Id="rId884" Type="http://schemas.openxmlformats.org/officeDocument/2006/relationships/hyperlink" Target="https://www.tiktok.com/@ela75178/video/7521791715565456653?is_from_webapp=1&amp;sender_device=pc&amp;web_id=7529868947924829714" TargetMode="External"/><Relationship Id="rId641" Type="http://schemas.openxmlformats.org/officeDocument/2006/relationships/hyperlink" Target="https://www.tiktok.com/@saintnico.222/video/7541721960754072839?is_from_webapp=1&amp;sender_device=pc&amp;web_id=7529868947924829714" TargetMode="External"/><Relationship Id="rId883" Type="http://schemas.openxmlformats.org/officeDocument/2006/relationships/hyperlink" Target="https://www.tiktok.com/@jojohnsonoverby/video/6865121899702144262?is_from_webapp=1&amp;sender_device=pc&amp;web_id=7529868947924829714" TargetMode="External"/><Relationship Id="rId640" Type="http://schemas.openxmlformats.org/officeDocument/2006/relationships/hyperlink" Target="https://www.tiktok.com/@microphonegoddesss/video/7476080398078905622?is_from_webapp=1&amp;sender_device=pc&amp;web_id=7529868947924829714" TargetMode="External"/><Relationship Id="rId882" Type="http://schemas.openxmlformats.org/officeDocument/2006/relationships/hyperlink" Target="https://www.tiktok.com/@cueandcurtain/video/7464724493915770142?is_from_webapp=1&amp;sender_device=pc&amp;web_id=7529868947924829714" TargetMode="External"/><Relationship Id="rId881" Type="http://schemas.openxmlformats.org/officeDocument/2006/relationships/hyperlink" Target="https://www.tiktok.com/@4ng3lofdeath/video/7474866995838684446?is_from_webapp=1&amp;sender_device=pc&amp;web_id=7529868947924829714" TargetMode="External"/><Relationship Id="rId635" Type="http://schemas.openxmlformats.org/officeDocument/2006/relationships/hyperlink" Target="https://www.tiktok.com/@trinahmaee_/video/6889452204181163265?is_from_webapp=1&amp;sender_device=pc&amp;web_id=7529868947924829714" TargetMode="External"/><Relationship Id="rId877" Type="http://schemas.openxmlformats.org/officeDocument/2006/relationships/hyperlink" Target="https://www.tiktok.com/@avaareadsss/video/7481733247781670186?is_from_webapp=1&amp;sender_device=pc&amp;web_id=7529868947924829714" TargetMode="External"/><Relationship Id="rId634" Type="http://schemas.openxmlformats.org/officeDocument/2006/relationships/hyperlink" Target="https://www.tiktok.com/@isabellajuliaw/video/7465125314180484383?is_from_webapp=1&amp;sender_device=pc&amp;web_id=7529868947924829714" TargetMode="External"/><Relationship Id="rId876" Type="http://schemas.openxmlformats.org/officeDocument/2006/relationships/hyperlink" Target="https://www.tiktok.com/@ameliekpf/video/7376186208277368097?is_from_webapp=1&amp;sender_device=pc&amp;web_id=7529868947924829714" TargetMode="External"/><Relationship Id="rId633" Type="http://schemas.openxmlformats.org/officeDocument/2006/relationships/hyperlink" Target="https://www.tiktok.com/@pzxctaz/video/7545360063586684168?is_from_webapp=1&amp;sender_device=pc&amp;web_id=7529868947924829714" TargetMode="External"/><Relationship Id="rId875" Type="http://schemas.openxmlformats.org/officeDocument/2006/relationships/hyperlink" Target="https://www.tiktok.com/@jcstrudel/video/6862126065985326341?is_from_webapp=1&amp;sender_device=pc&amp;web_id=7529868947924829714" TargetMode="External"/><Relationship Id="rId632" Type="http://schemas.openxmlformats.org/officeDocument/2006/relationships/hyperlink" Target="https://www.tiktok.com/@mari_rebuilt/video/7520389275926465798?is_from_webapp=1&amp;sender_device=pc&amp;web_id=7529868947924829714" TargetMode="External"/><Relationship Id="rId874" Type="http://schemas.openxmlformats.org/officeDocument/2006/relationships/hyperlink" Target="https://www.tiktok.com/@graciebclarkk/video/7472164055789161734?is_from_webapp=1&amp;sender_device=pc&amp;web_id=7529868947924829714" TargetMode="External"/><Relationship Id="rId639" Type="http://schemas.openxmlformats.org/officeDocument/2006/relationships/hyperlink" Target="https://www.tiktok.com/@50flavsbakerybrew/video/7548937563378175245?is_from_webapp=1&amp;sender_device=pc&amp;web_id=7529868947924829714" TargetMode="External"/><Relationship Id="rId638" Type="http://schemas.openxmlformats.org/officeDocument/2006/relationships/hyperlink" Target="https://vt.tiktok.com/ZSDAPBePR/" TargetMode="External"/><Relationship Id="rId637" Type="http://schemas.openxmlformats.org/officeDocument/2006/relationships/hyperlink" Target="https://vt.tiktok.com/ZSDym5Auk/" TargetMode="External"/><Relationship Id="rId879" Type="http://schemas.openxmlformats.org/officeDocument/2006/relationships/hyperlink" Target="https://www.tiktok.com/@dallinxbella/video/6870187581661891845?is_from_webapp=1&amp;sender_device=pc&amp;web_id=7529868947924829714" TargetMode="External"/><Relationship Id="rId636" Type="http://schemas.openxmlformats.org/officeDocument/2006/relationships/hyperlink" Target="https://www.tiktok.com/@celinest/video/7492010595399617810?is_from_webapp=1&amp;sender_device=pc&amp;web_id=7529868947924829714" TargetMode="External"/><Relationship Id="rId878" Type="http://schemas.openxmlformats.org/officeDocument/2006/relationships/hyperlink" Target="https://www.tiktok.com/@cilantros.claxton/video/7531144469454933262?is_from_webapp=1&amp;sender_device=pc&amp;web_id=7529868947924829714" TargetMode="External"/><Relationship Id="rId631" Type="http://schemas.openxmlformats.org/officeDocument/2006/relationships/hyperlink" Target="https://www.tiktok.com/@mariahmixes/video/7544558848820923679?is_from_webapp=1&amp;sender_device=pc&amp;web_id=7529868947924829714" TargetMode="External"/><Relationship Id="rId873" Type="http://schemas.openxmlformats.org/officeDocument/2006/relationships/hyperlink" Target="https://www.tiktok.com/@quelriveraa/video/7468488046334201119?is_from_webapp=1&amp;sender_device=pc&amp;web_id=7529868947924829714" TargetMode="External"/><Relationship Id="rId630" Type="http://schemas.openxmlformats.org/officeDocument/2006/relationships/hyperlink" Target="https://vt.tiktok.com/ZSDAPANvD/" TargetMode="External"/><Relationship Id="rId872" Type="http://schemas.openxmlformats.org/officeDocument/2006/relationships/hyperlink" Target="https://www.tiktok.com/@raimeetravel/video/7513699333091380510?is_from_webapp=1&amp;sender_device=pc&amp;web_id=7529868947924829714" TargetMode="External"/><Relationship Id="rId871" Type="http://schemas.openxmlformats.org/officeDocument/2006/relationships/hyperlink" Target="https://www.tiktok.com/@samandmonica/video/6900651147430792449?is_from_webapp=1&amp;sender_device=pc&amp;web_id=7529868947924829714" TargetMode="External"/><Relationship Id="rId870" Type="http://schemas.openxmlformats.org/officeDocument/2006/relationships/hyperlink" Target="https://www.tiktok.com/@thefatkat.mnl/video/7520563155798461704?is_from_webapp=1&amp;sender_device=pc&amp;web_id=7529868947924829714" TargetMode="External"/><Relationship Id="rId829" Type="http://schemas.openxmlformats.org/officeDocument/2006/relationships/hyperlink" Target="https://www.tiktok.com/@annikaluciaaa/video/7472072364860181782?is_from_webapp=1&amp;sender_device=pc&amp;web_id=7529868947924829714" TargetMode="External"/><Relationship Id="rId828" Type="http://schemas.openxmlformats.org/officeDocument/2006/relationships/hyperlink" Target="https://www.tiktok.com/@taylorladams14/video/7538609170958896398?is_from_webapp=1&amp;sender_device=pc&amp;web_id=7529868947924829714" TargetMode="External"/><Relationship Id="rId827" Type="http://schemas.openxmlformats.org/officeDocument/2006/relationships/hyperlink" Target="https://www.tiktok.com/@alexissroberti/video/7150072149552844078?is_from_webapp=1&amp;sender_device=pc&amp;web_id=7529868947924829714" TargetMode="External"/><Relationship Id="rId822" Type="http://schemas.openxmlformats.org/officeDocument/2006/relationships/hyperlink" Target="https://www.tiktok.com/@rrrosette_/video/7529037002340060471?is_from_webapp=1&amp;sender_device=pc&amp;web_id=7529868947924829714" TargetMode="External"/><Relationship Id="rId821" Type="http://schemas.openxmlformats.org/officeDocument/2006/relationships/hyperlink" Target="https://www.tiktok.com/@natalieeena/video/7537200853023804679?is_from_webapp=1&amp;sender_device=pc&amp;web_id=7529868947924829714" TargetMode="External"/><Relationship Id="rId820" Type="http://schemas.openxmlformats.org/officeDocument/2006/relationships/hyperlink" Target="https://www.tiktok.com/@itsdannimoreno/video/7155912067583610118?is_from_webapp=1&amp;sender_device=pc&amp;web_id=7529868947924829714" TargetMode="External"/><Relationship Id="rId826" Type="http://schemas.openxmlformats.org/officeDocument/2006/relationships/hyperlink" Target="https://www.tiktok.com/@lucy.wade_/video/7483834422509210898?is_from_webapp=1&amp;sender_device=pc&amp;web_id=7529868947924829714" TargetMode="External"/><Relationship Id="rId825" Type="http://schemas.openxmlformats.org/officeDocument/2006/relationships/hyperlink" Target="https://www.tiktok.com/@rosekoreanbeauty/video/7470125845341048087?is_from_webapp=1&amp;sender_device=pc&amp;web_id=7529868947924829714" TargetMode="External"/><Relationship Id="rId824" Type="http://schemas.openxmlformats.org/officeDocument/2006/relationships/hyperlink" Target="https://www.tiktok.com/@tania_dowd/video/7510572549378428182?is_from_webapp=1&amp;sender_device=pc&amp;web_id=7529868947924829714" TargetMode="External"/><Relationship Id="rId823" Type="http://schemas.openxmlformats.org/officeDocument/2006/relationships/hyperlink" Target="https://www.tiktok.com/@let.me.take.a.shelfie/video/7078567798133280002?is_from_webapp=1&amp;sender_device=pc&amp;web_id=7529868947924829714" TargetMode="External"/><Relationship Id="rId819" Type="http://schemas.openxmlformats.org/officeDocument/2006/relationships/hyperlink" Target="https://www.tiktok.com/@keirstenlanae/video/7436923559332597038?is_from_webapp=1&amp;sender_device=pc&amp;web_id=7529868947924829714" TargetMode="External"/><Relationship Id="rId818" Type="http://schemas.openxmlformats.org/officeDocument/2006/relationships/hyperlink" Target="https://www.tiktok.com/@wilsonfarm/video/7486495250052123934?is_from_webapp=1&amp;sender_device=pc&amp;web_id=7529868947924829714" TargetMode="External"/><Relationship Id="rId817" Type="http://schemas.openxmlformats.org/officeDocument/2006/relationships/hyperlink" Target="https://www.tiktok.com/@kaysee786/video/7471774843491421462?is_from_webapp=1&amp;sender_device=pc&amp;web_id=7529868947924829714" TargetMode="External"/><Relationship Id="rId816" Type="http://schemas.openxmlformats.org/officeDocument/2006/relationships/hyperlink" Target="https://www.tiktok.com/@lenahassan1/video/7535169458814438669?is_from_webapp=1&amp;sender_device=pc&amp;web_id=7529868947924829714" TargetMode="External"/><Relationship Id="rId811" Type="http://schemas.openxmlformats.org/officeDocument/2006/relationships/hyperlink" Target="https://www.tiktok.com/@lindayuqian/video/7365904108693327110?is_from_webapp=1&amp;sender_device=pc&amp;web_id=7529868947924829714" TargetMode="External"/><Relationship Id="rId810" Type="http://schemas.openxmlformats.org/officeDocument/2006/relationships/hyperlink" Target="https://www.tiktok.com/@emilyyt11/video/7510867191907011871?is_from_webapp=1&amp;sender_device=pc&amp;web_id=7529868947924829714" TargetMode="External"/><Relationship Id="rId815" Type="http://schemas.openxmlformats.org/officeDocument/2006/relationships/hyperlink" Target="https://www.tiktok.com/@maya.and.hunter/video/7446935924711116074?is_from_webapp=1&amp;sender_device=pc&amp;web_id=7529868947924829714" TargetMode="External"/><Relationship Id="rId814" Type="http://schemas.openxmlformats.org/officeDocument/2006/relationships/hyperlink" Target="https://www.tiktok.com/@sam.mrclle/video/7514404040051150098?is_from_webapp=1&amp;sender_device=pc&amp;web_id=7529868947924829714" TargetMode="External"/><Relationship Id="rId813" Type="http://schemas.openxmlformats.org/officeDocument/2006/relationships/hyperlink" Target="https://www.tiktok.com/@mae.west/video/7467732916202769670?is_from_webapp=1&amp;sender_device=pc&amp;web_id=7529868947924829714" TargetMode="External"/><Relationship Id="rId812" Type="http://schemas.openxmlformats.org/officeDocument/2006/relationships/hyperlink" Target="https://www.tiktok.com/@estellelebourgeois_/video/7405680774487231786?is_from_webapp=1&amp;sender_device=pc&amp;web_id=7529868947924829714" TargetMode="External"/><Relationship Id="rId609" Type="http://schemas.openxmlformats.org/officeDocument/2006/relationships/hyperlink" Target="https://www.tiktok.com/@un.dia.fuerte/video/7510441723089276206?is_from_webapp=1&amp;sender_device=pc&amp;web_id=7529868947924829714" TargetMode="External"/><Relationship Id="rId608" Type="http://schemas.openxmlformats.org/officeDocument/2006/relationships/hyperlink" Target="https://www.tiktok.com/@aurzljn/video/7522305815315860743?is_from_webapp=1&amp;sender_device=pc&amp;web_id=7529868947924829714" TargetMode="External"/><Relationship Id="rId607" Type="http://schemas.openxmlformats.org/officeDocument/2006/relationships/hyperlink" Target="https://www.tiktok.com/@notmurphyy_/video/7544436790430567687?is_from_webapp=1&amp;sender_device=pc&amp;web_id=7529868947924829714" TargetMode="External"/><Relationship Id="rId849" Type="http://schemas.openxmlformats.org/officeDocument/2006/relationships/hyperlink" Target="https://www.tiktok.com/@fangirl_account7/video/7531776436458278166?is_from_webapp=1&amp;sender_device=pc&amp;web_id=7529868947924829714" TargetMode="External"/><Relationship Id="rId602" Type="http://schemas.openxmlformats.org/officeDocument/2006/relationships/hyperlink" Target="https://www.tiktok.com/@nadzdiaries/video/7532216136776060215?is_from_webapp=1&amp;sender_device=pc&amp;web_id=7529868947924829714" TargetMode="External"/><Relationship Id="rId844" Type="http://schemas.openxmlformats.org/officeDocument/2006/relationships/hyperlink" Target="https://www.tiktok.com/@itsbenreid/video/7487341950459301162?is_from_webapp=1&amp;sender_device=pc&amp;web_id=7529868947924829714" TargetMode="External"/><Relationship Id="rId601" Type="http://schemas.openxmlformats.org/officeDocument/2006/relationships/hyperlink" Target="https://www.tiktok.com/@georgieg2468/video/6929022815102323970?is_from_webapp=1&amp;sender_device=pc&amp;web_id=7529868947924829714" TargetMode="External"/><Relationship Id="rId843" Type="http://schemas.openxmlformats.org/officeDocument/2006/relationships/hyperlink" Target="https://www.tiktok.com/@thattgirllnyaa/video/7287025629210397995?is_from_webapp=1&amp;sender_device=pc&amp;web_id=7529868947924829714" TargetMode="External"/><Relationship Id="rId600" Type="http://schemas.openxmlformats.org/officeDocument/2006/relationships/hyperlink" Target="https://www.tiktok.com/@michellesays/video/7547540977460759822?is_from_webapp=1&amp;sender_device=pc&amp;web_id=7529868947924829714" TargetMode="External"/><Relationship Id="rId842" Type="http://schemas.openxmlformats.org/officeDocument/2006/relationships/hyperlink" Target="https://www.tiktok.com/@topthatdonuts/video/7503216882074324267?is_from_webapp=1&amp;sender_device=pc&amp;web_id=7529868947924829714" TargetMode="External"/><Relationship Id="rId841" Type="http://schemas.openxmlformats.org/officeDocument/2006/relationships/hyperlink" Target="https://www.tiktok.com/@atiyana.a/video/7532256610312375607?is_from_webapp=1&amp;sender_device=pc&amp;web_id=7529868947924829714" TargetMode="External"/><Relationship Id="rId606" Type="http://schemas.openxmlformats.org/officeDocument/2006/relationships/hyperlink" Target="https://www.tiktok.com/@housruk/video/7472704815672478998?is_from_webapp=1&amp;sender_device=pc&amp;web_id=7529868947924829714" TargetMode="External"/><Relationship Id="rId848" Type="http://schemas.openxmlformats.org/officeDocument/2006/relationships/hyperlink" Target="https://www.tiktok.com/@lauralove5514/video/7164947337251392811?is_from_webapp=1&amp;sender_device=pc&amp;web_id=7529868947924829714" TargetMode="External"/><Relationship Id="rId605" Type="http://schemas.openxmlformats.org/officeDocument/2006/relationships/hyperlink" Target="https://www.tiktok.com/@c.hristina.z/video/7538122087609814286?is_from_webapp=1&amp;sender_device=pc&amp;web_id=7529868947924829714" TargetMode="External"/><Relationship Id="rId847" Type="http://schemas.openxmlformats.org/officeDocument/2006/relationships/hyperlink" Target="https://www.tiktok.com/@thesmfamily/video/7282099170683456801?is_from_webapp=1&amp;sender_device=pc&amp;web_id=7529868947924829714" TargetMode="External"/><Relationship Id="rId604" Type="http://schemas.openxmlformats.org/officeDocument/2006/relationships/hyperlink" Target="https://vt.tiktok.com/ZSDAfgxjX/" TargetMode="External"/><Relationship Id="rId846" Type="http://schemas.openxmlformats.org/officeDocument/2006/relationships/hyperlink" Target="https://www.tiktok.com/@user5269680393455/video/7549638561943932215?is_from_webapp=1&amp;sender_device=pc&amp;web_id=7529868947924829714" TargetMode="External"/><Relationship Id="rId603" Type="http://schemas.openxmlformats.org/officeDocument/2006/relationships/hyperlink" Target="https://vt.tiktok.com/ZSDymBtcr/" TargetMode="External"/><Relationship Id="rId845" Type="http://schemas.openxmlformats.org/officeDocument/2006/relationships/hyperlink" Target="https://www.tiktok.com/@bungeeandm22/video/7471887604171001095?is_from_webapp=1&amp;sender_device=pc&amp;web_id=7529868947924829714" TargetMode="External"/><Relationship Id="rId840" Type="http://schemas.openxmlformats.org/officeDocument/2006/relationships/hyperlink" Target="https://www.tiktok.com/@milda_new1/video/7508012720147402006?is_from_webapp=1&amp;sender_device=pc&amp;web_id=7529868947924829714" TargetMode="External"/><Relationship Id="rId839" Type="http://schemas.openxmlformats.org/officeDocument/2006/relationships/hyperlink" Target="https://www.tiktok.com/@courtney_marr/video/7293752861274459397?is_from_webapp=1&amp;sender_device=pc&amp;web_id=7529868947924829714" TargetMode="External"/><Relationship Id="rId838" Type="http://schemas.openxmlformats.org/officeDocument/2006/relationships/hyperlink" Target="https://www.tiktok.com/@tahjaah/video/7505541743438220575?is_from_webapp=1&amp;sender_device=pc&amp;web_id=7529868947924829714" TargetMode="External"/><Relationship Id="rId833" Type="http://schemas.openxmlformats.org/officeDocument/2006/relationships/hyperlink" Target="https://www.tiktok.com/@kiara.3times/video/7473943120632188202?is_from_webapp=1&amp;sender_device=pc&amp;web_id=7529868947924829714" TargetMode="External"/><Relationship Id="rId832" Type="http://schemas.openxmlformats.org/officeDocument/2006/relationships/hyperlink" Target="https://www.tiktok.com/@daniellamonet/video/7402013856194776351?is_from_webapp=1&amp;sender_device=pc&amp;web_id=7529868947924829714" TargetMode="External"/><Relationship Id="rId831" Type="http://schemas.openxmlformats.org/officeDocument/2006/relationships/hyperlink" Target="https://www.tiktok.com/@teamaqto/video/6928491091805179142?is_from_webapp=1&amp;sender_device=pc&amp;web_id=7529868947924829714" TargetMode="External"/><Relationship Id="rId830" Type="http://schemas.openxmlformats.org/officeDocument/2006/relationships/hyperlink" Target="https://www.tiktok.com/@naomi._blackwell/video/7501155780700228906?is_from_webapp=1&amp;sender_device=pc&amp;web_id=7529868947924829714" TargetMode="External"/><Relationship Id="rId837" Type="http://schemas.openxmlformats.org/officeDocument/2006/relationships/hyperlink" Target="https://www.tiktok.com/@stitchedby.soleil/video/7477644122694700331?is_from_webapp=1&amp;sender_device=pc&amp;web_id=7529868947924829714" TargetMode="External"/><Relationship Id="rId836" Type="http://schemas.openxmlformats.org/officeDocument/2006/relationships/hyperlink" Target="https://www.tiktok.com/@elizajanekjar/video/7479619719910395182?is_from_webapp=1&amp;sender_device=pc&amp;web_id=7529868947924829714" TargetMode="External"/><Relationship Id="rId835" Type="http://schemas.openxmlformats.org/officeDocument/2006/relationships/hyperlink" Target="https://www.tiktok.com/@aly.mariii/video/7379051333296360747?is_from_webapp=1&amp;sender_device=pc&amp;web_id=7529868947924829714" TargetMode="External"/><Relationship Id="rId834" Type="http://schemas.openxmlformats.org/officeDocument/2006/relationships/hyperlink" Target="https://www.tiktok.com/@streamcoffee.co/video/7502497730611219742?is_from_webapp=1&amp;sender_device=pc&amp;web_id=7529868947924829714" TargetMode="External"/><Relationship Id="rId1059" Type="http://schemas.openxmlformats.org/officeDocument/2006/relationships/hyperlink" Target="https://www.tiktok.com/@x_kaseyc_x/video/7531758694812470550?is_from_webapp=1&amp;sender_device=pc&amp;web_id=7529868947924829714" TargetMode="External"/><Relationship Id="rId228" Type="http://schemas.openxmlformats.org/officeDocument/2006/relationships/hyperlink" Target="https://www.tiktok.com/@jun1k1t/video/7514516690030316843?is_from_webapp=1&amp;sender_device=pc&amp;web_id=7529858502199395858" TargetMode="External"/><Relationship Id="rId227" Type="http://schemas.openxmlformats.org/officeDocument/2006/relationships/hyperlink" Target="https://www.tiktok.com/@theexerciseengineer/video/7508996910724795670?is_from_webapp=1&amp;sender_device=pc&amp;web_id=7529858502199395858" TargetMode="External"/><Relationship Id="rId469" Type="http://schemas.openxmlformats.org/officeDocument/2006/relationships/hyperlink" Target="https://vt.tiktok.com/ZSAojQvkD/" TargetMode="External"/><Relationship Id="rId226" Type="http://schemas.openxmlformats.org/officeDocument/2006/relationships/hyperlink" Target="https://www.tiktok.com/@gmaregionaltv_/video/7543181685425245447?is_from_webapp=1&amp;sender_device=pc&amp;web_id=7529868947924829714" TargetMode="External"/><Relationship Id="rId468" Type="http://schemas.openxmlformats.org/officeDocument/2006/relationships/hyperlink" Target="https://www.tiktok.com/@tazitaavenue/video/7539642412377967927?is_from_webapp=1&amp;sender_device=pc&amp;web_id=7529868947924829714" TargetMode="External"/><Relationship Id="rId225" Type="http://schemas.openxmlformats.org/officeDocument/2006/relationships/hyperlink" Target="https://www.tiktok.com/@fitsbymon/video/7474664201806499094?is_from_webapp=1&amp;sender_device=pc&amp;web_id=7529868947924829714" TargetMode="External"/><Relationship Id="rId467" Type="http://schemas.openxmlformats.org/officeDocument/2006/relationships/hyperlink" Target="https://vt.tiktok.com/ZSDRpSM4T/" TargetMode="External"/><Relationship Id="rId229" Type="http://schemas.openxmlformats.org/officeDocument/2006/relationships/hyperlink" Target="https://www.tiktok.com/@arissaadams/video/7163684708839378182?is_from_webapp=1&amp;sender_device=pc&amp;web_id=7529868947924829714" TargetMode="External"/><Relationship Id="rId1050" Type="http://schemas.openxmlformats.org/officeDocument/2006/relationships/hyperlink" Target="https://www.tiktok.com/@zeinkurdi/video/7477251643432602902?is_from_webapp=1&amp;sender_device=pc&amp;web_id=7529868947924829714" TargetMode="External"/><Relationship Id="rId220" Type="http://schemas.openxmlformats.org/officeDocument/2006/relationships/hyperlink" Target="https://vt.tiktok.com/ZSAq3AAUy/" TargetMode="External"/><Relationship Id="rId462" Type="http://schemas.openxmlformats.org/officeDocument/2006/relationships/hyperlink" Target="https://www.tiktok.com/@iamalilstitious/video/6918561254357437702?is_from_webapp=1&amp;sender_device=pc&amp;web_id=7529868947924829714" TargetMode="External"/><Relationship Id="rId1051" Type="http://schemas.openxmlformats.org/officeDocument/2006/relationships/hyperlink" Target="https://www.tiktok.com/@hollyharriss/video/6929179297693355269?is_from_webapp=1&amp;sender_device=pc&amp;web_id=7529868947924829714" TargetMode="External"/><Relationship Id="rId461" Type="http://schemas.openxmlformats.org/officeDocument/2006/relationships/hyperlink" Target="https://www.tiktok.com/@meganraineyy/video/7518146215557500182?is_from_webapp=1&amp;sender_device=pc&amp;web_id=7529868947924829714" TargetMode="External"/><Relationship Id="rId1052" Type="http://schemas.openxmlformats.org/officeDocument/2006/relationships/hyperlink" Target="https://www.tiktok.com/@naomii.tz/video/7543622476106943766?is_from_webapp=1&amp;sender_device=pc&amp;web_id=7529868947924829714" TargetMode="External"/><Relationship Id="rId460" Type="http://schemas.openxmlformats.org/officeDocument/2006/relationships/hyperlink" Target="https://www.tiktok.com/@maiabotero/video/7508148385313213742?is_from_webapp=1&amp;sender_device=pc&amp;web_id=7529868947924829714" TargetMode="External"/><Relationship Id="rId1053" Type="http://schemas.openxmlformats.org/officeDocument/2006/relationships/hyperlink" Target="https://www.tiktok.com/@kayedinsleyx/video/6925826382178061573?is_from_webapp=1&amp;sender_device=pc&amp;web_id=7529868947924829714" TargetMode="External"/><Relationship Id="rId1054" Type="http://schemas.openxmlformats.org/officeDocument/2006/relationships/hyperlink" Target="https://www.tiktok.com/@lylylieee/video/7516116393297775880?is_from_webapp=1&amp;sender_device=pc&amp;web_id=7529868947924829714" TargetMode="External"/><Relationship Id="rId224" Type="http://schemas.openxmlformats.org/officeDocument/2006/relationships/hyperlink" Target="https://vt.tiktok.com/ZSAVCwmHN/" TargetMode="External"/><Relationship Id="rId466" Type="http://schemas.openxmlformats.org/officeDocument/2006/relationships/hyperlink" Target="https://vt.tiktok.com/ZSDYEaSgh/" TargetMode="External"/><Relationship Id="rId1055" Type="http://schemas.openxmlformats.org/officeDocument/2006/relationships/hyperlink" Target="https://www.tiktok.com/@parisa_91x/video/6922094684298939649?is_from_webapp=1&amp;sender_device=pc&amp;web_id=7529868947924829714" TargetMode="External"/><Relationship Id="rId223" Type="http://schemas.openxmlformats.org/officeDocument/2006/relationships/hyperlink" Target="https://www.instagram.com/kari_milani" TargetMode="External"/><Relationship Id="rId465" Type="http://schemas.openxmlformats.org/officeDocument/2006/relationships/hyperlink" Target="https://vt.tiktok.com/ZSAvC2MFU/" TargetMode="External"/><Relationship Id="rId1056" Type="http://schemas.openxmlformats.org/officeDocument/2006/relationships/hyperlink" Target="https://www.tiktok.com/@thecreatingkorean/video/7497673267105352991?is_from_webapp=1&amp;sender_device=pc&amp;web_id=7529868947924829714" TargetMode="External"/><Relationship Id="rId222" Type="http://schemas.openxmlformats.org/officeDocument/2006/relationships/hyperlink" Target="https://vt.tiktok.com/ZSAVQ6pxV/" TargetMode="External"/><Relationship Id="rId464" Type="http://schemas.openxmlformats.org/officeDocument/2006/relationships/hyperlink" Target="https://vt.tiktok.com/ZSDAtnDHR/" TargetMode="External"/><Relationship Id="rId1057" Type="http://schemas.openxmlformats.org/officeDocument/2006/relationships/hyperlink" Target="https://www.tiktok.com/@tayxox4/video/7548931870466051330?is_from_webapp=1&amp;sender_device=pc&amp;web_id=7529868947924829714" TargetMode="External"/><Relationship Id="rId221" Type="http://schemas.openxmlformats.org/officeDocument/2006/relationships/hyperlink" Target="https://www.tiktok.com/@menomonie.market/video/7536306811540884767?is_from_webapp=1&amp;sender_device=pc&amp;web_id=7529858502199395858" TargetMode="External"/><Relationship Id="rId463" Type="http://schemas.openxmlformats.org/officeDocument/2006/relationships/hyperlink" Target="https://www.tiktok.com/@delusionallyssa/video/7473969116538244382?is_from_webapp=1&amp;sender_device=pc&amp;web_id=7529868947924829714" TargetMode="External"/><Relationship Id="rId1058" Type="http://schemas.openxmlformats.org/officeDocument/2006/relationships/hyperlink" Target="https://www.tiktok.com/@wackelpuddings55/video/7539970214453169430?is_from_webapp=1&amp;sender_device=pc&amp;web_id=7529868947924829714" TargetMode="External"/><Relationship Id="rId1048" Type="http://schemas.openxmlformats.org/officeDocument/2006/relationships/hyperlink" Target="https://www.tiktok.com/@chelsie.spam0/video/7486059070395567382?is_from_webapp=1&amp;sender_device=pc&amp;web_id=7529868947924829714" TargetMode="External"/><Relationship Id="rId1049" Type="http://schemas.openxmlformats.org/officeDocument/2006/relationships/hyperlink" Target="https://www.tiktok.com/@dannimariekeogh/video/6935102205099789573?is_from_webapp=1&amp;sender_device=pc&amp;web_id=7529868947924829714" TargetMode="External"/><Relationship Id="rId217" Type="http://schemas.openxmlformats.org/officeDocument/2006/relationships/hyperlink" Target="https://vt.tiktok.com/ZSDAay8k1/" TargetMode="External"/><Relationship Id="rId459" Type="http://schemas.openxmlformats.org/officeDocument/2006/relationships/hyperlink" Target="https://www.tiktok.com/@ash_nevxz/video/7543254738045848839?is_from_webapp=1&amp;sender_device=pc&amp;web_id=7529868947924829714" TargetMode="External"/><Relationship Id="rId216" Type="http://schemas.openxmlformats.org/officeDocument/2006/relationships/hyperlink" Target="https://www.tiktok.com/@samanthaysabel.co/video/7502777453358746888?is_from_webapp=1&amp;sender_device=pc&amp;web_id=7529868947924829714" TargetMode="External"/><Relationship Id="rId458" Type="http://schemas.openxmlformats.org/officeDocument/2006/relationships/hyperlink" Target="https://www.tiktok.com/@laviniamincu/video/7483458878059908374?is_from_webapp=1&amp;sender_device=pc&amp;web_id=7529868947924829714" TargetMode="External"/><Relationship Id="rId215" Type="http://schemas.openxmlformats.org/officeDocument/2006/relationships/hyperlink" Target="https://www.tiktok.com/@matt_and_abby/video/6869099288610229509?is_from_webapp=1&amp;sender_device=pc&amp;web_id=7529868947924829714" TargetMode="External"/><Relationship Id="rId457" Type="http://schemas.openxmlformats.org/officeDocument/2006/relationships/hyperlink" Target="https://vt.tiktok.com/ZSAojXdPe/" TargetMode="External"/><Relationship Id="rId699" Type="http://schemas.openxmlformats.org/officeDocument/2006/relationships/hyperlink" Target="https://www.tiktok.com/@joywithkendall/video/7525251478936685838?is_from_webapp=1&amp;sender_device=pc&amp;web_id=7529868947924829714" TargetMode="External"/><Relationship Id="rId214" Type="http://schemas.openxmlformats.org/officeDocument/2006/relationships/hyperlink" Target="https://www.tiktok.com/@evzeca/video/7539581917465677070?is_from_webapp=1&amp;sender_device=pc&amp;web_id=7529858502199395858" TargetMode="External"/><Relationship Id="rId456" Type="http://schemas.openxmlformats.org/officeDocument/2006/relationships/hyperlink" Target="https://www.tiktok.com/@white.house.nutri/video/7536599305449114935?is_from_webapp=1&amp;sender_device=pc&amp;web_id=7529868947924829714" TargetMode="External"/><Relationship Id="rId698" Type="http://schemas.openxmlformats.org/officeDocument/2006/relationships/hyperlink" Target="https://www.tiktok.com/@sarahbetts/video/7307217421633391879?is_from_webapp=1&amp;sender_device=pc&amp;web_id=7529868947924829714" TargetMode="External"/><Relationship Id="rId219" Type="http://schemas.openxmlformats.org/officeDocument/2006/relationships/hyperlink" Target="https://vt.tiktok.com/ZSAq3GpsG/" TargetMode="External"/><Relationship Id="rId218" Type="http://schemas.openxmlformats.org/officeDocument/2006/relationships/hyperlink" Target="https://vt.tiktok.com/ZSAVXQjAj/" TargetMode="External"/><Relationship Id="rId451" Type="http://schemas.openxmlformats.org/officeDocument/2006/relationships/hyperlink" Target="https://www.tiktok.com/@ieattwinkletoejewels/video/7531110566518115615?is_from_webapp=1&amp;sender_device=pc&amp;web_id=7529868947924829714" TargetMode="External"/><Relationship Id="rId693" Type="http://schemas.openxmlformats.org/officeDocument/2006/relationships/hyperlink" Target="https://www.tiktok.com/@sarahbetts/video/7335045393207594258?is_from_webapp=1&amp;sender_device=pc&amp;web_id=7529868947924829714" TargetMode="External"/><Relationship Id="rId1040" Type="http://schemas.openxmlformats.org/officeDocument/2006/relationships/hyperlink" Target="https://www.tiktok.com/@okayasmin/video/7535939509691665686?is_from_webapp=1&amp;sender_device=pc&amp;web_id=7529868947924829714" TargetMode="External"/><Relationship Id="rId450" Type="http://schemas.openxmlformats.org/officeDocument/2006/relationships/hyperlink" Target="https://www.tiktok.com/@chopluem/video/6894552807484050690?is_from_webapp=1&amp;sender_device=pc&amp;web_id=7529868947924829714" TargetMode="External"/><Relationship Id="rId692" Type="http://schemas.openxmlformats.org/officeDocument/2006/relationships/hyperlink" Target="https://www.tiktok.com/@blockmeganout/video/7480355549838658859?is_from_webapp=1&amp;sender_device=pc&amp;web_id=7529868947924829714" TargetMode="External"/><Relationship Id="rId1041" Type="http://schemas.openxmlformats.org/officeDocument/2006/relationships/hyperlink" Target="https://www.tiktok.com/@carlywyeth/video/6897592624845180162?is_from_webapp=1&amp;sender_device=pc&amp;web_id=7529868947924829714" TargetMode="External"/><Relationship Id="rId691" Type="http://schemas.openxmlformats.org/officeDocument/2006/relationships/hyperlink" Target="https://www.tiktok.com/@liljellys/video/7479964398237355310?is_from_webapp=1&amp;sender_device=pc&amp;web_id=7529868947924829714" TargetMode="External"/><Relationship Id="rId1042" Type="http://schemas.openxmlformats.org/officeDocument/2006/relationships/hyperlink" Target="https://www.tiktok.com/@taylor_likestoshop/video/7466194112065309998?is_from_webapp=1&amp;sender_device=pc&amp;web_id=7529868947924829714" TargetMode="External"/><Relationship Id="rId690" Type="http://schemas.openxmlformats.org/officeDocument/2006/relationships/hyperlink" Target="https://vt.tiktok.com/ZSDAP4oVT/" TargetMode="External"/><Relationship Id="rId1043" Type="http://schemas.openxmlformats.org/officeDocument/2006/relationships/hyperlink" Target="https://www.tiktok.com/@theturnerfam/video/6928787577516444933?is_from_webapp=1&amp;sender_device=pc&amp;web_id=7529868947924829714" TargetMode="External"/><Relationship Id="rId213" Type="http://schemas.openxmlformats.org/officeDocument/2006/relationships/hyperlink" Target="https://www.tiktok.com/@.vienna.s/video/7511759087261158678?is_from_webapp=1&amp;sender_device=pc&amp;web_id=7529858502199395858" TargetMode="External"/><Relationship Id="rId455" Type="http://schemas.openxmlformats.org/officeDocument/2006/relationships/hyperlink" Target="https://vt.tiktok.com/ZSDRpSuVV/" TargetMode="External"/><Relationship Id="rId697" Type="http://schemas.openxmlformats.org/officeDocument/2006/relationships/hyperlink" Target="https://www.tiktok.com/@vianeyquirozm/video/7483340998257511710?is_from_webapp=1&amp;sender_device=pc&amp;web_id=7529868947924829714" TargetMode="External"/><Relationship Id="rId1044" Type="http://schemas.openxmlformats.org/officeDocument/2006/relationships/hyperlink" Target="https://www.tiktok.com/@talia.kruzhkov/video/7479496426947398942?is_from_webapp=1&amp;sender_device=pc&amp;web_id=7529868947924829714" TargetMode="External"/><Relationship Id="rId212" Type="http://schemas.openxmlformats.org/officeDocument/2006/relationships/hyperlink" Target="https://www.tiktok.com/@nicoleeeyxx/video/7533826466778254610?is_from_webapp=1&amp;sender_device=pc&amp;web_id=7529868947924829714" TargetMode="External"/><Relationship Id="rId454" Type="http://schemas.openxmlformats.org/officeDocument/2006/relationships/hyperlink" Target="https://vt.tiktok.com/ZSDYEF7QB/" TargetMode="External"/><Relationship Id="rId696" Type="http://schemas.openxmlformats.org/officeDocument/2006/relationships/hyperlink" Target="https://www.tiktok.com/@torotoro131/video/7482566668749638943?is_from_webapp=1&amp;sender_device=pc&amp;web_id=7529868947924829714" TargetMode="External"/><Relationship Id="rId1045" Type="http://schemas.openxmlformats.org/officeDocument/2006/relationships/hyperlink" Target="https://www.tiktok.com/@lucymayo_makeup/video/6949532264615169285?is_from_webapp=1&amp;sender_device=pc&amp;web_id=7529868947924829714" TargetMode="External"/><Relationship Id="rId211" Type="http://schemas.openxmlformats.org/officeDocument/2006/relationships/hyperlink" Target="https://www.tiktok.com/@gabyy.library/video/7474052998965005614?is_from_webapp=1&amp;sender_device=pc&amp;web_id=7529868947924829714" TargetMode="External"/><Relationship Id="rId453" Type="http://schemas.openxmlformats.org/officeDocument/2006/relationships/hyperlink" Target="https://vt.tiktok.com/ZSAvC6wYX/" TargetMode="External"/><Relationship Id="rId695" Type="http://schemas.openxmlformats.org/officeDocument/2006/relationships/hyperlink" Target="https://vt.tiktok.com/ZSDAPqyRP/" TargetMode="External"/><Relationship Id="rId1046" Type="http://schemas.openxmlformats.org/officeDocument/2006/relationships/hyperlink" Target="https://www.tiktok.com/@ghazaa7/video/7466861444982787350?is_from_webapp=1&amp;sender_device=pc&amp;web_id=7529868947924829714" TargetMode="External"/><Relationship Id="rId210" Type="http://schemas.openxmlformats.org/officeDocument/2006/relationships/hyperlink" Target="https://vt.tiktok.com/ZSAVCsYk6/" TargetMode="External"/><Relationship Id="rId452" Type="http://schemas.openxmlformats.org/officeDocument/2006/relationships/hyperlink" Target="https://vt.tiktok.com/ZSDAn6atC/" TargetMode="External"/><Relationship Id="rId694" Type="http://schemas.openxmlformats.org/officeDocument/2006/relationships/hyperlink" Target="https://www.tiktok.com/@riley_hope13/video/7512166446911278382?is_from_webapp=1&amp;sender_device=pc&amp;web_id=7529868947924829714" TargetMode="External"/><Relationship Id="rId1047" Type="http://schemas.openxmlformats.org/officeDocument/2006/relationships/hyperlink" Target="https://www.tiktok.com/@brookejamesxx/video/7412335429715791136?is_from_webapp=1&amp;sender_device=pc&amp;web_id=7529868947924829714" TargetMode="External"/><Relationship Id="rId491" Type="http://schemas.openxmlformats.org/officeDocument/2006/relationships/hyperlink" Target="https://vt.tiktok.com/ZSDRpkuoN/" TargetMode="External"/><Relationship Id="rId490" Type="http://schemas.openxmlformats.org/officeDocument/2006/relationships/hyperlink" Target="https://vt.tiktok.com/ZSDSYX1Ra/" TargetMode="External"/><Relationship Id="rId249" Type="http://schemas.openxmlformats.org/officeDocument/2006/relationships/hyperlink" Target="https://vt.tiktok.com/ZSAVVSQmg/" TargetMode="External"/><Relationship Id="rId248" Type="http://schemas.openxmlformats.org/officeDocument/2006/relationships/hyperlink" Target="https://www.tiktok.com/@palm.coffee.lounge/video/7544037628421704982?is_from_webapp=1&amp;sender_device=pc&amp;web_id=7529858502199395858" TargetMode="External"/><Relationship Id="rId247" Type="http://schemas.openxmlformats.org/officeDocument/2006/relationships/hyperlink" Target="https://vt.tiktok.com/ZSAq3ADaV/" TargetMode="External"/><Relationship Id="rId489" Type="http://schemas.openxmlformats.org/officeDocument/2006/relationships/hyperlink" Target="https://vt.tiktok.com/ZSAvCAUYH/" TargetMode="External"/><Relationship Id="rId1070" Type="http://schemas.openxmlformats.org/officeDocument/2006/relationships/hyperlink" Target="https://www.tiktok.com/@farahtawfiik/video/7471032243784273160?is_from_webapp=1&amp;sender_device=pc&amp;web_id=7529868947924829714" TargetMode="External"/><Relationship Id="rId1071" Type="http://schemas.openxmlformats.org/officeDocument/2006/relationships/hyperlink" Target="https://www.tiktok.com/@gabriella626smale/video/7150347425939475717?is_from_webapp=1&amp;sender_device=pc&amp;web_id=7529868947924829714" TargetMode="External"/><Relationship Id="rId1072" Type="http://schemas.openxmlformats.org/officeDocument/2006/relationships/hyperlink" Target="https://www.tiktok.com/@nayhaqueiroz/video/7488421841506192662?is_from_webapp=1&amp;sender_device=pc&amp;web_id=7529868947924829714" TargetMode="External"/><Relationship Id="rId242" Type="http://schemas.openxmlformats.org/officeDocument/2006/relationships/hyperlink" Target="https://www.tiktok.com/@laura88lee/video/7325856822592539934?is_from_webapp=1&amp;sender_device=pc&amp;web_id=7529868947924829714" TargetMode="External"/><Relationship Id="rId484" Type="http://schemas.openxmlformats.org/officeDocument/2006/relationships/hyperlink" Target="https://www.tiktok.com/@elizamasa/video/7512443472167587079?is_from_webapp=1&amp;sender_device=pc&amp;web_id=7529868947924829714" TargetMode="External"/><Relationship Id="rId1073" Type="http://schemas.openxmlformats.org/officeDocument/2006/relationships/hyperlink" Target="https://www.tiktok.com/@lils.buckland/video/7485740597114850582?is_from_webapp=1&amp;sender_device=pc&amp;web_id=7529868947924829714" TargetMode="External"/><Relationship Id="rId241" Type="http://schemas.openxmlformats.org/officeDocument/2006/relationships/hyperlink" Target="https://www.tiktok.com/@austinandhaven5/video/7522243782847368479?is_from_webapp=1&amp;sender_device=pc&amp;web_id=7529858502199395858" TargetMode="External"/><Relationship Id="rId483" Type="http://schemas.openxmlformats.org/officeDocument/2006/relationships/hyperlink" Target="https://www.tiktok.com/@kedjecc/video/7544292142873726209?is_from_webapp=1&amp;sender_device=pc&amp;web_id=7529868947924829714" TargetMode="External"/><Relationship Id="rId1074" Type="http://schemas.openxmlformats.org/officeDocument/2006/relationships/hyperlink" Target="https://www.tiktok.com/@shantigirl_/video/7474936862449077520?is_from_webapp=1&amp;sender_device=pc&amp;web_id=7529868947924829714" TargetMode="External"/><Relationship Id="rId240" Type="http://schemas.openxmlformats.org/officeDocument/2006/relationships/hyperlink" Target="https://www.tiktok.com/@fern.sthetics/video/7509130988149017864?is_from_webapp=1&amp;sender_device=pc&amp;web_id=7529858502199395858" TargetMode="External"/><Relationship Id="rId482" Type="http://schemas.openxmlformats.org/officeDocument/2006/relationships/hyperlink" Target="https://www.tiktok.com/@__camilaleal/video/7483363242685828360?is_from_webapp=1&amp;sender_device=pc&amp;web_id=7529868947924829714" TargetMode="External"/><Relationship Id="rId1075" Type="http://schemas.openxmlformats.org/officeDocument/2006/relationships/hyperlink" Target="https://www.tiktok.com/@sophlawson/video/7241658864838511898?is_from_webapp=1&amp;sender_device=pc&amp;web_id=7529868947924829714" TargetMode="External"/><Relationship Id="rId481" Type="http://schemas.openxmlformats.org/officeDocument/2006/relationships/hyperlink" Target="https://vt.tiktok.com/ZSDSs469C/" TargetMode="External"/><Relationship Id="rId1076" Type="http://schemas.openxmlformats.org/officeDocument/2006/relationships/hyperlink" Target="https://www.tiktok.com/@amelia0livia/video/7469401261276794144?is_from_webapp=1&amp;sender_device=pc&amp;web_id=7529868947924829714" TargetMode="External"/><Relationship Id="rId246" Type="http://schemas.openxmlformats.org/officeDocument/2006/relationships/hyperlink" Target="https://vt.tiktok.com/ZSAqT1G8X/" TargetMode="External"/><Relationship Id="rId488" Type="http://schemas.openxmlformats.org/officeDocument/2006/relationships/hyperlink" Target="https://vt.tiktok.com/ZSDAnHLsj/" TargetMode="External"/><Relationship Id="rId1077" Type="http://schemas.openxmlformats.org/officeDocument/2006/relationships/hyperlink" Target="https://www.tiktok.com/@jadefrankish/video/7435243043118189857?is_from_webapp=1&amp;sender_device=pc&amp;web_id=7529868947924829714" TargetMode="External"/><Relationship Id="rId245" Type="http://schemas.openxmlformats.org/officeDocument/2006/relationships/hyperlink" Target="https://vt.tiktok.com/ZSAVq5nkt/" TargetMode="External"/><Relationship Id="rId487" Type="http://schemas.openxmlformats.org/officeDocument/2006/relationships/hyperlink" Target="https://www.tiktok.com/@ashlynnsspamm_1086/video/7535007222972091678?is_from_webapp=1&amp;sender_device=pc&amp;web_id=7529868947924829714" TargetMode="External"/><Relationship Id="rId1078" Type="http://schemas.openxmlformats.org/officeDocument/2006/relationships/hyperlink" Target="https://www.tiktok.com/@gentianabdh/video/7546651381227162902?is_from_webapp=1&amp;sender_device=pc&amp;web_id=7529868947924829714" TargetMode="External"/><Relationship Id="rId244" Type="http://schemas.openxmlformats.org/officeDocument/2006/relationships/hyperlink" Target="https://vt.tiktok.com/ZSDAaqREC/" TargetMode="External"/><Relationship Id="rId486" Type="http://schemas.openxmlformats.org/officeDocument/2006/relationships/hyperlink" Target="https://www.tiktok.com/@kaestlecastle/video/6859095156877004037?is_from_webapp=1&amp;sender_device=pc&amp;web_id=7529868947924829714" TargetMode="External"/><Relationship Id="rId1079" Type="http://schemas.openxmlformats.org/officeDocument/2006/relationships/hyperlink" Target="https://www.tiktok.com/@gabsbrown_/video/7415351935869488417?is_from_webapp=1&amp;sender_device=pc&amp;web_id=7529868947924829714" TargetMode="External"/><Relationship Id="rId243" Type="http://schemas.openxmlformats.org/officeDocument/2006/relationships/hyperlink" Target="https://www.tiktok.com/@lifeaszeph/video/7451788412312489246?is_from_webapp=1&amp;sender_device=pc&amp;web_id=7529868947924829714" TargetMode="External"/><Relationship Id="rId485" Type="http://schemas.openxmlformats.org/officeDocument/2006/relationships/hyperlink" Target="https://www.tiktok.com/@tuesday.coffee/video/7545878345620196621?is_from_webapp=1&amp;sender_device=pc&amp;web_id=7529868947924829714" TargetMode="External"/><Relationship Id="rId480" Type="http://schemas.openxmlformats.org/officeDocument/2006/relationships/hyperlink" Target="https://www.tiktok.com/@hometownenergynutrition1/video/7539242841986387214?is_from_webapp=1&amp;sender_device=pc&amp;web_id=7529868947924829714" TargetMode="External"/><Relationship Id="rId239" Type="http://schemas.openxmlformats.org/officeDocument/2006/relationships/hyperlink" Target="https://www.tiktok.com/@yzhakane/video/7541302079588011272?is_from_webapp=1&amp;sender_device=pc&amp;web_id=7529868947924829714" TargetMode="External"/><Relationship Id="rId238" Type="http://schemas.openxmlformats.org/officeDocument/2006/relationships/hyperlink" Target="https://www.tiktok.com/@mynameisadrienne/video/7471042913544195374?is_from_webapp=1&amp;sender_device=pc&amp;web_id=7529868947924829714" TargetMode="External"/><Relationship Id="rId237" Type="http://schemas.openxmlformats.org/officeDocument/2006/relationships/hyperlink" Target="https://vt.tiktok.com/ZSAV45FDC/" TargetMode="External"/><Relationship Id="rId479" Type="http://schemas.openxmlformats.org/officeDocument/2006/relationships/hyperlink" Target="https://vt.tiktok.com/ZSDRpMy2x/" TargetMode="External"/><Relationship Id="rId236" Type="http://schemas.openxmlformats.org/officeDocument/2006/relationships/hyperlink" Target="https://vt.tiktok.com/ZSAV47CrT/" TargetMode="External"/><Relationship Id="rId478" Type="http://schemas.openxmlformats.org/officeDocument/2006/relationships/hyperlink" Target="https://vt.tiktok.com/ZSDSYuS6b/" TargetMode="External"/><Relationship Id="rId1060" Type="http://schemas.openxmlformats.org/officeDocument/2006/relationships/hyperlink" Target="https://www.tiktok.com/@thriftwithmee/video/7548422228203916566?is_from_webapp=1&amp;sender_device=pc&amp;web_id=7529868947924829714" TargetMode="External"/><Relationship Id="rId1061" Type="http://schemas.openxmlformats.org/officeDocument/2006/relationships/hyperlink" Target="https://www.tiktok.com/@joshandeloise28/video/7544829851425934614?is_from_webapp=1&amp;sender_device=pc&amp;web_id=7529868947924829714" TargetMode="External"/><Relationship Id="rId231" Type="http://schemas.openxmlformats.org/officeDocument/2006/relationships/hyperlink" Target="https://vt.tiktok.com/ZSDAaurWa/" TargetMode="External"/><Relationship Id="rId473" Type="http://schemas.openxmlformats.org/officeDocument/2006/relationships/hyperlink" Target="https://www.tiktok.com/@nananuengsit/video/7506916513811582226?is_from_webapp=1&amp;sender_device=pc&amp;web_id=7529868947924829714" TargetMode="External"/><Relationship Id="rId1062" Type="http://schemas.openxmlformats.org/officeDocument/2006/relationships/hyperlink" Target="https://www.tiktok.com/@maeandevie/video/7543136512662179094?is_from_webapp=1&amp;sender_device=pc&amp;web_id=7529868947924829714" TargetMode="External"/><Relationship Id="rId230" Type="http://schemas.openxmlformats.org/officeDocument/2006/relationships/hyperlink" Target="https://www.tiktok.com/@love.maceee/video/7516108400787295495?is_from_webapp=1&amp;sender_device=pc&amp;web_id=7529868947924829714" TargetMode="External"/><Relationship Id="rId472" Type="http://schemas.openxmlformats.org/officeDocument/2006/relationships/hyperlink" Target="https://www.tiktok.com/@desungpinas/video/7517154915186232594?is_from_webapp=1&amp;sender_device=pc&amp;web_id=7529868947924829714" TargetMode="External"/><Relationship Id="rId1063" Type="http://schemas.openxmlformats.org/officeDocument/2006/relationships/hyperlink" Target="https://www.tiktok.com/@em.ily14g33/video/6923572855712091398?is_from_webapp=1&amp;sender_device=pc&amp;web_id=7529868947924829714" TargetMode="External"/><Relationship Id="rId471" Type="http://schemas.openxmlformats.org/officeDocument/2006/relationships/hyperlink" Target="https://www.tiktok.com/@jea.mariz/video/7543718287851425047?is_from_webapp=1&amp;sender_device=pc&amp;web_id=7529868947924829714" TargetMode="External"/><Relationship Id="rId1064" Type="http://schemas.openxmlformats.org/officeDocument/2006/relationships/hyperlink" Target="https://www.tiktok.com/@tonewithtee/video/7525047892139052310?is_from_webapp=1&amp;sender_device=pc&amp;web_id=7529868947924829714" TargetMode="External"/><Relationship Id="rId470" Type="http://schemas.openxmlformats.org/officeDocument/2006/relationships/hyperlink" Target="https://www.tiktok.com/@oliviaburtonlondon/video/7481697559107489046?is_from_webapp=1&amp;sender_device=pc&amp;web_id=7529868947924829714" TargetMode="External"/><Relationship Id="rId1065" Type="http://schemas.openxmlformats.org/officeDocument/2006/relationships/hyperlink" Target="https://www.tiktok.com/@naomibuckley1/video/6928812129101319430?is_from_webapp=1&amp;sender_device=pc&amp;web_id=7529868947924829714" TargetMode="External"/><Relationship Id="rId235" Type="http://schemas.openxmlformats.org/officeDocument/2006/relationships/hyperlink" Target="https://www.tiktok.com/@pinkdoorhgt/video/7539871335816662294?is_from_webapp=1&amp;sender_device=pc&amp;web_id=7529858502199395858" TargetMode="External"/><Relationship Id="rId477" Type="http://schemas.openxmlformats.org/officeDocument/2006/relationships/hyperlink" Target="https://vt.tiktok.com/ZSAvCaFaT/" TargetMode="External"/><Relationship Id="rId1066" Type="http://schemas.openxmlformats.org/officeDocument/2006/relationships/hyperlink" Target="https://www.tiktok.com/@emmaruddle12/video/7468225129084964139?is_from_webapp=1&amp;sender_device=pc&amp;web_id=7529868947924829714" TargetMode="External"/><Relationship Id="rId234" Type="http://schemas.openxmlformats.org/officeDocument/2006/relationships/hyperlink" Target="https://vt.tiktok.com/ZSAq368EC/" TargetMode="External"/><Relationship Id="rId476" Type="http://schemas.openxmlformats.org/officeDocument/2006/relationships/hyperlink" Target="https://vt.tiktok.com/ZSDAnLQ7b/" TargetMode="External"/><Relationship Id="rId1067" Type="http://schemas.openxmlformats.org/officeDocument/2006/relationships/hyperlink" Target="https://www.tiktok.com/@katie_louisex132/video/7199651418880478470?is_from_webapp=1&amp;sender_device=pc&amp;web_id=7529868947924829714" TargetMode="External"/><Relationship Id="rId233" Type="http://schemas.openxmlformats.org/officeDocument/2006/relationships/hyperlink" Target="https://vt.tiktok.com/ZSAq3wcrh/" TargetMode="External"/><Relationship Id="rId475" Type="http://schemas.openxmlformats.org/officeDocument/2006/relationships/hyperlink" Target="https://www.tiktok.com/@frankoceanlover2354/video/7516599533040651551?is_from_webapp=1&amp;sender_device=pc&amp;web_id=7529868947924829714" TargetMode="External"/><Relationship Id="rId1068" Type="http://schemas.openxmlformats.org/officeDocument/2006/relationships/hyperlink" Target="https://www.tiktok.com/@karacovaleski/video/7504483161389141279?is_from_webapp=1&amp;sender_device=pc&amp;web_id=7529868947924829714" TargetMode="External"/><Relationship Id="rId232" Type="http://schemas.openxmlformats.org/officeDocument/2006/relationships/hyperlink" Target="https://vt.tiktok.com/ZSAsRwXpV/" TargetMode="External"/><Relationship Id="rId474" Type="http://schemas.openxmlformats.org/officeDocument/2006/relationships/hyperlink" Target="https://www.tiktok.com/@espressomartiniqueeniee/video/6895143423309843718?is_from_webapp=1&amp;sender_device=pc&amp;web_id=7529868947924829714" TargetMode="External"/><Relationship Id="rId1069" Type="http://schemas.openxmlformats.org/officeDocument/2006/relationships/hyperlink" Target="https://www.tiktok.com/@libbyeve1999/video/7065053306003016966?is_from_webapp=1&amp;sender_device=pc&amp;web_id=7529868947924829714" TargetMode="External"/><Relationship Id="rId1015" Type="http://schemas.openxmlformats.org/officeDocument/2006/relationships/hyperlink" Target="https://www.tiktok.com/@modagoatt/video/7449499818063334699?is_from_webapp=1&amp;sender_device=pc&amp;web_id=7529868947924829714" TargetMode="External"/><Relationship Id="rId1016" Type="http://schemas.openxmlformats.org/officeDocument/2006/relationships/hyperlink" Target="https://www.tiktok.com/@gregoriansisters/video/7550022436289252630?is_from_webapp=1&amp;sender_device=pc&amp;web_id=7529868947924829714" TargetMode="External"/><Relationship Id="rId1017" Type="http://schemas.openxmlformats.org/officeDocument/2006/relationships/hyperlink" Target="https://www.tiktok.com/@joannehayley891/video/7509937262587628822?is_from_webapp=1&amp;sender_device=pc&amp;web_id=7529868947924829714" TargetMode="External"/><Relationship Id="rId1018" Type="http://schemas.openxmlformats.org/officeDocument/2006/relationships/hyperlink" Target="https://www.tiktok.com/@becca.fey/video/7229825932461100334?is_from_webapp=1&amp;sender_device=pc&amp;web_id=7529868947924829714" TargetMode="External"/><Relationship Id="rId1019" Type="http://schemas.openxmlformats.org/officeDocument/2006/relationships/hyperlink" Target="https://www.tiktok.com/@isobelfd/video/7489838579745574166?is_from_webapp=1&amp;sender_device=pc&amp;web_id=7529868947924829714" TargetMode="External"/><Relationship Id="rId426" Type="http://schemas.openxmlformats.org/officeDocument/2006/relationships/hyperlink" Target="https://www.tiktok.com/@all.hail.ash/video/7497404044869176618?is_from_webapp=1&amp;sender_device=pc&amp;web_id=7529868947924829714" TargetMode="External"/><Relationship Id="rId668" Type="http://schemas.openxmlformats.org/officeDocument/2006/relationships/hyperlink" Target="https://www.tiktok.com/@ferbersamelisengarten/video/7492863080737557782?is_from_webapp=1&amp;sender_device=pc&amp;web_id=7529868947924829714" TargetMode="External"/><Relationship Id="rId425" Type="http://schemas.openxmlformats.org/officeDocument/2006/relationships/hyperlink" Target="https://www.tiktok.com/@its.namess/video/6920522122670460161?is_from_webapp=1&amp;sender_device=pc&amp;web_id=7529868947924829714" TargetMode="External"/><Relationship Id="rId667" Type="http://schemas.openxmlformats.org/officeDocument/2006/relationships/hyperlink" Target="https://vt.tiktok.com/ZSDAPMJX6/" TargetMode="External"/><Relationship Id="rId424" Type="http://schemas.openxmlformats.org/officeDocument/2006/relationships/hyperlink" Target="https://www.tiktok.com/@centralpub/video/7548220492784717111?is_from_webapp=1&amp;sender_device=pc&amp;web_id=7529868947924829714" TargetMode="External"/><Relationship Id="rId666" Type="http://schemas.openxmlformats.org/officeDocument/2006/relationships/hyperlink" Target="https://www.tiktok.com/@y0rubangel/video/7377131822708313386?is_from_webapp=1&amp;sender_device=pc&amp;web_id=7529868947924829714" TargetMode="External"/><Relationship Id="rId423" Type="http://schemas.openxmlformats.org/officeDocument/2006/relationships/hyperlink" Target="https://www.tiktok.com/@heliotroniq/video/7514317387538156821?is_from_webapp=1&amp;sender_device=pc&amp;web_id=7529868947924829714" TargetMode="External"/><Relationship Id="rId665" Type="http://schemas.openxmlformats.org/officeDocument/2006/relationships/hyperlink" Target="https://www.tiktok.com/@sarahbetts/video/7121661537546226946?is_from_webapp=1&amp;sender_device=pc&amp;web_id=7529868947924829714" TargetMode="External"/><Relationship Id="rId429" Type="http://schemas.openxmlformats.org/officeDocument/2006/relationships/hyperlink" Target="https://vt.tiktok.com/ZSDYE6UeL/" TargetMode="External"/><Relationship Id="rId428" Type="http://schemas.openxmlformats.org/officeDocument/2006/relationships/hyperlink" Target="https://vt.tiktok.com/ZSAvChqAJ/" TargetMode="External"/><Relationship Id="rId427" Type="http://schemas.openxmlformats.org/officeDocument/2006/relationships/hyperlink" Target="https://vt.tiktok.com/ZSDAmsRDx/" TargetMode="External"/><Relationship Id="rId669" Type="http://schemas.openxmlformats.org/officeDocument/2006/relationships/hyperlink" Target="https://www.tiktok.com/@whoooootfisdesiiiii/video/7542242175157832977?is_from_webapp=1&amp;sender_device=pc&amp;web_id=7529868947924829714" TargetMode="External"/><Relationship Id="rId660" Type="http://schemas.openxmlformats.org/officeDocument/2006/relationships/hyperlink" Target="https://vt.tiktok.com/ZSDAP5UoV/" TargetMode="External"/><Relationship Id="rId1010" Type="http://schemas.openxmlformats.org/officeDocument/2006/relationships/hyperlink" Target="https://www.tiktok.com/@kennedy.pricee/video/7463995684321037598?is_from_webapp=1&amp;sender_device=pc&amp;web_id=7529868947924829714" TargetMode="External"/><Relationship Id="rId422" Type="http://schemas.openxmlformats.org/officeDocument/2006/relationships/hyperlink" Target="https://www.tiktok.com/@eilidhstiktoke/video/7544369832804781334?is_from_webapp=1&amp;sender_device=pc&amp;web_id=7529868947924829714" TargetMode="External"/><Relationship Id="rId664" Type="http://schemas.openxmlformats.org/officeDocument/2006/relationships/hyperlink" Target="https://www.tiktok.com/@nurse.maddi/video/7537198347812195614?is_from_webapp=1&amp;sender_device=pc&amp;web_id=7529868947924829714" TargetMode="External"/><Relationship Id="rId1011" Type="http://schemas.openxmlformats.org/officeDocument/2006/relationships/hyperlink" Target="https://www.tiktok.com/@callumandbeca/video/7441692942709951777?is_from_webapp=1&amp;sender_device=pc&amp;web_id=7529868947924829714" TargetMode="External"/><Relationship Id="rId421" Type="http://schemas.openxmlformats.org/officeDocument/2006/relationships/hyperlink" Target="https://www.tiktok.com/@cosmetify/video/7471320711651691778?is_from_webapp=1&amp;sender_device=pc&amp;web_id=7529868947924829714" TargetMode="External"/><Relationship Id="rId663" Type="http://schemas.openxmlformats.org/officeDocument/2006/relationships/hyperlink" Target="https://www.tiktok.com/@quinnfre/video/7544358126716275976?is_from_webapp=1&amp;sender_device=pc&amp;web_id=7529868947924829714" TargetMode="External"/><Relationship Id="rId1012" Type="http://schemas.openxmlformats.org/officeDocument/2006/relationships/hyperlink" Target="https://www.tiktok.com/@ulyanikitaa/video/7510121835124641031?is_from_webapp=1&amp;sender_device=pc&amp;web_id=7529868947924829714" TargetMode="External"/><Relationship Id="rId420" Type="http://schemas.openxmlformats.org/officeDocument/2006/relationships/hyperlink" Target="https://vt.tiktok.com/ZSAvsUWXC/" TargetMode="External"/><Relationship Id="rId662" Type="http://schemas.openxmlformats.org/officeDocument/2006/relationships/hyperlink" Target="https://www.tiktok.com/@dancecodemunich/video/7494361403499859222?is_from_webapp=1&amp;sender_device=pc&amp;web_id=7529868947924829714" TargetMode="External"/><Relationship Id="rId1013" Type="http://schemas.openxmlformats.org/officeDocument/2006/relationships/hyperlink" Target="https://www.tiktok.com/@itsolivialevett/video/7513474490337152278?is_from_webapp=1&amp;sender_device=pc&amp;web_id=7529868947924829714" TargetMode="External"/><Relationship Id="rId661" Type="http://schemas.openxmlformats.org/officeDocument/2006/relationships/hyperlink" Target="https://www.tiktok.com/@tuttlesmeatmarket/video/7532642606728170807?is_from_webapp=1&amp;sender_device=pc&amp;web_id=7529868947924829714" TargetMode="External"/><Relationship Id="rId1014" Type="http://schemas.openxmlformats.org/officeDocument/2006/relationships/hyperlink" Target="https://www.tiktok.com/@demiheffron/video/7061579982958644485?is_from_webapp=1&amp;sender_device=pc&amp;web_id=7529868947924829714" TargetMode="External"/><Relationship Id="rId1004" Type="http://schemas.openxmlformats.org/officeDocument/2006/relationships/hyperlink" Target="https://www.tiktok.com/@jacangjeni/video/7463565574895963414?is_from_webapp=1&amp;sender_device=pc&amp;web_id=7529868947924829714" TargetMode="External"/><Relationship Id="rId1005" Type="http://schemas.openxmlformats.org/officeDocument/2006/relationships/hyperlink" Target="https://www.tiktok.com/@stenic1/video/7119213227640212741?is_from_webapp=1&amp;sender_device=pc&amp;web_id=7529868947924829714" TargetMode="External"/><Relationship Id="rId1006" Type="http://schemas.openxmlformats.org/officeDocument/2006/relationships/hyperlink" Target="https://www.tiktok.com/@georgediazofficial/video/7161122395212844294?is_from_webapp=1&amp;sender_device=pc&amp;web_id=7529868947924829714" TargetMode="External"/><Relationship Id="rId1007" Type="http://schemas.openxmlformats.org/officeDocument/2006/relationships/hyperlink" Target="https://www.tiktok.com/@averykroll1/video/7488876379493240106?is_from_webapp=1&amp;sender_device=pc&amp;web_id=7529868947924829714" TargetMode="External"/><Relationship Id="rId1008" Type="http://schemas.openxmlformats.org/officeDocument/2006/relationships/hyperlink" Target="https://www.tiktok.com/@sophiena_official/video/7144423782244044038?is_from_webapp=1&amp;sender_device=pc&amp;web_id=7529868947924829714" TargetMode="External"/><Relationship Id="rId1009" Type="http://schemas.openxmlformats.org/officeDocument/2006/relationships/hyperlink" Target="https://www.tiktok.com/@hailee.shh/video/7540897571900820791?is_from_webapp=1&amp;sender_device=pc&amp;web_id=7529868947924829714" TargetMode="External"/><Relationship Id="rId415" Type="http://schemas.openxmlformats.org/officeDocument/2006/relationships/hyperlink" Target="https://vt.tiktok.com/ZSAvCM911/" TargetMode="External"/><Relationship Id="rId657" Type="http://schemas.openxmlformats.org/officeDocument/2006/relationships/hyperlink" Target="https://www.tiktok.com/@eliserosemaryyy/video/7532610844199357727?is_from_webapp=1&amp;sender_device=pc&amp;web_id=7529868947924829714" TargetMode="External"/><Relationship Id="rId899" Type="http://schemas.openxmlformats.org/officeDocument/2006/relationships/hyperlink" Target="https://www.tiktok.com/@.alaynagrace/video/7065453334089731375?is_from_webapp=1&amp;sender_device=pc&amp;web_id=7529868947924829714" TargetMode="External"/><Relationship Id="rId414" Type="http://schemas.openxmlformats.org/officeDocument/2006/relationships/hyperlink" Target="https://vt.tiktok.com/ZSDAmCBYg/" TargetMode="External"/><Relationship Id="rId656" Type="http://schemas.openxmlformats.org/officeDocument/2006/relationships/hyperlink" Target="https://www.tiktok.com/@itsugcpammy/video/7542441708106026258?is_from_webapp=1&amp;sender_device=pc&amp;web_id=7529868947924829714" TargetMode="External"/><Relationship Id="rId898" Type="http://schemas.openxmlformats.org/officeDocument/2006/relationships/hyperlink" Target="https://www.tiktok.com/@milosoftserve/video/7458301755831405842?is_from_webapp=1&amp;sender_device=pc&amp;web_id=7529868947924829714" TargetMode="External"/><Relationship Id="rId413" Type="http://schemas.openxmlformats.org/officeDocument/2006/relationships/hyperlink" Target="https://www.tiktok.com/@soapsterr/video/7475501954366688558?is_from_webapp=1&amp;sender_device=pc&amp;web_id=7529868947924829714" TargetMode="External"/><Relationship Id="rId655" Type="http://schemas.openxmlformats.org/officeDocument/2006/relationships/hyperlink" Target="https://www.tiktok.com/@12.gauge.n/video/7470768868496297262?lang=en" TargetMode="External"/><Relationship Id="rId897" Type="http://schemas.openxmlformats.org/officeDocument/2006/relationships/hyperlink" Target="https://www.tiktok.com/@ilovemybf_158/video/7539091005350350094?is_from_webapp=1&amp;sender_device=pc&amp;web_id=7529868947924829714" TargetMode="External"/><Relationship Id="rId412" Type="http://schemas.openxmlformats.org/officeDocument/2006/relationships/hyperlink" Target="https://www.tiktok.com/@parkerehenry7/video/6885891850096413958?is_from_webapp=1&amp;sender_device=pc&amp;web_id=7529868947924829714" TargetMode="External"/><Relationship Id="rId654" Type="http://schemas.openxmlformats.org/officeDocument/2006/relationships/hyperlink" Target="https://www.tiktok.com/@ourhometowncoffee/video/7540708595806014733?is_from_webapp=1&amp;sender_device=pc&amp;web_id=7529868947924829714" TargetMode="External"/><Relationship Id="rId896" Type="http://schemas.openxmlformats.org/officeDocument/2006/relationships/hyperlink" Target="https://www.tiktok.com/@ash.bartolo/video/7439303680978898192?is_from_webapp=1&amp;sender_device=pc&amp;web_id=7529868947924829714" TargetMode="External"/><Relationship Id="rId419" Type="http://schemas.openxmlformats.org/officeDocument/2006/relationships/hyperlink" Target="https://vt.tiktok.com/ZSAojxbFL/" TargetMode="External"/><Relationship Id="rId418" Type="http://schemas.openxmlformats.org/officeDocument/2006/relationships/hyperlink" Target="https://www.tiktok.com/@tcc.magnolia/video/7533673734629002527?is_from_webapp=1&amp;sender_device=pc&amp;web_id=7529868947924829714" TargetMode="External"/><Relationship Id="rId417" Type="http://schemas.openxmlformats.org/officeDocument/2006/relationships/hyperlink" Target="https://vt.tiktok.com/ZSDRpS8YL/" TargetMode="External"/><Relationship Id="rId659" Type="http://schemas.openxmlformats.org/officeDocument/2006/relationships/hyperlink" Target="https://www.tiktok.com/@bambibella777/video/7517687471442906390?is_from_webapp=1&amp;sender_device=pc&amp;web_id=7529868947924829714" TargetMode="External"/><Relationship Id="rId416" Type="http://schemas.openxmlformats.org/officeDocument/2006/relationships/hyperlink" Target="https://vt.tiktok.com/ZSDYEdCMW/" TargetMode="External"/><Relationship Id="rId658" Type="http://schemas.openxmlformats.org/officeDocument/2006/relationships/hyperlink" Target="https://www.tiktok.com/@sarahbetts/video/7114638647785278722?is_from_webapp=1&amp;sender_device=pc&amp;web_id=7529868947924829714" TargetMode="External"/><Relationship Id="rId891" Type="http://schemas.openxmlformats.org/officeDocument/2006/relationships/hyperlink" Target="https://www.tiktok.com/@teambalmert/video/6868695489408208133?is_from_webapp=1&amp;sender_device=pc&amp;web_id=7529868947924829714" TargetMode="External"/><Relationship Id="rId890" Type="http://schemas.openxmlformats.org/officeDocument/2006/relationships/hyperlink" Target="https://www.tiktok.com/@mere.joyy/video/7458064521970863406?is_from_webapp=1&amp;sender_device=pc&amp;web_id=7529868947924829714" TargetMode="External"/><Relationship Id="rId411" Type="http://schemas.openxmlformats.org/officeDocument/2006/relationships/hyperlink" Target="https://www.tiktok.com/@sunnyside.northampton/video/7539905279681367318?is_from_webapp=1&amp;sender_device=pc&amp;web_id=7529868947924829714" TargetMode="External"/><Relationship Id="rId653" Type="http://schemas.openxmlformats.org/officeDocument/2006/relationships/hyperlink" Target="https://vt.tiktok.com/ZSDAP2urp/" TargetMode="External"/><Relationship Id="rId895" Type="http://schemas.openxmlformats.org/officeDocument/2006/relationships/hyperlink" Target="https://www.tiktok.com/@lukeandalexis1/video/7050987830880800047?is_from_webapp=1&amp;sender_device=pc&amp;web_id=7529868947924829714" TargetMode="External"/><Relationship Id="rId1000" Type="http://schemas.openxmlformats.org/officeDocument/2006/relationships/hyperlink" Target="https://www.tiktok.com/@jessarakelyan/video/7532236574952672543?is_from_webapp=1&amp;sender_device=pc&amp;web_id=7529868947924829714" TargetMode="External"/><Relationship Id="rId410" Type="http://schemas.openxmlformats.org/officeDocument/2006/relationships/hyperlink" Target="https://www.tiktok.com/@gcsuico/video/7510964090185993492?is_from_webapp=1&amp;sender_device=pc&amp;web_id=7529868947924829714" TargetMode="External"/><Relationship Id="rId652" Type="http://schemas.openxmlformats.org/officeDocument/2006/relationships/hyperlink" Target="https://www.tiktok.com/@uehehumicvs/video/7537502827782950158?is_from_webapp=1&amp;sender_device=pc&amp;web_id=7529868947924829714" TargetMode="External"/><Relationship Id="rId894" Type="http://schemas.openxmlformats.org/officeDocument/2006/relationships/hyperlink" Target="https://www.tiktok.com/@natalie.and.oliver/video/7475046884193635592?is_from_webapp=1&amp;sender_device=pc&amp;web_id=7529868947924829714" TargetMode="External"/><Relationship Id="rId1001" Type="http://schemas.openxmlformats.org/officeDocument/2006/relationships/hyperlink" Target="https://www.tiktok.com/@isabelisaacson/video/7481458672577613099?is_from_webapp=1&amp;sender_device=pc&amp;web_id=7529868947924829714" TargetMode="External"/><Relationship Id="rId651" Type="http://schemas.openxmlformats.org/officeDocument/2006/relationships/hyperlink" Target="https://www.tiktok.com/@sarahbetts/video/7106478823243304193?is_from_webapp=1&amp;sender_device=pc&amp;web_id=7529868947924829714" TargetMode="External"/><Relationship Id="rId893" Type="http://schemas.openxmlformats.org/officeDocument/2006/relationships/hyperlink" Target="https://www.tiktok.com/@robbiejay_somesay/video/7470912449848429846?is_from_webapp=1&amp;sender_device=pc&amp;web_id=7529868947924829714" TargetMode="External"/><Relationship Id="rId1002" Type="http://schemas.openxmlformats.org/officeDocument/2006/relationships/hyperlink" Target="https://www.tiktok.com/@millie.topley00/video/7131063480450305286?is_from_webapp=1&amp;sender_device=pc&amp;web_id=7529868947924829714" TargetMode="External"/><Relationship Id="rId650" Type="http://schemas.openxmlformats.org/officeDocument/2006/relationships/hyperlink" Target="https://www.tiktok.com/@aaronsalley/video/7548960518225005838?is_from_webapp=1&amp;sender_device=pc&amp;web_id=7529868947924829714" TargetMode="External"/><Relationship Id="rId892" Type="http://schemas.openxmlformats.org/officeDocument/2006/relationships/hyperlink" Target="https://www.tiktok.com/@nikimahmoudi/video/7484110596850388279?is_from_webapp=1&amp;sender_device=pc&amp;web_id=7529868947924829714" TargetMode="External"/><Relationship Id="rId1003" Type="http://schemas.openxmlformats.org/officeDocument/2006/relationships/hyperlink" Target="https://www.tiktok.com/@undressforjess/video/7504153177709874478?is_from_webapp=1&amp;sender_device=pc&amp;web_id=7529868947924829714" TargetMode="External"/><Relationship Id="rId1037" Type="http://schemas.openxmlformats.org/officeDocument/2006/relationships/hyperlink" Target="https://www.tiktok.com/@nathanandgrace/video/6933677059189296389?is_from_webapp=1&amp;sender_device=pc&amp;web_id=7529868947924829714" TargetMode="External"/><Relationship Id="rId1038" Type="http://schemas.openxmlformats.org/officeDocument/2006/relationships/hyperlink" Target="https://www.tiktok.com/@cococentenom/video/7520917720368729366?is_from_webapp=1&amp;sender_device=pc&amp;web_id=7529868947924829714" TargetMode="External"/><Relationship Id="rId1039" Type="http://schemas.openxmlformats.org/officeDocument/2006/relationships/hyperlink" Target="https://www.tiktok.com/@tamzinmayxo/video/6926214916097494278?is_from_webapp=1&amp;sender_device=pc&amp;web_id=7529868947924829714" TargetMode="External"/><Relationship Id="rId206" Type="http://schemas.openxmlformats.org/officeDocument/2006/relationships/hyperlink" Target="https://vt.tiktok.com/ZSAqTeheg/" TargetMode="External"/><Relationship Id="rId448" Type="http://schemas.openxmlformats.org/officeDocument/2006/relationships/hyperlink" Target="https://www.tiktok.com/@_stephaniegutierrez/video/7513604694929902879?is_from_webapp=1&amp;sender_device=pc&amp;web_id=7529868947924829714" TargetMode="External"/><Relationship Id="rId205" Type="http://schemas.openxmlformats.org/officeDocument/2006/relationships/hyperlink" Target="https://vt.tiktok.com/ZSAVX3YCK/" TargetMode="External"/><Relationship Id="rId447" Type="http://schemas.openxmlformats.org/officeDocument/2006/relationships/hyperlink" Target="https://www.tiktok.com/@jillpicklescott/video/7544949597173501214?is_from_webapp=1&amp;sender_device=pc&amp;web_id=7529868947924829714" TargetMode="External"/><Relationship Id="rId689" Type="http://schemas.openxmlformats.org/officeDocument/2006/relationships/hyperlink" Target="https://www.tiktok.com/@mrstirfrypt2/video/7530097944502996279?is_from_webapp=1&amp;sender_device=pc&amp;web_id=7529868947924829714" TargetMode="External"/><Relationship Id="rId204" Type="http://schemas.openxmlformats.org/officeDocument/2006/relationships/hyperlink" Target="https://vt.tiktok.com/ZSDAaX7TN/" TargetMode="External"/><Relationship Id="rId446" Type="http://schemas.openxmlformats.org/officeDocument/2006/relationships/hyperlink" Target="https://www.tiktok.com/@reformedbypilates/video/7514472512755928363?is_from_webapp=1&amp;sender_device=pc&amp;web_id=7529868947924829714" TargetMode="External"/><Relationship Id="rId688" Type="http://schemas.openxmlformats.org/officeDocument/2006/relationships/hyperlink" Target="https://www.tiktok.com/@sarahbetts/video/7221131858304666881?is_from_webapp=1&amp;sender_device=pc&amp;web_id=7529868947924829714" TargetMode="External"/><Relationship Id="rId203" Type="http://schemas.openxmlformats.org/officeDocument/2006/relationships/hyperlink" Target="https://www.tiktok.com/@ambardriscoll/video/7503566266301582594?is_from_webapp=1&amp;sender_device=pc&amp;web_id=7529868947924829714" TargetMode="External"/><Relationship Id="rId445" Type="http://schemas.openxmlformats.org/officeDocument/2006/relationships/hyperlink" Target="https://vt.tiktok.com/ZSAoj6p2A/" TargetMode="External"/><Relationship Id="rId687" Type="http://schemas.openxmlformats.org/officeDocument/2006/relationships/hyperlink" Target="https://www.tiktok.com/@polshkova.veronika/video/7473807799596895534?is_from_webapp=1&amp;sender_device=pc&amp;web_id=7529868947924829714" TargetMode="External"/><Relationship Id="rId209" Type="http://schemas.openxmlformats.org/officeDocument/2006/relationships/hyperlink" Target="https://vt.tiktok.com/ZSAVQjnwA/" TargetMode="External"/><Relationship Id="rId208" Type="http://schemas.openxmlformats.org/officeDocument/2006/relationships/hyperlink" Target="https://www.tiktok.com/@eastfield.farm.plants/video/7542576997017390358?is_from_webapp=1&amp;sender_device=pc&amp;web_id=7529858502199395858" TargetMode="External"/><Relationship Id="rId207" Type="http://schemas.openxmlformats.org/officeDocument/2006/relationships/hyperlink" Target="https://vt.tiktok.com/ZSAqc7arm/" TargetMode="External"/><Relationship Id="rId449" Type="http://schemas.openxmlformats.org/officeDocument/2006/relationships/hyperlink" Target="https://www.tiktok.com/@clairelowe7/video/7506951249732980010?is_from_webapp=1&amp;sender_device=pc&amp;web_id=7529868947924829714" TargetMode="External"/><Relationship Id="rId440" Type="http://schemas.openxmlformats.org/officeDocument/2006/relationships/hyperlink" Target="https://vt.tiktok.com/ZSDAtK6Su/" TargetMode="External"/><Relationship Id="rId682" Type="http://schemas.openxmlformats.org/officeDocument/2006/relationships/hyperlink" Target="https://www.tiktok.com/@.hana_a/video/7487347357013593364?is_from_webapp=1&amp;sender_device=pc&amp;web_id=7529868947924829714" TargetMode="External"/><Relationship Id="rId681" Type="http://schemas.openxmlformats.org/officeDocument/2006/relationships/hyperlink" Target="https://www.tiktok.com/@katie_burns512/video/7529676368594963743?is_from_webapp=1&amp;sender_device=pc&amp;web_id=7529868947924829714" TargetMode="External"/><Relationship Id="rId1030" Type="http://schemas.openxmlformats.org/officeDocument/2006/relationships/hyperlink" Target="https://www.tiktok.com/@wackyaudge/video/7487456810186657055?is_from_webapp=1&amp;sender_device=pc&amp;web_id=7529868947924829714" TargetMode="External"/><Relationship Id="rId680" Type="http://schemas.openxmlformats.org/officeDocument/2006/relationships/hyperlink" Target="https://www.tiktok.com/@mollymrynn/video/7468720105896152352?is_from_webapp=1&amp;sender_device=pc&amp;web_id=7529868947924829714" TargetMode="External"/><Relationship Id="rId1031" Type="http://schemas.openxmlformats.org/officeDocument/2006/relationships/hyperlink" Target="https://www.tiktok.com/@kirstenwinterxx/video/7154087779473919238?is_from_webapp=1&amp;sender_device=pc&amp;web_id=7529868947924829714" TargetMode="External"/><Relationship Id="rId1032" Type="http://schemas.openxmlformats.org/officeDocument/2006/relationships/hyperlink" Target="https://www.tiktok.com/@taylorpopik/video/7541476465485892878?is_from_webapp=1&amp;sender_device=pc&amp;web_id=7529868947924829714" TargetMode="External"/><Relationship Id="rId202" Type="http://schemas.openxmlformats.org/officeDocument/2006/relationships/hyperlink" Target="https://www.tiktok.com/@aileenchristineee/video/6867743685199596806?is_from_webapp=1&amp;sender_device=pc&amp;web_id=7529868947924829714" TargetMode="External"/><Relationship Id="rId444" Type="http://schemas.openxmlformats.org/officeDocument/2006/relationships/hyperlink" Target="https://www.tiktok.com/@lovecledis/video/7540689487119060255?is_from_webapp=1&amp;sender_device=pc&amp;web_id=7529868947924829714" TargetMode="External"/><Relationship Id="rId686" Type="http://schemas.openxmlformats.org/officeDocument/2006/relationships/hyperlink" Target="https://www.tiktok.com/@gold.x.jewels/video/7542498052209151264?is_from_webapp=1&amp;sender_device=pc&amp;web_id=7529868947924829714" TargetMode="External"/><Relationship Id="rId1033" Type="http://schemas.openxmlformats.org/officeDocument/2006/relationships/hyperlink" Target="https://www.tiktok.com/@karasmith55117/video/7418215785807629600?is_from_webapp=1&amp;sender_device=pc&amp;web_id=7529868947924829714" TargetMode="External"/><Relationship Id="rId201" Type="http://schemas.openxmlformats.org/officeDocument/2006/relationships/hyperlink" Target="https://www.tiktok.com/@danjanine/video/7519978917613079821?is_from_webapp=1&amp;sender_device=pc&amp;web_id=7529858502199395858" TargetMode="External"/><Relationship Id="rId443" Type="http://schemas.openxmlformats.org/officeDocument/2006/relationships/hyperlink" Target="https://vt.tiktok.com/ZSDRpAetP/" TargetMode="External"/><Relationship Id="rId685" Type="http://schemas.openxmlformats.org/officeDocument/2006/relationships/hyperlink" Target="https://vt.tiktok.com/ZSDAPQEVQ/" TargetMode="External"/><Relationship Id="rId1034" Type="http://schemas.openxmlformats.org/officeDocument/2006/relationships/hyperlink" Target="https://www.tiktok.com/@jamieandcallum/video/7529532869367139606?is_from_webapp=1&amp;sender_device=pc&amp;web_id=7529868947924829714" TargetMode="External"/><Relationship Id="rId200" Type="http://schemas.openxmlformats.org/officeDocument/2006/relationships/hyperlink" Target="https://www.tiktok.com/@biscuitaddict06/video/7516551249475456263?is_from_webapp=1&amp;sender_device=pc&amp;web_id=7529858502199395858" TargetMode="External"/><Relationship Id="rId442" Type="http://schemas.openxmlformats.org/officeDocument/2006/relationships/hyperlink" Target="https://www.tiktok.com/@jinisaranghae/video/7528369479215090951?_r=1&amp;u_code=dld85c1ma82k8j&amp;region=PH&amp;mid=7528369519253850896&amp;preview_pb=0&amp;sharer_language=en&amp;_d=ej46a99b4fjbkf&amp;share_item_id=7528369479215090951&amp;source=h5_t&amp;timestamp=1757758291&amp;item_author_type=2&amp;utm_source=copy&amp;tt_from=copy&amp;enable_checksum=1&amp;utm_medium=ios&amp;share_link_id=5D3B51A0-AAE0-4915-BA34-77609A367ABA&amp;user_id=7025407709412475930&amp;sec_user_id=MS4wLjABAAAAzkzh3aRqShBW8cg0QtSWUK27KDC3fkAGjIm63tDPPaTYZ6CmtPpDSnlQ_4JivfuH&amp;social_share_type=0&amp;ug_btm=b5836,b2878&amp;utm_campaign=client_share&amp;link_reflow_popup_iteration_sharer=%7B%22follow_to_play_duration%22:-1,%22profile_clickable%22:1,%22dynamic_cover%22:1,%22click_empty_to_play%22:1%7D&amp;share_app_id=1180" TargetMode="External"/><Relationship Id="rId684" Type="http://schemas.openxmlformats.org/officeDocument/2006/relationships/hyperlink" Target="https://www.tiktok.com/@anetatsar/video/7529664237375950135?is_from_webapp=1&amp;sender_device=pc&amp;web_id=7529868947924829714" TargetMode="External"/><Relationship Id="rId1035" Type="http://schemas.openxmlformats.org/officeDocument/2006/relationships/hyperlink" Target="https://www.tiktok.com/@thewestermans2.0/video/6988888298382953733?is_from_webapp=1&amp;sender_device=pc&amp;web_id=7529868947924829714" TargetMode="External"/><Relationship Id="rId441" Type="http://schemas.openxmlformats.org/officeDocument/2006/relationships/hyperlink" Target="https://vt.tiktok.com/ZSAvCYpFs/" TargetMode="External"/><Relationship Id="rId683" Type="http://schemas.openxmlformats.org/officeDocument/2006/relationships/hyperlink" Target="https://www.tiktok.com/@sarahbetts/video/7160649291004972290?is_from_webapp=1&amp;sender_device=pc&amp;web_id=7529868947924829714" TargetMode="External"/><Relationship Id="rId1036" Type="http://schemas.openxmlformats.org/officeDocument/2006/relationships/hyperlink" Target="https://www.tiktok.com/@laplanchada.prescott/video/7507430907331054878?is_from_webapp=1&amp;sender_device=pc&amp;web_id=7529868947924829714" TargetMode="External"/><Relationship Id="rId1026" Type="http://schemas.openxmlformats.org/officeDocument/2006/relationships/hyperlink" Target="https://www.tiktok.com/@darcimae18/video/6926562447163755781?is_from_webapp=1&amp;sender_device=pc&amp;web_id=7529868947924829714" TargetMode="External"/><Relationship Id="rId1027" Type="http://schemas.openxmlformats.org/officeDocument/2006/relationships/hyperlink" Target="https://www.tiktok.com/@linds_wing/video/7504073304920247598?is_from_webapp=1&amp;sender_device=pc&amp;web_id=7529868947924829714" TargetMode="External"/><Relationship Id="rId1028" Type="http://schemas.openxmlformats.org/officeDocument/2006/relationships/hyperlink" Target="https://www.tiktok.com/@tekaathenriette/video/7484266997824408854?is_from_webapp=1&amp;sender_device=pc&amp;web_id=7529868947924829714" TargetMode="External"/><Relationship Id="rId1029" Type="http://schemas.openxmlformats.org/officeDocument/2006/relationships/hyperlink" Target="https://www.tiktok.com/@dorianjessica/video/7169676974510591238?is_from_webapp=1&amp;sender_device=pc&amp;web_id=7529868947924829714" TargetMode="External"/><Relationship Id="rId437" Type="http://schemas.openxmlformats.org/officeDocument/2006/relationships/hyperlink" Target="https://www.tiktok.com/@giuliana.kyla_spam/video/7462164980066995487?is_from_webapp=1&amp;sender_device=pc&amp;web_id=7529868947924829714" TargetMode="External"/><Relationship Id="rId679" Type="http://schemas.openxmlformats.org/officeDocument/2006/relationships/hyperlink" Target="https://vt.tiktok.com/ZSDAPEpuP/" TargetMode="External"/><Relationship Id="rId436" Type="http://schemas.openxmlformats.org/officeDocument/2006/relationships/hyperlink" Target="https://www.tiktok.com/@ungkuhanimm/video/7534748773285727495?is_from_webapp=1&amp;sender_device=pc&amp;web_id=7529868947924829714" TargetMode="External"/><Relationship Id="rId678" Type="http://schemas.openxmlformats.org/officeDocument/2006/relationships/hyperlink" Target="https://www.tiktok.com/@carocore_/video/7503596826533154094?is_from_webapp=1&amp;sender_device=pc&amp;web_id=7529868947924829714" TargetMode="External"/><Relationship Id="rId435" Type="http://schemas.openxmlformats.org/officeDocument/2006/relationships/hyperlink" Target="https://www.tiktok.com/@alennamariz/video/7540694502915181842?is_from_webapp=1&amp;sender_device=pc&amp;web_id=7529868947924829714" TargetMode="External"/><Relationship Id="rId677" Type="http://schemas.openxmlformats.org/officeDocument/2006/relationships/hyperlink" Target="https://www.tiktok.com/@sarahbetts/video/7145057538734689537?is_from_webapp=1&amp;sender_device=pc&amp;web_id=7529868947924829714" TargetMode="External"/><Relationship Id="rId434" Type="http://schemas.openxmlformats.org/officeDocument/2006/relationships/hyperlink" Target="https://www.tiktok.com/@crochetlin/video/7537654349737053462?is_from_webapp=1&amp;sender_device=pc&amp;web_id=7529868947924829714" TargetMode="External"/><Relationship Id="rId676" Type="http://schemas.openxmlformats.org/officeDocument/2006/relationships/hyperlink" Target="https://www.tiktok.com/@isabelladalonzo/video/7549290056683392311?is_from_webapp=1&amp;sender_device=pc&amp;web_id=7529868947924829714" TargetMode="External"/><Relationship Id="rId439" Type="http://schemas.openxmlformats.org/officeDocument/2006/relationships/hyperlink" Target="https://www.tiktok.com/@hudatruly/video/7495503965417721118?is_from_webapp=1&amp;sender_device=pc&amp;web_id=7529868947924829714" TargetMode="External"/><Relationship Id="rId438" Type="http://schemas.openxmlformats.org/officeDocument/2006/relationships/hyperlink" Target="https://www.tiktok.com/@makenziedawn/video/6929281274448284934?is_from_webapp=1&amp;sender_device=pc&amp;web_id=7529868947924829714" TargetMode="External"/><Relationship Id="rId671" Type="http://schemas.openxmlformats.org/officeDocument/2006/relationships/hyperlink" Target="https://www.tiktok.com/@sarahbetts/video/7136524523553246466?is_from_webapp=1&amp;sender_device=pc&amp;web_id=7529868947924829714" TargetMode="External"/><Relationship Id="rId670" Type="http://schemas.openxmlformats.org/officeDocument/2006/relationships/hyperlink" Target="https://www.tiktok.com/@tru_moo/video/7524075818000207134?is_from_webapp=1&amp;sender_device=pc&amp;web_id=7529868947924829714" TargetMode="External"/><Relationship Id="rId1020" Type="http://schemas.openxmlformats.org/officeDocument/2006/relationships/hyperlink" Target="https://www.tiktok.com/@ollyandnatalia/video/7464559268453305622?is_from_webapp=1&amp;sender_device=pc&amp;web_id=7529868947924829714" TargetMode="External"/><Relationship Id="rId1021" Type="http://schemas.openxmlformats.org/officeDocument/2006/relationships/hyperlink" Target="https://www.tiktok.com/@s_amal_m/video/7522212916695682318?is_from_webapp=1&amp;sender_device=pc&amp;web_id=7529868947924829714" TargetMode="External"/><Relationship Id="rId433" Type="http://schemas.openxmlformats.org/officeDocument/2006/relationships/hyperlink" Target="https://vt.tiktok.com/ZSAvsB7cp/" TargetMode="External"/><Relationship Id="rId675" Type="http://schemas.openxmlformats.org/officeDocument/2006/relationships/hyperlink" Target="https://www.tiktok.com/@.zouielouise/video/7545034183911951623?is_from_webapp=1&amp;sender_device=pc&amp;web_id=7529868947924829714" TargetMode="External"/><Relationship Id="rId1022" Type="http://schemas.openxmlformats.org/officeDocument/2006/relationships/hyperlink" Target="https://www.tiktok.com/@colette_eli/video/7464735951516880158?is_from_webapp=1&amp;sender_device=pc&amp;web_id=7529868947924829714" TargetMode="External"/><Relationship Id="rId432" Type="http://schemas.openxmlformats.org/officeDocument/2006/relationships/hyperlink" Target="https://vt.tiktok.com/ZSAoj6fP2/" TargetMode="External"/><Relationship Id="rId674" Type="http://schemas.openxmlformats.org/officeDocument/2006/relationships/hyperlink" Target="https://www.tiktok.com/@its.christinne/video/7469759856216509703?is_from_webapp=1&amp;sender_device=pc&amp;web_id=7529868947924829714" TargetMode="External"/><Relationship Id="rId1023" Type="http://schemas.openxmlformats.org/officeDocument/2006/relationships/hyperlink" Target="https://www.tiktok.com/@life.withdna/video/7531489297845816598?is_from_webapp=1&amp;sender_device=pc&amp;web_id=7529868947924829714" TargetMode="External"/><Relationship Id="rId431" Type="http://schemas.openxmlformats.org/officeDocument/2006/relationships/hyperlink" Target="https://www.tiktok.com/@chipley.nutrition/video/7538899491726937358?is_from_webapp=1&amp;sender_device=pc&amp;web_id=7529868947924829714" TargetMode="External"/><Relationship Id="rId673" Type="http://schemas.openxmlformats.org/officeDocument/2006/relationships/hyperlink" Target="https://vt.tiktok.com/ZSDAPxvrq/" TargetMode="External"/><Relationship Id="rId1024" Type="http://schemas.openxmlformats.org/officeDocument/2006/relationships/hyperlink" Target="https://www.tiktok.com/@mimi.justmimi/video/7493370849433521451?is_from_webapp=1&amp;sender_device=pc&amp;web_id=7529868947924829714" TargetMode="External"/><Relationship Id="rId430" Type="http://schemas.openxmlformats.org/officeDocument/2006/relationships/hyperlink" Target="https://vt.tiktok.com/ZSDRp5tvH/" TargetMode="External"/><Relationship Id="rId672" Type="http://schemas.openxmlformats.org/officeDocument/2006/relationships/hyperlink" Target="https://www.tiktok.com/@kimccchii/video/7535497433040686366?is_from_webapp=1&amp;sender_device=pc&amp;web_id=7529868947924829714" TargetMode="External"/><Relationship Id="rId1025" Type="http://schemas.openxmlformats.org/officeDocument/2006/relationships/hyperlink" Target="https://www.tiktok.com/@zoezferg/video/7466573804492360990?is_from_webapp=1&amp;sender_device=pc&amp;web_id=752986894792482971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manthaysabel.co" TargetMode="External"/><Relationship Id="rId2" Type="http://schemas.openxmlformats.org/officeDocument/2006/relationships/hyperlink" Target="http://retractables.ph/" TargetMode="External"/><Relationship Id="rId3" Type="http://schemas.openxmlformats.org/officeDocument/2006/relationships/hyperlink" Target="http://theoriginote.ph" TargetMode="External"/><Relationship Id="rId4" Type="http://schemas.openxmlformats.org/officeDocument/2006/relationships/hyperlink" Target="http://rebisco.ph" TargetMode="External"/><Relationship Id="rId5" Type="http://schemas.openxmlformats.org/officeDocument/2006/relationships/hyperlink" Target="http://tenten.io"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tiktok.com/@modagoatt/video/7449499818063334699?is_from_webapp=1&amp;sender_device=pc&amp;web_id=7529868947924829714" TargetMode="External"/><Relationship Id="rId9" Type="http://schemas.openxmlformats.org/officeDocument/2006/relationships/hyperlink" Target="https://www.tiktok.com/@skylar_diecast/video/7479268371700223240?is_from_webapp=1&amp;sender_device=pc&amp;web_id=7529868947924829714" TargetMode="External"/><Relationship Id="rId141" Type="http://schemas.openxmlformats.org/officeDocument/2006/relationships/vmlDrawing" Target="../drawings/vmlDrawing2.vml"/><Relationship Id="rId140" Type="http://schemas.openxmlformats.org/officeDocument/2006/relationships/drawing" Target="../drawings/drawing3.xml"/><Relationship Id="rId5" Type="http://schemas.openxmlformats.org/officeDocument/2006/relationships/hyperlink" Target="https://vt.tiktok.com/ZSDA55Va1/" TargetMode="External"/><Relationship Id="rId6" Type="http://schemas.openxmlformats.org/officeDocument/2006/relationships/hyperlink" Target="https://vt.tiktok.com/ZSAVskq1w/" TargetMode="External"/><Relationship Id="rId7" Type="http://schemas.openxmlformats.org/officeDocument/2006/relationships/hyperlink" Target="https://vt.tiktok.com/ZSAVQLVHV/" TargetMode="External"/><Relationship Id="rId8" Type="http://schemas.openxmlformats.org/officeDocument/2006/relationships/hyperlink" Target="https://vt.tiktok.com/ZSAVCSdJP/" TargetMode="External"/><Relationship Id="rId139" Type="http://schemas.openxmlformats.org/officeDocument/2006/relationships/hyperlink" Target="https://www.tiktok.com/@sophia_hg1/video/7508738317454773522?_r=1&amp;_t=ZS-8zLEVeKdaVx" TargetMode="External"/><Relationship Id="rId138" Type="http://schemas.openxmlformats.org/officeDocument/2006/relationships/hyperlink" Target="https://www.tiktok.com/@inigojap/video/7469296068874882311?_r=1&amp;_t=ZS-8zoGqEAiVXR" TargetMode="External"/><Relationship Id="rId137" Type="http://schemas.openxmlformats.org/officeDocument/2006/relationships/hyperlink" Target="https://www.tiktok.com/@gabriella.sally/video/7513608400496807173?_t=ZS-8zLEMxd4qyv&amp;_r=1" TargetMode="External"/><Relationship Id="rId132" Type="http://schemas.openxmlformats.org/officeDocument/2006/relationships/hyperlink" Target="https://www.tiktok.com/@chloerbrts/video/7374092429625937159?_r=1&amp;_t=ZS-8zqmN8XaHL8" TargetMode="External"/><Relationship Id="rId131" Type="http://schemas.openxmlformats.org/officeDocument/2006/relationships/hyperlink" Target="https://www.tiktok.com/@laura.canada/video/7530353428178930951?_r=1&amp;_t=ZS-8zd1ly8TO1S" TargetMode="External"/><Relationship Id="rId130" Type="http://schemas.openxmlformats.org/officeDocument/2006/relationships/hyperlink" Target="https://www.tiktok.com/@itspaulramos/video/7464886168388111623?_r=1&amp;_t=ZS-8zqffeQ89Jt" TargetMode="External"/><Relationship Id="rId136" Type="http://schemas.openxmlformats.org/officeDocument/2006/relationships/hyperlink" Target="https://www.tiktok.com/@yuehaaan/video/7542122123360357650?_r=1&amp;_t=ZS-8zTTZngW0Di" TargetMode="External"/><Relationship Id="rId135" Type="http://schemas.openxmlformats.org/officeDocument/2006/relationships/hyperlink" Target="https://www.tiktok.com/@spicevillage/video/7489536311938845983?_r=1&amp;_t=ZS-8zd1uS6tGLN" TargetMode="External"/><Relationship Id="rId134" Type="http://schemas.openxmlformats.org/officeDocument/2006/relationships/hyperlink" Target="https://www.tiktok.com/@chobaniflippp/video/7533492687010286856?_r=1&amp;_t=ZS-8zoG0o4iFgD" TargetMode="External"/><Relationship Id="rId133" Type="http://schemas.openxmlformats.org/officeDocument/2006/relationships/hyperlink" Target="https://www.tiktok.com/@aqilahwf/video/7298646672320597266?_r=1&amp;_t=ZS-8zTTUUGjbuM" TargetMode="External"/><Relationship Id="rId40" Type="http://schemas.openxmlformats.org/officeDocument/2006/relationships/hyperlink" Target="https://www.tiktok.com/@yzhakane/video/7541302079588011272?is_from_webapp=1&amp;sender_device=pc&amp;web_id=7529868947924829714" TargetMode="External"/><Relationship Id="rId42" Type="http://schemas.openxmlformats.org/officeDocument/2006/relationships/hyperlink" Target="https://www.tiktok.com/@lylylieee/video/7516116393297775880?is_from_webapp=1&amp;sender_device=pc&amp;web_id=7529868947924829714" TargetMode="External"/><Relationship Id="rId41" Type="http://schemas.openxmlformats.org/officeDocument/2006/relationships/hyperlink" Target="https://www.tiktok.com/@gcsuico/video/7510964090185993492?is_from_webapp=1&amp;sender_device=pc&amp;web_id=7529868947924829714" TargetMode="External"/><Relationship Id="rId44" Type="http://schemas.openxmlformats.org/officeDocument/2006/relationships/hyperlink" Target="https://www.tiktok.com/@sarliunlimited/video/7547028611975482646?is_from_webapp=1&amp;sender_device=pc&amp;web_id=7529868947924829714" TargetMode="External"/><Relationship Id="rId43" Type="http://schemas.openxmlformats.org/officeDocument/2006/relationships/hyperlink" Target="https://www.tiktok.com/@itskrizzap/video/7516788871850429714?is_from_webapp=1&amp;sender_device=pc&amp;web_id=7529868947924829714" TargetMode="External"/><Relationship Id="rId46" Type="http://schemas.openxmlformats.org/officeDocument/2006/relationships/hyperlink" Target="https://vt.tiktok.com/ZSAqcprMf/" TargetMode="External"/><Relationship Id="rId45" Type="http://schemas.openxmlformats.org/officeDocument/2006/relationships/hyperlink" Target="https://vt.tiktok.com/ZSDAmehYa/" TargetMode="External"/><Relationship Id="rId48" Type="http://schemas.openxmlformats.org/officeDocument/2006/relationships/hyperlink" Target="https://vt.tiktok.com/ZSAVCuuyX/" TargetMode="External"/><Relationship Id="rId47" Type="http://schemas.openxmlformats.org/officeDocument/2006/relationships/hyperlink" Target="https://vt.tiktok.com/ZSAojPTb2/" TargetMode="External"/><Relationship Id="rId49" Type="http://schemas.openxmlformats.org/officeDocument/2006/relationships/hyperlink" Target="https://www.tiktok.com/@mals.inspo/video/7486546269389868319?is_from_webapp=1&amp;sender_device=pc&amp;web_id=7529868947924829714" TargetMode="External"/><Relationship Id="rId31" Type="http://schemas.openxmlformats.org/officeDocument/2006/relationships/hyperlink" Target="https://www.tiktok.com/@sophiaisabel.yt/video/7519102183850151176?is_from_webapp=1&amp;sender_device=pc&amp;web_id=7529868947924829714" TargetMode="External"/><Relationship Id="rId30" Type="http://schemas.openxmlformats.org/officeDocument/2006/relationships/hyperlink" Target="https://www.tiktok.com/@nacho.bizz/video/7541698829935054088?is_from_webapp=1&amp;sender_device=pc&amp;web_id=7529868947924829714" TargetMode="External"/><Relationship Id="rId33" Type="http://schemas.openxmlformats.org/officeDocument/2006/relationships/hyperlink" Target="https://www.tiktok.com/@yoitsmesij/video/7308538339928444166?is_from_webapp=1&amp;sender_device=pc&amp;web_id=7529868947924829714" TargetMode="External"/><Relationship Id="rId32" Type="http://schemas.openxmlformats.org/officeDocument/2006/relationships/hyperlink" Target="https://www.tiktok.com/@madsodum/video/7515116091648085278?is_from_webapp=1&amp;sender_device=pc&amp;web_id=7529868947924829714" TargetMode="External"/><Relationship Id="rId35" Type="http://schemas.openxmlformats.org/officeDocument/2006/relationships/hyperlink" Target="https://vt.tiktok.com/ZSDAaX7TN/" TargetMode="External"/><Relationship Id="rId34" Type="http://schemas.openxmlformats.org/officeDocument/2006/relationships/hyperlink" Target="https://www.tiktok.com/@ulyanikitaa/video/7510121835124641031?is_from_webapp=1&amp;sender_device=pc&amp;web_id=7529868947924829714" TargetMode="External"/><Relationship Id="rId37" Type="http://schemas.openxmlformats.org/officeDocument/2006/relationships/hyperlink" Target="https://vt.tiktok.com/ZSAVQLn9k/" TargetMode="External"/><Relationship Id="rId36" Type="http://schemas.openxmlformats.org/officeDocument/2006/relationships/hyperlink" Target="https://vt.tiktok.com/ZSAVs4moA/" TargetMode="External"/><Relationship Id="rId39" Type="http://schemas.openxmlformats.org/officeDocument/2006/relationships/hyperlink" Target="https://www.tiktok.com/@cosmetify/video/7471320711651691778?is_from_webapp=1&amp;sender_device=pc&amp;web_id=7529868947924829714" TargetMode="External"/><Relationship Id="rId38" Type="http://schemas.openxmlformats.org/officeDocument/2006/relationships/hyperlink" Target="https://vt.tiktok.com/ZSAVV9dhq/" TargetMode="External"/><Relationship Id="rId20" Type="http://schemas.openxmlformats.org/officeDocument/2006/relationships/hyperlink" Target="https://www.tiktok.com/@louiemrn/video/7534307314237443335?is_from_webapp=1&amp;sender_device=pc&amp;web_id=7529868947924829714" TargetMode="External"/><Relationship Id="rId22" Type="http://schemas.openxmlformats.org/officeDocument/2006/relationships/hyperlink" Target="https://www.tiktok.com/@ericafwu/video/7516619536284552491?is_from_webapp=1&amp;sender_device=pc&amp;web_id=7529868947924829714" TargetMode="External"/><Relationship Id="rId21" Type="http://schemas.openxmlformats.org/officeDocument/2006/relationships/hyperlink" Target="https://www.tiktok.com/@elizamasa/video/7512443472167587079?is_from_webapp=1&amp;sender_device=pc&amp;web_id=7529868947924829714" TargetMode="External"/><Relationship Id="rId24" Type="http://schemas.openxmlformats.org/officeDocument/2006/relationships/hyperlink" Target="https://www.tiktok.com/@simranbagria/video/7540289472752291095?is_from_webapp=1&amp;sender_device=pc&amp;web_id=7529868947924829714" TargetMode="External"/><Relationship Id="rId23" Type="http://schemas.openxmlformats.org/officeDocument/2006/relationships/hyperlink" Target="https://www.tiktok.com/@shiv_sewlal/video/7286844552701316357?is_from_webapp=1&amp;sender_device=pc&amp;web_id=7529868947924829714" TargetMode="External"/><Relationship Id="rId26" Type="http://schemas.openxmlformats.org/officeDocument/2006/relationships/hyperlink" Target="https://vt.tiktok.com/ZSAVsHPde/" TargetMode="External"/><Relationship Id="rId25" Type="http://schemas.openxmlformats.org/officeDocument/2006/relationships/hyperlink" Target="https://vt.tiktok.com/ZSDAaL3nK/" TargetMode="External"/><Relationship Id="rId28" Type="http://schemas.openxmlformats.org/officeDocument/2006/relationships/hyperlink" Target="https://vt.tiktok.com/ZSAVCUQgR/" TargetMode="External"/><Relationship Id="rId27" Type="http://schemas.openxmlformats.org/officeDocument/2006/relationships/hyperlink" Target="https://vt.tiktok.com/ZSAVxTjsV/" TargetMode="External"/><Relationship Id="rId29" Type="http://schemas.openxmlformats.org/officeDocument/2006/relationships/hyperlink" Target="https://www.tiktok.com/@giagracesmith/video/7469751409668361494?is_from_webapp=1&amp;sender_device=pc&amp;web_id=7529868947924829714" TargetMode="External"/><Relationship Id="rId11" Type="http://schemas.openxmlformats.org/officeDocument/2006/relationships/hyperlink" Target="https://vt.tiktok.com/ZSAVnQH3F/" TargetMode="External"/><Relationship Id="rId10" Type="http://schemas.openxmlformats.org/officeDocument/2006/relationships/hyperlink" Target="https://www.tiktok.com/@jellyaace._/video/7535085676858068231?is_from_webapp=1&amp;sender_device=pc&amp;web_id=7529868947924829714" TargetMode="External"/><Relationship Id="rId13" Type="http://schemas.openxmlformats.org/officeDocument/2006/relationships/hyperlink" Target="https://www.tiktok.com/@trinahmaee_/video/6889452204181163265?is_from_webapp=1&amp;sender_device=pc&amp;web_id=7529868947924829714" TargetMode="External"/><Relationship Id="rId12" Type="http://schemas.openxmlformats.org/officeDocument/2006/relationships/hyperlink" Target="https://www.tiktok.com/@soltanaslife/video/7549305642226421005?is_from_webapp=1&amp;sender_device=pc&amp;web_id=7529868947924829714" TargetMode="External"/><Relationship Id="rId15" Type="http://schemas.openxmlformats.org/officeDocument/2006/relationships/hyperlink" Target="https://vt.tiktok.com/ZSDA5w11C/" TargetMode="External"/><Relationship Id="rId14" Type="http://schemas.openxmlformats.org/officeDocument/2006/relationships/hyperlink" Target="https://www.tiktok.com/@wild_milk/video/7466857100853923103?is_from_webapp=1&amp;sender_device=pc&amp;web_id=7529868947924829714" TargetMode="External"/><Relationship Id="rId17" Type="http://schemas.openxmlformats.org/officeDocument/2006/relationships/hyperlink" Target="https://vt.tiktok.com/ZSAVQjUXw/" TargetMode="External"/><Relationship Id="rId16" Type="http://schemas.openxmlformats.org/officeDocument/2006/relationships/hyperlink" Target="https://vt.tiktok.com/ZSAVsHpt1/" TargetMode="External"/><Relationship Id="rId19" Type="http://schemas.openxmlformats.org/officeDocument/2006/relationships/hyperlink" Target="https://www.tiktok.com/@mynameisadrienne/video/7471042913544195374?is_from_webapp=1&amp;sender_device=pc&amp;web_id=7529868947924829714" TargetMode="External"/><Relationship Id="rId18" Type="http://schemas.openxmlformats.org/officeDocument/2006/relationships/hyperlink" Target="https://vt.tiktok.com/ZSAVCP7GR/" TargetMode="External"/><Relationship Id="rId84" Type="http://schemas.openxmlformats.org/officeDocument/2006/relationships/hyperlink" Target="https://www.tiktok.com/@gracecobble/video/7547485881486085406?is_from_webapp=1&amp;sender_device=pc&amp;web_id=7529868947924829714" TargetMode="External"/><Relationship Id="rId83" Type="http://schemas.openxmlformats.org/officeDocument/2006/relationships/hyperlink" Target="https://www.tiktok.com/@only.llyss/video/7241565246220012806?is_from_webapp=1&amp;sender_device=pc&amp;web_id=7529868947924829714" TargetMode="External"/><Relationship Id="rId86" Type="http://schemas.openxmlformats.org/officeDocument/2006/relationships/hyperlink" Target="https://vt.tiktok.com/ZSDRpAetP/" TargetMode="External"/><Relationship Id="rId85" Type="http://schemas.openxmlformats.org/officeDocument/2006/relationships/hyperlink" Target="https://vt.tiktok.com/ZSDA53WXK/" TargetMode="External"/><Relationship Id="rId88" Type="http://schemas.openxmlformats.org/officeDocument/2006/relationships/hyperlink" Target="https://www.tiktok.com/@brookies.haulss/video/7468781641809284398?is_from_webapp=1&amp;sender_device=pc&amp;web_id=7529868947924829714" TargetMode="External"/><Relationship Id="rId87" Type="http://schemas.openxmlformats.org/officeDocument/2006/relationships/hyperlink" Target="https://vt.tiktok.com/ZSAvpwJx2/" TargetMode="External"/><Relationship Id="rId89" Type="http://schemas.openxmlformats.org/officeDocument/2006/relationships/hyperlink" Target="https://www.tiktok.com/@virgo..duh/video/7542880258853375240?is_from_webapp=1&amp;sender_device=pc&amp;web_id=7529868947924829714" TargetMode="External"/><Relationship Id="rId80" Type="http://schemas.openxmlformats.org/officeDocument/2006/relationships/hyperlink" Target="https://www.tiktok.com/@ash_nevxz/video/7543254738045848839?is_from_webapp=1&amp;sender_device=pc&amp;web_id=7529868947924829714" TargetMode="External"/><Relationship Id="rId82" Type="http://schemas.openxmlformats.org/officeDocument/2006/relationships/hyperlink" Target="https://www.tiktok.com/@andreiiiii3636/video/7519020169025375495?is_from_webapp=1&amp;sender_device=pc&amp;web_id=7529858502199395858" TargetMode="External"/><Relationship Id="rId81" Type="http://schemas.openxmlformats.org/officeDocument/2006/relationships/hyperlink" Target="https://www.tiktok.com/@veronicaridad_/video/7513532073911553288?is_from_webapp=1&amp;sender_device=pc&amp;web_id=7529868947924829714" TargetMode="External"/><Relationship Id="rId73" Type="http://schemas.openxmlformats.org/officeDocument/2006/relationships/hyperlink" Target="https://www.tiktok.com/@aneesahxr/video/7076516889890966789?is_from_webapp=1&amp;sender_device=pc&amp;web_id=7529868947924829714" TargetMode="External"/><Relationship Id="rId72" Type="http://schemas.openxmlformats.org/officeDocument/2006/relationships/hyperlink" Target="https://www.tiktok.com/@sabrinezarhdani/video/7496983807300504837?is_from_webapp=1&amp;sender_device=pc&amp;web_id=7529868947924829714" TargetMode="External"/><Relationship Id="rId75" Type="http://schemas.openxmlformats.org/officeDocument/2006/relationships/hyperlink" Target="https://vt.tiktok.com/ZSDyujFXt/" TargetMode="External"/><Relationship Id="rId74" Type="http://schemas.openxmlformats.org/officeDocument/2006/relationships/hyperlink" Target="https://www.tiktok.com/@hanim_104/video/7523958234248383762?is_from_webapp=1&amp;sender_device=pc&amp;web_id=7529868947924829714" TargetMode="External"/><Relationship Id="rId77" Type="http://schemas.openxmlformats.org/officeDocument/2006/relationships/hyperlink" Target="https://vt.tiktok.com/ZSDyq2oBV/" TargetMode="External"/><Relationship Id="rId76" Type="http://schemas.openxmlformats.org/officeDocument/2006/relationships/hyperlink" Target="https://vt.tiktok.com/ZSDRpR5Ew/" TargetMode="External"/><Relationship Id="rId79" Type="http://schemas.openxmlformats.org/officeDocument/2006/relationships/hyperlink" Target="https://www.tiktok.com/@yotheregoeschris_/video/7472776896971918635?is_from_webapp=1&amp;sender_device=pc&amp;web_id=7529868947924829714" TargetMode="External"/><Relationship Id="rId78" Type="http://schemas.openxmlformats.org/officeDocument/2006/relationships/hyperlink" Target="https://vt.tiktok.com/ZSAvpcC4K/" TargetMode="External"/><Relationship Id="rId71" Type="http://schemas.openxmlformats.org/officeDocument/2006/relationships/hyperlink" Target="https://www.tiktok.com/@nicole.finianos/video/7514645395138563336?is_from_webapp=1&amp;sender_device=pc&amp;web_id=7529868947924829714" TargetMode="External"/><Relationship Id="rId70" Type="http://schemas.openxmlformats.org/officeDocument/2006/relationships/hyperlink" Target="https://www.tiktok.com/@alennamariz/video/7540694502915181842?is_from_webapp=1&amp;sender_device=pc&amp;web_id=7529868947924829714" TargetMode="External"/><Relationship Id="rId62" Type="http://schemas.openxmlformats.org/officeDocument/2006/relationships/hyperlink" Target="https://www.tiktok.com/@alexandeunice/video/7467234532798909703?is_from_webapp=1&amp;sender_device=pc&amp;web_id=7529868947924829714" TargetMode="External"/><Relationship Id="rId61" Type="http://schemas.openxmlformats.org/officeDocument/2006/relationships/hyperlink" Target="https://www.tiktok.com/@gioasjiyoww/video/7511785253237787912?is_from_webapp=1&amp;sender_device=pc&amp;web_id=7529868947924829714" TargetMode="External"/><Relationship Id="rId64" Type="http://schemas.openxmlformats.org/officeDocument/2006/relationships/hyperlink" Target="https://www.tiktok.com/@joohanney/video/7505012201946631442?is_from_webapp=1&amp;sender_device=pc&amp;web_id=7529868947924829714" TargetMode="External"/><Relationship Id="rId63" Type="http://schemas.openxmlformats.org/officeDocument/2006/relationships/hyperlink" Target="https://www.tiktok.com/@liramarcial/video/7218879386164956422?is_from_webapp=1&amp;sender_device=pc&amp;web_id=7529868947924829714" TargetMode="External"/><Relationship Id="rId66" Type="http://schemas.openxmlformats.org/officeDocument/2006/relationships/hyperlink" Target="https://vt.tiktok.com/ZSDRgvBTJ/" TargetMode="External"/><Relationship Id="rId65" Type="http://schemas.openxmlformats.org/officeDocument/2006/relationships/hyperlink" Target="https://vt.tiktok.com/ZSDAW54u2/" TargetMode="External"/><Relationship Id="rId68" Type="http://schemas.openxmlformats.org/officeDocument/2006/relationships/hyperlink" Target="https://vt.tiktok.com/ZSAvpuS1F/" TargetMode="External"/><Relationship Id="rId67" Type="http://schemas.openxmlformats.org/officeDocument/2006/relationships/hyperlink" Target="https://vt.tiktok.com/ZSDSGF3Pf/" TargetMode="External"/><Relationship Id="rId60" Type="http://schemas.openxmlformats.org/officeDocument/2006/relationships/hyperlink" Target="https://www.tiktok.com/@sophiajiaa/video/7534019039190912263?lang=en" TargetMode="External"/><Relationship Id="rId69" Type="http://schemas.openxmlformats.org/officeDocument/2006/relationships/hyperlink" Target="https://www.tiktok.com/@rousseaus_room/video/7475337556016499973?is_from_webapp=1&amp;sender_device=pc&amp;web_id=7529868947924829714" TargetMode="External"/><Relationship Id="rId51" Type="http://schemas.openxmlformats.org/officeDocument/2006/relationships/hyperlink" Target="https://www.tiktok.com/@hannahong22/video/7517118935481797906?is_from_webapp=1&amp;sender_device=pc&amp;web_id=7529868947924829714" TargetMode="External"/><Relationship Id="rId50" Type="http://schemas.openxmlformats.org/officeDocument/2006/relationships/hyperlink" Target="https://www.tiktok.com/@microwavablep0pcorn/video/7528764177473719570?is_from_webapp=1&amp;sender_device=pc&amp;web_id=7529868947924829714" TargetMode="External"/><Relationship Id="rId53" Type="http://schemas.openxmlformats.org/officeDocument/2006/relationships/hyperlink" Target="https://www.tiktok.com/@joshuablue07/video/7182575057812688154?is_from_webapp=1&amp;sender_device=pc&amp;web_id=7529868947924829714" TargetMode="External"/><Relationship Id="rId52" Type="http://schemas.openxmlformats.org/officeDocument/2006/relationships/hyperlink" Target="https://www.tiktok.com/@un.dia.fuerte/video/7510441723089276206?is_from_webapp=1&amp;sender_device=pc&amp;web_id=7529868947924829714" TargetMode="External"/><Relationship Id="rId55" Type="http://schemas.openxmlformats.org/officeDocument/2006/relationships/hyperlink" Target="https://vt.tiktok.com/ZSDAm8akn/" TargetMode="External"/><Relationship Id="rId54" Type="http://schemas.openxmlformats.org/officeDocument/2006/relationships/hyperlink" Target="https://www.tiktok.com/@love.maceee/video/7516108400787295495?is_from_webapp=1&amp;sender_device=pc&amp;web_id=7529868947924829714" TargetMode="External"/><Relationship Id="rId57" Type="http://schemas.openxmlformats.org/officeDocument/2006/relationships/hyperlink" Target="https://vt.tiktok.com/ZSDSs469C/" TargetMode="External"/><Relationship Id="rId56" Type="http://schemas.openxmlformats.org/officeDocument/2006/relationships/hyperlink" Target="https://vt.tiktok.com/ZSDRb3Mpo/" TargetMode="External"/><Relationship Id="rId59" Type="http://schemas.openxmlformats.org/officeDocument/2006/relationships/hyperlink" Target="https://www.tiktok.com/@angelicaeilish/video/7504224318021225750?is_from_webapp=1&amp;sender_device=pc&amp;web_id=7529868947924829714" TargetMode="External"/><Relationship Id="rId58" Type="http://schemas.openxmlformats.org/officeDocument/2006/relationships/hyperlink" Target="https://vt.tiktok.com/ZSAVVaq7R/" TargetMode="External"/><Relationship Id="rId107" Type="http://schemas.openxmlformats.org/officeDocument/2006/relationships/hyperlink" Target="https://www.tiktok.com/@ubckwave/video/7470031622251810103?_r=1&amp;_t=ZS-8zLB6NYo99I" TargetMode="External"/><Relationship Id="rId106" Type="http://schemas.openxmlformats.org/officeDocument/2006/relationships/hyperlink" Target="https://www.tiktok.com/@nvocal123/video/7465301641684618514?_r=1&amp;_t=ZS-8zoFyvnPCgG" TargetMode="External"/><Relationship Id="rId105" Type="http://schemas.openxmlformats.org/officeDocument/2006/relationships/hyperlink" Target="https://www.tiktok.com/@bagel_yass.collec/video/7539505423544552712?_t=ZS-8zLEGux9w7E&amp;_r=1" TargetMode="External"/><Relationship Id="rId104" Type="http://schemas.openxmlformats.org/officeDocument/2006/relationships/hyperlink" Target="https://www.tiktok.com/@aaalxandra/video/7542360293356113160?_r=1&amp;_t=ZS-8zL4jkZwpM7" TargetMode="External"/><Relationship Id="rId109" Type="http://schemas.openxmlformats.org/officeDocument/2006/relationships/hyperlink" Target="https://www.tiktok.com/@heart_avii/video/7316856457163558149?_r=1&amp;_t=ZS-8zL4ktuqg7j" TargetMode="External"/><Relationship Id="rId108" Type="http://schemas.openxmlformats.org/officeDocument/2006/relationships/hyperlink" Target="https://www.tiktok.com/@zigzag.careers/video/7380188818974018822?_r=1&amp;_t=ZS-8zL3lYBQn5j" TargetMode="External"/><Relationship Id="rId103" Type="http://schemas.openxmlformats.org/officeDocument/2006/relationships/hyperlink" Target="https://www.tiktok.com/@thejulysocial/video/7358112217222368518?_r=1&amp;_t=ZS-8zL3jyrIaMk" TargetMode="External"/><Relationship Id="rId102" Type="http://schemas.openxmlformats.org/officeDocument/2006/relationships/hyperlink" Target="https://www.tiktok.com/@presello.official/video/7489696341958954245?_r=1&amp;_t=ZS-8zLAg34bVI5" TargetMode="External"/><Relationship Id="rId101" Type="http://schemas.openxmlformats.org/officeDocument/2006/relationships/hyperlink" Target="https://www.tiktok.com/@mjhaidel/video/7461954375372606738?_r=1&amp;_t=ZS-8zoFrwyYGZg" TargetMode="External"/><Relationship Id="rId100" Type="http://schemas.openxmlformats.org/officeDocument/2006/relationships/hyperlink" Target="https://www.tiktok.com/@simplyivee/video/7119152830182690091?is_from_webapp=1&amp;sender_device=pc&amp;web_id=7529868947924829714" TargetMode="External"/><Relationship Id="rId129" Type="http://schemas.openxmlformats.org/officeDocument/2006/relationships/hyperlink" Target="https://www.tiktok.com/@nattarts/video/7235266313780759815?_r=1&amp;_t=ZS-8zTTQ1D5ZnL" TargetMode="External"/><Relationship Id="rId128" Type="http://schemas.openxmlformats.org/officeDocument/2006/relationships/hyperlink" Target="https://www.tiktok.com/@maki3nzie/video/7399320768691145990?_r=1&amp;_t=ZS-8znmFzhPTZS" TargetMode="External"/><Relationship Id="rId127" Type="http://schemas.openxmlformats.org/officeDocument/2006/relationships/hyperlink" Target="https://www.tiktok.com/@bchs.hosa/video/7485453977837112622?_r=1&amp;_t=ZS-8zd1UXhUtyH" TargetMode="External"/><Relationship Id="rId126" Type="http://schemas.openxmlformats.org/officeDocument/2006/relationships/hyperlink" Target="https://www.tiktok.com/@jemmymeowy/video/7465214181470457089?_r=1&amp;_t=ZS-8zofS9yvnOR" TargetMode="External"/><Relationship Id="rId121" Type="http://schemas.openxmlformats.org/officeDocument/2006/relationships/hyperlink" Target="https://www.tiktok.com/@douknowkent/video/7542146785150651655?_r=1&amp;_t=ZS-8zL4om9UI2k" TargetMode="External"/><Relationship Id="rId120" Type="http://schemas.openxmlformats.org/officeDocument/2006/relationships/hyperlink" Target="https://www.tiktok.com/@salmaelboukili3/video/7350249556807814406?_r=1&amp;_t=ZS-8zYdads5Jn6" TargetMode="External"/><Relationship Id="rId125" Type="http://schemas.openxmlformats.org/officeDocument/2006/relationships/hyperlink" Target="https://www.tiktok.com/@kikaydinsay_/video/7247518357296024837?_r=1&amp;_t=ZS-8zL79BrDJpQ" TargetMode="External"/><Relationship Id="rId124" Type="http://schemas.openxmlformats.org/officeDocument/2006/relationships/hyperlink" Target="https://www.tiktok.com/@just_katlego16/video/7347420388646849798?_r=1&amp;_t=ZS-8znmCyPtzJX" TargetMode="External"/><Relationship Id="rId123" Type="http://schemas.openxmlformats.org/officeDocument/2006/relationships/hyperlink" Target="https://www.tiktok.com/@sdhumanesociety/video/7465125336716463406?_r=1&amp;_t=ZS-8zd0q0brQX6" TargetMode="External"/><Relationship Id="rId122" Type="http://schemas.openxmlformats.org/officeDocument/2006/relationships/hyperlink" Target="https://www.tiktok.com/@kriiizhaaa/video/7464784291969436946?_r=1&amp;_t=ZS-8zoHk1SUy5o" TargetMode="External"/><Relationship Id="rId95" Type="http://schemas.openxmlformats.org/officeDocument/2006/relationships/hyperlink" Target="https://www.instagram.com/reel/DHlQiijy-G1/?igsh=bHIzMXU5ODlocXFi" TargetMode="External"/><Relationship Id="rId94" Type="http://schemas.openxmlformats.org/officeDocument/2006/relationships/hyperlink" Target="https://vt.tiktok.com/ZSDAaRqGM/" TargetMode="External"/><Relationship Id="rId97" Type="http://schemas.openxmlformats.org/officeDocument/2006/relationships/hyperlink" Target="https://www.tiktok.com/@alychiatoo/video/7543851865365089554?is_from_webapp=1&amp;sender_device=pc&amp;web_id=7529868947924829714" TargetMode="External"/><Relationship Id="rId96" Type="http://schemas.openxmlformats.org/officeDocument/2006/relationships/hyperlink" Target="https://www.tiktok.com/@_e.v08/video/7470155628086971681?is_from_webapp=1&amp;sender_device=pc&amp;web_id=7529868947924829714" TargetMode="External"/><Relationship Id="rId99" Type="http://schemas.openxmlformats.org/officeDocument/2006/relationships/hyperlink" Target="https://www.tiktok.com/@migmiggymig/video/7487622680309419286?is_from_webapp=1&amp;sender_device=pc&amp;web_id=7529858502199395858" TargetMode="External"/><Relationship Id="rId98" Type="http://schemas.openxmlformats.org/officeDocument/2006/relationships/hyperlink" Target="https://vt.tiktok.com/ZSAVWrcRD/" TargetMode="External"/><Relationship Id="rId91" Type="http://schemas.openxmlformats.org/officeDocument/2006/relationships/hyperlink" Target="https://www.tiktok.com/@angelicadchvzz/video/7477958483552259336?is_from_webapp=1&amp;sender_device=pc&amp;web_id=7529858502199395858" TargetMode="External"/><Relationship Id="rId90" Type="http://schemas.openxmlformats.org/officeDocument/2006/relationships/hyperlink" Target="https://vt.tiktok.com/ZSAVWNaHL/" TargetMode="External"/><Relationship Id="rId93" Type="http://schemas.openxmlformats.org/officeDocument/2006/relationships/hyperlink" Target="https://www.tiktok.com/@k.wamp/video/7374153120483478827?is_from_webapp=1&amp;sender_device=pc&amp;web_id=7529868947924829714" TargetMode="External"/><Relationship Id="rId92" Type="http://schemas.openxmlformats.org/officeDocument/2006/relationships/hyperlink" Target="https://www.tiktok.com/@asmqty/video/7459059637153713413?is_from_webapp=1&amp;sender_device=pc&amp;web_id=7529868947924829714" TargetMode="External"/><Relationship Id="rId118" Type="http://schemas.openxmlformats.org/officeDocument/2006/relationships/hyperlink" Target="https://www.tiktok.com/@kykeyumz/video/7464186444425252103?_r=1&amp;_t=ZS-8zoHYYeKfzB" TargetMode="External"/><Relationship Id="rId117" Type="http://schemas.openxmlformats.org/officeDocument/2006/relationships/hyperlink" Target="https://www.tiktok.com/@_pottea/video/7542057761706675474?_r=1&amp;_t=ZS-8zL7DRHFtsg" TargetMode="External"/><Relationship Id="rId116" Type="http://schemas.openxmlformats.org/officeDocument/2006/relationships/hyperlink" Target="https://www.tiktok.com/@amo_thobye/video/7349988820592381189?_r=1&amp;_t=ZS-8zL3yZgXXms" TargetMode="External"/><Relationship Id="rId115" Type="http://schemas.openxmlformats.org/officeDocument/2006/relationships/hyperlink" Target="https://www.tiktok.com/@cleancorpau/video/7470387738269715719?_r=1&amp;_t=ZS-8zLBJKvaqKl" TargetMode="External"/><Relationship Id="rId119" Type="http://schemas.openxmlformats.org/officeDocument/2006/relationships/hyperlink" Target="https://www.tiktok.com/@pixiogaming/video/7475845247797431582?_r=1&amp;_t=ZS-8zM7WcPYvOX" TargetMode="External"/><Relationship Id="rId110" Type="http://schemas.openxmlformats.org/officeDocument/2006/relationships/hyperlink" Target="https://www.tiktok.com/@_zxick/video/7467189731646803208?_r=1&amp;_t=ZS-8zoGcPDj1YD" TargetMode="External"/><Relationship Id="rId114" Type="http://schemas.openxmlformats.org/officeDocument/2006/relationships/hyperlink" Target="https://www.tiktok.com/@clairealexistiu/video/7529376216667720978?_r=1&amp;_t=ZS-8zoGxfmkx3h" TargetMode="External"/><Relationship Id="rId113" Type="http://schemas.openxmlformats.org/officeDocument/2006/relationships/hyperlink" Target="https://www.tiktok.com/@cocoriroo/video/7419985255454625042?_r=1&amp;_t=ZS-8zL4lvcO4Zz" TargetMode="External"/><Relationship Id="rId112" Type="http://schemas.openxmlformats.org/officeDocument/2006/relationships/hyperlink" Target="https://www.tiktok.com/@securitybankcareers/video/7366179516613430536?_r=1&amp;_t=ZS-8zL3m9uNQd6" TargetMode="External"/><Relationship Id="rId111" Type="http://schemas.openxmlformats.org/officeDocument/2006/relationships/hyperlink" Target="https://www.tiktok.com/@fintech.calgary/video/7471019949411028279?_r=1&amp;_t=ZS-8zLBAgp1y9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anva.com/design/DAGzzlv17NI/VcwBfNpy-Jx9QzVeU9WtHg/edit?utm_content=DAGzzlv17NI&amp;utm_campaign=designshare&amp;utm_medium=link2&amp;utm_source=sharebutton" TargetMode="External"/><Relationship Id="rId2" Type="http://schemas.openxmlformats.org/officeDocument/2006/relationships/hyperlink" Target="https://www.canva.com/design/DAGzzgmJc_o/z04oq0eiAAP_O7kTndLKYA/edit?utm_content=DAGzzgmJc_o&amp;utm_campaign=designshare&amp;utm_medium=link2&amp;utm_source=sharebutton" TargetMode="External"/><Relationship Id="rId3" Type="http://schemas.openxmlformats.org/officeDocument/2006/relationships/hyperlink" Target="https://www.canva.com/design/DAGzzi75VQI/OMyDrdutJ-Fwa1yG7LfdiA/edit?utm_content=DAGzzi75VQI&amp;utm_campaign=designshare&amp;utm_medium=link2&amp;utm_source=sharebutton" TargetMode="External"/><Relationship Id="rId4" Type="http://schemas.openxmlformats.org/officeDocument/2006/relationships/hyperlink" Target="https://www.canva.com/design/DAGzziXj4N8/OczHCr0KJ6mgmErH3HAsxQ/edit?utm_content=DAGzziXj4N8&amp;utm_campaign=designshare&amp;utm_medium=link2&amp;utm_source=sharebutton" TargetMode="External"/><Relationship Id="rId9" Type="http://schemas.openxmlformats.org/officeDocument/2006/relationships/hyperlink" Target="https://www.canva.com/design/DAGzzg5q-yg/yRQTTeIN3JCB_TUwaeUWDA/edit?utm_content=DAGzzg5q-yg&amp;utm_campaign=designshare&amp;utm_medium=link2&amp;utm_source=sharebutton" TargetMode="External"/><Relationship Id="rId5" Type="http://schemas.openxmlformats.org/officeDocument/2006/relationships/hyperlink" Target="https://www.canva.com/design/DAGzzhXZH4w/de6R-SdV9QfjcDF6rzqawQ/edit?utm_content=DAGzzhXZH4w&amp;utm_campaign=designshare&amp;utm_medium=link2&amp;utm_source=sharebutton" TargetMode="External"/><Relationship Id="rId6" Type="http://schemas.openxmlformats.org/officeDocument/2006/relationships/hyperlink" Target="https://www.canva.com/design/DAGzziNj8hA/LJ2ObUq69_DghVlCs_ykJA/edit?utm_content=DAGzziNj8hA&amp;utm_campaign=designshare&amp;utm_medium=link2&amp;utm_source=sharebutton" TargetMode="External"/><Relationship Id="rId7" Type="http://schemas.openxmlformats.org/officeDocument/2006/relationships/hyperlink" Target="https://www.canva.com/design/DAGzznSIyF8/iLjcv4gGt8ibybkPbjsZuw/edit?utm_content=DAGzznSIyF8&amp;utm_campaign=designshare&amp;utm_medium=link2&amp;utm_source=sharebutton" TargetMode="External"/><Relationship Id="rId8" Type="http://schemas.openxmlformats.org/officeDocument/2006/relationships/hyperlink" Target="https://www.canva.com/design/DAGzzlBZhuA/I1Qtsdd1hTycTSvcputOXQ/edit?utm_content=DAGzzlBZhuA&amp;utm_campaign=designshare&amp;utm_medium=link2&amp;utm_source=sharebutton" TargetMode="External"/><Relationship Id="rId40" Type="http://schemas.openxmlformats.org/officeDocument/2006/relationships/hyperlink" Target="https://www.canva.com/design/DAG25jPeeO0/k0X49sE7ZLKFKafH-XDbaw/edit?utm_content=DAG25jPeeO0&amp;utm_campaign=designshare&amp;utm_medium=link2&amp;utm_source=sharebutton" TargetMode="External"/><Relationship Id="rId41" Type="http://schemas.openxmlformats.org/officeDocument/2006/relationships/drawing" Target="../drawings/drawing4.xml"/><Relationship Id="rId31" Type="http://schemas.openxmlformats.org/officeDocument/2006/relationships/hyperlink" Target="https://www.canva.com/design/DAG2qUXNiaQ/6taPrO2RSq885xkvtzVkvQ/edit?utm_content=DAG2qUXNiaQ&amp;utm_campaign=designshare&amp;utm_medium=link2&amp;utm_source=sharebutton" TargetMode="External"/><Relationship Id="rId30" Type="http://schemas.openxmlformats.org/officeDocument/2006/relationships/hyperlink" Target="https://www.canva.com/design/DAG0VYKUsV0/DgchJBWaE3YWiJEIH1FUMw/edit?utm_content=DAG0VYKUsV0&amp;utm_campaign=designshare&amp;utm_medium=link2&amp;utm_source=sharebutton" TargetMode="External"/><Relationship Id="rId33" Type="http://schemas.openxmlformats.org/officeDocument/2006/relationships/hyperlink" Target="https://www.canva.com/design/DAG2xbZmPmk/DaEB-Zzv5HhX_asm1WMBzQ/edit?utm_content=DAG2xbZmPmk&amp;utm_campaign=designshare&amp;utm_medium=link2&amp;utm_source=sharebutton" TargetMode="External"/><Relationship Id="rId32" Type="http://schemas.openxmlformats.org/officeDocument/2006/relationships/hyperlink" Target="https://www.canva.com/design/DAG2qulqHic/OQba2ScFosQz4RpWONpNCg/edit?utm_content=DAG2qulqHic&amp;utm_campaign=designshare&amp;utm_medium=link2&amp;utm_source=sharebutton" TargetMode="External"/><Relationship Id="rId35" Type="http://schemas.openxmlformats.org/officeDocument/2006/relationships/hyperlink" Target="https://www.canva.com/design/DAG2xtQKOIg/Q6m_JXLhfENbhnZJzl0aRw/edit?utm_content=DAG2xtQKOIg&amp;utm_campaign=designshare&amp;utm_medium=link2&amp;utm_source=sharebutton" TargetMode="External"/><Relationship Id="rId34" Type="http://schemas.openxmlformats.org/officeDocument/2006/relationships/hyperlink" Target="https://www.canva.com/design/DAG2xQ3tspI/x-DVxeqD15o-_h2oTNhglw/edit?utm_content=DAG2xQ3tspI&amp;utm_campaign=designshare&amp;utm_medium=link2&amp;utm_source=sharebutton" TargetMode="External"/><Relationship Id="rId37" Type="http://schemas.openxmlformats.org/officeDocument/2006/relationships/hyperlink" Target="https://www.canva.com/design/DAG25my0qQk/qhGYYLHCV7BV9eMB6XLd4w/edit?utm_content=DAG25my0qQk&amp;utm_campaign=designshare&amp;utm_medium=link2&amp;utm_source=sharebutton" TargetMode="External"/><Relationship Id="rId36" Type="http://schemas.openxmlformats.org/officeDocument/2006/relationships/hyperlink" Target="https://www.canva.com/design/DAG2xrDV9g0/88IaK3gO5vB48jYcw4kvcA/edit?utm_content=DAG2xrDV9g0&amp;utm_campaign=designshare&amp;utm_medium=link2&amp;utm_source=sharebutton" TargetMode="External"/><Relationship Id="rId39" Type="http://schemas.openxmlformats.org/officeDocument/2006/relationships/hyperlink" Target="https://www.canva.com/design/DAG25la6WOw/vbEe0cg4c5vrMXJoJj4nDQ/edit?utm_content=DAG25la6WOw&amp;utm_campaign=designshare&amp;utm_medium=link2&amp;utm_source=sharebutton" TargetMode="External"/><Relationship Id="rId38" Type="http://schemas.openxmlformats.org/officeDocument/2006/relationships/hyperlink" Target="https://www.canva.com/design/DAG25omVwYU/I05bEVhCyCpogJHD58w8Zg/edit?utm_content=DAG25omVwYU&amp;utm_campaign=designshare&amp;utm_medium=link2&amp;utm_source=sharebutton" TargetMode="External"/><Relationship Id="rId20" Type="http://schemas.openxmlformats.org/officeDocument/2006/relationships/hyperlink" Target="https://www.canva.com/design/DAG0IqPIey8/xoM7Ri7ir8ak7ziIfFncLQ/edit?utm_content=DAG0IqPIey8&amp;utm_campaign=designshare&amp;utm_medium=link2&amp;utm_source=sharebutton" TargetMode="External"/><Relationship Id="rId22" Type="http://schemas.openxmlformats.org/officeDocument/2006/relationships/hyperlink" Target="https://www.canva.com/design/DAG0Sj8HmlA/XUqlDCuOTnC3mnXUAmjOWg/edit?utm_content=DAG0Sj8HmlA&amp;utm_campaign=designshare&amp;utm_medium=link2&amp;utm_source=sharebutton" TargetMode="External"/><Relationship Id="rId21" Type="http://schemas.openxmlformats.org/officeDocument/2006/relationships/hyperlink" Target="https://www.canva.com/design/DAGzz-7jDoI/W4iiIi6u9kLiBfPwZQ_mvw/edit?utm_content=DAGzz-7jDoI&amp;utm_campaign=designshare&amp;utm_medium=link2&amp;utm_source=sharebutton" TargetMode="External"/><Relationship Id="rId24" Type="http://schemas.openxmlformats.org/officeDocument/2006/relationships/hyperlink" Target="https://www.canva.com/design/DAG0Vfg7Q7I/Stq_i66Q6cxRPKktrDVVVA/edit?utm_content=DAG0Vfg7Q7I&amp;utm_campaign=designshare&amp;utm_medium=link2&amp;utm_source=sharebutton" TargetMode="External"/><Relationship Id="rId23" Type="http://schemas.openxmlformats.org/officeDocument/2006/relationships/hyperlink" Target="https://www.canva.com/design/DAGzzyYmg5c/XIlSpqJlLNzO5moHWhwuww/edit?utm_content=DAGzzyYmg5c&amp;utm_campaign=designshare&amp;utm_medium=link2&amp;utm_source=sharebutton" TargetMode="External"/><Relationship Id="rId26" Type="http://schemas.openxmlformats.org/officeDocument/2006/relationships/hyperlink" Target="https://www.canva.com/design/DAG0VVd4JOA/yD7QMgAaVc8XUAn-sEzUDA/edit?utm_content=DAG0VVd4JOA&amp;utm_campaign=designshare&amp;utm_medium=link2&amp;utm_source=sharebutton" TargetMode="External"/><Relationship Id="rId25" Type="http://schemas.openxmlformats.org/officeDocument/2006/relationships/hyperlink" Target="https://www.canva.com/design/DAGzz0yPVkI/t7vByQVXUf67aANvH614zw/edit?utm_content=DAGzz0yPVkI&amp;utm_campaign=designshare&amp;utm_medium=link2&amp;utm_source=sharebutton" TargetMode="External"/><Relationship Id="rId28" Type="http://schemas.openxmlformats.org/officeDocument/2006/relationships/hyperlink" Target="https://www.canva.com/design/DAG0VbyhIKc/RomIVabbaanVyOSsuoyseg/edit?utm_content=DAG0VbyhIKc&amp;utm_campaign=designshare&amp;utm_medium=link2&amp;utm_source=sharebutton" TargetMode="External"/><Relationship Id="rId27" Type="http://schemas.openxmlformats.org/officeDocument/2006/relationships/hyperlink" Target="https://www.canva.com/design/DAGzzvT8Ku8/cIlIIi7MDL10Cue7yVecCA/edit?utm_content=DAGzzvT8Ku8&amp;utm_campaign=designshare&amp;utm_medium=link2&amp;utm_source=sharebutton" TargetMode="External"/><Relationship Id="rId29" Type="http://schemas.openxmlformats.org/officeDocument/2006/relationships/hyperlink" Target="https://www.canva.com/design/DAGzzhZHQ2Q/zwww7qEnNYYJVNwXeWFMKQ/edit?utm_content=DAGzzhZHQ2Q&amp;utm_campaign=designshare&amp;utm_medium=link2&amp;utm_source=sharebutton" TargetMode="External"/><Relationship Id="rId11" Type="http://schemas.openxmlformats.org/officeDocument/2006/relationships/hyperlink" Target="https://www.canva.com/design/DAGzzqSKWWY/hYSi43FqcgyQt1LqzsU85Q/edit?utm_content=DAGzzqSKWWY&amp;utm_campaign=designshare&amp;utm_medium=link2&amp;utm_source=sharebutton" TargetMode="External"/><Relationship Id="rId10" Type="http://schemas.openxmlformats.org/officeDocument/2006/relationships/hyperlink" Target="https://www.canva.com/design/DAGzz69mAgs/LuITqTPFVwMztEiH3pG_lQ/edit?utm_content=DAGzz69mAgs&amp;utm_campaign=designshare&amp;utm_medium=link2&amp;utm_source=sharebutton" TargetMode="External"/><Relationship Id="rId13" Type="http://schemas.openxmlformats.org/officeDocument/2006/relationships/hyperlink" Target="https://www.canva.com/design/DAGzzpO4hQA/DrMdMAvOMeSQFRM3vVoD0A/edit?utm_content=DAGzzpO4hQA&amp;utm_campaign=designshare&amp;utm_medium=link2&amp;utm_source=sharebutton" TargetMode="External"/><Relationship Id="rId12" Type="http://schemas.openxmlformats.org/officeDocument/2006/relationships/hyperlink" Target="https://www.canva.com/design/DAGz-b_iJq8/_H1WqtiqsMGjK5Jbcu8ztQ/edit?utm_content=DAGz-b_iJq8&amp;utm_campaign=designshare&amp;utm_medium=link2&amp;utm_source=sharebutton" TargetMode="External"/><Relationship Id="rId15" Type="http://schemas.openxmlformats.org/officeDocument/2006/relationships/hyperlink" Target="https://www.canva.com/design/DAGzz644d6k/29gewtL608N_HIwfnEGNBA/edit?utm_content=DAGzz644d6k&amp;utm_campaign=designshare&amp;utm_medium=link2&amp;utm_source=sharebutton" TargetMode="External"/><Relationship Id="rId14" Type="http://schemas.openxmlformats.org/officeDocument/2006/relationships/hyperlink" Target="https://www.canva.com/design/DAGz-wRYLJ8/4OjxFJXBR0xV3b50x2ZRkw/edit?utm_content=DAGz-wRYLJ8&amp;utm_campaign=designshare&amp;utm_medium=link2&amp;utm_source=sharebutton" TargetMode="External"/><Relationship Id="rId17" Type="http://schemas.openxmlformats.org/officeDocument/2006/relationships/hyperlink" Target="https://www.canva.com/design/DAGzz9XpaUA/Hue8wrURcI3J_vwMGsJBQg/edit?utm_content=DAGzz9XpaUA&amp;utm_campaign=designshare&amp;utm_medium=link2&amp;utm_source=sharebutton" TargetMode="External"/><Relationship Id="rId16" Type="http://schemas.openxmlformats.org/officeDocument/2006/relationships/hyperlink" Target="https://www.canva.com/design/DAGz-khb8MM/O0WoUyQtJClJ4fb_lEDCrA/edit?utm_content=DAGz-khb8MM&amp;utm_campaign=designshare&amp;utm_medium=link2&amp;utm_source=sharebutton" TargetMode="External"/><Relationship Id="rId19" Type="http://schemas.openxmlformats.org/officeDocument/2006/relationships/hyperlink" Target="https://www.canva.com/design/DAGzz7ago9Q/WzI3Xqjz9qMdDRn6REDmgg/edit?utm_content=DAGzz7ago9Q&amp;utm_campaign=designshare&amp;utm_medium=link2&amp;utm_source=sharebutton" TargetMode="External"/><Relationship Id="rId18" Type="http://schemas.openxmlformats.org/officeDocument/2006/relationships/hyperlink" Target="https://www.canva.com/design/DAG0Cif7MfE/UvUOPdwkcY2Elxlkl4GjSw/edit?utm_content=DAG0Cif7MfE&amp;utm_campaign=designshare&amp;utm_medium=link2&amp;utm_source=sharebutt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3" width="30.63"/>
    <col customWidth="1" min="4" max="4" width="17.13"/>
    <col customWidth="1" min="5" max="5" width="2.75"/>
    <col customWidth="1" min="6" max="6" width="17.13"/>
    <col customWidth="1" min="7" max="8" width="30.63"/>
    <col customWidth="1" min="9" max="9" width="17.13"/>
    <col customWidth="1" min="10" max="10" width="3.13"/>
    <col customWidth="1" min="11" max="11" width="17.13"/>
    <col customWidth="1" min="12" max="12" width="30.63"/>
    <col customWidth="1" min="13" max="13" width="9.88"/>
    <col customWidth="1" min="14" max="14" width="17.13"/>
    <col customWidth="1" min="15" max="15" width="2.0"/>
    <col customWidth="1" min="16" max="16" width="17.13"/>
    <col customWidth="1" min="17" max="17" width="30.63"/>
    <col customWidth="1" min="18" max="19" width="17.13"/>
    <col customWidth="1" min="20" max="20" width="2.25"/>
    <col customWidth="1" min="21" max="24" width="17.13"/>
    <col customWidth="1" min="25" max="25" width="2.5"/>
    <col customWidth="1" min="26" max="29" width="17.13"/>
    <col customWidth="1" min="30" max="30" width="3.0"/>
    <col customWidth="1" min="31" max="34" width="17.13"/>
    <col customWidth="1" min="35" max="35" width="3.13"/>
    <col customWidth="1" min="36" max="39" width="17.13"/>
    <col customWidth="1" min="40" max="40" width="2.88"/>
    <col customWidth="1" min="41" max="44" width="17.13"/>
    <col customWidth="1" min="45" max="45" width="3.38"/>
    <col customWidth="1" min="46" max="49" width="17.13"/>
    <col customWidth="1" min="50" max="50" width="3.25"/>
    <col customWidth="1" min="51" max="54" width="17.13"/>
    <col customWidth="1" min="55" max="55" width="3.25"/>
    <col customWidth="1" min="56" max="59" width="17.13"/>
    <col customWidth="1" min="60" max="60" width="2.88"/>
    <col customWidth="1" min="61" max="65" width="17.13"/>
    <col customWidth="1" min="66" max="67" width="21.0"/>
    <col customWidth="1" min="68" max="73" width="17.13"/>
    <col customWidth="1" min="74" max="74" width="7.25"/>
    <col customWidth="1" min="75" max="77" width="17.13"/>
    <col customWidth="1" min="78" max="78" width="58.13"/>
    <col customWidth="1" min="79" max="84" width="17.13"/>
  </cols>
  <sheetData>
    <row r="1" ht="24.75" customHeight="1">
      <c r="A1" s="1" t="s">
        <v>0</v>
      </c>
      <c r="B1" s="2" t="s">
        <v>1</v>
      </c>
      <c r="C1" s="1"/>
      <c r="D1" s="1" t="s">
        <v>2</v>
      </c>
      <c r="E1" s="3"/>
      <c r="F1" s="1" t="s">
        <v>0</v>
      </c>
      <c r="G1" s="2" t="s">
        <v>1</v>
      </c>
      <c r="H1" s="1" t="s">
        <v>3</v>
      </c>
      <c r="I1" s="1" t="s">
        <v>2</v>
      </c>
      <c r="J1" s="4"/>
      <c r="K1" s="1" t="s">
        <v>0</v>
      </c>
      <c r="L1" s="1" t="s">
        <v>1</v>
      </c>
      <c r="M1" s="1" t="s">
        <v>3</v>
      </c>
      <c r="N1" s="1" t="s">
        <v>2</v>
      </c>
      <c r="O1" s="4"/>
      <c r="P1" s="1" t="s">
        <v>0</v>
      </c>
      <c r="Q1" s="2" t="s">
        <v>1</v>
      </c>
      <c r="R1" s="1" t="s">
        <v>4</v>
      </c>
      <c r="S1" s="1" t="s">
        <v>2</v>
      </c>
      <c r="T1" s="4"/>
      <c r="U1" s="5" t="s">
        <v>0</v>
      </c>
      <c r="V1" s="2" t="s">
        <v>1</v>
      </c>
      <c r="W1" s="5"/>
      <c r="X1" s="1" t="s">
        <v>2</v>
      </c>
      <c r="Y1" s="6"/>
      <c r="Z1" s="5" t="s">
        <v>0</v>
      </c>
      <c r="AA1" s="2" t="s">
        <v>1</v>
      </c>
      <c r="AB1" s="5"/>
      <c r="AC1" s="5" t="s">
        <v>2</v>
      </c>
      <c r="AD1" s="7"/>
      <c r="AE1" s="5" t="s">
        <v>0</v>
      </c>
      <c r="AF1" s="5" t="s">
        <v>1</v>
      </c>
      <c r="AG1" s="5"/>
      <c r="AH1" s="5" t="s">
        <v>2</v>
      </c>
      <c r="AI1" s="7"/>
      <c r="AJ1" s="5" t="s">
        <v>0</v>
      </c>
      <c r="AK1" s="2" t="s">
        <v>1</v>
      </c>
      <c r="AL1" s="5" t="s">
        <v>3</v>
      </c>
      <c r="AM1" s="5" t="s">
        <v>2</v>
      </c>
      <c r="AN1" s="4"/>
      <c r="AO1" s="5" t="s">
        <v>0</v>
      </c>
      <c r="AP1" s="2" t="s">
        <v>1</v>
      </c>
      <c r="AQ1" s="5"/>
      <c r="AR1" s="5" t="s">
        <v>2</v>
      </c>
      <c r="AS1" s="6"/>
      <c r="AT1" s="5" t="s">
        <v>0</v>
      </c>
      <c r="AU1" s="2" t="s">
        <v>1</v>
      </c>
      <c r="AV1" s="5"/>
      <c r="AW1" s="5" t="s">
        <v>2</v>
      </c>
      <c r="AX1" s="7"/>
      <c r="AY1" s="5" t="s">
        <v>0</v>
      </c>
      <c r="AZ1" s="5" t="s">
        <v>1</v>
      </c>
      <c r="BA1" s="5"/>
      <c r="BB1" s="5" t="s">
        <v>2</v>
      </c>
      <c r="BC1" s="7"/>
      <c r="BD1" s="5" t="s">
        <v>0</v>
      </c>
      <c r="BE1" s="2" t="s">
        <v>1</v>
      </c>
      <c r="BF1" s="5" t="s">
        <v>4</v>
      </c>
      <c r="BG1" s="5" t="s">
        <v>2</v>
      </c>
      <c r="BH1" s="4"/>
      <c r="BI1" s="5" t="s">
        <v>0</v>
      </c>
      <c r="BJ1" s="2" t="s">
        <v>1</v>
      </c>
      <c r="BK1" s="5"/>
      <c r="BL1" s="5" t="s">
        <v>2</v>
      </c>
      <c r="BM1" s="4"/>
      <c r="BN1" s="4"/>
      <c r="BO1" s="4"/>
      <c r="BP1" s="4"/>
      <c r="BQ1" s="4"/>
      <c r="BR1" s="4"/>
      <c r="BS1" s="4"/>
      <c r="BT1" s="4"/>
      <c r="BU1" s="4"/>
      <c r="BV1" s="4"/>
      <c r="BW1" s="4"/>
      <c r="BX1" s="4"/>
      <c r="BY1" s="4"/>
      <c r="BZ1" s="4"/>
      <c r="CA1" s="4"/>
      <c r="CB1" s="4"/>
      <c r="CC1" s="4"/>
      <c r="CD1" s="4"/>
      <c r="CE1" s="4"/>
      <c r="CF1" s="4"/>
    </row>
    <row r="2" ht="24.75" customHeight="1">
      <c r="A2" s="8" t="s">
        <v>5</v>
      </c>
      <c r="B2" s="9"/>
      <c r="C2" s="9"/>
      <c r="D2" s="10"/>
      <c r="E2" s="11"/>
      <c r="F2" s="8" t="s">
        <v>6</v>
      </c>
      <c r="G2" s="9"/>
      <c r="H2" s="9"/>
      <c r="I2" s="10"/>
      <c r="J2" s="7"/>
      <c r="K2" s="12" t="s">
        <v>7</v>
      </c>
      <c r="L2" s="9"/>
      <c r="M2" s="9"/>
      <c r="N2" s="10"/>
      <c r="O2" s="7"/>
      <c r="P2" s="12" t="s">
        <v>8</v>
      </c>
      <c r="Q2" s="9"/>
      <c r="R2" s="9"/>
      <c r="S2" s="10"/>
      <c r="T2" s="7"/>
      <c r="U2" s="8" t="s">
        <v>9</v>
      </c>
      <c r="V2" s="9"/>
      <c r="W2" s="9"/>
      <c r="X2" s="10"/>
      <c r="Y2" s="11"/>
      <c r="Z2" s="12" t="s">
        <v>10</v>
      </c>
      <c r="AA2" s="9"/>
      <c r="AB2" s="9"/>
      <c r="AC2" s="10"/>
      <c r="AD2" s="7"/>
      <c r="AE2" s="8" t="s">
        <v>11</v>
      </c>
      <c r="AF2" s="9"/>
      <c r="AG2" s="9"/>
      <c r="AH2" s="10"/>
      <c r="AI2" s="7"/>
      <c r="AJ2" s="13" t="s">
        <v>12</v>
      </c>
      <c r="AK2" s="9"/>
      <c r="AL2" s="9"/>
      <c r="AM2" s="10"/>
      <c r="AN2" s="7"/>
      <c r="AO2" s="8" t="s">
        <v>13</v>
      </c>
      <c r="AP2" s="9"/>
      <c r="AQ2" s="9"/>
      <c r="AR2" s="10"/>
      <c r="AS2" s="11"/>
      <c r="AT2" s="8" t="s">
        <v>14</v>
      </c>
      <c r="AU2" s="9"/>
      <c r="AV2" s="9"/>
      <c r="AW2" s="10"/>
      <c r="AX2" s="7"/>
      <c r="AY2" s="8" t="s">
        <v>15</v>
      </c>
      <c r="AZ2" s="9"/>
      <c r="BA2" s="9"/>
      <c r="BB2" s="10"/>
      <c r="BC2" s="7"/>
      <c r="BD2" s="8" t="s">
        <v>16</v>
      </c>
      <c r="BE2" s="9"/>
      <c r="BF2" s="9"/>
      <c r="BG2" s="10"/>
      <c r="BH2" s="7"/>
      <c r="BI2" s="8" t="s">
        <v>17</v>
      </c>
      <c r="BJ2" s="9"/>
      <c r="BK2" s="9"/>
      <c r="BL2" s="10"/>
      <c r="BM2" s="7"/>
      <c r="BN2" s="7"/>
      <c r="BO2" s="7"/>
      <c r="BP2" s="7"/>
      <c r="BQ2" s="7"/>
      <c r="BR2" s="7"/>
      <c r="BS2" s="7"/>
      <c r="CB2" s="7"/>
      <c r="CC2" s="7"/>
      <c r="CD2" s="7"/>
      <c r="CE2" s="7"/>
      <c r="CF2" s="7"/>
    </row>
    <row r="3">
      <c r="A3" s="14" t="s">
        <v>18</v>
      </c>
      <c r="B3" s="15" t="s">
        <v>19</v>
      </c>
      <c r="C3" s="11" t="s">
        <v>20</v>
      </c>
      <c r="D3" s="16" t="s">
        <v>21</v>
      </c>
      <c r="E3" s="7"/>
      <c r="F3" s="14" t="s">
        <v>22</v>
      </c>
      <c r="G3" s="17" t="s">
        <v>23</v>
      </c>
      <c r="H3" s="11" t="s">
        <v>24</v>
      </c>
      <c r="I3" s="16" t="s">
        <v>21</v>
      </c>
      <c r="J3" s="7"/>
      <c r="K3" s="14" t="s">
        <v>25</v>
      </c>
      <c r="L3" s="18" t="s">
        <v>26</v>
      </c>
      <c r="M3" s="19"/>
      <c r="N3" s="16" t="s">
        <v>27</v>
      </c>
      <c r="O3" s="7"/>
      <c r="P3" s="14" t="s">
        <v>28</v>
      </c>
      <c r="Q3" s="15" t="s">
        <v>29</v>
      </c>
      <c r="R3" s="19"/>
      <c r="S3" s="16" t="s">
        <v>27</v>
      </c>
      <c r="T3" s="7"/>
      <c r="U3" s="20" t="s">
        <v>30</v>
      </c>
      <c r="V3" s="21" t="s">
        <v>31</v>
      </c>
      <c r="W3" s="22" t="s">
        <v>32</v>
      </c>
      <c r="X3" s="23" t="s">
        <v>33</v>
      </c>
      <c r="Y3" s="7"/>
      <c r="Z3" s="14" t="s">
        <v>34</v>
      </c>
      <c r="AA3" s="24" t="s">
        <v>35</v>
      </c>
      <c r="AB3" s="25"/>
      <c r="AC3" s="16" t="s">
        <v>27</v>
      </c>
      <c r="AD3" s="7"/>
      <c r="AE3" s="14" t="s">
        <v>36</v>
      </c>
      <c r="AF3" s="18" t="s">
        <v>37</v>
      </c>
      <c r="AG3" s="11" t="s">
        <v>38</v>
      </c>
      <c r="AH3" s="16" t="s">
        <v>33</v>
      </c>
      <c r="AI3" s="7"/>
      <c r="AJ3" s="14" t="s">
        <v>39</v>
      </c>
      <c r="AK3" s="15" t="s">
        <v>40</v>
      </c>
      <c r="AL3" s="11"/>
      <c r="AM3" s="26"/>
      <c r="AN3" s="7"/>
      <c r="AO3" s="14" t="s">
        <v>41</v>
      </c>
      <c r="AP3" s="15" t="s">
        <v>42</v>
      </c>
      <c r="AQ3" s="11"/>
      <c r="AR3" s="16" t="s">
        <v>27</v>
      </c>
      <c r="AS3" s="7"/>
      <c r="AT3" s="14" t="s">
        <v>39</v>
      </c>
      <c r="AU3" s="15" t="s">
        <v>43</v>
      </c>
      <c r="AV3" s="11"/>
      <c r="AW3" s="27"/>
      <c r="AX3" s="7"/>
      <c r="AY3" s="28" t="s">
        <v>44</v>
      </c>
      <c r="AZ3" s="18" t="s">
        <v>45</v>
      </c>
      <c r="BA3" s="19"/>
      <c r="BB3" s="16" t="s">
        <v>27</v>
      </c>
      <c r="BC3" s="7"/>
      <c r="BD3" s="14" t="s">
        <v>46</v>
      </c>
      <c r="BE3" s="15" t="s">
        <v>47</v>
      </c>
      <c r="BF3" s="19"/>
      <c r="BG3" s="16" t="s">
        <v>27</v>
      </c>
      <c r="BH3" s="7"/>
      <c r="BI3" s="14" t="s">
        <v>48</v>
      </c>
      <c r="BJ3" s="15" t="s">
        <v>49</v>
      </c>
      <c r="BK3" s="11" t="s">
        <v>50</v>
      </c>
      <c r="BL3" s="16" t="s">
        <v>27</v>
      </c>
      <c r="BM3" s="7"/>
      <c r="BN3" s="7"/>
      <c r="BO3" s="7"/>
      <c r="BP3" s="7"/>
      <c r="BQ3" s="7"/>
      <c r="BR3" s="7"/>
      <c r="BS3" s="7"/>
      <c r="CB3" s="7"/>
      <c r="CC3" s="7"/>
      <c r="CD3" s="7"/>
      <c r="CE3" s="7"/>
      <c r="CF3" s="7"/>
    </row>
    <row r="4">
      <c r="A4" s="14" t="s">
        <v>51</v>
      </c>
      <c r="B4" s="15" t="s">
        <v>52</v>
      </c>
      <c r="C4" s="11" t="s">
        <v>53</v>
      </c>
      <c r="D4" s="16" t="s">
        <v>27</v>
      </c>
      <c r="E4" s="7"/>
      <c r="F4" s="14" t="s">
        <v>54</v>
      </c>
      <c r="G4" s="15" t="s">
        <v>55</v>
      </c>
      <c r="H4" s="11"/>
      <c r="I4" s="16" t="s">
        <v>21</v>
      </c>
      <c r="J4" s="7"/>
      <c r="K4" s="14" t="s">
        <v>56</v>
      </c>
      <c r="L4" s="18" t="s">
        <v>57</v>
      </c>
      <c r="M4" s="11" t="s">
        <v>58</v>
      </c>
      <c r="N4" s="16" t="s">
        <v>27</v>
      </c>
      <c r="O4" s="7"/>
      <c r="P4" s="14" t="s">
        <v>59</v>
      </c>
      <c r="Q4" s="15" t="s">
        <v>60</v>
      </c>
      <c r="R4" s="19"/>
      <c r="S4" s="16" t="s">
        <v>27</v>
      </c>
      <c r="T4" s="7"/>
      <c r="U4" s="14" t="s">
        <v>61</v>
      </c>
      <c r="V4" s="15" t="s">
        <v>62</v>
      </c>
      <c r="W4" s="11"/>
      <c r="X4" s="16" t="s">
        <v>27</v>
      </c>
      <c r="Y4" s="7"/>
      <c r="Z4" s="14" t="s">
        <v>63</v>
      </c>
      <c r="AA4" s="15" t="s">
        <v>64</v>
      </c>
      <c r="AB4" s="11"/>
      <c r="AC4" s="16" t="s">
        <v>27</v>
      </c>
      <c r="AD4" s="7"/>
      <c r="AE4" s="14" t="s">
        <v>65</v>
      </c>
      <c r="AF4" s="18" t="s">
        <v>66</v>
      </c>
      <c r="AG4" s="19"/>
      <c r="AH4" s="16" t="s">
        <v>33</v>
      </c>
      <c r="AI4" s="7"/>
      <c r="AJ4" s="14" t="s">
        <v>67</v>
      </c>
      <c r="AK4" s="15" t="s">
        <v>68</v>
      </c>
      <c r="AL4" s="11"/>
      <c r="AM4" s="26" t="s">
        <v>27</v>
      </c>
      <c r="AN4" s="7"/>
      <c r="AO4" s="14" t="s">
        <v>69</v>
      </c>
      <c r="AP4" s="15" t="s">
        <v>70</v>
      </c>
      <c r="AQ4" s="11"/>
      <c r="AR4" s="16" t="s">
        <v>27</v>
      </c>
      <c r="AS4" s="7"/>
      <c r="AT4" s="14" t="s">
        <v>71</v>
      </c>
      <c r="AU4" s="15" t="s">
        <v>72</v>
      </c>
      <c r="AV4" s="11"/>
      <c r="AW4" s="16" t="s">
        <v>27</v>
      </c>
      <c r="AX4" s="7"/>
      <c r="AY4" s="14" t="s">
        <v>73</v>
      </c>
      <c r="AZ4" s="18" t="s">
        <v>74</v>
      </c>
      <c r="BA4" s="19"/>
      <c r="BB4" s="16" t="s">
        <v>33</v>
      </c>
      <c r="BC4" s="7"/>
      <c r="BD4" s="14" t="s">
        <v>75</v>
      </c>
      <c r="BE4" s="15" t="s">
        <v>76</v>
      </c>
      <c r="BF4" s="19"/>
      <c r="BG4" s="16" t="s">
        <v>27</v>
      </c>
      <c r="BH4" s="7"/>
      <c r="BI4" s="14" t="s">
        <v>77</v>
      </c>
      <c r="BJ4" s="15" t="s">
        <v>78</v>
      </c>
      <c r="BK4" s="11" t="s">
        <v>79</v>
      </c>
      <c r="BL4" s="16" t="s">
        <v>27</v>
      </c>
      <c r="BM4" s="7"/>
      <c r="BN4" s="11" t="s">
        <v>80</v>
      </c>
      <c r="BO4" s="18" t="s">
        <v>81</v>
      </c>
      <c r="BP4" s="7"/>
      <c r="BQ4" s="7"/>
      <c r="BR4" s="7"/>
      <c r="BS4" s="7"/>
      <c r="CB4" s="7"/>
      <c r="CC4" s="7"/>
      <c r="CD4" s="7"/>
      <c r="CE4" s="7"/>
      <c r="CF4" s="7"/>
    </row>
    <row r="5">
      <c r="A5" s="14" t="s">
        <v>82</v>
      </c>
      <c r="B5" s="15" t="s">
        <v>83</v>
      </c>
      <c r="C5" s="11" t="s">
        <v>84</v>
      </c>
      <c r="D5" s="16" t="s">
        <v>33</v>
      </c>
      <c r="E5" s="7"/>
      <c r="F5" s="14" t="s">
        <v>85</v>
      </c>
      <c r="G5" s="17" t="s">
        <v>86</v>
      </c>
      <c r="H5" s="11"/>
      <c r="I5" s="16" t="s">
        <v>33</v>
      </c>
      <c r="J5" s="7"/>
      <c r="K5" s="14" t="s">
        <v>87</v>
      </c>
      <c r="L5" s="18" t="s">
        <v>88</v>
      </c>
      <c r="M5" s="29" t="s">
        <v>89</v>
      </c>
      <c r="N5" s="16" t="s">
        <v>27</v>
      </c>
      <c r="O5" s="7"/>
      <c r="P5" s="14" t="s">
        <v>90</v>
      </c>
      <c r="Q5" s="15" t="s">
        <v>91</v>
      </c>
      <c r="R5" s="19"/>
      <c r="S5" s="16" t="s">
        <v>27</v>
      </c>
      <c r="T5" s="7"/>
      <c r="U5" s="14" t="s">
        <v>92</v>
      </c>
      <c r="V5" s="15" t="s">
        <v>93</v>
      </c>
      <c r="W5" s="11"/>
      <c r="X5" s="16" t="s">
        <v>21</v>
      </c>
      <c r="Y5" s="7"/>
      <c r="Z5" s="14" t="s">
        <v>94</v>
      </c>
      <c r="AA5" s="15" t="s">
        <v>95</v>
      </c>
      <c r="AB5" s="11"/>
      <c r="AC5" s="16" t="s">
        <v>27</v>
      </c>
      <c r="AD5" s="7"/>
      <c r="AE5" s="14" t="s">
        <v>96</v>
      </c>
      <c r="AF5" s="18" t="s">
        <v>97</v>
      </c>
      <c r="AG5" s="19"/>
      <c r="AH5" s="16" t="s">
        <v>33</v>
      </c>
      <c r="AI5" s="7"/>
      <c r="AJ5" s="30" t="s">
        <v>98</v>
      </c>
      <c r="AK5" s="15" t="s">
        <v>99</v>
      </c>
      <c r="AL5" s="11"/>
      <c r="AM5" s="26" t="s">
        <v>27</v>
      </c>
      <c r="AN5" s="7"/>
      <c r="AO5" s="28" t="s">
        <v>100</v>
      </c>
      <c r="AP5" s="15" t="s">
        <v>101</v>
      </c>
      <c r="AQ5" s="11"/>
      <c r="AR5" s="16" t="s">
        <v>27</v>
      </c>
      <c r="AS5" s="7"/>
      <c r="AT5" s="14" t="s">
        <v>102</v>
      </c>
      <c r="AU5" s="15" t="s">
        <v>103</v>
      </c>
      <c r="AV5" s="11"/>
      <c r="AW5" s="16" t="s">
        <v>27</v>
      </c>
      <c r="AX5" s="7"/>
      <c r="AY5" s="14" t="s">
        <v>104</v>
      </c>
      <c r="AZ5" s="18" t="s">
        <v>105</v>
      </c>
      <c r="BA5" s="19"/>
      <c r="BB5" s="16" t="s">
        <v>27</v>
      </c>
      <c r="BC5" s="7"/>
      <c r="BD5" s="14" t="s">
        <v>106</v>
      </c>
      <c r="BE5" s="15" t="s">
        <v>107</v>
      </c>
      <c r="BF5" s="19"/>
      <c r="BG5" s="16" t="s">
        <v>27</v>
      </c>
      <c r="BH5" s="7"/>
      <c r="BI5" s="14" t="s">
        <v>108</v>
      </c>
      <c r="BJ5" s="15" t="s">
        <v>109</v>
      </c>
      <c r="BK5" s="11" t="s">
        <v>110</v>
      </c>
      <c r="BL5" s="16" t="s">
        <v>27</v>
      </c>
      <c r="BM5" s="7"/>
      <c r="BN5" s="11" t="s">
        <v>111</v>
      </c>
      <c r="BO5" s="31" t="s">
        <v>112</v>
      </c>
      <c r="BP5" s="7"/>
      <c r="BQ5" s="7"/>
      <c r="BR5" s="7"/>
      <c r="BS5" s="7"/>
      <c r="CB5" s="7"/>
      <c r="CC5" s="7"/>
      <c r="CD5" s="7"/>
      <c r="CE5" s="7"/>
      <c r="CF5" s="7"/>
    </row>
    <row r="6">
      <c r="A6" s="14" t="s">
        <v>113</v>
      </c>
      <c r="B6" s="15" t="s">
        <v>114</v>
      </c>
      <c r="C6" s="11" t="s">
        <v>115</v>
      </c>
      <c r="D6" s="16" t="s">
        <v>27</v>
      </c>
      <c r="E6" s="7"/>
      <c r="F6" s="14" t="s">
        <v>116</v>
      </c>
      <c r="G6" s="15" t="s">
        <v>117</v>
      </c>
      <c r="H6" s="11"/>
      <c r="I6" s="16" t="s">
        <v>27</v>
      </c>
      <c r="J6" s="7"/>
      <c r="K6" s="14" t="s">
        <v>118</v>
      </c>
      <c r="L6" s="18" t="s">
        <v>119</v>
      </c>
      <c r="M6" s="11" t="s">
        <v>120</v>
      </c>
      <c r="N6" s="16" t="s">
        <v>27</v>
      </c>
      <c r="O6" s="7"/>
      <c r="P6" s="14" t="s">
        <v>121</v>
      </c>
      <c r="Q6" s="15" t="s">
        <v>122</v>
      </c>
      <c r="R6" s="19"/>
      <c r="S6" s="16" t="s">
        <v>27</v>
      </c>
      <c r="T6" s="7"/>
      <c r="U6" s="14" t="s">
        <v>123</v>
      </c>
      <c r="V6" s="15" t="s">
        <v>124</v>
      </c>
      <c r="W6" s="11"/>
      <c r="X6" s="16" t="s">
        <v>27</v>
      </c>
      <c r="Y6" s="7"/>
      <c r="Z6" s="14" t="s">
        <v>125</v>
      </c>
      <c r="AA6" s="15" t="s">
        <v>126</v>
      </c>
      <c r="AB6" s="11"/>
      <c r="AC6" s="16" t="s">
        <v>27</v>
      </c>
      <c r="AD6" s="7"/>
      <c r="AE6" s="14" t="s">
        <v>127</v>
      </c>
      <c r="AF6" s="18" t="s">
        <v>128</v>
      </c>
      <c r="AG6" s="11" t="s">
        <v>129</v>
      </c>
      <c r="AH6" s="16" t="s">
        <v>27</v>
      </c>
      <c r="AI6" s="7"/>
      <c r="AJ6" s="14" t="s">
        <v>130</v>
      </c>
      <c r="AK6" s="15" t="s">
        <v>131</v>
      </c>
      <c r="AL6" s="11"/>
      <c r="AM6" s="26" t="s">
        <v>27</v>
      </c>
      <c r="AN6" s="7"/>
      <c r="AO6" s="14" t="s">
        <v>132</v>
      </c>
      <c r="AP6" s="15" t="s">
        <v>133</v>
      </c>
      <c r="AQ6" s="11"/>
      <c r="AR6" s="16" t="s">
        <v>27</v>
      </c>
      <c r="AS6" s="7"/>
      <c r="AT6" s="14" t="s">
        <v>134</v>
      </c>
      <c r="AU6" s="15" t="s">
        <v>135</v>
      </c>
      <c r="AV6" s="11"/>
      <c r="AW6" s="16" t="s">
        <v>136</v>
      </c>
      <c r="AX6" s="7"/>
      <c r="AY6" s="14" t="s">
        <v>137</v>
      </c>
      <c r="AZ6" s="18" t="s">
        <v>138</v>
      </c>
      <c r="BA6" s="19"/>
      <c r="BB6" s="16" t="s">
        <v>33</v>
      </c>
      <c r="BC6" s="7"/>
      <c r="BD6" s="14" t="s">
        <v>139</v>
      </c>
      <c r="BE6" s="15" t="s">
        <v>140</v>
      </c>
      <c r="BF6" s="19"/>
      <c r="BG6" s="16" t="s">
        <v>27</v>
      </c>
      <c r="BH6" s="7"/>
      <c r="BI6" s="14" t="s">
        <v>141</v>
      </c>
      <c r="BJ6" s="15" t="s">
        <v>142</v>
      </c>
      <c r="BK6" s="11" t="s">
        <v>143</v>
      </c>
      <c r="BL6" s="16" t="s">
        <v>21</v>
      </c>
      <c r="BM6" s="11" t="s">
        <v>144</v>
      </c>
      <c r="BN6" s="7"/>
      <c r="BO6" s="7"/>
      <c r="BP6" s="7"/>
      <c r="BQ6" s="7"/>
      <c r="BR6" s="7"/>
      <c r="BS6" s="7"/>
      <c r="CB6" s="7"/>
      <c r="CC6" s="7"/>
      <c r="CD6" s="7"/>
      <c r="CE6" s="7"/>
      <c r="CF6" s="7"/>
    </row>
    <row r="7">
      <c r="A7" s="14" t="s">
        <v>145</v>
      </c>
      <c r="B7" s="15" t="s">
        <v>146</v>
      </c>
      <c r="C7" s="11" t="s">
        <v>147</v>
      </c>
      <c r="D7" s="16" t="s">
        <v>27</v>
      </c>
      <c r="E7" s="7"/>
      <c r="F7" s="14" t="s">
        <v>148</v>
      </c>
      <c r="G7" s="15" t="s">
        <v>149</v>
      </c>
      <c r="H7" s="11"/>
      <c r="I7" s="16" t="s">
        <v>33</v>
      </c>
      <c r="J7" s="7"/>
      <c r="K7" s="14" t="s">
        <v>150</v>
      </c>
      <c r="L7" s="18" t="s">
        <v>151</v>
      </c>
      <c r="M7" s="19"/>
      <c r="N7" s="16" t="s">
        <v>27</v>
      </c>
      <c r="O7" s="7"/>
      <c r="P7" s="14" t="s">
        <v>152</v>
      </c>
      <c r="Q7" s="15" t="s">
        <v>153</v>
      </c>
      <c r="R7" s="19"/>
      <c r="S7" s="16" t="s">
        <v>27</v>
      </c>
      <c r="T7" s="7"/>
      <c r="U7" s="14" t="s">
        <v>154</v>
      </c>
      <c r="V7" s="15" t="s">
        <v>155</v>
      </c>
      <c r="W7" s="11"/>
      <c r="X7" s="16" t="s">
        <v>27</v>
      </c>
      <c r="Y7" s="7"/>
      <c r="Z7" s="14" t="s">
        <v>156</v>
      </c>
      <c r="AA7" s="15" t="s">
        <v>157</v>
      </c>
      <c r="AB7" s="11"/>
      <c r="AC7" s="16" t="s">
        <v>33</v>
      </c>
      <c r="AD7" s="7"/>
      <c r="AE7" s="14" t="s">
        <v>158</v>
      </c>
      <c r="AF7" s="18" t="s">
        <v>159</v>
      </c>
      <c r="AG7" s="19"/>
      <c r="AH7" s="16" t="s">
        <v>27</v>
      </c>
      <c r="AI7" s="7"/>
      <c r="AJ7" s="14" t="s">
        <v>160</v>
      </c>
      <c r="AK7" s="15" t="s">
        <v>161</v>
      </c>
      <c r="AL7" s="11"/>
      <c r="AM7" s="26" t="s">
        <v>33</v>
      </c>
      <c r="AN7" s="7"/>
      <c r="AO7" s="14" t="s">
        <v>162</v>
      </c>
      <c r="AP7" s="15" t="s">
        <v>163</v>
      </c>
      <c r="AQ7" s="11"/>
      <c r="AR7" s="16" t="s">
        <v>27</v>
      </c>
      <c r="AS7" s="7"/>
      <c r="AT7" s="14" t="s">
        <v>164</v>
      </c>
      <c r="AU7" s="17" t="s">
        <v>165</v>
      </c>
      <c r="AV7" s="11"/>
      <c r="AW7" s="16" t="s">
        <v>21</v>
      </c>
      <c r="AX7" s="7"/>
      <c r="AY7" s="14" t="s">
        <v>166</v>
      </c>
      <c r="AZ7" s="18" t="s">
        <v>167</v>
      </c>
      <c r="BA7" s="19"/>
      <c r="BB7" s="16" t="s">
        <v>27</v>
      </c>
      <c r="BC7" s="7"/>
      <c r="BD7" s="14" t="s">
        <v>168</v>
      </c>
      <c r="BE7" s="15" t="s">
        <v>169</v>
      </c>
      <c r="BF7" s="19"/>
      <c r="BG7" s="16" t="s">
        <v>27</v>
      </c>
      <c r="BH7" s="7"/>
      <c r="BI7" s="14" t="s">
        <v>170</v>
      </c>
      <c r="BJ7" s="15" t="s">
        <v>171</v>
      </c>
      <c r="BK7" s="11" t="s">
        <v>172</v>
      </c>
      <c r="BL7" s="16" t="s">
        <v>27</v>
      </c>
      <c r="BM7" s="7"/>
      <c r="BN7" s="7"/>
      <c r="BO7" s="7"/>
      <c r="BP7" s="7"/>
      <c r="BQ7" s="7"/>
      <c r="BR7" s="7"/>
      <c r="BS7" s="7"/>
      <c r="CB7" s="7"/>
      <c r="CC7" s="7"/>
      <c r="CD7" s="7"/>
      <c r="CE7" s="7"/>
      <c r="CF7" s="7"/>
    </row>
    <row r="8">
      <c r="A8" s="14" t="s">
        <v>173</v>
      </c>
      <c r="B8" s="15" t="s">
        <v>174</v>
      </c>
      <c r="C8" s="11"/>
      <c r="D8" s="16" t="s">
        <v>27</v>
      </c>
      <c r="E8" s="7"/>
      <c r="F8" s="20" t="s">
        <v>175</v>
      </c>
      <c r="G8" s="21" t="s">
        <v>176</v>
      </c>
      <c r="H8" s="22" t="s">
        <v>177</v>
      </c>
      <c r="I8" s="23" t="s">
        <v>33</v>
      </c>
      <c r="J8" s="7"/>
      <c r="K8" s="14" t="s">
        <v>178</v>
      </c>
      <c r="L8" s="18" t="s">
        <v>179</v>
      </c>
      <c r="M8" s="19"/>
      <c r="N8" s="16" t="s">
        <v>27</v>
      </c>
      <c r="O8" s="7"/>
      <c r="P8" s="14" t="s">
        <v>180</v>
      </c>
      <c r="Q8" s="15" t="s">
        <v>181</v>
      </c>
      <c r="R8" s="19"/>
      <c r="S8" s="16" t="s">
        <v>27</v>
      </c>
      <c r="T8" s="7"/>
      <c r="U8" s="14" t="s">
        <v>182</v>
      </c>
      <c r="V8" s="15" t="s">
        <v>183</v>
      </c>
      <c r="W8" s="11" t="s">
        <v>184</v>
      </c>
      <c r="X8" s="16" t="s">
        <v>21</v>
      </c>
      <c r="Y8" s="7"/>
      <c r="Z8" s="14" t="s">
        <v>185</v>
      </c>
      <c r="AA8" s="15" t="s">
        <v>186</v>
      </c>
      <c r="AB8" s="11"/>
      <c r="AC8" s="16" t="s">
        <v>27</v>
      </c>
      <c r="AD8" s="7"/>
      <c r="AE8" s="14" t="s">
        <v>187</v>
      </c>
      <c r="AF8" s="18" t="s">
        <v>188</v>
      </c>
      <c r="AG8" s="19"/>
      <c r="AH8" s="16" t="s">
        <v>27</v>
      </c>
      <c r="AI8" s="7"/>
      <c r="AJ8" s="14" t="s">
        <v>189</v>
      </c>
      <c r="AK8" s="15" t="s">
        <v>190</v>
      </c>
      <c r="AL8" s="11" t="s">
        <v>191</v>
      </c>
      <c r="AM8" s="26" t="s">
        <v>33</v>
      </c>
      <c r="AN8" s="7"/>
      <c r="AO8" s="14" t="s">
        <v>192</v>
      </c>
      <c r="AP8" s="15" t="s">
        <v>193</v>
      </c>
      <c r="AQ8" s="11"/>
      <c r="AR8" s="16" t="s">
        <v>27</v>
      </c>
      <c r="AS8" s="7"/>
      <c r="AT8" s="14" t="s">
        <v>194</v>
      </c>
      <c r="AU8" s="15" t="s">
        <v>195</v>
      </c>
      <c r="AV8" s="11"/>
      <c r="AW8" s="16" t="s">
        <v>27</v>
      </c>
      <c r="AX8" s="7"/>
      <c r="AY8" s="14" t="s">
        <v>196</v>
      </c>
      <c r="AZ8" s="18" t="s">
        <v>197</v>
      </c>
      <c r="BA8" s="19"/>
      <c r="BB8" s="16" t="s">
        <v>27</v>
      </c>
      <c r="BC8" s="7"/>
      <c r="BD8" s="14" t="s">
        <v>198</v>
      </c>
      <c r="BE8" s="15" t="s">
        <v>199</v>
      </c>
      <c r="BF8" s="19"/>
      <c r="BG8" s="16" t="s">
        <v>27</v>
      </c>
      <c r="BH8" s="7"/>
      <c r="BI8" s="14" t="s">
        <v>200</v>
      </c>
      <c r="BJ8" s="15" t="s">
        <v>201</v>
      </c>
      <c r="BK8" s="11"/>
      <c r="BL8" s="16" t="s">
        <v>27</v>
      </c>
      <c r="BM8" s="7"/>
      <c r="BN8" s="7"/>
      <c r="BO8" s="7"/>
      <c r="BP8" s="7"/>
      <c r="BQ8" s="7"/>
      <c r="BR8" s="7"/>
      <c r="BS8" s="7"/>
      <c r="CB8" s="7"/>
      <c r="CC8" s="7"/>
      <c r="CD8" s="7"/>
      <c r="CE8" s="7"/>
      <c r="CF8" s="7"/>
    </row>
    <row r="9">
      <c r="A9" s="14" t="s">
        <v>202</v>
      </c>
      <c r="B9" s="15" t="s">
        <v>203</v>
      </c>
      <c r="C9" s="11"/>
      <c r="D9" s="16" t="s">
        <v>27</v>
      </c>
      <c r="E9" s="7"/>
      <c r="F9" s="14" t="s">
        <v>204</v>
      </c>
      <c r="G9" s="15" t="s">
        <v>205</v>
      </c>
      <c r="H9" s="11"/>
      <c r="I9" s="16" t="s">
        <v>27</v>
      </c>
      <c r="J9" s="7"/>
      <c r="K9" s="14" t="s">
        <v>206</v>
      </c>
      <c r="L9" s="18" t="s">
        <v>207</v>
      </c>
      <c r="M9" s="19"/>
      <c r="N9" s="16" t="s">
        <v>27</v>
      </c>
      <c r="O9" s="7"/>
      <c r="P9" s="14" t="s">
        <v>208</v>
      </c>
      <c r="Q9" s="15" t="s">
        <v>209</v>
      </c>
      <c r="R9" s="19"/>
      <c r="S9" s="16" t="s">
        <v>27</v>
      </c>
      <c r="T9" s="7"/>
      <c r="U9" s="14" t="s">
        <v>210</v>
      </c>
      <c r="V9" s="15" t="s">
        <v>211</v>
      </c>
      <c r="W9" s="11"/>
      <c r="X9" s="16" t="s">
        <v>33</v>
      </c>
      <c r="Y9" s="7"/>
      <c r="Z9" s="14" t="s">
        <v>212</v>
      </c>
      <c r="AA9" s="15" t="s">
        <v>213</v>
      </c>
      <c r="AB9" s="11"/>
      <c r="AC9" s="16" t="s">
        <v>33</v>
      </c>
      <c r="AD9" s="7"/>
      <c r="AE9" s="14" t="s">
        <v>214</v>
      </c>
      <c r="AF9" s="18" t="s">
        <v>215</v>
      </c>
      <c r="AG9" s="19"/>
      <c r="AH9" s="16" t="s">
        <v>27</v>
      </c>
      <c r="AI9" s="7"/>
      <c r="AJ9" s="14" t="s">
        <v>216</v>
      </c>
      <c r="AK9" s="15" t="s">
        <v>217</v>
      </c>
      <c r="AL9" s="29" t="s">
        <v>218</v>
      </c>
      <c r="AM9" s="26" t="s">
        <v>27</v>
      </c>
      <c r="AN9" s="7"/>
      <c r="AO9" s="14" t="s">
        <v>219</v>
      </c>
      <c r="AP9" s="15" t="s">
        <v>220</v>
      </c>
      <c r="AQ9" s="11"/>
      <c r="AR9" s="16" t="s">
        <v>27</v>
      </c>
      <c r="AS9" s="7"/>
      <c r="AT9" s="14" t="s">
        <v>221</v>
      </c>
      <c r="AU9" s="15" t="s">
        <v>222</v>
      </c>
      <c r="AV9" s="11"/>
      <c r="AW9" s="16" t="s">
        <v>27</v>
      </c>
      <c r="AX9" s="7"/>
      <c r="AY9" s="14" t="s">
        <v>223</v>
      </c>
      <c r="AZ9" s="18" t="s">
        <v>224</v>
      </c>
      <c r="BA9" s="19"/>
      <c r="BB9" s="16" t="s">
        <v>33</v>
      </c>
      <c r="BC9" s="7"/>
      <c r="BD9" s="14" t="s">
        <v>225</v>
      </c>
      <c r="BE9" s="15" t="s">
        <v>226</v>
      </c>
      <c r="BF9" s="19"/>
      <c r="BG9" s="16" t="s">
        <v>27</v>
      </c>
      <c r="BH9" s="7"/>
      <c r="BI9" s="14" t="s">
        <v>227</v>
      </c>
      <c r="BJ9" s="15" t="s">
        <v>228</v>
      </c>
      <c r="BK9" s="11"/>
      <c r="BL9" s="16" t="s">
        <v>27</v>
      </c>
      <c r="BM9" s="7"/>
      <c r="BN9" s="7"/>
      <c r="BO9" s="7"/>
      <c r="BP9" s="7"/>
      <c r="BQ9" s="7"/>
      <c r="BR9" s="7"/>
      <c r="BS9" s="7"/>
      <c r="CB9" s="7"/>
      <c r="CC9" s="7"/>
      <c r="CD9" s="7"/>
      <c r="CE9" s="7"/>
      <c r="CF9" s="7"/>
    </row>
    <row r="10">
      <c r="A10" s="14" t="s">
        <v>229</v>
      </c>
      <c r="B10" s="15" t="s">
        <v>230</v>
      </c>
      <c r="C10" s="11" t="s">
        <v>231</v>
      </c>
      <c r="D10" s="16" t="s">
        <v>21</v>
      </c>
      <c r="E10" s="7"/>
      <c r="F10" s="14" t="s">
        <v>232</v>
      </c>
      <c r="G10" s="15" t="s">
        <v>233</v>
      </c>
      <c r="H10" s="11"/>
      <c r="I10" s="16" t="s">
        <v>27</v>
      </c>
      <c r="J10" s="7"/>
      <c r="K10" s="14" t="s">
        <v>234</v>
      </c>
      <c r="L10" s="18" t="s">
        <v>235</v>
      </c>
      <c r="M10" s="11" t="s">
        <v>236</v>
      </c>
      <c r="N10" s="16" t="s">
        <v>27</v>
      </c>
      <c r="O10" s="7"/>
      <c r="P10" s="14" t="s">
        <v>237</v>
      </c>
      <c r="Q10" s="15" t="s">
        <v>238</v>
      </c>
      <c r="R10" s="19"/>
      <c r="S10" s="16" t="s">
        <v>27</v>
      </c>
      <c r="T10" s="7"/>
      <c r="U10" s="20" t="s">
        <v>239</v>
      </c>
      <c r="V10" s="21" t="s">
        <v>240</v>
      </c>
      <c r="W10" s="22" t="s">
        <v>32</v>
      </c>
      <c r="X10" s="23" t="s">
        <v>33</v>
      </c>
      <c r="Y10" s="7"/>
      <c r="Z10" s="14" t="s">
        <v>241</v>
      </c>
      <c r="AA10" s="15" t="s">
        <v>242</v>
      </c>
      <c r="AB10" s="11" t="s">
        <v>243</v>
      </c>
      <c r="AC10" s="16" t="s">
        <v>27</v>
      </c>
      <c r="AD10" s="7"/>
      <c r="AE10" s="14" t="s">
        <v>244</v>
      </c>
      <c r="AF10" s="18" t="s">
        <v>245</v>
      </c>
      <c r="AG10" s="11" t="s">
        <v>246</v>
      </c>
      <c r="AH10" s="16" t="s">
        <v>27</v>
      </c>
      <c r="AI10" s="7"/>
      <c r="AJ10" s="14" t="s">
        <v>247</v>
      </c>
      <c r="AK10" s="15" t="s">
        <v>248</v>
      </c>
      <c r="AL10" s="11"/>
      <c r="AM10" s="26" t="s">
        <v>33</v>
      </c>
      <c r="AN10" s="7"/>
      <c r="AO10" s="14" t="s">
        <v>249</v>
      </c>
      <c r="AP10" s="15" t="s">
        <v>250</v>
      </c>
      <c r="AQ10" s="11"/>
      <c r="AR10" s="16" t="s">
        <v>27</v>
      </c>
      <c r="AS10" s="7"/>
      <c r="AT10" s="14" t="s">
        <v>251</v>
      </c>
      <c r="AU10" s="15" t="s">
        <v>252</v>
      </c>
      <c r="AV10" s="11"/>
      <c r="AW10" s="16" t="s">
        <v>27</v>
      </c>
      <c r="AX10" s="7"/>
      <c r="AY10" s="14" t="s">
        <v>253</v>
      </c>
      <c r="AZ10" s="18" t="s">
        <v>254</v>
      </c>
      <c r="BA10" s="19"/>
      <c r="BB10" s="16" t="s">
        <v>27</v>
      </c>
      <c r="BC10" s="7"/>
      <c r="BD10" s="14" t="s">
        <v>255</v>
      </c>
      <c r="BE10" s="15" t="s">
        <v>256</v>
      </c>
      <c r="BF10" s="19"/>
      <c r="BG10" s="16" t="s">
        <v>27</v>
      </c>
      <c r="BH10" s="7"/>
      <c r="BI10" s="14" t="s">
        <v>257</v>
      </c>
      <c r="BJ10" s="15" t="s">
        <v>258</v>
      </c>
      <c r="BK10" s="11" t="s">
        <v>259</v>
      </c>
      <c r="BL10" s="16" t="s">
        <v>27</v>
      </c>
      <c r="BM10" s="7"/>
      <c r="BN10" s="7"/>
      <c r="BO10" s="7"/>
      <c r="BP10" s="7"/>
      <c r="BQ10" s="7"/>
      <c r="BR10" s="7"/>
      <c r="BS10" s="7"/>
      <c r="CB10" s="7"/>
      <c r="CC10" s="7"/>
      <c r="CD10" s="7"/>
      <c r="CE10" s="7"/>
      <c r="CF10" s="7"/>
    </row>
    <row r="11">
      <c r="A11" s="14" t="s">
        <v>260</v>
      </c>
      <c r="B11" s="15" t="s">
        <v>261</v>
      </c>
      <c r="C11" s="11" t="s">
        <v>262</v>
      </c>
      <c r="D11" s="16" t="s">
        <v>27</v>
      </c>
      <c r="E11" s="7"/>
      <c r="F11" s="14" t="s">
        <v>263</v>
      </c>
      <c r="G11" s="15" t="s">
        <v>264</v>
      </c>
      <c r="H11" s="11"/>
      <c r="I11" s="16" t="s">
        <v>21</v>
      </c>
      <c r="J11" s="7"/>
      <c r="K11" s="14" t="s">
        <v>265</v>
      </c>
      <c r="L11" s="18" t="s">
        <v>266</v>
      </c>
      <c r="M11" s="19"/>
      <c r="N11" s="16" t="s">
        <v>27</v>
      </c>
      <c r="O11" s="7"/>
      <c r="P11" s="14" t="s">
        <v>267</v>
      </c>
      <c r="Q11" s="15" t="s">
        <v>268</v>
      </c>
      <c r="R11" s="19"/>
      <c r="S11" s="16" t="s">
        <v>27</v>
      </c>
      <c r="T11" s="7"/>
      <c r="U11" s="14" t="s">
        <v>269</v>
      </c>
      <c r="V11" s="15" t="s">
        <v>270</v>
      </c>
      <c r="W11" s="11"/>
      <c r="X11" s="16" t="s">
        <v>27</v>
      </c>
      <c r="Y11" s="7"/>
      <c r="Z11" s="14" t="s">
        <v>271</v>
      </c>
      <c r="AA11" s="15" t="s">
        <v>272</v>
      </c>
      <c r="AB11" s="11"/>
      <c r="AC11" s="16" t="s">
        <v>27</v>
      </c>
      <c r="AD11" s="7"/>
      <c r="AE11" s="14" t="s">
        <v>273</v>
      </c>
      <c r="AF11" s="18" t="s">
        <v>274</v>
      </c>
      <c r="AG11" s="11" t="s">
        <v>275</v>
      </c>
      <c r="AH11" s="16" t="s">
        <v>27</v>
      </c>
      <c r="AI11" s="7"/>
      <c r="AJ11" s="14" t="s">
        <v>276</v>
      </c>
      <c r="AK11" s="15" t="s">
        <v>277</v>
      </c>
      <c r="AL11" s="11"/>
      <c r="AM11" s="26" t="s">
        <v>27</v>
      </c>
      <c r="AN11" s="7"/>
      <c r="AO11" s="14" t="s">
        <v>278</v>
      </c>
      <c r="AP11" s="15" t="s">
        <v>279</v>
      </c>
      <c r="AQ11" s="11"/>
      <c r="AR11" s="16" t="s">
        <v>27</v>
      </c>
      <c r="AS11" s="7"/>
      <c r="AT11" s="14" t="s">
        <v>280</v>
      </c>
      <c r="AU11" s="15" t="s">
        <v>281</v>
      </c>
      <c r="AV11" s="11"/>
      <c r="AW11" s="16" t="s">
        <v>27</v>
      </c>
      <c r="AX11" s="7"/>
      <c r="AY11" s="14" t="s">
        <v>282</v>
      </c>
      <c r="AZ11" s="18" t="s">
        <v>283</v>
      </c>
      <c r="BA11" s="19"/>
      <c r="BB11" s="16" t="s">
        <v>27</v>
      </c>
      <c r="BC11" s="7"/>
      <c r="BD11" s="14" t="s">
        <v>284</v>
      </c>
      <c r="BE11" s="17" t="s">
        <v>285</v>
      </c>
      <c r="BF11" s="19"/>
      <c r="BG11" s="16" t="s">
        <v>33</v>
      </c>
      <c r="BH11" s="7"/>
      <c r="BI11" s="14" t="s">
        <v>77</v>
      </c>
      <c r="BJ11" s="15" t="s">
        <v>286</v>
      </c>
      <c r="BK11" s="11"/>
      <c r="BL11" s="16" t="s">
        <v>27</v>
      </c>
      <c r="BM11" s="7"/>
      <c r="BN11" s="11"/>
      <c r="BO11" s="7"/>
      <c r="BP11" s="7"/>
      <c r="BQ11" s="32" t="s">
        <v>287</v>
      </c>
      <c r="BR11" s="7"/>
      <c r="BS11" s="7"/>
      <c r="CB11" s="7"/>
      <c r="CC11" s="7"/>
      <c r="CD11" s="7"/>
      <c r="CE11" s="7"/>
      <c r="CF11" s="7"/>
    </row>
    <row r="12">
      <c r="A12" s="14" t="s">
        <v>288</v>
      </c>
      <c r="B12" s="15" t="s">
        <v>289</v>
      </c>
      <c r="C12" s="11" t="s">
        <v>290</v>
      </c>
      <c r="D12" s="16" t="s">
        <v>27</v>
      </c>
      <c r="E12" s="7"/>
      <c r="F12" s="14" t="s">
        <v>291</v>
      </c>
      <c r="G12" s="15" t="s">
        <v>292</v>
      </c>
      <c r="H12" s="11"/>
      <c r="I12" s="16" t="s">
        <v>27</v>
      </c>
      <c r="J12" s="7"/>
      <c r="K12" s="14" t="s">
        <v>293</v>
      </c>
      <c r="L12" s="18" t="s">
        <v>294</v>
      </c>
      <c r="M12" s="19"/>
      <c r="N12" s="16" t="s">
        <v>27</v>
      </c>
      <c r="O12" s="7"/>
      <c r="P12" s="14" t="s">
        <v>295</v>
      </c>
      <c r="Q12" s="15" t="s">
        <v>296</v>
      </c>
      <c r="R12" s="19"/>
      <c r="S12" s="16" t="s">
        <v>27</v>
      </c>
      <c r="T12" s="7"/>
      <c r="U12" s="14" t="s">
        <v>297</v>
      </c>
      <c r="V12" s="15" t="s">
        <v>298</v>
      </c>
      <c r="W12" s="11"/>
      <c r="X12" s="16" t="s">
        <v>27</v>
      </c>
      <c r="Y12" s="7"/>
      <c r="Z12" s="14" t="s">
        <v>299</v>
      </c>
      <c r="AA12" s="17" t="s">
        <v>300</v>
      </c>
      <c r="AB12" s="33"/>
      <c r="AC12" s="16" t="s">
        <v>27</v>
      </c>
      <c r="AD12" s="7"/>
      <c r="AE12" s="14" t="s">
        <v>301</v>
      </c>
      <c r="AF12" s="18" t="s">
        <v>302</v>
      </c>
      <c r="AG12" s="19"/>
      <c r="AH12" s="16" t="s">
        <v>27</v>
      </c>
      <c r="AI12" s="7"/>
      <c r="AJ12" s="14" t="s">
        <v>303</v>
      </c>
      <c r="AK12" s="15" t="s">
        <v>304</v>
      </c>
      <c r="AL12" s="11"/>
      <c r="AM12" s="26" t="s">
        <v>33</v>
      </c>
      <c r="AN12" s="7"/>
      <c r="AO12" s="14" t="s">
        <v>305</v>
      </c>
      <c r="AP12" s="15" t="s">
        <v>306</v>
      </c>
      <c r="AQ12" s="11"/>
      <c r="AR12" s="16" t="s">
        <v>27</v>
      </c>
      <c r="AS12" s="7"/>
      <c r="AT12" s="14" t="s">
        <v>307</v>
      </c>
      <c r="AU12" s="15" t="s">
        <v>308</v>
      </c>
      <c r="AV12" s="11"/>
      <c r="AW12" s="16" t="s">
        <v>27</v>
      </c>
      <c r="AX12" s="7"/>
      <c r="AY12" s="14" t="s">
        <v>309</v>
      </c>
      <c r="AZ12" s="18" t="s">
        <v>310</v>
      </c>
      <c r="BA12" s="19"/>
      <c r="BB12" s="16" t="s">
        <v>27</v>
      </c>
      <c r="BC12" s="7"/>
      <c r="BD12" s="14" t="s">
        <v>311</v>
      </c>
      <c r="BE12" s="15" t="s">
        <v>312</v>
      </c>
      <c r="BF12" s="19"/>
      <c r="BG12" s="16" t="s">
        <v>33</v>
      </c>
      <c r="BH12" s="7"/>
      <c r="BI12" s="14" t="s">
        <v>77</v>
      </c>
      <c r="BJ12" s="15" t="s">
        <v>313</v>
      </c>
      <c r="BK12" s="11"/>
      <c r="BL12" s="16" t="s">
        <v>27</v>
      </c>
      <c r="BM12" s="7"/>
      <c r="BN12" s="11"/>
      <c r="BO12" s="11"/>
      <c r="BP12" s="7"/>
      <c r="BQ12" s="32" t="s">
        <v>314</v>
      </c>
      <c r="BR12" s="7">
        <f>D150</f>
        <v>10</v>
      </c>
      <c r="BS12" s="7"/>
      <c r="CB12" s="7"/>
      <c r="CC12" s="7"/>
      <c r="CD12" s="7"/>
      <c r="CE12" s="7"/>
      <c r="CF12" s="7"/>
    </row>
    <row r="13">
      <c r="A13" s="14" t="s">
        <v>315</v>
      </c>
      <c r="B13" s="15" t="s">
        <v>316</v>
      </c>
      <c r="C13" s="11"/>
      <c r="D13" s="16" t="s">
        <v>27</v>
      </c>
      <c r="E13" s="7"/>
      <c r="F13" s="14" t="s">
        <v>317</v>
      </c>
      <c r="G13" s="17" t="s">
        <v>318</v>
      </c>
      <c r="H13" s="11"/>
      <c r="I13" s="16" t="s">
        <v>33</v>
      </c>
      <c r="J13" s="7"/>
      <c r="K13" s="14" t="s">
        <v>319</v>
      </c>
      <c r="L13" s="18" t="s">
        <v>320</v>
      </c>
      <c r="M13" s="19"/>
      <c r="N13" s="16" t="s">
        <v>27</v>
      </c>
      <c r="O13" s="7"/>
      <c r="P13" s="14" t="s">
        <v>321</v>
      </c>
      <c r="Q13" s="15" t="s">
        <v>322</v>
      </c>
      <c r="R13" s="19"/>
      <c r="S13" s="16" t="s">
        <v>27</v>
      </c>
      <c r="T13" s="7"/>
      <c r="U13" s="14" t="s">
        <v>323</v>
      </c>
      <c r="V13" s="15" t="s">
        <v>324</v>
      </c>
      <c r="W13" s="11" t="s">
        <v>325</v>
      </c>
      <c r="X13" s="26" t="s">
        <v>33</v>
      </c>
      <c r="Y13" s="7"/>
      <c r="Z13" s="14" t="s">
        <v>326</v>
      </c>
      <c r="AA13" s="15" t="s">
        <v>327</v>
      </c>
      <c r="AB13" s="11"/>
      <c r="AC13" s="16" t="s">
        <v>27</v>
      </c>
      <c r="AD13" s="7"/>
      <c r="AE13" s="14" t="s">
        <v>328</v>
      </c>
      <c r="AF13" s="18" t="s">
        <v>329</v>
      </c>
      <c r="AG13" s="11" t="s">
        <v>330</v>
      </c>
      <c r="AH13" s="16" t="s">
        <v>33</v>
      </c>
      <c r="AI13" s="7"/>
      <c r="AJ13" s="14" t="s">
        <v>331</v>
      </c>
      <c r="AK13" s="15" t="s">
        <v>332</v>
      </c>
      <c r="AL13" s="11"/>
      <c r="AM13" s="26" t="s">
        <v>27</v>
      </c>
      <c r="AN13" s="7"/>
      <c r="AO13" s="14" t="s">
        <v>192</v>
      </c>
      <c r="AP13" s="15" t="s">
        <v>333</v>
      </c>
      <c r="AQ13" s="11"/>
      <c r="AR13" s="16" t="s">
        <v>27</v>
      </c>
      <c r="AS13" s="7"/>
      <c r="AT13" s="14" t="s">
        <v>334</v>
      </c>
      <c r="AU13" s="15" t="s">
        <v>335</v>
      </c>
      <c r="AV13" s="11"/>
      <c r="AW13" s="16" t="s">
        <v>33</v>
      </c>
      <c r="AX13" s="7"/>
      <c r="AY13" s="14" t="s">
        <v>336</v>
      </c>
      <c r="AZ13" s="18" t="s">
        <v>337</v>
      </c>
      <c r="BA13" s="19"/>
      <c r="BB13" s="16" t="s">
        <v>27</v>
      </c>
      <c r="BC13" s="7"/>
      <c r="BD13" s="14" t="s">
        <v>338</v>
      </c>
      <c r="BE13" s="15" t="s">
        <v>339</v>
      </c>
      <c r="BF13" s="19"/>
      <c r="BG13" s="16" t="s">
        <v>136</v>
      </c>
      <c r="BH13" s="7"/>
      <c r="BI13" s="14" t="s">
        <v>77</v>
      </c>
      <c r="BJ13" s="15" t="s">
        <v>340</v>
      </c>
      <c r="BK13" s="11"/>
      <c r="BL13" s="16" t="s">
        <v>27</v>
      </c>
      <c r="BM13" s="7"/>
      <c r="BN13" s="11"/>
      <c r="BO13" s="7"/>
      <c r="BP13" s="7"/>
      <c r="BQ13" s="32" t="s">
        <v>341</v>
      </c>
      <c r="BR13" s="7">
        <f>I150</f>
        <v>10</v>
      </c>
      <c r="BS13" s="7"/>
      <c r="CB13" s="7"/>
      <c r="CC13" s="7"/>
      <c r="CD13" s="7"/>
      <c r="CE13" s="7"/>
      <c r="CF13" s="7"/>
    </row>
    <row r="14">
      <c r="A14" s="14" t="s">
        <v>342</v>
      </c>
      <c r="B14" s="15" t="s">
        <v>343</v>
      </c>
      <c r="C14" s="11"/>
      <c r="D14" s="16" t="s">
        <v>27</v>
      </c>
      <c r="E14" s="7"/>
      <c r="F14" s="14" t="s">
        <v>344</v>
      </c>
      <c r="G14" s="15" t="s">
        <v>345</v>
      </c>
      <c r="H14" s="11"/>
      <c r="I14" s="16" t="s">
        <v>27</v>
      </c>
      <c r="J14" s="7"/>
      <c r="K14" s="14" t="s">
        <v>346</v>
      </c>
      <c r="L14" s="18" t="s">
        <v>347</v>
      </c>
      <c r="M14" s="19"/>
      <c r="N14" s="16" t="s">
        <v>33</v>
      </c>
      <c r="O14" s="7"/>
      <c r="P14" s="14" t="s">
        <v>348</v>
      </c>
      <c r="Q14" s="15" t="s">
        <v>349</v>
      </c>
      <c r="R14" s="19"/>
      <c r="S14" s="16" t="s">
        <v>27</v>
      </c>
      <c r="T14" s="7"/>
      <c r="U14" s="14" t="s">
        <v>350</v>
      </c>
      <c r="V14" s="15" t="s">
        <v>351</v>
      </c>
      <c r="W14" s="11"/>
      <c r="X14" s="16" t="s">
        <v>27</v>
      </c>
      <c r="Y14" s="7"/>
      <c r="Z14" s="14" t="s">
        <v>352</v>
      </c>
      <c r="AA14" s="15" t="s">
        <v>353</v>
      </c>
      <c r="AB14" s="11" t="s">
        <v>243</v>
      </c>
      <c r="AC14" s="16" t="s">
        <v>33</v>
      </c>
      <c r="AD14" s="7"/>
      <c r="AE14" s="14" t="s">
        <v>354</v>
      </c>
      <c r="AF14" s="18" t="s">
        <v>355</v>
      </c>
      <c r="AG14" s="18" t="s">
        <v>356</v>
      </c>
      <c r="AH14" s="16" t="s">
        <v>27</v>
      </c>
      <c r="AI14" s="7"/>
      <c r="AJ14" s="14" t="s">
        <v>357</v>
      </c>
      <c r="AK14" s="15" t="s">
        <v>358</v>
      </c>
      <c r="AL14" s="11"/>
      <c r="AM14" s="26" t="s">
        <v>27</v>
      </c>
      <c r="AN14" s="7"/>
      <c r="AO14" s="14" t="s">
        <v>359</v>
      </c>
      <c r="AP14" s="15" t="s">
        <v>360</v>
      </c>
      <c r="AQ14" s="11"/>
      <c r="AR14" s="16" t="s">
        <v>27</v>
      </c>
      <c r="AS14" s="7"/>
      <c r="AT14" s="14" t="s">
        <v>361</v>
      </c>
      <c r="AU14" s="15" t="s">
        <v>362</v>
      </c>
      <c r="AV14" s="11"/>
      <c r="AW14" s="16" t="s">
        <v>27</v>
      </c>
      <c r="AX14" s="7"/>
      <c r="AY14" s="34" t="s">
        <v>363</v>
      </c>
      <c r="AZ14" s="35" t="s">
        <v>364</v>
      </c>
      <c r="BA14" s="36"/>
      <c r="BB14" s="37" t="s">
        <v>27</v>
      </c>
      <c r="BC14" s="7"/>
      <c r="BD14" s="14" t="s">
        <v>365</v>
      </c>
      <c r="BE14" s="15" t="s">
        <v>366</v>
      </c>
      <c r="BF14" s="19"/>
      <c r="BG14" s="16" t="s">
        <v>27</v>
      </c>
      <c r="BH14" s="7"/>
      <c r="BI14" s="14" t="s">
        <v>367</v>
      </c>
      <c r="BJ14" s="15" t="s">
        <v>368</v>
      </c>
      <c r="BK14" s="11" t="s">
        <v>369</v>
      </c>
      <c r="BL14" s="16" t="s">
        <v>27</v>
      </c>
      <c r="BM14" s="7"/>
      <c r="BN14" s="11"/>
      <c r="BO14" s="7"/>
      <c r="BP14" s="7"/>
      <c r="BQ14" s="32" t="s">
        <v>370</v>
      </c>
      <c r="BR14" s="7">
        <f>N150</f>
        <v>6</v>
      </c>
      <c r="BS14" s="7"/>
      <c r="CB14" s="7"/>
      <c r="CC14" s="7"/>
      <c r="CD14" s="7"/>
      <c r="CE14" s="7"/>
      <c r="CF14" s="7"/>
    </row>
    <row r="15">
      <c r="A15" s="14" t="s">
        <v>371</v>
      </c>
      <c r="B15" s="15" t="s">
        <v>372</v>
      </c>
      <c r="C15" s="11"/>
      <c r="D15" s="16" t="s">
        <v>27</v>
      </c>
      <c r="E15" s="7"/>
      <c r="F15" s="20" t="s">
        <v>373</v>
      </c>
      <c r="G15" s="21" t="s">
        <v>374</v>
      </c>
      <c r="H15" s="22"/>
      <c r="I15" s="23" t="s">
        <v>33</v>
      </c>
      <c r="J15" s="7"/>
      <c r="K15" s="14" t="s">
        <v>375</v>
      </c>
      <c r="L15" s="18" t="s">
        <v>376</v>
      </c>
      <c r="M15" s="29" t="s">
        <v>377</v>
      </c>
      <c r="N15" s="16" t="s">
        <v>27</v>
      </c>
      <c r="O15" s="7"/>
      <c r="P15" s="14" t="s">
        <v>378</v>
      </c>
      <c r="Q15" s="15" t="s">
        <v>379</v>
      </c>
      <c r="R15" s="19"/>
      <c r="S15" s="16" t="s">
        <v>27</v>
      </c>
      <c r="T15" s="7"/>
      <c r="U15" s="34" t="s">
        <v>380</v>
      </c>
      <c r="V15" s="38" t="s">
        <v>381</v>
      </c>
      <c r="W15" s="39"/>
      <c r="X15" s="37" t="s">
        <v>27</v>
      </c>
      <c r="Y15" s="40"/>
      <c r="Z15" s="14" t="s">
        <v>382</v>
      </c>
      <c r="AA15" s="15" t="s">
        <v>383</v>
      </c>
      <c r="AB15" s="11"/>
      <c r="AC15" s="16" t="s">
        <v>27</v>
      </c>
      <c r="AD15" s="7"/>
      <c r="AE15" s="14" t="s">
        <v>384</v>
      </c>
      <c r="AF15" s="18" t="s">
        <v>385</v>
      </c>
      <c r="AG15" s="11" t="s">
        <v>386</v>
      </c>
      <c r="AH15" s="16" t="s">
        <v>27</v>
      </c>
      <c r="AI15" s="7"/>
      <c r="AJ15" s="14" t="s">
        <v>387</v>
      </c>
      <c r="AK15" s="15" t="s">
        <v>388</v>
      </c>
      <c r="AL15" s="11"/>
      <c r="AM15" s="26" t="s">
        <v>33</v>
      </c>
      <c r="AN15" s="7"/>
      <c r="AO15" s="14" t="s">
        <v>389</v>
      </c>
      <c r="AP15" s="15" t="s">
        <v>390</v>
      </c>
      <c r="AQ15" s="11"/>
      <c r="AR15" s="16" t="s">
        <v>33</v>
      </c>
      <c r="AS15" s="7"/>
      <c r="AT15" s="14" t="s">
        <v>391</v>
      </c>
      <c r="AU15" s="15" t="s">
        <v>392</v>
      </c>
      <c r="AV15" s="11"/>
      <c r="AW15" s="16" t="s">
        <v>33</v>
      </c>
      <c r="AX15" s="7"/>
      <c r="AY15" s="14" t="s">
        <v>393</v>
      </c>
      <c r="AZ15" s="18" t="s">
        <v>394</v>
      </c>
      <c r="BA15" s="19"/>
      <c r="BB15" s="16" t="s">
        <v>27</v>
      </c>
      <c r="BC15" s="7"/>
      <c r="BD15" s="14" t="s">
        <v>395</v>
      </c>
      <c r="BE15" s="15" t="s">
        <v>396</v>
      </c>
      <c r="BF15" s="19"/>
      <c r="BG15" s="16" t="s">
        <v>33</v>
      </c>
      <c r="BH15" s="7"/>
      <c r="BI15" s="14" t="s">
        <v>397</v>
      </c>
      <c r="BJ15" s="15" t="s">
        <v>398</v>
      </c>
      <c r="BK15" s="11" t="s">
        <v>399</v>
      </c>
      <c r="BL15" s="16" t="s">
        <v>27</v>
      </c>
      <c r="BM15" s="7"/>
      <c r="BN15" s="11"/>
      <c r="BO15" s="7"/>
      <c r="BP15" s="7"/>
      <c r="BQ15" s="32" t="s">
        <v>400</v>
      </c>
      <c r="BR15" s="7">
        <f>S150</f>
        <v>7</v>
      </c>
      <c r="BS15" s="7"/>
      <c r="CB15" s="7"/>
      <c r="CC15" s="7"/>
      <c r="CD15" s="7"/>
      <c r="CE15" s="7"/>
      <c r="CF15" s="7"/>
    </row>
    <row r="16">
      <c r="A16" s="14" t="s">
        <v>401</v>
      </c>
      <c r="B16" s="15" t="s">
        <v>402</v>
      </c>
      <c r="C16" s="11"/>
      <c r="D16" s="16" t="s">
        <v>27</v>
      </c>
      <c r="E16" s="7"/>
      <c r="F16" s="14" t="s">
        <v>403</v>
      </c>
      <c r="G16" s="15" t="s">
        <v>404</v>
      </c>
      <c r="H16" s="11"/>
      <c r="I16" s="16" t="s">
        <v>27</v>
      </c>
      <c r="J16" s="7"/>
      <c r="K16" s="14" t="s">
        <v>405</v>
      </c>
      <c r="L16" s="18" t="s">
        <v>406</v>
      </c>
      <c r="M16" s="11" t="s">
        <v>407</v>
      </c>
      <c r="N16" s="16" t="s">
        <v>27</v>
      </c>
      <c r="O16" s="7"/>
      <c r="P16" s="14" t="s">
        <v>408</v>
      </c>
      <c r="Q16" s="15" t="s">
        <v>409</v>
      </c>
      <c r="R16" s="19"/>
      <c r="S16" s="16" t="s">
        <v>27</v>
      </c>
      <c r="T16" s="7"/>
      <c r="U16" s="14" t="s">
        <v>410</v>
      </c>
      <c r="V16" s="15" t="s">
        <v>411</v>
      </c>
      <c r="W16" s="11"/>
      <c r="X16" s="16" t="s">
        <v>33</v>
      </c>
      <c r="Y16" s="7"/>
      <c r="Z16" s="14" t="s">
        <v>412</v>
      </c>
      <c r="AA16" s="15" t="s">
        <v>413</v>
      </c>
      <c r="AB16" s="11"/>
      <c r="AC16" s="16" t="s">
        <v>27</v>
      </c>
      <c r="AD16" s="7"/>
      <c r="AE16" s="14" t="s">
        <v>414</v>
      </c>
      <c r="AF16" s="18" t="s">
        <v>415</v>
      </c>
      <c r="AG16" s="19"/>
      <c r="AH16" s="16" t="s">
        <v>416</v>
      </c>
      <c r="AI16" s="7"/>
      <c r="AJ16" s="14" t="s">
        <v>417</v>
      </c>
      <c r="AK16" s="15" t="s">
        <v>418</v>
      </c>
      <c r="AL16" s="11"/>
      <c r="AM16" s="26" t="s">
        <v>27</v>
      </c>
      <c r="AN16" s="7"/>
      <c r="AO16" s="14" t="s">
        <v>419</v>
      </c>
      <c r="AP16" s="15" t="s">
        <v>420</v>
      </c>
      <c r="AQ16" s="11"/>
      <c r="AR16" s="16" t="s">
        <v>27</v>
      </c>
      <c r="AS16" s="7"/>
      <c r="AT16" s="14" t="s">
        <v>421</v>
      </c>
      <c r="AU16" s="15" t="s">
        <v>422</v>
      </c>
      <c r="AV16" s="11"/>
      <c r="AW16" s="16" t="s">
        <v>27</v>
      </c>
      <c r="AX16" s="7"/>
      <c r="AY16" s="14" t="s">
        <v>423</v>
      </c>
      <c r="AZ16" s="18" t="s">
        <v>424</v>
      </c>
      <c r="BA16" s="19"/>
      <c r="BB16" s="16" t="s">
        <v>27</v>
      </c>
      <c r="BC16" s="7"/>
      <c r="BD16" s="14" t="s">
        <v>425</v>
      </c>
      <c r="BE16" s="15" t="s">
        <v>426</v>
      </c>
      <c r="BF16" s="19"/>
      <c r="BG16" s="16" t="s">
        <v>27</v>
      </c>
      <c r="BH16" s="7"/>
      <c r="BI16" s="14" t="s">
        <v>427</v>
      </c>
      <c r="BJ16" s="15" t="s">
        <v>428</v>
      </c>
      <c r="BK16" s="11" t="s">
        <v>429</v>
      </c>
      <c r="BL16" s="16" t="s">
        <v>27</v>
      </c>
      <c r="BM16" s="7"/>
      <c r="BN16" s="7"/>
      <c r="BO16" s="7"/>
      <c r="BP16" s="7"/>
      <c r="BQ16" s="32" t="s">
        <v>430</v>
      </c>
      <c r="BR16" s="7">
        <f>X64</f>
        <v>10</v>
      </c>
      <c r="BS16" s="7"/>
      <c r="BT16" s="7"/>
      <c r="BU16" s="7"/>
      <c r="BV16" s="7"/>
      <c r="BW16" s="7"/>
      <c r="BX16" s="7"/>
      <c r="BY16" s="7"/>
      <c r="BZ16" s="41"/>
      <c r="CA16" s="7"/>
      <c r="CB16" s="7"/>
      <c r="CC16" s="7"/>
      <c r="CD16" s="7"/>
      <c r="CE16" s="7"/>
      <c r="CF16" s="7"/>
    </row>
    <row r="17">
      <c r="A17" s="14" t="s">
        <v>431</v>
      </c>
      <c r="B17" s="15" t="s">
        <v>432</v>
      </c>
      <c r="C17" s="11"/>
      <c r="D17" s="16" t="s">
        <v>27</v>
      </c>
      <c r="E17" s="7"/>
      <c r="F17" s="14" t="s">
        <v>433</v>
      </c>
      <c r="G17" s="15" t="s">
        <v>434</v>
      </c>
      <c r="H17" s="11"/>
      <c r="I17" s="16" t="s">
        <v>27</v>
      </c>
      <c r="J17" s="7"/>
      <c r="K17" s="14" t="s">
        <v>435</v>
      </c>
      <c r="L17" s="18" t="s">
        <v>436</v>
      </c>
      <c r="M17" s="19"/>
      <c r="N17" s="16" t="s">
        <v>27</v>
      </c>
      <c r="O17" s="7"/>
      <c r="P17" s="34" t="s">
        <v>437</v>
      </c>
      <c r="Q17" s="38" t="s">
        <v>438</v>
      </c>
      <c r="R17" s="36"/>
      <c r="S17" s="37" t="s">
        <v>27</v>
      </c>
      <c r="T17" s="7"/>
      <c r="U17" s="14" t="s">
        <v>439</v>
      </c>
      <c r="V17" s="15" t="s">
        <v>440</v>
      </c>
      <c r="W17" s="11"/>
      <c r="X17" s="16" t="s">
        <v>27</v>
      </c>
      <c r="Y17" s="7"/>
      <c r="Z17" s="14" t="s">
        <v>441</v>
      </c>
      <c r="AA17" s="15" t="s">
        <v>442</v>
      </c>
      <c r="AB17" s="11"/>
      <c r="AC17" s="16" t="s">
        <v>27</v>
      </c>
      <c r="AD17" s="7"/>
      <c r="AE17" s="14" t="s">
        <v>443</v>
      </c>
      <c r="AF17" s="18" t="s">
        <v>444</v>
      </c>
      <c r="AG17" s="11" t="s">
        <v>445</v>
      </c>
      <c r="AH17" s="16" t="s">
        <v>27</v>
      </c>
      <c r="AI17" s="7"/>
      <c r="AJ17" s="14" t="s">
        <v>39</v>
      </c>
      <c r="AK17" s="15" t="s">
        <v>446</v>
      </c>
      <c r="AL17" s="7"/>
      <c r="AM17" s="16" t="s">
        <v>27</v>
      </c>
      <c r="AN17" s="7"/>
      <c r="AO17" s="28" t="s">
        <v>447</v>
      </c>
      <c r="AP17" s="15" t="s">
        <v>448</v>
      </c>
      <c r="AQ17" s="11"/>
      <c r="AR17" s="16" t="s">
        <v>27</v>
      </c>
      <c r="AS17" s="7"/>
      <c r="AT17" s="14" t="s">
        <v>449</v>
      </c>
      <c r="AU17" s="15" t="s">
        <v>450</v>
      </c>
      <c r="AV17" s="11"/>
      <c r="AW17" s="16" t="s">
        <v>33</v>
      </c>
      <c r="AX17" s="7"/>
      <c r="AY17" s="14" t="s">
        <v>451</v>
      </c>
      <c r="AZ17" s="18" t="s">
        <v>452</v>
      </c>
      <c r="BA17" s="19"/>
      <c r="BB17" s="16" t="s">
        <v>27</v>
      </c>
      <c r="BC17" s="7"/>
      <c r="BD17" s="14" t="s">
        <v>453</v>
      </c>
      <c r="BE17" s="15" t="s">
        <v>454</v>
      </c>
      <c r="BF17" s="19"/>
      <c r="BG17" s="16" t="s">
        <v>27</v>
      </c>
      <c r="BH17" s="7"/>
      <c r="BI17" s="14" t="s">
        <v>455</v>
      </c>
      <c r="BJ17" s="15" t="s">
        <v>456</v>
      </c>
      <c r="BK17" s="11"/>
      <c r="BL17" s="16" t="s">
        <v>27</v>
      </c>
      <c r="BM17" s="7"/>
      <c r="BN17" s="7"/>
      <c r="BO17" s="7"/>
      <c r="BP17" s="7"/>
      <c r="BQ17" s="32" t="s">
        <v>457</v>
      </c>
      <c r="BR17" s="7">
        <f>AC64</f>
        <v>4</v>
      </c>
      <c r="BS17" s="7"/>
      <c r="BT17" s="7"/>
      <c r="BU17" s="7"/>
      <c r="BV17" s="7"/>
      <c r="BW17" s="7"/>
      <c r="BX17" s="7"/>
      <c r="BY17" s="7"/>
      <c r="BZ17" s="32"/>
      <c r="CA17" s="7"/>
      <c r="CB17" s="7"/>
      <c r="CC17" s="7"/>
      <c r="CD17" s="7"/>
      <c r="CE17" s="7"/>
      <c r="CF17" s="7"/>
    </row>
    <row r="18">
      <c r="A18" s="14" t="s">
        <v>458</v>
      </c>
      <c r="B18" s="15" t="s">
        <v>459</v>
      </c>
      <c r="C18" s="11" t="s">
        <v>460</v>
      </c>
      <c r="D18" s="16" t="s">
        <v>27</v>
      </c>
      <c r="E18" s="7"/>
      <c r="F18" s="14" t="s">
        <v>461</v>
      </c>
      <c r="G18" s="15" t="s">
        <v>462</v>
      </c>
      <c r="H18" s="11"/>
      <c r="I18" s="16" t="s">
        <v>33</v>
      </c>
      <c r="J18" s="7"/>
      <c r="K18" s="14" t="s">
        <v>463</v>
      </c>
      <c r="L18" s="18" t="s">
        <v>464</v>
      </c>
      <c r="M18" s="19"/>
      <c r="N18" s="16" t="s">
        <v>27</v>
      </c>
      <c r="O18" s="7"/>
      <c r="P18" s="14" t="s">
        <v>465</v>
      </c>
      <c r="Q18" s="15" t="s">
        <v>466</v>
      </c>
      <c r="R18" s="7"/>
      <c r="S18" s="16" t="s">
        <v>27</v>
      </c>
      <c r="T18" s="7"/>
      <c r="U18" s="14" t="s">
        <v>467</v>
      </c>
      <c r="V18" s="15" t="s">
        <v>468</v>
      </c>
      <c r="W18" s="11" t="s">
        <v>469</v>
      </c>
      <c r="X18" s="16" t="s">
        <v>21</v>
      </c>
      <c r="Y18" s="7"/>
      <c r="Z18" s="14" t="s">
        <v>470</v>
      </c>
      <c r="AA18" s="15" t="s">
        <v>471</v>
      </c>
      <c r="AB18" s="11" t="s">
        <v>243</v>
      </c>
      <c r="AC18" s="16" t="s">
        <v>27</v>
      </c>
      <c r="AD18" s="7"/>
      <c r="AE18" s="14" t="s">
        <v>472</v>
      </c>
      <c r="AF18" s="18" t="s">
        <v>473</v>
      </c>
      <c r="AG18" s="19"/>
      <c r="AH18" s="16" t="s">
        <v>27</v>
      </c>
      <c r="AI18" s="7"/>
      <c r="AJ18" s="14" t="s">
        <v>474</v>
      </c>
      <c r="AK18" s="15" t="s">
        <v>475</v>
      </c>
      <c r="AL18" s="29" t="s">
        <v>476</v>
      </c>
      <c r="AM18" s="26" t="s">
        <v>27</v>
      </c>
      <c r="AN18" s="7"/>
      <c r="AO18" s="14" t="s">
        <v>477</v>
      </c>
      <c r="AP18" s="15" t="s">
        <v>478</v>
      </c>
      <c r="AQ18" s="11"/>
      <c r="AR18" s="16" t="s">
        <v>27</v>
      </c>
      <c r="AS18" s="7"/>
      <c r="AT18" s="14" t="s">
        <v>479</v>
      </c>
      <c r="AU18" s="15" t="s">
        <v>480</v>
      </c>
      <c r="AV18" s="11"/>
      <c r="AW18" s="16" t="s">
        <v>27</v>
      </c>
      <c r="AX18" s="7"/>
      <c r="AY18" s="14" t="s">
        <v>481</v>
      </c>
      <c r="AZ18" s="18" t="s">
        <v>482</v>
      </c>
      <c r="BA18" s="19"/>
      <c r="BB18" s="16" t="s">
        <v>27</v>
      </c>
      <c r="BC18" s="7"/>
      <c r="BD18" s="14" t="s">
        <v>483</v>
      </c>
      <c r="BE18" s="15" t="s">
        <v>484</v>
      </c>
      <c r="BF18" s="19"/>
      <c r="BG18" s="16" t="s">
        <v>27</v>
      </c>
      <c r="BH18" s="7"/>
      <c r="BI18" s="14" t="s">
        <v>485</v>
      </c>
      <c r="BJ18" s="15" t="s">
        <v>486</v>
      </c>
      <c r="BK18" s="11" t="s">
        <v>487</v>
      </c>
      <c r="BL18" s="16" t="s">
        <v>27</v>
      </c>
      <c r="BM18" s="7"/>
      <c r="BN18" s="42" t="s">
        <v>488</v>
      </c>
      <c r="BO18" s="11" t="s">
        <v>489</v>
      </c>
      <c r="BP18" s="7"/>
      <c r="BQ18" s="32" t="s">
        <v>490</v>
      </c>
      <c r="BR18" s="7">
        <f>AH64</f>
        <v>10</v>
      </c>
      <c r="BS18" s="7"/>
      <c r="BT18" s="7"/>
      <c r="BU18" s="7"/>
      <c r="BV18" s="7"/>
      <c r="BW18" s="7"/>
      <c r="BX18" s="7"/>
      <c r="BY18" s="7"/>
      <c r="BZ18" s="41"/>
      <c r="CA18" s="7"/>
      <c r="CB18" s="7"/>
      <c r="CC18" s="7"/>
      <c r="CD18" s="7"/>
      <c r="CE18" s="7"/>
      <c r="CF18" s="7"/>
    </row>
    <row r="19">
      <c r="A19" s="28" t="s">
        <v>491</v>
      </c>
      <c r="B19" s="15" t="s">
        <v>492</v>
      </c>
      <c r="C19" s="11"/>
      <c r="D19" s="16" t="s">
        <v>27</v>
      </c>
      <c r="E19" s="7"/>
      <c r="F19" s="14" t="s">
        <v>493</v>
      </c>
      <c r="G19" s="15" t="s">
        <v>494</v>
      </c>
      <c r="H19" s="11"/>
      <c r="I19" s="16" t="s">
        <v>27</v>
      </c>
      <c r="J19" s="7"/>
      <c r="K19" s="14" t="s">
        <v>495</v>
      </c>
      <c r="L19" s="18" t="s">
        <v>496</v>
      </c>
      <c r="M19" s="11" t="s">
        <v>497</v>
      </c>
      <c r="N19" s="16" t="s">
        <v>27</v>
      </c>
      <c r="O19" s="7"/>
      <c r="P19" s="14" t="s">
        <v>498</v>
      </c>
      <c r="Q19" s="15" t="s">
        <v>499</v>
      </c>
      <c r="R19" s="7"/>
      <c r="S19" s="16" t="s">
        <v>27</v>
      </c>
      <c r="T19" s="7"/>
      <c r="U19" s="14" t="s">
        <v>500</v>
      </c>
      <c r="V19" s="15" t="s">
        <v>501</v>
      </c>
      <c r="W19" s="11"/>
      <c r="X19" s="16" t="s">
        <v>27</v>
      </c>
      <c r="Y19" s="7"/>
      <c r="Z19" s="14" t="s">
        <v>502</v>
      </c>
      <c r="AA19" s="15" t="s">
        <v>503</v>
      </c>
      <c r="AB19" s="11"/>
      <c r="AC19" s="16" t="s">
        <v>27</v>
      </c>
      <c r="AD19" s="7"/>
      <c r="AE19" s="14" t="s">
        <v>504</v>
      </c>
      <c r="AF19" s="18" t="s">
        <v>505</v>
      </c>
      <c r="AG19" s="18" t="s">
        <v>506</v>
      </c>
      <c r="AH19" s="16" t="s">
        <v>27</v>
      </c>
      <c r="AI19" s="7"/>
      <c r="AJ19" s="14" t="s">
        <v>507</v>
      </c>
      <c r="AK19" s="15" t="s">
        <v>508</v>
      </c>
      <c r="AL19" s="11"/>
      <c r="AM19" s="26" t="s">
        <v>27</v>
      </c>
      <c r="AN19" s="7"/>
      <c r="AO19" s="14" t="s">
        <v>509</v>
      </c>
      <c r="AP19" s="15" t="s">
        <v>510</v>
      </c>
      <c r="AQ19" s="11"/>
      <c r="AR19" s="16" t="s">
        <v>27</v>
      </c>
      <c r="AS19" s="7"/>
      <c r="AT19" s="14" t="s">
        <v>511</v>
      </c>
      <c r="AU19" s="15" t="s">
        <v>512</v>
      </c>
      <c r="AV19" s="11"/>
      <c r="AW19" s="16" t="s">
        <v>27</v>
      </c>
      <c r="AX19" s="7"/>
      <c r="AY19" s="14" t="s">
        <v>513</v>
      </c>
      <c r="AZ19" s="18" t="s">
        <v>514</v>
      </c>
      <c r="BA19" s="19"/>
      <c r="BB19" s="16" t="s">
        <v>136</v>
      </c>
      <c r="BC19" s="7"/>
      <c r="BD19" s="14" t="s">
        <v>515</v>
      </c>
      <c r="BE19" s="15" t="s">
        <v>516</v>
      </c>
      <c r="BF19" s="19"/>
      <c r="BG19" s="16" t="s">
        <v>27</v>
      </c>
      <c r="BH19" s="7"/>
      <c r="BI19" s="14" t="s">
        <v>517</v>
      </c>
      <c r="BJ19" s="15" t="s">
        <v>518</v>
      </c>
      <c r="BK19" s="11" t="s">
        <v>519</v>
      </c>
      <c r="BL19" s="16" t="s">
        <v>27</v>
      </c>
      <c r="BM19" s="7"/>
      <c r="BN19" s="7"/>
      <c r="BO19" s="7"/>
      <c r="BP19" s="7"/>
      <c r="BQ19" s="32" t="s">
        <v>520</v>
      </c>
      <c r="BR19" s="7">
        <f>AM64</f>
        <v>10</v>
      </c>
      <c r="BS19" s="7"/>
      <c r="BT19" s="7"/>
      <c r="BU19" s="7"/>
      <c r="BV19" s="7"/>
      <c r="BW19" s="7"/>
      <c r="BX19" s="7"/>
      <c r="BY19" s="7"/>
      <c r="BZ19" s="41"/>
      <c r="CA19" s="7"/>
      <c r="CB19" s="7"/>
      <c r="CC19" s="7"/>
      <c r="CD19" s="7"/>
      <c r="CE19" s="7"/>
      <c r="CF19" s="7"/>
    </row>
    <row r="20">
      <c r="A20" s="14" t="s">
        <v>521</v>
      </c>
      <c r="B20" s="15" t="s">
        <v>522</v>
      </c>
      <c r="C20" s="11"/>
      <c r="D20" s="16" t="s">
        <v>33</v>
      </c>
      <c r="E20" s="7"/>
      <c r="F20" s="14" t="s">
        <v>523</v>
      </c>
      <c r="G20" s="15" t="s">
        <v>524</v>
      </c>
      <c r="H20" s="11"/>
      <c r="I20" s="16" t="s">
        <v>27</v>
      </c>
      <c r="J20" s="7"/>
      <c r="K20" s="14" t="s">
        <v>525</v>
      </c>
      <c r="L20" s="18" t="s">
        <v>526</v>
      </c>
      <c r="M20" s="19"/>
      <c r="N20" s="16" t="s">
        <v>33</v>
      </c>
      <c r="O20" s="7"/>
      <c r="P20" s="14" t="s">
        <v>527</v>
      </c>
      <c r="Q20" s="15" t="s">
        <v>528</v>
      </c>
      <c r="R20" s="7"/>
      <c r="S20" s="16" t="s">
        <v>27</v>
      </c>
      <c r="T20" s="7"/>
      <c r="U20" s="14" t="s">
        <v>529</v>
      </c>
      <c r="V20" s="15" t="s">
        <v>530</v>
      </c>
      <c r="W20" s="11"/>
      <c r="X20" s="16" t="s">
        <v>27</v>
      </c>
      <c r="Y20" s="7"/>
      <c r="Z20" s="14" t="s">
        <v>531</v>
      </c>
      <c r="AA20" s="15" t="s">
        <v>532</v>
      </c>
      <c r="AB20" s="11" t="s">
        <v>243</v>
      </c>
      <c r="AC20" s="16" t="s">
        <v>27</v>
      </c>
      <c r="AD20" s="7"/>
      <c r="AE20" s="14" t="s">
        <v>533</v>
      </c>
      <c r="AF20" s="43" t="s">
        <v>534</v>
      </c>
      <c r="AG20" s="11" t="s">
        <v>246</v>
      </c>
      <c r="AH20" s="16" t="s">
        <v>27</v>
      </c>
      <c r="AI20" s="7"/>
      <c r="AJ20" s="14" t="s">
        <v>535</v>
      </c>
      <c r="AK20" s="15" t="s">
        <v>536</v>
      </c>
      <c r="AL20" s="11"/>
      <c r="AM20" s="26" t="s">
        <v>27</v>
      </c>
      <c r="AN20" s="7"/>
      <c r="AO20" s="14" t="s">
        <v>537</v>
      </c>
      <c r="AP20" s="15" t="s">
        <v>538</v>
      </c>
      <c r="AQ20" s="11"/>
      <c r="AR20" s="16" t="s">
        <v>33</v>
      </c>
      <c r="AS20" s="7"/>
      <c r="AT20" s="14" t="s">
        <v>539</v>
      </c>
      <c r="AU20" s="15" t="s">
        <v>540</v>
      </c>
      <c r="AV20" s="11"/>
      <c r="AW20" s="16" t="s">
        <v>33</v>
      </c>
      <c r="AX20" s="7"/>
      <c r="AY20" s="14" t="s">
        <v>541</v>
      </c>
      <c r="AZ20" s="18" t="s">
        <v>542</v>
      </c>
      <c r="BA20" s="19"/>
      <c r="BB20" s="16" t="s">
        <v>27</v>
      </c>
      <c r="BC20" s="7"/>
      <c r="BD20" s="14" t="s">
        <v>543</v>
      </c>
      <c r="BE20" s="15" t="s">
        <v>544</v>
      </c>
      <c r="BF20" s="19"/>
      <c r="BG20" s="16" t="s">
        <v>27</v>
      </c>
      <c r="BH20" s="7"/>
      <c r="BI20" s="14" t="s">
        <v>545</v>
      </c>
      <c r="BJ20" s="15" t="s">
        <v>546</v>
      </c>
      <c r="BK20" s="11"/>
      <c r="BL20" s="16" t="s">
        <v>27</v>
      </c>
      <c r="BM20" s="7"/>
      <c r="BN20" s="7"/>
      <c r="BO20" s="7"/>
      <c r="BP20" s="7"/>
      <c r="BQ20" s="32" t="s">
        <v>547</v>
      </c>
      <c r="BR20" s="7">
        <f>AR136</f>
        <v>10</v>
      </c>
      <c r="BS20" s="7"/>
      <c r="BT20" s="7"/>
      <c r="BU20" s="7"/>
      <c r="BV20" s="7"/>
      <c r="BW20" s="7"/>
      <c r="BX20" s="7"/>
      <c r="BY20" s="7"/>
      <c r="BZ20" s="41"/>
      <c r="CA20" s="7"/>
      <c r="CB20" s="7"/>
      <c r="CC20" s="7"/>
      <c r="CD20" s="7"/>
      <c r="CE20" s="7"/>
      <c r="CF20" s="7"/>
    </row>
    <row r="21">
      <c r="A21" s="14" t="s">
        <v>548</v>
      </c>
      <c r="B21" s="15" t="s">
        <v>549</v>
      </c>
      <c r="C21" s="11" t="s">
        <v>550</v>
      </c>
      <c r="D21" s="16" t="s">
        <v>27</v>
      </c>
      <c r="E21" s="7"/>
      <c r="F21" s="14" t="s">
        <v>551</v>
      </c>
      <c r="G21" s="15" t="s">
        <v>552</v>
      </c>
      <c r="H21" s="11"/>
      <c r="I21" s="16" t="s">
        <v>27</v>
      </c>
      <c r="J21" s="7"/>
      <c r="K21" s="14" t="s">
        <v>553</v>
      </c>
      <c r="L21" s="18" t="s">
        <v>554</v>
      </c>
      <c r="M21" s="11" t="s">
        <v>555</v>
      </c>
      <c r="N21" s="16" t="s">
        <v>416</v>
      </c>
      <c r="O21" s="7"/>
      <c r="P21" s="14" t="s">
        <v>556</v>
      </c>
      <c r="Q21" s="15" t="s">
        <v>557</v>
      </c>
      <c r="R21" s="7"/>
      <c r="S21" s="16" t="s">
        <v>27</v>
      </c>
      <c r="T21" s="7"/>
      <c r="U21" s="14" t="s">
        <v>558</v>
      </c>
      <c r="V21" s="15" t="s">
        <v>559</v>
      </c>
      <c r="W21" s="11"/>
      <c r="X21" s="16" t="s">
        <v>27</v>
      </c>
      <c r="Y21" s="7"/>
      <c r="Z21" s="14" t="s">
        <v>560</v>
      </c>
      <c r="AA21" s="15" t="s">
        <v>561</v>
      </c>
      <c r="AB21" s="11" t="s">
        <v>243</v>
      </c>
      <c r="AC21" s="16" t="s">
        <v>27</v>
      </c>
      <c r="AD21" s="7"/>
      <c r="AE21" s="14" t="s">
        <v>562</v>
      </c>
      <c r="AF21" s="18" t="s">
        <v>563</v>
      </c>
      <c r="AG21" s="19"/>
      <c r="AH21" s="16" t="s">
        <v>27</v>
      </c>
      <c r="AI21" s="7"/>
      <c r="AJ21" s="14" t="s">
        <v>564</v>
      </c>
      <c r="AK21" s="15" t="s">
        <v>565</v>
      </c>
      <c r="AL21" s="11" t="s">
        <v>243</v>
      </c>
      <c r="AM21" s="16" t="s">
        <v>136</v>
      </c>
      <c r="AN21" s="7"/>
      <c r="AO21" s="14" t="s">
        <v>566</v>
      </c>
      <c r="AP21" s="15" t="s">
        <v>567</v>
      </c>
      <c r="AQ21" s="11"/>
      <c r="AR21" s="16" t="s">
        <v>27</v>
      </c>
      <c r="AS21" s="7"/>
      <c r="AT21" s="14" t="s">
        <v>568</v>
      </c>
      <c r="AU21" s="15" t="s">
        <v>569</v>
      </c>
      <c r="AV21" s="11"/>
      <c r="AW21" s="16" t="s">
        <v>33</v>
      </c>
      <c r="AX21" s="7"/>
      <c r="AY21" s="14" t="s">
        <v>570</v>
      </c>
      <c r="AZ21" s="18" t="s">
        <v>571</v>
      </c>
      <c r="BA21" s="19"/>
      <c r="BB21" s="16" t="s">
        <v>27</v>
      </c>
      <c r="BC21" s="7"/>
      <c r="BD21" s="14" t="s">
        <v>572</v>
      </c>
      <c r="BE21" s="15" t="s">
        <v>573</v>
      </c>
      <c r="BF21" s="19"/>
      <c r="BG21" s="16" t="s">
        <v>27</v>
      </c>
      <c r="BH21" s="7"/>
      <c r="BI21" s="14" t="s">
        <v>574</v>
      </c>
      <c r="BJ21" s="15" t="s">
        <v>575</v>
      </c>
      <c r="BK21" s="11" t="s">
        <v>576</v>
      </c>
      <c r="BL21" s="16" t="s">
        <v>27</v>
      </c>
      <c r="BM21" s="7"/>
      <c r="BN21" s="7"/>
      <c r="BO21" s="7"/>
      <c r="BP21" s="7"/>
      <c r="BQ21" s="32" t="s">
        <v>577</v>
      </c>
      <c r="BR21" s="7">
        <f>AW62</f>
        <v>10</v>
      </c>
      <c r="BS21" s="7"/>
      <c r="BT21" s="7"/>
      <c r="BU21" s="7"/>
      <c r="BV21" s="7"/>
      <c r="BW21" s="7"/>
      <c r="BX21" s="7"/>
      <c r="BY21" s="7"/>
      <c r="BZ21" s="41"/>
      <c r="CA21" s="7"/>
      <c r="CB21" s="7"/>
      <c r="CC21" s="7"/>
      <c r="CD21" s="7"/>
      <c r="CE21" s="7"/>
      <c r="CF21" s="7"/>
    </row>
    <row r="22">
      <c r="A22" s="14" t="s">
        <v>578</v>
      </c>
      <c r="B22" s="15" t="s">
        <v>579</v>
      </c>
      <c r="C22" s="11" t="s">
        <v>580</v>
      </c>
      <c r="D22" s="16" t="s">
        <v>27</v>
      </c>
      <c r="E22" s="7"/>
      <c r="F22" s="14" t="s">
        <v>581</v>
      </c>
      <c r="G22" s="15" t="s">
        <v>582</v>
      </c>
      <c r="H22" s="11"/>
      <c r="I22" s="16" t="s">
        <v>27</v>
      </c>
      <c r="J22" s="7"/>
      <c r="K22" s="14" t="s">
        <v>583</v>
      </c>
      <c r="L22" s="18" t="s">
        <v>584</v>
      </c>
      <c r="M22" s="11" t="s">
        <v>585</v>
      </c>
      <c r="N22" s="16" t="s">
        <v>27</v>
      </c>
      <c r="O22" s="7"/>
      <c r="P22" s="14" t="s">
        <v>586</v>
      </c>
      <c r="Q22" s="15" t="s">
        <v>587</v>
      </c>
      <c r="R22" s="7"/>
      <c r="S22" s="16" t="s">
        <v>27</v>
      </c>
      <c r="T22" s="7"/>
      <c r="U22" s="14" t="s">
        <v>588</v>
      </c>
      <c r="V22" s="15" t="s">
        <v>589</v>
      </c>
      <c r="W22" s="11"/>
      <c r="X22" s="16" t="s">
        <v>27</v>
      </c>
      <c r="Y22" s="7"/>
      <c r="Z22" s="14" t="s">
        <v>590</v>
      </c>
      <c r="AA22" s="15" t="s">
        <v>591</v>
      </c>
      <c r="AB22" s="11"/>
      <c r="AC22" s="16" t="s">
        <v>416</v>
      </c>
      <c r="AD22" s="7"/>
      <c r="AE22" s="14" t="s">
        <v>592</v>
      </c>
      <c r="AF22" s="18" t="s">
        <v>593</v>
      </c>
      <c r="AG22" s="19"/>
      <c r="AH22" s="16" t="s">
        <v>27</v>
      </c>
      <c r="AI22" s="7"/>
      <c r="AJ22" s="14" t="s">
        <v>594</v>
      </c>
      <c r="AK22" s="15" t="s">
        <v>595</v>
      </c>
      <c r="AL22" s="29" t="s">
        <v>596</v>
      </c>
      <c r="AM22" s="26" t="s">
        <v>33</v>
      </c>
      <c r="AN22" s="7"/>
      <c r="AO22" s="14" t="s">
        <v>597</v>
      </c>
      <c r="AP22" s="15" t="s">
        <v>598</v>
      </c>
      <c r="AQ22" s="11"/>
      <c r="AR22" s="16" t="s">
        <v>27</v>
      </c>
      <c r="AS22" s="7"/>
      <c r="AT22" s="14" t="s">
        <v>599</v>
      </c>
      <c r="AU22" s="15" t="s">
        <v>600</v>
      </c>
      <c r="AV22" s="11"/>
      <c r="AW22" s="16" t="s">
        <v>27</v>
      </c>
      <c r="AX22" s="7"/>
      <c r="AY22" s="14" t="s">
        <v>601</v>
      </c>
      <c r="AZ22" s="18" t="s">
        <v>602</v>
      </c>
      <c r="BA22" s="19"/>
      <c r="BB22" s="37" t="s">
        <v>136</v>
      </c>
      <c r="BC22" s="7"/>
      <c r="BD22" s="34" t="s">
        <v>603</v>
      </c>
      <c r="BE22" s="38" t="s">
        <v>604</v>
      </c>
      <c r="BF22" s="36"/>
      <c r="BG22" s="37" t="s">
        <v>27</v>
      </c>
      <c r="BH22" s="7"/>
      <c r="BI22" s="14" t="s">
        <v>605</v>
      </c>
      <c r="BJ22" s="15" t="s">
        <v>606</v>
      </c>
      <c r="BK22" s="11"/>
      <c r="BL22" s="16" t="s">
        <v>27</v>
      </c>
      <c r="BM22" s="7"/>
      <c r="BN22" s="7"/>
      <c r="BO22" s="7"/>
      <c r="BP22" s="7"/>
      <c r="BQ22" s="32" t="s">
        <v>607</v>
      </c>
      <c r="BR22" s="7">
        <f>BB62</f>
        <v>10</v>
      </c>
      <c r="BS22" s="7"/>
      <c r="BT22" s="7"/>
      <c r="BU22" s="7"/>
      <c r="BV22" s="7"/>
      <c r="BW22" s="7"/>
      <c r="BX22" s="7"/>
      <c r="BY22" s="7"/>
      <c r="BZ22" s="41"/>
      <c r="CA22" s="7"/>
      <c r="CB22" s="7"/>
      <c r="CC22" s="7"/>
      <c r="CD22" s="7"/>
      <c r="CE22" s="7"/>
      <c r="CF22" s="7"/>
    </row>
    <row r="23">
      <c r="A23" s="14" t="s">
        <v>608</v>
      </c>
      <c r="B23" s="15" t="s">
        <v>609</v>
      </c>
      <c r="C23" s="11" t="s">
        <v>610</v>
      </c>
      <c r="D23" s="26" t="s">
        <v>27</v>
      </c>
      <c r="E23" s="7"/>
      <c r="F23" s="14" t="s">
        <v>611</v>
      </c>
      <c r="G23" s="15" t="s">
        <v>612</v>
      </c>
      <c r="H23" s="11"/>
      <c r="I23" s="16" t="s">
        <v>27</v>
      </c>
      <c r="J23" s="7"/>
      <c r="K23" s="14" t="s">
        <v>613</v>
      </c>
      <c r="L23" s="18" t="s">
        <v>614</v>
      </c>
      <c r="M23" s="11" t="s">
        <v>615</v>
      </c>
      <c r="N23" s="16" t="s">
        <v>27</v>
      </c>
      <c r="O23" s="7"/>
      <c r="P23" s="14" t="s">
        <v>616</v>
      </c>
      <c r="Q23" s="15" t="s">
        <v>617</v>
      </c>
      <c r="R23" s="7"/>
      <c r="S23" s="16" t="s">
        <v>27</v>
      </c>
      <c r="T23" s="7"/>
      <c r="U23" s="20" t="s">
        <v>618</v>
      </c>
      <c r="V23" s="21" t="s">
        <v>619</v>
      </c>
      <c r="W23" s="22"/>
      <c r="X23" s="23" t="s">
        <v>33</v>
      </c>
      <c r="Y23" s="7"/>
      <c r="Z23" s="14" t="s">
        <v>620</v>
      </c>
      <c r="AA23" s="15" t="s">
        <v>621</v>
      </c>
      <c r="AB23" s="11"/>
      <c r="AC23" s="16" t="s">
        <v>27</v>
      </c>
      <c r="AD23" s="7"/>
      <c r="AE23" s="14" t="s">
        <v>622</v>
      </c>
      <c r="AF23" s="18" t="s">
        <v>623</v>
      </c>
      <c r="AG23" s="19"/>
      <c r="AH23" s="16" t="s">
        <v>27</v>
      </c>
      <c r="AI23" s="7"/>
      <c r="AJ23" s="14" t="s">
        <v>624</v>
      </c>
      <c r="AK23" s="15" t="s">
        <v>625</v>
      </c>
      <c r="AL23" s="29"/>
      <c r="AM23" s="26" t="s">
        <v>33</v>
      </c>
      <c r="AN23" s="7"/>
      <c r="AO23" s="14" t="s">
        <v>626</v>
      </c>
      <c r="AP23" s="15" t="s">
        <v>627</v>
      </c>
      <c r="AQ23" s="44"/>
      <c r="AR23" s="16" t="s">
        <v>27</v>
      </c>
      <c r="AS23" s="7"/>
      <c r="AT23" s="14" t="s">
        <v>628</v>
      </c>
      <c r="AU23" s="15" t="s">
        <v>629</v>
      </c>
      <c r="AV23" s="44"/>
      <c r="AW23" s="16" t="s">
        <v>27</v>
      </c>
      <c r="AX23" s="7"/>
      <c r="AY23" s="45" t="s">
        <v>630</v>
      </c>
      <c r="AZ23" s="46" t="s">
        <v>631</v>
      </c>
      <c r="BA23" s="47"/>
      <c r="BB23" s="16" t="s">
        <v>27</v>
      </c>
      <c r="BC23" s="7"/>
      <c r="BD23" s="14" t="s">
        <v>632</v>
      </c>
      <c r="BE23" s="15" t="s">
        <v>633</v>
      </c>
      <c r="BF23" s="19"/>
      <c r="BG23" s="16" t="s">
        <v>27</v>
      </c>
      <c r="BH23" s="7"/>
      <c r="BI23" s="14" t="s">
        <v>605</v>
      </c>
      <c r="BJ23" s="15" t="s">
        <v>634</v>
      </c>
      <c r="BK23" s="44"/>
      <c r="BL23" s="16" t="s">
        <v>27</v>
      </c>
      <c r="BM23" s="7"/>
      <c r="BN23" s="7"/>
      <c r="BO23" s="7"/>
      <c r="BP23" s="7"/>
      <c r="BQ23" s="32" t="s">
        <v>635</v>
      </c>
      <c r="BR23" s="7">
        <f>BG199</f>
        <v>10</v>
      </c>
      <c r="BS23" s="7"/>
      <c r="BT23" s="7"/>
      <c r="BU23" s="7"/>
      <c r="BV23" s="7"/>
      <c r="BW23" s="7"/>
      <c r="BX23" s="7"/>
      <c r="BY23" s="7"/>
      <c r="BZ23" s="41"/>
      <c r="CA23" s="7"/>
      <c r="CB23" s="7"/>
      <c r="CC23" s="7"/>
      <c r="CD23" s="7"/>
      <c r="CE23" s="7"/>
      <c r="CF23" s="7"/>
    </row>
    <row r="24">
      <c r="A24" s="14" t="s">
        <v>636</v>
      </c>
      <c r="B24" s="15" t="s">
        <v>637</v>
      </c>
      <c r="C24" s="11"/>
      <c r="D24" s="26" t="s">
        <v>27</v>
      </c>
      <c r="E24" s="7"/>
      <c r="F24" s="14" t="s">
        <v>638</v>
      </c>
      <c r="G24" s="15" t="s">
        <v>639</v>
      </c>
      <c r="H24" s="11"/>
      <c r="I24" s="16" t="s">
        <v>21</v>
      </c>
      <c r="J24" s="7"/>
      <c r="K24" s="14" t="s">
        <v>640</v>
      </c>
      <c r="L24" s="18" t="s">
        <v>641</v>
      </c>
      <c r="M24" s="11" t="s">
        <v>642</v>
      </c>
      <c r="N24" s="16" t="s">
        <v>27</v>
      </c>
      <c r="O24" s="7"/>
      <c r="P24" s="14" t="s">
        <v>643</v>
      </c>
      <c r="Q24" s="15" t="s">
        <v>644</v>
      </c>
      <c r="R24" s="7"/>
      <c r="S24" s="16" t="s">
        <v>27</v>
      </c>
      <c r="T24" s="7"/>
      <c r="U24" s="14" t="s">
        <v>645</v>
      </c>
      <c r="V24" s="15" t="s">
        <v>646</v>
      </c>
      <c r="W24" s="11"/>
      <c r="X24" s="16" t="s">
        <v>27</v>
      </c>
      <c r="Y24" s="7"/>
      <c r="Z24" s="14" t="s">
        <v>647</v>
      </c>
      <c r="AA24" s="15" t="s">
        <v>648</v>
      </c>
      <c r="AB24" s="11"/>
      <c r="AC24" s="16" t="s">
        <v>27</v>
      </c>
      <c r="AD24" s="7"/>
      <c r="AE24" s="14" t="s">
        <v>649</v>
      </c>
      <c r="AF24" s="18" t="s">
        <v>650</v>
      </c>
      <c r="AG24" s="19"/>
      <c r="AH24" s="16" t="s">
        <v>27</v>
      </c>
      <c r="AI24" s="7"/>
      <c r="AJ24" s="14" t="s">
        <v>651</v>
      </c>
      <c r="AK24" s="15" t="s">
        <v>652</v>
      </c>
      <c r="AL24" s="29"/>
      <c r="AM24" s="26" t="s">
        <v>33</v>
      </c>
      <c r="AN24" s="7"/>
      <c r="AO24" s="14" t="s">
        <v>653</v>
      </c>
      <c r="AP24" s="15" t="s">
        <v>654</v>
      </c>
      <c r="AQ24" s="44"/>
      <c r="AR24" s="16" t="s">
        <v>27</v>
      </c>
      <c r="AS24" s="7"/>
      <c r="AT24" s="14" t="s">
        <v>655</v>
      </c>
      <c r="AU24" s="15" t="s">
        <v>656</v>
      </c>
      <c r="AV24" s="44"/>
      <c r="AW24" s="16" t="s">
        <v>27</v>
      </c>
      <c r="AX24" s="7"/>
      <c r="AY24" s="14" t="s">
        <v>657</v>
      </c>
      <c r="AZ24" s="18" t="s">
        <v>658</v>
      </c>
      <c r="BA24" s="19"/>
      <c r="BB24" s="16" t="s">
        <v>27</v>
      </c>
      <c r="BC24" s="7"/>
      <c r="BD24" s="14" t="s">
        <v>659</v>
      </c>
      <c r="BE24" s="15" t="s">
        <v>660</v>
      </c>
      <c r="BF24" s="11" t="s">
        <v>661</v>
      </c>
      <c r="BG24" s="16" t="s">
        <v>21</v>
      </c>
      <c r="BH24" s="7"/>
      <c r="BI24" s="14" t="s">
        <v>662</v>
      </c>
      <c r="BJ24" s="15" t="s">
        <v>663</v>
      </c>
      <c r="BK24" s="44"/>
      <c r="BL24" s="16" t="s">
        <v>27</v>
      </c>
      <c r="BM24" s="7"/>
      <c r="BN24" s="7"/>
      <c r="BO24" s="7"/>
      <c r="BP24" s="7"/>
      <c r="BQ24" s="32" t="s">
        <v>664</v>
      </c>
      <c r="BR24" s="7">
        <f>BL274</f>
        <v>10</v>
      </c>
      <c r="BS24" s="7"/>
      <c r="BT24" s="7"/>
      <c r="BU24" s="7"/>
      <c r="BV24" s="7"/>
      <c r="BW24" s="7"/>
      <c r="BX24" s="7"/>
      <c r="BY24" s="7"/>
      <c r="BZ24" s="41"/>
      <c r="CA24" s="7"/>
      <c r="CB24" s="7"/>
      <c r="CC24" s="7"/>
      <c r="CD24" s="7"/>
      <c r="CE24" s="7"/>
      <c r="CF24" s="7"/>
    </row>
    <row r="25">
      <c r="A25" s="14" t="s">
        <v>665</v>
      </c>
      <c r="B25" s="15" t="s">
        <v>666</v>
      </c>
      <c r="C25" s="11" t="s">
        <v>667</v>
      </c>
      <c r="D25" s="26" t="s">
        <v>27</v>
      </c>
      <c r="E25" s="7"/>
      <c r="F25" s="14" t="s">
        <v>668</v>
      </c>
      <c r="G25" s="15" t="s">
        <v>669</v>
      </c>
      <c r="H25" s="11"/>
      <c r="I25" s="16" t="s">
        <v>27</v>
      </c>
      <c r="J25" s="7"/>
      <c r="K25" s="14" t="s">
        <v>670</v>
      </c>
      <c r="L25" s="18" t="s">
        <v>671</v>
      </c>
      <c r="M25" s="11" t="s">
        <v>672</v>
      </c>
      <c r="N25" s="16" t="s">
        <v>27</v>
      </c>
      <c r="O25" s="7"/>
      <c r="P25" s="14" t="s">
        <v>673</v>
      </c>
      <c r="Q25" s="15" t="s">
        <v>674</v>
      </c>
      <c r="R25" s="7"/>
      <c r="S25" s="16" t="s">
        <v>21</v>
      </c>
      <c r="T25" s="7"/>
      <c r="U25" s="14" t="s">
        <v>439</v>
      </c>
      <c r="V25" s="15" t="s">
        <v>675</v>
      </c>
      <c r="W25" s="11"/>
      <c r="X25" s="16" t="s">
        <v>27</v>
      </c>
      <c r="Y25" s="7"/>
      <c r="Z25" s="14" t="s">
        <v>676</v>
      </c>
      <c r="AA25" s="15" t="s">
        <v>677</v>
      </c>
      <c r="AB25" s="11"/>
      <c r="AC25" s="16" t="s">
        <v>27</v>
      </c>
      <c r="AD25" s="7"/>
      <c r="AE25" s="14" t="s">
        <v>678</v>
      </c>
      <c r="AF25" s="18" t="s">
        <v>679</v>
      </c>
      <c r="AG25" s="19"/>
      <c r="AH25" s="16" t="s">
        <v>27</v>
      </c>
      <c r="AI25" s="7"/>
      <c r="AJ25" s="14" t="s">
        <v>680</v>
      </c>
      <c r="AK25" s="15" t="s">
        <v>681</v>
      </c>
      <c r="AL25" s="48" t="s">
        <v>682</v>
      </c>
      <c r="AM25" s="26" t="s">
        <v>33</v>
      </c>
      <c r="AN25" s="7"/>
      <c r="AO25" s="14" t="s">
        <v>683</v>
      </c>
      <c r="AP25" s="15" t="s">
        <v>684</v>
      </c>
      <c r="AQ25" s="44" t="s">
        <v>685</v>
      </c>
      <c r="AR25" s="16" t="s">
        <v>27</v>
      </c>
      <c r="AS25" s="7"/>
      <c r="AT25" s="14" t="s">
        <v>686</v>
      </c>
      <c r="AU25" s="17" t="s">
        <v>687</v>
      </c>
      <c r="AV25" s="44"/>
      <c r="AW25" s="16" t="s">
        <v>21</v>
      </c>
      <c r="AX25" s="7"/>
      <c r="AY25" s="14" t="s">
        <v>688</v>
      </c>
      <c r="AZ25" s="18" t="s">
        <v>689</v>
      </c>
      <c r="BA25" s="19"/>
      <c r="BB25" s="16" t="s">
        <v>27</v>
      </c>
      <c r="BC25" s="7"/>
      <c r="BD25" s="14" t="s">
        <v>690</v>
      </c>
      <c r="BE25" s="15" t="s">
        <v>691</v>
      </c>
      <c r="BF25" s="19"/>
      <c r="BG25" s="16" t="s">
        <v>27</v>
      </c>
      <c r="BH25" s="7"/>
      <c r="BI25" s="14" t="s">
        <v>692</v>
      </c>
      <c r="BJ25" s="15" t="s">
        <v>693</v>
      </c>
      <c r="BK25" s="44" t="s">
        <v>694</v>
      </c>
      <c r="BL25" s="16" t="s">
        <v>27</v>
      </c>
      <c r="BM25" s="7"/>
      <c r="BN25" s="7"/>
      <c r="BO25" s="7"/>
      <c r="BP25" s="7"/>
      <c r="BQ25" s="7"/>
      <c r="BR25" s="7"/>
      <c r="BS25" s="7"/>
      <c r="BT25" s="7"/>
      <c r="BU25" s="7"/>
      <c r="BV25" s="7"/>
      <c r="BW25" s="7"/>
      <c r="BX25" s="7"/>
      <c r="BY25" s="7"/>
      <c r="BZ25" s="41"/>
      <c r="CA25" s="7"/>
      <c r="CB25" s="7"/>
      <c r="CC25" s="7"/>
      <c r="CD25" s="7"/>
      <c r="CE25" s="7"/>
      <c r="CF25" s="7"/>
    </row>
    <row r="26">
      <c r="A26" s="14" t="s">
        <v>695</v>
      </c>
      <c r="B26" s="15" t="s">
        <v>696</v>
      </c>
      <c r="C26" s="11"/>
      <c r="D26" s="26" t="s">
        <v>27</v>
      </c>
      <c r="E26" s="7"/>
      <c r="F26" s="20" t="s">
        <v>697</v>
      </c>
      <c r="G26" s="21" t="s">
        <v>698</v>
      </c>
      <c r="H26" s="22" t="s">
        <v>32</v>
      </c>
      <c r="I26" s="23" t="s">
        <v>33</v>
      </c>
      <c r="J26" s="7"/>
      <c r="K26" s="14" t="s">
        <v>699</v>
      </c>
      <c r="L26" s="18" t="s">
        <v>700</v>
      </c>
      <c r="M26" s="11" t="s">
        <v>701</v>
      </c>
      <c r="N26" s="16" t="s">
        <v>27</v>
      </c>
      <c r="O26" s="7"/>
      <c r="P26" s="14" t="s">
        <v>702</v>
      </c>
      <c r="Q26" s="15" t="s">
        <v>703</v>
      </c>
      <c r="R26" s="7"/>
      <c r="S26" s="16" t="s">
        <v>21</v>
      </c>
      <c r="T26" s="7"/>
      <c r="U26" s="14" t="s">
        <v>704</v>
      </c>
      <c r="V26" s="15" t="s">
        <v>705</v>
      </c>
      <c r="W26" s="11"/>
      <c r="X26" s="16" t="s">
        <v>27</v>
      </c>
      <c r="Y26" s="7"/>
      <c r="Z26" s="14" t="s">
        <v>706</v>
      </c>
      <c r="AA26" s="15" t="s">
        <v>707</v>
      </c>
      <c r="AB26" s="11"/>
      <c r="AC26" s="16" t="s">
        <v>27</v>
      </c>
      <c r="AD26" s="7"/>
      <c r="AE26" s="14" t="s">
        <v>708</v>
      </c>
      <c r="AF26" s="18" t="s">
        <v>709</v>
      </c>
      <c r="AG26" s="19"/>
      <c r="AH26" s="16" t="s">
        <v>27</v>
      </c>
      <c r="AI26" s="7"/>
      <c r="AJ26" s="14" t="s">
        <v>710</v>
      </c>
      <c r="AK26" s="15" t="s">
        <v>711</v>
      </c>
      <c r="AL26" s="29"/>
      <c r="AM26" s="26" t="s">
        <v>27</v>
      </c>
      <c r="AN26" s="7"/>
      <c r="AO26" s="14" t="s">
        <v>712</v>
      </c>
      <c r="AP26" s="15" t="s">
        <v>713</v>
      </c>
      <c r="AQ26" s="44"/>
      <c r="AR26" s="16" t="s">
        <v>27</v>
      </c>
      <c r="AS26" s="7"/>
      <c r="AT26" s="14" t="s">
        <v>714</v>
      </c>
      <c r="AU26" s="15" t="s">
        <v>715</v>
      </c>
      <c r="AV26" s="44"/>
      <c r="AW26" s="16" t="s">
        <v>33</v>
      </c>
      <c r="AX26" s="7"/>
      <c r="AY26" s="14" t="s">
        <v>716</v>
      </c>
      <c r="AZ26" s="18" t="s">
        <v>717</v>
      </c>
      <c r="BA26" s="19"/>
      <c r="BB26" s="16" t="s">
        <v>27</v>
      </c>
      <c r="BC26" s="7"/>
      <c r="BD26" s="14" t="s">
        <v>718</v>
      </c>
      <c r="BE26" s="15" t="s">
        <v>719</v>
      </c>
      <c r="BF26" s="19"/>
      <c r="BG26" s="16" t="s">
        <v>27</v>
      </c>
      <c r="BH26" s="7"/>
      <c r="BI26" s="14" t="s">
        <v>720</v>
      </c>
      <c r="BJ26" s="15" t="s">
        <v>721</v>
      </c>
      <c r="BK26" s="44"/>
      <c r="BL26" s="16" t="s">
        <v>27</v>
      </c>
      <c r="BM26" s="7"/>
      <c r="BN26" s="7"/>
      <c r="BO26" s="7"/>
      <c r="BP26" s="7"/>
      <c r="BQ26" s="7"/>
      <c r="BR26" s="7"/>
      <c r="BS26" s="7"/>
      <c r="BT26" s="7"/>
      <c r="BU26" s="7"/>
      <c r="BV26" s="7"/>
      <c r="BW26" s="7"/>
      <c r="BX26" s="7"/>
      <c r="BY26" s="7"/>
      <c r="BZ26" s="41"/>
      <c r="CA26" s="7"/>
      <c r="CB26" s="7"/>
      <c r="CC26" s="7"/>
      <c r="CD26" s="7"/>
      <c r="CE26" s="7"/>
      <c r="CF26" s="7"/>
    </row>
    <row r="27">
      <c r="A27" s="14" t="s">
        <v>722</v>
      </c>
      <c r="B27" s="15" t="s">
        <v>723</v>
      </c>
      <c r="C27" s="11"/>
      <c r="D27" s="26" t="s">
        <v>27</v>
      </c>
      <c r="E27" s="7"/>
      <c r="F27" s="14" t="s">
        <v>724</v>
      </c>
      <c r="G27" s="15" t="s">
        <v>725</v>
      </c>
      <c r="H27" s="11"/>
      <c r="I27" s="16" t="s">
        <v>27</v>
      </c>
      <c r="J27" s="7"/>
      <c r="K27" s="14" t="s">
        <v>726</v>
      </c>
      <c r="L27" s="18" t="s">
        <v>727</v>
      </c>
      <c r="M27" s="11" t="s">
        <v>728</v>
      </c>
      <c r="N27" s="16" t="s">
        <v>27</v>
      </c>
      <c r="O27" s="7"/>
      <c r="P27" s="14" t="s">
        <v>729</v>
      </c>
      <c r="Q27" s="15" t="s">
        <v>730</v>
      </c>
      <c r="R27" s="19"/>
      <c r="S27" s="16" t="s">
        <v>33</v>
      </c>
      <c r="T27" s="7"/>
      <c r="U27" s="14" t="s">
        <v>731</v>
      </c>
      <c r="V27" s="15" t="s">
        <v>732</v>
      </c>
      <c r="W27" s="11"/>
      <c r="X27" s="16" t="s">
        <v>27</v>
      </c>
      <c r="Y27" s="7"/>
      <c r="Z27" s="14" t="s">
        <v>733</v>
      </c>
      <c r="AA27" s="15" t="s">
        <v>734</v>
      </c>
      <c r="AB27" s="11"/>
      <c r="AC27" s="16" t="s">
        <v>33</v>
      </c>
      <c r="AD27" s="7"/>
      <c r="AE27" s="14" t="s">
        <v>735</v>
      </c>
      <c r="AF27" s="18" t="s">
        <v>736</v>
      </c>
      <c r="AG27" s="19"/>
      <c r="AH27" s="16" t="s">
        <v>27</v>
      </c>
      <c r="AI27" s="7"/>
      <c r="AJ27" s="14" t="s">
        <v>737</v>
      </c>
      <c r="AK27" s="15" t="s">
        <v>738</v>
      </c>
      <c r="AL27" s="29"/>
      <c r="AM27" s="26" t="s">
        <v>27</v>
      </c>
      <c r="AN27" s="7"/>
      <c r="AO27" s="14" t="s">
        <v>739</v>
      </c>
      <c r="AP27" s="15" t="s">
        <v>740</v>
      </c>
      <c r="AQ27" s="44"/>
      <c r="AR27" s="16" t="s">
        <v>27</v>
      </c>
      <c r="AS27" s="7"/>
      <c r="AT27" s="14" t="s">
        <v>741</v>
      </c>
      <c r="AU27" s="15" t="s">
        <v>742</v>
      </c>
      <c r="AV27" s="44"/>
      <c r="AW27" s="16" t="s">
        <v>27</v>
      </c>
      <c r="AX27" s="7"/>
      <c r="AY27" s="14" t="s">
        <v>743</v>
      </c>
      <c r="AZ27" s="18" t="s">
        <v>744</v>
      </c>
      <c r="BA27" s="19"/>
      <c r="BB27" s="16" t="s">
        <v>27</v>
      </c>
      <c r="BC27" s="7"/>
      <c r="BD27" s="14" t="s">
        <v>745</v>
      </c>
      <c r="BE27" s="15" t="s">
        <v>746</v>
      </c>
      <c r="BF27" s="19"/>
      <c r="BG27" s="16" t="s">
        <v>21</v>
      </c>
      <c r="BH27" s="7"/>
      <c r="BI27" s="14" t="s">
        <v>747</v>
      </c>
      <c r="BJ27" s="15" t="s">
        <v>748</v>
      </c>
      <c r="BK27" s="44" t="s">
        <v>749</v>
      </c>
      <c r="BL27" s="16" t="s">
        <v>27</v>
      </c>
      <c r="BM27" s="7"/>
      <c r="BN27" s="7"/>
      <c r="BO27" s="7"/>
      <c r="BP27" s="7"/>
      <c r="BQ27" s="7"/>
      <c r="BR27" s="7"/>
      <c r="BS27" s="7"/>
      <c r="BT27" s="7"/>
      <c r="BU27" s="7"/>
      <c r="BV27" s="7"/>
      <c r="BW27" s="7"/>
      <c r="BX27" s="7"/>
      <c r="BY27" s="7"/>
      <c r="BZ27" s="41"/>
      <c r="CA27" s="7"/>
      <c r="CB27" s="7"/>
      <c r="CC27" s="7"/>
      <c r="CD27" s="7"/>
      <c r="CE27" s="7"/>
      <c r="CF27" s="7"/>
    </row>
    <row r="28" ht="21.0" customHeight="1">
      <c r="A28" s="14" t="s">
        <v>750</v>
      </c>
      <c r="B28" s="15" t="s">
        <v>751</v>
      </c>
      <c r="C28" s="11"/>
      <c r="D28" s="26" t="s">
        <v>27</v>
      </c>
      <c r="E28" s="7"/>
      <c r="F28" s="14" t="s">
        <v>752</v>
      </c>
      <c r="G28" s="15" t="s">
        <v>753</v>
      </c>
      <c r="H28" s="11"/>
      <c r="I28" s="16" t="s">
        <v>33</v>
      </c>
      <c r="J28" s="7"/>
      <c r="K28" s="14" t="s">
        <v>754</v>
      </c>
      <c r="L28" s="18" t="s">
        <v>755</v>
      </c>
      <c r="M28" s="11" t="s">
        <v>756</v>
      </c>
      <c r="N28" s="16" t="s">
        <v>27</v>
      </c>
      <c r="O28" s="7"/>
      <c r="P28" s="14" t="s">
        <v>757</v>
      </c>
      <c r="Q28" s="15" t="s">
        <v>758</v>
      </c>
      <c r="R28" s="7"/>
      <c r="S28" s="16" t="s">
        <v>21</v>
      </c>
      <c r="T28" s="7"/>
      <c r="U28" s="20" t="s">
        <v>759</v>
      </c>
      <c r="V28" s="21" t="s">
        <v>760</v>
      </c>
      <c r="W28" s="22"/>
      <c r="X28" s="23" t="s">
        <v>33</v>
      </c>
      <c r="Y28" s="7"/>
      <c r="Z28" s="14" t="s">
        <v>761</v>
      </c>
      <c r="AA28" s="15" t="s">
        <v>762</v>
      </c>
      <c r="AB28" s="11"/>
      <c r="AC28" s="16" t="s">
        <v>27</v>
      </c>
      <c r="AD28" s="7"/>
      <c r="AE28" s="14" t="s">
        <v>763</v>
      </c>
      <c r="AF28" s="18" t="s">
        <v>764</v>
      </c>
      <c r="AG28" s="19"/>
      <c r="AH28" s="16" t="s">
        <v>27</v>
      </c>
      <c r="AI28" s="7"/>
      <c r="AJ28" s="14" t="s">
        <v>765</v>
      </c>
      <c r="AK28" s="15" t="s">
        <v>766</v>
      </c>
      <c r="AL28" s="29"/>
      <c r="AM28" s="26" t="s">
        <v>33</v>
      </c>
      <c r="AN28" s="7"/>
      <c r="AO28" s="14" t="s">
        <v>767</v>
      </c>
      <c r="AP28" s="15" t="s">
        <v>768</v>
      </c>
      <c r="AQ28" s="44"/>
      <c r="AR28" s="16" t="s">
        <v>27</v>
      </c>
      <c r="AS28" s="7"/>
      <c r="AT28" s="14" t="s">
        <v>769</v>
      </c>
      <c r="AU28" s="15" t="s">
        <v>770</v>
      </c>
      <c r="AV28" s="44"/>
      <c r="AW28" s="16" t="s">
        <v>27</v>
      </c>
      <c r="AX28" s="7"/>
      <c r="AY28" s="14" t="s">
        <v>771</v>
      </c>
      <c r="AZ28" s="18" t="s">
        <v>772</v>
      </c>
      <c r="BA28" s="19"/>
      <c r="BB28" s="16" t="s">
        <v>33</v>
      </c>
      <c r="BC28" s="7"/>
      <c r="BD28" s="14" t="s">
        <v>773</v>
      </c>
      <c r="BE28" s="15" t="s">
        <v>774</v>
      </c>
      <c r="BF28" s="11" t="s">
        <v>775</v>
      </c>
      <c r="BG28" s="16" t="s">
        <v>27</v>
      </c>
      <c r="BH28" s="7"/>
      <c r="BI28" s="14" t="s">
        <v>776</v>
      </c>
      <c r="BJ28" s="15" t="s">
        <v>777</v>
      </c>
      <c r="BK28" s="44" t="s">
        <v>778</v>
      </c>
      <c r="BL28" s="16" t="s">
        <v>27</v>
      </c>
      <c r="BM28" s="7"/>
      <c r="BN28" s="7"/>
      <c r="BO28" s="7"/>
      <c r="BP28" s="7"/>
      <c r="BQ28" s="7"/>
      <c r="BR28" s="7"/>
      <c r="BS28" s="7"/>
      <c r="BT28" s="7"/>
      <c r="BU28" s="7"/>
      <c r="BV28" s="7"/>
      <c r="BW28" s="7"/>
      <c r="BX28" s="7"/>
      <c r="BY28" s="7"/>
      <c r="BZ28" s="41"/>
      <c r="CA28" s="7"/>
      <c r="CB28" s="7"/>
      <c r="CC28" s="7"/>
      <c r="CD28" s="7"/>
      <c r="CE28" s="7"/>
      <c r="CF28" s="7"/>
    </row>
    <row r="29">
      <c r="A29" s="14" t="s">
        <v>779</v>
      </c>
      <c r="B29" s="15" t="s">
        <v>780</v>
      </c>
      <c r="C29" s="11"/>
      <c r="D29" s="26" t="s">
        <v>27</v>
      </c>
      <c r="E29" s="7"/>
      <c r="F29" s="14" t="s">
        <v>781</v>
      </c>
      <c r="G29" s="15" t="s">
        <v>782</v>
      </c>
      <c r="H29" s="11"/>
      <c r="I29" s="16" t="s">
        <v>27</v>
      </c>
      <c r="J29" s="7"/>
      <c r="K29" s="14" t="s">
        <v>783</v>
      </c>
      <c r="L29" s="18" t="s">
        <v>784</v>
      </c>
      <c r="M29" s="11" t="s">
        <v>785</v>
      </c>
      <c r="N29" s="16" t="s">
        <v>27</v>
      </c>
      <c r="O29" s="7"/>
      <c r="P29" s="14" t="s">
        <v>786</v>
      </c>
      <c r="Q29" s="15" t="s">
        <v>787</v>
      </c>
      <c r="R29" s="7"/>
      <c r="S29" s="16" t="s">
        <v>27</v>
      </c>
      <c r="T29" s="7"/>
      <c r="U29" s="14" t="s">
        <v>788</v>
      </c>
      <c r="V29" s="15" t="s">
        <v>789</v>
      </c>
      <c r="W29" s="11"/>
      <c r="X29" s="16" t="s">
        <v>27</v>
      </c>
      <c r="Y29" s="7"/>
      <c r="Z29" s="14" t="s">
        <v>790</v>
      </c>
      <c r="AA29" s="15" t="s">
        <v>791</v>
      </c>
      <c r="AB29" s="11"/>
      <c r="AC29" s="16" t="s">
        <v>27</v>
      </c>
      <c r="AD29" s="7"/>
      <c r="AE29" s="14" t="s">
        <v>792</v>
      </c>
      <c r="AF29" s="18" t="s">
        <v>793</v>
      </c>
      <c r="AG29" s="19"/>
      <c r="AH29" s="16" t="s">
        <v>33</v>
      </c>
      <c r="AI29" s="7"/>
      <c r="AJ29" s="14" t="s">
        <v>794</v>
      </c>
      <c r="AK29" s="15" t="s">
        <v>795</v>
      </c>
      <c r="AL29" s="29"/>
      <c r="AM29" s="26" t="s">
        <v>27</v>
      </c>
      <c r="AN29" s="7"/>
      <c r="AO29" s="14" t="s">
        <v>796</v>
      </c>
      <c r="AP29" s="15" t="s">
        <v>797</v>
      </c>
      <c r="AQ29" s="44"/>
      <c r="AR29" s="16" t="s">
        <v>33</v>
      </c>
      <c r="AS29" s="7"/>
      <c r="AT29" s="14" t="s">
        <v>798</v>
      </c>
      <c r="AU29" s="15" t="s">
        <v>799</v>
      </c>
      <c r="AV29" s="44"/>
      <c r="AW29" s="16" t="s">
        <v>27</v>
      </c>
      <c r="AX29" s="7"/>
      <c r="AY29" s="14" t="s">
        <v>800</v>
      </c>
      <c r="AZ29" s="18" t="s">
        <v>801</v>
      </c>
      <c r="BA29" s="19"/>
      <c r="BB29" s="16" t="s">
        <v>27</v>
      </c>
      <c r="BC29" s="7"/>
      <c r="BD29" s="14" t="s">
        <v>802</v>
      </c>
      <c r="BE29" s="15" t="s">
        <v>803</v>
      </c>
      <c r="BF29" s="11"/>
      <c r="BG29" s="16" t="s">
        <v>27</v>
      </c>
      <c r="BH29" s="7"/>
      <c r="BI29" s="14" t="s">
        <v>804</v>
      </c>
      <c r="BJ29" s="15" t="s">
        <v>805</v>
      </c>
      <c r="BK29" s="44" t="s">
        <v>806</v>
      </c>
      <c r="BL29" s="16" t="s">
        <v>136</v>
      </c>
      <c r="BM29" s="7"/>
      <c r="BN29" s="7"/>
      <c r="BO29" s="7"/>
      <c r="BP29" s="7"/>
      <c r="BQ29" s="7"/>
      <c r="BR29" s="7"/>
      <c r="BS29" s="7"/>
      <c r="BT29" s="7"/>
      <c r="BU29" s="7"/>
      <c r="BV29" s="7"/>
      <c r="BW29" s="7"/>
      <c r="BX29" s="7"/>
      <c r="BY29" s="7"/>
      <c r="BZ29" s="41"/>
      <c r="CA29" s="7"/>
      <c r="CB29" s="7"/>
      <c r="CC29" s="7"/>
      <c r="CD29" s="7"/>
      <c r="CE29" s="7"/>
      <c r="CF29" s="7"/>
    </row>
    <row r="30">
      <c r="A30" s="14" t="s">
        <v>807</v>
      </c>
      <c r="B30" s="15" t="s">
        <v>808</v>
      </c>
      <c r="C30" s="11"/>
      <c r="D30" s="26" t="s">
        <v>27</v>
      </c>
      <c r="E30" s="7"/>
      <c r="F30" s="14" t="s">
        <v>809</v>
      </c>
      <c r="G30" s="15" t="s">
        <v>810</v>
      </c>
      <c r="H30" s="11"/>
      <c r="I30" s="16" t="s">
        <v>27</v>
      </c>
      <c r="J30" s="7"/>
      <c r="K30" s="14" t="s">
        <v>811</v>
      </c>
      <c r="L30" s="18" t="s">
        <v>812</v>
      </c>
      <c r="M30" s="19"/>
      <c r="N30" s="16" t="s">
        <v>27</v>
      </c>
      <c r="O30" s="7"/>
      <c r="P30" s="14" t="s">
        <v>813</v>
      </c>
      <c r="Q30" s="15" t="s">
        <v>814</v>
      </c>
      <c r="R30" s="7"/>
      <c r="S30" s="16" t="s">
        <v>21</v>
      </c>
      <c r="T30" s="7"/>
      <c r="U30" s="49" t="s">
        <v>815</v>
      </c>
      <c r="V30" s="15" t="s">
        <v>816</v>
      </c>
      <c r="W30" s="11"/>
      <c r="X30" s="16" t="s">
        <v>27</v>
      </c>
      <c r="Y30" s="7"/>
      <c r="Z30" s="14" t="s">
        <v>817</v>
      </c>
      <c r="AA30" s="15" t="s">
        <v>818</v>
      </c>
      <c r="AB30" s="11"/>
      <c r="AC30" s="16" t="s">
        <v>27</v>
      </c>
      <c r="AD30" s="7"/>
      <c r="AE30" s="14" t="s">
        <v>819</v>
      </c>
      <c r="AF30" s="18" t="s">
        <v>820</v>
      </c>
      <c r="AG30" s="19"/>
      <c r="AH30" s="16" t="s">
        <v>27</v>
      </c>
      <c r="AI30" s="7"/>
      <c r="AJ30" s="14" t="s">
        <v>821</v>
      </c>
      <c r="AK30" s="15" t="s">
        <v>822</v>
      </c>
      <c r="AL30" s="29"/>
      <c r="AM30" s="26" t="s">
        <v>27</v>
      </c>
      <c r="AN30" s="7"/>
      <c r="AO30" s="14" t="s">
        <v>823</v>
      </c>
      <c r="AP30" s="15" t="s">
        <v>824</v>
      </c>
      <c r="AQ30" s="44"/>
      <c r="AR30" s="16" t="s">
        <v>27</v>
      </c>
      <c r="AS30" s="7"/>
      <c r="AT30" s="14" t="s">
        <v>825</v>
      </c>
      <c r="AU30" s="15" t="s">
        <v>826</v>
      </c>
      <c r="AV30" s="44"/>
      <c r="AW30" s="16" t="s">
        <v>27</v>
      </c>
      <c r="AX30" s="7"/>
      <c r="AY30" s="14" t="s">
        <v>827</v>
      </c>
      <c r="AZ30" s="18" t="s">
        <v>828</v>
      </c>
      <c r="BA30" s="19"/>
      <c r="BB30" s="16" t="s">
        <v>27</v>
      </c>
      <c r="BC30" s="7"/>
      <c r="BD30" s="14" t="s">
        <v>829</v>
      </c>
      <c r="BE30" s="15" t="s">
        <v>830</v>
      </c>
      <c r="BF30" s="11" t="s">
        <v>831</v>
      </c>
      <c r="BG30" s="16" t="s">
        <v>33</v>
      </c>
      <c r="BH30" s="7"/>
      <c r="BI30" s="14" t="s">
        <v>832</v>
      </c>
      <c r="BJ30" s="15" t="s">
        <v>833</v>
      </c>
      <c r="BK30" s="44" t="s">
        <v>834</v>
      </c>
      <c r="BL30" s="16" t="s">
        <v>27</v>
      </c>
      <c r="BM30" s="7"/>
      <c r="BN30" s="7"/>
      <c r="BO30" s="7"/>
      <c r="BP30" s="7"/>
      <c r="BQ30" s="7"/>
      <c r="BR30" s="7"/>
      <c r="BS30" s="7"/>
      <c r="BT30" s="7"/>
      <c r="BU30" s="7"/>
      <c r="BV30" s="7"/>
      <c r="BW30" s="7"/>
      <c r="BX30" s="7"/>
      <c r="BY30" s="7"/>
      <c r="BZ30" s="41"/>
      <c r="CA30" s="7"/>
      <c r="CB30" s="7"/>
      <c r="CC30" s="7"/>
      <c r="CD30" s="7"/>
      <c r="CE30" s="7"/>
      <c r="CF30" s="7"/>
    </row>
    <row r="31">
      <c r="A31" s="14" t="s">
        <v>835</v>
      </c>
      <c r="B31" s="15" t="s">
        <v>836</v>
      </c>
      <c r="C31" s="11"/>
      <c r="D31" s="26" t="s">
        <v>416</v>
      </c>
      <c r="E31" s="7"/>
      <c r="F31" s="14" t="s">
        <v>837</v>
      </c>
      <c r="G31" s="15" t="s">
        <v>838</v>
      </c>
      <c r="H31" s="11"/>
      <c r="I31" s="16" t="s">
        <v>27</v>
      </c>
      <c r="J31" s="7"/>
      <c r="K31" s="14" t="s">
        <v>839</v>
      </c>
      <c r="L31" s="18" t="s">
        <v>840</v>
      </c>
      <c r="M31" s="11" t="s">
        <v>841</v>
      </c>
      <c r="N31" s="16" t="s">
        <v>27</v>
      </c>
      <c r="O31" s="7"/>
      <c r="P31" s="14" t="s">
        <v>842</v>
      </c>
      <c r="Q31" s="15" t="s">
        <v>843</v>
      </c>
      <c r="R31" s="7"/>
      <c r="S31" s="16" t="s">
        <v>27</v>
      </c>
      <c r="T31" s="7"/>
      <c r="U31" s="14" t="s">
        <v>844</v>
      </c>
      <c r="V31" s="15" t="s">
        <v>845</v>
      </c>
      <c r="W31" s="11"/>
      <c r="X31" s="16" t="s">
        <v>27</v>
      </c>
      <c r="Y31" s="7"/>
      <c r="Z31" s="14" t="s">
        <v>846</v>
      </c>
      <c r="AA31" s="15" t="s">
        <v>847</v>
      </c>
      <c r="AB31" s="11"/>
      <c r="AC31" s="16" t="s">
        <v>27</v>
      </c>
      <c r="AD31" s="7"/>
      <c r="AE31" s="14" t="s">
        <v>848</v>
      </c>
      <c r="AF31" s="18" t="s">
        <v>849</v>
      </c>
      <c r="AG31" s="19"/>
      <c r="AH31" s="16" t="s">
        <v>27</v>
      </c>
      <c r="AI31" s="7"/>
      <c r="AJ31" s="14" t="s">
        <v>850</v>
      </c>
      <c r="AK31" s="15" t="s">
        <v>851</v>
      </c>
      <c r="AL31" s="29"/>
      <c r="AM31" s="26" t="s">
        <v>27</v>
      </c>
      <c r="AN31" s="7"/>
      <c r="AO31" s="14" t="s">
        <v>852</v>
      </c>
      <c r="AP31" s="15" t="s">
        <v>853</v>
      </c>
      <c r="AQ31" s="44"/>
      <c r="AR31" s="16" t="s">
        <v>27</v>
      </c>
      <c r="AS31" s="7"/>
      <c r="AT31" s="14" t="s">
        <v>854</v>
      </c>
      <c r="AU31" s="15" t="s">
        <v>855</v>
      </c>
      <c r="AV31" s="44"/>
      <c r="AW31" s="16" t="s">
        <v>27</v>
      </c>
      <c r="AX31" s="7"/>
      <c r="AY31" s="28" t="s">
        <v>856</v>
      </c>
      <c r="AZ31" s="18" t="s">
        <v>857</v>
      </c>
      <c r="BA31" s="19"/>
      <c r="BB31" s="16" t="s">
        <v>33</v>
      </c>
      <c r="BC31" s="7"/>
      <c r="BD31" s="14" t="s">
        <v>858</v>
      </c>
      <c r="BE31" s="15" t="s">
        <v>859</v>
      </c>
      <c r="BF31" s="11" t="s">
        <v>860</v>
      </c>
      <c r="BG31" s="16" t="s">
        <v>33</v>
      </c>
      <c r="BH31" s="7"/>
      <c r="BI31" s="14" t="s">
        <v>861</v>
      </c>
      <c r="BJ31" s="15" t="s">
        <v>862</v>
      </c>
      <c r="BK31" s="44" t="s">
        <v>863</v>
      </c>
      <c r="BL31" s="16" t="s">
        <v>27</v>
      </c>
      <c r="BM31" s="7"/>
      <c r="BN31" s="7"/>
      <c r="BO31" s="7"/>
      <c r="BP31" s="7"/>
      <c r="BQ31" s="7"/>
      <c r="BR31" s="7"/>
      <c r="BS31" s="7"/>
      <c r="BT31" s="7"/>
      <c r="BU31" s="7"/>
      <c r="BV31" s="7"/>
      <c r="BW31" s="7"/>
      <c r="BX31" s="7"/>
      <c r="BY31" s="7"/>
      <c r="BZ31" s="41"/>
      <c r="CA31" s="7"/>
      <c r="CB31" s="7"/>
      <c r="CC31" s="7"/>
      <c r="CD31" s="7"/>
      <c r="CE31" s="7"/>
      <c r="CF31" s="7"/>
    </row>
    <row r="32">
      <c r="A32" s="14" t="s">
        <v>864</v>
      </c>
      <c r="B32" s="15" t="s">
        <v>865</v>
      </c>
      <c r="C32" s="11" t="s">
        <v>866</v>
      </c>
      <c r="D32" s="26" t="s">
        <v>27</v>
      </c>
      <c r="E32" s="7"/>
      <c r="F32" s="14" t="s">
        <v>867</v>
      </c>
      <c r="G32" s="15" t="s">
        <v>868</v>
      </c>
      <c r="H32" s="11"/>
      <c r="I32" s="16" t="s">
        <v>27</v>
      </c>
      <c r="J32" s="7"/>
      <c r="K32" s="14" t="s">
        <v>869</v>
      </c>
      <c r="L32" s="18" t="s">
        <v>870</v>
      </c>
      <c r="M32" s="11" t="s">
        <v>871</v>
      </c>
      <c r="N32" s="16" t="s">
        <v>27</v>
      </c>
      <c r="O32" s="7"/>
      <c r="P32" s="14" t="s">
        <v>872</v>
      </c>
      <c r="Q32" s="15" t="s">
        <v>873</v>
      </c>
      <c r="R32" s="7"/>
      <c r="S32" s="16" t="s">
        <v>33</v>
      </c>
      <c r="T32" s="7"/>
      <c r="U32" s="14" t="s">
        <v>874</v>
      </c>
      <c r="V32" s="15" t="s">
        <v>875</v>
      </c>
      <c r="W32" s="11"/>
      <c r="X32" s="16" t="s">
        <v>27</v>
      </c>
      <c r="Y32" s="7"/>
      <c r="Z32" s="14" t="s">
        <v>876</v>
      </c>
      <c r="AA32" s="15" t="s">
        <v>877</v>
      </c>
      <c r="AB32" s="11"/>
      <c r="AC32" s="16" t="s">
        <v>27</v>
      </c>
      <c r="AD32" s="7"/>
      <c r="AE32" s="14" t="s">
        <v>878</v>
      </c>
      <c r="AF32" s="18" t="s">
        <v>879</v>
      </c>
      <c r="AG32" s="19"/>
      <c r="AH32" s="16" t="s">
        <v>27</v>
      </c>
      <c r="AI32" s="7"/>
      <c r="AJ32" s="14" t="s">
        <v>880</v>
      </c>
      <c r="AK32" s="15" t="s">
        <v>881</v>
      </c>
      <c r="AL32" s="29"/>
      <c r="AM32" s="26" t="s">
        <v>27</v>
      </c>
      <c r="AN32" s="7"/>
      <c r="AO32" s="14" t="s">
        <v>882</v>
      </c>
      <c r="AP32" s="15" t="s">
        <v>883</v>
      </c>
      <c r="AQ32" s="44" t="s">
        <v>884</v>
      </c>
      <c r="AR32" s="16" t="s">
        <v>27</v>
      </c>
      <c r="AS32" s="7"/>
      <c r="AT32" s="14" t="s">
        <v>885</v>
      </c>
      <c r="AU32" s="15" t="s">
        <v>886</v>
      </c>
      <c r="AV32" s="44"/>
      <c r="AW32" s="16" t="s">
        <v>27</v>
      </c>
      <c r="AX32" s="7"/>
      <c r="AY32" s="14" t="s">
        <v>887</v>
      </c>
      <c r="AZ32" s="18" t="s">
        <v>888</v>
      </c>
      <c r="BA32" s="19"/>
      <c r="BB32" s="16" t="s">
        <v>27</v>
      </c>
      <c r="BC32" s="7"/>
      <c r="BD32" s="14" t="s">
        <v>889</v>
      </c>
      <c r="BE32" s="15" t="s">
        <v>890</v>
      </c>
      <c r="BF32" s="11"/>
      <c r="BG32" s="16" t="s">
        <v>27</v>
      </c>
      <c r="BH32" s="7"/>
      <c r="BI32" s="14" t="s">
        <v>891</v>
      </c>
      <c r="BJ32" s="15" t="s">
        <v>892</v>
      </c>
      <c r="BK32" s="44"/>
      <c r="BL32" s="16" t="s">
        <v>27</v>
      </c>
      <c r="BM32" s="7"/>
      <c r="BN32" s="7"/>
      <c r="BO32" s="7"/>
      <c r="BP32" s="7"/>
      <c r="BQ32" s="7"/>
      <c r="BR32" s="7"/>
      <c r="BS32" s="7"/>
      <c r="BT32" s="7"/>
      <c r="BU32" s="7"/>
      <c r="BV32" s="7"/>
      <c r="BW32" s="7"/>
      <c r="BX32" s="7"/>
      <c r="BY32" s="7"/>
      <c r="BZ32" s="41"/>
      <c r="CA32" s="7"/>
      <c r="CB32" s="7"/>
      <c r="CC32" s="7"/>
      <c r="CD32" s="7"/>
      <c r="CE32" s="7"/>
      <c r="CF32" s="7"/>
    </row>
    <row r="33">
      <c r="A33" s="14" t="s">
        <v>893</v>
      </c>
      <c r="B33" s="15" t="s">
        <v>894</v>
      </c>
      <c r="C33" s="11"/>
      <c r="D33" s="26" t="s">
        <v>27</v>
      </c>
      <c r="E33" s="7"/>
      <c r="F33" s="14" t="s">
        <v>895</v>
      </c>
      <c r="G33" s="17" t="s">
        <v>896</v>
      </c>
      <c r="H33" s="11"/>
      <c r="I33" s="16" t="s">
        <v>21</v>
      </c>
      <c r="J33" s="7"/>
      <c r="K33" s="14" t="s">
        <v>897</v>
      </c>
      <c r="L33" s="18" t="s">
        <v>898</v>
      </c>
      <c r="M33" s="11" t="s">
        <v>899</v>
      </c>
      <c r="N33" s="16" t="s">
        <v>33</v>
      </c>
      <c r="O33" s="7"/>
      <c r="P33" s="14" t="s">
        <v>900</v>
      </c>
      <c r="Q33" s="15" t="s">
        <v>901</v>
      </c>
      <c r="R33" s="7"/>
      <c r="S33" s="16" t="s">
        <v>27</v>
      </c>
      <c r="T33" s="7"/>
      <c r="U33" s="14" t="s">
        <v>902</v>
      </c>
      <c r="V33" s="17" t="s">
        <v>903</v>
      </c>
      <c r="W33" s="11"/>
      <c r="X33" s="16" t="s">
        <v>33</v>
      </c>
      <c r="Y33" s="7"/>
      <c r="Z33" s="14" t="s">
        <v>904</v>
      </c>
      <c r="AA33" s="15" t="s">
        <v>905</v>
      </c>
      <c r="AB33" s="11"/>
      <c r="AC33" s="16" t="s">
        <v>27</v>
      </c>
      <c r="AD33" s="7"/>
      <c r="AE33" s="14" t="s">
        <v>906</v>
      </c>
      <c r="AF33" s="18" t="s">
        <v>907</v>
      </c>
      <c r="AG33" s="19"/>
      <c r="AH33" s="16" t="s">
        <v>27</v>
      </c>
      <c r="AI33" s="7"/>
      <c r="AJ33" s="14" t="s">
        <v>908</v>
      </c>
      <c r="AK33" s="15" t="s">
        <v>909</v>
      </c>
      <c r="AL33" s="29"/>
      <c r="AM33" s="26" t="s">
        <v>27</v>
      </c>
      <c r="AN33" s="7"/>
      <c r="AO33" s="14" t="s">
        <v>910</v>
      </c>
      <c r="AP33" s="15" t="s">
        <v>911</v>
      </c>
      <c r="AQ33" s="44"/>
      <c r="AR33" s="16" t="s">
        <v>27</v>
      </c>
      <c r="AS33" s="7"/>
      <c r="AT33" s="14" t="s">
        <v>912</v>
      </c>
      <c r="AU33" s="15" t="s">
        <v>913</v>
      </c>
      <c r="AV33" s="44"/>
      <c r="AW33" s="16" t="s">
        <v>27</v>
      </c>
      <c r="AX33" s="7"/>
      <c r="AY33" s="14" t="s">
        <v>914</v>
      </c>
      <c r="AZ33" s="18" t="s">
        <v>915</v>
      </c>
      <c r="BA33" s="19"/>
      <c r="BB33" s="16" t="s">
        <v>33</v>
      </c>
      <c r="BC33" s="7"/>
      <c r="BD33" s="14" t="s">
        <v>916</v>
      </c>
      <c r="BE33" s="15" t="s">
        <v>917</v>
      </c>
      <c r="BF33" s="11"/>
      <c r="BG33" s="16" t="s">
        <v>136</v>
      </c>
      <c r="BH33" s="7"/>
      <c r="BI33" s="14" t="s">
        <v>918</v>
      </c>
      <c r="BJ33" s="15" t="s">
        <v>919</v>
      </c>
      <c r="BK33" s="44"/>
      <c r="BL33" s="16" t="s">
        <v>27</v>
      </c>
      <c r="BM33" s="7"/>
      <c r="BN33" s="7"/>
      <c r="BO33" s="7"/>
      <c r="BP33" s="7"/>
      <c r="BQ33" s="7"/>
      <c r="BR33" s="7"/>
      <c r="BS33" s="7"/>
      <c r="BT33" s="7"/>
      <c r="BU33" s="7"/>
      <c r="BV33" s="7"/>
      <c r="BW33" s="7"/>
      <c r="BX33" s="7"/>
      <c r="BY33" s="7"/>
      <c r="BZ33" s="41"/>
      <c r="CA33" s="7"/>
      <c r="CB33" s="7"/>
      <c r="CC33" s="7"/>
      <c r="CD33" s="7"/>
      <c r="CE33" s="7"/>
      <c r="CF33" s="7"/>
    </row>
    <row r="34">
      <c r="A34" s="14" t="s">
        <v>920</v>
      </c>
      <c r="B34" s="15" t="s">
        <v>921</v>
      </c>
      <c r="C34" s="11" t="s">
        <v>922</v>
      </c>
      <c r="D34" s="26" t="s">
        <v>27</v>
      </c>
      <c r="E34" s="7"/>
      <c r="F34" s="14" t="s">
        <v>923</v>
      </c>
      <c r="G34" s="15" t="s">
        <v>924</v>
      </c>
      <c r="H34" s="11"/>
      <c r="I34" s="16" t="s">
        <v>27</v>
      </c>
      <c r="J34" s="7"/>
      <c r="K34" s="14" t="s">
        <v>925</v>
      </c>
      <c r="L34" s="18" t="s">
        <v>926</v>
      </c>
      <c r="M34" s="19"/>
      <c r="N34" s="16" t="s">
        <v>27</v>
      </c>
      <c r="O34" s="7"/>
      <c r="P34" s="14" t="s">
        <v>927</v>
      </c>
      <c r="Q34" s="15" t="s">
        <v>928</v>
      </c>
      <c r="R34" s="7"/>
      <c r="S34" s="16" t="s">
        <v>27</v>
      </c>
      <c r="T34" s="7"/>
      <c r="U34" s="14" t="s">
        <v>929</v>
      </c>
      <c r="V34" s="15" t="s">
        <v>930</v>
      </c>
      <c r="W34" s="11"/>
      <c r="X34" s="16" t="s">
        <v>27</v>
      </c>
      <c r="Y34" s="7"/>
      <c r="Z34" s="14" t="s">
        <v>931</v>
      </c>
      <c r="AA34" s="15" t="s">
        <v>932</v>
      </c>
      <c r="AB34" s="11"/>
      <c r="AC34" s="16" t="s">
        <v>27</v>
      </c>
      <c r="AD34" s="7"/>
      <c r="AE34" s="14" t="s">
        <v>933</v>
      </c>
      <c r="AF34" s="18" t="s">
        <v>934</v>
      </c>
      <c r="AG34" s="19"/>
      <c r="AH34" s="16" t="s">
        <v>27</v>
      </c>
      <c r="AI34" s="7"/>
      <c r="AJ34" s="14" t="s">
        <v>935</v>
      </c>
      <c r="AK34" s="15" t="s">
        <v>936</v>
      </c>
      <c r="AL34" s="29"/>
      <c r="AM34" s="26" t="s">
        <v>27</v>
      </c>
      <c r="AN34" s="7"/>
      <c r="AO34" s="14" t="s">
        <v>937</v>
      </c>
      <c r="AP34" s="15" t="s">
        <v>938</v>
      </c>
      <c r="AQ34" s="44"/>
      <c r="AR34" s="16" t="s">
        <v>33</v>
      </c>
      <c r="AS34" s="7"/>
      <c r="AT34" s="14" t="s">
        <v>939</v>
      </c>
      <c r="AU34" s="15" t="s">
        <v>940</v>
      </c>
      <c r="AV34" s="44"/>
      <c r="AW34" s="16" t="s">
        <v>27</v>
      </c>
      <c r="AX34" s="7"/>
      <c r="AY34" s="14" t="s">
        <v>941</v>
      </c>
      <c r="AZ34" s="18" t="s">
        <v>942</v>
      </c>
      <c r="BA34" s="19"/>
      <c r="BB34" s="16" t="s">
        <v>21</v>
      </c>
      <c r="BC34" s="7"/>
      <c r="BD34" s="14" t="s">
        <v>943</v>
      </c>
      <c r="BE34" s="15" t="s">
        <v>944</v>
      </c>
      <c r="BF34" s="11"/>
      <c r="BG34" s="16" t="s">
        <v>27</v>
      </c>
      <c r="BH34" s="7"/>
      <c r="BI34" s="14" t="s">
        <v>945</v>
      </c>
      <c r="BJ34" s="15" t="s">
        <v>946</v>
      </c>
      <c r="BK34" s="44"/>
      <c r="BL34" s="16" t="s">
        <v>27</v>
      </c>
      <c r="BM34" s="7"/>
      <c r="BN34" s="7"/>
      <c r="BO34" s="7"/>
      <c r="BP34" s="7"/>
      <c r="BQ34" s="7"/>
      <c r="BR34" s="7"/>
      <c r="BS34" s="7"/>
      <c r="BT34" s="7"/>
      <c r="BU34" s="7"/>
      <c r="BV34" s="7"/>
      <c r="BW34" s="7"/>
      <c r="BX34" s="7"/>
      <c r="BY34" s="7"/>
      <c r="BZ34" s="41"/>
      <c r="CA34" s="7"/>
      <c r="CB34" s="7"/>
      <c r="CC34" s="7"/>
      <c r="CD34" s="7"/>
      <c r="CE34" s="7"/>
      <c r="CF34" s="7"/>
    </row>
    <row r="35">
      <c r="A35" s="14" t="s">
        <v>947</v>
      </c>
      <c r="B35" s="15" t="s">
        <v>948</v>
      </c>
      <c r="C35" s="11"/>
      <c r="D35" s="26" t="s">
        <v>27</v>
      </c>
      <c r="E35" s="7"/>
      <c r="F35" s="14" t="s">
        <v>949</v>
      </c>
      <c r="G35" s="15" t="s">
        <v>950</v>
      </c>
      <c r="H35" s="11"/>
      <c r="I35" s="16" t="s">
        <v>27</v>
      </c>
      <c r="J35" s="7"/>
      <c r="K35" s="14" t="s">
        <v>951</v>
      </c>
      <c r="L35" s="18" t="s">
        <v>952</v>
      </c>
      <c r="M35" s="11" t="s">
        <v>953</v>
      </c>
      <c r="N35" s="16" t="s">
        <v>27</v>
      </c>
      <c r="O35" s="7"/>
      <c r="P35" s="14" t="s">
        <v>954</v>
      </c>
      <c r="Q35" s="15" t="s">
        <v>955</v>
      </c>
      <c r="R35" s="7"/>
      <c r="S35" s="16" t="s">
        <v>27</v>
      </c>
      <c r="T35" s="7"/>
      <c r="U35" s="14" t="s">
        <v>956</v>
      </c>
      <c r="V35" s="15" t="s">
        <v>957</v>
      </c>
      <c r="W35" s="11"/>
      <c r="X35" s="16" t="s">
        <v>27</v>
      </c>
      <c r="Y35" s="7"/>
      <c r="Z35" s="14" t="s">
        <v>958</v>
      </c>
      <c r="AA35" s="15" t="s">
        <v>959</v>
      </c>
      <c r="AB35" s="11"/>
      <c r="AC35" s="16" t="s">
        <v>27</v>
      </c>
      <c r="AD35" s="7"/>
      <c r="AE35" s="14" t="s">
        <v>960</v>
      </c>
      <c r="AF35" s="18" t="s">
        <v>961</v>
      </c>
      <c r="AG35" s="19"/>
      <c r="AH35" s="16" t="s">
        <v>27</v>
      </c>
      <c r="AI35" s="7"/>
      <c r="AJ35" s="14" t="s">
        <v>962</v>
      </c>
      <c r="AK35" s="15" t="s">
        <v>963</v>
      </c>
      <c r="AL35" s="29"/>
      <c r="AM35" s="26" t="s">
        <v>27</v>
      </c>
      <c r="AN35" s="7"/>
      <c r="AO35" s="14" t="s">
        <v>964</v>
      </c>
      <c r="AP35" s="15" t="s">
        <v>965</v>
      </c>
      <c r="AQ35" s="44"/>
      <c r="AR35" s="16" t="s">
        <v>27</v>
      </c>
      <c r="AS35" s="7"/>
      <c r="AT35" s="14" t="s">
        <v>966</v>
      </c>
      <c r="AU35" s="15" t="s">
        <v>967</v>
      </c>
      <c r="AV35" s="44"/>
      <c r="AW35" s="16" t="s">
        <v>33</v>
      </c>
      <c r="AX35" s="7"/>
      <c r="AY35" s="14" t="s">
        <v>968</v>
      </c>
      <c r="AZ35" s="18" t="s">
        <v>969</v>
      </c>
      <c r="BA35" s="19"/>
      <c r="BB35" s="16" t="s">
        <v>27</v>
      </c>
      <c r="BC35" s="7"/>
      <c r="BD35" s="14" t="s">
        <v>970</v>
      </c>
      <c r="BE35" s="15" t="s">
        <v>971</v>
      </c>
      <c r="BF35" s="11"/>
      <c r="BG35" s="16" t="s">
        <v>27</v>
      </c>
      <c r="BH35" s="7"/>
      <c r="BI35" s="14" t="s">
        <v>972</v>
      </c>
      <c r="BJ35" s="15" t="s">
        <v>973</v>
      </c>
      <c r="BK35" s="44"/>
      <c r="BL35" s="16" t="s">
        <v>27</v>
      </c>
      <c r="BM35" s="7"/>
      <c r="BN35" s="7"/>
      <c r="BO35" s="7"/>
      <c r="BP35" s="7"/>
      <c r="BQ35" s="7"/>
      <c r="BR35" s="7"/>
      <c r="BS35" s="7"/>
      <c r="BT35" s="7"/>
      <c r="BU35" s="7"/>
      <c r="BV35" s="7"/>
      <c r="BW35" s="7"/>
      <c r="BX35" s="7"/>
      <c r="BY35" s="7"/>
      <c r="BZ35" s="41"/>
      <c r="CA35" s="7"/>
      <c r="CB35" s="7"/>
      <c r="CC35" s="7"/>
      <c r="CD35" s="7"/>
      <c r="CE35" s="7"/>
      <c r="CF35" s="7"/>
    </row>
    <row r="36">
      <c r="A36" s="14" t="s">
        <v>974</v>
      </c>
      <c r="B36" s="15" t="s">
        <v>975</v>
      </c>
      <c r="C36" s="11"/>
      <c r="D36" s="26" t="s">
        <v>416</v>
      </c>
      <c r="E36" s="7"/>
      <c r="F36" s="14" t="s">
        <v>976</v>
      </c>
      <c r="G36" s="15" t="s">
        <v>977</v>
      </c>
      <c r="H36" s="11"/>
      <c r="I36" s="16" t="s">
        <v>27</v>
      </c>
      <c r="J36" s="7"/>
      <c r="K36" s="14" t="s">
        <v>978</v>
      </c>
      <c r="L36" s="18" t="s">
        <v>979</v>
      </c>
      <c r="M36" s="11" t="s">
        <v>980</v>
      </c>
      <c r="N36" s="16" t="s">
        <v>27</v>
      </c>
      <c r="O36" s="7"/>
      <c r="P36" s="14" t="s">
        <v>981</v>
      </c>
      <c r="Q36" s="15" t="s">
        <v>982</v>
      </c>
      <c r="R36" s="7"/>
      <c r="S36" s="16" t="s">
        <v>27</v>
      </c>
      <c r="T36" s="7"/>
      <c r="U36" s="14" t="s">
        <v>983</v>
      </c>
      <c r="V36" s="15" t="s">
        <v>984</v>
      </c>
      <c r="W36" s="11" t="s">
        <v>184</v>
      </c>
      <c r="X36" s="16" t="s">
        <v>33</v>
      </c>
      <c r="Y36" s="7"/>
      <c r="Z36" s="14" t="s">
        <v>985</v>
      </c>
      <c r="AA36" s="15" t="s">
        <v>986</v>
      </c>
      <c r="AB36" s="11"/>
      <c r="AC36" s="16" t="s">
        <v>27</v>
      </c>
      <c r="AD36" s="7"/>
      <c r="AE36" s="14" t="s">
        <v>987</v>
      </c>
      <c r="AF36" s="18" t="s">
        <v>988</v>
      </c>
      <c r="AG36" s="19"/>
      <c r="AH36" s="16" t="s">
        <v>27</v>
      </c>
      <c r="AI36" s="7"/>
      <c r="AJ36" s="14"/>
      <c r="AK36" s="44"/>
      <c r="AL36" s="29"/>
      <c r="AM36" s="26"/>
      <c r="AN36" s="7"/>
      <c r="AO36" s="14" t="s">
        <v>989</v>
      </c>
      <c r="AP36" s="15" t="s">
        <v>990</v>
      </c>
      <c r="AQ36" s="44"/>
      <c r="AR36" s="16" t="s">
        <v>27</v>
      </c>
      <c r="AS36" s="7"/>
      <c r="AT36" s="14" t="s">
        <v>991</v>
      </c>
      <c r="AU36" s="15" t="s">
        <v>992</v>
      </c>
      <c r="AV36" s="44"/>
      <c r="AW36" s="16" t="s">
        <v>21</v>
      </c>
      <c r="AX36" s="7"/>
      <c r="AY36" s="14" t="s">
        <v>993</v>
      </c>
      <c r="AZ36" s="18" t="s">
        <v>994</v>
      </c>
      <c r="BA36" s="19"/>
      <c r="BB36" s="16" t="s">
        <v>27</v>
      </c>
      <c r="BC36" s="7"/>
      <c r="BD36" s="14" t="s">
        <v>995</v>
      </c>
      <c r="BE36" s="15" t="s">
        <v>996</v>
      </c>
      <c r="BF36" s="11"/>
      <c r="BG36" s="16" t="s">
        <v>136</v>
      </c>
      <c r="BH36" s="7"/>
      <c r="BI36" s="14" t="s">
        <v>997</v>
      </c>
      <c r="BJ36" s="15" t="s">
        <v>998</v>
      </c>
      <c r="BK36" s="44"/>
      <c r="BL36" s="16" t="s">
        <v>27</v>
      </c>
      <c r="BM36" s="7"/>
      <c r="BN36" s="7"/>
      <c r="BO36" s="7"/>
      <c r="BP36" s="7"/>
      <c r="BQ36" s="7"/>
      <c r="BR36" s="7"/>
      <c r="BS36" s="7"/>
      <c r="BT36" s="7"/>
      <c r="BU36" s="7"/>
      <c r="BV36" s="7"/>
      <c r="BW36" s="7"/>
      <c r="BX36" s="7"/>
      <c r="BY36" s="7"/>
      <c r="BZ36" s="41"/>
      <c r="CA36" s="7"/>
      <c r="CB36" s="7"/>
      <c r="CC36" s="7"/>
      <c r="CD36" s="7"/>
      <c r="CE36" s="7"/>
      <c r="CF36" s="7"/>
    </row>
    <row r="37">
      <c r="A37" s="14" t="s">
        <v>999</v>
      </c>
      <c r="B37" s="15" t="s">
        <v>1000</v>
      </c>
      <c r="C37" s="11"/>
      <c r="D37" s="26" t="s">
        <v>27</v>
      </c>
      <c r="E37" s="7"/>
      <c r="F37" s="14" t="s">
        <v>1001</v>
      </c>
      <c r="G37" s="15" t="s">
        <v>1002</v>
      </c>
      <c r="H37" s="11"/>
      <c r="I37" s="16" t="s">
        <v>27</v>
      </c>
      <c r="J37" s="7"/>
      <c r="K37" s="14" t="s">
        <v>1003</v>
      </c>
      <c r="L37" s="18" t="s">
        <v>1004</v>
      </c>
      <c r="M37" s="11" t="s">
        <v>1005</v>
      </c>
      <c r="N37" s="16" t="s">
        <v>27</v>
      </c>
      <c r="O37" s="7"/>
      <c r="P37" s="14" t="s">
        <v>1006</v>
      </c>
      <c r="Q37" s="15" t="s">
        <v>1007</v>
      </c>
      <c r="R37" s="7"/>
      <c r="S37" s="16" t="s">
        <v>27</v>
      </c>
      <c r="T37" s="7"/>
      <c r="U37" s="14" t="s">
        <v>1008</v>
      </c>
      <c r="V37" s="15" t="s">
        <v>1009</v>
      </c>
      <c r="W37" s="11"/>
      <c r="X37" s="16" t="s">
        <v>27</v>
      </c>
      <c r="Y37" s="7"/>
      <c r="Z37" s="14" t="s">
        <v>1010</v>
      </c>
      <c r="AA37" s="15" t="s">
        <v>1011</v>
      </c>
      <c r="AB37" s="11"/>
      <c r="AC37" s="16" t="s">
        <v>27</v>
      </c>
      <c r="AD37" s="7"/>
      <c r="AE37" s="14" t="s">
        <v>1012</v>
      </c>
      <c r="AF37" s="18" t="s">
        <v>1013</v>
      </c>
      <c r="AG37" s="19"/>
      <c r="AH37" s="16" t="s">
        <v>27</v>
      </c>
      <c r="AI37" s="7"/>
      <c r="AJ37" s="14"/>
      <c r="AK37" s="44"/>
      <c r="AL37" s="29"/>
      <c r="AM37" s="26"/>
      <c r="AN37" s="7"/>
      <c r="AO37" s="14" t="s">
        <v>1014</v>
      </c>
      <c r="AP37" s="15" t="s">
        <v>1015</v>
      </c>
      <c r="AQ37" s="44"/>
      <c r="AR37" s="16" t="s">
        <v>27</v>
      </c>
      <c r="AS37" s="7"/>
      <c r="AT37" s="14" t="s">
        <v>1016</v>
      </c>
      <c r="AU37" s="15" t="s">
        <v>1017</v>
      </c>
      <c r="AV37" s="44"/>
      <c r="AW37" s="16" t="s">
        <v>33</v>
      </c>
      <c r="AX37" s="7"/>
      <c r="AY37" s="14" t="s">
        <v>1018</v>
      </c>
      <c r="AZ37" s="18" t="s">
        <v>1019</v>
      </c>
      <c r="BA37" s="19"/>
      <c r="BB37" s="16" t="s">
        <v>27</v>
      </c>
      <c r="BC37" s="7"/>
      <c r="BD37" s="14" t="s">
        <v>1020</v>
      </c>
      <c r="BE37" s="15" t="s">
        <v>1021</v>
      </c>
      <c r="BF37" s="11"/>
      <c r="BG37" s="16" t="s">
        <v>27</v>
      </c>
      <c r="BH37" s="7"/>
      <c r="BI37" s="14" t="s">
        <v>1022</v>
      </c>
      <c r="BJ37" s="15" t="s">
        <v>1023</v>
      </c>
      <c r="BK37" s="44"/>
      <c r="BL37" s="16" t="s">
        <v>27</v>
      </c>
      <c r="BM37" s="7"/>
      <c r="BN37" s="7"/>
      <c r="BO37" s="7"/>
      <c r="BP37" s="7"/>
      <c r="BQ37" s="7"/>
      <c r="BR37" s="7"/>
      <c r="BS37" s="7"/>
      <c r="BT37" s="7"/>
      <c r="BU37" s="7"/>
      <c r="BV37" s="7"/>
      <c r="BW37" s="7"/>
      <c r="BX37" s="7"/>
      <c r="BY37" s="7"/>
      <c r="BZ37" s="41"/>
      <c r="CA37" s="7"/>
      <c r="CB37" s="7"/>
      <c r="CC37" s="7"/>
      <c r="CD37" s="7"/>
      <c r="CE37" s="7"/>
      <c r="CF37" s="7"/>
    </row>
    <row r="38">
      <c r="A38" s="14" t="s">
        <v>1024</v>
      </c>
      <c r="B38" s="15" t="s">
        <v>1025</v>
      </c>
      <c r="C38" s="11"/>
      <c r="D38" s="26" t="s">
        <v>27</v>
      </c>
      <c r="E38" s="7"/>
      <c r="F38" s="14" t="s">
        <v>1026</v>
      </c>
      <c r="G38" s="15" t="s">
        <v>1027</v>
      </c>
      <c r="H38" s="11"/>
      <c r="I38" s="16" t="s">
        <v>27</v>
      </c>
      <c r="J38" s="7"/>
      <c r="K38" s="14" t="s">
        <v>1028</v>
      </c>
      <c r="L38" s="18" t="s">
        <v>1029</v>
      </c>
      <c r="M38" s="11" t="s">
        <v>1030</v>
      </c>
      <c r="N38" s="16" t="s">
        <v>33</v>
      </c>
      <c r="O38" s="7"/>
      <c r="P38" s="14" t="s">
        <v>1031</v>
      </c>
      <c r="Q38" s="15" t="s">
        <v>1032</v>
      </c>
      <c r="R38" s="7"/>
      <c r="S38" s="16" t="s">
        <v>27</v>
      </c>
      <c r="T38" s="7"/>
      <c r="U38" s="14" t="s">
        <v>1033</v>
      </c>
      <c r="V38" s="15" t="s">
        <v>1034</v>
      </c>
      <c r="W38" s="11"/>
      <c r="X38" s="16" t="s">
        <v>27</v>
      </c>
      <c r="Y38" s="7"/>
      <c r="Z38" s="14" t="s">
        <v>1035</v>
      </c>
      <c r="AA38" s="17" t="s">
        <v>1036</v>
      </c>
      <c r="AB38" s="11"/>
      <c r="AC38" s="16" t="s">
        <v>27</v>
      </c>
      <c r="AD38" s="7"/>
      <c r="AE38" s="14" t="s">
        <v>1037</v>
      </c>
      <c r="AF38" s="18" t="s">
        <v>1038</v>
      </c>
      <c r="AG38" s="19"/>
      <c r="AH38" s="16" t="s">
        <v>27</v>
      </c>
      <c r="AI38" s="7"/>
      <c r="AJ38" s="14"/>
      <c r="AK38" s="44"/>
      <c r="AL38" s="29"/>
      <c r="AM38" s="26"/>
      <c r="AN38" s="7"/>
      <c r="AO38" s="14" t="s">
        <v>1039</v>
      </c>
      <c r="AP38" s="15" t="s">
        <v>1040</v>
      </c>
      <c r="AQ38" s="44"/>
      <c r="AR38" s="16" t="s">
        <v>27</v>
      </c>
      <c r="AS38" s="7"/>
      <c r="AT38" s="14" t="s">
        <v>1041</v>
      </c>
      <c r="AU38" s="15" t="s">
        <v>1042</v>
      </c>
      <c r="AV38" s="44"/>
      <c r="AW38" s="16" t="s">
        <v>27</v>
      </c>
      <c r="AX38" s="7"/>
      <c r="AY38" s="14" t="s">
        <v>1043</v>
      </c>
      <c r="AZ38" s="18" t="s">
        <v>1044</v>
      </c>
      <c r="BA38" s="19"/>
      <c r="BB38" s="16" t="s">
        <v>21</v>
      </c>
      <c r="BC38" s="7"/>
      <c r="BD38" s="14" t="s">
        <v>1045</v>
      </c>
      <c r="BE38" s="15" t="s">
        <v>1046</v>
      </c>
      <c r="BF38" s="11"/>
      <c r="BG38" s="16" t="s">
        <v>27</v>
      </c>
      <c r="BH38" s="7"/>
      <c r="BI38" s="14" t="s">
        <v>1047</v>
      </c>
      <c r="BJ38" s="15" t="s">
        <v>1048</v>
      </c>
      <c r="BK38" s="44"/>
      <c r="BL38" s="16" t="s">
        <v>27</v>
      </c>
      <c r="BM38" s="7"/>
      <c r="BN38" s="7"/>
      <c r="BO38" s="7"/>
      <c r="BP38" s="7"/>
      <c r="BQ38" s="7"/>
      <c r="BR38" s="7"/>
      <c r="BS38" s="7"/>
      <c r="BT38" s="7"/>
      <c r="BU38" s="7"/>
      <c r="BV38" s="7"/>
      <c r="BW38" s="7"/>
      <c r="BX38" s="7"/>
      <c r="BY38" s="7"/>
      <c r="BZ38" s="41"/>
      <c r="CA38" s="7"/>
      <c r="CB38" s="7"/>
      <c r="CC38" s="7"/>
      <c r="CD38" s="7"/>
      <c r="CE38" s="7"/>
      <c r="CF38" s="7"/>
    </row>
    <row r="39">
      <c r="A39" s="14" t="s">
        <v>1049</v>
      </c>
      <c r="B39" s="15" t="s">
        <v>1050</v>
      </c>
      <c r="C39" s="11"/>
      <c r="D39" s="26" t="s">
        <v>27</v>
      </c>
      <c r="E39" s="7"/>
      <c r="F39" s="14" t="s">
        <v>1051</v>
      </c>
      <c r="G39" s="15" t="s">
        <v>1052</v>
      </c>
      <c r="H39" s="11"/>
      <c r="I39" s="16" t="s">
        <v>27</v>
      </c>
      <c r="J39" s="7"/>
      <c r="K39" s="14" t="s">
        <v>1053</v>
      </c>
      <c r="L39" s="18" t="s">
        <v>1054</v>
      </c>
      <c r="M39" s="11" t="s">
        <v>1055</v>
      </c>
      <c r="N39" s="16" t="s">
        <v>27</v>
      </c>
      <c r="O39" s="7"/>
      <c r="P39" s="14" t="s">
        <v>1056</v>
      </c>
      <c r="Q39" s="15" t="s">
        <v>1057</v>
      </c>
      <c r="R39" s="7"/>
      <c r="S39" s="16" t="s">
        <v>27</v>
      </c>
      <c r="T39" s="7"/>
      <c r="U39" s="14" t="s">
        <v>1058</v>
      </c>
      <c r="V39" s="15" t="s">
        <v>1059</v>
      </c>
      <c r="W39" s="11"/>
      <c r="X39" s="16" t="s">
        <v>27</v>
      </c>
      <c r="Y39" s="7"/>
      <c r="Z39" s="14" t="s">
        <v>1060</v>
      </c>
      <c r="AA39" s="15" t="s">
        <v>1061</v>
      </c>
      <c r="AB39" s="11"/>
      <c r="AC39" s="16" t="s">
        <v>27</v>
      </c>
      <c r="AD39" s="7"/>
      <c r="AE39" s="14" t="s">
        <v>1062</v>
      </c>
      <c r="AF39" s="18" t="s">
        <v>1063</v>
      </c>
      <c r="AG39" s="19"/>
      <c r="AH39" s="16" t="s">
        <v>33</v>
      </c>
      <c r="AI39" s="7"/>
      <c r="AJ39" s="14"/>
      <c r="AK39" s="44"/>
      <c r="AL39" s="29"/>
      <c r="AM39" s="26"/>
      <c r="AN39" s="7"/>
      <c r="AO39" s="14" t="s">
        <v>1064</v>
      </c>
      <c r="AP39" s="15" t="s">
        <v>1065</v>
      </c>
      <c r="AQ39" s="44"/>
      <c r="AR39" s="16" t="s">
        <v>27</v>
      </c>
      <c r="AS39" s="7"/>
      <c r="AT39" s="14" t="s">
        <v>1066</v>
      </c>
      <c r="AU39" s="15" t="s">
        <v>1067</v>
      </c>
      <c r="AV39" s="44"/>
      <c r="AW39" s="16" t="s">
        <v>27</v>
      </c>
      <c r="AX39" s="7"/>
      <c r="AY39" s="14" t="s">
        <v>1068</v>
      </c>
      <c r="AZ39" s="18" t="s">
        <v>1069</v>
      </c>
      <c r="BA39" s="19"/>
      <c r="BB39" s="16" t="s">
        <v>33</v>
      </c>
      <c r="BC39" s="7"/>
      <c r="BD39" s="14" t="s">
        <v>1070</v>
      </c>
      <c r="BE39" s="15" t="s">
        <v>1071</v>
      </c>
      <c r="BF39" s="11"/>
      <c r="BG39" s="16" t="s">
        <v>27</v>
      </c>
      <c r="BH39" s="7"/>
      <c r="BI39" s="14" t="s">
        <v>1072</v>
      </c>
      <c r="BJ39" s="15" t="s">
        <v>1073</v>
      </c>
      <c r="BK39" s="44"/>
      <c r="BL39" s="16" t="s">
        <v>27</v>
      </c>
      <c r="BM39" s="7"/>
      <c r="BN39" s="7"/>
      <c r="BO39" s="7"/>
      <c r="BP39" s="7"/>
      <c r="BQ39" s="7"/>
      <c r="BR39" s="7"/>
      <c r="BS39" s="7"/>
      <c r="BT39" s="7"/>
      <c r="BU39" s="7"/>
      <c r="BV39" s="7"/>
      <c r="BW39" s="7"/>
      <c r="BX39" s="7"/>
      <c r="BY39" s="7"/>
      <c r="BZ39" s="41"/>
      <c r="CA39" s="7"/>
      <c r="CB39" s="7"/>
      <c r="CC39" s="7"/>
      <c r="CD39" s="7"/>
      <c r="CE39" s="7"/>
      <c r="CF39" s="7"/>
    </row>
    <row r="40">
      <c r="A40" s="14" t="s">
        <v>1074</v>
      </c>
      <c r="B40" s="15" t="s">
        <v>1075</v>
      </c>
      <c r="C40" s="11"/>
      <c r="D40" s="26" t="s">
        <v>416</v>
      </c>
      <c r="E40" s="7"/>
      <c r="F40" s="14" t="s">
        <v>1076</v>
      </c>
      <c r="G40" s="15" t="s">
        <v>1077</v>
      </c>
      <c r="H40" s="11"/>
      <c r="I40" s="16" t="s">
        <v>27</v>
      </c>
      <c r="J40" s="7"/>
      <c r="K40" s="14" t="s">
        <v>1078</v>
      </c>
      <c r="L40" s="18" t="s">
        <v>1079</v>
      </c>
      <c r="M40" s="19"/>
      <c r="N40" s="16" t="s">
        <v>27</v>
      </c>
      <c r="O40" s="7"/>
      <c r="P40" s="14" t="s">
        <v>1080</v>
      </c>
      <c r="Q40" s="15" t="s">
        <v>1081</v>
      </c>
      <c r="R40" s="7"/>
      <c r="S40" s="16" t="s">
        <v>27</v>
      </c>
      <c r="T40" s="7"/>
      <c r="U40" s="14" t="s">
        <v>1082</v>
      </c>
      <c r="V40" s="15" t="s">
        <v>1083</v>
      </c>
      <c r="W40" s="11"/>
      <c r="X40" s="16" t="s">
        <v>27</v>
      </c>
      <c r="Y40" s="7"/>
      <c r="Z40" s="14" t="s">
        <v>1084</v>
      </c>
      <c r="AA40" s="15" t="s">
        <v>1085</v>
      </c>
      <c r="AB40" s="11"/>
      <c r="AC40" s="16" t="s">
        <v>27</v>
      </c>
      <c r="AD40" s="7"/>
      <c r="AE40" s="14" t="s">
        <v>1086</v>
      </c>
      <c r="AF40" s="18" t="s">
        <v>1087</v>
      </c>
      <c r="AG40" s="19"/>
      <c r="AH40" s="16" t="s">
        <v>33</v>
      </c>
      <c r="AI40" s="7"/>
      <c r="AJ40" s="14"/>
      <c r="AK40" s="44"/>
      <c r="AL40" s="29"/>
      <c r="AM40" s="26"/>
      <c r="AN40" s="7"/>
      <c r="AO40" s="14" t="s">
        <v>1088</v>
      </c>
      <c r="AP40" s="15" t="s">
        <v>1089</v>
      </c>
      <c r="AQ40" s="44"/>
      <c r="AR40" s="16" t="s">
        <v>27</v>
      </c>
      <c r="AS40" s="7"/>
      <c r="AT40" s="14" t="s">
        <v>1090</v>
      </c>
      <c r="AU40" s="15" t="s">
        <v>1091</v>
      </c>
      <c r="AV40" s="44"/>
      <c r="AW40" s="16" t="s">
        <v>27</v>
      </c>
      <c r="AX40" s="7"/>
      <c r="AY40" s="14" t="s">
        <v>1092</v>
      </c>
      <c r="AZ40" s="18" t="s">
        <v>1093</v>
      </c>
      <c r="BA40" s="19"/>
      <c r="BB40" s="16" t="s">
        <v>27</v>
      </c>
      <c r="BC40" s="7"/>
      <c r="BD40" s="14" t="s">
        <v>1094</v>
      </c>
      <c r="BE40" s="15" t="s">
        <v>1095</v>
      </c>
      <c r="BF40" s="11" t="s">
        <v>1096</v>
      </c>
      <c r="BG40" s="16" t="s">
        <v>27</v>
      </c>
      <c r="BH40" s="7"/>
      <c r="BI40" s="14" t="s">
        <v>1097</v>
      </c>
      <c r="BJ40" s="15" t="s">
        <v>1098</v>
      </c>
      <c r="BK40" s="44"/>
      <c r="BL40" s="16" t="s">
        <v>27</v>
      </c>
      <c r="BM40" s="7"/>
      <c r="BN40" s="7"/>
      <c r="BO40" s="7"/>
      <c r="BP40" s="7"/>
      <c r="BQ40" s="7"/>
      <c r="BR40" s="7"/>
      <c r="BS40" s="7"/>
      <c r="BT40" s="7"/>
      <c r="BU40" s="7"/>
      <c r="BV40" s="7"/>
      <c r="BW40" s="7"/>
      <c r="BX40" s="7"/>
      <c r="BY40" s="7"/>
      <c r="BZ40" s="41"/>
      <c r="CA40" s="7"/>
      <c r="CB40" s="7"/>
      <c r="CC40" s="7"/>
      <c r="CD40" s="7"/>
      <c r="CE40" s="7"/>
      <c r="CF40" s="7"/>
    </row>
    <row r="41">
      <c r="A41" s="14" t="s">
        <v>1099</v>
      </c>
      <c r="B41" s="15" t="s">
        <v>1100</v>
      </c>
      <c r="C41" s="11"/>
      <c r="D41" s="26" t="s">
        <v>21</v>
      </c>
      <c r="E41" s="7"/>
      <c r="F41" s="14" t="s">
        <v>1101</v>
      </c>
      <c r="G41" s="15" t="s">
        <v>1102</v>
      </c>
      <c r="H41" s="11"/>
      <c r="I41" s="16" t="s">
        <v>27</v>
      </c>
      <c r="J41" s="7"/>
      <c r="K41" s="14" t="s">
        <v>1103</v>
      </c>
      <c r="L41" s="18" t="s">
        <v>1104</v>
      </c>
      <c r="M41" s="19"/>
      <c r="N41" s="16" t="s">
        <v>27</v>
      </c>
      <c r="O41" s="7"/>
      <c r="P41" s="14" t="s">
        <v>1105</v>
      </c>
      <c r="Q41" s="15" t="s">
        <v>1106</v>
      </c>
      <c r="R41" s="7"/>
      <c r="S41" s="19" t="s">
        <v>27</v>
      </c>
      <c r="T41" s="7"/>
      <c r="U41" s="49" t="s">
        <v>1107</v>
      </c>
      <c r="V41" s="15" t="s">
        <v>1108</v>
      </c>
      <c r="W41" s="11"/>
      <c r="X41" s="16" t="s">
        <v>27</v>
      </c>
      <c r="Y41" s="7"/>
      <c r="Z41" s="14" t="s">
        <v>1109</v>
      </c>
      <c r="AA41" s="15" t="s">
        <v>1110</v>
      </c>
      <c r="AB41" s="11"/>
      <c r="AC41" s="16" t="s">
        <v>27</v>
      </c>
      <c r="AD41" s="7"/>
      <c r="AI41" s="7"/>
      <c r="AJ41" s="14"/>
      <c r="AK41" s="44"/>
      <c r="AL41" s="29"/>
      <c r="AM41" s="26"/>
      <c r="AN41" s="7"/>
      <c r="AO41" s="14" t="s">
        <v>1111</v>
      </c>
      <c r="AP41" s="15" t="s">
        <v>1112</v>
      </c>
      <c r="AQ41" s="44"/>
      <c r="AR41" s="16" t="s">
        <v>27</v>
      </c>
      <c r="AS41" s="7"/>
      <c r="AT41" s="14" t="s">
        <v>1113</v>
      </c>
      <c r="AU41" s="15" t="s">
        <v>1114</v>
      </c>
      <c r="AV41" s="44"/>
      <c r="AW41" s="16" t="s">
        <v>27</v>
      </c>
      <c r="AX41" s="7"/>
      <c r="AY41" s="14" t="s">
        <v>1115</v>
      </c>
      <c r="AZ41" s="18" t="s">
        <v>1116</v>
      </c>
      <c r="BA41" s="19"/>
      <c r="BB41" s="16" t="s">
        <v>27</v>
      </c>
      <c r="BC41" s="7"/>
      <c r="BD41" s="14" t="s">
        <v>1117</v>
      </c>
      <c r="BE41" s="15" t="s">
        <v>1118</v>
      </c>
      <c r="BF41" s="11"/>
      <c r="BG41" s="16" t="s">
        <v>27</v>
      </c>
      <c r="BH41" s="7"/>
      <c r="BI41" s="14" t="s">
        <v>1119</v>
      </c>
      <c r="BJ41" s="15" t="s">
        <v>1120</v>
      </c>
      <c r="BK41" s="44"/>
      <c r="BL41" s="16" t="s">
        <v>21</v>
      </c>
      <c r="BM41" s="7"/>
      <c r="BN41" s="7"/>
      <c r="BO41" s="7"/>
      <c r="BP41" s="7"/>
      <c r="BQ41" s="7"/>
      <c r="BR41" s="7"/>
      <c r="BS41" s="7"/>
      <c r="BT41" s="7"/>
      <c r="BU41" s="7"/>
      <c r="BV41" s="7"/>
      <c r="BW41" s="7"/>
      <c r="BX41" s="7"/>
      <c r="BY41" s="7"/>
      <c r="BZ41" s="41"/>
      <c r="CA41" s="7"/>
      <c r="CB41" s="7"/>
      <c r="CC41" s="7"/>
      <c r="CD41" s="7"/>
      <c r="CE41" s="7"/>
      <c r="CF41" s="7"/>
    </row>
    <row r="42">
      <c r="A42" s="14" t="s">
        <v>1121</v>
      </c>
      <c r="B42" s="15" t="s">
        <v>1122</v>
      </c>
      <c r="C42" s="11"/>
      <c r="D42" s="26" t="s">
        <v>27</v>
      </c>
      <c r="E42" s="7"/>
      <c r="F42" s="14" t="s">
        <v>1123</v>
      </c>
      <c r="G42" s="15" t="s">
        <v>1124</v>
      </c>
      <c r="H42" s="11"/>
      <c r="I42" s="16" t="s">
        <v>27</v>
      </c>
      <c r="J42" s="7"/>
      <c r="K42" s="14"/>
      <c r="L42" s="11"/>
      <c r="M42" s="19"/>
      <c r="N42" s="16"/>
      <c r="O42" s="7"/>
      <c r="P42" s="14" t="s">
        <v>1125</v>
      </c>
      <c r="Q42" s="15" t="s">
        <v>1126</v>
      </c>
      <c r="R42" s="7"/>
      <c r="S42" s="16" t="s">
        <v>27</v>
      </c>
      <c r="T42" s="7"/>
      <c r="U42" s="14" t="s">
        <v>1127</v>
      </c>
      <c r="V42" s="15" t="s">
        <v>1128</v>
      </c>
      <c r="W42" s="11"/>
      <c r="X42" s="16" t="s">
        <v>27</v>
      </c>
      <c r="Y42" s="7"/>
      <c r="Z42" s="14" t="s">
        <v>1129</v>
      </c>
      <c r="AA42" s="15" t="s">
        <v>1130</v>
      </c>
      <c r="AB42" s="11"/>
      <c r="AC42" s="16" t="s">
        <v>27</v>
      </c>
      <c r="AD42" s="7"/>
      <c r="AE42" s="14" t="s">
        <v>1131</v>
      </c>
      <c r="AF42" s="11" t="s">
        <v>1132</v>
      </c>
      <c r="AG42" s="19"/>
      <c r="AH42" s="16"/>
      <c r="AI42" s="7"/>
      <c r="AJ42" s="14"/>
      <c r="AK42" s="44"/>
      <c r="AL42" s="29"/>
      <c r="AM42" s="26"/>
      <c r="AN42" s="7"/>
      <c r="AO42" s="14" t="s">
        <v>1133</v>
      </c>
      <c r="AP42" s="15" t="s">
        <v>1134</v>
      </c>
      <c r="AQ42" s="44" t="s">
        <v>1135</v>
      </c>
      <c r="AR42" s="16" t="s">
        <v>27</v>
      </c>
      <c r="AS42" s="7"/>
      <c r="AT42" s="14" t="s">
        <v>1136</v>
      </c>
      <c r="AU42" s="15" t="s">
        <v>1137</v>
      </c>
      <c r="AV42" s="44"/>
      <c r="AW42" s="16" t="s">
        <v>27</v>
      </c>
      <c r="AX42" s="7"/>
      <c r="AY42" s="28" t="s">
        <v>1138</v>
      </c>
      <c r="AZ42" s="18" t="s">
        <v>1139</v>
      </c>
      <c r="BA42" s="19"/>
      <c r="BB42" s="16" t="s">
        <v>27</v>
      </c>
      <c r="BC42" s="7"/>
      <c r="BD42" s="14" t="s">
        <v>1140</v>
      </c>
      <c r="BE42" s="15" t="s">
        <v>1141</v>
      </c>
      <c r="BF42" s="11"/>
      <c r="BG42" s="16" t="s">
        <v>27</v>
      </c>
      <c r="BH42" s="7"/>
      <c r="BI42" s="14" t="s">
        <v>1142</v>
      </c>
      <c r="BJ42" s="15" t="s">
        <v>1143</v>
      </c>
      <c r="BK42" s="44" t="s">
        <v>1144</v>
      </c>
      <c r="BL42" s="16" t="s">
        <v>27</v>
      </c>
      <c r="BM42" s="7"/>
      <c r="BN42" s="7"/>
      <c r="BO42" s="7"/>
      <c r="BP42" s="7"/>
      <c r="BQ42" s="7"/>
      <c r="BR42" s="7"/>
      <c r="BS42" s="7"/>
      <c r="BT42" s="7"/>
      <c r="BU42" s="7"/>
      <c r="BV42" s="7"/>
      <c r="BW42" s="7"/>
      <c r="BX42" s="7"/>
      <c r="BY42" s="7"/>
      <c r="BZ42" s="41"/>
      <c r="CA42" s="7"/>
      <c r="CB42" s="7"/>
      <c r="CC42" s="7"/>
      <c r="CD42" s="7"/>
      <c r="CE42" s="7"/>
      <c r="CF42" s="7"/>
    </row>
    <row r="43">
      <c r="A43" s="14" t="s">
        <v>1145</v>
      </c>
      <c r="B43" s="15" t="s">
        <v>1146</v>
      </c>
      <c r="C43" s="11" t="s">
        <v>1147</v>
      </c>
      <c r="D43" s="26" t="s">
        <v>27</v>
      </c>
      <c r="E43" s="7"/>
      <c r="F43" s="14" t="s">
        <v>1148</v>
      </c>
      <c r="G43" s="15" t="s">
        <v>1149</v>
      </c>
      <c r="H43" s="11"/>
      <c r="I43" s="16" t="s">
        <v>27</v>
      </c>
      <c r="J43" s="7"/>
      <c r="K43" s="14" t="s">
        <v>1150</v>
      </c>
      <c r="L43" s="11"/>
      <c r="M43" s="19"/>
      <c r="N43" s="16" t="s">
        <v>33</v>
      </c>
      <c r="O43" s="7"/>
      <c r="P43" s="14" t="s">
        <v>1151</v>
      </c>
      <c r="Q43" s="15" t="s">
        <v>1152</v>
      </c>
      <c r="R43" s="7"/>
      <c r="S43" s="16" t="s">
        <v>27</v>
      </c>
      <c r="T43" s="7"/>
      <c r="U43" s="14" t="s">
        <v>1153</v>
      </c>
      <c r="V43" s="15" t="s">
        <v>1154</v>
      </c>
      <c r="W43" s="11"/>
      <c r="X43" s="16" t="s">
        <v>27</v>
      </c>
      <c r="Y43" s="7"/>
      <c r="Z43" s="14" t="s">
        <v>1155</v>
      </c>
      <c r="AA43" s="15" t="s">
        <v>1156</v>
      </c>
      <c r="AB43" s="11"/>
      <c r="AC43" s="16" t="s">
        <v>27</v>
      </c>
      <c r="AD43" s="7"/>
      <c r="AE43" s="14" t="s">
        <v>273</v>
      </c>
      <c r="AF43" s="18" t="s">
        <v>1157</v>
      </c>
      <c r="AG43" s="19"/>
      <c r="AH43" s="16"/>
      <c r="AI43" s="7"/>
      <c r="AJ43" s="14"/>
      <c r="AK43" s="44"/>
      <c r="AL43" s="29"/>
      <c r="AM43" s="26"/>
      <c r="AN43" s="7"/>
      <c r="AO43" s="14" t="s">
        <v>1158</v>
      </c>
      <c r="AP43" s="15" t="s">
        <v>1159</v>
      </c>
      <c r="AQ43" s="44" t="s">
        <v>1160</v>
      </c>
      <c r="AR43" s="16" t="s">
        <v>27</v>
      </c>
      <c r="AS43" s="7"/>
      <c r="AT43" s="14" t="s">
        <v>1161</v>
      </c>
      <c r="AU43" s="15" t="s">
        <v>1162</v>
      </c>
      <c r="AV43" s="44"/>
      <c r="AW43" s="16" t="s">
        <v>33</v>
      </c>
      <c r="AX43" s="7"/>
      <c r="AY43" s="14" t="s">
        <v>1163</v>
      </c>
      <c r="AZ43" s="18" t="s">
        <v>1164</v>
      </c>
      <c r="BA43" s="19"/>
      <c r="BB43" s="16" t="s">
        <v>21</v>
      </c>
      <c r="BC43" s="7"/>
      <c r="BD43" s="14" t="s">
        <v>1165</v>
      </c>
      <c r="BE43" s="15" t="s">
        <v>1166</v>
      </c>
      <c r="BF43" s="11"/>
      <c r="BG43" s="16" t="s">
        <v>27</v>
      </c>
      <c r="BH43" s="7"/>
      <c r="BI43" s="14" t="s">
        <v>1167</v>
      </c>
      <c r="BJ43" s="15" t="s">
        <v>1168</v>
      </c>
      <c r="BK43" s="44"/>
      <c r="BL43" s="16" t="s">
        <v>27</v>
      </c>
      <c r="BM43" s="7"/>
      <c r="BN43" s="7"/>
      <c r="BO43" s="7"/>
      <c r="BP43" s="7"/>
      <c r="BQ43" s="7"/>
      <c r="BR43" s="7"/>
      <c r="BS43" s="7"/>
      <c r="BT43" s="7"/>
      <c r="BU43" s="7"/>
      <c r="BV43" s="7"/>
      <c r="BW43" s="7"/>
      <c r="BX43" s="7"/>
      <c r="BY43" s="7"/>
      <c r="BZ43" s="41"/>
      <c r="CA43" s="7"/>
      <c r="CB43" s="7"/>
      <c r="CC43" s="7"/>
      <c r="CD43" s="7"/>
      <c r="CE43" s="7"/>
      <c r="CF43" s="7"/>
    </row>
    <row r="44">
      <c r="A44" s="14" t="s">
        <v>1169</v>
      </c>
      <c r="B44" s="15" t="s">
        <v>1170</v>
      </c>
      <c r="C44" s="11"/>
      <c r="D44" s="26" t="s">
        <v>27</v>
      </c>
      <c r="E44" s="7"/>
      <c r="F44" s="14" t="s">
        <v>1171</v>
      </c>
      <c r="G44" s="15" t="s">
        <v>1172</v>
      </c>
      <c r="H44" s="11"/>
      <c r="I44" s="16" t="s">
        <v>27</v>
      </c>
      <c r="J44" s="7"/>
      <c r="K44" s="14" t="s">
        <v>1173</v>
      </c>
      <c r="L44" s="11"/>
      <c r="M44" s="19"/>
      <c r="N44" s="16"/>
      <c r="O44" s="7"/>
      <c r="P44" s="14" t="s">
        <v>1174</v>
      </c>
      <c r="Q44" s="15" t="s">
        <v>1175</v>
      </c>
      <c r="R44" s="7"/>
      <c r="S44" s="16" t="s">
        <v>27</v>
      </c>
      <c r="T44" s="7"/>
      <c r="U44" s="14" t="s">
        <v>1176</v>
      </c>
      <c r="V44" s="15" t="s">
        <v>1177</v>
      </c>
      <c r="W44" s="11" t="s">
        <v>1178</v>
      </c>
      <c r="X44" s="16" t="s">
        <v>21</v>
      </c>
      <c r="Y44" s="7"/>
      <c r="Z44" s="14" t="s">
        <v>1179</v>
      </c>
      <c r="AA44" s="15" t="s">
        <v>1180</v>
      </c>
      <c r="AB44" s="11"/>
      <c r="AC44" s="16" t="s">
        <v>27</v>
      </c>
      <c r="AD44" s="7"/>
      <c r="AE44" s="14" t="s">
        <v>1181</v>
      </c>
      <c r="AF44" s="18" t="s">
        <v>1182</v>
      </c>
      <c r="AG44" s="19"/>
      <c r="AH44" s="16"/>
      <c r="AI44" s="7"/>
      <c r="AJ44" s="14"/>
      <c r="AK44" s="44"/>
      <c r="AL44" s="29"/>
      <c r="AM44" s="26"/>
      <c r="AN44" s="7"/>
      <c r="AO44" s="14" t="s">
        <v>1183</v>
      </c>
      <c r="AP44" s="15" t="s">
        <v>1184</v>
      </c>
      <c r="AQ44" s="44"/>
      <c r="AR44" s="16" t="s">
        <v>27</v>
      </c>
      <c r="AS44" s="7"/>
      <c r="AT44" s="14" t="s">
        <v>1185</v>
      </c>
      <c r="AU44" s="15" t="s">
        <v>1186</v>
      </c>
      <c r="AV44" s="44"/>
      <c r="AW44" s="16" t="s">
        <v>21</v>
      </c>
      <c r="AX44" s="7"/>
      <c r="AY44" s="14" t="s">
        <v>1187</v>
      </c>
      <c r="AZ44" s="18" t="s">
        <v>1188</v>
      </c>
      <c r="BA44" s="19"/>
      <c r="BB44" s="16" t="s">
        <v>27</v>
      </c>
      <c r="BC44" s="7"/>
      <c r="BD44" s="14" t="s">
        <v>1189</v>
      </c>
      <c r="BE44" s="15" t="s">
        <v>1190</v>
      </c>
      <c r="BF44" s="11"/>
      <c r="BG44" s="16" t="s">
        <v>27</v>
      </c>
      <c r="BH44" s="7"/>
      <c r="BI44" s="14" t="s">
        <v>1191</v>
      </c>
      <c r="BJ44" s="15" t="s">
        <v>1192</v>
      </c>
      <c r="BK44" s="44"/>
      <c r="BL44" s="16" t="s">
        <v>27</v>
      </c>
      <c r="BM44" s="7"/>
      <c r="BN44" s="7"/>
      <c r="BO44" s="7"/>
      <c r="BP44" s="7"/>
      <c r="BQ44" s="7"/>
      <c r="BR44" s="7"/>
      <c r="BS44" s="7"/>
      <c r="BT44" s="7"/>
      <c r="BU44" s="7"/>
      <c r="BV44" s="7"/>
      <c r="BW44" s="7"/>
      <c r="BX44" s="7"/>
      <c r="BY44" s="7"/>
      <c r="BZ44" s="41"/>
      <c r="CA44" s="7"/>
      <c r="CB44" s="7"/>
      <c r="CC44" s="7"/>
      <c r="CD44" s="7"/>
      <c r="CE44" s="7"/>
      <c r="CF44" s="7"/>
    </row>
    <row r="45">
      <c r="A45" s="14" t="s">
        <v>1193</v>
      </c>
      <c r="B45" s="15" t="s">
        <v>1194</v>
      </c>
      <c r="C45" s="11"/>
      <c r="D45" s="26" t="s">
        <v>33</v>
      </c>
      <c r="E45" s="7"/>
      <c r="F45" s="14" t="s">
        <v>1195</v>
      </c>
      <c r="G45" s="15" t="s">
        <v>1196</v>
      </c>
      <c r="H45" s="11"/>
      <c r="I45" s="16" t="s">
        <v>27</v>
      </c>
      <c r="J45" s="7"/>
      <c r="K45" s="14" t="s">
        <v>1131</v>
      </c>
      <c r="L45" s="11"/>
      <c r="M45" s="19"/>
      <c r="N45" s="16"/>
      <c r="O45" s="7"/>
      <c r="P45" s="14" t="s">
        <v>1197</v>
      </c>
      <c r="Q45" s="15" t="s">
        <v>1198</v>
      </c>
      <c r="R45" s="7"/>
      <c r="S45" s="16" t="s">
        <v>27</v>
      </c>
      <c r="T45" s="7"/>
      <c r="U45" s="14" t="s">
        <v>1199</v>
      </c>
      <c r="V45" s="15" t="s">
        <v>1200</v>
      </c>
      <c r="W45" s="11" t="s">
        <v>1201</v>
      </c>
      <c r="X45" s="16" t="s">
        <v>33</v>
      </c>
      <c r="Y45" s="7"/>
      <c r="Z45" s="14" t="s">
        <v>1202</v>
      </c>
      <c r="AA45" s="15" t="s">
        <v>1203</v>
      </c>
      <c r="AB45" s="11"/>
      <c r="AC45" s="16" t="s">
        <v>27</v>
      </c>
      <c r="AD45" s="7"/>
      <c r="AE45" s="14" t="s">
        <v>592</v>
      </c>
      <c r="AF45" s="18" t="s">
        <v>1204</v>
      </c>
      <c r="AG45" s="19"/>
      <c r="AH45" s="16"/>
      <c r="AI45" s="7"/>
      <c r="AJ45" s="14"/>
      <c r="AK45" s="44"/>
      <c r="AL45" s="29"/>
      <c r="AM45" s="26"/>
      <c r="AN45" s="7"/>
      <c r="AO45" s="14" t="s">
        <v>1205</v>
      </c>
      <c r="AP45" s="15" t="s">
        <v>1206</v>
      </c>
      <c r="AQ45" s="44" t="s">
        <v>1207</v>
      </c>
      <c r="AR45" s="16" t="s">
        <v>27</v>
      </c>
      <c r="AS45" s="7"/>
      <c r="AT45" s="14" t="s">
        <v>1208</v>
      </c>
      <c r="AU45" s="15" t="s">
        <v>1209</v>
      </c>
      <c r="AV45" s="44"/>
      <c r="AW45" s="16" t="s">
        <v>27</v>
      </c>
      <c r="AX45" s="7"/>
      <c r="AY45" s="14" t="s">
        <v>1210</v>
      </c>
      <c r="AZ45" s="18" t="s">
        <v>1211</v>
      </c>
      <c r="BA45" s="19"/>
      <c r="BB45" s="16" t="s">
        <v>33</v>
      </c>
      <c r="BC45" s="7"/>
      <c r="BD45" s="14" t="s">
        <v>1212</v>
      </c>
      <c r="BE45" s="15" t="s">
        <v>1213</v>
      </c>
      <c r="BF45" s="11"/>
      <c r="BG45" s="16" t="s">
        <v>27</v>
      </c>
      <c r="BH45" s="7"/>
      <c r="BI45" s="14" t="s">
        <v>1214</v>
      </c>
      <c r="BJ45" s="15" t="s">
        <v>1215</v>
      </c>
      <c r="BK45" s="44"/>
      <c r="BL45" s="16" t="s">
        <v>27</v>
      </c>
      <c r="BM45" s="7"/>
      <c r="BN45" s="7"/>
      <c r="BO45" s="7"/>
      <c r="BP45" s="7"/>
      <c r="BQ45" s="7"/>
      <c r="BR45" s="7"/>
      <c r="BS45" s="7"/>
      <c r="BT45" s="7"/>
      <c r="BU45" s="7"/>
      <c r="BV45" s="7"/>
      <c r="BW45" s="7"/>
      <c r="BX45" s="7"/>
      <c r="BY45" s="7"/>
      <c r="BZ45" s="41"/>
      <c r="CA45" s="7"/>
      <c r="CB45" s="7"/>
      <c r="CC45" s="7"/>
      <c r="CD45" s="7"/>
      <c r="CE45" s="7"/>
      <c r="CF45" s="7"/>
    </row>
    <row r="46">
      <c r="A46" s="14" t="s">
        <v>1216</v>
      </c>
      <c r="B46" s="15" t="s">
        <v>1217</v>
      </c>
      <c r="C46" s="11"/>
      <c r="D46" s="26" t="s">
        <v>27</v>
      </c>
      <c r="E46" s="7"/>
      <c r="F46" s="14" t="s">
        <v>1218</v>
      </c>
      <c r="G46" s="15" t="s">
        <v>1219</v>
      </c>
      <c r="H46" s="11"/>
      <c r="I46" s="16" t="s">
        <v>27</v>
      </c>
      <c r="J46" s="7"/>
      <c r="K46" s="14"/>
      <c r="L46" s="11"/>
      <c r="M46" s="19"/>
      <c r="N46" s="16"/>
      <c r="O46" s="7"/>
      <c r="P46" s="14" t="s">
        <v>1220</v>
      </c>
      <c r="Q46" s="15" t="s">
        <v>1221</v>
      </c>
      <c r="R46" s="7"/>
      <c r="S46" s="16" t="s">
        <v>27</v>
      </c>
      <c r="T46" s="7"/>
      <c r="U46" s="14"/>
      <c r="V46" s="44"/>
      <c r="W46" s="11"/>
      <c r="X46" s="16"/>
      <c r="Y46" s="7"/>
      <c r="Z46" s="14" t="s">
        <v>1222</v>
      </c>
      <c r="AA46" s="15" t="s">
        <v>1223</v>
      </c>
      <c r="AB46" s="11"/>
      <c r="AC46" s="16" t="s">
        <v>27</v>
      </c>
      <c r="AD46" s="7"/>
      <c r="AE46" s="14" t="s">
        <v>301</v>
      </c>
      <c r="AF46" s="18" t="s">
        <v>1224</v>
      </c>
      <c r="AG46" s="19"/>
      <c r="AH46" s="16"/>
      <c r="AI46" s="7"/>
      <c r="AJ46" s="14"/>
      <c r="AK46" s="44"/>
      <c r="AL46" s="29"/>
      <c r="AM46" s="26"/>
      <c r="AN46" s="7"/>
      <c r="AO46" s="14" t="s">
        <v>1225</v>
      </c>
      <c r="AP46" s="15" t="s">
        <v>1226</v>
      </c>
      <c r="AQ46" s="44"/>
      <c r="AR46" s="16" t="s">
        <v>27</v>
      </c>
      <c r="AS46" s="7"/>
      <c r="AT46" s="14" t="s">
        <v>1227</v>
      </c>
      <c r="AU46" s="15" t="s">
        <v>1228</v>
      </c>
      <c r="AV46" s="44"/>
      <c r="AW46" s="16" t="s">
        <v>21</v>
      </c>
      <c r="AX46" s="7"/>
      <c r="AY46" s="14" t="s">
        <v>1229</v>
      </c>
      <c r="AZ46" s="18" t="s">
        <v>1230</v>
      </c>
      <c r="BA46" s="19"/>
      <c r="BB46" s="16" t="s">
        <v>27</v>
      </c>
      <c r="BC46" s="7"/>
      <c r="BD46" s="14" t="s">
        <v>1231</v>
      </c>
      <c r="BE46" s="15" t="s">
        <v>1232</v>
      </c>
      <c r="BF46" s="11"/>
      <c r="BG46" s="16" t="s">
        <v>27</v>
      </c>
      <c r="BH46" s="7"/>
      <c r="BI46" s="14" t="s">
        <v>1233</v>
      </c>
      <c r="BJ46" s="15" t="s">
        <v>1234</v>
      </c>
      <c r="BK46" s="44" t="s">
        <v>1235</v>
      </c>
      <c r="BL46" s="16" t="s">
        <v>27</v>
      </c>
      <c r="BM46" s="7"/>
      <c r="BN46" s="7"/>
      <c r="BO46" s="7"/>
      <c r="BP46" s="7"/>
      <c r="BQ46" s="7"/>
      <c r="BR46" s="7"/>
      <c r="BS46" s="7"/>
      <c r="BT46" s="7"/>
      <c r="BU46" s="7"/>
      <c r="BV46" s="7"/>
      <c r="BW46" s="7"/>
      <c r="BX46" s="7"/>
      <c r="BY46" s="7"/>
      <c r="BZ46" s="41"/>
      <c r="CA46" s="7"/>
      <c r="CB46" s="7"/>
      <c r="CC46" s="7"/>
      <c r="CD46" s="7"/>
      <c r="CE46" s="7"/>
      <c r="CF46" s="7"/>
    </row>
    <row r="47">
      <c r="A47" s="14" t="s">
        <v>1236</v>
      </c>
      <c r="B47" s="15" t="s">
        <v>1237</v>
      </c>
      <c r="C47" s="11"/>
      <c r="D47" s="26" t="s">
        <v>27</v>
      </c>
      <c r="E47" s="7"/>
      <c r="F47" s="14" t="s">
        <v>1238</v>
      </c>
      <c r="G47" s="15" t="s">
        <v>1239</v>
      </c>
      <c r="H47" s="11"/>
      <c r="I47" s="16" t="s">
        <v>33</v>
      </c>
      <c r="J47" s="7"/>
      <c r="K47" s="14" t="s">
        <v>1240</v>
      </c>
      <c r="L47" s="18" t="s">
        <v>1241</v>
      </c>
      <c r="M47" s="19"/>
      <c r="N47" s="16" t="s">
        <v>33</v>
      </c>
      <c r="O47" s="7"/>
      <c r="P47" s="14" t="s">
        <v>1242</v>
      </c>
      <c r="Q47" s="15" t="s">
        <v>1243</v>
      </c>
      <c r="R47" s="7"/>
      <c r="S47" s="16" t="s">
        <v>27</v>
      </c>
      <c r="T47" s="7"/>
      <c r="U47" s="14"/>
      <c r="V47" s="44"/>
      <c r="W47" s="11"/>
      <c r="X47" s="16"/>
      <c r="Y47" s="7"/>
      <c r="Z47" s="14" t="s">
        <v>1244</v>
      </c>
      <c r="AA47" s="15" t="s">
        <v>1245</v>
      </c>
      <c r="AB47" s="11" t="s">
        <v>243</v>
      </c>
      <c r="AC47" s="16" t="s">
        <v>27</v>
      </c>
      <c r="AD47" s="7"/>
      <c r="AE47" s="14" t="s">
        <v>1246</v>
      </c>
      <c r="AF47" s="18" t="s">
        <v>1247</v>
      </c>
      <c r="AG47" s="19"/>
      <c r="AH47" s="16" t="s">
        <v>33</v>
      </c>
      <c r="AI47" s="7"/>
      <c r="AJ47" s="14"/>
      <c r="AK47" s="44"/>
      <c r="AL47" s="29"/>
      <c r="AM47" s="26"/>
      <c r="AN47" s="7"/>
      <c r="AO47" s="14" t="s">
        <v>1248</v>
      </c>
      <c r="AP47" s="15" t="s">
        <v>1249</v>
      </c>
      <c r="AQ47" s="44"/>
      <c r="AR47" s="16" t="s">
        <v>27</v>
      </c>
      <c r="AS47" s="7"/>
      <c r="AT47" s="14" t="s">
        <v>1250</v>
      </c>
      <c r="AU47" s="15" t="s">
        <v>1251</v>
      </c>
      <c r="AV47" s="44"/>
      <c r="AW47" s="16" t="s">
        <v>27</v>
      </c>
      <c r="AX47" s="7"/>
      <c r="AY47" s="14" t="s">
        <v>1252</v>
      </c>
      <c r="AZ47" s="18" t="s">
        <v>1253</v>
      </c>
      <c r="BA47" s="19"/>
      <c r="BB47" s="16" t="s">
        <v>27</v>
      </c>
      <c r="BC47" s="7"/>
      <c r="BD47" s="14" t="s">
        <v>1254</v>
      </c>
      <c r="BE47" s="15" t="s">
        <v>1255</v>
      </c>
      <c r="BF47" s="11" t="s">
        <v>1256</v>
      </c>
      <c r="BG47" s="16" t="s">
        <v>27</v>
      </c>
      <c r="BH47" s="7"/>
      <c r="BI47" s="14" t="s">
        <v>1257</v>
      </c>
      <c r="BJ47" s="15" t="s">
        <v>1258</v>
      </c>
      <c r="BK47" s="44"/>
      <c r="BL47" s="16" t="s">
        <v>27</v>
      </c>
      <c r="BM47" s="7"/>
      <c r="BN47" s="7"/>
      <c r="BO47" s="7"/>
      <c r="BP47" s="7"/>
      <c r="BQ47" s="7"/>
      <c r="BR47" s="7"/>
      <c r="BS47" s="7"/>
      <c r="BT47" s="7"/>
      <c r="BU47" s="7"/>
      <c r="BV47" s="7"/>
      <c r="BW47" s="7"/>
      <c r="BX47" s="7"/>
      <c r="BY47" s="7"/>
      <c r="BZ47" s="41"/>
      <c r="CA47" s="7"/>
      <c r="CB47" s="7"/>
      <c r="CC47" s="7"/>
      <c r="CD47" s="7"/>
      <c r="CE47" s="7"/>
      <c r="CF47" s="7"/>
    </row>
    <row r="48">
      <c r="A48" s="14" t="s">
        <v>1259</v>
      </c>
      <c r="B48" s="15" t="s">
        <v>1260</v>
      </c>
      <c r="C48" s="11"/>
      <c r="D48" s="26" t="s">
        <v>27</v>
      </c>
      <c r="E48" s="7"/>
      <c r="F48" s="14" t="s">
        <v>1261</v>
      </c>
      <c r="G48" s="15" t="s">
        <v>1262</v>
      </c>
      <c r="H48" s="11"/>
      <c r="I48" s="16" t="s">
        <v>27</v>
      </c>
      <c r="J48" s="7"/>
      <c r="K48" s="14"/>
      <c r="L48" s="11"/>
      <c r="M48" s="19"/>
      <c r="N48" s="16"/>
      <c r="O48" s="7"/>
      <c r="P48" s="14" t="s">
        <v>1263</v>
      </c>
      <c r="Q48" s="15" t="s">
        <v>1264</v>
      </c>
      <c r="R48" s="7"/>
      <c r="S48" s="16" t="s">
        <v>27</v>
      </c>
      <c r="T48" s="7"/>
      <c r="U48" s="14"/>
      <c r="V48" s="44"/>
      <c r="W48" s="11"/>
      <c r="X48" s="16"/>
      <c r="Y48" s="7"/>
      <c r="Z48" s="14" t="s">
        <v>1265</v>
      </c>
      <c r="AA48" s="15" t="s">
        <v>1266</v>
      </c>
      <c r="AB48" s="11" t="s">
        <v>243</v>
      </c>
      <c r="AC48" s="16" t="s">
        <v>27</v>
      </c>
      <c r="AD48" s="7"/>
      <c r="AE48" s="14" t="s">
        <v>1267</v>
      </c>
      <c r="AF48" s="11"/>
      <c r="AG48" s="19"/>
      <c r="AH48" s="16" t="s">
        <v>33</v>
      </c>
      <c r="AI48" s="7"/>
      <c r="AJ48" s="14"/>
      <c r="AK48" s="44"/>
      <c r="AL48" s="29"/>
      <c r="AM48" s="26"/>
      <c r="AN48" s="7"/>
      <c r="AO48" s="14" t="s">
        <v>1268</v>
      </c>
      <c r="AP48" s="15" t="s">
        <v>1269</v>
      </c>
      <c r="AQ48" s="44"/>
      <c r="AR48" s="16" t="s">
        <v>27</v>
      </c>
      <c r="AS48" s="7"/>
      <c r="AT48" s="14" t="s">
        <v>1270</v>
      </c>
      <c r="AU48" s="15" t="s">
        <v>1271</v>
      </c>
      <c r="AV48" s="44"/>
      <c r="AW48" s="16" t="s">
        <v>27</v>
      </c>
      <c r="AX48" s="7"/>
      <c r="AY48" s="14" t="s">
        <v>1272</v>
      </c>
      <c r="AZ48" s="18" t="s">
        <v>1273</v>
      </c>
      <c r="BA48" s="19"/>
      <c r="BB48" s="16" t="s">
        <v>33</v>
      </c>
      <c r="BC48" s="7"/>
      <c r="BD48" s="14" t="s">
        <v>1274</v>
      </c>
      <c r="BE48" s="15" t="s">
        <v>1275</v>
      </c>
      <c r="BF48" s="11" t="s">
        <v>1276</v>
      </c>
      <c r="BG48" s="16" t="s">
        <v>27</v>
      </c>
      <c r="BH48" s="7"/>
      <c r="BI48" s="14" t="s">
        <v>1277</v>
      </c>
      <c r="BJ48" s="15" t="s">
        <v>1278</v>
      </c>
      <c r="BK48" s="44"/>
      <c r="BL48" s="16" t="s">
        <v>27</v>
      </c>
      <c r="BM48" s="7"/>
      <c r="BN48" s="7"/>
      <c r="BO48" s="7"/>
      <c r="BP48" s="7"/>
      <c r="BQ48" s="7"/>
      <c r="BR48" s="7"/>
      <c r="BS48" s="7"/>
      <c r="BT48" s="7"/>
      <c r="BU48" s="7"/>
      <c r="BV48" s="7"/>
      <c r="BW48" s="7"/>
      <c r="BX48" s="7"/>
      <c r="BY48" s="7"/>
      <c r="BZ48" s="41"/>
      <c r="CA48" s="7"/>
      <c r="CB48" s="7"/>
      <c r="CC48" s="7"/>
      <c r="CD48" s="7"/>
      <c r="CE48" s="7"/>
      <c r="CF48" s="7"/>
    </row>
    <row r="49">
      <c r="A49" s="14" t="s">
        <v>1279</v>
      </c>
      <c r="B49" s="15" t="s">
        <v>1280</v>
      </c>
      <c r="C49" s="11"/>
      <c r="D49" s="26" t="s">
        <v>27</v>
      </c>
      <c r="E49" s="7"/>
      <c r="F49" s="14" t="s">
        <v>1281</v>
      </c>
      <c r="G49" s="15" t="s">
        <v>1282</v>
      </c>
      <c r="H49" s="11"/>
      <c r="I49" s="16" t="s">
        <v>27</v>
      </c>
      <c r="J49" s="7"/>
      <c r="K49" s="14"/>
      <c r="L49" s="11"/>
      <c r="M49" s="19"/>
      <c r="N49" s="16"/>
      <c r="O49" s="7"/>
      <c r="P49" s="14" t="s">
        <v>1283</v>
      </c>
      <c r="Q49" s="15" t="s">
        <v>1284</v>
      </c>
      <c r="R49" s="7"/>
      <c r="S49" s="16" t="s">
        <v>27</v>
      </c>
      <c r="T49" s="7"/>
      <c r="U49" s="14"/>
      <c r="V49" s="44"/>
      <c r="W49" s="11"/>
      <c r="X49" s="16"/>
      <c r="Y49" s="7"/>
      <c r="Z49" s="14" t="s">
        <v>1285</v>
      </c>
      <c r="AA49" s="15" t="s">
        <v>1286</v>
      </c>
      <c r="AB49" s="11"/>
      <c r="AC49" s="16" t="s">
        <v>27</v>
      </c>
      <c r="AD49" s="7"/>
      <c r="AE49" s="14" t="s">
        <v>1173</v>
      </c>
      <c r="AF49" s="11" t="s">
        <v>1132</v>
      </c>
      <c r="AG49" s="19"/>
      <c r="AH49" s="16" t="s">
        <v>33</v>
      </c>
      <c r="AI49" s="7"/>
      <c r="AJ49" s="14"/>
      <c r="AK49" s="44"/>
      <c r="AL49" s="29"/>
      <c r="AM49" s="26"/>
      <c r="AN49" s="7"/>
      <c r="AO49" s="14" t="s">
        <v>1287</v>
      </c>
      <c r="AP49" s="15" t="s">
        <v>1288</v>
      </c>
      <c r="AQ49" s="44" t="s">
        <v>1289</v>
      </c>
      <c r="AR49" s="16" t="s">
        <v>27</v>
      </c>
      <c r="AS49" s="7"/>
      <c r="AT49" s="14" t="s">
        <v>1290</v>
      </c>
      <c r="AU49" s="15" t="s">
        <v>1291</v>
      </c>
      <c r="AV49" s="44"/>
      <c r="AW49" s="16" t="s">
        <v>33</v>
      </c>
      <c r="AX49" s="7"/>
      <c r="AY49" s="14" t="s">
        <v>1292</v>
      </c>
      <c r="AZ49" s="18" t="s">
        <v>1293</v>
      </c>
      <c r="BA49" s="19"/>
      <c r="BB49" s="16" t="s">
        <v>33</v>
      </c>
      <c r="BC49" s="7"/>
      <c r="BD49" s="14" t="s">
        <v>1294</v>
      </c>
      <c r="BE49" s="15" t="s">
        <v>1295</v>
      </c>
      <c r="BF49" s="11"/>
      <c r="BG49" s="16" t="s">
        <v>27</v>
      </c>
      <c r="BH49" s="7"/>
      <c r="BI49" s="14" t="s">
        <v>1296</v>
      </c>
      <c r="BJ49" s="15" t="s">
        <v>1297</v>
      </c>
      <c r="BK49" s="44"/>
      <c r="BL49" s="16" t="s">
        <v>27</v>
      </c>
      <c r="BM49" s="7"/>
      <c r="BN49" s="7"/>
      <c r="BO49" s="7"/>
      <c r="BP49" s="7"/>
      <c r="BQ49" s="7"/>
      <c r="BR49" s="7"/>
      <c r="BS49" s="7"/>
      <c r="BT49" s="7"/>
      <c r="BU49" s="7"/>
      <c r="BV49" s="7"/>
      <c r="BW49" s="7"/>
      <c r="BX49" s="7"/>
      <c r="BY49" s="7"/>
      <c r="BZ49" s="41"/>
      <c r="CA49" s="7"/>
      <c r="CB49" s="7"/>
      <c r="CC49" s="7"/>
      <c r="CD49" s="7"/>
      <c r="CE49" s="7"/>
      <c r="CF49" s="7"/>
    </row>
    <row r="50">
      <c r="A50" s="14" t="s">
        <v>1298</v>
      </c>
      <c r="B50" s="15" t="s">
        <v>1299</v>
      </c>
      <c r="C50" s="11"/>
      <c r="D50" s="26" t="s">
        <v>27</v>
      </c>
      <c r="E50" s="7"/>
      <c r="F50" s="14" t="s">
        <v>1300</v>
      </c>
      <c r="G50" s="15" t="s">
        <v>1301</v>
      </c>
      <c r="H50" s="11"/>
      <c r="I50" s="16" t="s">
        <v>27</v>
      </c>
      <c r="J50" s="7"/>
      <c r="K50" s="14"/>
      <c r="L50" s="11"/>
      <c r="M50" s="19"/>
      <c r="N50" s="16"/>
      <c r="O50" s="7"/>
      <c r="P50" s="14" t="s">
        <v>1302</v>
      </c>
      <c r="Q50" s="15" t="s">
        <v>1303</v>
      </c>
      <c r="R50" s="7"/>
      <c r="S50" s="16" t="s">
        <v>27</v>
      </c>
      <c r="T50" s="7"/>
      <c r="U50" s="14"/>
      <c r="V50" s="44"/>
      <c r="W50" s="11"/>
      <c r="X50" s="16"/>
      <c r="Y50" s="7"/>
      <c r="Z50" s="14" t="s">
        <v>1304</v>
      </c>
      <c r="AA50" s="15" t="s">
        <v>1305</v>
      </c>
      <c r="AB50" s="11"/>
      <c r="AC50" s="16" t="s">
        <v>27</v>
      </c>
      <c r="AD50" s="7"/>
      <c r="AE50" s="14"/>
      <c r="AF50" s="11"/>
      <c r="AG50" s="19"/>
      <c r="AH50" s="16"/>
      <c r="AI50" s="7"/>
      <c r="AJ50" s="14"/>
      <c r="AK50" s="44"/>
      <c r="AL50" s="29"/>
      <c r="AM50" s="26"/>
      <c r="AN50" s="7"/>
      <c r="AO50" s="14" t="s">
        <v>1306</v>
      </c>
      <c r="AP50" s="15" t="s">
        <v>1307</v>
      </c>
      <c r="AQ50" s="44"/>
      <c r="AR50" s="16" t="s">
        <v>27</v>
      </c>
      <c r="AS50" s="7"/>
      <c r="AT50" s="14" t="s">
        <v>1308</v>
      </c>
      <c r="AU50" s="15" t="s">
        <v>1309</v>
      </c>
      <c r="AV50" s="44"/>
      <c r="AW50" s="16" t="s">
        <v>21</v>
      </c>
      <c r="AX50" s="7"/>
      <c r="AY50" s="14" t="s">
        <v>1310</v>
      </c>
      <c r="AZ50" s="18" t="s">
        <v>1311</v>
      </c>
      <c r="BA50" s="19"/>
      <c r="BB50" s="16" t="s">
        <v>27</v>
      </c>
      <c r="BC50" s="7"/>
      <c r="BD50" s="14" t="s">
        <v>1312</v>
      </c>
      <c r="BE50" s="15" t="s">
        <v>1313</v>
      </c>
      <c r="BF50" s="11" t="s">
        <v>1314</v>
      </c>
      <c r="BG50" s="16" t="s">
        <v>27</v>
      </c>
      <c r="BH50" s="7"/>
      <c r="BI50" s="14" t="s">
        <v>1315</v>
      </c>
      <c r="BJ50" s="15" t="s">
        <v>1316</v>
      </c>
      <c r="BK50" s="44"/>
      <c r="BL50" s="16" t="s">
        <v>27</v>
      </c>
      <c r="BM50" s="7"/>
      <c r="BN50" s="7"/>
      <c r="BO50" s="7"/>
      <c r="BP50" s="7"/>
      <c r="BQ50" s="7"/>
      <c r="BR50" s="7"/>
      <c r="BS50" s="7"/>
      <c r="BT50" s="7"/>
      <c r="BU50" s="7"/>
      <c r="BV50" s="7"/>
      <c r="BW50" s="7"/>
      <c r="BX50" s="7"/>
      <c r="BY50" s="7"/>
      <c r="BZ50" s="41"/>
      <c r="CA50" s="7"/>
      <c r="CB50" s="7"/>
      <c r="CC50" s="7"/>
      <c r="CD50" s="7"/>
      <c r="CE50" s="7"/>
      <c r="CF50" s="7"/>
    </row>
    <row r="51">
      <c r="A51" s="14" t="s">
        <v>1317</v>
      </c>
      <c r="B51" s="15" t="s">
        <v>1318</v>
      </c>
      <c r="C51" s="11" t="s">
        <v>1319</v>
      </c>
      <c r="D51" s="26" t="s">
        <v>27</v>
      </c>
      <c r="E51" s="7"/>
      <c r="F51" s="14" t="s">
        <v>1320</v>
      </c>
      <c r="G51" s="15" t="s">
        <v>1321</v>
      </c>
      <c r="H51" s="11"/>
      <c r="I51" s="16" t="s">
        <v>27</v>
      </c>
      <c r="J51" s="7"/>
      <c r="K51" s="14"/>
      <c r="L51" s="11"/>
      <c r="M51" s="19"/>
      <c r="N51" s="16"/>
      <c r="O51" s="7"/>
      <c r="P51" s="14" t="s">
        <v>1322</v>
      </c>
      <c r="Q51" s="15" t="s">
        <v>1323</v>
      </c>
      <c r="R51" s="7"/>
      <c r="S51" s="16" t="s">
        <v>27</v>
      </c>
      <c r="T51" s="7"/>
      <c r="U51" s="14"/>
      <c r="V51" s="44"/>
      <c r="W51" s="11"/>
      <c r="X51" s="16"/>
      <c r="Y51" s="7"/>
      <c r="Z51" s="14" t="s">
        <v>1324</v>
      </c>
      <c r="AA51" s="15" t="s">
        <v>1325</v>
      </c>
      <c r="AB51" s="11"/>
      <c r="AC51" s="16" t="s">
        <v>27</v>
      </c>
      <c r="AD51" s="7"/>
      <c r="AE51" s="14"/>
      <c r="AF51" s="11"/>
      <c r="AG51" s="19"/>
      <c r="AH51" s="16"/>
      <c r="AI51" s="7"/>
      <c r="AJ51" s="14"/>
      <c r="AK51" s="44"/>
      <c r="AL51" s="29"/>
      <c r="AM51" s="26"/>
      <c r="AN51" s="7"/>
      <c r="AO51" s="14" t="s">
        <v>1326</v>
      </c>
      <c r="AP51" s="15" t="s">
        <v>1327</v>
      </c>
      <c r="AQ51" s="44"/>
      <c r="AR51" s="16" t="s">
        <v>27</v>
      </c>
      <c r="AS51" s="7"/>
      <c r="AT51" s="14" t="s">
        <v>1328</v>
      </c>
      <c r="AU51" s="15" t="s">
        <v>1329</v>
      </c>
      <c r="AV51" s="44"/>
      <c r="AW51" s="16" t="s">
        <v>27</v>
      </c>
      <c r="AX51" s="7"/>
      <c r="AY51" s="14" t="s">
        <v>1330</v>
      </c>
      <c r="AZ51" s="18" t="s">
        <v>1331</v>
      </c>
      <c r="BA51" s="19"/>
      <c r="BB51" s="16" t="s">
        <v>27</v>
      </c>
      <c r="BC51" s="7"/>
      <c r="BD51" s="14" t="s">
        <v>1332</v>
      </c>
      <c r="BE51" s="15" t="s">
        <v>1333</v>
      </c>
      <c r="BF51" s="11"/>
      <c r="BG51" s="16" t="s">
        <v>33</v>
      </c>
      <c r="BH51" s="7"/>
      <c r="BI51" s="14" t="s">
        <v>1334</v>
      </c>
      <c r="BJ51" s="15" t="s">
        <v>1335</v>
      </c>
      <c r="BK51" s="44" t="s">
        <v>1336</v>
      </c>
      <c r="BL51" s="16" t="s">
        <v>27</v>
      </c>
      <c r="BM51" s="7"/>
      <c r="BN51" s="7"/>
      <c r="BO51" s="7"/>
      <c r="BP51" s="7"/>
      <c r="BQ51" s="7"/>
      <c r="BR51" s="7"/>
      <c r="BS51" s="7"/>
      <c r="BT51" s="7"/>
      <c r="BU51" s="7"/>
      <c r="BV51" s="7"/>
      <c r="BW51" s="7"/>
      <c r="BX51" s="7"/>
      <c r="BY51" s="7"/>
      <c r="BZ51" s="41"/>
      <c r="CA51" s="7"/>
      <c r="CB51" s="7"/>
      <c r="CC51" s="7"/>
      <c r="CD51" s="7"/>
      <c r="CE51" s="7"/>
      <c r="CF51" s="7"/>
    </row>
    <row r="52">
      <c r="A52" s="14" t="s">
        <v>1337</v>
      </c>
      <c r="B52" s="15" t="s">
        <v>1338</v>
      </c>
      <c r="C52" s="11"/>
      <c r="D52" s="26" t="s">
        <v>21</v>
      </c>
      <c r="E52" s="7"/>
      <c r="F52" s="14" t="s">
        <v>1339</v>
      </c>
      <c r="G52" s="15" t="s">
        <v>1340</v>
      </c>
      <c r="H52" s="11"/>
      <c r="I52" s="16" t="s">
        <v>27</v>
      </c>
      <c r="J52" s="7"/>
      <c r="K52" s="14"/>
      <c r="L52" s="11"/>
      <c r="M52" s="19"/>
      <c r="N52" s="16"/>
      <c r="O52" s="7"/>
      <c r="P52" s="14" t="s">
        <v>1341</v>
      </c>
      <c r="Q52" s="15" t="s">
        <v>1342</v>
      </c>
      <c r="R52" s="7"/>
      <c r="S52" s="16" t="s">
        <v>27</v>
      </c>
      <c r="T52" s="7"/>
      <c r="U52" s="14"/>
      <c r="V52" s="44"/>
      <c r="W52" s="11"/>
      <c r="X52" s="16"/>
      <c r="Y52" s="7"/>
      <c r="Z52" s="14" t="s">
        <v>1343</v>
      </c>
      <c r="AA52" s="15" t="s">
        <v>1344</v>
      </c>
      <c r="AB52" s="11"/>
      <c r="AC52" s="16" t="s">
        <v>27</v>
      </c>
      <c r="AD52" s="7"/>
      <c r="AE52" s="14"/>
      <c r="AF52" s="11"/>
      <c r="AG52" s="19"/>
      <c r="AH52" s="16"/>
      <c r="AI52" s="7"/>
      <c r="AJ52" s="14"/>
      <c r="AK52" s="44"/>
      <c r="AL52" s="29"/>
      <c r="AM52" s="26"/>
      <c r="AN52" s="7"/>
      <c r="AO52" s="14" t="s">
        <v>1345</v>
      </c>
      <c r="AP52" s="15" t="s">
        <v>1346</v>
      </c>
      <c r="AQ52" s="44"/>
      <c r="AR52" s="16" t="s">
        <v>27</v>
      </c>
      <c r="AS52" s="7"/>
      <c r="AT52" s="14" t="s">
        <v>1347</v>
      </c>
      <c r="AU52" s="15" t="s">
        <v>1348</v>
      </c>
      <c r="AV52" s="44"/>
      <c r="AW52" s="16" t="s">
        <v>27</v>
      </c>
      <c r="AX52" s="7"/>
      <c r="AY52" s="14" t="s">
        <v>1349</v>
      </c>
      <c r="AZ52" s="18" t="s">
        <v>1350</v>
      </c>
      <c r="BA52" s="19"/>
      <c r="BB52" s="16" t="s">
        <v>27</v>
      </c>
      <c r="BC52" s="7"/>
      <c r="BD52" s="14" t="s">
        <v>1351</v>
      </c>
      <c r="BE52" s="15" t="s">
        <v>1352</v>
      </c>
      <c r="BF52" s="11" t="s">
        <v>1353</v>
      </c>
      <c r="BG52" s="16" t="s">
        <v>27</v>
      </c>
      <c r="BH52" s="7"/>
      <c r="BI52" s="14" t="s">
        <v>1354</v>
      </c>
      <c r="BJ52" s="15" t="s">
        <v>1355</v>
      </c>
      <c r="BK52" s="44" t="s">
        <v>1356</v>
      </c>
      <c r="BL52" s="16" t="s">
        <v>27</v>
      </c>
      <c r="BM52" s="7"/>
      <c r="BN52" s="7"/>
      <c r="BO52" s="7"/>
      <c r="BP52" s="7"/>
      <c r="BQ52" s="7"/>
      <c r="BR52" s="7"/>
      <c r="BS52" s="7"/>
      <c r="BT52" s="7"/>
      <c r="BU52" s="7"/>
      <c r="BV52" s="7"/>
      <c r="BW52" s="7"/>
      <c r="BX52" s="7"/>
      <c r="BY52" s="7"/>
      <c r="BZ52" s="41"/>
      <c r="CA52" s="7"/>
      <c r="CB52" s="7"/>
      <c r="CC52" s="7"/>
      <c r="CD52" s="7"/>
      <c r="CE52" s="7"/>
      <c r="CF52" s="7"/>
    </row>
    <row r="53">
      <c r="A53" s="14" t="s">
        <v>1357</v>
      </c>
      <c r="B53" s="15" t="s">
        <v>1358</v>
      </c>
      <c r="C53" s="11"/>
      <c r="D53" s="26" t="s">
        <v>27</v>
      </c>
      <c r="E53" s="7"/>
      <c r="F53" s="14" t="s">
        <v>1359</v>
      </c>
      <c r="G53" s="15" t="s">
        <v>1360</v>
      </c>
      <c r="H53" s="11"/>
      <c r="I53" s="16" t="s">
        <v>27</v>
      </c>
      <c r="J53" s="7"/>
      <c r="K53" s="14"/>
      <c r="L53" s="11"/>
      <c r="M53" s="19"/>
      <c r="N53" s="16"/>
      <c r="O53" s="7"/>
      <c r="P53" s="14" t="s">
        <v>1361</v>
      </c>
      <c r="Q53" s="15" t="s">
        <v>1362</v>
      </c>
      <c r="R53" s="7"/>
      <c r="S53" s="16" t="s">
        <v>27</v>
      </c>
      <c r="T53" s="7"/>
      <c r="U53" s="14"/>
      <c r="V53" s="44"/>
      <c r="W53" s="11"/>
      <c r="X53" s="16"/>
      <c r="Y53" s="7"/>
      <c r="Z53" s="14" t="s">
        <v>1363</v>
      </c>
      <c r="AA53" s="15" t="s">
        <v>1364</v>
      </c>
      <c r="AB53" s="11"/>
      <c r="AC53" s="16" t="s">
        <v>27</v>
      </c>
      <c r="AD53" s="7"/>
      <c r="AE53" s="14"/>
      <c r="AF53" s="11"/>
      <c r="AG53" s="19"/>
      <c r="AH53" s="16"/>
      <c r="AI53" s="7"/>
      <c r="AJ53" s="14"/>
      <c r="AK53" s="44"/>
      <c r="AL53" s="29"/>
      <c r="AM53" s="26"/>
      <c r="AN53" s="7"/>
      <c r="AO53" s="14" t="s">
        <v>1365</v>
      </c>
      <c r="AP53" s="15" t="s">
        <v>1366</v>
      </c>
      <c r="AQ53" s="44"/>
      <c r="AR53" s="16" t="s">
        <v>27</v>
      </c>
      <c r="AS53" s="7"/>
      <c r="AT53" s="14" t="s">
        <v>1367</v>
      </c>
      <c r="AU53" s="15" t="s">
        <v>1368</v>
      </c>
      <c r="AV53" s="44"/>
      <c r="AW53" s="16" t="s">
        <v>21</v>
      </c>
      <c r="AX53" s="7"/>
      <c r="AY53" s="14"/>
      <c r="AZ53" s="11"/>
      <c r="BA53" s="19"/>
      <c r="BB53" s="16"/>
      <c r="BC53" s="7"/>
      <c r="BD53" s="14" t="s">
        <v>1369</v>
      </c>
      <c r="BE53" s="15" t="s">
        <v>1370</v>
      </c>
      <c r="BF53" s="11" t="s">
        <v>1371</v>
      </c>
      <c r="BG53" s="16" t="s">
        <v>33</v>
      </c>
      <c r="BH53" s="7"/>
      <c r="BI53" s="14" t="s">
        <v>1372</v>
      </c>
      <c r="BJ53" s="15" t="s">
        <v>1373</v>
      </c>
      <c r="BK53" s="44" t="s">
        <v>1374</v>
      </c>
      <c r="BL53" s="16" t="s">
        <v>27</v>
      </c>
      <c r="BM53" s="7"/>
      <c r="BN53" s="7"/>
      <c r="BO53" s="7"/>
      <c r="BP53" s="7"/>
      <c r="BQ53" s="7"/>
      <c r="BR53" s="7"/>
      <c r="BS53" s="7"/>
      <c r="BT53" s="7"/>
      <c r="BU53" s="7"/>
      <c r="BV53" s="7"/>
      <c r="BW53" s="7"/>
      <c r="BX53" s="7"/>
      <c r="BY53" s="7"/>
      <c r="BZ53" s="41"/>
      <c r="CA53" s="7"/>
      <c r="CB53" s="7"/>
      <c r="CC53" s="7"/>
      <c r="CD53" s="7"/>
      <c r="CE53" s="7"/>
      <c r="CF53" s="7"/>
    </row>
    <row r="54">
      <c r="A54" s="28" t="s">
        <v>1375</v>
      </c>
      <c r="B54" s="15" t="s">
        <v>1376</v>
      </c>
      <c r="C54" s="11" t="s">
        <v>1377</v>
      </c>
      <c r="D54" s="26" t="s">
        <v>27</v>
      </c>
      <c r="E54" s="7"/>
      <c r="F54" s="14" t="s">
        <v>1378</v>
      </c>
      <c r="G54" s="15" t="s">
        <v>1379</v>
      </c>
      <c r="H54" s="11"/>
      <c r="I54" s="16" t="s">
        <v>27</v>
      </c>
      <c r="J54" s="7"/>
      <c r="K54" s="14"/>
      <c r="L54" s="11"/>
      <c r="M54" s="19"/>
      <c r="N54" s="16"/>
      <c r="O54" s="7"/>
      <c r="P54" s="14" t="s">
        <v>1380</v>
      </c>
      <c r="Q54" s="15" t="s">
        <v>1381</v>
      </c>
      <c r="R54" s="7"/>
      <c r="S54" s="16" t="s">
        <v>27</v>
      </c>
      <c r="T54" s="7"/>
      <c r="U54" s="14"/>
      <c r="V54" s="44"/>
      <c r="W54" s="11"/>
      <c r="X54" s="16"/>
      <c r="Y54" s="7"/>
      <c r="Z54" s="14" t="s">
        <v>1382</v>
      </c>
      <c r="AA54" s="15" t="s">
        <v>1383</v>
      </c>
      <c r="AB54" s="11"/>
      <c r="AC54" s="16" t="s">
        <v>27</v>
      </c>
      <c r="AD54" s="7"/>
      <c r="AE54" s="14"/>
      <c r="AF54" s="11"/>
      <c r="AG54" s="19"/>
      <c r="AH54" s="16"/>
      <c r="AI54" s="7"/>
      <c r="AJ54" s="14"/>
      <c r="AK54" s="44"/>
      <c r="AL54" s="29"/>
      <c r="AM54" s="26"/>
      <c r="AN54" s="7"/>
      <c r="AO54" s="14" t="s">
        <v>1384</v>
      </c>
      <c r="AP54" s="15" t="s">
        <v>1385</v>
      </c>
      <c r="AQ54" s="44"/>
      <c r="AR54" s="16" t="s">
        <v>27</v>
      </c>
      <c r="AS54" s="7"/>
      <c r="AT54" s="14" t="s">
        <v>1386</v>
      </c>
      <c r="AU54" s="15" t="s">
        <v>1387</v>
      </c>
      <c r="AV54" s="44"/>
      <c r="AW54" s="16" t="s">
        <v>27</v>
      </c>
      <c r="AX54" s="7"/>
      <c r="AY54" s="14"/>
      <c r="AZ54" s="11"/>
      <c r="BA54" s="19"/>
      <c r="BB54" s="16"/>
      <c r="BC54" s="7"/>
      <c r="BD54" s="14" t="s">
        <v>1388</v>
      </c>
      <c r="BE54" s="15" t="s">
        <v>1389</v>
      </c>
      <c r="BF54" s="11" t="s">
        <v>1390</v>
      </c>
      <c r="BG54" s="16" t="s">
        <v>27</v>
      </c>
      <c r="BH54" s="7"/>
      <c r="BI54" s="14" t="s">
        <v>1391</v>
      </c>
      <c r="BJ54" s="17" t="s">
        <v>1392</v>
      </c>
      <c r="BK54" s="44"/>
      <c r="BL54" s="16" t="s">
        <v>33</v>
      </c>
      <c r="BM54" s="7"/>
      <c r="BN54" s="7"/>
      <c r="BO54" s="7"/>
      <c r="BP54" s="7"/>
      <c r="BQ54" s="7"/>
      <c r="BR54" s="7"/>
      <c r="BS54" s="7"/>
      <c r="BT54" s="7"/>
      <c r="BU54" s="7"/>
      <c r="BV54" s="7"/>
      <c r="BW54" s="7"/>
      <c r="BX54" s="7"/>
      <c r="BY54" s="7"/>
      <c r="BZ54" s="41"/>
      <c r="CA54" s="7"/>
      <c r="CB54" s="7"/>
      <c r="CC54" s="7"/>
      <c r="CD54" s="7"/>
      <c r="CE54" s="7"/>
      <c r="CF54" s="7"/>
    </row>
    <row r="55">
      <c r="A55" s="14" t="s">
        <v>1393</v>
      </c>
      <c r="B55" s="15" t="s">
        <v>1394</v>
      </c>
      <c r="C55" s="11"/>
      <c r="D55" s="26" t="s">
        <v>27</v>
      </c>
      <c r="E55" s="7"/>
      <c r="F55" s="14" t="s">
        <v>1395</v>
      </c>
      <c r="G55" s="15" t="s">
        <v>1396</v>
      </c>
      <c r="H55" s="11"/>
      <c r="I55" s="16" t="s">
        <v>27</v>
      </c>
      <c r="J55" s="7"/>
      <c r="K55" s="14"/>
      <c r="L55" s="11"/>
      <c r="M55" s="19"/>
      <c r="N55" s="16"/>
      <c r="O55" s="7"/>
      <c r="P55" s="14" t="s">
        <v>1397</v>
      </c>
      <c r="Q55" s="15" t="s">
        <v>1398</v>
      </c>
      <c r="R55" s="7"/>
      <c r="S55" s="16" t="s">
        <v>27</v>
      </c>
      <c r="T55" s="7"/>
      <c r="U55" s="14"/>
      <c r="V55" s="44"/>
      <c r="W55" s="11"/>
      <c r="X55" s="16"/>
      <c r="Y55" s="7"/>
      <c r="Z55" s="14" t="s">
        <v>1399</v>
      </c>
      <c r="AA55" s="15" t="s">
        <v>1400</v>
      </c>
      <c r="AB55" s="11"/>
      <c r="AC55" s="16" t="s">
        <v>27</v>
      </c>
      <c r="AD55" s="7"/>
      <c r="AE55" s="14"/>
      <c r="AF55" s="11"/>
      <c r="AG55" s="19"/>
      <c r="AH55" s="16"/>
      <c r="AI55" s="7"/>
      <c r="AJ55" s="14"/>
      <c r="AK55" s="44"/>
      <c r="AL55" s="29"/>
      <c r="AM55" s="26"/>
      <c r="AN55" s="7"/>
      <c r="AO55" s="14" t="s">
        <v>1401</v>
      </c>
      <c r="AP55" s="15" t="s">
        <v>1402</v>
      </c>
      <c r="AQ55" s="44"/>
      <c r="AR55" s="16" t="s">
        <v>27</v>
      </c>
      <c r="AS55" s="7"/>
      <c r="AT55" s="14" t="s">
        <v>1403</v>
      </c>
      <c r="AU55" s="15" t="s">
        <v>1404</v>
      </c>
      <c r="AV55" s="44"/>
      <c r="AW55" s="16" t="s">
        <v>27</v>
      </c>
      <c r="AX55" s="7"/>
      <c r="AY55" s="14"/>
      <c r="AZ55" s="11"/>
      <c r="BA55" s="19"/>
      <c r="BB55" s="16"/>
      <c r="BC55" s="7"/>
      <c r="BD55" s="14" t="s">
        <v>1405</v>
      </c>
      <c r="BE55" s="15" t="s">
        <v>1406</v>
      </c>
      <c r="BF55" s="11" t="s">
        <v>1407</v>
      </c>
      <c r="BG55" s="16" t="s">
        <v>27</v>
      </c>
      <c r="BH55" s="7"/>
      <c r="BI55" s="14" t="s">
        <v>1408</v>
      </c>
      <c r="BJ55" s="15" t="s">
        <v>1409</v>
      </c>
      <c r="BK55" s="44" t="s">
        <v>1410</v>
      </c>
      <c r="BL55" s="16" t="s">
        <v>27</v>
      </c>
      <c r="BM55" s="7"/>
      <c r="BN55" s="7"/>
      <c r="BO55" s="7"/>
      <c r="BP55" s="7"/>
      <c r="BQ55" s="7"/>
      <c r="BR55" s="7"/>
      <c r="BS55" s="7"/>
      <c r="BT55" s="7"/>
      <c r="BU55" s="7"/>
      <c r="BV55" s="7"/>
      <c r="BW55" s="7"/>
      <c r="BX55" s="7"/>
      <c r="BY55" s="7"/>
      <c r="BZ55" s="41"/>
      <c r="CA55" s="7"/>
      <c r="CB55" s="7"/>
      <c r="CC55" s="7"/>
      <c r="CD55" s="7"/>
      <c r="CE55" s="7"/>
      <c r="CF55" s="7"/>
    </row>
    <row r="56">
      <c r="A56" s="14" t="s">
        <v>1411</v>
      </c>
      <c r="B56" s="15" t="s">
        <v>1412</v>
      </c>
      <c r="C56" s="11"/>
      <c r="D56" s="26" t="s">
        <v>33</v>
      </c>
      <c r="E56" s="7"/>
      <c r="F56" s="14" t="s">
        <v>1413</v>
      </c>
      <c r="G56" s="15" t="s">
        <v>1414</v>
      </c>
      <c r="H56" s="11"/>
      <c r="I56" s="16" t="s">
        <v>33</v>
      </c>
      <c r="J56" s="7"/>
      <c r="K56" s="14"/>
      <c r="L56" s="11"/>
      <c r="M56" s="19"/>
      <c r="N56" s="16"/>
      <c r="O56" s="7"/>
      <c r="P56" s="14" t="s">
        <v>1415</v>
      </c>
      <c r="Q56" s="15" t="s">
        <v>1416</v>
      </c>
      <c r="R56" s="7"/>
      <c r="S56" s="16" t="s">
        <v>27</v>
      </c>
      <c r="T56" s="7"/>
      <c r="U56" s="14"/>
      <c r="V56" s="44"/>
      <c r="W56" s="11"/>
      <c r="X56" s="16"/>
      <c r="Y56" s="7"/>
      <c r="Z56" s="14" t="s">
        <v>1417</v>
      </c>
      <c r="AA56" s="15" t="s">
        <v>1418</v>
      </c>
      <c r="AB56" s="11"/>
      <c r="AC56" s="16" t="s">
        <v>27</v>
      </c>
      <c r="AD56" s="7"/>
      <c r="AE56" s="14"/>
      <c r="AF56" s="11"/>
      <c r="AG56" s="19"/>
      <c r="AH56" s="16"/>
      <c r="AI56" s="7"/>
      <c r="AJ56" s="14"/>
      <c r="AK56" s="44"/>
      <c r="AL56" s="29"/>
      <c r="AM56" s="26"/>
      <c r="AN56" s="7"/>
      <c r="AO56" s="14" t="s">
        <v>1419</v>
      </c>
      <c r="AP56" s="15" t="s">
        <v>1420</v>
      </c>
      <c r="AQ56" s="44"/>
      <c r="AR56" s="16" t="s">
        <v>27</v>
      </c>
      <c r="AS56" s="7"/>
      <c r="AT56" s="14" t="s">
        <v>1421</v>
      </c>
      <c r="AU56" s="15" t="s">
        <v>1422</v>
      </c>
      <c r="AV56" s="44"/>
      <c r="AW56" s="16" t="s">
        <v>27</v>
      </c>
      <c r="AX56" s="7"/>
      <c r="AY56" s="14"/>
      <c r="AZ56" s="11"/>
      <c r="BA56" s="19"/>
      <c r="BB56" s="16"/>
      <c r="BC56" s="7"/>
      <c r="BD56" s="14" t="s">
        <v>1423</v>
      </c>
      <c r="BE56" s="15" t="s">
        <v>1424</v>
      </c>
      <c r="BF56" s="11"/>
      <c r="BG56" s="16" t="s">
        <v>27</v>
      </c>
      <c r="BH56" s="7"/>
      <c r="BI56" s="14" t="s">
        <v>1408</v>
      </c>
      <c r="BJ56" s="15" t="s">
        <v>1425</v>
      </c>
      <c r="BK56" s="44"/>
      <c r="BL56" s="16" t="s">
        <v>27</v>
      </c>
      <c r="BM56" s="7"/>
      <c r="BN56" s="7"/>
      <c r="BO56" s="7"/>
      <c r="BP56" s="7"/>
      <c r="BQ56" s="7"/>
      <c r="BR56" s="7"/>
      <c r="BS56" s="7"/>
      <c r="BT56" s="7"/>
      <c r="BU56" s="7"/>
      <c r="BV56" s="7"/>
      <c r="BW56" s="7"/>
      <c r="BX56" s="7"/>
      <c r="BY56" s="7"/>
      <c r="BZ56" s="41"/>
      <c r="CA56" s="7"/>
      <c r="CB56" s="7"/>
      <c r="CC56" s="7"/>
      <c r="CD56" s="7"/>
      <c r="CE56" s="7"/>
      <c r="CF56" s="7"/>
    </row>
    <row r="57">
      <c r="A57" s="14" t="s">
        <v>1426</v>
      </c>
      <c r="B57" s="15" t="s">
        <v>1427</v>
      </c>
      <c r="C57" s="11"/>
      <c r="D57" s="26" t="s">
        <v>27</v>
      </c>
      <c r="E57" s="7"/>
      <c r="F57" s="14"/>
      <c r="G57" s="44"/>
      <c r="H57" s="11"/>
      <c r="I57" s="27"/>
      <c r="J57" s="7"/>
      <c r="K57" s="14"/>
      <c r="L57" s="11"/>
      <c r="M57" s="19"/>
      <c r="N57" s="16"/>
      <c r="O57" s="7"/>
      <c r="P57" s="14" t="s">
        <v>1428</v>
      </c>
      <c r="Q57" s="15" t="s">
        <v>1429</v>
      </c>
      <c r="R57" s="7"/>
      <c r="S57" s="16" t="s">
        <v>27</v>
      </c>
      <c r="T57" s="7"/>
      <c r="U57" s="14"/>
      <c r="V57" s="44"/>
      <c r="W57" s="11"/>
      <c r="X57" s="16"/>
      <c r="Y57" s="7"/>
      <c r="Z57" s="14" t="s">
        <v>1430</v>
      </c>
      <c r="AA57" s="15" t="s">
        <v>1431</v>
      </c>
      <c r="AB57" s="11"/>
      <c r="AC57" s="16" t="s">
        <v>27</v>
      </c>
      <c r="AD57" s="7"/>
      <c r="AE57" s="14"/>
      <c r="AF57" s="11"/>
      <c r="AG57" s="19"/>
      <c r="AH57" s="16"/>
      <c r="AI57" s="7"/>
      <c r="AJ57" s="14"/>
      <c r="AK57" s="44"/>
      <c r="AL57" s="29"/>
      <c r="AM57" s="26"/>
      <c r="AN57" s="7"/>
      <c r="AO57" s="14" t="s">
        <v>1432</v>
      </c>
      <c r="AP57" s="15" t="s">
        <v>1433</v>
      </c>
      <c r="AQ57" s="44"/>
      <c r="AR57" s="16" t="s">
        <v>27</v>
      </c>
      <c r="AS57" s="7"/>
      <c r="AT57" s="14" t="s">
        <v>1434</v>
      </c>
      <c r="AU57" s="15" t="s">
        <v>1435</v>
      </c>
      <c r="AV57" s="44"/>
      <c r="AW57" s="16" t="s">
        <v>27</v>
      </c>
      <c r="AX57" s="7"/>
      <c r="AY57" s="14"/>
      <c r="AZ57" s="11"/>
      <c r="BA57" s="19"/>
      <c r="BB57" s="16"/>
      <c r="BC57" s="7"/>
      <c r="BD57" s="14" t="s">
        <v>1436</v>
      </c>
      <c r="BE57" s="15" t="s">
        <v>1437</v>
      </c>
      <c r="BF57" s="11" t="s">
        <v>1438</v>
      </c>
      <c r="BG57" s="16" t="s">
        <v>27</v>
      </c>
      <c r="BH57" s="7"/>
      <c r="BI57" s="14" t="s">
        <v>1408</v>
      </c>
      <c r="BJ57" s="15" t="s">
        <v>1439</v>
      </c>
      <c r="BK57" s="44"/>
      <c r="BL57" s="16" t="s">
        <v>27</v>
      </c>
      <c r="BM57" s="7"/>
      <c r="BN57" s="7"/>
      <c r="BO57" s="7"/>
      <c r="BP57" s="7"/>
      <c r="BQ57" s="7"/>
      <c r="BR57" s="7"/>
      <c r="BS57" s="7"/>
      <c r="BT57" s="7"/>
      <c r="BU57" s="7"/>
      <c r="BV57" s="7"/>
      <c r="BW57" s="7"/>
      <c r="BX57" s="7"/>
      <c r="BY57" s="7"/>
      <c r="BZ57" s="41"/>
      <c r="CA57" s="7"/>
      <c r="CB57" s="7"/>
      <c r="CC57" s="7"/>
      <c r="CD57" s="7"/>
      <c r="CE57" s="7"/>
      <c r="CF57" s="7"/>
    </row>
    <row r="58">
      <c r="A58" s="14" t="s">
        <v>1440</v>
      </c>
      <c r="B58" s="15" t="s">
        <v>1441</v>
      </c>
      <c r="C58" s="11"/>
      <c r="D58" s="26" t="s">
        <v>21</v>
      </c>
      <c r="E58" s="7"/>
      <c r="F58" s="14"/>
      <c r="G58" s="44"/>
      <c r="H58" s="11"/>
      <c r="I58" s="27"/>
      <c r="J58" s="7"/>
      <c r="K58" s="14"/>
      <c r="L58" s="11"/>
      <c r="M58" s="19"/>
      <c r="N58" s="16"/>
      <c r="O58" s="7"/>
      <c r="P58" s="14" t="s">
        <v>1442</v>
      </c>
      <c r="Q58" s="15" t="s">
        <v>1443</v>
      </c>
      <c r="R58" s="7"/>
      <c r="S58" s="16" t="s">
        <v>27</v>
      </c>
      <c r="T58" s="7"/>
      <c r="U58" s="14"/>
      <c r="V58" s="44"/>
      <c r="W58" s="11"/>
      <c r="X58" s="16"/>
      <c r="Y58" s="7"/>
      <c r="Z58" s="14" t="s">
        <v>1444</v>
      </c>
      <c r="AA58" s="15" t="s">
        <v>1445</v>
      </c>
      <c r="AB58" s="11"/>
      <c r="AC58" s="16" t="s">
        <v>27</v>
      </c>
      <c r="AD58" s="7"/>
      <c r="AE58" s="14"/>
      <c r="AF58" s="11"/>
      <c r="AG58" s="19"/>
      <c r="AH58" s="16"/>
      <c r="AI58" s="7"/>
      <c r="AJ58" s="14"/>
      <c r="AK58" s="44"/>
      <c r="AL58" s="29"/>
      <c r="AM58" s="26"/>
      <c r="AN58" s="7"/>
      <c r="AO58" s="14" t="s">
        <v>1446</v>
      </c>
      <c r="AP58" s="15" t="s">
        <v>1447</v>
      </c>
      <c r="AQ58" s="44"/>
      <c r="AR58" s="16" t="s">
        <v>27</v>
      </c>
      <c r="AS58" s="7"/>
      <c r="AT58" s="14" t="s">
        <v>1448</v>
      </c>
      <c r="AU58" s="15" t="s">
        <v>1449</v>
      </c>
      <c r="AV58" s="44"/>
      <c r="AW58" s="16" t="s">
        <v>27</v>
      </c>
      <c r="AX58" s="7"/>
      <c r="AY58" s="14"/>
      <c r="AZ58" s="11"/>
      <c r="BA58" s="19"/>
      <c r="BB58" s="16"/>
      <c r="BC58" s="7"/>
      <c r="BD58" s="14" t="s">
        <v>1450</v>
      </c>
      <c r="BE58" s="15" t="s">
        <v>1451</v>
      </c>
      <c r="BF58" s="11"/>
      <c r="BG58" s="16" t="s">
        <v>27</v>
      </c>
      <c r="BH58" s="7"/>
      <c r="BI58" s="14" t="s">
        <v>1408</v>
      </c>
      <c r="BJ58" s="15" t="s">
        <v>1452</v>
      </c>
      <c r="BK58" s="44"/>
      <c r="BL58" s="16" t="s">
        <v>27</v>
      </c>
      <c r="BM58" s="7"/>
      <c r="BN58" s="7"/>
      <c r="BO58" s="7"/>
      <c r="BP58" s="7"/>
      <c r="BQ58" s="7"/>
      <c r="BR58" s="7"/>
      <c r="BS58" s="7"/>
      <c r="BT58" s="7"/>
      <c r="BU58" s="7"/>
      <c r="BV58" s="7"/>
      <c r="BW58" s="7"/>
      <c r="BX58" s="7"/>
      <c r="BY58" s="7"/>
      <c r="BZ58" s="41"/>
      <c r="CA58" s="7"/>
      <c r="CB58" s="7"/>
      <c r="CC58" s="7"/>
      <c r="CD58" s="7"/>
      <c r="CE58" s="7"/>
      <c r="CF58" s="7"/>
    </row>
    <row r="59">
      <c r="A59" s="14" t="s">
        <v>1453</v>
      </c>
      <c r="B59" s="15" t="s">
        <v>1454</v>
      </c>
      <c r="C59" s="11"/>
      <c r="D59" s="26" t="s">
        <v>27</v>
      </c>
      <c r="E59" s="7"/>
      <c r="F59" s="14"/>
      <c r="G59" s="44"/>
      <c r="H59" s="11"/>
      <c r="I59" s="27"/>
      <c r="J59" s="7"/>
      <c r="K59" s="14"/>
      <c r="L59" s="11"/>
      <c r="M59" s="19"/>
      <c r="N59" s="16"/>
      <c r="O59" s="7"/>
      <c r="P59" s="14" t="s">
        <v>1455</v>
      </c>
      <c r="Q59" s="15" t="s">
        <v>1456</v>
      </c>
      <c r="R59" s="7"/>
      <c r="S59" s="16" t="s">
        <v>27</v>
      </c>
      <c r="T59" s="7"/>
      <c r="U59" s="14"/>
      <c r="V59" s="44"/>
      <c r="W59" s="11"/>
      <c r="X59" s="16"/>
      <c r="Y59" s="7"/>
      <c r="Z59" s="14"/>
      <c r="AA59" s="44"/>
      <c r="AB59" s="11"/>
      <c r="AC59" s="16"/>
      <c r="AD59" s="7"/>
      <c r="AE59" s="14"/>
      <c r="AF59" s="11"/>
      <c r="AG59" s="19"/>
      <c r="AH59" s="16"/>
      <c r="AI59" s="7"/>
      <c r="AJ59" s="14"/>
      <c r="AK59" s="44"/>
      <c r="AL59" s="29"/>
      <c r="AM59" s="26"/>
      <c r="AN59" s="7"/>
      <c r="AO59" s="14" t="s">
        <v>1457</v>
      </c>
      <c r="AP59" s="15" t="s">
        <v>1458</v>
      </c>
      <c r="AQ59" s="44"/>
      <c r="AR59" s="16" t="s">
        <v>27</v>
      </c>
      <c r="AS59" s="7"/>
      <c r="AT59" s="14" t="s">
        <v>1459</v>
      </c>
      <c r="AU59" s="15" t="s">
        <v>1460</v>
      </c>
      <c r="AV59" s="44"/>
      <c r="AW59" s="16" t="s">
        <v>27</v>
      </c>
      <c r="AX59" s="7"/>
      <c r="AY59" s="14"/>
      <c r="AZ59" s="11"/>
      <c r="BA59" s="19"/>
      <c r="BB59" s="16"/>
      <c r="BC59" s="7"/>
      <c r="BD59" s="14" t="s">
        <v>1461</v>
      </c>
      <c r="BE59" s="15" t="s">
        <v>1462</v>
      </c>
      <c r="BF59" s="11"/>
      <c r="BG59" s="16" t="s">
        <v>27</v>
      </c>
      <c r="BH59" s="7"/>
      <c r="BI59" s="14" t="s">
        <v>1408</v>
      </c>
      <c r="BJ59" s="15" t="s">
        <v>1463</v>
      </c>
      <c r="BK59" s="44"/>
      <c r="BL59" s="16" t="s">
        <v>27</v>
      </c>
      <c r="BM59" s="7"/>
      <c r="BN59" s="7"/>
      <c r="BO59" s="7"/>
      <c r="BP59" s="7"/>
      <c r="BQ59" s="7"/>
      <c r="BR59" s="7"/>
      <c r="BS59" s="7"/>
      <c r="BT59" s="7"/>
      <c r="BU59" s="7"/>
      <c r="BV59" s="7"/>
      <c r="BW59" s="7"/>
      <c r="BX59" s="7"/>
      <c r="BY59" s="7"/>
      <c r="BZ59" s="41"/>
      <c r="CA59" s="7"/>
      <c r="CB59" s="7"/>
      <c r="CC59" s="7"/>
      <c r="CD59" s="7"/>
      <c r="CE59" s="7"/>
      <c r="CF59" s="7"/>
    </row>
    <row r="60">
      <c r="A60" s="14" t="s">
        <v>1464</v>
      </c>
      <c r="B60" s="15" t="s">
        <v>1465</v>
      </c>
      <c r="C60" s="11" t="s">
        <v>1466</v>
      </c>
      <c r="D60" s="26" t="s">
        <v>27</v>
      </c>
      <c r="E60" s="7"/>
      <c r="F60" s="14"/>
      <c r="G60" s="44"/>
      <c r="H60" s="11"/>
      <c r="I60" s="27"/>
      <c r="J60" s="7"/>
      <c r="K60" s="14"/>
      <c r="L60" s="11"/>
      <c r="M60" s="19"/>
      <c r="N60" s="16"/>
      <c r="O60" s="7"/>
      <c r="P60" s="14" t="s">
        <v>1467</v>
      </c>
      <c r="Q60" s="15" t="s">
        <v>1468</v>
      </c>
      <c r="R60" s="7"/>
      <c r="S60" s="16" t="s">
        <v>27</v>
      </c>
      <c r="T60" s="7"/>
      <c r="U60" s="14"/>
      <c r="V60" s="44"/>
      <c r="W60" s="11"/>
      <c r="X60" s="16"/>
      <c r="Y60" s="7"/>
      <c r="Z60" s="14"/>
      <c r="AA60" s="44"/>
      <c r="AB60" s="11"/>
      <c r="AC60" s="16"/>
      <c r="AD60" s="7"/>
      <c r="AE60" s="14"/>
      <c r="AF60" s="11"/>
      <c r="AG60" s="19"/>
      <c r="AH60" s="16"/>
      <c r="AI60" s="7"/>
      <c r="AJ60" s="14"/>
      <c r="AK60" s="44"/>
      <c r="AL60" s="29"/>
      <c r="AM60" s="26"/>
      <c r="AN60" s="7"/>
      <c r="AO60" s="14" t="s">
        <v>1469</v>
      </c>
      <c r="AP60" s="15" t="s">
        <v>1470</v>
      </c>
      <c r="AQ60" s="44"/>
      <c r="AR60" s="16" t="s">
        <v>27</v>
      </c>
      <c r="AS60" s="7"/>
      <c r="AT60" s="14" t="s">
        <v>1471</v>
      </c>
      <c r="AU60" s="15" t="s">
        <v>1472</v>
      </c>
      <c r="AV60" s="44"/>
      <c r="AW60" s="16" t="s">
        <v>27</v>
      </c>
      <c r="AX60" s="7"/>
      <c r="AY60" s="14"/>
      <c r="AZ60" s="11"/>
      <c r="BA60" s="19"/>
      <c r="BB60" s="16"/>
      <c r="BC60" s="7"/>
      <c r="BD60" s="14" t="s">
        <v>1473</v>
      </c>
      <c r="BE60" s="15" t="s">
        <v>1474</v>
      </c>
      <c r="BF60" s="11"/>
      <c r="BG60" s="16" t="s">
        <v>27</v>
      </c>
      <c r="BH60" s="7"/>
      <c r="BI60" s="14" t="s">
        <v>1408</v>
      </c>
      <c r="BJ60" s="15" t="s">
        <v>1475</v>
      </c>
      <c r="BK60" s="44"/>
      <c r="BL60" s="16" t="s">
        <v>27</v>
      </c>
      <c r="BM60" s="7"/>
      <c r="BN60" s="7"/>
      <c r="BO60" s="7"/>
      <c r="BP60" s="7"/>
      <c r="BQ60" s="7"/>
      <c r="BR60" s="7"/>
      <c r="BS60" s="7"/>
      <c r="BT60" s="7"/>
      <c r="BU60" s="7"/>
      <c r="BV60" s="7"/>
      <c r="BW60" s="7"/>
      <c r="BX60" s="7"/>
      <c r="BY60" s="7"/>
      <c r="BZ60" s="41"/>
      <c r="CA60" s="7"/>
      <c r="CB60" s="7"/>
      <c r="CC60" s="7"/>
      <c r="CD60" s="7"/>
      <c r="CE60" s="7"/>
      <c r="CF60" s="7"/>
    </row>
    <row r="61">
      <c r="A61" s="14" t="s">
        <v>1476</v>
      </c>
      <c r="B61" s="15" t="s">
        <v>1477</v>
      </c>
      <c r="C61" s="11" t="s">
        <v>1478</v>
      </c>
      <c r="D61" s="26" t="s">
        <v>21</v>
      </c>
      <c r="E61" s="7"/>
      <c r="F61" s="14"/>
      <c r="G61" s="44"/>
      <c r="H61" s="11"/>
      <c r="I61" s="27"/>
      <c r="J61" s="7"/>
      <c r="K61" s="14"/>
      <c r="L61" s="11"/>
      <c r="M61" s="19"/>
      <c r="N61" s="16"/>
      <c r="O61" s="7"/>
      <c r="P61" s="14" t="s">
        <v>1479</v>
      </c>
      <c r="Q61" s="15" t="s">
        <v>1480</v>
      </c>
      <c r="R61" s="7"/>
      <c r="S61" s="16" t="s">
        <v>33</v>
      </c>
      <c r="T61" s="7"/>
      <c r="U61" s="14"/>
      <c r="V61" s="44"/>
      <c r="W61" s="11"/>
      <c r="X61" s="16"/>
      <c r="Y61" s="7"/>
      <c r="Z61" s="14"/>
      <c r="AA61" s="44"/>
      <c r="AB61" s="11"/>
      <c r="AC61" s="16"/>
      <c r="AD61" s="7"/>
      <c r="AE61" s="14"/>
      <c r="AF61" s="11"/>
      <c r="AG61" s="19"/>
      <c r="AH61" s="16"/>
      <c r="AI61" s="7"/>
      <c r="AJ61" s="14"/>
      <c r="AK61" s="44"/>
      <c r="AL61" s="29"/>
      <c r="AM61" s="26"/>
      <c r="AN61" s="7"/>
      <c r="AO61" s="14" t="s">
        <v>1481</v>
      </c>
      <c r="AP61" s="15" t="s">
        <v>1482</v>
      </c>
      <c r="AQ61" s="44"/>
      <c r="AR61" s="16" t="s">
        <v>27</v>
      </c>
      <c r="AS61" s="7"/>
      <c r="AT61" s="14" t="s">
        <v>1483</v>
      </c>
      <c r="AU61" s="15" t="s">
        <v>1484</v>
      </c>
      <c r="AV61" s="44"/>
      <c r="AW61" s="16" t="s">
        <v>27</v>
      </c>
      <c r="AX61" s="7"/>
      <c r="AY61" s="14"/>
      <c r="AZ61" s="11"/>
      <c r="BA61" s="19"/>
      <c r="BB61" s="16"/>
      <c r="BC61" s="7"/>
      <c r="BD61" s="14" t="s">
        <v>1485</v>
      </c>
      <c r="BE61" s="15" t="s">
        <v>1486</v>
      </c>
      <c r="BF61" s="11"/>
      <c r="BG61" s="16" t="s">
        <v>27</v>
      </c>
      <c r="BH61" s="7"/>
      <c r="BI61" s="14" t="s">
        <v>1408</v>
      </c>
      <c r="BJ61" s="15" t="s">
        <v>1487</v>
      </c>
      <c r="BK61" s="44"/>
      <c r="BL61" s="16" t="s">
        <v>27</v>
      </c>
      <c r="BM61" s="7"/>
      <c r="BN61" s="7"/>
      <c r="BO61" s="7"/>
      <c r="BP61" s="7"/>
      <c r="BQ61" s="7"/>
      <c r="BR61" s="7"/>
      <c r="BS61" s="7"/>
      <c r="BT61" s="7"/>
      <c r="BU61" s="7"/>
      <c r="BV61" s="7"/>
      <c r="BW61" s="7"/>
      <c r="BX61" s="7"/>
      <c r="BY61" s="7"/>
      <c r="BZ61" s="41"/>
      <c r="CA61" s="7"/>
      <c r="CB61" s="7"/>
      <c r="CC61" s="7"/>
      <c r="CD61" s="7"/>
      <c r="CE61" s="7"/>
      <c r="CF61" s="7"/>
    </row>
    <row r="62">
      <c r="A62" s="14" t="s">
        <v>1488</v>
      </c>
      <c r="B62" s="15" t="s">
        <v>1489</v>
      </c>
      <c r="C62" s="11"/>
      <c r="D62" s="26" t="s">
        <v>27</v>
      </c>
      <c r="E62" s="7"/>
      <c r="F62" s="14"/>
      <c r="G62" s="44"/>
      <c r="H62" s="11"/>
      <c r="I62" s="27"/>
      <c r="J62" s="7"/>
      <c r="K62" s="14"/>
      <c r="L62" s="11"/>
      <c r="M62" s="19"/>
      <c r="N62" s="16"/>
      <c r="O62" s="7"/>
      <c r="P62" s="14" t="s">
        <v>1490</v>
      </c>
      <c r="Q62" s="15" t="s">
        <v>1491</v>
      </c>
      <c r="R62" s="7"/>
      <c r="S62" s="16" t="s">
        <v>27</v>
      </c>
      <c r="T62" s="7"/>
      <c r="U62" s="14"/>
      <c r="V62" s="44"/>
      <c r="W62" s="11"/>
      <c r="X62" s="16"/>
      <c r="Y62" s="7"/>
      <c r="Z62" s="14"/>
      <c r="AA62" s="44"/>
      <c r="AB62" s="11"/>
      <c r="AC62" s="16"/>
      <c r="AD62" s="7"/>
      <c r="AE62" s="14"/>
      <c r="AF62" s="11"/>
      <c r="AG62" s="19"/>
      <c r="AH62" s="16"/>
      <c r="AI62" s="7"/>
      <c r="AJ62" s="14"/>
      <c r="AK62" s="44"/>
      <c r="AL62" s="29"/>
      <c r="AM62" s="26"/>
      <c r="AN62" s="7"/>
      <c r="AO62" s="14" t="s">
        <v>1492</v>
      </c>
      <c r="AP62" s="15" t="s">
        <v>1493</v>
      </c>
      <c r="AQ62" s="44"/>
      <c r="AR62" s="16" t="s">
        <v>27</v>
      </c>
      <c r="AS62" s="7"/>
      <c r="AT62" s="50"/>
      <c r="AU62" s="51" t="s">
        <v>1494</v>
      </c>
      <c r="AV62" s="52"/>
      <c r="AW62" s="53">
        <f>COUNTIF($AW$3:$AW$61,"consented")</f>
        <v>10</v>
      </c>
      <c r="AX62" s="7"/>
      <c r="AY62" s="50"/>
      <c r="AZ62" s="52" t="s">
        <v>1494</v>
      </c>
      <c r="BA62" s="54"/>
      <c r="BB62" s="53">
        <f>COUNTIF($BB$3:$BB$61,"consented")</f>
        <v>10</v>
      </c>
      <c r="BC62" s="7"/>
      <c r="BD62" s="14" t="s">
        <v>1495</v>
      </c>
      <c r="BE62" s="15" t="s">
        <v>1496</v>
      </c>
      <c r="BF62" s="11"/>
      <c r="BG62" s="16" t="s">
        <v>27</v>
      </c>
      <c r="BH62" s="7"/>
      <c r="BI62" s="14" t="s">
        <v>1408</v>
      </c>
      <c r="BJ62" s="15" t="s">
        <v>1497</v>
      </c>
      <c r="BK62" s="44"/>
      <c r="BL62" s="16" t="s">
        <v>27</v>
      </c>
      <c r="BM62" s="7"/>
      <c r="BN62" s="7"/>
      <c r="BO62" s="7"/>
      <c r="BP62" s="7"/>
      <c r="BQ62" s="7"/>
      <c r="BR62" s="7"/>
      <c r="BS62" s="7"/>
      <c r="BT62" s="7"/>
      <c r="BU62" s="7"/>
      <c r="BV62" s="7"/>
      <c r="BW62" s="7"/>
      <c r="BX62" s="7"/>
      <c r="BY62" s="7"/>
      <c r="BZ62" s="41"/>
      <c r="CA62" s="7"/>
      <c r="CB62" s="7"/>
      <c r="CC62" s="7"/>
      <c r="CD62" s="7"/>
      <c r="CE62" s="7"/>
      <c r="CF62" s="7"/>
    </row>
    <row r="63">
      <c r="A63" s="14" t="s">
        <v>1498</v>
      </c>
      <c r="B63" s="15" t="s">
        <v>1499</v>
      </c>
      <c r="C63" s="11"/>
      <c r="D63" s="26" t="s">
        <v>27</v>
      </c>
      <c r="E63" s="7"/>
      <c r="F63" s="14"/>
      <c r="G63" s="44"/>
      <c r="H63" s="11"/>
      <c r="I63" s="27"/>
      <c r="J63" s="7"/>
      <c r="K63" s="14"/>
      <c r="L63" s="11"/>
      <c r="M63" s="19"/>
      <c r="N63" s="16"/>
      <c r="O63" s="7"/>
      <c r="P63" s="14" t="s">
        <v>1500</v>
      </c>
      <c r="Q63" s="15" t="s">
        <v>1501</v>
      </c>
      <c r="R63" s="7"/>
      <c r="S63" s="16" t="s">
        <v>27</v>
      </c>
      <c r="T63" s="7"/>
      <c r="U63" s="14"/>
      <c r="V63" s="44"/>
      <c r="W63" s="11"/>
      <c r="X63" s="16"/>
      <c r="Y63" s="7"/>
      <c r="Z63" s="14"/>
      <c r="AA63" s="44"/>
      <c r="AB63" s="11"/>
      <c r="AC63" s="16"/>
      <c r="AD63" s="7"/>
      <c r="AE63" s="14"/>
      <c r="AF63" s="11"/>
      <c r="AG63" s="19"/>
      <c r="AH63" s="16"/>
      <c r="AI63" s="7"/>
      <c r="AJ63" s="14"/>
      <c r="AK63" s="44"/>
      <c r="AL63" s="29"/>
      <c r="AM63" s="26"/>
      <c r="AN63" s="7"/>
      <c r="AO63" s="14" t="s">
        <v>1502</v>
      </c>
      <c r="AP63" s="15" t="s">
        <v>1503</v>
      </c>
      <c r="AQ63" s="44"/>
      <c r="AR63" s="16" t="s">
        <v>27</v>
      </c>
      <c r="AS63" s="7"/>
      <c r="AT63" s="7"/>
      <c r="AU63" s="55"/>
      <c r="AV63" s="7"/>
      <c r="AW63" s="7"/>
      <c r="AX63" s="7"/>
      <c r="AY63" s="7"/>
      <c r="AZ63" s="7"/>
      <c r="BA63" s="7"/>
      <c r="BB63" s="7"/>
      <c r="BC63" s="7"/>
      <c r="BD63" s="14" t="s">
        <v>1504</v>
      </c>
      <c r="BE63" s="15" t="s">
        <v>1505</v>
      </c>
      <c r="BF63" s="11" t="s">
        <v>1506</v>
      </c>
      <c r="BG63" s="16" t="s">
        <v>27</v>
      </c>
      <c r="BH63" s="7"/>
      <c r="BI63" s="14" t="s">
        <v>1408</v>
      </c>
      <c r="BJ63" s="15" t="s">
        <v>1507</v>
      </c>
      <c r="BK63" s="44"/>
      <c r="BL63" s="16" t="s">
        <v>27</v>
      </c>
      <c r="BM63" s="7"/>
      <c r="BN63" s="7"/>
      <c r="BO63" s="7"/>
      <c r="BP63" s="7"/>
      <c r="BQ63" s="7"/>
      <c r="BR63" s="7"/>
      <c r="BS63" s="7"/>
      <c r="BT63" s="7"/>
      <c r="BU63" s="7"/>
      <c r="BV63" s="7"/>
      <c r="BW63" s="7"/>
      <c r="BX63" s="7"/>
      <c r="BY63" s="7"/>
      <c r="BZ63" s="41"/>
      <c r="CA63" s="7"/>
      <c r="CB63" s="7"/>
      <c r="CC63" s="7"/>
      <c r="CD63" s="7"/>
      <c r="CE63" s="7"/>
      <c r="CF63" s="7"/>
    </row>
    <row r="64">
      <c r="A64" s="14" t="s">
        <v>1508</v>
      </c>
      <c r="B64" s="15" t="s">
        <v>1509</v>
      </c>
      <c r="C64" s="11" t="s">
        <v>1510</v>
      </c>
      <c r="D64" s="26" t="s">
        <v>27</v>
      </c>
      <c r="E64" s="7"/>
      <c r="F64" s="14"/>
      <c r="G64" s="44"/>
      <c r="H64" s="11"/>
      <c r="I64" s="27"/>
      <c r="J64" s="7"/>
      <c r="K64" s="14"/>
      <c r="L64" s="11"/>
      <c r="M64" s="19"/>
      <c r="N64" s="16"/>
      <c r="O64" s="7"/>
      <c r="P64" s="14" t="s">
        <v>1511</v>
      </c>
      <c r="Q64" s="15" t="s">
        <v>1512</v>
      </c>
      <c r="R64" s="7"/>
      <c r="S64" s="16" t="s">
        <v>33</v>
      </c>
      <c r="T64" s="7"/>
      <c r="U64" s="50"/>
      <c r="V64" s="51" t="s">
        <v>1494</v>
      </c>
      <c r="W64" s="52"/>
      <c r="X64" s="53">
        <f>COUNTIF($X$3:$X$49,"consented")</f>
        <v>10</v>
      </c>
      <c r="Y64" s="7"/>
      <c r="Z64" s="50"/>
      <c r="AA64" s="51" t="s">
        <v>1494</v>
      </c>
      <c r="AB64" s="52"/>
      <c r="AC64" s="53">
        <f>COUNTIF($AC$3:$AC$63,"consented")</f>
        <v>4</v>
      </c>
      <c r="AD64" s="7"/>
      <c r="AE64" s="50"/>
      <c r="AF64" s="52" t="s">
        <v>1494</v>
      </c>
      <c r="AG64" s="54"/>
      <c r="AH64" s="53">
        <f>COUNTIF($AH3:$AH63,"consented")</f>
        <v>10</v>
      </c>
      <c r="AI64" s="7"/>
      <c r="AJ64" s="50"/>
      <c r="AK64" s="51" t="s">
        <v>1494</v>
      </c>
      <c r="AL64" s="54"/>
      <c r="AM64" s="53">
        <f>COUNTIF($AM3:$AM43,"consented")</f>
        <v>10</v>
      </c>
      <c r="AN64" s="7"/>
      <c r="AO64" s="14" t="s">
        <v>1513</v>
      </c>
      <c r="AP64" s="15" t="s">
        <v>1514</v>
      </c>
      <c r="AQ64" s="44"/>
      <c r="AR64" s="16" t="s">
        <v>27</v>
      </c>
      <c r="AS64" s="7"/>
      <c r="AT64" s="7"/>
      <c r="AU64" s="44" t="s">
        <v>1515</v>
      </c>
      <c r="AV64" s="11"/>
      <c r="AW64" s="7"/>
      <c r="AX64" s="7"/>
      <c r="AY64" s="7"/>
      <c r="AZ64" s="7"/>
      <c r="BA64" s="7"/>
      <c r="BB64" s="7"/>
      <c r="BC64" s="7"/>
      <c r="BD64" s="14" t="s">
        <v>1516</v>
      </c>
      <c r="BE64" s="15" t="s">
        <v>1517</v>
      </c>
      <c r="BF64" s="11"/>
      <c r="BG64" s="16" t="s">
        <v>27</v>
      </c>
      <c r="BH64" s="7"/>
      <c r="BI64" s="14" t="s">
        <v>1408</v>
      </c>
      <c r="BJ64" s="15" t="s">
        <v>1518</v>
      </c>
      <c r="BK64" s="44"/>
      <c r="BL64" s="16" t="s">
        <v>27</v>
      </c>
      <c r="BM64" s="7"/>
      <c r="BN64" s="7"/>
      <c r="BO64" s="7"/>
      <c r="BP64" s="7"/>
      <c r="BQ64" s="7"/>
      <c r="BR64" s="7"/>
      <c r="BS64" s="7"/>
      <c r="BT64" s="7"/>
      <c r="BU64" s="7"/>
      <c r="BV64" s="7"/>
      <c r="BW64" s="7"/>
      <c r="BX64" s="7"/>
      <c r="BY64" s="7"/>
      <c r="BZ64" s="41"/>
      <c r="CA64" s="7"/>
      <c r="CB64" s="7"/>
      <c r="CC64" s="7"/>
      <c r="CD64" s="7"/>
      <c r="CE64" s="7"/>
      <c r="CF64" s="7"/>
    </row>
    <row r="65">
      <c r="A65" s="14" t="s">
        <v>1519</v>
      </c>
      <c r="B65" s="15" t="s">
        <v>1520</v>
      </c>
      <c r="C65" s="11"/>
      <c r="D65" s="26" t="s">
        <v>27</v>
      </c>
      <c r="E65" s="7"/>
      <c r="F65" s="14"/>
      <c r="G65" s="44"/>
      <c r="H65" s="11"/>
      <c r="I65" s="27"/>
      <c r="J65" s="7"/>
      <c r="K65" s="14"/>
      <c r="L65" s="11"/>
      <c r="M65" s="19"/>
      <c r="N65" s="16"/>
      <c r="O65" s="7"/>
      <c r="P65" s="14" t="s">
        <v>1521</v>
      </c>
      <c r="Q65" s="15" t="s">
        <v>1522</v>
      </c>
      <c r="R65" s="7"/>
      <c r="S65" s="27"/>
      <c r="T65" s="7"/>
      <c r="U65" s="7"/>
      <c r="V65" s="7"/>
      <c r="W65" s="7"/>
      <c r="X65" s="7"/>
      <c r="Y65" s="7"/>
      <c r="Z65" s="7"/>
      <c r="AA65" s="7"/>
      <c r="AB65" s="7"/>
      <c r="AC65" s="7"/>
      <c r="AD65" s="7"/>
      <c r="AE65" s="7"/>
      <c r="AF65" s="7"/>
      <c r="AG65" s="7"/>
      <c r="AH65" s="7"/>
      <c r="AI65" s="7"/>
      <c r="AJ65" s="7"/>
      <c r="AK65" s="7"/>
      <c r="AL65" s="7"/>
      <c r="AM65" s="7"/>
      <c r="AN65" s="7"/>
      <c r="AO65" s="14" t="s">
        <v>1523</v>
      </c>
      <c r="AP65" s="15" t="s">
        <v>1524</v>
      </c>
      <c r="AQ65" s="44"/>
      <c r="AR65" s="16" t="s">
        <v>33</v>
      </c>
      <c r="AS65" s="7"/>
      <c r="AT65" s="7"/>
      <c r="AU65" s="55"/>
      <c r="AV65" s="7"/>
      <c r="AW65" s="7"/>
      <c r="AX65" s="7"/>
      <c r="AY65" s="7"/>
      <c r="AZ65" s="7"/>
      <c r="BA65" s="7"/>
      <c r="BB65" s="7"/>
      <c r="BC65" s="7"/>
      <c r="BD65" s="14" t="s">
        <v>1525</v>
      </c>
      <c r="BE65" s="15" t="s">
        <v>1526</v>
      </c>
      <c r="BF65" s="11" t="s">
        <v>1527</v>
      </c>
      <c r="BG65" s="16" t="s">
        <v>27</v>
      </c>
      <c r="BH65" s="7"/>
      <c r="BI65" s="14" t="s">
        <v>1408</v>
      </c>
      <c r="BJ65" s="15" t="s">
        <v>1528</v>
      </c>
      <c r="BK65" s="44"/>
      <c r="BL65" s="16" t="s">
        <v>27</v>
      </c>
      <c r="BM65" s="7"/>
      <c r="BN65" s="7"/>
      <c r="BO65" s="7"/>
      <c r="BP65" s="7"/>
      <c r="BQ65" s="7"/>
      <c r="BR65" s="7"/>
      <c r="BS65" s="7"/>
      <c r="BT65" s="7"/>
      <c r="BU65" s="7"/>
      <c r="BV65" s="7"/>
      <c r="BW65" s="7"/>
      <c r="BX65" s="7"/>
      <c r="BY65" s="7"/>
      <c r="BZ65" s="41"/>
      <c r="CA65" s="7"/>
      <c r="CB65" s="7"/>
      <c r="CC65" s="7"/>
      <c r="CD65" s="7"/>
      <c r="CE65" s="7"/>
      <c r="CF65" s="7"/>
    </row>
    <row r="66">
      <c r="A66" s="14" t="s">
        <v>1529</v>
      </c>
      <c r="B66" s="15" t="s">
        <v>1530</v>
      </c>
      <c r="C66" s="11"/>
      <c r="D66" s="26" t="s">
        <v>27</v>
      </c>
      <c r="E66" s="7"/>
      <c r="F66" s="14"/>
      <c r="G66" s="44"/>
      <c r="H66" s="11"/>
      <c r="I66" s="27"/>
      <c r="J66" s="7"/>
      <c r="K66" s="14"/>
      <c r="L66" s="11"/>
      <c r="M66" s="19"/>
      <c r="N66" s="16"/>
      <c r="O66" s="7"/>
      <c r="P66" s="14" t="s">
        <v>1531</v>
      </c>
      <c r="Q66" s="15" t="s">
        <v>1532</v>
      </c>
      <c r="R66" s="44" t="s">
        <v>1533</v>
      </c>
      <c r="S66" s="16" t="s">
        <v>33</v>
      </c>
      <c r="T66" s="7"/>
      <c r="U66" s="7"/>
      <c r="V66" s="7"/>
      <c r="W66" s="7"/>
      <c r="X66" s="7"/>
      <c r="Y66" s="7"/>
      <c r="Z66" s="7"/>
      <c r="AA66" s="7"/>
      <c r="AB66" s="7"/>
      <c r="AC66" s="7"/>
      <c r="AD66" s="7"/>
      <c r="AE66" s="7"/>
      <c r="AF66" s="7"/>
      <c r="AG66" s="7"/>
      <c r="AH66" s="7"/>
      <c r="AI66" s="7"/>
      <c r="AJ66" s="7"/>
      <c r="AK66" s="7"/>
      <c r="AL66" s="7"/>
      <c r="AM66" s="7"/>
      <c r="AN66" s="7"/>
      <c r="AO66" s="14" t="s">
        <v>1534</v>
      </c>
      <c r="AP66" s="15" t="s">
        <v>1535</v>
      </c>
      <c r="AQ66" s="44"/>
      <c r="AR66" s="16" t="s">
        <v>27</v>
      </c>
      <c r="AS66" s="7"/>
      <c r="AT66" s="7"/>
      <c r="AU66" s="55"/>
      <c r="AV66" s="7"/>
      <c r="AW66" s="7"/>
      <c r="AX66" s="7"/>
      <c r="AY66" s="7"/>
      <c r="AZ66" s="7"/>
      <c r="BA66" s="7"/>
      <c r="BB66" s="7"/>
      <c r="BC66" s="7"/>
      <c r="BD66" s="14" t="s">
        <v>1536</v>
      </c>
      <c r="BE66" s="15" t="s">
        <v>1537</v>
      </c>
      <c r="BF66" s="11"/>
      <c r="BG66" s="16" t="s">
        <v>27</v>
      </c>
      <c r="BH66" s="7"/>
      <c r="BI66" s="14" t="s">
        <v>1408</v>
      </c>
      <c r="BJ66" s="15" t="s">
        <v>1538</v>
      </c>
      <c r="BK66" s="44"/>
      <c r="BL66" s="16" t="s">
        <v>27</v>
      </c>
      <c r="BM66" s="7"/>
      <c r="BN66" s="7"/>
      <c r="BO66" s="7"/>
      <c r="BP66" s="7"/>
      <c r="BQ66" s="7"/>
      <c r="BR66" s="7"/>
      <c r="BS66" s="7"/>
      <c r="BT66" s="7"/>
      <c r="BU66" s="7"/>
      <c r="BV66" s="7"/>
      <c r="BW66" s="7"/>
      <c r="BX66" s="7"/>
      <c r="BY66" s="7"/>
      <c r="BZ66" s="41"/>
      <c r="CA66" s="7"/>
      <c r="CB66" s="7"/>
      <c r="CC66" s="7"/>
      <c r="CD66" s="7"/>
      <c r="CE66" s="7"/>
      <c r="CF66" s="7"/>
    </row>
    <row r="67">
      <c r="A67" s="14" t="s">
        <v>1539</v>
      </c>
      <c r="B67" s="15" t="s">
        <v>1540</v>
      </c>
      <c r="C67" s="11"/>
      <c r="D67" s="26" t="s">
        <v>27</v>
      </c>
      <c r="E67" s="7"/>
      <c r="F67" s="14"/>
      <c r="G67" s="44"/>
      <c r="H67" s="11"/>
      <c r="I67" s="27"/>
      <c r="J67" s="7"/>
      <c r="K67" s="14"/>
      <c r="L67" s="11"/>
      <c r="M67" s="19"/>
      <c r="N67" s="16"/>
      <c r="O67" s="7"/>
      <c r="P67" s="14" t="s">
        <v>1541</v>
      </c>
      <c r="Q67" s="15" t="s">
        <v>1542</v>
      </c>
      <c r="R67" s="7"/>
      <c r="S67" s="27"/>
      <c r="T67" s="7"/>
      <c r="U67" s="7"/>
      <c r="V67" s="7"/>
      <c r="W67" s="7"/>
      <c r="X67" s="7"/>
      <c r="Y67" s="7"/>
      <c r="Z67" s="7"/>
      <c r="AA67" s="7"/>
      <c r="AB67" s="7"/>
      <c r="AC67" s="7"/>
      <c r="AD67" s="7"/>
      <c r="AE67" s="7"/>
      <c r="AF67" s="7"/>
      <c r="AG67" s="7"/>
      <c r="AH67" s="7"/>
      <c r="AI67" s="7"/>
      <c r="AJ67" s="7"/>
      <c r="AK67" s="7"/>
      <c r="AL67" s="7"/>
      <c r="AM67" s="7"/>
      <c r="AN67" s="7"/>
      <c r="AO67" s="14" t="s">
        <v>1543</v>
      </c>
      <c r="AP67" s="15" t="s">
        <v>1544</v>
      </c>
      <c r="AQ67" s="44"/>
      <c r="AR67" s="16" t="s">
        <v>27</v>
      </c>
      <c r="AS67" s="7"/>
      <c r="AT67" s="7"/>
      <c r="AU67" s="55"/>
      <c r="AV67" s="7"/>
      <c r="AW67" s="7"/>
      <c r="AX67" s="7"/>
      <c r="AY67" s="7"/>
      <c r="AZ67" s="7"/>
      <c r="BA67" s="7"/>
      <c r="BB67" s="7"/>
      <c r="BC67" s="7"/>
      <c r="BD67" s="14" t="s">
        <v>1545</v>
      </c>
      <c r="BE67" s="15" t="s">
        <v>1546</v>
      </c>
      <c r="BF67" s="11"/>
      <c r="BG67" s="16" t="s">
        <v>27</v>
      </c>
      <c r="BH67" s="7"/>
      <c r="BI67" s="14" t="s">
        <v>1547</v>
      </c>
      <c r="BJ67" s="15" t="s">
        <v>1548</v>
      </c>
      <c r="BK67" s="44" t="s">
        <v>1549</v>
      </c>
      <c r="BL67" s="16" t="s">
        <v>27</v>
      </c>
      <c r="BM67" s="7"/>
      <c r="BN67" s="7"/>
      <c r="BO67" s="7"/>
      <c r="BP67" s="7"/>
      <c r="BQ67" s="7"/>
      <c r="BR67" s="7"/>
      <c r="BS67" s="7"/>
      <c r="BT67" s="7"/>
      <c r="BU67" s="7"/>
      <c r="BV67" s="7"/>
      <c r="BW67" s="7"/>
      <c r="BX67" s="7"/>
      <c r="BY67" s="7"/>
      <c r="BZ67" s="41"/>
      <c r="CA67" s="7"/>
      <c r="CB67" s="7"/>
      <c r="CC67" s="7"/>
      <c r="CD67" s="7"/>
      <c r="CE67" s="7"/>
      <c r="CF67" s="7"/>
    </row>
    <row r="68">
      <c r="A68" s="14" t="s">
        <v>1550</v>
      </c>
      <c r="B68" s="15" t="s">
        <v>1551</v>
      </c>
      <c r="C68" s="11"/>
      <c r="D68" s="26" t="s">
        <v>27</v>
      </c>
      <c r="E68" s="7"/>
      <c r="F68" s="14"/>
      <c r="G68" s="44"/>
      <c r="H68" s="11"/>
      <c r="I68" s="27"/>
      <c r="J68" s="7"/>
      <c r="K68" s="14"/>
      <c r="L68" s="11"/>
      <c r="M68" s="19"/>
      <c r="N68" s="16"/>
      <c r="O68" s="7"/>
      <c r="P68" s="14" t="s">
        <v>1552</v>
      </c>
      <c r="Q68" s="15" t="s">
        <v>1553</v>
      </c>
      <c r="R68" s="7"/>
      <c r="S68" s="16" t="s">
        <v>33</v>
      </c>
      <c r="T68" s="7"/>
      <c r="U68" s="7"/>
      <c r="V68" s="7"/>
      <c r="W68" s="7"/>
      <c r="X68" s="7"/>
      <c r="Y68" s="7"/>
      <c r="Z68" s="7"/>
      <c r="AA68" s="7"/>
      <c r="AB68" s="7"/>
      <c r="AC68" s="7"/>
      <c r="AD68" s="7"/>
      <c r="AE68" s="7"/>
      <c r="AF68" s="7"/>
      <c r="AG68" s="7"/>
      <c r="AH68" s="7"/>
      <c r="AI68" s="7"/>
      <c r="AJ68" s="7"/>
      <c r="AK68" s="7"/>
      <c r="AL68" s="7"/>
      <c r="AM68" s="7"/>
      <c r="AN68" s="7"/>
      <c r="AO68" s="14" t="s">
        <v>1554</v>
      </c>
      <c r="AP68" s="15" t="s">
        <v>1555</v>
      </c>
      <c r="AQ68" s="44"/>
      <c r="AR68" s="16" t="s">
        <v>33</v>
      </c>
      <c r="AS68" s="7"/>
      <c r="AT68" s="7"/>
      <c r="AU68" s="55"/>
      <c r="AV68" s="7"/>
      <c r="AW68" s="7"/>
      <c r="AX68" s="7"/>
      <c r="AY68" s="7"/>
      <c r="AZ68" s="7"/>
      <c r="BA68" s="7"/>
      <c r="BB68" s="7"/>
      <c r="BC68" s="7"/>
      <c r="BD68" s="14" t="s">
        <v>1556</v>
      </c>
      <c r="BE68" s="15" t="s">
        <v>1557</v>
      </c>
      <c r="BF68" s="11"/>
      <c r="BG68" s="16" t="s">
        <v>27</v>
      </c>
      <c r="BH68" s="7"/>
      <c r="BI68" s="14" t="s">
        <v>1558</v>
      </c>
      <c r="BJ68" s="15" t="s">
        <v>1559</v>
      </c>
      <c r="BK68" s="44" t="s">
        <v>1560</v>
      </c>
      <c r="BL68" s="16" t="s">
        <v>27</v>
      </c>
      <c r="BM68" s="7"/>
      <c r="BN68" s="7"/>
      <c r="BO68" s="7"/>
      <c r="BP68" s="7"/>
      <c r="BQ68" s="7"/>
      <c r="BR68" s="7"/>
      <c r="BS68" s="7"/>
      <c r="BT68" s="7"/>
      <c r="BU68" s="7"/>
      <c r="BV68" s="7"/>
      <c r="BW68" s="7"/>
      <c r="BX68" s="7"/>
      <c r="BY68" s="7"/>
      <c r="BZ68" s="41"/>
      <c r="CA68" s="7"/>
      <c r="CB68" s="7"/>
      <c r="CC68" s="7"/>
      <c r="CD68" s="7"/>
      <c r="CE68" s="7"/>
      <c r="CF68" s="7"/>
    </row>
    <row r="69">
      <c r="A69" s="14" t="s">
        <v>1561</v>
      </c>
      <c r="B69" s="15" t="s">
        <v>1562</v>
      </c>
      <c r="C69" s="11"/>
      <c r="D69" s="26" t="s">
        <v>27</v>
      </c>
      <c r="E69" s="7"/>
      <c r="F69" s="14"/>
      <c r="G69" s="44"/>
      <c r="H69" s="11"/>
      <c r="I69" s="27"/>
      <c r="J69" s="7"/>
      <c r="K69" s="14"/>
      <c r="L69" s="11"/>
      <c r="M69" s="19"/>
      <c r="N69" s="16"/>
      <c r="O69" s="7"/>
      <c r="P69" s="14" t="s">
        <v>1563</v>
      </c>
      <c r="Q69" s="15" t="s">
        <v>1564</v>
      </c>
      <c r="R69" s="7"/>
      <c r="S69" s="16" t="s">
        <v>33</v>
      </c>
      <c r="T69" s="7"/>
      <c r="U69" s="7"/>
      <c r="V69" s="7"/>
      <c r="W69" s="7"/>
      <c r="X69" s="7"/>
      <c r="Y69" s="7"/>
      <c r="Z69" s="7"/>
      <c r="AA69" s="7"/>
      <c r="AB69" s="7"/>
      <c r="AC69" s="7"/>
      <c r="AD69" s="7"/>
      <c r="AE69" s="7"/>
      <c r="AF69" s="7"/>
      <c r="AG69" s="7"/>
      <c r="AH69" s="7"/>
      <c r="AI69" s="7"/>
      <c r="AJ69" s="7"/>
      <c r="AK69" s="7"/>
      <c r="AL69" s="7"/>
      <c r="AM69" s="7"/>
      <c r="AN69" s="7"/>
      <c r="AO69" s="14" t="s">
        <v>1565</v>
      </c>
      <c r="AP69" s="15" t="s">
        <v>1566</v>
      </c>
      <c r="AQ69" s="44"/>
      <c r="AR69" s="16" t="s">
        <v>27</v>
      </c>
      <c r="AS69" s="7"/>
      <c r="AT69" s="7"/>
      <c r="AU69" s="55"/>
      <c r="AV69" s="7"/>
      <c r="AW69" s="7"/>
      <c r="AX69" s="7"/>
      <c r="AY69" s="7"/>
      <c r="AZ69" s="7"/>
      <c r="BA69" s="7"/>
      <c r="BB69" s="7"/>
      <c r="BC69" s="7"/>
      <c r="BD69" s="14" t="s">
        <v>1567</v>
      </c>
      <c r="BE69" s="15" t="s">
        <v>1568</v>
      </c>
      <c r="BF69" s="11"/>
      <c r="BG69" s="16" t="s">
        <v>27</v>
      </c>
      <c r="BH69" s="7"/>
      <c r="BI69" s="14" t="s">
        <v>1569</v>
      </c>
      <c r="BJ69" s="15" t="s">
        <v>1570</v>
      </c>
      <c r="BK69" s="44" t="s">
        <v>1571</v>
      </c>
      <c r="BL69" s="16" t="s">
        <v>27</v>
      </c>
      <c r="BM69" s="7"/>
      <c r="BN69" s="7"/>
      <c r="BO69" s="7"/>
      <c r="BP69" s="7"/>
      <c r="BQ69" s="7"/>
      <c r="BR69" s="7"/>
      <c r="BS69" s="7"/>
      <c r="BT69" s="7"/>
      <c r="BU69" s="7"/>
      <c r="BV69" s="7"/>
      <c r="BW69" s="7"/>
      <c r="BX69" s="7"/>
      <c r="BY69" s="7"/>
      <c r="BZ69" s="41"/>
      <c r="CA69" s="7"/>
      <c r="CB69" s="7"/>
      <c r="CC69" s="7"/>
      <c r="CD69" s="7"/>
      <c r="CE69" s="7"/>
      <c r="CF69" s="7"/>
    </row>
    <row r="70">
      <c r="A70" s="14" t="s">
        <v>1572</v>
      </c>
      <c r="B70" s="15" t="s">
        <v>1573</v>
      </c>
      <c r="C70" s="11" t="s">
        <v>1574</v>
      </c>
      <c r="D70" s="26" t="s">
        <v>33</v>
      </c>
      <c r="E70" s="7"/>
      <c r="F70" s="14"/>
      <c r="G70" s="44"/>
      <c r="H70" s="11"/>
      <c r="I70" s="27"/>
      <c r="J70" s="7"/>
      <c r="K70" s="14"/>
      <c r="L70" s="11"/>
      <c r="M70" s="19"/>
      <c r="N70" s="16"/>
      <c r="O70" s="7"/>
      <c r="P70" s="14"/>
      <c r="Q70" s="44"/>
      <c r="R70" s="7"/>
      <c r="S70" s="27"/>
      <c r="T70" s="7"/>
      <c r="U70" s="7"/>
      <c r="V70" s="7"/>
      <c r="W70" s="7"/>
      <c r="X70" s="7"/>
      <c r="Y70" s="7"/>
      <c r="Z70" s="7"/>
      <c r="AA70" s="7"/>
      <c r="AB70" s="7"/>
      <c r="AC70" s="7"/>
      <c r="AD70" s="7"/>
      <c r="AE70" s="7"/>
      <c r="AF70" s="7"/>
      <c r="AG70" s="7"/>
      <c r="AH70" s="7"/>
      <c r="AI70" s="7"/>
      <c r="AJ70" s="7"/>
      <c r="AK70" s="7"/>
      <c r="AL70" s="7"/>
      <c r="AM70" s="7"/>
      <c r="AN70" s="7"/>
      <c r="AO70" s="14" t="s">
        <v>1575</v>
      </c>
      <c r="AP70" s="15" t="s">
        <v>1576</v>
      </c>
      <c r="AQ70" s="44"/>
      <c r="AR70" s="16" t="s">
        <v>27</v>
      </c>
      <c r="AS70" s="7"/>
      <c r="AT70" s="7"/>
      <c r="AU70" s="55"/>
      <c r="AV70" s="7"/>
      <c r="AW70" s="7"/>
      <c r="AX70" s="7"/>
      <c r="AY70" s="7"/>
      <c r="AZ70" s="7"/>
      <c r="BA70" s="7"/>
      <c r="BB70" s="7"/>
      <c r="BC70" s="7"/>
      <c r="BD70" s="14" t="s">
        <v>1577</v>
      </c>
      <c r="BE70" s="15" t="s">
        <v>1578</v>
      </c>
      <c r="BF70" s="11"/>
      <c r="BG70" s="16" t="s">
        <v>27</v>
      </c>
      <c r="BH70" s="7"/>
      <c r="BI70" s="14" t="s">
        <v>1579</v>
      </c>
      <c r="BJ70" s="15" t="s">
        <v>1580</v>
      </c>
      <c r="BK70" s="44"/>
      <c r="BL70" s="16" t="s">
        <v>27</v>
      </c>
      <c r="BM70" s="7"/>
      <c r="BN70" s="7"/>
      <c r="BO70" s="7"/>
      <c r="BP70" s="7"/>
      <c r="BQ70" s="7"/>
      <c r="BR70" s="7"/>
      <c r="BS70" s="7"/>
      <c r="BT70" s="7"/>
      <c r="BU70" s="7"/>
      <c r="BV70" s="7"/>
      <c r="BW70" s="7"/>
      <c r="BX70" s="7"/>
      <c r="BY70" s="7"/>
      <c r="BZ70" s="41"/>
      <c r="CA70" s="7"/>
      <c r="CB70" s="7"/>
      <c r="CC70" s="7"/>
      <c r="CD70" s="7"/>
      <c r="CE70" s="7"/>
      <c r="CF70" s="7"/>
    </row>
    <row r="71">
      <c r="A71" s="14" t="s">
        <v>1581</v>
      </c>
      <c r="B71" s="15" t="s">
        <v>1582</v>
      </c>
      <c r="C71" s="11"/>
      <c r="D71" s="26" t="s">
        <v>27</v>
      </c>
      <c r="E71" s="7"/>
      <c r="F71" s="14"/>
      <c r="G71" s="44"/>
      <c r="H71" s="11"/>
      <c r="I71" s="27"/>
      <c r="J71" s="7"/>
      <c r="K71" s="14"/>
      <c r="L71" s="11"/>
      <c r="M71" s="19"/>
      <c r="N71" s="16"/>
      <c r="O71" s="7"/>
      <c r="P71" s="14"/>
      <c r="Q71" s="44"/>
      <c r="R71" s="7"/>
      <c r="S71" s="27"/>
      <c r="T71" s="7"/>
      <c r="U71" s="7"/>
      <c r="V71" s="7"/>
      <c r="W71" s="7"/>
      <c r="X71" s="7"/>
      <c r="Y71" s="7"/>
      <c r="Z71" s="7"/>
      <c r="AA71" s="7"/>
      <c r="AB71" s="7"/>
      <c r="AC71" s="7"/>
      <c r="AD71" s="7"/>
      <c r="AE71" s="7"/>
      <c r="AF71" s="7"/>
      <c r="AG71" s="7"/>
      <c r="AH71" s="7"/>
      <c r="AI71" s="7"/>
      <c r="AJ71" s="7"/>
      <c r="AK71" s="7"/>
      <c r="AL71" s="7"/>
      <c r="AM71" s="7"/>
      <c r="AN71" s="7"/>
      <c r="AO71" s="14" t="s">
        <v>1583</v>
      </c>
      <c r="AP71" s="15" t="s">
        <v>1584</v>
      </c>
      <c r="AQ71" s="44"/>
      <c r="AR71" s="16" t="s">
        <v>33</v>
      </c>
      <c r="AS71" s="7"/>
      <c r="AT71" s="7"/>
      <c r="AU71" s="55"/>
      <c r="AV71" s="7"/>
      <c r="AW71" s="7"/>
      <c r="AX71" s="7"/>
      <c r="AY71" s="7"/>
      <c r="AZ71" s="7"/>
      <c r="BA71" s="7"/>
      <c r="BB71" s="7"/>
      <c r="BC71" s="7"/>
      <c r="BD71" s="14" t="s">
        <v>1585</v>
      </c>
      <c r="BE71" s="15" t="s">
        <v>1586</v>
      </c>
      <c r="BF71" s="11" t="s">
        <v>1587</v>
      </c>
      <c r="BG71" s="16" t="s">
        <v>27</v>
      </c>
      <c r="BH71" s="7"/>
      <c r="BI71" s="14" t="s">
        <v>1588</v>
      </c>
      <c r="BJ71" s="15" t="s">
        <v>1589</v>
      </c>
      <c r="BK71" s="44" t="s">
        <v>1590</v>
      </c>
      <c r="BL71" s="16" t="s">
        <v>33</v>
      </c>
      <c r="BM71" s="7"/>
      <c r="BN71" s="7"/>
      <c r="BO71" s="7"/>
      <c r="BP71" s="7"/>
      <c r="BQ71" s="7"/>
      <c r="BR71" s="7"/>
      <c r="BS71" s="7"/>
      <c r="BT71" s="7"/>
      <c r="BU71" s="7"/>
      <c r="BV71" s="7"/>
      <c r="BW71" s="7"/>
      <c r="BX71" s="7"/>
      <c r="BY71" s="7"/>
      <c r="BZ71" s="41"/>
      <c r="CA71" s="7"/>
      <c r="CB71" s="7"/>
      <c r="CC71" s="7"/>
      <c r="CD71" s="7"/>
      <c r="CE71" s="7"/>
      <c r="CF71" s="7"/>
    </row>
    <row r="72">
      <c r="A72" s="14" t="s">
        <v>1591</v>
      </c>
      <c r="B72" s="15" t="s">
        <v>1592</v>
      </c>
      <c r="C72" s="11"/>
      <c r="D72" s="26" t="s">
        <v>27</v>
      </c>
      <c r="E72" s="7"/>
      <c r="F72" s="14"/>
      <c r="G72" s="44"/>
      <c r="H72" s="11"/>
      <c r="I72" s="27"/>
      <c r="J72" s="7"/>
      <c r="K72" s="14"/>
      <c r="L72" s="11"/>
      <c r="M72" s="19"/>
      <c r="N72" s="16"/>
      <c r="O72" s="7"/>
      <c r="P72" s="14"/>
      <c r="Q72" s="44"/>
      <c r="R72" s="7"/>
      <c r="S72" s="27"/>
      <c r="T72" s="7"/>
      <c r="U72" s="7"/>
      <c r="V72" s="7"/>
      <c r="W72" s="7"/>
      <c r="X72" s="7"/>
      <c r="Y72" s="7"/>
      <c r="Z72" s="7"/>
      <c r="AA72" s="7"/>
      <c r="AB72" s="7"/>
      <c r="AC72" s="7"/>
      <c r="AD72" s="7"/>
      <c r="AE72" s="7"/>
      <c r="AF72" s="7"/>
      <c r="AG72" s="7"/>
      <c r="AH72" s="7"/>
      <c r="AI72" s="7"/>
      <c r="AJ72" s="7"/>
      <c r="AK72" s="7"/>
      <c r="AL72" s="7"/>
      <c r="AM72" s="7"/>
      <c r="AN72" s="7"/>
      <c r="AO72" s="14" t="s">
        <v>1593</v>
      </c>
      <c r="AP72" s="15" t="s">
        <v>1594</v>
      </c>
      <c r="AQ72" s="44"/>
      <c r="AR72" s="16" t="s">
        <v>27</v>
      </c>
      <c r="AS72" s="7"/>
      <c r="AT72" s="7"/>
      <c r="AU72" s="55"/>
      <c r="AV72" s="7"/>
      <c r="AW72" s="7"/>
      <c r="AX72" s="7"/>
      <c r="AY72" s="7"/>
      <c r="AZ72" s="7"/>
      <c r="BA72" s="7"/>
      <c r="BB72" s="7"/>
      <c r="BC72" s="7"/>
      <c r="BD72" s="14" t="s">
        <v>1595</v>
      </c>
      <c r="BE72" s="15" t="s">
        <v>1596</v>
      </c>
      <c r="BF72" s="11" t="s">
        <v>1597</v>
      </c>
      <c r="BG72" s="16" t="s">
        <v>27</v>
      </c>
      <c r="BH72" s="7"/>
      <c r="BI72" s="14" t="s">
        <v>1598</v>
      </c>
      <c r="BJ72" s="15" t="s">
        <v>1599</v>
      </c>
      <c r="BK72" s="44"/>
      <c r="BL72" s="16" t="s">
        <v>27</v>
      </c>
      <c r="BM72" s="7"/>
      <c r="BN72" s="7"/>
      <c r="BO72" s="7"/>
      <c r="BP72" s="7"/>
      <c r="BQ72" s="7"/>
      <c r="BR72" s="7"/>
      <c r="BS72" s="7"/>
      <c r="BT72" s="7"/>
      <c r="BU72" s="7"/>
      <c r="BV72" s="7"/>
      <c r="BW72" s="7"/>
      <c r="BX72" s="7"/>
      <c r="BY72" s="7"/>
      <c r="BZ72" s="41"/>
      <c r="CA72" s="7"/>
      <c r="CB72" s="7"/>
      <c r="CC72" s="7"/>
      <c r="CD72" s="7"/>
      <c r="CE72" s="7"/>
      <c r="CF72" s="7"/>
    </row>
    <row r="73">
      <c r="A73" s="14" t="s">
        <v>1600</v>
      </c>
      <c r="B73" s="15" t="s">
        <v>1601</v>
      </c>
      <c r="C73" s="11"/>
      <c r="D73" s="26" t="s">
        <v>27</v>
      </c>
      <c r="E73" s="7"/>
      <c r="F73" s="14"/>
      <c r="G73" s="44"/>
      <c r="H73" s="11"/>
      <c r="I73" s="27"/>
      <c r="J73" s="7"/>
      <c r="K73" s="14"/>
      <c r="L73" s="11"/>
      <c r="M73" s="19"/>
      <c r="N73" s="16"/>
      <c r="O73" s="7"/>
      <c r="P73" s="14"/>
      <c r="Q73" s="44"/>
      <c r="R73" s="7"/>
      <c r="S73" s="27"/>
      <c r="T73" s="7"/>
      <c r="U73" s="7"/>
      <c r="V73" s="7"/>
      <c r="W73" s="7"/>
      <c r="X73" s="7"/>
      <c r="Y73" s="7"/>
      <c r="Z73" s="7"/>
      <c r="AA73" s="7"/>
      <c r="AB73" s="7"/>
      <c r="AC73" s="7"/>
      <c r="AD73" s="7"/>
      <c r="AE73" s="7"/>
      <c r="AF73" s="7"/>
      <c r="AG73" s="7"/>
      <c r="AH73" s="7"/>
      <c r="AI73" s="7"/>
      <c r="AJ73" s="7"/>
      <c r="AK73" s="7"/>
      <c r="AL73" s="7"/>
      <c r="AM73" s="7"/>
      <c r="AN73" s="7"/>
      <c r="AO73" s="14" t="s">
        <v>1602</v>
      </c>
      <c r="AP73" s="15" t="s">
        <v>1603</v>
      </c>
      <c r="AQ73" s="44"/>
      <c r="AR73" s="16" t="s">
        <v>27</v>
      </c>
      <c r="AS73" s="7"/>
      <c r="AT73" s="7"/>
      <c r="AU73" s="55"/>
      <c r="AV73" s="7"/>
      <c r="AW73" s="7"/>
      <c r="AX73" s="7"/>
      <c r="AY73" s="7"/>
      <c r="AZ73" s="7"/>
      <c r="BA73" s="7"/>
      <c r="BB73" s="7"/>
      <c r="BC73" s="7"/>
      <c r="BD73" s="14" t="s">
        <v>1604</v>
      </c>
      <c r="BE73" s="15" t="s">
        <v>1605</v>
      </c>
      <c r="BF73" s="11"/>
      <c r="BG73" s="16" t="s">
        <v>27</v>
      </c>
      <c r="BH73" s="7"/>
      <c r="BI73" s="14" t="s">
        <v>1606</v>
      </c>
      <c r="BJ73" s="15" t="s">
        <v>1607</v>
      </c>
      <c r="BK73" s="44"/>
      <c r="BL73" s="16" t="s">
        <v>27</v>
      </c>
      <c r="BM73" s="7"/>
      <c r="BN73" s="7"/>
      <c r="BO73" s="7"/>
      <c r="BP73" s="7"/>
      <c r="BQ73" s="7"/>
      <c r="BR73" s="7"/>
      <c r="BS73" s="7"/>
      <c r="BT73" s="7"/>
      <c r="BU73" s="7"/>
      <c r="BV73" s="7"/>
      <c r="BW73" s="7"/>
      <c r="BX73" s="7"/>
      <c r="BY73" s="7"/>
      <c r="BZ73" s="41"/>
      <c r="CA73" s="7"/>
      <c r="CB73" s="7"/>
      <c r="CC73" s="7"/>
      <c r="CD73" s="7"/>
      <c r="CE73" s="7"/>
      <c r="CF73" s="7"/>
    </row>
    <row r="74">
      <c r="A74" s="14" t="s">
        <v>1608</v>
      </c>
      <c r="B74" s="15" t="s">
        <v>1609</v>
      </c>
      <c r="C74" s="11" t="s">
        <v>1610</v>
      </c>
      <c r="D74" s="26" t="s">
        <v>27</v>
      </c>
      <c r="E74" s="7"/>
      <c r="F74" s="14"/>
      <c r="G74" s="44"/>
      <c r="H74" s="11"/>
      <c r="I74" s="27"/>
      <c r="J74" s="7"/>
      <c r="K74" s="14"/>
      <c r="L74" s="11"/>
      <c r="M74" s="19"/>
      <c r="N74" s="16"/>
      <c r="O74" s="7"/>
      <c r="P74" s="14"/>
      <c r="Q74" s="44"/>
      <c r="R74" s="7"/>
      <c r="S74" s="27"/>
      <c r="T74" s="7"/>
      <c r="U74" s="7"/>
      <c r="V74" s="7"/>
      <c r="W74" s="7"/>
      <c r="X74" s="7"/>
      <c r="Y74" s="7"/>
      <c r="Z74" s="7"/>
      <c r="AA74" s="7"/>
      <c r="AB74" s="7"/>
      <c r="AC74" s="7"/>
      <c r="AD74" s="7"/>
      <c r="AE74" s="7"/>
      <c r="AF74" s="7"/>
      <c r="AG74" s="7"/>
      <c r="AH74" s="7"/>
      <c r="AI74" s="7"/>
      <c r="AJ74" s="7"/>
      <c r="AK74" s="7"/>
      <c r="AL74" s="7"/>
      <c r="AM74" s="7"/>
      <c r="AN74" s="7"/>
      <c r="AO74" s="14" t="s">
        <v>1611</v>
      </c>
      <c r="AP74" s="15" t="s">
        <v>1612</v>
      </c>
      <c r="AQ74" s="44"/>
      <c r="AR74" s="16" t="s">
        <v>27</v>
      </c>
      <c r="AS74" s="7"/>
      <c r="AT74" s="7"/>
      <c r="AU74" s="55"/>
      <c r="AV74" s="7"/>
      <c r="AW74" s="7"/>
      <c r="AX74" s="7"/>
      <c r="AY74" s="7"/>
      <c r="AZ74" s="7"/>
      <c r="BA74" s="7"/>
      <c r="BB74" s="7"/>
      <c r="BC74" s="7"/>
      <c r="BD74" s="14" t="s">
        <v>1613</v>
      </c>
      <c r="BE74" s="15" t="s">
        <v>1614</v>
      </c>
      <c r="BF74" s="11" t="s">
        <v>1615</v>
      </c>
      <c r="BG74" s="16" t="s">
        <v>27</v>
      </c>
      <c r="BH74" s="7"/>
      <c r="BI74" s="14" t="s">
        <v>1616</v>
      </c>
      <c r="BJ74" s="15" t="s">
        <v>1617</v>
      </c>
      <c r="BK74" s="44"/>
      <c r="BL74" s="16" t="s">
        <v>27</v>
      </c>
      <c r="BM74" s="7"/>
      <c r="BN74" s="7"/>
      <c r="BO74" s="7"/>
      <c r="BP74" s="7"/>
      <c r="BQ74" s="7"/>
      <c r="BR74" s="7"/>
      <c r="BS74" s="7"/>
      <c r="BT74" s="7"/>
      <c r="BU74" s="7"/>
      <c r="BV74" s="7"/>
      <c r="BW74" s="7"/>
      <c r="BX74" s="7"/>
      <c r="BY74" s="7"/>
      <c r="BZ74" s="41"/>
      <c r="CA74" s="7"/>
      <c r="CB74" s="7"/>
      <c r="CC74" s="7"/>
      <c r="CD74" s="7"/>
      <c r="CE74" s="7"/>
      <c r="CF74" s="7"/>
    </row>
    <row r="75">
      <c r="A75" s="14" t="s">
        <v>1618</v>
      </c>
      <c r="B75" s="15" t="s">
        <v>1619</v>
      </c>
      <c r="C75" s="11" t="s">
        <v>1620</v>
      </c>
      <c r="D75" s="26" t="s">
        <v>27</v>
      </c>
      <c r="E75" s="7"/>
      <c r="F75" s="14"/>
      <c r="G75" s="44"/>
      <c r="H75" s="11"/>
      <c r="I75" s="27"/>
      <c r="J75" s="7"/>
      <c r="K75" s="14"/>
      <c r="L75" s="11"/>
      <c r="M75" s="19"/>
      <c r="N75" s="16"/>
      <c r="O75" s="7"/>
      <c r="P75" s="14"/>
      <c r="Q75" s="44"/>
      <c r="R75" s="7"/>
      <c r="S75" s="27"/>
      <c r="T75" s="7"/>
      <c r="U75" s="7"/>
      <c r="V75" s="7"/>
      <c r="W75" s="7"/>
      <c r="X75" s="7"/>
      <c r="Y75" s="7"/>
      <c r="Z75" s="7"/>
      <c r="AA75" s="7"/>
      <c r="AB75" s="7"/>
      <c r="AC75" s="7"/>
      <c r="AD75" s="7"/>
      <c r="AE75" s="7"/>
      <c r="AF75" s="7"/>
      <c r="AG75" s="7"/>
      <c r="AH75" s="7"/>
      <c r="AI75" s="7"/>
      <c r="AJ75" s="7"/>
      <c r="AK75" s="7"/>
      <c r="AL75" s="7"/>
      <c r="AM75" s="7"/>
      <c r="AN75" s="7"/>
      <c r="AO75" s="14" t="s">
        <v>1621</v>
      </c>
      <c r="AP75" s="15" t="s">
        <v>1622</v>
      </c>
      <c r="AQ75" s="44"/>
      <c r="AR75" s="16" t="s">
        <v>27</v>
      </c>
      <c r="AS75" s="7"/>
      <c r="AT75" s="7"/>
      <c r="AU75" s="55"/>
      <c r="AV75" s="7"/>
      <c r="AW75" s="7"/>
      <c r="AX75" s="7"/>
      <c r="AY75" s="7"/>
      <c r="AZ75" s="7"/>
      <c r="BA75" s="7"/>
      <c r="BB75" s="7"/>
      <c r="BC75" s="7"/>
      <c r="BD75" s="14" t="s">
        <v>1623</v>
      </c>
      <c r="BE75" s="15" t="s">
        <v>1624</v>
      </c>
      <c r="BF75" s="11"/>
      <c r="BG75" s="16" t="s">
        <v>27</v>
      </c>
      <c r="BH75" s="7"/>
      <c r="BI75" s="14" t="s">
        <v>1625</v>
      </c>
      <c r="BJ75" s="15" t="s">
        <v>1626</v>
      </c>
      <c r="BK75" s="44" t="s">
        <v>1627</v>
      </c>
      <c r="BL75" s="16" t="s">
        <v>27</v>
      </c>
      <c r="BM75" s="7"/>
      <c r="BN75" s="7"/>
      <c r="BO75" s="7"/>
      <c r="BP75" s="7"/>
      <c r="BQ75" s="7"/>
      <c r="BR75" s="7"/>
      <c r="BS75" s="7"/>
      <c r="BT75" s="7"/>
      <c r="BU75" s="7"/>
      <c r="BV75" s="7"/>
      <c r="BW75" s="7"/>
      <c r="BX75" s="7"/>
      <c r="BY75" s="7"/>
      <c r="BZ75" s="41"/>
      <c r="CA75" s="7"/>
      <c r="CB75" s="7"/>
      <c r="CC75" s="7"/>
      <c r="CD75" s="7"/>
      <c r="CE75" s="7"/>
      <c r="CF75" s="7"/>
    </row>
    <row r="76">
      <c r="A76" s="14" t="s">
        <v>1628</v>
      </c>
      <c r="B76" s="15" t="s">
        <v>1629</v>
      </c>
      <c r="C76" s="11" t="s">
        <v>1630</v>
      </c>
      <c r="D76" s="26" t="s">
        <v>27</v>
      </c>
      <c r="E76" s="7"/>
      <c r="F76" s="14"/>
      <c r="G76" s="44"/>
      <c r="H76" s="11"/>
      <c r="I76" s="27"/>
      <c r="J76" s="7"/>
      <c r="K76" s="14"/>
      <c r="L76" s="11"/>
      <c r="M76" s="19"/>
      <c r="N76" s="16"/>
      <c r="O76" s="7"/>
      <c r="P76" s="14"/>
      <c r="Q76" s="44"/>
      <c r="R76" s="7"/>
      <c r="S76" s="27"/>
      <c r="T76" s="7"/>
      <c r="U76" s="7"/>
      <c r="V76" s="7"/>
      <c r="W76" s="7"/>
      <c r="X76" s="7"/>
      <c r="Y76" s="7"/>
      <c r="Z76" s="7"/>
      <c r="AA76" s="7"/>
      <c r="AB76" s="7"/>
      <c r="AC76" s="7"/>
      <c r="AD76" s="7"/>
      <c r="AE76" s="7"/>
      <c r="AF76" s="7"/>
      <c r="AG76" s="7"/>
      <c r="AH76" s="7"/>
      <c r="AI76" s="7"/>
      <c r="AJ76" s="7"/>
      <c r="AK76" s="7"/>
      <c r="AL76" s="7"/>
      <c r="AM76" s="7"/>
      <c r="AN76" s="7"/>
      <c r="AO76" s="14" t="s">
        <v>1631</v>
      </c>
      <c r="AP76" s="15" t="s">
        <v>1632</v>
      </c>
      <c r="AQ76" s="44"/>
      <c r="AR76" s="16" t="s">
        <v>27</v>
      </c>
      <c r="AS76" s="7"/>
      <c r="AT76" s="7"/>
      <c r="AU76" s="55"/>
      <c r="AV76" s="7"/>
      <c r="AW76" s="7"/>
      <c r="AX76" s="7"/>
      <c r="AY76" s="7"/>
      <c r="AZ76" s="7"/>
      <c r="BA76" s="7"/>
      <c r="BB76" s="7"/>
      <c r="BC76" s="7"/>
      <c r="BD76" s="14" t="s">
        <v>1633</v>
      </c>
      <c r="BE76" s="15" t="s">
        <v>1634</v>
      </c>
      <c r="BF76" s="11"/>
      <c r="BG76" s="16" t="s">
        <v>27</v>
      </c>
      <c r="BH76" s="7"/>
      <c r="BI76" s="14" t="s">
        <v>1635</v>
      </c>
      <c r="BJ76" s="15" t="s">
        <v>1636</v>
      </c>
      <c r="BK76" s="44" t="s">
        <v>1637</v>
      </c>
      <c r="BL76" s="16" t="s">
        <v>27</v>
      </c>
      <c r="BM76" s="7"/>
      <c r="BN76" s="7"/>
      <c r="BO76" s="7"/>
      <c r="BP76" s="7"/>
      <c r="BQ76" s="7"/>
      <c r="BR76" s="7"/>
      <c r="BS76" s="7"/>
      <c r="BT76" s="7"/>
      <c r="BU76" s="7"/>
      <c r="BV76" s="7"/>
      <c r="BW76" s="7"/>
      <c r="BX76" s="7"/>
      <c r="BY76" s="7"/>
      <c r="BZ76" s="41"/>
      <c r="CA76" s="7"/>
      <c r="CB76" s="7"/>
      <c r="CC76" s="7"/>
      <c r="CD76" s="7"/>
      <c r="CE76" s="7"/>
      <c r="CF76" s="7"/>
    </row>
    <row r="77">
      <c r="A77" s="14" t="s">
        <v>1638</v>
      </c>
      <c r="B77" s="15" t="s">
        <v>1639</v>
      </c>
      <c r="C77" s="11" t="s">
        <v>1640</v>
      </c>
      <c r="D77" s="26" t="s">
        <v>27</v>
      </c>
      <c r="E77" s="7"/>
      <c r="F77" s="14"/>
      <c r="G77" s="44"/>
      <c r="H77" s="11"/>
      <c r="I77" s="27"/>
      <c r="J77" s="7"/>
      <c r="K77" s="14"/>
      <c r="L77" s="11"/>
      <c r="M77" s="19"/>
      <c r="N77" s="16"/>
      <c r="O77" s="7"/>
      <c r="P77" s="14"/>
      <c r="Q77" s="44"/>
      <c r="R77" s="7"/>
      <c r="S77" s="27"/>
      <c r="T77" s="7"/>
      <c r="U77" s="7"/>
      <c r="V77" s="7"/>
      <c r="W77" s="7"/>
      <c r="X77" s="7"/>
      <c r="Y77" s="7"/>
      <c r="Z77" s="7"/>
      <c r="AA77" s="7"/>
      <c r="AB77" s="7"/>
      <c r="AC77" s="7"/>
      <c r="AD77" s="7"/>
      <c r="AE77" s="7"/>
      <c r="AF77" s="7"/>
      <c r="AG77" s="7"/>
      <c r="AH77" s="7"/>
      <c r="AI77" s="7"/>
      <c r="AJ77" s="7"/>
      <c r="AK77" s="7"/>
      <c r="AL77" s="7"/>
      <c r="AM77" s="7"/>
      <c r="AN77" s="7"/>
      <c r="AO77" s="14" t="s">
        <v>1641</v>
      </c>
      <c r="AP77" s="15" t="s">
        <v>1642</v>
      </c>
      <c r="AQ77" s="44" t="s">
        <v>1643</v>
      </c>
      <c r="AR77" s="16" t="s">
        <v>27</v>
      </c>
      <c r="AS77" s="7"/>
      <c r="AT77" s="7"/>
      <c r="AU77" s="55"/>
      <c r="AV77" s="7"/>
      <c r="AW77" s="7"/>
      <c r="AX77" s="7"/>
      <c r="AY77" s="7"/>
      <c r="AZ77" s="7"/>
      <c r="BA77" s="7"/>
      <c r="BB77" s="7"/>
      <c r="BC77" s="7"/>
      <c r="BD77" s="14" t="s">
        <v>1644</v>
      </c>
      <c r="BE77" s="15" t="s">
        <v>1645</v>
      </c>
      <c r="BF77" s="11"/>
      <c r="BG77" s="16" t="s">
        <v>27</v>
      </c>
      <c r="BH77" s="7"/>
      <c r="BI77" s="14" t="s">
        <v>1646</v>
      </c>
      <c r="BJ77" s="15" t="s">
        <v>1647</v>
      </c>
      <c r="BK77" s="44"/>
      <c r="BL77" s="16" t="s">
        <v>27</v>
      </c>
      <c r="BM77" s="7"/>
      <c r="BN77" s="7"/>
      <c r="BO77" s="7"/>
      <c r="BP77" s="7"/>
      <c r="BQ77" s="7"/>
      <c r="BR77" s="7"/>
      <c r="BS77" s="7"/>
      <c r="BT77" s="7"/>
      <c r="BU77" s="7"/>
      <c r="BV77" s="7"/>
      <c r="BW77" s="7"/>
      <c r="BX77" s="7"/>
      <c r="BY77" s="7"/>
      <c r="BZ77" s="41"/>
      <c r="CA77" s="7"/>
      <c r="CB77" s="7"/>
      <c r="CC77" s="7"/>
      <c r="CD77" s="7"/>
      <c r="CE77" s="7"/>
      <c r="CF77" s="7"/>
    </row>
    <row r="78">
      <c r="A78" s="14" t="s">
        <v>1648</v>
      </c>
      <c r="B78" s="15" t="s">
        <v>1649</v>
      </c>
      <c r="C78" s="11" t="s">
        <v>1650</v>
      </c>
      <c r="D78" s="26" t="s">
        <v>27</v>
      </c>
      <c r="E78" s="7"/>
      <c r="F78" s="14"/>
      <c r="G78" s="44"/>
      <c r="H78" s="11"/>
      <c r="I78" s="27"/>
      <c r="J78" s="7"/>
      <c r="K78" s="14"/>
      <c r="L78" s="11"/>
      <c r="M78" s="19"/>
      <c r="N78" s="16"/>
      <c r="O78" s="7"/>
      <c r="P78" s="14"/>
      <c r="Q78" s="44"/>
      <c r="R78" s="7"/>
      <c r="S78" s="27"/>
      <c r="T78" s="7"/>
      <c r="U78" s="7"/>
      <c r="V78" s="7"/>
      <c r="W78" s="7"/>
      <c r="X78" s="7"/>
      <c r="Y78" s="7"/>
      <c r="Z78" s="7"/>
      <c r="AA78" s="7"/>
      <c r="AB78" s="7"/>
      <c r="AC78" s="7"/>
      <c r="AD78" s="7"/>
      <c r="AE78" s="7"/>
      <c r="AF78" s="7"/>
      <c r="AG78" s="7"/>
      <c r="AH78" s="7"/>
      <c r="AI78" s="7"/>
      <c r="AJ78" s="7"/>
      <c r="AK78" s="7"/>
      <c r="AL78" s="7"/>
      <c r="AM78" s="7"/>
      <c r="AN78" s="7"/>
      <c r="AO78" s="14" t="s">
        <v>1651</v>
      </c>
      <c r="AP78" s="15" t="s">
        <v>1652</v>
      </c>
      <c r="AQ78" s="44" t="s">
        <v>1653</v>
      </c>
      <c r="AR78" s="16" t="s">
        <v>27</v>
      </c>
      <c r="AS78" s="7"/>
      <c r="AT78" s="7"/>
      <c r="AU78" s="55"/>
      <c r="AV78" s="7"/>
      <c r="AW78" s="7"/>
      <c r="AX78" s="7"/>
      <c r="AY78" s="7"/>
      <c r="AZ78" s="7"/>
      <c r="BA78" s="7"/>
      <c r="BB78" s="7"/>
      <c r="BC78" s="7"/>
      <c r="BD78" s="14" t="s">
        <v>1654</v>
      </c>
      <c r="BE78" s="15" t="s">
        <v>1655</v>
      </c>
      <c r="BF78" s="11" t="s">
        <v>1656</v>
      </c>
      <c r="BG78" s="16" t="s">
        <v>27</v>
      </c>
      <c r="BH78" s="7"/>
      <c r="BI78" s="14" t="s">
        <v>517</v>
      </c>
      <c r="BJ78" s="15" t="s">
        <v>1657</v>
      </c>
      <c r="BK78" s="44"/>
      <c r="BL78" s="16" t="s">
        <v>27</v>
      </c>
      <c r="BM78" s="7"/>
      <c r="BN78" s="7"/>
      <c r="BO78" s="7"/>
      <c r="BP78" s="7"/>
      <c r="BQ78" s="7"/>
      <c r="BR78" s="7"/>
      <c r="BS78" s="7"/>
      <c r="BT78" s="7"/>
      <c r="BU78" s="7"/>
      <c r="BV78" s="7"/>
      <c r="BW78" s="7"/>
      <c r="BX78" s="7"/>
      <c r="BY78" s="7"/>
      <c r="BZ78" s="41"/>
      <c r="CA78" s="7"/>
      <c r="CB78" s="7"/>
      <c r="CC78" s="7"/>
      <c r="CD78" s="7"/>
      <c r="CE78" s="7"/>
      <c r="CF78" s="7"/>
    </row>
    <row r="79">
      <c r="A79" s="14" t="s">
        <v>1658</v>
      </c>
      <c r="B79" s="15" t="s">
        <v>1659</v>
      </c>
      <c r="C79" s="11" t="s">
        <v>1660</v>
      </c>
      <c r="D79" s="26" t="s">
        <v>27</v>
      </c>
      <c r="E79" s="7"/>
      <c r="F79" s="14"/>
      <c r="G79" s="44"/>
      <c r="H79" s="11"/>
      <c r="I79" s="27"/>
      <c r="J79" s="7"/>
      <c r="K79" s="14"/>
      <c r="L79" s="11"/>
      <c r="M79" s="19"/>
      <c r="N79" s="16"/>
      <c r="O79" s="7"/>
      <c r="P79" s="14"/>
      <c r="Q79" s="44"/>
      <c r="R79" s="7"/>
      <c r="S79" s="27"/>
      <c r="T79" s="7"/>
      <c r="U79" s="7"/>
      <c r="V79" s="7"/>
      <c r="W79" s="7"/>
      <c r="X79" s="7"/>
      <c r="Y79" s="7"/>
      <c r="Z79" s="7"/>
      <c r="AA79" s="7"/>
      <c r="AB79" s="7"/>
      <c r="AC79" s="7"/>
      <c r="AD79" s="7"/>
      <c r="AE79" s="7"/>
      <c r="AF79" s="7"/>
      <c r="AG79" s="7"/>
      <c r="AH79" s="7"/>
      <c r="AI79" s="7"/>
      <c r="AJ79" s="7"/>
      <c r="AK79" s="7"/>
      <c r="AL79" s="7"/>
      <c r="AM79" s="7"/>
      <c r="AN79" s="7"/>
      <c r="AO79" s="14" t="s">
        <v>1661</v>
      </c>
      <c r="AP79" s="15" t="s">
        <v>1662</v>
      </c>
      <c r="AQ79" s="44" t="s">
        <v>1663</v>
      </c>
      <c r="AR79" s="16" t="s">
        <v>27</v>
      </c>
      <c r="AS79" s="7"/>
      <c r="AT79" s="7"/>
      <c r="AU79" s="55"/>
      <c r="AV79" s="7"/>
      <c r="AW79" s="7"/>
      <c r="AX79" s="7"/>
      <c r="AY79" s="7"/>
      <c r="AZ79" s="7"/>
      <c r="BA79" s="7"/>
      <c r="BB79" s="7"/>
      <c r="BC79" s="7"/>
      <c r="BD79" s="14" t="s">
        <v>1664</v>
      </c>
      <c r="BE79" s="15" t="s">
        <v>1665</v>
      </c>
      <c r="BF79" s="11"/>
      <c r="BG79" s="16" t="s">
        <v>27</v>
      </c>
      <c r="BH79" s="7"/>
      <c r="BI79" s="14" t="s">
        <v>839</v>
      </c>
      <c r="BJ79" s="15" t="s">
        <v>1666</v>
      </c>
      <c r="BK79" s="44" t="s">
        <v>1667</v>
      </c>
      <c r="BL79" s="16" t="s">
        <v>27</v>
      </c>
      <c r="BM79" s="7"/>
      <c r="BN79" s="7"/>
      <c r="BO79" s="7"/>
      <c r="BP79" s="7"/>
      <c r="BQ79" s="7"/>
      <c r="BR79" s="7"/>
      <c r="BS79" s="7"/>
      <c r="BT79" s="7"/>
      <c r="BU79" s="7"/>
      <c r="BV79" s="7"/>
      <c r="BW79" s="7"/>
      <c r="BX79" s="7"/>
      <c r="BY79" s="7"/>
      <c r="BZ79" s="41"/>
      <c r="CA79" s="7"/>
      <c r="CB79" s="7"/>
      <c r="CC79" s="7"/>
      <c r="CD79" s="7"/>
      <c r="CE79" s="7"/>
      <c r="CF79" s="7"/>
    </row>
    <row r="80">
      <c r="A80" s="14" t="s">
        <v>1668</v>
      </c>
      <c r="B80" s="15" t="s">
        <v>1669</v>
      </c>
      <c r="C80" s="11" t="s">
        <v>1670</v>
      </c>
      <c r="D80" s="26" t="s">
        <v>27</v>
      </c>
      <c r="E80" s="7"/>
      <c r="F80" s="14"/>
      <c r="G80" s="44"/>
      <c r="H80" s="11"/>
      <c r="I80" s="27"/>
      <c r="J80" s="7"/>
      <c r="K80" s="14"/>
      <c r="L80" s="11"/>
      <c r="M80" s="19"/>
      <c r="N80" s="16"/>
      <c r="O80" s="7"/>
      <c r="P80" s="14"/>
      <c r="Q80" s="44"/>
      <c r="R80" s="7"/>
      <c r="S80" s="27"/>
      <c r="T80" s="7"/>
      <c r="U80" s="7"/>
      <c r="V80" s="7"/>
      <c r="W80" s="7"/>
      <c r="X80" s="7"/>
      <c r="Y80" s="7"/>
      <c r="Z80" s="7"/>
      <c r="AA80" s="7"/>
      <c r="AB80" s="7"/>
      <c r="AC80" s="7"/>
      <c r="AD80" s="7"/>
      <c r="AE80" s="7"/>
      <c r="AF80" s="7"/>
      <c r="AG80" s="7"/>
      <c r="AH80" s="7"/>
      <c r="AI80" s="7"/>
      <c r="AJ80" s="7"/>
      <c r="AK80" s="7"/>
      <c r="AL80" s="7"/>
      <c r="AM80" s="7"/>
      <c r="AN80" s="7"/>
      <c r="AO80" s="14" t="s">
        <v>1671</v>
      </c>
      <c r="AP80" s="15" t="s">
        <v>1672</v>
      </c>
      <c r="AQ80" s="44"/>
      <c r="AR80" s="16" t="s">
        <v>27</v>
      </c>
      <c r="AS80" s="7"/>
      <c r="AT80" s="7"/>
      <c r="AU80" s="55"/>
      <c r="AV80" s="7"/>
      <c r="AW80" s="7"/>
      <c r="AX80" s="7"/>
      <c r="AY80" s="7"/>
      <c r="AZ80" s="7"/>
      <c r="BA80" s="7"/>
      <c r="BB80" s="7"/>
      <c r="BC80" s="7"/>
      <c r="BD80" s="14" t="s">
        <v>1673</v>
      </c>
      <c r="BE80" s="15" t="s">
        <v>1674</v>
      </c>
      <c r="BF80" s="11" t="s">
        <v>1675</v>
      </c>
      <c r="BG80" s="16" t="s">
        <v>27</v>
      </c>
      <c r="BH80" s="7"/>
      <c r="BI80" s="14" t="s">
        <v>1676</v>
      </c>
      <c r="BJ80" s="15" t="s">
        <v>1677</v>
      </c>
      <c r="BK80" s="44" t="s">
        <v>1678</v>
      </c>
      <c r="BL80" s="16" t="s">
        <v>27</v>
      </c>
      <c r="BM80" s="7"/>
      <c r="BN80" s="7"/>
      <c r="BO80" s="7"/>
      <c r="BP80" s="7"/>
      <c r="BQ80" s="7"/>
      <c r="BR80" s="7"/>
      <c r="BS80" s="7"/>
      <c r="BT80" s="7"/>
      <c r="BU80" s="7"/>
      <c r="BV80" s="7"/>
      <c r="BW80" s="7"/>
      <c r="BX80" s="7"/>
      <c r="BY80" s="7"/>
      <c r="BZ80" s="41"/>
      <c r="CA80" s="7"/>
      <c r="CB80" s="7"/>
      <c r="CC80" s="7"/>
      <c r="CD80" s="7"/>
      <c r="CE80" s="7"/>
      <c r="CF80" s="7"/>
    </row>
    <row r="81">
      <c r="A81" s="14" t="s">
        <v>1679</v>
      </c>
      <c r="B81" s="15" t="s">
        <v>1680</v>
      </c>
      <c r="C81" s="11"/>
      <c r="D81" s="26" t="s">
        <v>27</v>
      </c>
      <c r="E81" s="7"/>
      <c r="F81" s="14"/>
      <c r="G81" s="44"/>
      <c r="H81" s="11"/>
      <c r="I81" s="27"/>
      <c r="J81" s="7"/>
      <c r="K81" s="14"/>
      <c r="L81" s="11"/>
      <c r="M81" s="19"/>
      <c r="N81" s="16"/>
      <c r="O81" s="7"/>
      <c r="P81" s="14"/>
      <c r="Q81" s="44"/>
      <c r="R81" s="7"/>
      <c r="S81" s="27"/>
      <c r="T81" s="7"/>
      <c r="U81" s="7"/>
      <c r="V81" s="7"/>
      <c r="W81" s="7"/>
      <c r="X81" s="7"/>
      <c r="Y81" s="7"/>
      <c r="Z81" s="7"/>
      <c r="AA81" s="7"/>
      <c r="AB81" s="7"/>
      <c r="AC81" s="7"/>
      <c r="AD81" s="7"/>
      <c r="AE81" s="7"/>
      <c r="AF81" s="7"/>
      <c r="AG81" s="7"/>
      <c r="AH81" s="7"/>
      <c r="AI81" s="7"/>
      <c r="AJ81" s="7"/>
      <c r="AK81" s="7"/>
      <c r="AL81" s="7"/>
      <c r="AM81" s="7"/>
      <c r="AN81" s="7"/>
      <c r="AO81" s="14" t="s">
        <v>1681</v>
      </c>
      <c r="AP81" s="15" t="s">
        <v>1682</v>
      </c>
      <c r="AQ81" s="44"/>
      <c r="AR81" s="16" t="s">
        <v>27</v>
      </c>
      <c r="AS81" s="7"/>
      <c r="AT81" s="7"/>
      <c r="AU81" s="55"/>
      <c r="AV81" s="7"/>
      <c r="AW81" s="7"/>
      <c r="AX81" s="7"/>
      <c r="AY81" s="7"/>
      <c r="AZ81" s="7"/>
      <c r="BA81" s="7"/>
      <c r="BB81" s="7"/>
      <c r="BC81" s="7"/>
      <c r="BD81" s="14" t="s">
        <v>1683</v>
      </c>
      <c r="BE81" s="15" t="s">
        <v>1684</v>
      </c>
      <c r="BF81" s="11" t="s">
        <v>1685</v>
      </c>
      <c r="BG81" s="16" t="s">
        <v>27</v>
      </c>
      <c r="BH81" s="7"/>
      <c r="BI81" s="14" t="s">
        <v>1686</v>
      </c>
      <c r="BJ81" s="15" t="s">
        <v>1687</v>
      </c>
      <c r="BK81" s="44"/>
      <c r="BL81" s="16" t="s">
        <v>27</v>
      </c>
      <c r="BM81" s="7"/>
      <c r="BN81" s="7"/>
      <c r="BO81" s="7"/>
      <c r="BP81" s="7"/>
      <c r="BQ81" s="7"/>
      <c r="BR81" s="7"/>
      <c r="BS81" s="7"/>
      <c r="BT81" s="7"/>
      <c r="BU81" s="7"/>
      <c r="BV81" s="7"/>
      <c r="BW81" s="7"/>
      <c r="BX81" s="7"/>
      <c r="BY81" s="7"/>
      <c r="BZ81" s="41"/>
      <c r="CA81" s="7"/>
      <c r="CB81" s="7"/>
      <c r="CC81" s="7"/>
      <c r="CD81" s="7"/>
      <c r="CE81" s="7"/>
      <c r="CF81" s="7"/>
    </row>
    <row r="82">
      <c r="A82" s="14" t="s">
        <v>1688</v>
      </c>
      <c r="B82" s="15" t="s">
        <v>1689</v>
      </c>
      <c r="C82" s="11"/>
      <c r="D82" s="26" t="s">
        <v>27</v>
      </c>
      <c r="E82" s="7"/>
      <c r="F82" s="14"/>
      <c r="G82" s="44"/>
      <c r="H82" s="11"/>
      <c r="I82" s="27"/>
      <c r="J82" s="7"/>
      <c r="K82" s="14"/>
      <c r="L82" s="11"/>
      <c r="M82" s="19"/>
      <c r="N82" s="16"/>
      <c r="O82" s="7"/>
      <c r="P82" s="14"/>
      <c r="Q82" s="44"/>
      <c r="R82" s="7"/>
      <c r="S82" s="27"/>
      <c r="T82" s="7"/>
      <c r="U82" s="7"/>
      <c r="V82" s="7"/>
      <c r="W82" s="7"/>
      <c r="X82" s="7"/>
      <c r="Y82" s="7"/>
      <c r="Z82" s="7"/>
      <c r="AA82" s="7"/>
      <c r="AB82" s="7"/>
      <c r="AC82" s="7"/>
      <c r="AD82" s="7"/>
      <c r="AE82" s="7"/>
      <c r="AF82" s="7"/>
      <c r="AG82" s="7"/>
      <c r="AH82" s="7"/>
      <c r="AI82" s="7"/>
      <c r="AJ82" s="7"/>
      <c r="AK82" s="7"/>
      <c r="AL82" s="7"/>
      <c r="AM82" s="7"/>
      <c r="AN82" s="7"/>
      <c r="AO82" s="14" t="s">
        <v>1690</v>
      </c>
      <c r="AP82" s="15" t="s">
        <v>1691</v>
      </c>
      <c r="AQ82" s="44"/>
      <c r="AR82" s="16" t="s">
        <v>27</v>
      </c>
      <c r="AS82" s="7"/>
      <c r="AT82" s="7"/>
      <c r="AU82" s="55"/>
      <c r="AV82" s="7"/>
      <c r="AW82" s="7"/>
      <c r="AX82" s="7"/>
      <c r="AY82" s="7"/>
      <c r="AZ82" s="7"/>
      <c r="BA82" s="7"/>
      <c r="BB82" s="7"/>
      <c r="BC82" s="7"/>
      <c r="BD82" s="14" t="s">
        <v>1692</v>
      </c>
      <c r="BE82" s="15" t="s">
        <v>1693</v>
      </c>
      <c r="BF82" s="11"/>
      <c r="BG82" s="16" t="s">
        <v>27</v>
      </c>
      <c r="BH82" s="7"/>
      <c r="BI82" s="14" t="s">
        <v>1694</v>
      </c>
      <c r="BJ82" s="15" t="s">
        <v>1695</v>
      </c>
      <c r="BK82" s="44" t="s">
        <v>1696</v>
      </c>
      <c r="BL82" s="16" t="s">
        <v>27</v>
      </c>
      <c r="BM82" s="7"/>
      <c r="BN82" s="7"/>
      <c r="BO82" s="7"/>
      <c r="BP82" s="7"/>
      <c r="BQ82" s="7"/>
      <c r="BR82" s="7"/>
      <c r="BS82" s="7"/>
      <c r="BT82" s="7"/>
      <c r="BU82" s="7"/>
      <c r="BV82" s="7"/>
      <c r="BW82" s="7"/>
      <c r="BX82" s="7"/>
      <c r="BY82" s="7"/>
      <c r="BZ82" s="41"/>
      <c r="CA82" s="7"/>
      <c r="CB82" s="7"/>
      <c r="CC82" s="7"/>
      <c r="CD82" s="7"/>
      <c r="CE82" s="7"/>
      <c r="CF82" s="7"/>
    </row>
    <row r="83">
      <c r="A83" s="14" t="s">
        <v>1697</v>
      </c>
      <c r="B83" s="15" t="s">
        <v>1698</v>
      </c>
      <c r="C83" s="11" t="s">
        <v>1699</v>
      </c>
      <c r="D83" s="26" t="s">
        <v>27</v>
      </c>
      <c r="E83" s="7"/>
      <c r="F83" s="14"/>
      <c r="G83" s="44"/>
      <c r="H83" s="11"/>
      <c r="I83" s="27"/>
      <c r="J83" s="7"/>
      <c r="K83" s="14"/>
      <c r="L83" s="11"/>
      <c r="M83" s="19"/>
      <c r="N83" s="16"/>
      <c r="O83" s="7"/>
      <c r="P83" s="14"/>
      <c r="Q83" s="44"/>
      <c r="R83" s="7"/>
      <c r="S83" s="27"/>
      <c r="T83" s="7"/>
      <c r="U83" s="7"/>
      <c r="V83" s="7"/>
      <c r="W83" s="7"/>
      <c r="X83" s="7"/>
      <c r="Y83" s="7"/>
      <c r="Z83" s="7"/>
      <c r="AA83" s="7"/>
      <c r="AB83" s="7"/>
      <c r="AC83" s="7"/>
      <c r="AD83" s="7"/>
      <c r="AE83" s="7"/>
      <c r="AF83" s="7"/>
      <c r="AG83" s="7"/>
      <c r="AH83" s="7"/>
      <c r="AI83" s="7"/>
      <c r="AJ83" s="7"/>
      <c r="AK83" s="7"/>
      <c r="AL83" s="7"/>
      <c r="AM83" s="7"/>
      <c r="AN83" s="7"/>
      <c r="AO83" s="14" t="s">
        <v>1700</v>
      </c>
      <c r="AP83" s="15" t="s">
        <v>1701</v>
      </c>
      <c r="AQ83" s="44"/>
      <c r="AR83" s="16" t="s">
        <v>27</v>
      </c>
      <c r="AS83" s="7"/>
      <c r="AT83" s="7"/>
      <c r="AU83" s="55"/>
      <c r="AV83" s="7"/>
      <c r="AW83" s="7"/>
      <c r="AX83" s="7"/>
      <c r="AY83" s="7"/>
      <c r="AZ83" s="7"/>
      <c r="BA83" s="7"/>
      <c r="BB83" s="7"/>
      <c r="BC83" s="7"/>
      <c r="BD83" s="14" t="s">
        <v>1702</v>
      </c>
      <c r="BE83" s="15" t="s">
        <v>1703</v>
      </c>
      <c r="BF83" s="11"/>
      <c r="BG83" s="16" t="s">
        <v>136</v>
      </c>
      <c r="BH83" s="7"/>
      <c r="BI83" s="14" t="s">
        <v>1704</v>
      </c>
      <c r="BJ83" s="15" t="s">
        <v>1705</v>
      </c>
      <c r="BK83" s="44"/>
      <c r="BL83" s="16" t="s">
        <v>27</v>
      </c>
      <c r="BM83" s="7"/>
      <c r="BN83" s="7"/>
      <c r="BO83" s="7"/>
      <c r="BP83" s="7"/>
      <c r="BQ83" s="7"/>
      <c r="BR83" s="7"/>
      <c r="BS83" s="7"/>
      <c r="BT83" s="7"/>
      <c r="BU83" s="7"/>
      <c r="BV83" s="7"/>
      <c r="BW83" s="7"/>
      <c r="BX83" s="7"/>
      <c r="BY83" s="7"/>
      <c r="BZ83" s="41"/>
      <c r="CA83" s="7"/>
      <c r="CB83" s="7"/>
      <c r="CC83" s="7"/>
      <c r="CD83" s="7"/>
      <c r="CE83" s="7"/>
      <c r="CF83" s="7"/>
    </row>
    <row r="84">
      <c r="A84" s="14" t="s">
        <v>1706</v>
      </c>
      <c r="B84" s="15" t="s">
        <v>1707</v>
      </c>
      <c r="C84" s="11" t="s">
        <v>1708</v>
      </c>
      <c r="D84" s="26" t="s">
        <v>27</v>
      </c>
      <c r="E84" s="7"/>
      <c r="F84" s="14"/>
      <c r="G84" s="44"/>
      <c r="H84" s="11"/>
      <c r="I84" s="27"/>
      <c r="J84" s="7"/>
      <c r="K84" s="14"/>
      <c r="L84" s="11"/>
      <c r="M84" s="19"/>
      <c r="N84" s="16"/>
      <c r="O84" s="7"/>
      <c r="P84" s="14"/>
      <c r="Q84" s="44"/>
      <c r="R84" s="7"/>
      <c r="S84" s="27"/>
      <c r="T84" s="7"/>
      <c r="U84" s="7"/>
      <c r="V84" s="7"/>
      <c r="W84" s="7"/>
      <c r="X84" s="7"/>
      <c r="Y84" s="7"/>
      <c r="Z84" s="7"/>
      <c r="AA84" s="7"/>
      <c r="AB84" s="7"/>
      <c r="AC84" s="7"/>
      <c r="AD84" s="7"/>
      <c r="AE84" s="7"/>
      <c r="AF84" s="7"/>
      <c r="AG84" s="7"/>
      <c r="AH84" s="7"/>
      <c r="AI84" s="7"/>
      <c r="AJ84" s="7"/>
      <c r="AK84" s="7"/>
      <c r="AL84" s="7"/>
      <c r="AM84" s="7"/>
      <c r="AN84" s="7"/>
      <c r="AO84" s="14" t="s">
        <v>1709</v>
      </c>
      <c r="AP84" s="15" t="s">
        <v>1710</v>
      </c>
      <c r="AQ84" s="44"/>
      <c r="AR84" s="16" t="s">
        <v>27</v>
      </c>
      <c r="AS84" s="7"/>
      <c r="AT84" s="7"/>
      <c r="AU84" s="55"/>
      <c r="AV84" s="7"/>
      <c r="AW84" s="7"/>
      <c r="AX84" s="7"/>
      <c r="AY84" s="7"/>
      <c r="AZ84" s="7"/>
      <c r="BA84" s="7"/>
      <c r="BB84" s="7"/>
      <c r="BC84" s="7"/>
      <c r="BD84" s="14" t="s">
        <v>1711</v>
      </c>
      <c r="BE84" s="15" t="s">
        <v>1712</v>
      </c>
      <c r="BF84" s="11"/>
      <c r="BG84" s="16" t="s">
        <v>27</v>
      </c>
      <c r="BH84" s="7"/>
      <c r="BI84" s="14" t="s">
        <v>1713</v>
      </c>
      <c r="BJ84" s="15" t="s">
        <v>1714</v>
      </c>
      <c r="BK84" s="44"/>
      <c r="BL84" s="16" t="s">
        <v>27</v>
      </c>
      <c r="BM84" s="7"/>
      <c r="BN84" s="7"/>
      <c r="BO84" s="7"/>
      <c r="BP84" s="7"/>
      <c r="BQ84" s="7"/>
      <c r="BR84" s="7"/>
      <c r="BS84" s="7"/>
      <c r="BT84" s="7"/>
      <c r="BU84" s="7"/>
      <c r="BV84" s="7"/>
      <c r="BW84" s="7"/>
      <c r="BX84" s="7"/>
      <c r="BY84" s="7"/>
      <c r="BZ84" s="41"/>
      <c r="CA84" s="7"/>
      <c r="CB84" s="7"/>
      <c r="CC84" s="7"/>
      <c r="CD84" s="7"/>
      <c r="CE84" s="7"/>
      <c r="CF84" s="7"/>
    </row>
    <row r="85">
      <c r="A85" s="14" t="s">
        <v>1715</v>
      </c>
      <c r="B85" s="15" t="s">
        <v>1716</v>
      </c>
      <c r="C85" s="11"/>
      <c r="D85" s="26" t="s">
        <v>27</v>
      </c>
      <c r="E85" s="7"/>
      <c r="F85" s="14"/>
      <c r="G85" s="44"/>
      <c r="H85" s="11"/>
      <c r="I85" s="27"/>
      <c r="J85" s="7"/>
      <c r="K85" s="14"/>
      <c r="L85" s="11"/>
      <c r="M85" s="19"/>
      <c r="N85" s="16"/>
      <c r="O85" s="7"/>
      <c r="P85" s="14"/>
      <c r="Q85" s="44"/>
      <c r="R85" s="7"/>
      <c r="S85" s="27"/>
      <c r="T85" s="7"/>
      <c r="U85" s="7"/>
      <c r="V85" s="7"/>
      <c r="W85" s="7"/>
      <c r="X85" s="7"/>
      <c r="Y85" s="7"/>
      <c r="Z85" s="7"/>
      <c r="AA85" s="7"/>
      <c r="AB85" s="7"/>
      <c r="AC85" s="7"/>
      <c r="AD85" s="7"/>
      <c r="AE85" s="7"/>
      <c r="AF85" s="7"/>
      <c r="AG85" s="7"/>
      <c r="AH85" s="7"/>
      <c r="AI85" s="7"/>
      <c r="AJ85" s="7"/>
      <c r="AK85" s="7"/>
      <c r="AL85" s="7"/>
      <c r="AM85" s="7"/>
      <c r="AN85" s="7"/>
      <c r="AO85" s="14" t="s">
        <v>1717</v>
      </c>
      <c r="AP85" s="15" t="s">
        <v>1718</v>
      </c>
      <c r="AQ85" s="44" t="s">
        <v>1719</v>
      </c>
      <c r="AR85" s="16" t="s">
        <v>27</v>
      </c>
      <c r="AS85" s="7"/>
      <c r="AT85" s="7"/>
      <c r="AU85" s="55"/>
      <c r="AV85" s="7"/>
      <c r="AW85" s="7"/>
      <c r="AX85" s="7"/>
      <c r="AY85" s="7"/>
      <c r="AZ85" s="7"/>
      <c r="BA85" s="7"/>
      <c r="BB85" s="7"/>
      <c r="BC85" s="7"/>
      <c r="BD85" s="14" t="s">
        <v>1720</v>
      </c>
      <c r="BE85" s="15" t="s">
        <v>1721</v>
      </c>
      <c r="BF85" s="11"/>
      <c r="BG85" s="16" t="s">
        <v>27</v>
      </c>
      <c r="BH85" s="7"/>
      <c r="BI85" s="14" t="s">
        <v>1722</v>
      </c>
      <c r="BJ85" s="15" t="s">
        <v>1723</v>
      </c>
      <c r="BK85" s="44"/>
      <c r="BL85" s="16" t="s">
        <v>27</v>
      </c>
      <c r="BM85" s="7"/>
      <c r="BN85" s="7"/>
      <c r="BO85" s="7"/>
      <c r="BP85" s="7"/>
      <c r="BQ85" s="7"/>
      <c r="BR85" s="7"/>
      <c r="BS85" s="7"/>
      <c r="BT85" s="7"/>
      <c r="BU85" s="7"/>
      <c r="BV85" s="7"/>
      <c r="BW85" s="7"/>
      <c r="BX85" s="7"/>
      <c r="BY85" s="7"/>
      <c r="BZ85" s="41"/>
      <c r="CA85" s="7"/>
      <c r="CB85" s="7"/>
      <c r="CC85" s="7"/>
      <c r="CD85" s="7"/>
      <c r="CE85" s="7"/>
      <c r="CF85" s="7"/>
    </row>
    <row r="86">
      <c r="A86" s="14" t="s">
        <v>1724</v>
      </c>
      <c r="B86" s="15" t="s">
        <v>1725</v>
      </c>
      <c r="C86" s="11" t="s">
        <v>1726</v>
      </c>
      <c r="D86" s="26" t="s">
        <v>27</v>
      </c>
      <c r="E86" s="7"/>
      <c r="F86" s="14"/>
      <c r="G86" s="44"/>
      <c r="H86" s="11"/>
      <c r="I86" s="27"/>
      <c r="J86" s="7"/>
      <c r="K86" s="14"/>
      <c r="L86" s="11"/>
      <c r="M86" s="19"/>
      <c r="N86" s="16"/>
      <c r="O86" s="7"/>
      <c r="P86" s="14"/>
      <c r="Q86" s="44"/>
      <c r="R86" s="7"/>
      <c r="S86" s="27"/>
      <c r="T86" s="7"/>
      <c r="U86" s="7"/>
      <c r="V86" s="7"/>
      <c r="W86" s="7"/>
      <c r="X86" s="7"/>
      <c r="Y86" s="7"/>
      <c r="Z86" s="7"/>
      <c r="AA86" s="7"/>
      <c r="AB86" s="7"/>
      <c r="AC86" s="7"/>
      <c r="AD86" s="7"/>
      <c r="AE86" s="7"/>
      <c r="AF86" s="7"/>
      <c r="AG86" s="7"/>
      <c r="AH86" s="7"/>
      <c r="AI86" s="7"/>
      <c r="AJ86" s="7"/>
      <c r="AK86" s="7"/>
      <c r="AL86" s="7"/>
      <c r="AM86" s="7"/>
      <c r="AN86" s="7"/>
      <c r="AO86" s="14" t="s">
        <v>1727</v>
      </c>
      <c r="AP86" s="15" t="s">
        <v>1728</v>
      </c>
      <c r="AQ86" s="44"/>
      <c r="AR86" s="16" t="s">
        <v>27</v>
      </c>
      <c r="AS86" s="7"/>
      <c r="AT86" s="7"/>
      <c r="AU86" s="55"/>
      <c r="AV86" s="7"/>
      <c r="AW86" s="7"/>
      <c r="AX86" s="7"/>
      <c r="AY86" s="7"/>
      <c r="AZ86" s="7"/>
      <c r="BA86" s="7"/>
      <c r="BB86" s="7"/>
      <c r="BC86" s="7"/>
      <c r="BD86" s="14" t="s">
        <v>1729</v>
      </c>
      <c r="BE86" s="15" t="s">
        <v>1730</v>
      </c>
      <c r="BF86" s="11" t="s">
        <v>1731</v>
      </c>
      <c r="BG86" s="16" t="s">
        <v>27</v>
      </c>
      <c r="BH86" s="7"/>
      <c r="BI86" s="14" t="s">
        <v>1732</v>
      </c>
      <c r="BJ86" s="15" t="s">
        <v>1733</v>
      </c>
      <c r="BK86" s="44"/>
      <c r="BL86" s="16" t="s">
        <v>27</v>
      </c>
      <c r="BM86" s="7"/>
      <c r="BN86" s="7"/>
      <c r="BO86" s="7"/>
      <c r="BP86" s="7"/>
      <c r="BQ86" s="7"/>
      <c r="BR86" s="7"/>
      <c r="BS86" s="7"/>
      <c r="BT86" s="7"/>
      <c r="BU86" s="7"/>
      <c r="BV86" s="7"/>
      <c r="BW86" s="7"/>
      <c r="BX86" s="7"/>
      <c r="BY86" s="7"/>
      <c r="BZ86" s="41"/>
      <c r="CA86" s="7"/>
      <c r="CB86" s="7"/>
      <c r="CC86" s="7"/>
      <c r="CD86" s="7"/>
      <c r="CE86" s="7"/>
      <c r="CF86" s="7"/>
    </row>
    <row r="87">
      <c r="A87" s="14" t="s">
        <v>1734</v>
      </c>
      <c r="B87" s="15" t="s">
        <v>1735</v>
      </c>
      <c r="C87" s="11"/>
      <c r="D87" s="26" t="s">
        <v>27</v>
      </c>
      <c r="E87" s="7"/>
      <c r="F87" s="14"/>
      <c r="G87" s="44"/>
      <c r="H87" s="11"/>
      <c r="I87" s="27"/>
      <c r="J87" s="7"/>
      <c r="K87" s="14"/>
      <c r="L87" s="11"/>
      <c r="M87" s="19"/>
      <c r="N87" s="16"/>
      <c r="O87" s="7"/>
      <c r="P87" s="14"/>
      <c r="Q87" s="44"/>
      <c r="R87" s="7"/>
      <c r="S87" s="27"/>
      <c r="T87" s="7"/>
      <c r="U87" s="7"/>
      <c r="V87" s="7"/>
      <c r="W87" s="7"/>
      <c r="X87" s="7"/>
      <c r="Y87" s="7"/>
      <c r="Z87" s="7"/>
      <c r="AA87" s="7"/>
      <c r="AB87" s="7"/>
      <c r="AC87" s="7"/>
      <c r="AD87" s="7"/>
      <c r="AE87" s="7"/>
      <c r="AF87" s="7"/>
      <c r="AG87" s="7"/>
      <c r="AH87" s="7"/>
      <c r="AI87" s="7"/>
      <c r="AJ87" s="7"/>
      <c r="AK87" s="7"/>
      <c r="AL87" s="7"/>
      <c r="AM87" s="7"/>
      <c r="AN87" s="7"/>
      <c r="AO87" s="14" t="s">
        <v>1736</v>
      </c>
      <c r="AP87" s="15" t="s">
        <v>1737</v>
      </c>
      <c r="AQ87" s="44"/>
      <c r="AR87" s="16" t="s">
        <v>27</v>
      </c>
      <c r="AS87" s="7"/>
      <c r="AT87" s="7"/>
      <c r="AU87" s="55"/>
      <c r="AV87" s="7"/>
      <c r="AW87" s="7"/>
      <c r="AX87" s="7"/>
      <c r="AY87" s="7"/>
      <c r="AZ87" s="7"/>
      <c r="BA87" s="7"/>
      <c r="BB87" s="7"/>
      <c r="BC87" s="7"/>
      <c r="BD87" s="14" t="s">
        <v>1738</v>
      </c>
      <c r="BE87" s="15" t="s">
        <v>1739</v>
      </c>
      <c r="BF87" s="11"/>
      <c r="BG87" s="16" t="s">
        <v>27</v>
      </c>
      <c r="BH87" s="7"/>
      <c r="BI87" s="14" t="s">
        <v>1740</v>
      </c>
      <c r="BJ87" s="15" t="s">
        <v>1741</v>
      </c>
      <c r="BK87" s="44"/>
      <c r="BL87" s="16" t="s">
        <v>27</v>
      </c>
      <c r="BM87" s="7"/>
      <c r="BN87" s="7"/>
      <c r="BO87" s="7"/>
      <c r="BP87" s="7"/>
      <c r="BQ87" s="7"/>
      <c r="BR87" s="7"/>
      <c r="BS87" s="7"/>
      <c r="BT87" s="7"/>
      <c r="BU87" s="7"/>
      <c r="BV87" s="7"/>
      <c r="BW87" s="7"/>
      <c r="BX87" s="7"/>
      <c r="BY87" s="7"/>
      <c r="BZ87" s="41"/>
      <c r="CA87" s="7"/>
      <c r="CB87" s="7"/>
      <c r="CC87" s="7"/>
      <c r="CD87" s="7"/>
      <c r="CE87" s="7"/>
      <c r="CF87" s="7"/>
    </row>
    <row r="88">
      <c r="A88" s="14" t="s">
        <v>1742</v>
      </c>
      <c r="B88" s="15" t="s">
        <v>1743</v>
      </c>
      <c r="C88" s="11"/>
      <c r="D88" s="26" t="s">
        <v>27</v>
      </c>
      <c r="E88" s="7"/>
      <c r="F88" s="14"/>
      <c r="G88" s="44"/>
      <c r="H88" s="11"/>
      <c r="I88" s="27"/>
      <c r="J88" s="7"/>
      <c r="K88" s="14"/>
      <c r="L88" s="11"/>
      <c r="M88" s="19"/>
      <c r="N88" s="16"/>
      <c r="O88" s="7"/>
      <c r="P88" s="14"/>
      <c r="Q88" s="44"/>
      <c r="R88" s="7"/>
      <c r="S88" s="27"/>
      <c r="T88" s="7"/>
      <c r="U88" s="7"/>
      <c r="V88" s="7"/>
      <c r="W88" s="7"/>
      <c r="X88" s="7"/>
      <c r="Y88" s="7"/>
      <c r="Z88" s="7"/>
      <c r="AA88" s="7"/>
      <c r="AB88" s="7"/>
      <c r="AC88" s="7"/>
      <c r="AD88" s="7"/>
      <c r="AE88" s="7"/>
      <c r="AF88" s="7"/>
      <c r="AG88" s="7"/>
      <c r="AH88" s="7"/>
      <c r="AI88" s="7"/>
      <c r="AJ88" s="7"/>
      <c r="AK88" s="7"/>
      <c r="AL88" s="7"/>
      <c r="AM88" s="7"/>
      <c r="AN88" s="7"/>
      <c r="AO88" s="14" t="s">
        <v>1744</v>
      </c>
      <c r="AP88" s="15" t="s">
        <v>1745</v>
      </c>
      <c r="AQ88" s="44"/>
      <c r="AR88" s="16" t="s">
        <v>27</v>
      </c>
      <c r="AS88" s="7"/>
      <c r="AT88" s="7"/>
      <c r="AU88" s="55"/>
      <c r="AV88" s="7"/>
      <c r="AW88" s="7"/>
      <c r="AX88" s="7"/>
      <c r="AY88" s="7"/>
      <c r="AZ88" s="7"/>
      <c r="BA88" s="7"/>
      <c r="BB88" s="7"/>
      <c r="BC88" s="7"/>
      <c r="BD88" s="14" t="s">
        <v>1746</v>
      </c>
      <c r="BE88" s="15" t="s">
        <v>1747</v>
      </c>
      <c r="BF88" s="11"/>
      <c r="BG88" s="16" t="s">
        <v>27</v>
      </c>
      <c r="BH88" s="7"/>
      <c r="BI88" s="14" t="s">
        <v>1748</v>
      </c>
      <c r="BJ88" s="15" t="s">
        <v>1749</v>
      </c>
      <c r="BK88" s="44" t="s">
        <v>1750</v>
      </c>
      <c r="BL88" s="16" t="s">
        <v>27</v>
      </c>
      <c r="BM88" s="7"/>
      <c r="BN88" s="7"/>
      <c r="BO88" s="7"/>
      <c r="BP88" s="7"/>
      <c r="BQ88" s="7"/>
      <c r="BR88" s="7"/>
      <c r="BS88" s="7"/>
      <c r="BT88" s="7"/>
      <c r="BU88" s="7"/>
      <c r="BV88" s="7"/>
      <c r="BW88" s="7"/>
      <c r="BX88" s="7"/>
      <c r="BY88" s="7"/>
      <c r="BZ88" s="41"/>
      <c r="CA88" s="7"/>
      <c r="CB88" s="7"/>
      <c r="CC88" s="7"/>
      <c r="CD88" s="7"/>
      <c r="CE88" s="7"/>
      <c r="CF88" s="7"/>
    </row>
    <row r="89">
      <c r="A89" s="14" t="s">
        <v>1751</v>
      </c>
      <c r="B89" s="15" t="s">
        <v>1752</v>
      </c>
      <c r="C89" s="11" t="s">
        <v>1753</v>
      </c>
      <c r="D89" s="26" t="s">
        <v>27</v>
      </c>
      <c r="E89" s="7"/>
      <c r="F89" s="14"/>
      <c r="G89" s="44"/>
      <c r="H89" s="11"/>
      <c r="I89" s="27"/>
      <c r="J89" s="7"/>
      <c r="K89" s="14"/>
      <c r="L89" s="11"/>
      <c r="M89" s="19"/>
      <c r="N89" s="16"/>
      <c r="O89" s="7"/>
      <c r="P89" s="14"/>
      <c r="Q89" s="44"/>
      <c r="R89" s="7"/>
      <c r="S89" s="27"/>
      <c r="T89" s="7"/>
      <c r="U89" s="7"/>
      <c r="V89" s="7"/>
      <c r="W89" s="7"/>
      <c r="X89" s="7"/>
      <c r="Y89" s="7"/>
      <c r="Z89" s="7"/>
      <c r="AA89" s="7"/>
      <c r="AB89" s="7"/>
      <c r="AC89" s="7"/>
      <c r="AD89" s="7"/>
      <c r="AE89" s="7"/>
      <c r="AF89" s="7"/>
      <c r="AG89" s="7"/>
      <c r="AH89" s="7"/>
      <c r="AI89" s="7"/>
      <c r="AJ89" s="7"/>
      <c r="AK89" s="7"/>
      <c r="AL89" s="7"/>
      <c r="AM89" s="7"/>
      <c r="AN89" s="7"/>
      <c r="AO89" s="14" t="s">
        <v>1754</v>
      </c>
      <c r="AP89" s="15" t="s">
        <v>1755</v>
      </c>
      <c r="AQ89" s="44"/>
      <c r="AR89" s="16" t="s">
        <v>27</v>
      </c>
      <c r="AS89" s="7"/>
      <c r="AT89" s="7"/>
      <c r="AU89" s="55"/>
      <c r="AV89" s="7"/>
      <c r="AW89" s="7"/>
      <c r="AX89" s="7"/>
      <c r="AY89" s="7"/>
      <c r="AZ89" s="7"/>
      <c r="BA89" s="7"/>
      <c r="BB89" s="7"/>
      <c r="BC89" s="7"/>
      <c r="BD89" s="14" t="s">
        <v>1756</v>
      </c>
      <c r="BE89" s="15" t="s">
        <v>1757</v>
      </c>
      <c r="BF89" s="11"/>
      <c r="BG89" s="16" t="s">
        <v>27</v>
      </c>
      <c r="BH89" s="7"/>
      <c r="BI89" s="14" t="s">
        <v>1758</v>
      </c>
      <c r="BJ89" s="15" t="s">
        <v>1759</v>
      </c>
      <c r="BK89" s="44"/>
      <c r="BL89" s="16" t="s">
        <v>27</v>
      </c>
      <c r="BM89" s="7"/>
      <c r="BN89" s="7"/>
      <c r="BO89" s="7"/>
      <c r="BP89" s="7"/>
      <c r="BQ89" s="7"/>
      <c r="BR89" s="7"/>
      <c r="BS89" s="7"/>
      <c r="BT89" s="7"/>
      <c r="BU89" s="7"/>
      <c r="BV89" s="7"/>
      <c r="BW89" s="7"/>
      <c r="BX89" s="7"/>
      <c r="BY89" s="7"/>
      <c r="BZ89" s="41"/>
      <c r="CA89" s="7"/>
      <c r="CB89" s="7"/>
      <c r="CC89" s="7"/>
      <c r="CD89" s="7"/>
      <c r="CE89" s="7"/>
      <c r="CF89" s="7"/>
    </row>
    <row r="90">
      <c r="A90" s="14" t="s">
        <v>1760</v>
      </c>
      <c r="B90" s="15" t="s">
        <v>1761</v>
      </c>
      <c r="C90" s="11" t="s">
        <v>1762</v>
      </c>
      <c r="D90" s="26" t="s">
        <v>33</v>
      </c>
      <c r="E90" s="7"/>
      <c r="F90" s="14"/>
      <c r="G90" s="44"/>
      <c r="H90" s="11"/>
      <c r="I90" s="27"/>
      <c r="J90" s="7"/>
      <c r="K90" s="14"/>
      <c r="L90" s="11"/>
      <c r="M90" s="19"/>
      <c r="N90" s="16"/>
      <c r="O90" s="7"/>
      <c r="P90" s="14"/>
      <c r="Q90" s="44"/>
      <c r="R90" s="7"/>
      <c r="S90" s="27"/>
      <c r="T90" s="7"/>
      <c r="U90" s="7"/>
      <c r="V90" s="7"/>
      <c r="W90" s="7"/>
      <c r="X90" s="7"/>
      <c r="Y90" s="7"/>
      <c r="Z90" s="7"/>
      <c r="AA90" s="7"/>
      <c r="AB90" s="7"/>
      <c r="AC90" s="7"/>
      <c r="AD90" s="7"/>
      <c r="AE90" s="7"/>
      <c r="AF90" s="7"/>
      <c r="AG90" s="7"/>
      <c r="AH90" s="7"/>
      <c r="AI90" s="7"/>
      <c r="AJ90" s="7"/>
      <c r="AK90" s="7"/>
      <c r="AL90" s="7"/>
      <c r="AM90" s="7"/>
      <c r="AN90" s="7"/>
      <c r="AO90" s="14" t="s">
        <v>1763</v>
      </c>
      <c r="AP90" s="15" t="s">
        <v>1764</v>
      </c>
      <c r="AQ90" s="44" t="s">
        <v>1765</v>
      </c>
      <c r="AR90" s="16" t="s">
        <v>33</v>
      </c>
      <c r="AS90" s="7"/>
      <c r="AT90" s="7"/>
      <c r="AU90" s="55"/>
      <c r="AV90" s="7"/>
      <c r="AW90" s="7"/>
      <c r="AX90" s="7"/>
      <c r="AY90" s="7"/>
      <c r="AZ90" s="7"/>
      <c r="BA90" s="7"/>
      <c r="BB90" s="7"/>
      <c r="BC90" s="7"/>
      <c r="BD90" s="14" t="s">
        <v>1766</v>
      </c>
      <c r="BE90" s="15" t="s">
        <v>1767</v>
      </c>
      <c r="BF90" s="11"/>
      <c r="BG90" s="16" t="s">
        <v>27</v>
      </c>
      <c r="BH90" s="7"/>
      <c r="BI90" s="14" t="s">
        <v>1768</v>
      </c>
      <c r="BJ90" s="15" t="s">
        <v>1769</v>
      </c>
      <c r="BK90" s="44"/>
      <c r="BL90" s="16" t="s">
        <v>27</v>
      </c>
      <c r="BM90" s="7"/>
      <c r="BN90" s="7"/>
      <c r="BO90" s="7"/>
      <c r="BP90" s="7"/>
      <c r="BQ90" s="7"/>
      <c r="BR90" s="7"/>
      <c r="BS90" s="7"/>
      <c r="BT90" s="7"/>
      <c r="BU90" s="7"/>
      <c r="BV90" s="7"/>
      <c r="BW90" s="7"/>
      <c r="BX90" s="7"/>
      <c r="BY90" s="7"/>
      <c r="BZ90" s="41"/>
      <c r="CA90" s="7"/>
      <c r="CB90" s="7"/>
      <c r="CC90" s="7"/>
      <c r="CD90" s="7"/>
      <c r="CE90" s="7"/>
      <c r="CF90" s="7"/>
    </row>
    <row r="91">
      <c r="A91" s="14" t="s">
        <v>1770</v>
      </c>
      <c r="B91" s="15" t="s">
        <v>1771</v>
      </c>
      <c r="C91" s="11" t="s">
        <v>1772</v>
      </c>
      <c r="D91" s="26" t="s">
        <v>27</v>
      </c>
      <c r="E91" s="7"/>
      <c r="F91" s="14"/>
      <c r="G91" s="44"/>
      <c r="H91" s="11"/>
      <c r="I91" s="27"/>
      <c r="J91" s="7"/>
      <c r="K91" s="14"/>
      <c r="L91" s="11"/>
      <c r="M91" s="19"/>
      <c r="N91" s="16"/>
      <c r="O91" s="7"/>
      <c r="P91" s="14"/>
      <c r="Q91" s="44"/>
      <c r="R91" s="7"/>
      <c r="S91" s="27"/>
      <c r="T91" s="7"/>
      <c r="U91" s="7"/>
      <c r="V91" s="7"/>
      <c r="W91" s="7"/>
      <c r="X91" s="7"/>
      <c r="Y91" s="7"/>
      <c r="Z91" s="7"/>
      <c r="AA91" s="7"/>
      <c r="AB91" s="7"/>
      <c r="AC91" s="7"/>
      <c r="AD91" s="7"/>
      <c r="AE91" s="7"/>
      <c r="AF91" s="7"/>
      <c r="AG91" s="7"/>
      <c r="AH91" s="7"/>
      <c r="AI91" s="7"/>
      <c r="AJ91" s="7"/>
      <c r="AK91" s="7"/>
      <c r="AL91" s="7"/>
      <c r="AM91" s="7"/>
      <c r="AN91" s="7"/>
      <c r="AO91" s="14" t="s">
        <v>1773</v>
      </c>
      <c r="AP91" s="15" t="s">
        <v>1774</v>
      </c>
      <c r="AQ91" s="44"/>
      <c r="AR91" s="16" t="s">
        <v>27</v>
      </c>
      <c r="AS91" s="7"/>
      <c r="AT91" s="7"/>
      <c r="AU91" s="55"/>
      <c r="AV91" s="7"/>
      <c r="AW91" s="7"/>
      <c r="AX91" s="7"/>
      <c r="AY91" s="7"/>
      <c r="AZ91" s="7"/>
      <c r="BA91" s="7"/>
      <c r="BB91" s="7"/>
      <c r="BC91" s="7"/>
      <c r="BD91" s="14" t="s">
        <v>1775</v>
      </c>
      <c r="BE91" s="15" t="s">
        <v>1776</v>
      </c>
      <c r="BF91" s="11" t="s">
        <v>1777</v>
      </c>
      <c r="BG91" s="16" t="s">
        <v>27</v>
      </c>
      <c r="BH91" s="7"/>
      <c r="BI91" s="14" t="s">
        <v>1778</v>
      </c>
      <c r="BJ91" s="15" t="s">
        <v>1779</v>
      </c>
      <c r="BK91" s="44" t="s">
        <v>1780</v>
      </c>
      <c r="BL91" s="16" t="s">
        <v>27</v>
      </c>
      <c r="BM91" s="7"/>
      <c r="BN91" s="7"/>
      <c r="BO91" s="7"/>
      <c r="BP91" s="7"/>
      <c r="BQ91" s="7"/>
      <c r="BR91" s="7"/>
      <c r="BS91" s="7"/>
      <c r="BT91" s="7"/>
      <c r="BU91" s="7"/>
      <c r="BV91" s="7"/>
      <c r="BW91" s="7"/>
      <c r="BX91" s="7"/>
      <c r="BY91" s="7"/>
      <c r="BZ91" s="41"/>
      <c r="CA91" s="7"/>
      <c r="CB91" s="7"/>
      <c r="CC91" s="7"/>
      <c r="CD91" s="7"/>
      <c r="CE91" s="7"/>
      <c r="CF91" s="7"/>
    </row>
    <row r="92">
      <c r="A92" s="14" t="s">
        <v>1781</v>
      </c>
      <c r="B92" s="15" t="s">
        <v>1782</v>
      </c>
      <c r="C92" s="11" t="s">
        <v>1783</v>
      </c>
      <c r="D92" s="26" t="s">
        <v>27</v>
      </c>
      <c r="E92" s="7"/>
      <c r="F92" s="14"/>
      <c r="G92" s="44"/>
      <c r="H92" s="11"/>
      <c r="I92" s="27"/>
      <c r="J92" s="7"/>
      <c r="K92" s="14"/>
      <c r="L92" s="11"/>
      <c r="M92" s="19"/>
      <c r="N92" s="16"/>
      <c r="O92" s="7"/>
      <c r="P92" s="14"/>
      <c r="Q92" s="44"/>
      <c r="R92" s="7"/>
      <c r="S92" s="27"/>
      <c r="T92" s="7"/>
      <c r="U92" s="7"/>
      <c r="V92" s="7"/>
      <c r="W92" s="7"/>
      <c r="X92" s="7"/>
      <c r="Y92" s="7"/>
      <c r="Z92" s="7"/>
      <c r="AA92" s="7"/>
      <c r="AB92" s="7"/>
      <c r="AC92" s="7"/>
      <c r="AD92" s="7"/>
      <c r="AE92" s="7"/>
      <c r="AF92" s="7"/>
      <c r="AG92" s="7"/>
      <c r="AH92" s="7"/>
      <c r="AI92" s="7"/>
      <c r="AJ92" s="7"/>
      <c r="AK92" s="7"/>
      <c r="AL92" s="7"/>
      <c r="AM92" s="7"/>
      <c r="AN92" s="7"/>
      <c r="AO92" s="14" t="s">
        <v>1784</v>
      </c>
      <c r="AP92" s="15" t="s">
        <v>1785</v>
      </c>
      <c r="AQ92" s="44" t="s">
        <v>1786</v>
      </c>
      <c r="AR92" s="16" t="s">
        <v>27</v>
      </c>
      <c r="AS92" s="7"/>
      <c r="AT92" s="7"/>
      <c r="AU92" s="55"/>
      <c r="AV92" s="7"/>
      <c r="AW92" s="7"/>
      <c r="AX92" s="7"/>
      <c r="AY92" s="7"/>
      <c r="AZ92" s="7"/>
      <c r="BA92" s="7"/>
      <c r="BB92" s="7"/>
      <c r="BC92" s="7"/>
      <c r="BD92" s="14" t="s">
        <v>1787</v>
      </c>
      <c r="BE92" s="15" t="s">
        <v>1788</v>
      </c>
      <c r="BF92" s="11"/>
      <c r="BG92" s="16" t="s">
        <v>27</v>
      </c>
      <c r="BH92" s="7"/>
      <c r="BI92" s="14" t="s">
        <v>1635</v>
      </c>
      <c r="BJ92" s="15" t="s">
        <v>1789</v>
      </c>
      <c r="BK92" s="44"/>
      <c r="BL92" s="16" t="s">
        <v>27</v>
      </c>
      <c r="BM92" s="7"/>
      <c r="BN92" s="7"/>
      <c r="BO92" s="7"/>
      <c r="BP92" s="7"/>
      <c r="BQ92" s="7"/>
      <c r="BR92" s="7"/>
      <c r="BS92" s="7"/>
      <c r="BT92" s="7"/>
      <c r="BU92" s="7"/>
      <c r="BV92" s="7"/>
      <c r="BW92" s="7"/>
      <c r="BX92" s="7"/>
      <c r="BY92" s="7"/>
      <c r="BZ92" s="41"/>
      <c r="CA92" s="7"/>
      <c r="CB92" s="7"/>
      <c r="CC92" s="7"/>
      <c r="CD92" s="7"/>
      <c r="CE92" s="7"/>
      <c r="CF92" s="7"/>
    </row>
    <row r="93">
      <c r="A93" s="14" t="s">
        <v>1790</v>
      </c>
      <c r="B93" s="15" t="s">
        <v>1791</v>
      </c>
      <c r="C93" s="11" t="s">
        <v>1792</v>
      </c>
      <c r="D93" s="26" t="s">
        <v>27</v>
      </c>
      <c r="E93" s="7"/>
      <c r="F93" s="14"/>
      <c r="G93" s="44"/>
      <c r="H93" s="11"/>
      <c r="I93" s="27"/>
      <c r="J93" s="7"/>
      <c r="K93" s="14"/>
      <c r="L93" s="11"/>
      <c r="M93" s="19"/>
      <c r="N93" s="16"/>
      <c r="O93" s="7"/>
      <c r="P93" s="14"/>
      <c r="Q93" s="44"/>
      <c r="R93" s="7"/>
      <c r="S93" s="27"/>
      <c r="T93" s="7"/>
      <c r="U93" s="7"/>
      <c r="V93" s="7"/>
      <c r="W93" s="7"/>
      <c r="X93" s="7"/>
      <c r="Y93" s="7"/>
      <c r="Z93" s="7"/>
      <c r="AA93" s="7"/>
      <c r="AB93" s="7"/>
      <c r="AC93" s="7"/>
      <c r="AD93" s="7"/>
      <c r="AE93" s="7"/>
      <c r="AF93" s="7"/>
      <c r="AG93" s="7"/>
      <c r="AH93" s="7"/>
      <c r="AI93" s="7"/>
      <c r="AJ93" s="7"/>
      <c r="AK93" s="7"/>
      <c r="AL93" s="7"/>
      <c r="AM93" s="7"/>
      <c r="AN93" s="7"/>
      <c r="AO93" s="14" t="s">
        <v>1793</v>
      </c>
      <c r="AP93" s="15" t="s">
        <v>1794</v>
      </c>
      <c r="AQ93" s="44"/>
      <c r="AR93" s="16" t="s">
        <v>27</v>
      </c>
      <c r="AS93" s="7"/>
      <c r="AT93" s="7"/>
      <c r="AU93" s="55"/>
      <c r="AV93" s="7"/>
      <c r="AW93" s="7"/>
      <c r="AX93" s="7"/>
      <c r="AY93" s="7"/>
      <c r="AZ93" s="7"/>
      <c r="BA93" s="7"/>
      <c r="BB93" s="7"/>
      <c r="BC93" s="7"/>
      <c r="BD93" s="14" t="s">
        <v>1795</v>
      </c>
      <c r="BE93" s="15" t="s">
        <v>1796</v>
      </c>
      <c r="BF93" s="11"/>
      <c r="BG93" s="16" t="s">
        <v>27</v>
      </c>
      <c r="BH93" s="7"/>
      <c r="BI93" s="14" t="s">
        <v>1797</v>
      </c>
      <c r="BJ93" s="15" t="s">
        <v>1798</v>
      </c>
      <c r="BK93" s="44" t="s">
        <v>1799</v>
      </c>
      <c r="BL93" s="16" t="s">
        <v>27</v>
      </c>
      <c r="BM93" s="7"/>
      <c r="BN93" s="7"/>
      <c r="BO93" s="7"/>
      <c r="BP93" s="7"/>
      <c r="BQ93" s="7"/>
      <c r="BR93" s="7"/>
      <c r="BS93" s="7"/>
      <c r="BT93" s="7"/>
      <c r="BU93" s="7"/>
      <c r="BV93" s="7"/>
      <c r="BW93" s="7"/>
      <c r="BX93" s="7"/>
      <c r="BY93" s="7"/>
      <c r="BZ93" s="41"/>
      <c r="CA93" s="7"/>
      <c r="CB93" s="7"/>
      <c r="CC93" s="7"/>
      <c r="CD93" s="7"/>
      <c r="CE93" s="7"/>
      <c r="CF93" s="7"/>
    </row>
    <row r="94">
      <c r="A94" s="14" t="s">
        <v>1800</v>
      </c>
      <c r="B94" s="15" t="s">
        <v>1801</v>
      </c>
      <c r="C94" s="11" t="s">
        <v>1802</v>
      </c>
      <c r="D94" s="26" t="s">
        <v>27</v>
      </c>
      <c r="E94" s="7"/>
      <c r="F94" s="14"/>
      <c r="G94" s="44"/>
      <c r="H94" s="11"/>
      <c r="I94" s="27"/>
      <c r="J94" s="7"/>
      <c r="K94" s="14"/>
      <c r="L94" s="11"/>
      <c r="M94" s="19"/>
      <c r="N94" s="16"/>
      <c r="O94" s="7"/>
      <c r="P94" s="14"/>
      <c r="Q94" s="44"/>
      <c r="R94" s="7"/>
      <c r="S94" s="27"/>
      <c r="T94" s="7"/>
      <c r="U94" s="7"/>
      <c r="V94" s="7"/>
      <c r="W94" s="7"/>
      <c r="X94" s="7"/>
      <c r="Y94" s="7"/>
      <c r="Z94" s="7"/>
      <c r="AA94" s="7"/>
      <c r="AB94" s="7"/>
      <c r="AC94" s="7"/>
      <c r="AD94" s="7"/>
      <c r="AE94" s="7"/>
      <c r="AF94" s="7"/>
      <c r="AG94" s="7"/>
      <c r="AH94" s="7"/>
      <c r="AI94" s="7"/>
      <c r="AJ94" s="7"/>
      <c r="AK94" s="7"/>
      <c r="AL94" s="7"/>
      <c r="AM94" s="7"/>
      <c r="AN94" s="7"/>
      <c r="AO94" s="14" t="s">
        <v>1803</v>
      </c>
      <c r="AP94" s="15" t="s">
        <v>1804</v>
      </c>
      <c r="AQ94" s="44"/>
      <c r="AR94" s="16" t="s">
        <v>27</v>
      </c>
      <c r="AS94" s="7"/>
      <c r="AT94" s="7"/>
      <c r="AU94" s="55"/>
      <c r="AV94" s="7"/>
      <c r="AW94" s="7"/>
      <c r="AX94" s="7"/>
      <c r="AY94" s="7"/>
      <c r="AZ94" s="7"/>
      <c r="BA94" s="7"/>
      <c r="BB94" s="7"/>
      <c r="BC94" s="7"/>
      <c r="BD94" s="14" t="s">
        <v>1805</v>
      </c>
      <c r="BE94" s="15" t="s">
        <v>1806</v>
      </c>
      <c r="BF94" s="11"/>
      <c r="BG94" s="16" t="s">
        <v>27</v>
      </c>
      <c r="BH94" s="7"/>
      <c r="BI94" s="14" t="s">
        <v>1807</v>
      </c>
      <c r="BJ94" s="15" t="s">
        <v>1808</v>
      </c>
      <c r="BK94" s="44"/>
      <c r="BL94" s="16" t="s">
        <v>27</v>
      </c>
      <c r="BM94" s="7"/>
      <c r="BN94" s="7"/>
      <c r="BO94" s="7"/>
      <c r="BP94" s="7"/>
      <c r="BQ94" s="7"/>
      <c r="BR94" s="7"/>
      <c r="BS94" s="7"/>
      <c r="BT94" s="7"/>
      <c r="BU94" s="7"/>
      <c r="BV94" s="7"/>
      <c r="BW94" s="7"/>
      <c r="BX94" s="7"/>
      <c r="BY94" s="7"/>
      <c r="BZ94" s="41"/>
      <c r="CA94" s="7"/>
      <c r="CB94" s="7"/>
      <c r="CC94" s="7"/>
      <c r="CD94" s="7"/>
      <c r="CE94" s="7"/>
      <c r="CF94" s="7"/>
    </row>
    <row r="95">
      <c r="A95" s="14" t="s">
        <v>1809</v>
      </c>
      <c r="B95" s="15" t="s">
        <v>1810</v>
      </c>
      <c r="C95" s="11"/>
      <c r="D95" s="26" t="s">
        <v>27</v>
      </c>
      <c r="E95" s="7"/>
      <c r="F95" s="14"/>
      <c r="G95" s="44"/>
      <c r="H95" s="11"/>
      <c r="I95" s="27"/>
      <c r="J95" s="7"/>
      <c r="K95" s="14"/>
      <c r="L95" s="11"/>
      <c r="M95" s="19"/>
      <c r="N95" s="16"/>
      <c r="O95" s="7"/>
      <c r="P95" s="14"/>
      <c r="Q95" s="44"/>
      <c r="R95" s="7"/>
      <c r="S95" s="27"/>
      <c r="T95" s="7"/>
      <c r="U95" s="7"/>
      <c r="V95" s="7"/>
      <c r="W95" s="7"/>
      <c r="X95" s="7"/>
      <c r="Y95" s="7"/>
      <c r="Z95" s="7"/>
      <c r="AA95" s="7"/>
      <c r="AB95" s="7"/>
      <c r="AC95" s="7"/>
      <c r="AD95" s="7"/>
      <c r="AE95" s="7"/>
      <c r="AF95" s="7"/>
      <c r="AG95" s="7"/>
      <c r="AH95" s="7"/>
      <c r="AI95" s="7"/>
      <c r="AJ95" s="7"/>
      <c r="AK95" s="7"/>
      <c r="AL95" s="7"/>
      <c r="AM95" s="7"/>
      <c r="AN95" s="7"/>
      <c r="AO95" s="14" t="s">
        <v>1811</v>
      </c>
      <c r="AP95" s="15" t="s">
        <v>1812</v>
      </c>
      <c r="AQ95" s="44"/>
      <c r="AR95" s="16" t="s">
        <v>27</v>
      </c>
      <c r="AS95" s="7"/>
      <c r="AT95" s="7"/>
      <c r="AU95" s="55"/>
      <c r="AV95" s="7"/>
      <c r="AW95" s="7"/>
      <c r="AX95" s="7"/>
      <c r="AY95" s="7"/>
      <c r="AZ95" s="7"/>
      <c r="BA95" s="7"/>
      <c r="BB95" s="7"/>
      <c r="BC95" s="7"/>
      <c r="BD95" s="14" t="s">
        <v>1813</v>
      </c>
      <c r="BE95" s="15" t="s">
        <v>1814</v>
      </c>
      <c r="BF95" s="11"/>
      <c r="BG95" s="16" t="s">
        <v>27</v>
      </c>
      <c r="BH95" s="7"/>
      <c r="BI95" s="14" t="s">
        <v>1815</v>
      </c>
      <c r="BJ95" s="15" t="s">
        <v>1816</v>
      </c>
      <c r="BK95" s="44"/>
      <c r="BL95" s="16" t="s">
        <v>27</v>
      </c>
      <c r="BM95" s="7"/>
      <c r="BN95" s="7"/>
      <c r="BO95" s="7"/>
      <c r="BP95" s="7"/>
      <c r="BQ95" s="7"/>
      <c r="BR95" s="7"/>
      <c r="BS95" s="7"/>
      <c r="BT95" s="7"/>
      <c r="BU95" s="7"/>
      <c r="BV95" s="7"/>
      <c r="BW95" s="7"/>
      <c r="BX95" s="7"/>
      <c r="BY95" s="7"/>
      <c r="BZ95" s="41"/>
      <c r="CA95" s="7"/>
      <c r="CB95" s="7"/>
      <c r="CC95" s="7"/>
      <c r="CD95" s="7"/>
      <c r="CE95" s="7"/>
      <c r="CF95" s="7"/>
    </row>
    <row r="96">
      <c r="A96" s="14" t="s">
        <v>1817</v>
      </c>
      <c r="B96" s="15" t="s">
        <v>1818</v>
      </c>
      <c r="C96" s="11" t="s">
        <v>1819</v>
      </c>
      <c r="D96" s="26" t="s">
        <v>27</v>
      </c>
      <c r="E96" s="7"/>
      <c r="F96" s="14"/>
      <c r="G96" s="44"/>
      <c r="H96" s="11"/>
      <c r="I96" s="27"/>
      <c r="J96" s="7"/>
      <c r="K96" s="14"/>
      <c r="L96" s="11"/>
      <c r="M96" s="19"/>
      <c r="N96" s="16"/>
      <c r="O96" s="7"/>
      <c r="P96" s="14"/>
      <c r="Q96" s="44"/>
      <c r="R96" s="7"/>
      <c r="S96" s="27"/>
      <c r="T96" s="7"/>
      <c r="U96" s="7"/>
      <c r="V96" s="7"/>
      <c r="W96" s="7"/>
      <c r="X96" s="7"/>
      <c r="Y96" s="7"/>
      <c r="Z96" s="7"/>
      <c r="AA96" s="7"/>
      <c r="AB96" s="7"/>
      <c r="AC96" s="7"/>
      <c r="AD96" s="7"/>
      <c r="AE96" s="7"/>
      <c r="AF96" s="7"/>
      <c r="AG96" s="7"/>
      <c r="AH96" s="7"/>
      <c r="AI96" s="7"/>
      <c r="AJ96" s="7"/>
      <c r="AK96" s="7"/>
      <c r="AL96" s="7"/>
      <c r="AM96" s="7"/>
      <c r="AN96" s="7"/>
      <c r="AO96" s="14" t="s">
        <v>1820</v>
      </c>
      <c r="AP96" s="15" t="s">
        <v>1821</v>
      </c>
      <c r="AQ96" s="44" t="s">
        <v>1822</v>
      </c>
      <c r="AR96" s="16" t="s">
        <v>27</v>
      </c>
      <c r="AS96" s="7"/>
      <c r="AT96" s="7"/>
      <c r="AU96" s="55"/>
      <c r="AV96" s="7"/>
      <c r="AW96" s="7"/>
      <c r="AX96" s="7"/>
      <c r="AY96" s="7"/>
      <c r="AZ96" s="7"/>
      <c r="BA96" s="7"/>
      <c r="BB96" s="7"/>
      <c r="BC96" s="7"/>
      <c r="BD96" s="14" t="s">
        <v>1823</v>
      </c>
      <c r="BE96" s="15" t="s">
        <v>1824</v>
      </c>
      <c r="BF96" s="11"/>
      <c r="BG96" s="16" t="s">
        <v>27</v>
      </c>
      <c r="BH96" s="7"/>
      <c r="BI96" s="14" t="s">
        <v>1825</v>
      </c>
      <c r="BJ96" s="15" t="s">
        <v>1826</v>
      </c>
      <c r="BK96" s="44"/>
      <c r="BL96" s="16" t="s">
        <v>27</v>
      </c>
      <c r="BM96" s="7"/>
      <c r="BN96" s="7"/>
      <c r="BO96" s="7"/>
      <c r="BP96" s="7"/>
      <c r="BQ96" s="7"/>
      <c r="BR96" s="7"/>
      <c r="BS96" s="7"/>
      <c r="BT96" s="7"/>
      <c r="BU96" s="7"/>
      <c r="BV96" s="7"/>
      <c r="BW96" s="7"/>
      <c r="BX96" s="7"/>
      <c r="BY96" s="7"/>
      <c r="BZ96" s="41"/>
      <c r="CA96" s="7"/>
      <c r="CB96" s="7"/>
      <c r="CC96" s="7"/>
      <c r="CD96" s="7"/>
      <c r="CE96" s="7"/>
      <c r="CF96" s="7"/>
    </row>
    <row r="97">
      <c r="A97" s="14" t="s">
        <v>1827</v>
      </c>
      <c r="B97" s="15" t="s">
        <v>1828</v>
      </c>
      <c r="C97" s="11"/>
      <c r="D97" s="26" t="s">
        <v>27</v>
      </c>
      <c r="E97" s="7"/>
      <c r="F97" s="14"/>
      <c r="G97" s="44"/>
      <c r="H97" s="11"/>
      <c r="I97" s="27"/>
      <c r="J97" s="7"/>
      <c r="K97" s="14"/>
      <c r="L97" s="11"/>
      <c r="M97" s="19"/>
      <c r="N97" s="16"/>
      <c r="O97" s="7"/>
      <c r="P97" s="14"/>
      <c r="Q97" s="44"/>
      <c r="R97" s="7"/>
      <c r="S97" s="27"/>
      <c r="T97" s="7"/>
      <c r="U97" s="7"/>
      <c r="V97" s="7"/>
      <c r="W97" s="7"/>
      <c r="X97" s="7"/>
      <c r="Y97" s="7"/>
      <c r="Z97" s="7"/>
      <c r="AA97" s="7"/>
      <c r="AB97" s="7"/>
      <c r="AC97" s="7"/>
      <c r="AD97" s="7"/>
      <c r="AE97" s="7"/>
      <c r="AF97" s="7"/>
      <c r="AG97" s="7"/>
      <c r="AH97" s="7"/>
      <c r="AI97" s="7"/>
      <c r="AJ97" s="7"/>
      <c r="AK97" s="7"/>
      <c r="AL97" s="7"/>
      <c r="AM97" s="7"/>
      <c r="AN97" s="7"/>
      <c r="AO97" s="14" t="s">
        <v>1829</v>
      </c>
      <c r="AP97" s="15" t="s">
        <v>1830</v>
      </c>
      <c r="AQ97" s="44"/>
      <c r="AR97" s="16" t="s">
        <v>27</v>
      </c>
      <c r="AS97" s="7"/>
      <c r="AT97" s="7"/>
      <c r="AU97" s="55"/>
      <c r="AV97" s="7"/>
      <c r="AW97" s="7"/>
      <c r="AX97" s="7"/>
      <c r="AY97" s="7"/>
      <c r="AZ97" s="7"/>
      <c r="BA97" s="7"/>
      <c r="BB97" s="7"/>
      <c r="BC97" s="7"/>
      <c r="BD97" s="28" t="s">
        <v>1831</v>
      </c>
      <c r="BE97" s="15" t="s">
        <v>1832</v>
      </c>
      <c r="BF97" s="11"/>
      <c r="BG97" s="16" t="s">
        <v>27</v>
      </c>
      <c r="BH97" s="7"/>
      <c r="BI97" s="14" t="s">
        <v>1833</v>
      </c>
      <c r="BJ97" s="15" t="s">
        <v>1834</v>
      </c>
      <c r="BK97" s="44"/>
      <c r="BL97" s="16" t="s">
        <v>27</v>
      </c>
      <c r="BM97" s="7"/>
      <c r="BN97" s="7"/>
      <c r="BO97" s="7"/>
      <c r="BP97" s="7"/>
      <c r="BQ97" s="7"/>
      <c r="BR97" s="7"/>
      <c r="BS97" s="7"/>
      <c r="BT97" s="7"/>
      <c r="BU97" s="7"/>
      <c r="BV97" s="7"/>
      <c r="BW97" s="7"/>
      <c r="BX97" s="7"/>
      <c r="BY97" s="7"/>
      <c r="BZ97" s="41"/>
      <c r="CA97" s="7"/>
      <c r="CB97" s="7"/>
      <c r="CC97" s="7"/>
      <c r="CD97" s="7"/>
      <c r="CE97" s="7"/>
      <c r="CF97" s="7"/>
    </row>
    <row r="98">
      <c r="A98" s="14" t="s">
        <v>1835</v>
      </c>
      <c r="B98" s="15" t="s">
        <v>1836</v>
      </c>
      <c r="C98" s="11"/>
      <c r="D98" s="26" t="s">
        <v>27</v>
      </c>
      <c r="E98" s="7"/>
      <c r="F98" s="14"/>
      <c r="G98" s="44"/>
      <c r="H98" s="11"/>
      <c r="I98" s="27"/>
      <c r="J98" s="7"/>
      <c r="K98" s="14"/>
      <c r="L98" s="11"/>
      <c r="M98" s="19"/>
      <c r="N98" s="16"/>
      <c r="O98" s="7"/>
      <c r="P98" s="14"/>
      <c r="Q98" s="44"/>
      <c r="R98" s="7"/>
      <c r="S98" s="27"/>
      <c r="T98" s="7"/>
      <c r="U98" s="7"/>
      <c r="V98" s="7"/>
      <c r="W98" s="7"/>
      <c r="X98" s="7"/>
      <c r="Y98" s="7"/>
      <c r="Z98" s="7"/>
      <c r="AA98" s="7"/>
      <c r="AB98" s="7"/>
      <c r="AC98" s="7"/>
      <c r="AD98" s="7"/>
      <c r="AE98" s="7"/>
      <c r="AF98" s="7"/>
      <c r="AG98" s="7"/>
      <c r="AH98" s="7"/>
      <c r="AI98" s="7"/>
      <c r="AJ98" s="7"/>
      <c r="AK98" s="7"/>
      <c r="AL98" s="7"/>
      <c r="AM98" s="7"/>
      <c r="AN98" s="7"/>
      <c r="AO98" s="14" t="s">
        <v>1837</v>
      </c>
      <c r="AP98" s="15" t="s">
        <v>1838</v>
      </c>
      <c r="AQ98" s="44" t="s">
        <v>1839</v>
      </c>
      <c r="AR98" s="16" t="s">
        <v>27</v>
      </c>
      <c r="AS98" s="7"/>
      <c r="AT98" s="7"/>
      <c r="AU98" s="55"/>
      <c r="AV98" s="7"/>
      <c r="AW98" s="7"/>
      <c r="AX98" s="7"/>
      <c r="AY98" s="7"/>
      <c r="AZ98" s="7"/>
      <c r="BA98" s="7"/>
      <c r="BB98" s="7"/>
      <c r="BC98" s="7"/>
      <c r="BD98" s="14" t="s">
        <v>1840</v>
      </c>
      <c r="BE98" s="15" t="s">
        <v>1841</v>
      </c>
      <c r="BF98" s="11"/>
      <c r="BG98" s="16" t="s">
        <v>27</v>
      </c>
      <c r="BH98" s="7"/>
      <c r="BI98" s="14" t="s">
        <v>1842</v>
      </c>
      <c r="BJ98" s="15" t="s">
        <v>1843</v>
      </c>
      <c r="BK98" s="44"/>
      <c r="BL98" s="16" t="s">
        <v>21</v>
      </c>
      <c r="BM98" s="7"/>
      <c r="BN98" s="7"/>
      <c r="BO98" s="7"/>
      <c r="BP98" s="7"/>
      <c r="BQ98" s="7"/>
      <c r="BR98" s="7"/>
      <c r="BS98" s="7"/>
      <c r="BT98" s="7"/>
      <c r="BU98" s="7"/>
      <c r="BV98" s="7"/>
      <c r="BW98" s="7"/>
      <c r="BX98" s="7"/>
      <c r="BY98" s="7"/>
      <c r="BZ98" s="41"/>
      <c r="CA98" s="7"/>
      <c r="CB98" s="7"/>
      <c r="CC98" s="7"/>
      <c r="CD98" s="7"/>
      <c r="CE98" s="7"/>
      <c r="CF98" s="7"/>
    </row>
    <row r="99">
      <c r="A99" s="14" t="s">
        <v>1844</v>
      </c>
      <c r="B99" s="15" t="s">
        <v>1845</v>
      </c>
      <c r="C99" s="11"/>
      <c r="D99" s="26" t="s">
        <v>27</v>
      </c>
      <c r="E99" s="7"/>
      <c r="F99" s="14"/>
      <c r="G99" s="44"/>
      <c r="H99" s="11"/>
      <c r="I99" s="27"/>
      <c r="J99" s="7"/>
      <c r="K99" s="14"/>
      <c r="L99" s="11"/>
      <c r="M99" s="19"/>
      <c r="N99" s="16"/>
      <c r="O99" s="7"/>
      <c r="P99" s="14"/>
      <c r="Q99" s="44"/>
      <c r="R99" s="7"/>
      <c r="S99" s="27"/>
      <c r="T99" s="7"/>
      <c r="U99" s="7"/>
      <c r="V99" s="7"/>
      <c r="W99" s="7"/>
      <c r="X99" s="7"/>
      <c r="Y99" s="7"/>
      <c r="Z99" s="7"/>
      <c r="AA99" s="7"/>
      <c r="AB99" s="7"/>
      <c r="AC99" s="7"/>
      <c r="AD99" s="7"/>
      <c r="AE99" s="7"/>
      <c r="AF99" s="7"/>
      <c r="AG99" s="7"/>
      <c r="AH99" s="7"/>
      <c r="AI99" s="7"/>
      <c r="AJ99" s="7"/>
      <c r="AK99" s="7"/>
      <c r="AL99" s="7"/>
      <c r="AM99" s="7"/>
      <c r="AN99" s="7"/>
      <c r="AO99" s="14" t="s">
        <v>1846</v>
      </c>
      <c r="AP99" s="15" t="s">
        <v>1847</v>
      </c>
      <c r="AQ99" s="44"/>
      <c r="AR99" s="16" t="s">
        <v>27</v>
      </c>
      <c r="AS99" s="7"/>
      <c r="AT99" s="7"/>
      <c r="AU99" s="55"/>
      <c r="AV99" s="7"/>
      <c r="AW99" s="7"/>
      <c r="AX99" s="7"/>
      <c r="AY99" s="7"/>
      <c r="AZ99" s="7"/>
      <c r="BA99" s="7"/>
      <c r="BB99" s="7"/>
      <c r="BC99" s="7"/>
      <c r="BD99" s="14" t="s">
        <v>1848</v>
      </c>
      <c r="BE99" s="15" t="s">
        <v>1849</v>
      </c>
      <c r="BF99" s="11"/>
      <c r="BG99" s="16" t="s">
        <v>27</v>
      </c>
      <c r="BH99" s="7"/>
      <c r="BI99" s="14" t="s">
        <v>1850</v>
      </c>
      <c r="BJ99" s="15" t="s">
        <v>1851</v>
      </c>
      <c r="BK99" s="44" t="s">
        <v>1852</v>
      </c>
      <c r="BL99" s="16" t="s">
        <v>27</v>
      </c>
      <c r="BM99" s="7"/>
      <c r="BN99" s="7"/>
      <c r="BO99" s="7"/>
      <c r="BP99" s="7"/>
      <c r="BQ99" s="7"/>
      <c r="BR99" s="7"/>
      <c r="BS99" s="7"/>
      <c r="BT99" s="7"/>
      <c r="BU99" s="7"/>
      <c r="BV99" s="7"/>
      <c r="BW99" s="7"/>
      <c r="BX99" s="7"/>
      <c r="BY99" s="7"/>
      <c r="BZ99" s="41"/>
      <c r="CA99" s="7"/>
      <c r="CB99" s="7"/>
      <c r="CC99" s="7"/>
      <c r="CD99" s="7"/>
      <c r="CE99" s="7"/>
      <c r="CF99" s="7"/>
    </row>
    <row r="100">
      <c r="A100" s="14" t="s">
        <v>1853</v>
      </c>
      <c r="B100" s="15" t="s">
        <v>1854</v>
      </c>
      <c r="C100" s="11" t="s">
        <v>1855</v>
      </c>
      <c r="D100" s="26" t="s">
        <v>27</v>
      </c>
      <c r="E100" s="7"/>
      <c r="F100" s="14"/>
      <c r="G100" s="44"/>
      <c r="H100" s="11"/>
      <c r="I100" s="27"/>
      <c r="J100" s="7"/>
      <c r="K100" s="14"/>
      <c r="L100" s="11"/>
      <c r="M100" s="19"/>
      <c r="N100" s="16"/>
      <c r="O100" s="7"/>
      <c r="P100" s="14"/>
      <c r="Q100" s="44"/>
      <c r="R100" s="7"/>
      <c r="S100" s="27"/>
      <c r="T100" s="7"/>
      <c r="U100" s="7"/>
      <c r="V100" s="7"/>
      <c r="W100" s="7"/>
      <c r="X100" s="7"/>
      <c r="Y100" s="7"/>
      <c r="Z100" s="7"/>
      <c r="AA100" s="7"/>
      <c r="AB100" s="7"/>
      <c r="AC100" s="7"/>
      <c r="AD100" s="7"/>
      <c r="AE100" s="7"/>
      <c r="AF100" s="7"/>
      <c r="AG100" s="7"/>
      <c r="AH100" s="7"/>
      <c r="AI100" s="7"/>
      <c r="AJ100" s="7"/>
      <c r="AK100" s="7"/>
      <c r="AL100" s="7"/>
      <c r="AM100" s="7"/>
      <c r="AN100" s="7"/>
      <c r="AO100" s="14" t="s">
        <v>1856</v>
      </c>
      <c r="AP100" s="15" t="s">
        <v>1857</v>
      </c>
      <c r="AQ100" s="44"/>
      <c r="AR100" s="16" t="s">
        <v>27</v>
      </c>
      <c r="AS100" s="7"/>
      <c r="AT100" s="7"/>
      <c r="AU100" s="55"/>
      <c r="AV100" s="7"/>
      <c r="AW100" s="7"/>
      <c r="AX100" s="7"/>
      <c r="AY100" s="7"/>
      <c r="AZ100" s="7"/>
      <c r="BA100" s="7"/>
      <c r="BB100" s="7"/>
      <c r="BC100" s="7"/>
      <c r="BD100" s="14" t="s">
        <v>1858</v>
      </c>
      <c r="BE100" s="15" t="s">
        <v>1859</v>
      </c>
      <c r="BF100" s="11"/>
      <c r="BG100" s="16" t="s">
        <v>27</v>
      </c>
      <c r="BH100" s="7"/>
      <c r="BI100" s="14" t="s">
        <v>1860</v>
      </c>
      <c r="BJ100" s="15" t="s">
        <v>1861</v>
      </c>
      <c r="BK100" s="44" t="s">
        <v>1862</v>
      </c>
      <c r="BL100" s="16" t="s">
        <v>27</v>
      </c>
      <c r="BM100" s="7"/>
      <c r="BN100" s="7"/>
      <c r="BO100" s="7"/>
      <c r="BP100" s="7"/>
      <c r="BQ100" s="7"/>
      <c r="BR100" s="7"/>
      <c r="BS100" s="7"/>
      <c r="BT100" s="7"/>
      <c r="BU100" s="7"/>
      <c r="BV100" s="7"/>
      <c r="BW100" s="7"/>
      <c r="BX100" s="7"/>
      <c r="BY100" s="7"/>
      <c r="BZ100" s="41"/>
      <c r="CA100" s="7"/>
      <c r="CB100" s="7"/>
      <c r="CC100" s="7"/>
      <c r="CD100" s="7"/>
      <c r="CE100" s="7"/>
      <c r="CF100" s="7"/>
    </row>
    <row r="101">
      <c r="A101" s="14" t="s">
        <v>1863</v>
      </c>
      <c r="B101" s="15" t="s">
        <v>1864</v>
      </c>
      <c r="C101" s="11"/>
      <c r="D101" s="26" t="s">
        <v>27</v>
      </c>
      <c r="E101" s="7"/>
      <c r="F101" s="14"/>
      <c r="G101" s="44"/>
      <c r="H101" s="11"/>
      <c r="I101" s="27"/>
      <c r="J101" s="7"/>
      <c r="K101" s="14"/>
      <c r="L101" s="11"/>
      <c r="M101" s="19"/>
      <c r="N101" s="16"/>
      <c r="O101" s="7"/>
      <c r="P101" s="14"/>
      <c r="Q101" s="44"/>
      <c r="R101" s="7"/>
      <c r="S101" s="27"/>
      <c r="T101" s="7"/>
      <c r="U101" s="7"/>
      <c r="V101" s="7"/>
      <c r="W101" s="7"/>
      <c r="X101" s="7"/>
      <c r="Y101" s="7"/>
      <c r="Z101" s="7"/>
      <c r="AA101" s="7"/>
      <c r="AB101" s="7"/>
      <c r="AC101" s="7"/>
      <c r="AD101" s="7"/>
      <c r="AE101" s="7"/>
      <c r="AF101" s="7"/>
      <c r="AG101" s="7"/>
      <c r="AH101" s="7"/>
      <c r="AI101" s="7"/>
      <c r="AJ101" s="7"/>
      <c r="AK101" s="7"/>
      <c r="AL101" s="7"/>
      <c r="AM101" s="7"/>
      <c r="AN101" s="7"/>
      <c r="AO101" s="14" t="s">
        <v>1865</v>
      </c>
      <c r="AP101" s="15" t="s">
        <v>1866</v>
      </c>
      <c r="AQ101" s="44"/>
      <c r="AR101" s="16" t="s">
        <v>27</v>
      </c>
      <c r="AS101" s="7"/>
      <c r="AT101" s="7"/>
      <c r="AU101" s="55"/>
      <c r="AV101" s="7"/>
      <c r="AW101" s="7"/>
      <c r="AX101" s="7"/>
      <c r="AY101" s="7"/>
      <c r="AZ101" s="7"/>
      <c r="BA101" s="7"/>
      <c r="BB101" s="7"/>
      <c r="BC101" s="7"/>
      <c r="BD101" s="14" t="s">
        <v>1867</v>
      </c>
      <c r="BE101" s="15" t="s">
        <v>1868</v>
      </c>
      <c r="BF101" s="11" t="s">
        <v>1869</v>
      </c>
      <c r="BG101" s="16" t="s">
        <v>33</v>
      </c>
      <c r="BH101" s="7"/>
      <c r="BI101" s="14" t="s">
        <v>1870</v>
      </c>
      <c r="BJ101" s="15" t="s">
        <v>1871</v>
      </c>
      <c r="BK101" s="44" t="s">
        <v>1872</v>
      </c>
      <c r="BL101" s="16" t="s">
        <v>27</v>
      </c>
      <c r="BM101" s="7"/>
      <c r="BN101" s="7"/>
      <c r="BO101" s="7"/>
      <c r="BP101" s="7"/>
      <c r="BQ101" s="7"/>
      <c r="BR101" s="7"/>
      <c r="BS101" s="7"/>
      <c r="BT101" s="7"/>
      <c r="BU101" s="7"/>
      <c r="BV101" s="7"/>
      <c r="BW101" s="7"/>
      <c r="BX101" s="7"/>
      <c r="BY101" s="7"/>
      <c r="BZ101" s="41"/>
      <c r="CA101" s="7"/>
      <c r="CB101" s="7"/>
      <c r="CC101" s="7"/>
      <c r="CD101" s="7"/>
      <c r="CE101" s="7"/>
      <c r="CF101" s="7"/>
    </row>
    <row r="102">
      <c r="A102" s="14" t="s">
        <v>1873</v>
      </c>
      <c r="B102" s="15" t="s">
        <v>1874</v>
      </c>
      <c r="C102" s="11" t="s">
        <v>1875</v>
      </c>
      <c r="D102" s="26" t="s">
        <v>27</v>
      </c>
      <c r="E102" s="7"/>
      <c r="F102" s="14"/>
      <c r="G102" s="44"/>
      <c r="H102" s="11"/>
      <c r="I102" s="27"/>
      <c r="J102" s="7"/>
      <c r="K102" s="14"/>
      <c r="L102" s="11"/>
      <c r="M102" s="19"/>
      <c r="N102" s="16"/>
      <c r="O102" s="7"/>
      <c r="P102" s="14"/>
      <c r="Q102" s="44"/>
      <c r="R102" s="7"/>
      <c r="S102" s="27"/>
      <c r="T102" s="7"/>
      <c r="U102" s="7"/>
      <c r="V102" s="7"/>
      <c r="W102" s="7"/>
      <c r="X102" s="7"/>
      <c r="Y102" s="7"/>
      <c r="Z102" s="7"/>
      <c r="AA102" s="7"/>
      <c r="AB102" s="7"/>
      <c r="AC102" s="7"/>
      <c r="AD102" s="7"/>
      <c r="AE102" s="7"/>
      <c r="AF102" s="7"/>
      <c r="AG102" s="7"/>
      <c r="AH102" s="7"/>
      <c r="AI102" s="7"/>
      <c r="AJ102" s="7"/>
      <c r="AK102" s="7"/>
      <c r="AL102" s="7"/>
      <c r="AM102" s="7"/>
      <c r="AN102" s="7"/>
      <c r="AO102" s="14" t="s">
        <v>1876</v>
      </c>
      <c r="AP102" s="15" t="s">
        <v>1877</v>
      </c>
      <c r="AQ102" s="44"/>
      <c r="AR102" s="16" t="s">
        <v>33</v>
      </c>
      <c r="AS102" s="7"/>
      <c r="AT102" s="7"/>
      <c r="AU102" s="55"/>
      <c r="AV102" s="7"/>
      <c r="AW102" s="7"/>
      <c r="AX102" s="7"/>
      <c r="AY102" s="7"/>
      <c r="AZ102" s="7"/>
      <c r="BA102" s="7"/>
      <c r="BB102" s="7"/>
      <c r="BC102" s="7"/>
      <c r="BD102" s="14" t="s">
        <v>1878</v>
      </c>
      <c r="BE102" s="15" t="s">
        <v>1879</v>
      </c>
      <c r="BF102" s="11"/>
      <c r="BG102" s="16" t="s">
        <v>27</v>
      </c>
      <c r="BH102" s="7"/>
      <c r="BI102" s="14" t="s">
        <v>1880</v>
      </c>
      <c r="BJ102" s="15" t="s">
        <v>1881</v>
      </c>
      <c r="BK102" s="44"/>
      <c r="BL102" s="16" t="s">
        <v>27</v>
      </c>
      <c r="BM102" s="7"/>
      <c r="BN102" s="7"/>
      <c r="BO102" s="7"/>
      <c r="BP102" s="7"/>
      <c r="BQ102" s="7"/>
      <c r="BR102" s="7"/>
      <c r="BS102" s="7"/>
      <c r="BT102" s="7"/>
      <c r="BU102" s="7"/>
      <c r="BV102" s="7"/>
      <c r="BW102" s="7"/>
      <c r="BX102" s="7"/>
      <c r="BY102" s="7"/>
      <c r="BZ102" s="41"/>
      <c r="CA102" s="7"/>
      <c r="CB102" s="7"/>
      <c r="CC102" s="7"/>
      <c r="CD102" s="7"/>
      <c r="CE102" s="7"/>
      <c r="CF102" s="7"/>
    </row>
    <row r="103">
      <c r="A103" s="14" t="s">
        <v>1882</v>
      </c>
      <c r="B103" s="15" t="s">
        <v>1883</v>
      </c>
      <c r="C103" s="11" t="s">
        <v>1884</v>
      </c>
      <c r="D103" s="26" t="s">
        <v>27</v>
      </c>
      <c r="E103" s="7"/>
      <c r="F103" s="14"/>
      <c r="G103" s="44"/>
      <c r="H103" s="11"/>
      <c r="I103" s="27"/>
      <c r="J103" s="7"/>
      <c r="K103" s="14"/>
      <c r="L103" s="11"/>
      <c r="M103" s="19"/>
      <c r="N103" s="16"/>
      <c r="O103" s="7"/>
      <c r="P103" s="14"/>
      <c r="Q103" s="44"/>
      <c r="R103" s="7"/>
      <c r="S103" s="27"/>
      <c r="T103" s="7"/>
      <c r="U103" s="7"/>
      <c r="V103" s="7"/>
      <c r="W103" s="7"/>
      <c r="X103" s="7"/>
      <c r="Y103" s="7"/>
      <c r="Z103" s="7"/>
      <c r="AA103" s="7"/>
      <c r="AB103" s="7"/>
      <c r="AC103" s="7"/>
      <c r="AD103" s="7"/>
      <c r="AE103" s="7"/>
      <c r="AF103" s="7"/>
      <c r="AG103" s="7"/>
      <c r="AH103" s="7"/>
      <c r="AI103" s="7"/>
      <c r="AJ103" s="7"/>
      <c r="AK103" s="7"/>
      <c r="AL103" s="7"/>
      <c r="AM103" s="7"/>
      <c r="AN103" s="7"/>
      <c r="AO103" s="14" t="s">
        <v>1885</v>
      </c>
      <c r="AP103" s="15" t="s">
        <v>1886</v>
      </c>
      <c r="AQ103" s="44" t="s">
        <v>1887</v>
      </c>
      <c r="AR103" s="16" t="s">
        <v>136</v>
      </c>
      <c r="AS103" s="7"/>
      <c r="AT103" s="7"/>
      <c r="AU103" s="55"/>
      <c r="AV103" s="7"/>
      <c r="AW103" s="7"/>
      <c r="AX103" s="7"/>
      <c r="AY103" s="7"/>
      <c r="AZ103" s="7"/>
      <c r="BA103" s="7"/>
      <c r="BB103" s="7"/>
      <c r="BC103" s="7"/>
      <c r="BD103" s="14" t="s">
        <v>1888</v>
      </c>
      <c r="BE103" s="15" t="s">
        <v>1889</v>
      </c>
      <c r="BF103" s="11"/>
      <c r="BG103" s="16" t="s">
        <v>27</v>
      </c>
      <c r="BH103" s="7"/>
      <c r="BI103" s="14" t="s">
        <v>1860</v>
      </c>
      <c r="BJ103" s="15" t="s">
        <v>1890</v>
      </c>
      <c r="BK103" s="44"/>
      <c r="BL103" s="16" t="s">
        <v>27</v>
      </c>
      <c r="BM103" s="7"/>
      <c r="BN103" s="7"/>
      <c r="BO103" s="7"/>
      <c r="BP103" s="7"/>
      <c r="BQ103" s="7"/>
      <c r="BR103" s="7"/>
      <c r="BS103" s="7"/>
      <c r="BT103" s="7"/>
      <c r="BU103" s="7"/>
      <c r="BV103" s="7"/>
      <c r="BW103" s="7"/>
      <c r="BX103" s="7"/>
      <c r="BY103" s="7"/>
      <c r="BZ103" s="41"/>
      <c r="CA103" s="7"/>
      <c r="CB103" s="7"/>
      <c r="CC103" s="7"/>
      <c r="CD103" s="7"/>
      <c r="CE103" s="7"/>
      <c r="CF103" s="7"/>
    </row>
    <row r="104">
      <c r="A104" s="14" t="s">
        <v>1891</v>
      </c>
      <c r="B104" s="15" t="s">
        <v>1892</v>
      </c>
      <c r="C104" s="11" t="s">
        <v>1893</v>
      </c>
      <c r="D104" s="26" t="s">
        <v>27</v>
      </c>
      <c r="E104" s="7"/>
      <c r="F104" s="14"/>
      <c r="G104" s="44"/>
      <c r="H104" s="11"/>
      <c r="I104" s="27"/>
      <c r="J104" s="7"/>
      <c r="K104" s="14"/>
      <c r="L104" s="11"/>
      <c r="M104" s="19"/>
      <c r="N104" s="16"/>
      <c r="O104" s="7"/>
      <c r="P104" s="14"/>
      <c r="Q104" s="44"/>
      <c r="R104" s="7"/>
      <c r="S104" s="27"/>
      <c r="T104" s="7"/>
      <c r="U104" s="7"/>
      <c r="V104" s="7"/>
      <c r="W104" s="7"/>
      <c r="X104" s="7"/>
      <c r="Y104" s="7"/>
      <c r="Z104" s="7"/>
      <c r="AA104" s="7"/>
      <c r="AB104" s="7"/>
      <c r="AC104" s="7"/>
      <c r="AD104" s="7"/>
      <c r="AE104" s="7"/>
      <c r="AF104" s="7"/>
      <c r="AG104" s="7"/>
      <c r="AH104" s="7"/>
      <c r="AI104" s="7"/>
      <c r="AJ104" s="7"/>
      <c r="AK104" s="7"/>
      <c r="AL104" s="7"/>
      <c r="AM104" s="7"/>
      <c r="AN104" s="7"/>
      <c r="AO104" s="14" t="s">
        <v>1894</v>
      </c>
      <c r="AP104" s="15" t="s">
        <v>1895</v>
      </c>
      <c r="AQ104" s="44"/>
      <c r="AR104" s="16" t="s">
        <v>27</v>
      </c>
      <c r="AS104" s="7"/>
      <c r="AT104" s="7"/>
      <c r="AU104" s="55"/>
      <c r="AV104" s="7"/>
      <c r="AW104" s="7"/>
      <c r="AX104" s="7"/>
      <c r="AY104" s="7"/>
      <c r="AZ104" s="7"/>
      <c r="BA104" s="7"/>
      <c r="BB104" s="7"/>
      <c r="BC104" s="7"/>
      <c r="BD104" s="14" t="s">
        <v>1896</v>
      </c>
      <c r="BE104" s="15" t="s">
        <v>1897</v>
      </c>
      <c r="BF104" s="11"/>
      <c r="BG104" s="16" t="s">
        <v>27</v>
      </c>
      <c r="BH104" s="7"/>
      <c r="BI104" s="14" t="s">
        <v>1606</v>
      </c>
      <c r="BJ104" s="15" t="s">
        <v>1898</v>
      </c>
      <c r="BK104" s="44"/>
      <c r="BL104" s="16" t="s">
        <v>27</v>
      </c>
      <c r="BM104" s="7"/>
      <c r="BN104" s="7"/>
      <c r="BO104" s="7"/>
      <c r="BP104" s="7"/>
      <c r="BQ104" s="7"/>
      <c r="BR104" s="7"/>
      <c r="BS104" s="7"/>
      <c r="BT104" s="7"/>
      <c r="BU104" s="7"/>
      <c r="BV104" s="7"/>
      <c r="BW104" s="7"/>
      <c r="BX104" s="7"/>
      <c r="BY104" s="7"/>
      <c r="BZ104" s="41"/>
      <c r="CA104" s="7"/>
      <c r="CB104" s="7"/>
      <c r="CC104" s="7"/>
      <c r="CD104" s="7"/>
      <c r="CE104" s="7"/>
      <c r="CF104" s="7"/>
    </row>
    <row r="105">
      <c r="A105" s="14" t="s">
        <v>1899</v>
      </c>
      <c r="B105" s="15" t="s">
        <v>1900</v>
      </c>
      <c r="C105" s="11" t="s">
        <v>1901</v>
      </c>
      <c r="D105" s="26" t="s">
        <v>27</v>
      </c>
      <c r="E105" s="7"/>
      <c r="F105" s="14"/>
      <c r="G105" s="44"/>
      <c r="H105" s="11"/>
      <c r="I105" s="27"/>
      <c r="J105" s="7"/>
      <c r="K105" s="14"/>
      <c r="L105" s="11"/>
      <c r="M105" s="19"/>
      <c r="N105" s="16"/>
      <c r="O105" s="7"/>
      <c r="P105" s="14"/>
      <c r="Q105" s="44"/>
      <c r="R105" s="7"/>
      <c r="S105" s="27"/>
      <c r="T105" s="7"/>
      <c r="U105" s="7"/>
      <c r="V105" s="7"/>
      <c r="W105" s="7"/>
      <c r="X105" s="7"/>
      <c r="Y105" s="7"/>
      <c r="Z105" s="7"/>
      <c r="AA105" s="7"/>
      <c r="AB105" s="7"/>
      <c r="AC105" s="7"/>
      <c r="AD105" s="7"/>
      <c r="AE105" s="7"/>
      <c r="AF105" s="7"/>
      <c r="AG105" s="7"/>
      <c r="AH105" s="7"/>
      <c r="AI105" s="7"/>
      <c r="AJ105" s="7"/>
      <c r="AK105" s="7"/>
      <c r="AL105" s="7"/>
      <c r="AM105" s="7"/>
      <c r="AN105" s="7"/>
      <c r="AO105" s="14" t="s">
        <v>1902</v>
      </c>
      <c r="AP105" s="15" t="s">
        <v>1903</v>
      </c>
      <c r="AQ105" s="44"/>
      <c r="AR105" s="16" t="s">
        <v>27</v>
      </c>
      <c r="AS105" s="7"/>
      <c r="AT105" s="7"/>
      <c r="AU105" s="55"/>
      <c r="AV105" s="7"/>
      <c r="AW105" s="7"/>
      <c r="AX105" s="7"/>
      <c r="AY105" s="7"/>
      <c r="AZ105" s="7"/>
      <c r="BA105" s="7"/>
      <c r="BB105" s="7"/>
      <c r="BC105" s="7"/>
      <c r="BD105" s="14" t="s">
        <v>1904</v>
      </c>
      <c r="BE105" s="15" t="s">
        <v>1905</v>
      </c>
      <c r="BF105" s="11" t="s">
        <v>1906</v>
      </c>
      <c r="BG105" s="16" t="s">
        <v>27</v>
      </c>
      <c r="BH105" s="7"/>
      <c r="BI105" s="14" t="s">
        <v>1907</v>
      </c>
      <c r="BJ105" s="15" t="s">
        <v>1908</v>
      </c>
      <c r="BK105" s="44"/>
      <c r="BL105" s="16" t="s">
        <v>27</v>
      </c>
      <c r="BM105" s="7"/>
      <c r="BN105" s="7"/>
      <c r="BO105" s="7"/>
      <c r="BP105" s="7"/>
      <c r="BQ105" s="7"/>
      <c r="BR105" s="7"/>
      <c r="BS105" s="7"/>
      <c r="BT105" s="7"/>
      <c r="BU105" s="7"/>
      <c r="BV105" s="7"/>
      <c r="BW105" s="7"/>
      <c r="BX105" s="7"/>
      <c r="BY105" s="7"/>
      <c r="BZ105" s="41"/>
      <c r="CA105" s="7"/>
      <c r="CB105" s="7"/>
      <c r="CC105" s="7"/>
      <c r="CD105" s="7"/>
      <c r="CE105" s="7"/>
      <c r="CF105" s="7"/>
    </row>
    <row r="106">
      <c r="A106" s="14" t="s">
        <v>1909</v>
      </c>
      <c r="B106" s="15" t="s">
        <v>1910</v>
      </c>
      <c r="C106" s="11"/>
      <c r="D106" s="26" t="s">
        <v>27</v>
      </c>
      <c r="E106" s="7"/>
      <c r="F106" s="14"/>
      <c r="G106" s="44"/>
      <c r="H106" s="11"/>
      <c r="I106" s="27"/>
      <c r="J106" s="7"/>
      <c r="K106" s="14"/>
      <c r="L106" s="11"/>
      <c r="M106" s="19"/>
      <c r="N106" s="16"/>
      <c r="O106" s="7"/>
      <c r="P106" s="14"/>
      <c r="Q106" s="44"/>
      <c r="R106" s="7"/>
      <c r="S106" s="27"/>
      <c r="T106" s="7"/>
      <c r="U106" s="7"/>
      <c r="V106" s="7"/>
      <c r="W106" s="7"/>
      <c r="X106" s="7"/>
      <c r="Y106" s="7"/>
      <c r="Z106" s="7"/>
      <c r="AA106" s="7"/>
      <c r="AB106" s="7"/>
      <c r="AC106" s="7"/>
      <c r="AD106" s="7"/>
      <c r="AE106" s="7"/>
      <c r="AF106" s="7"/>
      <c r="AG106" s="7"/>
      <c r="AH106" s="7"/>
      <c r="AI106" s="7"/>
      <c r="AJ106" s="7"/>
      <c r="AK106" s="7"/>
      <c r="AL106" s="7"/>
      <c r="AM106" s="7"/>
      <c r="AN106" s="7"/>
      <c r="AO106" s="14" t="s">
        <v>1911</v>
      </c>
      <c r="AP106" s="15" t="s">
        <v>1912</v>
      </c>
      <c r="AQ106" s="44"/>
      <c r="AR106" s="16" t="s">
        <v>27</v>
      </c>
      <c r="AS106" s="7"/>
      <c r="AT106" s="7"/>
      <c r="AU106" s="55"/>
      <c r="AV106" s="7"/>
      <c r="AW106" s="7"/>
      <c r="AX106" s="7"/>
      <c r="AY106" s="7"/>
      <c r="AZ106" s="7"/>
      <c r="BA106" s="7"/>
      <c r="BB106" s="7"/>
      <c r="BC106" s="7"/>
      <c r="BD106" s="14" t="s">
        <v>1913</v>
      </c>
      <c r="BE106" s="15" t="s">
        <v>1914</v>
      </c>
      <c r="BF106" s="11"/>
      <c r="BG106" s="16" t="s">
        <v>27</v>
      </c>
      <c r="BH106" s="7"/>
      <c r="BI106" s="14" t="s">
        <v>1915</v>
      </c>
      <c r="BJ106" s="15" t="s">
        <v>1916</v>
      </c>
      <c r="BK106" s="44"/>
      <c r="BL106" s="16" t="s">
        <v>27</v>
      </c>
      <c r="BM106" s="7"/>
      <c r="BN106" s="7"/>
      <c r="BO106" s="7"/>
      <c r="BP106" s="7"/>
      <c r="BQ106" s="7"/>
      <c r="BR106" s="7"/>
      <c r="BS106" s="7"/>
      <c r="BT106" s="7"/>
      <c r="BU106" s="7"/>
      <c r="BV106" s="7"/>
      <c r="BW106" s="7"/>
      <c r="BX106" s="7"/>
      <c r="BY106" s="7"/>
      <c r="BZ106" s="41"/>
      <c r="CA106" s="7"/>
      <c r="CB106" s="7"/>
      <c r="CC106" s="7"/>
      <c r="CD106" s="7"/>
      <c r="CE106" s="7"/>
      <c r="CF106" s="7"/>
    </row>
    <row r="107">
      <c r="A107" s="14" t="s">
        <v>1917</v>
      </c>
      <c r="B107" s="15" t="s">
        <v>1918</v>
      </c>
      <c r="C107" s="11" t="s">
        <v>1919</v>
      </c>
      <c r="D107" s="26" t="s">
        <v>27</v>
      </c>
      <c r="E107" s="7"/>
      <c r="F107" s="14"/>
      <c r="G107" s="44"/>
      <c r="H107" s="11"/>
      <c r="I107" s="27"/>
      <c r="J107" s="7"/>
      <c r="K107" s="14"/>
      <c r="L107" s="11"/>
      <c r="M107" s="19"/>
      <c r="N107" s="16"/>
      <c r="O107" s="7"/>
      <c r="P107" s="14"/>
      <c r="Q107" s="44"/>
      <c r="R107" s="7"/>
      <c r="S107" s="27"/>
      <c r="T107" s="7"/>
      <c r="U107" s="7"/>
      <c r="V107" s="7"/>
      <c r="W107" s="7"/>
      <c r="X107" s="7"/>
      <c r="Y107" s="7"/>
      <c r="Z107" s="7"/>
      <c r="AA107" s="7"/>
      <c r="AB107" s="7"/>
      <c r="AC107" s="7"/>
      <c r="AD107" s="7"/>
      <c r="AE107" s="7"/>
      <c r="AF107" s="7"/>
      <c r="AG107" s="7"/>
      <c r="AH107" s="7"/>
      <c r="AI107" s="7"/>
      <c r="AJ107" s="7"/>
      <c r="AK107" s="7"/>
      <c r="AL107" s="7"/>
      <c r="AM107" s="7"/>
      <c r="AN107" s="7"/>
      <c r="AO107" s="14" t="s">
        <v>1920</v>
      </c>
      <c r="AP107" s="15" t="s">
        <v>1921</v>
      </c>
      <c r="AQ107" s="44"/>
      <c r="AR107" s="16" t="s">
        <v>27</v>
      </c>
      <c r="AS107" s="7"/>
      <c r="AT107" s="7"/>
      <c r="AU107" s="55"/>
      <c r="AV107" s="7"/>
      <c r="AW107" s="7"/>
      <c r="AX107" s="7"/>
      <c r="AY107" s="7"/>
      <c r="AZ107" s="7"/>
      <c r="BA107" s="7"/>
      <c r="BB107" s="7"/>
      <c r="BC107" s="7"/>
      <c r="BD107" s="14" t="s">
        <v>1922</v>
      </c>
      <c r="BE107" s="15" t="s">
        <v>1923</v>
      </c>
      <c r="BF107" s="11" t="s">
        <v>1924</v>
      </c>
      <c r="BG107" s="16" t="s">
        <v>27</v>
      </c>
      <c r="BH107" s="7"/>
      <c r="BI107" s="14" t="s">
        <v>1925</v>
      </c>
      <c r="BJ107" s="15" t="s">
        <v>1926</v>
      </c>
      <c r="BK107" s="44"/>
      <c r="BL107" s="16" t="s">
        <v>27</v>
      </c>
      <c r="BM107" s="7"/>
      <c r="BN107" s="7"/>
      <c r="BO107" s="7"/>
      <c r="BP107" s="7"/>
      <c r="BQ107" s="7"/>
      <c r="BR107" s="7"/>
      <c r="BS107" s="7"/>
      <c r="BT107" s="7"/>
      <c r="BU107" s="7"/>
      <c r="BV107" s="7"/>
      <c r="BW107" s="7"/>
      <c r="BX107" s="7"/>
      <c r="BY107" s="7"/>
      <c r="BZ107" s="41"/>
      <c r="CA107" s="7"/>
      <c r="CB107" s="7"/>
      <c r="CC107" s="7"/>
      <c r="CD107" s="7"/>
      <c r="CE107" s="7"/>
      <c r="CF107" s="7"/>
    </row>
    <row r="108">
      <c r="A108" s="14" t="s">
        <v>1927</v>
      </c>
      <c r="B108" s="15" t="s">
        <v>1928</v>
      </c>
      <c r="C108" s="11" t="s">
        <v>1929</v>
      </c>
      <c r="D108" s="26" t="s">
        <v>27</v>
      </c>
      <c r="E108" s="7"/>
      <c r="F108" s="14"/>
      <c r="G108" s="44"/>
      <c r="H108" s="11"/>
      <c r="I108" s="27"/>
      <c r="J108" s="7"/>
      <c r="K108" s="14"/>
      <c r="L108" s="11"/>
      <c r="M108" s="19"/>
      <c r="N108" s="16"/>
      <c r="O108" s="7"/>
      <c r="P108" s="14"/>
      <c r="Q108" s="44"/>
      <c r="R108" s="7"/>
      <c r="S108" s="27"/>
      <c r="T108" s="7"/>
      <c r="U108" s="7"/>
      <c r="V108" s="7"/>
      <c r="W108" s="7"/>
      <c r="X108" s="7"/>
      <c r="Y108" s="7"/>
      <c r="Z108" s="7"/>
      <c r="AA108" s="7"/>
      <c r="AB108" s="7"/>
      <c r="AC108" s="7"/>
      <c r="AD108" s="7"/>
      <c r="AE108" s="7"/>
      <c r="AF108" s="7"/>
      <c r="AG108" s="7"/>
      <c r="AH108" s="7"/>
      <c r="AI108" s="7"/>
      <c r="AJ108" s="7"/>
      <c r="AK108" s="7"/>
      <c r="AL108" s="7"/>
      <c r="AM108" s="7"/>
      <c r="AN108" s="7"/>
      <c r="AO108" s="14" t="s">
        <v>1930</v>
      </c>
      <c r="AP108" s="15" t="s">
        <v>1931</v>
      </c>
      <c r="AQ108" s="44" t="s">
        <v>1932</v>
      </c>
      <c r="AR108" s="16" t="s">
        <v>27</v>
      </c>
      <c r="AS108" s="7"/>
      <c r="AT108" s="7"/>
      <c r="AU108" s="55"/>
      <c r="AV108" s="7"/>
      <c r="AW108" s="7"/>
      <c r="AX108" s="7"/>
      <c r="AY108" s="7"/>
      <c r="AZ108" s="7"/>
      <c r="BA108" s="7"/>
      <c r="BB108" s="7"/>
      <c r="BC108" s="7"/>
      <c r="BD108" s="14" t="s">
        <v>1933</v>
      </c>
      <c r="BE108" s="15" t="s">
        <v>1934</v>
      </c>
      <c r="BF108" s="11"/>
      <c r="BG108" s="16" t="s">
        <v>27</v>
      </c>
      <c r="BH108" s="7"/>
      <c r="BI108" s="14" t="s">
        <v>1935</v>
      </c>
      <c r="BJ108" s="15" t="s">
        <v>1936</v>
      </c>
      <c r="BK108" s="44"/>
      <c r="BL108" s="16" t="s">
        <v>27</v>
      </c>
      <c r="BM108" s="7"/>
      <c r="BN108" s="7"/>
      <c r="BO108" s="7"/>
      <c r="BP108" s="7"/>
      <c r="BQ108" s="7"/>
      <c r="BR108" s="7"/>
      <c r="BS108" s="7"/>
      <c r="BT108" s="7"/>
      <c r="BU108" s="7"/>
      <c r="BV108" s="7"/>
      <c r="BW108" s="7"/>
      <c r="BX108" s="7"/>
      <c r="BY108" s="7"/>
      <c r="BZ108" s="41"/>
      <c r="CA108" s="7"/>
      <c r="CB108" s="7"/>
      <c r="CC108" s="7"/>
      <c r="CD108" s="7"/>
      <c r="CE108" s="7"/>
      <c r="CF108" s="7"/>
    </row>
    <row r="109">
      <c r="A109" s="28" t="s">
        <v>1937</v>
      </c>
      <c r="B109" s="15" t="s">
        <v>1938</v>
      </c>
      <c r="C109" s="11" t="s">
        <v>1939</v>
      </c>
      <c r="D109" s="26" t="s">
        <v>27</v>
      </c>
      <c r="E109" s="7"/>
      <c r="F109" s="14"/>
      <c r="G109" s="44"/>
      <c r="H109" s="11"/>
      <c r="I109" s="27"/>
      <c r="J109" s="7"/>
      <c r="K109" s="14"/>
      <c r="L109" s="11"/>
      <c r="M109" s="19"/>
      <c r="N109" s="16"/>
      <c r="O109" s="7"/>
      <c r="P109" s="14"/>
      <c r="Q109" s="44"/>
      <c r="R109" s="7"/>
      <c r="S109" s="27"/>
      <c r="T109" s="7"/>
      <c r="U109" s="7"/>
      <c r="V109" s="7"/>
      <c r="W109" s="7"/>
      <c r="X109" s="7"/>
      <c r="Y109" s="7"/>
      <c r="Z109" s="7"/>
      <c r="AA109" s="7"/>
      <c r="AB109" s="7"/>
      <c r="AC109" s="7"/>
      <c r="AD109" s="7"/>
      <c r="AE109" s="7"/>
      <c r="AF109" s="7"/>
      <c r="AG109" s="7"/>
      <c r="AH109" s="7"/>
      <c r="AI109" s="7"/>
      <c r="AJ109" s="7"/>
      <c r="AK109" s="7"/>
      <c r="AL109" s="7"/>
      <c r="AM109" s="7"/>
      <c r="AN109" s="7"/>
      <c r="AO109" s="14" t="s">
        <v>1940</v>
      </c>
      <c r="AP109" s="15" t="s">
        <v>1941</v>
      </c>
      <c r="AQ109" s="44"/>
      <c r="AR109" s="16" t="s">
        <v>27</v>
      </c>
      <c r="AS109" s="7"/>
      <c r="AT109" s="7"/>
      <c r="AU109" s="55"/>
      <c r="AV109" s="7"/>
      <c r="AW109" s="7"/>
      <c r="AX109" s="7"/>
      <c r="AY109" s="7"/>
      <c r="AZ109" s="7"/>
      <c r="BA109" s="7"/>
      <c r="BB109" s="7"/>
      <c r="BC109" s="7"/>
      <c r="BD109" s="14" t="s">
        <v>1942</v>
      </c>
      <c r="BE109" s="15" t="s">
        <v>1943</v>
      </c>
      <c r="BF109" s="11"/>
      <c r="BG109" s="16" t="s">
        <v>27</v>
      </c>
      <c r="BH109" s="7"/>
      <c r="BI109" s="14" t="s">
        <v>1944</v>
      </c>
      <c r="BJ109" s="15" t="s">
        <v>1945</v>
      </c>
      <c r="BK109" s="44" t="s">
        <v>1946</v>
      </c>
      <c r="BL109" s="16" t="s">
        <v>27</v>
      </c>
      <c r="BM109" s="7"/>
      <c r="BN109" s="7"/>
      <c r="BO109" s="7"/>
      <c r="BP109" s="7"/>
      <c r="BQ109" s="7"/>
      <c r="BR109" s="7"/>
      <c r="BS109" s="7"/>
      <c r="BT109" s="7"/>
      <c r="BU109" s="7"/>
      <c r="BV109" s="7"/>
      <c r="BW109" s="7"/>
      <c r="BX109" s="7"/>
      <c r="BY109" s="7"/>
      <c r="BZ109" s="41"/>
      <c r="CA109" s="7"/>
      <c r="CB109" s="7"/>
      <c r="CC109" s="7"/>
      <c r="CD109" s="7"/>
      <c r="CE109" s="7"/>
      <c r="CF109" s="7"/>
    </row>
    <row r="110">
      <c r="A110" s="14" t="s">
        <v>1947</v>
      </c>
      <c r="B110" s="15" t="s">
        <v>1948</v>
      </c>
      <c r="C110" s="11" t="s">
        <v>1949</v>
      </c>
      <c r="D110" s="26" t="s">
        <v>27</v>
      </c>
      <c r="E110" s="7"/>
      <c r="F110" s="14"/>
      <c r="G110" s="44"/>
      <c r="H110" s="11"/>
      <c r="I110" s="27"/>
      <c r="J110" s="7"/>
      <c r="K110" s="14"/>
      <c r="L110" s="11"/>
      <c r="M110" s="19"/>
      <c r="N110" s="16"/>
      <c r="O110" s="7"/>
      <c r="P110" s="14"/>
      <c r="Q110" s="44"/>
      <c r="R110" s="7"/>
      <c r="S110" s="27"/>
      <c r="T110" s="7"/>
      <c r="U110" s="7"/>
      <c r="V110" s="7"/>
      <c r="W110" s="7"/>
      <c r="X110" s="7"/>
      <c r="Y110" s="7"/>
      <c r="Z110" s="7"/>
      <c r="AA110" s="7"/>
      <c r="AB110" s="7"/>
      <c r="AC110" s="7"/>
      <c r="AD110" s="7"/>
      <c r="AE110" s="7"/>
      <c r="AF110" s="7"/>
      <c r="AG110" s="7"/>
      <c r="AH110" s="7"/>
      <c r="AI110" s="7"/>
      <c r="AJ110" s="7"/>
      <c r="AK110" s="7"/>
      <c r="AL110" s="7"/>
      <c r="AM110" s="7"/>
      <c r="AN110" s="7"/>
      <c r="AO110" s="14" t="s">
        <v>1950</v>
      </c>
      <c r="AP110" s="15" t="s">
        <v>1951</v>
      </c>
      <c r="AQ110" s="44" t="s">
        <v>1952</v>
      </c>
      <c r="AR110" s="16" t="s">
        <v>27</v>
      </c>
      <c r="AS110" s="7"/>
      <c r="AT110" s="7"/>
      <c r="AU110" s="55"/>
      <c r="AV110" s="7"/>
      <c r="AW110" s="7"/>
      <c r="AX110" s="7"/>
      <c r="AY110" s="7"/>
      <c r="AZ110" s="7"/>
      <c r="BA110" s="7"/>
      <c r="BB110" s="7"/>
      <c r="BC110" s="7"/>
      <c r="BD110" s="14" t="s">
        <v>1953</v>
      </c>
      <c r="BE110" s="15" t="s">
        <v>1954</v>
      </c>
      <c r="BF110" s="11"/>
      <c r="BG110" s="16" t="s">
        <v>27</v>
      </c>
      <c r="BH110" s="7"/>
      <c r="BI110" s="14" t="s">
        <v>1955</v>
      </c>
      <c r="BJ110" s="15" t="s">
        <v>1956</v>
      </c>
      <c r="BK110" s="44"/>
      <c r="BL110" s="16" t="s">
        <v>27</v>
      </c>
      <c r="BM110" s="7"/>
      <c r="BN110" s="7"/>
      <c r="BO110" s="7"/>
      <c r="BP110" s="7"/>
      <c r="BQ110" s="7"/>
      <c r="BR110" s="7"/>
      <c r="BS110" s="7"/>
      <c r="BT110" s="7"/>
      <c r="BU110" s="7"/>
      <c r="BV110" s="7"/>
      <c r="BW110" s="7"/>
      <c r="BX110" s="7"/>
      <c r="BY110" s="7"/>
      <c r="BZ110" s="41"/>
      <c r="CA110" s="7"/>
      <c r="CB110" s="7"/>
      <c r="CC110" s="7"/>
      <c r="CD110" s="7"/>
      <c r="CE110" s="7"/>
      <c r="CF110" s="7"/>
    </row>
    <row r="111">
      <c r="A111" s="14" t="s">
        <v>1957</v>
      </c>
      <c r="B111" s="15" t="s">
        <v>1958</v>
      </c>
      <c r="C111" s="11" t="s">
        <v>1959</v>
      </c>
      <c r="D111" s="26" t="s">
        <v>27</v>
      </c>
      <c r="E111" s="7"/>
      <c r="F111" s="14"/>
      <c r="G111" s="44"/>
      <c r="H111" s="11"/>
      <c r="I111" s="27"/>
      <c r="J111" s="7"/>
      <c r="K111" s="14"/>
      <c r="L111" s="11"/>
      <c r="M111" s="19"/>
      <c r="N111" s="16"/>
      <c r="O111" s="7"/>
      <c r="P111" s="14"/>
      <c r="Q111" s="44"/>
      <c r="R111" s="7"/>
      <c r="S111" s="27"/>
      <c r="T111" s="7"/>
      <c r="U111" s="7"/>
      <c r="V111" s="7"/>
      <c r="W111" s="7"/>
      <c r="X111" s="7"/>
      <c r="Y111" s="7"/>
      <c r="Z111" s="7"/>
      <c r="AA111" s="7"/>
      <c r="AB111" s="7"/>
      <c r="AC111" s="7"/>
      <c r="AD111" s="7"/>
      <c r="AE111" s="7"/>
      <c r="AF111" s="7"/>
      <c r="AG111" s="7"/>
      <c r="AH111" s="7"/>
      <c r="AI111" s="7"/>
      <c r="AJ111" s="7"/>
      <c r="AK111" s="7"/>
      <c r="AL111" s="7"/>
      <c r="AM111" s="7"/>
      <c r="AN111" s="7"/>
      <c r="AO111" s="14" t="s">
        <v>1960</v>
      </c>
      <c r="AP111" s="15" t="s">
        <v>1961</v>
      </c>
      <c r="AQ111" s="44"/>
      <c r="AR111" s="16" t="s">
        <v>27</v>
      </c>
      <c r="AS111" s="7"/>
      <c r="AT111" s="7"/>
      <c r="AU111" s="55"/>
      <c r="AV111" s="7"/>
      <c r="AW111" s="7"/>
      <c r="AX111" s="7"/>
      <c r="AY111" s="7"/>
      <c r="AZ111" s="7"/>
      <c r="BA111" s="7"/>
      <c r="BB111" s="7"/>
      <c r="BC111" s="7"/>
      <c r="BD111" s="14" t="s">
        <v>1962</v>
      </c>
      <c r="BE111" s="15" t="s">
        <v>1963</v>
      </c>
      <c r="BF111" s="11" t="s">
        <v>1964</v>
      </c>
      <c r="BG111" s="16" t="s">
        <v>27</v>
      </c>
      <c r="BH111" s="7"/>
      <c r="BI111" s="14" t="s">
        <v>1965</v>
      </c>
      <c r="BJ111" s="15" t="s">
        <v>1966</v>
      </c>
      <c r="BK111" s="44" t="s">
        <v>1967</v>
      </c>
      <c r="BL111" s="16" t="s">
        <v>27</v>
      </c>
      <c r="BM111" s="7"/>
      <c r="BN111" s="7"/>
      <c r="BO111" s="7"/>
      <c r="BP111" s="7"/>
      <c r="BQ111" s="7"/>
      <c r="BR111" s="7"/>
      <c r="BS111" s="7"/>
      <c r="BT111" s="7"/>
      <c r="BU111" s="7"/>
      <c r="BV111" s="7"/>
      <c r="BW111" s="7"/>
      <c r="BX111" s="7"/>
      <c r="BY111" s="7"/>
      <c r="BZ111" s="41"/>
      <c r="CA111" s="7"/>
      <c r="CB111" s="7"/>
      <c r="CC111" s="7"/>
      <c r="CD111" s="7"/>
      <c r="CE111" s="7"/>
      <c r="CF111" s="7"/>
    </row>
    <row r="112">
      <c r="A112" s="14" t="s">
        <v>1968</v>
      </c>
      <c r="B112" s="15" t="s">
        <v>1969</v>
      </c>
      <c r="C112" s="11"/>
      <c r="D112" s="26" t="s">
        <v>27</v>
      </c>
      <c r="E112" s="7"/>
      <c r="F112" s="14"/>
      <c r="G112" s="44"/>
      <c r="H112" s="11"/>
      <c r="I112" s="27"/>
      <c r="J112" s="7"/>
      <c r="K112" s="14"/>
      <c r="L112" s="11"/>
      <c r="M112" s="19"/>
      <c r="N112" s="16"/>
      <c r="O112" s="7"/>
      <c r="P112" s="14"/>
      <c r="Q112" s="44"/>
      <c r="R112" s="7"/>
      <c r="S112" s="27"/>
      <c r="T112" s="7"/>
      <c r="U112" s="7"/>
      <c r="V112" s="7"/>
      <c r="W112" s="7"/>
      <c r="X112" s="7"/>
      <c r="Y112" s="7"/>
      <c r="Z112" s="7"/>
      <c r="AA112" s="7"/>
      <c r="AB112" s="7"/>
      <c r="AC112" s="7"/>
      <c r="AD112" s="7"/>
      <c r="AE112" s="7"/>
      <c r="AF112" s="7"/>
      <c r="AG112" s="7"/>
      <c r="AH112" s="7"/>
      <c r="AI112" s="7"/>
      <c r="AJ112" s="7"/>
      <c r="AK112" s="7"/>
      <c r="AL112" s="7"/>
      <c r="AM112" s="7"/>
      <c r="AN112" s="7"/>
      <c r="AO112" s="14" t="s">
        <v>1970</v>
      </c>
      <c r="AP112" s="15" t="s">
        <v>1971</v>
      </c>
      <c r="AQ112" s="44"/>
      <c r="AR112" s="16" t="s">
        <v>27</v>
      </c>
      <c r="AS112" s="7"/>
      <c r="AT112" s="7"/>
      <c r="AU112" s="55"/>
      <c r="AV112" s="7"/>
      <c r="AW112" s="7"/>
      <c r="AX112" s="7"/>
      <c r="AY112" s="7"/>
      <c r="AZ112" s="7"/>
      <c r="BA112" s="7"/>
      <c r="BB112" s="7"/>
      <c r="BC112" s="7"/>
      <c r="BD112" s="14" t="s">
        <v>1972</v>
      </c>
      <c r="BE112" s="15" t="s">
        <v>1973</v>
      </c>
      <c r="BF112" s="11" t="s">
        <v>1974</v>
      </c>
      <c r="BG112" s="16" t="s">
        <v>27</v>
      </c>
      <c r="BH112" s="7"/>
      <c r="BI112" s="14" t="s">
        <v>1975</v>
      </c>
      <c r="BJ112" s="15" t="s">
        <v>1976</v>
      </c>
      <c r="BK112" s="44" t="s">
        <v>1977</v>
      </c>
      <c r="BL112" s="16" t="s">
        <v>27</v>
      </c>
      <c r="BM112" s="7"/>
      <c r="BN112" s="7"/>
      <c r="BO112" s="7"/>
      <c r="BP112" s="7"/>
      <c r="BQ112" s="7"/>
      <c r="BR112" s="7"/>
      <c r="BS112" s="7"/>
      <c r="BT112" s="7"/>
      <c r="BU112" s="7"/>
      <c r="BV112" s="7"/>
      <c r="BW112" s="7"/>
      <c r="BX112" s="7"/>
      <c r="BY112" s="7"/>
      <c r="BZ112" s="41"/>
      <c r="CA112" s="7"/>
      <c r="CB112" s="7"/>
      <c r="CC112" s="7"/>
      <c r="CD112" s="7"/>
      <c r="CE112" s="7"/>
      <c r="CF112" s="7"/>
    </row>
    <row r="113">
      <c r="A113" s="14" t="s">
        <v>1978</v>
      </c>
      <c r="B113" s="15" t="s">
        <v>1979</v>
      </c>
      <c r="C113" s="11"/>
      <c r="D113" s="26" t="s">
        <v>27</v>
      </c>
      <c r="E113" s="7"/>
      <c r="F113" s="14"/>
      <c r="G113" s="44"/>
      <c r="H113" s="11"/>
      <c r="I113" s="27"/>
      <c r="J113" s="7"/>
      <c r="K113" s="14"/>
      <c r="L113" s="11"/>
      <c r="M113" s="19"/>
      <c r="N113" s="16"/>
      <c r="O113" s="7"/>
      <c r="P113" s="14"/>
      <c r="Q113" s="44"/>
      <c r="R113" s="7"/>
      <c r="S113" s="27"/>
      <c r="T113" s="7"/>
      <c r="U113" s="7"/>
      <c r="V113" s="7"/>
      <c r="W113" s="7"/>
      <c r="X113" s="7"/>
      <c r="Y113" s="7"/>
      <c r="Z113" s="7"/>
      <c r="AA113" s="7"/>
      <c r="AB113" s="7"/>
      <c r="AC113" s="7"/>
      <c r="AD113" s="7"/>
      <c r="AE113" s="7"/>
      <c r="AF113" s="7"/>
      <c r="AG113" s="7"/>
      <c r="AH113" s="7"/>
      <c r="AI113" s="7"/>
      <c r="AJ113" s="7"/>
      <c r="AK113" s="7"/>
      <c r="AL113" s="7"/>
      <c r="AM113" s="7"/>
      <c r="AN113" s="7"/>
      <c r="AO113" s="14" t="s">
        <v>1980</v>
      </c>
      <c r="AP113" s="15" t="s">
        <v>1981</v>
      </c>
      <c r="AQ113" s="44"/>
      <c r="AR113" s="16" t="s">
        <v>27</v>
      </c>
      <c r="AS113" s="7"/>
      <c r="AT113" s="7"/>
      <c r="AU113" s="55"/>
      <c r="AV113" s="7"/>
      <c r="AW113" s="7"/>
      <c r="AX113" s="7"/>
      <c r="AY113" s="7"/>
      <c r="AZ113" s="7"/>
      <c r="BA113" s="7"/>
      <c r="BB113" s="7"/>
      <c r="BC113" s="7"/>
      <c r="BD113" s="14" t="s">
        <v>1982</v>
      </c>
      <c r="BE113" s="15" t="s">
        <v>1983</v>
      </c>
      <c r="BF113" s="11"/>
      <c r="BG113" s="16" t="s">
        <v>27</v>
      </c>
      <c r="BH113" s="7"/>
      <c r="BI113" s="14" t="s">
        <v>1984</v>
      </c>
      <c r="BJ113" s="15" t="s">
        <v>1985</v>
      </c>
      <c r="BK113" s="44" t="s">
        <v>1986</v>
      </c>
      <c r="BL113" s="16" t="s">
        <v>27</v>
      </c>
      <c r="BM113" s="7"/>
      <c r="BN113" s="7"/>
      <c r="BO113" s="7"/>
      <c r="BP113" s="7"/>
      <c r="BQ113" s="7"/>
      <c r="BR113" s="7"/>
      <c r="BS113" s="7"/>
      <c r="BT113" s="7"/>
      <c r="BU113" s="7"/>
      <c r="BV113" s="7"/>
      <c r="BW113" s="7"/>
      <c r="BX113" s="7"/>
      <c r="BY113" s="7"/>
      <c r="BZ113" s="41"/>
      <c r="CA113" s="7"/>
      <c r="CB113" s="7"/>
      <c r="CC113" s="7"/>
      <c r="CD113" s="7"/>
      <c r="CE113" s="7"/>
      <c r="CF113" s="7"/>
    </row>
    <row r="114">
      <c r="A114" s="14" t="s">
        <v>1987</v>
      </c>
      <c r="B114" s="15" t="s">
        <v>1988</v>
      </c>
      <c r="C114" s="11" t="s">
        <v>1989</v>
      </c>
      <c r="D114" s="26" t="s">
        <v>27</v>
      </c>
      <c r="E114" s="7"/>
      <c r="F114" s="14"/>
      <c r="G114" s="44"/>
      <c r="H114" s="11"/>
      <c r="I114" s="27"/>
      <c r="J114" s="7"/>
      <c r="K114" s="14"/>
      <c r="L114" s="11"/>
      <c r="M114" s="19"/>
      <c r="N114" s="16"/>
      <c r="O114" s="7"/>
      <c r="P114" s="14"/>
      <c r="Q114" s="44"/>
      <c r="R114" s="7"/>
      <c r="S114" s="27"/>
      <c r="T114" s="7"/>
      <c r="U114" s="7"/>
      <c r="V114" s="7"/>
      <c r="W114" s="7"/>
      <c r="X114" s="7"/>
      <c r="Y114" s="7"/>
      <c r="Z114" s="7"/>
      <c r="AA114" s="7"/>
      <c r="AB114" s="7"/>
      <c r="AC114" s="7"/>
      <c r="AD114" s="7"/>
      <c r="AE114" s="7"/>
      <c r="AF114" s="7"/>
      <c r="AG114" s="7"/>
      <c r="AH114" s="7"/>
      <c r="AI114" s="7"/>
      <c r="AJ114" s="7"/>
      <c r="AK114" s="7"/>
      <c r="AL114" s="7"/>
      <c r="AM114" s="7"/>
      <c r="AN114" s="7"/>
      <c r="AO114" s="14" t="s">
        <v>1990</v>
      </c>
      <c r="AP114" s="15" t="s">
        <v>1991</v>
      </c>
      <c r="AQ114" s="44"/>
      <c r="AR114" s="16" t="s">
        <v>27</v>
      </c>
      <c r="AS114" s="7"/>
      <c r="AT114" s="7"/>
      <c r="AU114" s="55"/>
      <c r="AV114" s="7"/>
      <c r="AW114" s="7"/>
      <c r="AX114" s="7"/>
      <c r="AY114" s="7"/>
      <c r="AZ114" s="7"/>
      <c r="BA114" s="7"/>
      <c r="BB114" s="7"/>
      <c r="BC114" s="7"/>
      <c r="BD114" s="14" t="s">
        <v>1992</v>
      </c>
      <c r="BE114" s="15" t="s">
        <v>1993</v>
      </c>
      <c r="BF114" s="11"/>
      <c r="BG114" s="16" t="s">
        <v>27</v>
      </c>
      <c r="BH114" s="7"/>
      <c r="BI114" s="14" t="s">
        <v>1994</v>
      </c>
      <c r="BJ114" s="15" t="s">
        <v>1995</v>
      </c>
      <c r="BK114" s="44" t="s">
        <v>1996</v>
      </c>
      <c r="BL114" s="16" t="s">
        <v>27</v>
      </c>
      <c r="BM114" s="7"/>
      <c r="BN114" s="7"/>
      <c r="BO114" s="7"/>
      <c r="BP114" s="7"/>
      <c r="BQ114" s="7"/>
      <c r="BR114" s="7"/>
      <c r="BS114" s="7"/>
      <c r="BT114" s="7"/>
      <c r="BU114" s="7"/>
      <c r="BV114" s="7"/>
      <c r="BW114" s="7"/>
      <c r="BX114" s="7"/>
      <c r="BY114" s="7"/>
      <c r="BZ114" s="41"/>
      <c r="CA114" s="7"/>
      <c r="CB114" s="7"/>
      <c r="CC114" s="7"/>
      <c r="CD114" s="7"/>
      <c r="CE114" s="7"/>
      <c r="CF114" s="7"/>
    </row>
    <row r="115">
      <c r="A115" s="14" t="s">
        <v>1997</v>
      </c>
      <c r="B115" s="15" t="s">
        <v>1998</v>
      </c>
      <c r="C115" s="11" t="s">
        <v>1999</v>
      </c>
      <c r="D115" s="26" t="s">
        <v>27</v>
      </c>
      <c r="E115" s="7"/>
      <c r="F115" s="14"/>
      <c r="G115" s="44"/>
      <c r="H115" s="11"/>
      <c r="I115" s="27"/>
      <c r="J115" s="7"/>
      <c r="K115" s="14"/>
      <c r="L115" s="11"/>
      <c r="M115" s="19"/>
      <c r="N115" s="16"/>
      <c r="O115" s="7"/>
      <c r="P115" s="14"/>
      <c r="Q115" s="44"/>
      <c r="R115" s="7"/>
      <c r="S115" s="27"/>
      <c r="T115" s="7"/>
      <c r="U115" s="7"/>
      <c r="V115" s="7"/>
      <c r="W115" s="7"/>
      <c r="X115" s="7"/>
      <c r="Y115" s="7"/>
      <c r="Z115" s="7"/>
      <c r="AA115" s="7"/>
      <c r="AB115" s="7"/>
      <c r="AC115" s="7"/>
      <c r="AD115" s="7"/>
      <c r="AE115" s="7"/>
      <c r="AF115" s="7"/>
      <c r="AG115" s="7"/>
      <c r="AH115" s="7"/>
      <c r="AI115" s="7"/>
      <c r="AJ115" s="7"/>
      <c r="AK115" s="7"/>
      <c r="AL115" s="7"/>
      <c r="AM115" s="7"/>
      <c r="AN115" s="7"/>
      <c r="AO115" s="14" t="s">
        <v>2000</v>
      </c>
      <c r="AP115" s="15" t="s">
        <v>2001</v>
      </c>
      <c r="AQ115" s="44"/>
      <c r="AR115" s="16" t="s">
        <v>27</v>
      </c>
      <c r="AS115" s="7"/>
      <c r="AT115" s="7"/>
      <c r="AU115" s="55"/>
      <c r="AV115" s="7"/>
      <c r="AW115" s="7"/>
      <c r="AX115" s="7"/>
      <c r="AY115" s="7"/>
      <c r="AZ115" s="7"/>
      <c r="BA115" s="7"/>
      <c r="BB115" s="7"/>
      <c r="BC115" s="7"/>
      <c r="BD115" s="14" t="s">
        <v>2002</v>
      </c>
      <c r="BE115" s="15" t="s">
        <v>2003</v>
      </c>
      <c r="BF115" s="11" t="s">
        <v>2004</v>
      </c>
      <c r="BG115" s="16" t="s">
        <v>27</v>
      </c>
      <c r="BH115" s="7"/>
      <c r="BI115" s="14" t="s">
        <v>2005</v>
      </c>
      <c r="BJ115" s="15" t="s">
        <v>2006</v>
      </c>
      <c r="BK115" s="44"/>
      <c r="BL115" s="16" t="s">
        <v>27</v>
      </c>
      <c r="BM115" s="7"/>
      <c r="BN115" s="7"/>
      <c r="BO115" s="7"/>
      <c r="BP115" s="7"/>
      <c r="BQ115" s="7"/>
      <c r="BR115" s="7"/>
      <c r="BS115" s="7"/>
      <c r="BT115" s="7"/>
      <c r="BU115" s="7"/>
      <c r="BV115" s="7"/>
      <c r="BW115" s="7"/>
      <c r="BX115" s="7"/>
      <c r="BY115" s="7"/>
      <c r="BZ115" s="41"/>
      <c r="CA115" s="7"/>
      <c r="CB115" s="7"/>
      <c r="CC115" s="7"/>
      <c r="CD115" s="7"/>
      <c r="CE115" s="7"/>
      <c r="CF115" s="7"/>
    </row>
    <row r="116">
      <c r="A116" s="14" t="s">
        <v>2007</v>
      </c>
      <c r="B116" s="15" t="s">
        <v>2008</v>
      </c>
      <c r="C116" s="11"/>
      <c r="D116" s="26" t="s">
        <v>27</v>
      </c>
      <c r="E116" s="7"/>
      <c r="F116" s="14"/>
      <c r="G116" s="44"/>
      <c r="H116" s="11"/>
      <c r="I116" s="27"/>
      <c r="J116" s="7"/>
      <c r="K116" s="14"/>
      <c r="L116" s="11"/>
      <c r="M116" s="19"/>
      <c r="N116" s="16"/>
      <c r="O116" s="7"/>
      <c r="P116" s="14"/>
      <c r="Q116" s="44"/>
      <c r="R116" s="7"/>
      <c r="S116" s="27"/>
      <c r="T116" s="7"/>
      <c r="U116" s="7"/>
      <c r="V116" s="7"/>
      <c r="W116" s="7"/>
      <c r="X116" s="7"/>
      <c r="Y116" s="7"/>
      <c r="Z116" s="7"/>
      <c r="AA116" s="7"/>
      <c r="AB116" s="7"/>
      <c r="AC116" s="7"/>
      <c r="AD116" s="7"/>
      <c r="AE116" s="7"/>
      <c r="AF116" s="7"/>
      <c r="AG116" s="7"/>
      <c r="AH116" s="7"/>
      <c r="AI116" s="7"/>
      <c r="AJ116" s="7"/>
      <c r="AK116" s="7"/>
      <c r="AL116" s="7"/>
      <c r="AM116" s="7"/>
      <c r="AN116" s="7"/>
      <c r="AO116" s="14" t="s">
        <v>2009</v>
      </c>
      <c r="AP116" s="15" t="s">
        <v>2010</v>
      </c>
      <c r="AQ116" s="44"/>
      <c r="AR116" s="16" t="s">
        <v>27</v>
      </c>
      <c r="AS116" s="7"/>
      <c r="AT116" s="7"/>
      <c r="AU116" s="55"/>
      <c r="AV116" s="7"/>
      <c r="AW116" s="7"/>
      <c r="AX116" s="7"/>
      <c r="AY116" s="7"/>
      <c r="AZ116" s="7"/>
      <c r="BA116" s="7"/>
      <c r="BB116" s="7"/>
      <c r="BC116" s="7"/>
      <c r="BD116" s="14" t="s">
        <v>2011</v>
      </c>
      <c r="BE116" s="15" t="s">
        <v>2012</v>
      </c>
      <c r="BF116" s="11"/>
      <c r="BG116" s="16" t="s">
        <v>27</v>
      </c>
      <c r="BH116" s="7"/>
      <c r="BI116" s="14" t="s">
        <v>2013</v>
      </c>
      <c r="BJ116" s="15" t="s">
        <v>2014</v>
      </c>
      <c r="BK116" s="44" t="s">
        <v>2015</v>
      </c>
      <c r="BL116" s="16" t="s">
        <v>27</v>
      </c>
      <c r="BM116" s="7"/>
      <c r="BN116" s="7"/>
      <c r="BO116" s="7"/>
      <c r="BP116" s="7"/>
      <c r="BQ116" s="7"/>
      <c r="BR116" s="7"/>
      <c r="BS116" s="7"/>
      <c r="BT116" s="7"/>
      <c r="BU116" s="7"/>
      <c r="BV116" s="7"/>
      <c r="BW116" s="7"/>
      <c r="BX116" s="7"/>
      <c r="BY116" s="7"/>
      <c r="BZ116" s="41"/>
      <c r="CA116" s="7"/>
      <c r="CB116" s="7"/>
      <c r="CC116" s="7"/>
      <c r="CD116" s="7"/>
      <c r="CE116" s="7"/>
      <c r="CF116" s="7"/>
    </row>
    <row r="117">
      <c r="A117" s="14" t="s">
        <v>2016</v>
      </c>
      <c r="B117" s="15" t="s">
        <v>2017</v>
      </c>
      <c r="C117" s="11" t="s">
        <v>2018</v>
      </c>
      <c r="D117" s="26" t="s">
        <v>21</v>
      </c>
      <c r="E117" s="7"/>
      <c r="F117" s="14"/>
      <c r="G117" s="44"/>
      <c r="H117" s="11"/>
      <c r="I117" s="27"/>
      <c r="J117" s="7"/>
      <c r="K117" s="14"/>
      <c r="L117" s="11"/>
      <c r="M117" s="19"/>
      <c r="N117" s="16"/>
      <c r="O117" s="7"/>
      <c r="P117" s="14"/>
      <c r="Q117" s="44"/>
      <c r="R117" s="7"/>
      <c r="S117" s="27"/>
      <c r="T117" s="7"/>
      <c r="U117" s="7"/>
      <c r="V117" s="7"/>
      <c r="W117" s="7"/>
      <c r="X117" s="7"/>
      <c r="Y117" s="7"/>
      <c r="Z117" s="7"/>
      <c r="AA117" s="7"/>
      <c r="AB117" s="7"/>
      <c r="AC117" s="7"/>
      <c r="AD117" s="7"/>
      <c r="AE117" s="7"/>
      <c r="AF117" s="7"/>
      <c r="AG117" s="7"/>
      <c r="AH117" s="7"/>
      <c r="AI117" s="7"/>
      <c r="AJ117" s="7"/>
      <c r="AK117" s="7"/>
      <c r="AL117" s="7"/>
      <c r="AM117" s="7"/>
      <c r="AN117" s="7"/>
      <c r="AO117" s="14" t="s">
        <v>2019</v>
      </c>
      <c r="AP117" s="15" t="s">
        <v>2020</v>
      </c>
      <c r="AQ117" s="44"/>
      <c r="AR117" s="16" t="s">
        <v>27</v>
      </c>
      <c r="AS117" s="7"/>
      <c r="AT117" s="7"/>
      <c r="AU117" s="55"/>
      <c r="AV117" s="7"/>
      <c r="AW117" s="7"/>
      <c r="AX117" s="7"/>
      <c r="AY117" s="7"/>
      <c r="AZ117" s="7"/>
      <c r="BA117" s="7"/>
      <c r="BB117" s="7"/>
      <c r="BC117" s="7"/>
      <c r="BD117" s="14" t="s">
        <v>2021</v>
      </c>
      <c r="BE117" s="15" t="s">
        <v>2022</v>
      </c>
      <c r="BF117" s="11" t="s">
        <v>2023</v>
      </c>
      <c r="BG117" s="16" t="s">
        <v>27</v>
      </c>
      <c r="BH117" s="7"/>
      <c r="BI117" s="14" t="s">
        <v>2024</v>
      </c>
      <c r="BJ117" s="15" t="s">
        <v>2025</v>
      </c>
      <c r="BK117" s="44"/>
      <c r="BL117" s="16" t="s">
        <v>27</v>
      </c>
      <c r="BM117" s="7"/>
      <c r="BN117" s="7"/>
      <c r="BO117" s="7"/>
      <c r="BP117" s="7"/>
      <c r="BQ117" s="7"/>
      <c r="BR117" s="7"/>
      <c r="BS117" s="7"/>
      <c r="BT117" s="7"/>
      <c r="BU117" s="7"/>
      <c r="BV117" s="7"/>
      <c r="BW117" s="7"/>
      <c r="BX117" s="7"/>
      <c r="BY117" s="7"/>
      <c r="BZ117" s="41"/>
      <c r="CA117" s="7"/>
      <c r="CB117" s="7"/>
      <c r="CC117" s="7"/>
      <c r="CD117" s="7"/>
      <c r="CE117" s="7"/>
      <c r="CF117" s="7"/>
    </row>
    <row r="118">
      <c r="A118" s="14" t="s">
        <v>2026</v>
      </c>
      <c r="B118" s="15" t="s">
        <v>2027</v>
      </c>
      <c r="C118" s="11" t="s">
        <v>2028</v>
      </c>
      <c r="D118" s="26" t="s">
        <v>27</v>
      </c>
      <c r="E118" s="7"/>
      <c r="F118" s="14"/>
      <c r="G118" s="44"/>
      <c r="H118" s="11"/>
      <c r="I118" s="27"/>
      <c r="J118" s="7"/>
      <c r="K118" s="14"/>
      <c r="L118" s="11"/>
      <c r="M118" s="19"/>
      <c r="N118" s="16"/>
      <c r="O118" s="7"/>
      <c r="P118" s="14"/>
      <c r="Q118" s="44"/>
      <c r="R118" s="7"/>
      <c r="S118" s="27"/>
      <c r="T118" s="7"/>
      <c r="U118" s="7"/>
      <c r="V118" s="7"/>
      <c r="W118" s="7"/>
      <c r="X118" s="7"/>
      <c r="Y118" s="7"/>
      <c r="Z118" s="7"/>
      <c r="AA118" s="7"/>
      <c r="AB118" s="7"/>
      <c r="AC118" s="7"/>
      <c r="AD118" s="7"/>
      <c r="AE118" s="7"/>
      <c r="AF118" s="7"/>
      <c r="AG118" s="7"/>
      <c r="AH118" s="7"/>
      <c r="AI118" s="7"/>
      <c r="AJ118" s="7"/>
      <c r="AK118" s="7"/>
      <c r="AL118" s="7"/>
      <c r="AM118" s="7"/>
      <c r="AN118" s="7"/>
      <c r="AO118" s="14" t="s">
        <v>2029</v>
      </c>
      <c r="AP118" s="15" t="s">
        <v>2030</v>
      </c>
      <c r="AQ118" s="44" t="s">
        <v>2031</v>
      </c>
      <c r="AR118" s="16" t="s">
        <v>27</v>
      </c>
      <c r="AS118" s="7"/>
      <c r="AT118" s="7"/>
      <c r="AU118" s="55"/>
      <c r="AV118" s="7"/>
      <c r="AW118" s="7"/>
      <c r="AX118" s="7"/>
      <c r="AY118" s="7"/>
      <c r="AZ118" s="7"/>
      <c r="BA118" s="7"/>
      <c r="BB118" s="7"/>
      <c r="BC118" s="7"/>
      <c r="BD118" s="14" t="s">
        <v>2032</v>
      </c>
      <c r="BE118" s="15" t="s">
        <v>2033</v>
      </c>
      <c r="BF118" s="11"/>
      <c r="BG118" s="16" t="s">
        <v>27</v>
      </c>
      <c r="BH118" s="7"/>
      <c r="BI118" s="14" t="s">
        <v>2034</v>
      </c>
      <c r="BJ118" s="15" t="s">
        <v>2035</v>
      </c>
      <c r="BK118" s="44"/>
      <c r="BL118" s="16" t="s">
        <v>27</v>
      </c>
      <c r="BM118" s="7"/>
      <c r="BN118" s="7"/>
      <c r="BO118" s="7"/>
      <c r="BP118" s="7"/>
      <c r="BQ118" s="7"/>
      <c r="BR118" s="7"/>
      <c r="BS118" s="7"/>
      <c r="BT118" s="7"/>
      <c r="BU118" s="7"/>
      <c r="BV118" s="7"/>
      <c r="BW118" s="7"/>
      <c r="BX118" s="7"/>
      <c r="BY118" s="7"/>
      <c r="BZ118" s="41"/>
      <c r="CA118" s="7"/>
      <c r="CB118" s="7"/>
      <c r="CC118" s="7"/>
      <c r="CD118" s="7"/>
      <c r="CE118" s="7"/>
      <c r="CF118" s="7"/>
    </row>
    <row r="119">
      <c r="A119" s="14" t="s">
        <v>2036</v>
      </c>
      <c r="B119" s="15" t="s">
        <v>2037</v>
      </c>
      <c r="C119" s="11"/>
      <c r="D119" s="26" t="s">
        <v>27</v>
      </c>
      <c r="E119" s="7"/>
      <c r="F119" s="14"/>
      <c r="G119" s="44"/>
      <c r="H119" s="11"/>
      <c r="I119" s="27"/>
      <c r="J119" s="7"/>
      <c r="K119" s="14"/>
      <c r="L119" s="11"/>
      <c r="M119" s="19"/>
      <c r="N119" s="16"/>
      <c r="O119" s="7"/>
      <c r="P119" s="14"/>
      <c r="Q119" s="44"/>
      <c r="R119" s="7"/>
      <c r="S119" s="27"/>
      <c r="T119" s="7"/>
      <c r="U119" s="7"/>
      <c r="V119" s="7"/>
      <c r="W119" s="7"/>
      <c r="X119" s="7"/>
      <c r="Y119" s="7"/>
      <c r="Z119" s="7"/>
      <c r="AA119" s="7"/>
      <c r="AB119" s="7"/>
      <c r="AC119" s="7"/>
      <c r="AD119" s="7"/>
      <c r="AE119" s="7"/>
      <c r="AF119" s="7"/>
      <c r="AG119" s="7"/>
      <c r="AH119" s="7"/>
      <c r="AI119" s="7"/>
      <c r="AJ119" s="7"/>
      <c r="AK119" s="7"/>
      <c r="AL119" s="7"/>
      <c r="AM119" s="7"/>
      <c r="AN119" s="7"/>
      <c r="AO119" s="14" t="s">
        <v>2038</v>
      </c>
      <c r="AP119" s="15" t="s">
        <v>2039</v>
      </c>
      <c r="AQ119" s="44"/>
      <c r="AR119" s="16" t="s">
        <v>33</v>
      </c>
      <c r="AS119" s="7"/>
      <c r="AT119" s="7"/>
      <c r="AU119" s="55"/>
      <c r="AV119" s="7"/>
      <c r="AW119" s="7"/>
      <c r="AX119" s="7"/>
      <c r="AY119" s="7"/>
      <c r="AZ119" s="7"/>
      <c r="BA119" s="7"/>
      <c r="BB119" s="7"/>
      <c r="BC119" s="7"/>
      <c r="BD119" s="14" t="s">
        <v>2040</v>
      </c>
      <c r="BE119" s="15" t="s">
        <v>2041</v>
      </c>
      <c r="BF119" s="11" t="s">
        <v>2042</v>
      </c>
      <c r="BG119" s="16" t="s">
        <v>27</v>
      </c>
      <c r="BH119" s="7"/>
      <c r="BI119" s="14" t="s">
        <v>2043</v>
      </c>
      <c r="BJ119" s="15" t="s">
        <v>2044</v>
      </c>
      <c r="BK119" s="44" t="s">
        <v>2045</v>
      </c>
      <c r="BL119" s="16" t="s">
        <v>27</v>
      </c>
      <c r="BM119" s="7"/>
      <c r="BN119" s="7"/>
      <c r="BO119" s="7"/>
      <c r="BP119" s="7"/>
      <c r="BQ119" s="7"/>
      <c r="BR119" s="7"/>
      <c r="BS119" s="7"/>
      <c r="BT119" s="7"/>
      <c r="BU119" s="7"/>
      <c r="BV119" s="7"/>
      <c r="BW119" s="7"/>
      <c r="BX119" s="7"/>
      <c r="BY119" s="7"/>
      <c r="BZ119" s="41"/>
      <c r="CA119" s="7"/>
      <c r="CB119" s="7"/>
      <c r="CC119" s="7"/>
      <c r="CD119" s="7"/>
      <c r="CE119" s="7"/>
      <c r="CF119" s="7"/>
    </row>
    <row r="120">
      <c r="A120" s="14" t="s">
        <v>2046</v>
      </c>
      <c r="B120" s="15" t="s">
        <v>2047</v>
      </c>
      <c r="C120" s="11" t="s">
        <v>2048</v>
      </c>
      <c r="D120" s="26" t="s">
        <v>27</v>
      </c>
      <c r="E120" s="7"/>
      <c r="F120" s="14"/>
      <c r="G120" s="44"/>
      <c r="H120" s="11"/>
      <c r="I120" s="27"/>
      <c r="J120" s="7"/>
      <c r="K120" s="14"/>
      <c r="L120" s="11"/>
      <c r="M120" s="19"/>
      <c r="N120" s="16"/>
      <c r="O120" s="7"/>
      <c r="P120" s="14"/>
      <c r="Q120" s="44"/>
      <c r="R120" s="7"/>
      <c r="S120" s="27"/>
      <c r="T120" s="7"/>
      <c r="U120" s="7"/>
      <c r="V120" s="7"/>
      <c r="W120" s="7"/>
      <c r="X120" s="7"/>
      <c r="Y120" s="7"/>
      <c r="Z120" s="7"/>
      <c r="AA120" s="7"/>
      <c r="AB120" s="7"/>
      <c r="AC120" s="7"/>
      <c r="AD120" s="7"/>
      <c r="AE120" s="7"/>
      <c r="AF120" s="7"/>
      <c r="AG120" s="7"/>
      <c r="AH120" s="7"/>
      <c r="AI120" s="7"/>
      <c r="AJ120" s="7"/>
      <c r="AK120" s="7"/>
      <c r="AL120" s="7"/>
      <c r="AM120" s="7"/>
      <c r="AN120" s="7"/>
      <c r="AO120" s="14" t="s">
        <v>2049</v>
      </c>
      <c r="AP120" s="15" t="s">
        <v>2050</v>
      </c>
      <c r="AQ120" s="44"/>
      <c r="AR120" s="16" t="s">
        <v>27</v>
      </c>
      <c r="AS120" s="7"/>
      <c r="AT120" s="7"/>
      <c r="AU120" s="55"/>
      <c r="AV120" s="7"/>
      <c r="AW120" s="7"/>
      <c r="AX120" s="7"/>
      <c r="AY120" s="7"/>
      <c r="AZ120" s="7"/>
      <c r="BA120" s="7"/>
      <c r="BB120" s="7"/>
      <c r="BC120" s="7"/>
      <c r="BD120" s="14" t="s">
        <v>2051</v>
      </c>
      <c r="BE120" s="15" t="s">
        <v>2052</v>
      </c>
      <c r="BF120" s="11"/>
      <c r="BG120" s="16" t="s">
        <v>27</v>
      </c>
      <c r="BH120" s="7"/>
      <c r="BI120" s="14" t="s">
        <v>2053</v>
      </c>
      <c r="BJ120" s="15" t="s">
        <v>2054</v>
      </c>
      <c r="BK120" s="44"/>
      <c r="BL120" s="16" t="s">
        <v>27</v>
      </c>
      <c r="BM120" s="7"/>
      <c r="BN120" s="7"/>
      <c r="BO120" s="7"/>
      <c r="BP120" s="7"/>
      <c r="BQ120" s="7"/>
      <c r="BR120" s="7"/>
      <c r="BS120" s="7"/>
      <c r="BT120" s="7"/>
      <c r="BU120" s="7"/>
      <c r="BV120" s="7"/>
      <c r="BW120" s="7"/>
      <c r="BX120" s="7"/>
      <c r="BY120" s="7"/>
      <c r="BZ120" s="41"/>
      <c r="CA120" s="7"/>
      <c r="CB120" s="7"/>
      <c r="CC120" s="7"/>
      <c r="CD120" s="7"/>
      <c r="CE120" s="7"/>
      <c r="CF120" s="7"/>
    </row>
    <row r="121">
      <c r="A121" s="14" t="s">
        <v>2055</v>
      </c>
      <c r="B121" s="15" t="s">
        <v>2056</v>
      </c>
      <c r="C121" s="11"/>
      <c r="D121" s="26" t="s">
        <v>27</v>
      </c>
      <c r="E121" s="7"/>
      <c r="F121" s="14"/>
      <c r="G121" s="44"/>
      <c r="H121" s="11"/>
      <c r="I121" s="27"/>
      <c r="J121" s="7"/>
      <c r="K121" s="14"/>
      <c r="L121" s="11"/>
      <c r="M121" s="19"/>
      <c r="N121" s="16"/>
      <c r="O121" s="7"/>
      <c r="P121" s="14"/>
      <c r="Q121" s="44"/>
      <c r="R121" s="7"/>
      <c r="S121" s="27"/>
      <c r="T121" s="7"/>
      <c r="U121" s="7"/>
      <c r="V121" s="7"/>
      <c r="W121" s="7"/>
      <c r="X121" s="7"/>
      <c r="Y121" s="7"/>
      <c r="Z121" s="7"/>
      <c r="AA121" s="7"/>
      <c r="AB121" s="7"/>
      <c r="AC121" s="7"/>
      <c r="AD121" s="7"/>
      <c r="AE121" s="7"/>
      <c r="AF121" s="7"/>
      <c r="AG121" s="7"/>
      <c r="AH121" s="7"/>
      <c r="AI121" s="7"/>
      <c r="AJ121" s="7"/>
      <c r="AK121" s="7"/>
      <c r="AL121" s="7"/>
      <c r="AM121" s="7"/>
      <c r="AN121" s="7"/>
      <c r="AO121" s="14" t="s">
        <v>2057</v>
      </c>
      <c r="AP121" s="15" t="s">
        <v>2058</v>
      </c>
      <c r="AQ121" s="44" t="s">
        <v>2059</v>
      </c>
      <c r="AR121" s="16" t="s">
        <v>27</v>
      </c>
      <c r="AS121" s="7"/>
      <c r="AT121" s="7"/>
      <c r="AU121" s="55"/>
      <c r="AV121" s="7"/>
      <c r="AW121" s="7"/>
      <c r="AX121" s="7"/>
      <c r="AY121" s="7"/>
      <c r="AZ121" s="7"/>
      <c r="BA121" s="7"/>
      <c r="BB121" s="7"/>
      <c r="BC121" s="7"/>
      <c r="BD121" s="14" t="s">
        <v>2060</v>
      </c>
      <c r="BE121" s="15" t="s">
        <v>2061</v>
      </c>
      <c r="BF121" s="11"/>
      <c r="BG121" s="16" t="s">
        <v>27</v>
      </c>
      <c r="BH121" s="7"/>
      <c r="BI121" s="14" t="s">
        <v>2062</v>
      </c>
      <c r="BJ121" s="15" t="s">
        <v>2063</v>
      </c>
      <c r="BK121" s="44"/>
      <c r="BL121" s="16" t="s">
        <v>27</v>
      </c>
      <c r="BM121" s="7"/>
      <c r="BN121" s="7"/>
      <c r="BO121" s="7"/>
      <c r="BP121" s="7"/>
      <c r="BQ121" s="7"/>
      <c r="BR121" s="7"/>
      <c r="BS121" s="7"/>
      <c r="BT121" s="7"/>
      <c r="BU121" s="7"/>
      <c r="BV121" s="7"/>
      <c r="BW121" s="7"/>
      <c r="BX121" s="7"/>
      <c r="BY121" s="7"/>
      <c r="BZ121" s="41"/>
      <c r="CA121" s="7"/>
      <c r="CB121" s="7"/>
      <c r="CC121" s="7"/>
      <c r="CD121" s="7"/>
      <c r="CE121" s="7"/>
      <c r="CF121" s="7"/>
    </row>
    <row r="122">
      <c r="A122" s="14" t="s">
        <v>2064</v>
      </c>
      <c r="B122" s="15" t="s">
        <v>2065</v>
      </c>
      <c r="C122" s="11"/>
      <c r="D122" s="26" t="s">
        <v>27</v>
      </c>
      <c r="E122" s="7"/>
      <c r="F122" s="14"/>
      <c r="G122" s="44"/>
      <c r="H122" s="11"/>
      <c r="I122" s="27"/>
      <c r="J122" s="7"/>
      <c r="K122" s="14"/>
      <c r="L122" s="11"/>
      <c r="M122" s="19"/>
      <c r="N122" s="16"/>
      <c r="O122" s="7"/>
      <c r="P122" s="14"/>
      <c r="Q122" s="44"/>
      <c r="R122" s="7"/>
      <c r="S122" s="27"/>
      <c r="T122" s="7"/>
      <c r="U122" s="7"/>
      <c r="V122" s="7"/>
      <c r="W122" s="7"/>
      <c r="X122" s="7"/>
      <c r="Y122" s="7"/>
      <c r="Z122" s="7"/>
      <c r="AA122" s="7"/>
      <c r="AB122" s="7"/>
      <c r="AC122" s="7"/>
      <c r="AD122" s="7"/>
      <c r="AE122" s="7"/>
      <c r="AF122" s="7"/>
      <c r="AG122" s="7"/>
      <c r="AH122" s="7"/>
      <c r="AI122" s="7"/>
      <c r="AJ122" s="7"/>
      <c r="AK122" s="7"/>
      <c r="AL122" s="7"/>
      <c r="AM122" s="7"/>
      <c r="AN122" s="7"/>
      <c r="AO122" s="14" t="s">
        <v>2066</v>
      </c>
      <c r="AP122" s="15" t="s">
        <v>2067</v>
      </c>
      <c r="AQ122" s="44"/>
      <c r="AR122" s="16" t="s">
        <v>27</v>
      </c>
      <c r="AS122" s="7"/>
      <c r="AT122" s="7"/>
      <c r="AU122" s="55"/>
      <c r="AV122" s="7"/>
      <c r="AW122" s="7"/>
      <c r="AX122" s="7"/>
      <c r="AY122" s="7"/>
      <c r="AZ122" s="7"/>
      <c r="BA122" s="7"/>
      <c r="BB122" s="7"/>
      <c r="BC122" s="7"/>
      <c r="BD122" s="14" t="s">
        <v>2068</v>
      </c>
      <c r="BE122" s="15" t="s">
        <v>2069</v>
      </c>
      <c r="BF122" s="11" t="s">
        <v>2070</v>
      </c>
      <c r="BG122" s="16" t="s">
        <v>27</v>
      </c>
      <c r="BH122" s="7"/>
      <c r="BI122" s="14" t="s">
        <v>2071</v>
      </c>
      <c r="BJ122" s="15" t="s">
        <v>2072</v>
      </c>
      <c r="BK122" s="44" t="s">
        <v>2073</v>
      </c>
      <c r="BL122" s="16" t="s">
        <v>27</v>
      </c>
      <c r="BM122" s="7"/>
      <c r="BN122" s="7"/>
      <c r="BO122" s="7"/>
      <c r="BP122" s="7"/>
      <c r="BQ122" s="7"/>
      <c r="BR122" s="7"/>
      <c r="BS122" s="7"/>
      <c r="BT122" s="7"/>
      <c r="BU122" s="7"/>
      <c r="BV122" s="7"/>
      <c r="BW122" s="7"/>
      <c r="BX122" s="7"/>
      <c r="BY122" s="7"/>
      <c r="BZ122" s="41"/>
      <c r="CA122" s="7"/>
      <c r="CB122" s="7"/>
      <c r="CC122" s="7"/>
      <c r="CD122" s="7"/>
      <c r="CE122" s="7"/>
      <c r="CF122" s="7"/>
    </row>
    <row r="123">
      <c r="A123" s="14" t="s">
        <v>2074</v>
      </c>
      <c r="B123" s="15" t="s">
        <v>2075</v>
      </c>
      <c r="C123" s="11" t="s">
        <v>2076</v>
      </c>
      <c r="D123" s="26" t="s">
        <v>27</v>
      </c>
      <c r="E123" s="7"/>
      <c r="F123" s="14"/>
      <c r="G123" s="44"/>
      <c r="H123" s="11"/>
      <c r="I123" s="27"/>
      <c r="J123" s="7"/>
      <c r="K123" s="14"/>
      <c r="L123" s="11"/>
      <c r="M123" s="19"/>
      <c r="N123" s="16"/>
      <c r="O123" s="7"/>
      <c r="P123" s="14"/>
      <c r="Q123" s="44"/>
      <c r="R123" s="7"/>
      <c r="S123" s="27"/>
      <c r="T123" s="7"/>
      <c r="U123" s="7"/>
      <c r="V123" s="7"/>
      <c r="W123" s="7"/>
      <c r="X123" s="7"/>
      <c r="Y123" s="7"/>
      <c r="Z123" s="7"/>
      <c r="AA123" s="7"/>
      <c r="AB123" s="7"/>
      <c r="AC123" s="7"/>
      <c r="AD123" s="7"/>
      <c r="AE123" s="7"/>
      <c r="AF123" s="7"/>
      <c r="AG123" s="7"/>
      <c r="AH123" s="7"/>
      <c r="AI123" s="7"/>
      <c r="AJ123" s="7"/>
      <c r="AK123" s="7"/>
      <c r="AL123" s="7"/>
      <c r="AM123" s="7"/>
      <c r="AN123" s="7"/>
      <c r="AO123" s="14" t="s">
        <v>2077</v>
      </c>
      <c r="AP123" s="15" t="s">
        <v>2078</v>
      </c>
      <c r="AQ123" s="44" t="s">
        <v>2079</v>
      </c>
      <c r="AR123" s="16" t="s">
        <v>27</v>
      </c>
      <c r="AS123" s="7"/>
      <c r="AT123" s="7"/>
      <c r="AU123" s="55"/>
      <c r="AV123" s="7"/>
      <c r="AW123" s="7"/>
      <c r="AX123" s="7"/>
      <c r="AY123" s="7"/>
      <c r="AZ123" s="7"/>
      <c r="BA123" s="7"/>
      <c r="BB123" s="7"/>
      <c r="BC123" s="7"/>
      <c r="BD123" s="14" t="s">
        <v>2080</v>
      </c>
      <c r="BE123" s="15" t="s">
        <v>2081</v>
      </c>
      <c r="BF123" s="11" t="s">
        <v>2082</v>
      </c>
      <c r="BG123" s="16" t="s">
        <v>27</v>
      </c>
      <c r="BH123" s="7"/>
      <c r="BI123" s="14" t="s">
        <v>2083</v>
      </c>
      <c r="BJ123" s="15" t="s">
        <v>2084</v>
      </c>
      <c r="BK123" s="44" t="s">
        <v>2085</v>
      </c>
      <c r="BL123" s="16" t="s">
        <v>27</v>
      </c>
      <c r="BM123" s="7"/>
      <c r="BN123" s="7"/>
      <c r="BO123" s="7"/>
      <c r="BP123" s="7"/>
      <c r="BQ123" s="7"/>
      <c r="BR123" s="7"/>
      <c r="BS123" s="7"/>
      <c r="BT123" s="7"/>
      <c r="BU123" s="7"/>
      <c r="BV123" s="7"/>
      <c r="BW123" s="7"/>
      <c r="BX123" s="7"/>
      <c r="BY123" s="7"/>
      <c r="BZ123" s="41"/>
      <c r="CA123" s="7"/>
      <c r="CB123" s="7"/>
      <c r="CC123" s="7"/>
      <c r="CD123" s="7"/>
      <c r="CE123" s="7"/>
      <c r="CF123" s="7"/>
    </row>
    <row r="124">
      <c r="A124" s="14" t="s">
        <v>2086</v>
      </c>
      <c r="B124" s="15" t="s">
        <v>2087</v>
      </c>
      <c r="C124" s="11" t="s">
        <v>2088</v>
      </c>
      <c r="D124" s="26" t="s">
        <v>27</v>
      </c>
      <c r="E124" s="7"/>
      <c r="F124" s="14"/>
      <c r="G124" s="44"/>
      <c r="H124" s="11"/>
      <c r="I124" s="27"/>
      <c r="J124" s="7"/>
      <c r="K124" s="14"/>
      <c r="L124" s="11"/>
      <c r="M124" s="19"/>
      <c r="N124" s="16"/>
      <c r="O124" s="7"/>
      <c r="P124" s="14"/>
      <c r="Q124" s="44"/>
      <c r="R124" s="7"/>
      <c r="S124" s="27"/>
      <c r="T124" s="7"/>
      <c r="U124" s="7"/>
      <c r="V124" s="7"/>
      <c r="W124" s="7"/>
      <c r="X124" s="7"/>
      <c r="Y124" s="7"/>
      <c r="Z124" s="7"/>
      <c r="AA124" s="7"/>
      <c r="AB124" s="7"/>
      <c r="AC124" s="7"/>
      <c r="AD124" s="7"/>
      <c r="AE124" s="7"/>
      <c r="AF124" s="7"/>
      <c r="AG124" s="7"/>
      <c r="AH124" s="7"/>
      <c r="AI124" s="7"/>
      <c r="AJ124" s="7"/>
      <c r="AK124" s="7"/>
      <c r="AL124" s="7"/>
      <c r="AM124" s="7"/>
      <c r="AN124" s="7"/>
      <c r="AO124" s="14" t="s">
        <v>2089</v>
      </c>
      <c r="AP124" s="15" t="s">
        <v>2090</v>
      </c>
      <c r="AQ124" s="44"/>
      <c r="AR124" s="16" t="s">
        <v>27</v>
      </c>
      <c r="AS124" s="7"/>
      <c r="AT124" s="7"/>
      <c r="AU124" s="55"/>
      <c r="AV124" s="7"/>
      <c r="AW124" s="7"/>
      <c r="AX124" s="7"/>
      <c r="AY124" s="7"/>
      <c r="AZ124" s="7"/>
      <c r="BA124" s="7"/>
      <c r="BB124" s="7"/>
      <c r="BC124" s="7"/>
      <c r="BD124" s="14" t="s">
        <v>2091</v>
      </c>
      <c r="BE124" s="15" t="s">
        <v>2092</v>
      </c>
      <c r="BF124" s="11" t="s">
        <v>2093</v>
      </c>
      <c r="BG124" s="16" t="s">
        <v>27</v>
      </c>
      <c r="BH124" s="7"/>
      <c r="BI124" s="14" t="s">
        <v>2094</v>
      </c>
      <c r="BJ124" s="15" t="s">
        <v>2095</v>
      </c>
      <c r="BK124" s="44"/>
      <c r="BL124" s="16" t="s">
        <v>27</v>
      </c>
      <c r="BM124" s="7"/>
      <c r="BN124" s="7"/>
      <c r="BO124" s="7"/>
      <c r="BP124" s="7"/>
      <c r="BQ124" s="7"/>
      <c r="BR124" s="7"/>
      <c r="BS124" s="7"/>
      <c r="BT124" s="7"/>
      <c r="BU124" s="7"/>
      <c r="BV124" s="7"/>
      <c r="BW124" s="7"/>
      <c r="BX124" s="7"/>
      <c r="BY124" s="7"/>
      <c r="BZ124" s="41"/>
      <c r="CA124" s="7"/>
      <c r="CB124" s="7"/>
      <c r="CC124" s="7"/>
      <c r="CD124" s="7"/>
      <c r="CE124" s="7"/>
      <c r="CF124" s="7"/>
    </row>
    <row r="125">
      <c r="A125" s="14" t="s">
        <v>2096</v>
      </c>
      <c r="B125" s="15" t="s">
        <v>2097</v>
      </c>
      <c r="C125" s="11"/>
      <c r="D125" s="26" t="s">
        <v>27</v>
      </c>
      <c r="E125" s="7"/>
      <c r="F125" s="14"/>
      <c r="G125" s="44"/>
      <c r="H125" s="11"/>
      <c r="I125" s="27"/>
      <c r="J125" s="7"/>
      <c r="K125" s="14"/>
      <c r="L125" s="11"/>
      <c r="M125" s="19"/>
      <c r="N125" s="16"/>
      <c r="O125" s="7"/>
      <c r="P125" s="14"/>
      <c r="Q125" s="44"/>
      <c r="R125" s="7"/>
      <c r="S125" s="27"/>
      <c r="T125" s="7"/>
      <c r="U125" s="7"/>
      <c r="V125" s="7"/>
      <c r="W125" s="7"/>
      <c r="X125" s="7"/>
      <c r="Y125" s="7"/>
      <c r="Z125" s="7"/>
      <c r="AA125" s="7"/>
      <c r="AB125" s="7"/>
      <c r="AC125" s="7"/>
      <c r="AD125" s="7"/>
      <c r="AE125" s="7"/>
      <c r="AF125" s="7"/>
      <c r="AG125" s="7"/>
      <c r="AH125" s="7"/>
      <c r="AI125" s="7"/>
      <c r="AJ125" s="7"/>
      <c r="AK125" s="7"/>
      <c r="AL125" s="7"/>
      <c r="AM125" s="7"/>
      <c r="AN125" s="7"/>
      <c r="AO125" s="14" t="s">
        <v>2098</v>
      </c>
      <c r="AP125" s="15" t="s">
        <v>2099</v>
      </c>
      <c r="AQ125" s="44"/>
      <c r="AR125" s="16" t="s">
        <v>27</v>
      </c>
      <c r="AS125" s="7"/>
      <c r="AT125" s="7"/>
      <c r="AU125" s="55"/>
      <c r="AV125" s="7"/>
      <c r="AW125" s="7"/>
      <c r="AX125" s="7"/>
      <c r="AY125" s="7"/>
      <c r="AZ125" s="7"/>
      <c r="BA125" s="7"/>
      <c r="BB125" s="7"/>
      <c r="BC125" s="7"/>
      <c r="BD125" s="14" t="s">
        <v>2100</v>
      </c>
      <c r="BE125" s="15" t="s">
        <v>2101</v>
      </c>
      <c r="BF125" s="11" t="s">
        <v>2102</v>
      </c>
      <c r="BG125" s="16" t="s">
        <v>27</v>
      </c>
      <c r="BH125" s="7"/>
      <c r="BI125" s="14" t="s">
        <v>2103</v>
      </c>
      <c r="BJ125" s="15" t="s">
        <v>2104</v>
      </c>
      <c r="BK125" s="44"/>
      <c r="BL125" s="16" t="s">
        <v>27</v>
      </c>
      <c r="BM125" s="7"/>
      <c r="BN125" s="7"/>
      <c r="BO125" s="7"/>
      <c r="BP125" s="7"/>
      <c r="BQ125" s="7"/>
      <c r="BR125" s="7"/>
      <c r="BS125" s="7"/>
      <c r="BT125" s="7"/>
      <c r="BU125" s="7"/>
      <c r="BV125" s="7"/>
      <c r="BW125" s="7"/>
      <c r="BX125" s="7"/>
      <c r="BY125" s="7"/>
      <c r="BZ125" s="41"/>
      <c r="CA125" s="7"/>
      <c r="CB125" s="7"/>
      <c r="CC125" s="7"/>
      <c r="CD125" s="7"/>
      <c r="CE125" s="7"/>
      <c r="CF125" s="7"/>
    </row>
    <row r="126">
      <c r="A126" s="14" t="s">
        <v>2105</v>
      </c>
      <c r="B126" s="15" t="s">
        <v>2106</v>
      </c>
      <c r="C126" s="11"/>
      <c r="D126" s="26" t="s">
        <v>27</v>
      </c>
      <c r="E126" s="7"/>
      <c r="F126" s="14"/>
      <c r="G126" s="44"/>
      <c r="H126" s="11"/>
      <c r="I126" s="27"/>
      <c r="J126" s="7"/>
      <c r="K126" s="14"/>
      <c r="L126" s="11"/>
      <c r="M126" s="19"/>
      <c r="N126" s="16"/>
      <c r="O126" s="7"/>
      <c r="P126" s="14"/>
      <c r="Q126" s="44"/>
      <c r="R126" s="7"/>
      <c r="S126" s="27"/>
      <c r="T126" s="7"/>
      <c r="U126" s="7"/>
      <c r="V126" s="7"/>
      <c r="W126" s="7"/>
      <c r="X126" s="7"/>
      <c r="Y126" s="7"/>
      <c r="Z126" s="7"/>
      <c r="AA126" s="7"/>
      <c r="AB126" s="7"/>
      <c r="AC126" s="7"/>
      <c r="AD126" s="7"/>
      <c r="AE126" s="7"/>
      <c r="AF126" s="7"/>
      <c r="AG126" s="7"/>
      <c r="AH126" s="7"/>
      <c r="AI126" s="7"/>
      <c r="AJ126" s="7"/>
      <c r="AK126" s="7"/>
      <c r="AL126" s="7"/>
      <c r="AM126" s="7"/>
      <c r="AN126" s="7"/>
      <c r="AO126" s="14" t="s">
        <v>2107</v>
      </c>
      <c r="AP126" s="15" t="s">
        <v>2108</v>
      </c>
      <c r="AQ126" s="44"/>
      <c r="AR126" s="16" t="s">
        <v>27</v>
      </c>
      <c r="AS126" s="7"/>
      <c r="AT126" s="7"/>
      <c r="AU126" s="55"/>
      <c r="AV126" s="7"/>
      <c r="AW126" s="7"/>
      <c r="AX126" s="7"/>
      <c r="AY126" s="7"/>
      <c r="AZ126" s="7"/>
      <c r="BA126" s="7"/>
      <c r="BB126" s="7"/>
      <c r="BC126" s="7"/>
      <c r="BD126" s="14" t="s">
        <v>2109</v>
      </c>
      <c r="BE126" s="15" t="s">
        <v>2110</v>
      </c>
      <c r="BF126" s="11"/>
      <c r="BG126" s="16" t="s">
        <v>27</v>
      </c>
      <c r="BH126" s="7"/>
      <c r="BI126" s="14" t="s">
        <v>2111</v>
      </c>
      <c r="BJ126" s="15" t="s">
        <v>2112</v>
      </c>
      <c r="BK126" s="44"/>
      <c r="BL126" s="16" t="s">
        <v>27</v>
      </c>
      <c r="BM126" s="7"/>
      <c r="BN126" s="7"/>
      <c r="BO126" s="7"/>
      <c r="BP126" s="7"/>
      <c r="BQ126" s="7"/>
      <c r="BR126" s="7"/>
      <c r="BS126" s="7"/>
      <c r="BT126" s="7"/>
      <c r="BU126" s="7"/>
      <c r="BV126" s="7"/>
      <c r="BW126" s="7"/>
      <c r="BX126" s="7"/>
      <c r="BY126" s="7"/>
      <c r="BZ126" s="41"/>
      <c r="CA126" s="7"/>
      <c r="CB126" s="7"/>
      <c r="CC126" s="7"/>
      <c r="CD126" s="7"/>
      <c r="CE126" s="7"/>
      <c r="CF126" s="7"/>
    </row>
    <row r="127">
      <c r="A127" s="14" t="s">
        <v>2113</v>
      </c>
      <c r="B127" s="15" t="s">
        <v>2114</v>
      </c>
      <c r="C127" s="11" t="s">
        <v>2115</v>
      </c>
      <c r="D127" s="26" t="s">
        <v>27</v>
      </c>
      <c r="E127" s="7"/>
      <c r="F127" s="14"/>
      <c r="G127" s="44"/>
      <c r="H127" s="11"/>
      <c r="I127" s="27"/>
      <c r="J127" s="7"/>
      <c r="K127" s="14"/>
      <c r="L127" s="11"/>
      <c r="M127" s="19"/>
      <c r="N127" s="16"/>
      <c r="O127" s="7"/>
      <c r="P127" s="14"/>
      <c r="Q127" s="44"/>
      <c r="R127" s="7"/>
      <c r="S127" s="27"/>
      <c r="T127" s="7"/>
      <c r="U127" s="7"/>
      <c r="V127" s="7"/>
      <c r="W127" s="7"/>
      <c r="X127" s="7"/>
      <c r="Y127" s="7"/>
      <c r="Z127" s="7"/>
      <c r="AA127" s="7"/>
      <c r="AB127" s="7"/>
      <c r="AC127" s="7"/>
      <c r="AD127" s="7"/>
      <c r="AE127" s="7"/>
      <c r="AF127" s="7"/>
      <c r="AG127" s="7"/>
      <c r="AH127" s="7"/>
      <c r="AI127" s="7"/>
      <c r="AJ127" s="7"/>
      <c r="AK127" s="7"/>
      <c r="AL127" s="7"/>
      <c r="AM127" s="7"/>
      <c r="AN127" s="7"/>
      <c r="AO127" s="14" t="s">
        <v>2116</v>
      </c>
      <c r="AP127" s="15" t="s">
        <v>2117</v>
      </c>
      <c r="AQ127" s="44"/>
      <c r="AR127" s="16" t="s">
        <v>27</v>
      </c>
      <c r="AS127" s="7"/>
      <c r="AT127" s="7"/>
      <c r="AU127" s="55"/>
      <c r="AV127" s="7"/>
      <c r="AW127" s="7"/>
      <c r="AX127" s="7"/>
      <c r="AY127" s="7"/>
      <c r="AZ127" s="7"/>
      <c r="BA127" s="7"/>
      <c r="BB127" s="7"/>
      <c r="BC127" s="7"/>
      <c r="BD127" s="14" t="s">
        <v>2118</v>
      </c>
      <c r="BE127" s="15" t="s">
        <v>2119</v>
      </c>
      <c r="BF127" s="11" t="s">
        <v>2120</v>
      </c>
      <c r="BG127" s="16" t="s">
        <v>27</v>
      </c>
      <c r="BH127" s="7"/>
      <c r="BI127" s="14" t="s">
        <v>2121</v>
      </c>
      <c r="BJ127" s="15" t="s">
        <v>2122</v>
      </c>
      <c r="BK127" s="44"/>
      <c r="BL127" s="16" t="s">
        <v>27</v>
      </c>
      <c r="BM127" s="7"/>
      <c r="BN127" s="7"/>
      <c r="BO127" s="7"/>
      <c r="BP127" s="7"/>
      <c r="BQ127" s="7"/>
      <c r="BR127" s="7"/>
      <c r="BS127" s="7"/>
      <c r="BT127" s="7"/>
      <c r="BU127" s="7"/>
      <c r="BV127" s="7"/>
      <c r="BW127" s="7"/>
      <c r="BX127" s="7"/>
      <c r="BY127" s="7"/>
      <c r="BZ127" s="41"/>
      <c r="CA127" s="7"/>
      <c r="CB127" s="7"/>
      <c r="CC127" s="7"/>
      <c r="CD127" s="7"/>
      <c r="CE127" s="7"/>
      <c r="CF127" s="7"/>
    </row>
    <row r="128">
      <c r="A128" s="14" t="s">
        <v>2123</v>
      </c>
      <c r="B128" s="15" t="s">
        <v>2124</v>
      </c>
      <c r="C128" s="11"/>
      <c r="D128" s="26" t="s">
        <v>27</v>
      </c>
      <c r="E128" s="7"/>
      <c r="F128" s="14"/>
      <c r="G128" s="44"/>
      <c r="H128" s="11"/>
      <c r="I128" s="27"/>
      <c r="J128" s="7"/>
      <c r="K128" s="14"/>
      <c r="L128" s="11"/>
      <c r="M128" s="19"/>
      <c r="N128" s="16"/>
      <c r="O128" s="7"/>
      <c r="P128" s="14"/>
      <c r="Q128" s="44"/>
      <c r="R128" s="7"/>
      <c r="S128" s="27"/>
      <c r="T128" s="7"/>
      <c r="U128" s="7"/>
      <c r="V128" s="7"/>
      <c r="W128" s="7"/>
      <c r="X128" s="7"/>
      <c r="Y128" s="7"/>
      <c r="Z128" s="7"/>
      <c r="AA128" s="7"/>
      <c r="AB128" s="7"/>
      <c r="AC128" s="7"/>
      <c r="AD128" s="7"/>
      <c r="AE128" s="7"/>
      <c r="AF128" s="7"/>
      <c r="AG128" s="7"/>
      <c r="AH128" s="7"/>
      <c r="AI128" s="7"/>
      <c r="AJ128" s="7"/>
      <c r="AK128" s="7"/>
      <c r="AL128" s="7"/>
      <c r="AM128" s="7"/>
      <c r="AN128" s="7"/>
      <c r="AO128" s="14" t="s">
        <v>2125</v>
      </c>
      <c r="AP128" s="15" t="s">
        <v>2126</v>
      </c>
      <c r="AQ128" s="44" t="s">
        <v>2127</v>
      </c>
      <c r="AR128" s="16" t="s">
        <v>27</v>
      </c>
      <c r="AS128" s="7"/>
      <c r="AT128" s="7"/>
      <c r="AU128" s="55"/>
      <c r="AV128" s="7"/>
      <c r="AW128" s="7"/>
      <c r="AX128" s="7"/>
      <c r="AY128" s="7"/>
      <c r="AZ128" s="7"/>
      <c r="BA128" s="7"/>
      <c r="BB128" s="7"/>
      <c r="BC128" s="7"/>
      <c r="BD128" s="14" t="s">
        <v>2128</v>
      </c>
      <c r="BE128" s="15" t="s">
        <v>2129</v>
      </c>
      <c r="BF128" s="11"/>
      <c r="BG128" s="16" t="s">
        <v>27</v>
      </c>
      <c r="BH128" s="7"/>
      <c r="BI128" s="14" t="s">
        <v>2130</v>
      </c>
      <c r="BJ128" s="15" t="s">
        <v>2131</v>
      </c>
      <c r="BK128" s="44" t="s">
        <v>2132</v>
      </c>
      <c r="BL128" s="16" t="s">
        <v>416</v>
      </c>
      <c r="BM128" s="7"/>
      <c r="BN128" s="7"/>
      <c r="BO128" s="7"/>
      <c r="BP128" s="7"/>
      <c r="BQ128" s="7"/>
      <c r="BR128" s="7"/>
      <c r="BS128" s="7"/>
      <c r="BT128" s="7"/>
      <c r="BU128" s="7"/>
      <c r="BV128" s="7"/>
      <c r="BW128" s="7"/>
      <c r="BX128" s="7"/>
      <c r="BY128" s="7"/>
      <c r="BZ128" s="41"/>
      <c r="CA128" s="7"/>
      <c r="CB128" s="7"/>
      <c r="CC128" s="7"/>
      <c r="CD128" s="7"/>
      <c r="CE128" s="7"/>
      <c r="CF128" s="7"/>
    </row>
    <row r="129">
      <c r="A129" s="14" t="s">
        <v>2133</v>
      </c>
      <c r="B129" s="15" t="s">
        <v>2134</v>
      </c>
      <c r="C129" s="11" t="s">
        <v>2135</v>
      </c>
      <c r="D129" s="26" t="s">
        <v>27</v>
      </c>
      <c r="E129" s="7"/>
      <c r="F129" s="14"/>
      <c r="G129" s="44"/>
      <c r="H129" s="11"/>
      <c r="I129" s="27"/>
      <c r="J129" s="7"/>
      <c r="K129" s="14"/>
      <c r="L129" s="11"/>
      <c r="M129" s="19"/>
      <c r="N129" s="16"/>
      <c r="O129" s="7"/>
      <c r="P129" s="14"/>
      <c r="Q129" s="44"/>
      <c r="R129" s="7"/>
      <c r="S129" s="27"/>
      <c r="T129" s="7"/>
      <c r="U129" s="7"/>
      <c r="V129" s="7"/>
      <c r="W129" s="7"/>
      <c r="X129" s="7"/>
      <c r="Y129" s="7"/>
      <c r="Z129" s="7"/>
      <c r="AA129" s="7"/>
      <c r="AB129" s="7"/>
      <c r="AC129" s="7"/>
      <c r="AD129" s="7"/>
      <c r="AE129" s="7"/>
      <c r="AF129" s="7"/>
      <c r="AG129" s="7"/>
      <c r="AH129" s="7"/>
      <c r="AI129" s="7"/>
      <c r="AJ129" s="7"/>
      <c r="AK129" s="7"/>
      <c r="AL129" s="7"/>
      <c r="AM129" s="7"/>
      <c r="AN129" s="7"/>
      <c r="AO129" s="14" t="s">
        <v>2136</v>
      </c>
      <c r="AP129" s="15" t="s">
        <v>2137</v>
      </c>
      <c r="AQ129" s="44" t="s">
        <v>2138</v>
      </c>
      <c r="AR129" s="16" t="s">
        <v>27</v>
      </c>
      <c r="AS129" s="7"/>
      <c r="AT129" s="7"/>
      <c r="AU129" s="55"/>
      <c r="AV129" s="7"/>
      <c r="AW129" s="7"/>
      <c r="AX129" s="7"/>
      <c r="AY129" s="7"/>
      <c r="AZ129" s="7"/>
      <c r="BA129" s="7"/>
      <c r="BB129" s="7"/>
      <c r="BC129" s="7"/>
      <c r="BD129" s="14" t="s">
        <v>2139</v>
      </c>
      <c r="BE129" s="15" t="s">
        <v>2140</v>
      </c>
      <c r="BF129" s="11"/>
      <c r="BG129" s="16" t="s">
        <v>27</v>
      </c>
      <c r="BH129" s="7"/>
      <c r="BI129" s="14" t="s">
        <v>2141</v>
      </c>
      <c r="BJ129" s="15" t="s">
        <v>2142</v>
      </c>
      <c r="BK129" s="44"/>
      <c r="BL129" s="16" t="s">
        <v>27</v>
      </c>
      <c r="BM129" s="7"/>
      <c r="BN129" s="7"/>
      <c r="BO129" s="7"/>
      <c r="BP129" s="7"/>
      <c r="BQ129" s="7"/>
      <c r="BR129" s="7"/>
      <c r="BS129" s="7"/>
      <c r="BT129" s="7"/>
      <c r="BU129" s="7"/>
      <c r="BV129" s="7"/>
      <c r="BW129" s="7"/>
      <c r="BX129" s="7"/>
      <c r="BY129" s="7"/>
      <c r="BZ129" s="41"/>
      <c r="CA129" s="7"/>
      <c r="CB129" s="7"/>
      <c r="CC129" s="7"/>
      <c r="CD129" s="7"/>
      <c r="CE129" s="7"/>
      <c r="CF129" s="7"/>
    </row>
    <row r="130">
      <c r="A130" s="14" t="s">
        <v>2143</v>
      </c>
      <c r="B130" s="15" t="s">
        <v>2144</v>
      </c>
      <c r="C130" s="11" t="s">
        <v>2145</v>
      </c>
      <c r="D130" s="26" t="s">
        <v>27</v>
      </c>
      <c r="E130" s="7"/>
      <c r="F130" s="14"/>
      <c r="G130" s="44"/>
      <c r="H130" s="11"/>
      <c r="I130" s="27"/>
      <c r="J130" s="7"/>
      <c r="K130" s="14"/>
      <c r="L130" s="11"/>
      <c r="M130" s="19"/>
      <c r="N130" s="16"/>
      <c r="O130" s="7"/>
      <c r="P130" s="14"/>
      <c r="Q130" s="44"/>
      <c r="R130" s="7"/>
      <c r="S130" s="27"/>
      <c r="T130" s="7"/>
      <c r="U130" s="7"/>
      <c r="V130" s="7"/>
      <c r="W130" s="7"/>
      <c r="X130" s="7"/>
      <c r="Y130" s="7"/>
      <c r="Z130" s="7"/>
      <c r="AA130" s="7"/>
      <c r="AB130" s="7"/>
      <c r="AC130" s="7"/>
      <c r="AD130" s="7"/>
      <c r="AE130" s="7"/>
      <c r="AF130" s="7"/>
      <c r="AG130" s="7"/>
      <c r="AH130" s="7"/>
      <c r="AI130" s="7"/>
      <c r="AJ130" s="7"/>
      <c r="AK130" s="7"/>
      <c r="AL130" s="7"/>
      <c r="AM130" s="7"/>
      <c r="AN130" s="7"/>
      <c r="AO130" s="14" t="s">
        <v>2146</v>
      </c>
      <c r="AP130" s="15" t="s">
        <v>2147</v>
      </c>
      <c r="AQ130" s="44"/>
      <c r="AR130" s="16" t="s">
        <v>27</v>
      </c>
      <c r="AS130" s="7"/>
      <c r="AT130" s="7"/>
      <c r="AU130" s="55"/>
      <c r="AV130" s="7"/>
      <c r="AW130" s="7"/>
      <c r="AX130" s="7"/>
      <c r="AY130" s="7"/>
      <c r="AZ130" s="7"/>
      <c r="BA130" s="7"/>
      <c r="BB130" s="7"/>
      <c r="BC130" s="7"/>
      <c r="BD130" s="14" t="s">
        <v>2148</v>
      </c>
      <c r="BE130" s="15" t="s">
        <v>2149</v>
      </c>
      <c r="BF130" s="11" t="s">
        <v>2150</v>
      </c>
      <c r="BG130" s="16" t="s">
        <v>27</v>
      </c>
      <c r="BH130" s="7"/>
      <c r="BI130" s="14" t="s">
        <v>2151</v>
      </c>
      <c r="BJ130" s="15" t="s">
        <v>2152</v>
      </c>
      <c r="BK130" s="44"/>
      <c r="BL130" s="16" t="s">
        <v>27</v>
      </c>
      <c r="BM130" s="7"/>
      <c r="BN130" s="7"/>
      <c r="BO130" s="7"/>
      <c r="BP130" s="7"/>
      <c r="BQ130" s="7"/>
      <c r="BR130" s="7"/>
      <c r="BS130" s="7"/>
      <c r="BT130" s="7"/>
      <c r="BU130" s="7"/>
      <c r="BV130" s="7"/>
      <c r="BW130" s="7"/>
      <c r="BX130" s="7"/>
      <c r="BY130" s="7"/>
      <c r="BZ130" s="41"/>
      <c r="CA130" s="7"/>
      <c r="CB130" s="7"/>
      <c r="CC130" s="7"/>
      <c r="CD130" s="7"/>
      <c r="CE130" s="7"/>
      <c r="CF130" s="7"/>
    </row>
    <row r="131">
      <c r="A131" s="14" t="s">
        <v>2153</v>
      </c>
      <c r="B131" s="15" t="s">
        <v>2154</v>
      </c>
      <c r="C131" s="11"/>
      <c r="D131" s="26" t="s">
        <v>27</v>
      </c>
      <c r="E131" s="7"/>
      <c r="F131" s="14"/>
      <c r="G131" s="44"/>
      <c r="H131" s="11"/>
      <c r="I131" s="27"/>
      <c r="J131" s="7"/>
      <c r="K131" s="14"/>
      <c r="L131" s="11"/>
      <c r="M131" s="19"/>
      <c r="N131" s="16"/>
      <c r="O131" s="7"/>
      <c r="P131" s="14"/>
      <c r="Q131" s="44"/>
      <c r="R131" s="7"/>
      <c r="S131" s="27"/>
      <c r="T131" s="7"/>
      <c r="U131" s="7"/>
      <c r="V131" s="7"/>
      <c r="W131" s="7"/>
      <c r="X131" s="7"/>
      <c r="Y131" s="7"/>
      <c r="Z131" s="7"/>
      <c r="AA131" s="7"/>
      <c r="AB131" s="7"/>
      <c r="AC131" s="7"/>
      <c r="AD131" s="7"/>
      <c r="AE131" s="7"/>
      <c r="AF131" s="7"/>
      <c r="AG131" s="7"/>
      <c r="AH131" s="7"/>
      <c r="AI131" s="7"/>
      <c r="AJ131" s="7"/>
      <c r="AK131" s="7"/>
      <c r="AL131" s="7"/>
      <c r="AM131" s="7"/>
      <c r="AN131" s="7"/>
      <c r="AO131" s="14" t="s">
        <v>2155</v>
      </c>
      <c r="AP131" s="15" t="s">
        <v>2156</v>
      </c>
      <c r="AQ131" s="44"/>
      <c r="AR131" s="16" t="s">
        <v>27</v>
      </c>
      <c r="AS131" s="7"/>
      <c r="AT131" s="7"/>
      <c r="AU131" s="55"/>
      <c r="AV131" s="7"/>
      <c r="AW131" s="7"/>
      <c r="AX131" s="7"/>
      <c r="AY131" s="7"/>
      <c r="AZ131" s="7"/>
      <c r="BA131" s="7"/>
      <c r="BB131" s="7"/>
      <c r="BC131" s="7"/>
      <c r="BD131" s="14" t="s">
        <v>2157</v>
      </c>
      <c r="BE131" s="15" t="s">
        <v>2158</v>
      </c>
      <c r="BF131" s="11" t="s">
        <v>2159</v>
      </c>
      <c r="BG131" s="16" t="s">
        <v>27</v>
      </c>
      <c r="BH131" s="7"/>
      <c r="BI131" s="14" t="s">
        <v>2160</v>
      </c>
      <c r="BJ131" s="15" t="s">
        <v>2161</v>
      </c>
      <c r="BK131" s="44"/>
      <c r="BL131" s="16" t="s">
        <v>27</v>
      </c>
      <c r="BM131" s="7"/>
      <c r="BN131" s="7"/>
      <c r="BO131" s="7"/>
      <c r="BP131" s="7"/>
      <c r="BQ131" s="7"/>
      <c r="BR131" s="7"/>
      <c r="BS131" s="7"/>
      <c r="BT131" s="7"/>
      <c r="BU131" s="7"/>
      <c r="BV131" s="7"/>
      <c r="BW131" s="7"/>
      <c r="BX131" s="7"/>
      <c r="BY131" s="7"/>
      <c r="BZ131" s="41"/>
      <c r="CA131" s="7"/>
      <c r="CB131" s="7"/>
      <c r="CC131" s="7"/>
      <c r="CD131" s="7"/>
      <c r="CE131" s="7"/>
      <c r="CF131" s="7"/>
    </row>
    <row r="132">
      <c r="A132" s="14" t="s">
        <v>2162</v>
      </c>
      <c r="B132" s="15" t="s">
        <v>2163</v>
      </c>
      <c r="C132" s="11" t="s">
        <v>2164</v>
      </c>
      <c r="D132" s="26" t="s">
        <v>27</v>
      </c>
      <c r="E132" s="7"/>
      <c r="F132" s="14"/>
      <c r="G132" s="44"/>
      <c r="H132" s="11"/>
      <c r="I132" s="27"/>
      <c r="J132" s="7"/>
      <c r="K132" s="14"/>
      <c r="L132" s="11"/>
      <c r="M132" s="19"/>
      <c r="N132" s="16"/>
      <c r="O132" s="7"/>
      <c r="P132" s="14"/>
      <c r="Q132" s="44"/>
      <c r="R132" s="7"/>
      <c r="S132" s="27"/>
      <c r="T132" s="7"/>
      <c r="U132" s="7"/>
      <c r="V132" s="7"/>
      <c r="W132" s="7"/>
      <c r="X132" s="7"/>
      <c r="Y132" s="7"/>
      <c r="Z132" s="7"/>
      <c r="AA132" s="7"/>
      <c r="AB132" s="7"/>
      <c r="AC132" s="7"/>
      <c r="AD132" s="7"/>
      <c r="AE132" s="7"/>
      <c r="AF132" s="7"/>
      <c r="AG132" s="7"/>
      <c r="AH132" s="7"/>
      <c r="AI132" s="7"/>
      <c r="AJ132" s="7"/>
      <c r="AK132" s="7"/>
      <c r="AL132" s="7"/>
      <c r="AM132" s="7"/>
      <c r="AN132" s="7"/>
      <c r="AO132" s="14" t="s">
        <v>2165</v>
      </c>
      <c r="AP132" s="15" t="s">
        <v>2166</v>
      </c>
      <c r="AQ132" s="44"/>
      <c r="AR132" s="16" t="s">
        <v>27</v>
      </c>
      <c r="AS132" s="7"/>
      <c r="AT132" s="7"/>
      <c r="AU132" s="55"/>
      <c r="AV132" s="7"/>
      <c r="AW132" s="7"/>
      <c r="AX132" s="7"/>
      <c r="AY132" s="7"/>
      <c r="AZ132" s="7"/>
      <c r="BA132" s="7"/>
      <c r="BB132" s="7"/>
      <c r="BC132" s="7"/>
      <c r="BD132" s="14" t="s">
        <v>2167</v>
      </c>
      <c r="BE132" s="15" t="s">
        <v>2168</v>
      </c>
      <c r="BF132" s="11"/>
      <c r="BG132" s="16" t="s">
        <v>27</v>
      </c>
      <c r="BH132" s="7"/>
      <c r="BI132" s="14" t="s">
        <v>2169</v>
      </c>
      <c r="BJ132" s="15" t="s">
        <v>2170</v>
      </c>
      <c r="BK132" s="44"/>
      <c r="BL132" s="16" t="s">
        <v>27</v>
      </c>
      <c r="BM132" s="7"/>
      <c r="BN132" s="7"/>
      <c r="BO132" s="7"/>
      <c r="BP132" s="7"/>
      <c r="BQ132" s="7"/>
      <c r="BR132" s="7"/>
      <c r="BS132" s="7"/>
      <c r="BT132" s="7"/>
      <c r="BU132" s="7"/>
      <c r="BV132" s="7"/>
      <c r="BW132" s="7"/>
      <c r="BX132" s="7"/>
      <c r="BY132" s="7"/>
      <c r="BZ132" s="41"/>
      <c r="CA132" s="7"/>
      <c r="CB132" s="7"/>
      <c r="CC132" s="7"/>
      <c r="CD132" s="7"/>
      <c r="CE132" s="7"/>
      <c r="CF132" s="7"/>
    </row>
    <row r="133">
      <c r="A133" s="14" t="s">
        <v>2171</v>
      </c>
      <c r="B133" s="15" t="s">
        <v>2172</v>
      </c>
      <c r="C133" s="11" t="s">
        <v>2173</v>
      </c>
      <c r="D133" s="26" t="s">
        <v>33</v>
      </c>
      <c r="E133" s="7"/>
      <c r="F133" s="14"/>
      <c r="G133" s="44"/>
      <c r="H133" s="11"/>
      <c r="I133" s="27"/>
      <c r="J133" s="7"/>
      <c r="K133" s="14"/>
      <c r="L133" s="11"/>
      <c r="M133" s="19"/>
      <c r="N133" s="16"/>
      <c r="O133" s="7"/>
      <c r="P133" s="14"/>
      <c r="Q133" s="44"/>
      <c r="R133" s="7"/>
      <c r="S133" s="27"/>
      <c r="T133" s="7"/>
      <c r="U133" s="7"/>
      <c r="V133" s="7"/>
      <c r="W133" s="7"/>
      <c r="X133" s="7"/>
      <c r="Y133" s="7"/>
      <c r="Z133" s="7"/>
      <c r="AA133" s="7"/>
      <c r="AB133" s="7"/>
      <c r="AC133" s="7"/>
      <c r="AD133" s="7"/>
      <c r="AE133" s="7"/>
      <c r="AF133" s="7"/>
      <c r="AG133" s="7"/>
      <c r="AH133" s="7"/>
      <c r="AI133" s="7"/>
      <c r="AJ133" s="7"/>
      <c r="AK133" s="7"/>
      <c r="AL133" s="7"/>
      <c r="AM133" s="7"/>
      <c r="AN133" s="7"/>
      <c r="AO133" s="14" t="s">
        <v>2174</v>
      </c>
      <c r="AP133" s="15" t="s">
        <v>2175</v>
      </c>
      <c r="AQ133" s="44"/>
      <c r="AR133" s="16" t="s">
        <v>27</v>
      </c>
      <c r="AS133" s="7"/>
      <c r="AT133" s="7"/>
      <c r="AU133" s="55"/>
      <c r="AV133" s="7"/>
      <c r="AW133" s="7"/>
      <c r="AX133" s="7"/>
      <c r="AY133" s="7"/>
      <c r="AZ133" s="7"/>
      <c r="BA133" s="7"/>
      <c r="BB133" s="7"/>
      <c r="BC133" s="7"/>
      <c r="BD133" s="14" t="s">
        <v>2176</v>
      </c>
      <c r="BE133" s="15" t="s">
        <v>2177</v>
      </c>
      <c r="BF133" s="11"/>
      <c r="BG133" s="16" t="s">
        <v>27</v>
      </c>
      <c r="BH133" s="7"/>
      <c r="BI133" s="14" t="s">
        <v>2178</v>
      </c>
      <c r="BJ133" s="15" t="s">
        <v>2179</v>
      </c>
      <c r="BK133" s="44" t="s">
        <v>2180</v>
      </c>
      <c r="BL133" s="16" t="s">
        <v>27</v>
      </c>
      <c r="BM133" s="7"/>
      <c r="BN133" s="7"/>
      <c r="BO133" s="7"/>
      <c r="BP133" s="7"/>
      <c r="BQ133" s="7"/>
      <c r="BR133" s="7"/>
      <c r="BS133" s="7"/>
      <c r="BT133" s="7"/>
      <c r="BU133" s="7"/>
      <c r="BV133" s="7"/>
      <c r="BW133" s="7"/>
      <c r="BX133" s="7"/>
      <c r="BY133" s="7"/>
      <c r="BZ133" s="41"/>
      <c r="CA133" s="7"/>
      <c r="CB133" s="7"/>
      <c r="CC133" s="7"/>
      <c r="CD133" s="7"/>
      <c r="CE133" s="7"/>
      <c r="CF133" s="7"/>
    </row>
    <row r="134">
      <c r="A134" s="14" t="s">
        <v>2181</v>
      </c>
      <c r="B134" s="15" t="s">
        <v>2182</v>
      </c>
      <c r="C134" s="11"/>
      <c r="D134" s="26" t="s">
        <v>27</v>
      </c>
      <c r="E134" s="7"/>
      <c r="F134" s="14"/>
      <c r="G134" s="44"/>
      <c r="H134" s="11"/>
      <c r="I134" s="27"/>
      <c r="J134" s="7"/>
      <c r="K134" s="14"/>
      <c r="L134" s="11"/>
      <c r="M134" s="19"/>
      <c r="N134" s="16"/>
      <c r="O134" s="7"/>
      <c r="P134" s="14"/>
      <c r="Q134" s="44"/>
      <c r="R134" s="7"/>
      <c r="S134" s="27"/>
      <c r="T134" s="7"/>
      <c r="U134" s="7"/>
      <c r="V134" s="7"/>
      <c r="W134" s="7"/>
      <c r="X134" s="7"/>
      <c r="Y134" s="7"/>
      <c r="Z134" s="7"/>
      <c r="AA134" s="7"/>
      <c r="AB134" s="7"/>
      <c r="AC134" s="7"/>
      <c r="AD134" s="7"/>
      <c r="AE134" s="7"/>
      <c r="AF134" s="7"/>
      <c r="AG134" s="7"/>
      <c r="AH134" s="7"/>
      <c r="AI134" s="7"/>
      <c r="AJ134" s="7"/>
      <c r="AK134" s="7"/>
      <c r="AL134" s="7"/>
      <c r="AM134" s="7"/>
      <c r="AN134" s="7"/>
      <c r="AO134" s="14" t="s">
        <v>2183</v>
      </c>
      <c r="AP134" s="15" t="s">
        <v>2184</v>
      </c>
      <c r="AQ134" s="44" t="s">
        <v>2185</v>
      </c>
      <c r="AR134" s="16" t="s">
        <v>27</v>
      </c>
      <c r="AS134" s="7"/>
      <c r="AT134" s="7"/>
      <c r="AU134" s="55"/>
      <c r="AV134" s="7"/>
      <c r="AW134" s="7"/>
      <c r="AX134" s="7"/>
      <c r="AY134" s="7"/>
      <c r="AZ134" s="7"/>
      <c r="BA134" s="7"/>
      <c r="BB134" s="7"/>
      <c r="BC134" s="7"/>
      <c r="BD134" s="14" t="s">
        <v>2186</v>
      </c>
      <c r="BE134" s="15" t="s">
        <v>2187</v>
      </c>
      <c r="BF134" s="11"/>
      <c r="BG134" s="16" t="s">
        <v>27</v>
      </c>
      <c r="BH134" s="7"/>
      <c r="BI134" s="14" t="s">
        <v>2188</v>
      </c>
      <c r="BJ134" s="15" t="s">
        <v>2189</v>
      </c>
      <c r="BK134" s="44" t="s">
        <v>2190</v>
      </c>
      <c r="BL134" s="16" t="s">
        <v>27</v>
      </c>
      <c r="BM134" s="7"/>
      <c r="BN134" s="7"/>
      <c r="BO134" s="7"/>
      <c r="BP134" s="7"/>
      <c r="BQ134" s="7"/>
      <c r="BR134" s="7"/>
      <c r="BS134" s="7"/>
      <c r="BT134" s="7"/>
      <c r="BU134" s="7"/>
      <c r="BV134" s="7"/>
      <c r="BW134" s="7"/>
      <c r="BX134" s="7"/>
      <c r="BY134" s="7"/>
      <c r="BZ134" s="41"/>
      <c r="CA134" s="7"/>
      <c r="CB134" s="7"/>
      <c r="CC134" s="7"/>
      <c r="CD134" s="7"/>
      <c r="CE134" s="7"/>
      <c r="CF134" s="7"/>
    </row>
    <row r="135">
      <c r="A135" s="14" t="s">
        <v>2191</v>
      </c>
      <c r="B135" s="15" t="s">
        <v>2192</v>
      </c>
      <c r="C135" s="11" t="s">
        <v>2193</v>
      </c>
      <c r="D135" s="26" t="s">
        <v>33</v>
      </c>
      <c r="E135" s="7"/>
      <c r="F135" s="14"/>
      <c r="G135" s="44"/>
      <c r="H135" s="11"/>
      <c r="I135" s="27"/>
      <c r="J135" s="7"/>
      <c r="K135" s="14"/>
      <c r="L135" s="11"/>
      <c r="M135" s="19"/>
      <c r="N135" s="16"/>
      <c r="O135" s="7"/>
      <c r="P135" s="14"/>
      <c r="Q135" s="44"/>
      <c r="R135" s="7"/>
      <c r="S135" s="27"/>
      <c r="T135" s="7"/>
      <c r="U135" s="7"/>
      <c r="V135" s="7"/>
      <c r="W135" s="7"/>
      <c r="X135" s="7"/>
      <c r="Y135" s="7"/>
      <c r="Z135" s="7"/>
      <c r="AA135" s="7"/>
      <c r="AB135" s="7"/>
      <c r="AC135" s="7"/>
      <c r="AD135" s="7"/>
      <c r="AE135" s="7"/>
      <c r="AF135" s="7"/>
      <c r="AG135" s="7"/>
      <c r="AH135" s="7"/>
      <c r="AI135" s="7"/>
      <c r="AJ135" s="7"/>
      <c r="AK135" s="7"/>
      <c r="AL135" s="7"/>
      <c r="AM135" s="7"/>
      <c r="AN135" s="7"/>
      <c r="AO135" s="14" t="s">
        <v>2194</v>
      </c>
      <c r="AP135" s="15" t="s">
        <v>2195</v>
      </c>
      <c r="AQ135" s="44"/>
      <c r="AR135" s="16" t="s">
        <v>27</v>
      </c>
      <c r="AS135" s="7"/>
      <c r="AT135" s="7"/>
      <c r="AU135" s="55"/>
      <c r="AV135" s="7"/>
      <c r="AW135" s="7"/>
      <c r="AX135" s="7"/>
      <c r="AY135" s="7"/>
      <c r="AZ135" s="7"/>
      <c r="BA135" s="7"/>
      <c r="BB135" s="7"/>
      <c r="BC135" s="7"/>
      <c r="BD135" s="14" t="s">
        <v>2196</v>
      </c>
      <c r="BE135" s="15" t="s">
        <v>2197</v>
      </c>
      <c r="BF135" s="11" t="s">
        <v>2198</v>
      </c>
      <c r="BG135" s="16" t="s">
        <v>27</v>
      </c>
      <c r="BH135" s="7"/>
      <c r="BI135" s="14" t="s">
        <v>2199</v>
      </c>
      <c r="BJ135" s="15" t="s">
        <v>2200</v>
      </c>
      <c r="BK135" s="44" t="s">
        <v>2201</v>
      </c>
      <c r="BL135" s="16" t="s">
        <v>27</v>
      </c>
      <c r="BM135" s="7"/>
      <c r="BN135" s="7"/>
      <c r="BO135" s="7"/>
      <c r="BP135" s="7"/>
      <c r="BQ135" s="7"/>
      <c r="BR135" s="7"/>
      <c r="BS135" s="7"/>
      <c r="BT135" s="7"/>
      <c r="BU135" s="7"/>
      <c r="BV135" s="7"/>
      <c r="BW135" s="7"/>
      <c r="BX135" s="7"/>
      <c r="BY135" s="7"/>
      <c r="BZ135" s="41"/>
      <c r="CA135" s="7"/>
      <c r="CB135" s="7"/>
      <c r="CC135" s="7"/>
      <c r="CD135" s="7"/>
      <c r="CE135" s="7"/>
      <c r="CF135" s="7"/>
    </row>
    <row r="136">
      <c r="A136" s="14" t="s">
        <v>2202</v>
      </c>
      <c r="B136" s="15" t="s">
        <v>2203</v>
      </c>
      <c r="C136" s="11" t="s">
        <v>2204</v>
      </c>
      <c r="D136" s="26" t="s">
        <v>27</v>
      </c>
      <c r="E136" s="7"/>
      <c r="F136" s="14"/>
      <c r="G136" s="44"/>
      <c r="H136" s="11"/>
      <c r="I136" s="27"/>
      <c r="J136" s="7"/>
      <c r="K136" s="14"/>
      <c r="L136" s="11"/>
      <c r="M136" s="19"/>
      <c r="N136" s="16"/>
      <c r="O136" s="7"/>
      <c r="P136" s="14"/>
      <c r="Q136" s="44"/>
      <c r="R136" s="7"/>
      <c r="S136" s="27"/>
      <c r="T136" s="7"/>
      <c r="U136" s="7"/>
      <c r="V136" s="7"/>
      <c r="W136" s="7"/>
      <c r="X136" s="7"/>
      <c r="Y136" s="7"/>
      <c r="Z136" s="7"/>
      <c r="AA136" s="7"/>
      <c r="AB136" s="7"/>
      <c r="AC136" s="7"/>
      <c r="AD136" s="7"/>
      <c r="AE136" s="7"/>
      <c r="AF136" s="7"/>
      <c r="AG136" s="7"/>
      <c r="AH136" s="7"/>
      <c r="AI136" s="7"/>
      <c r="AJ136" s="7"/>
      <c r="AK136" s="7"/>
      <c r="AL136" s="7"/>
      <c r="AM136" s="7"/>
      <c r="AN136" s="7"/>
      <c r="AO136" s="50"/>
      <c r="AP136" s="51" t="s">
        <v>1494</v>
      </c>
      <c r="AQ136" s="52"/>
      <c r="AR136" s="53">
        <f>COUNTIF($AR$3:$AR$135,"consented")</f>
        <v>10</v>
      </c>
      <c r="AS136" s="7"/>
      <c r="AT136" s="7"/>
      <c r="AU136" s="55"/>
      <c r="AV136" s="7"/>
      <c r="AW136" s="7"/>
      <c r="AX136" s="7"/>
      <c r="AY136" s="7"/>
      <c r="AZ136" s="7"/>
      <c r="BA136" s="7"/>
      <c r="BB136" s="7"/>
      <c r="BC136" s="7"/>
      <c r="BD136" s="14" t="s">
        <v>2205</v>
      </c>
      <c r="BE136" s="15" t="s">
        <v>2206</v>
      </c>
      <c r="BF136" s="11" t="s">
        <v>2207</v>
      </c>
      <c r="BG136" s="16" t="s">
        <v>27</v>
      </c>
      <c r="BH136" s="7"/>
      <c r="BI136" s="14" t="s">
        <v>2208</v>
      </c>
      <c r="BJ136" s="15" t="s">
        <v>2209</v>
      </c>
      <c r="BK136" s="44"/>
      <c r="BL136" s="16" t="s">
        <v>27</v>
      </c>
      <c r="BM136" s="7"/>
      <c r="BN136" s="7"/>
      <c r="BO136" s="7"/>
      <c r="BP136" s="7"/>
      <c r="BQ136" s="7"/>
      <c r="BR136" s="7"/>
      <c r="BS136" s="7"/>
      <c r="BT136" s="7"/>
      <c r="BU136" s="7"/>
      <c r="BV136" s="7"/>
      <c r="BW136" s="7"/>
      <c r="BX136" s="7"/>
      <c r="BY136" s="7"/>
      <c r="BZ136" s="41"/>
      <c r="CA136" s="7"/>
      <c r="CB136" s="7"/>
      <c r="CC136" s="7"/>
      <c r="CD136" s="7"/>
      <c r="CE136" s="7"/>
      <c r="CF136" s="7"/>
    </row>
    <row r="137">
      <c r="A137" s="14" t="s">
        <v>1997</v>
      </c>
      <c r="B137" s="15" t="s">
        <v>2210</v>
      </c>
      <c r="C137" s="11"/>
      <c r="D137" s="26" t="s">
        <v>27</v>
      </c>
      <c r="E137" s="7"/>
      <c r="F137" s="14"/>
      <c r="G137" s="44"/>
      <c r="H137" s="11"/>
      <c r="I137" s="27"/>
      <c r="J137" s="7"/>
      <c r="K137" s="14"/>
      <c r="L137" s="11"/>
      <c r="M137" s="19"/>
      <c r="N137" s="16"/>
      <c r="O137" s="7"/>
      <c r="P137" s="14"/>
      <c r="Q137" s="44"/>
      <c r="R137" s="7"/>
      <c r="S137" s="27"/>
      <c r="T137" s="7"/>
      <c r="U137" s="7"/>
      <c r="V137" s="7"/>
      <c r="W137" s="7"/>
      <c r="X137" s="7"/>
      <c r="Y137" s="7"/>
      <c r="Z137" s="7"/>
      <c r="AA137" s="7"/>
      <c r="AB137" s="7"/>
      <c r="AC137" s="7"/>
      <c r="AD137" s="7"/>
      <c r="AE137" s="7"/>
      <c r="AF137" s="7"/>
      <c r="AG137" s="7"/>
      <c r="AH137" s="7"/>
      <c r="AI137" s="7"/>
      <c r="AJ137" s="7"/>
      <c r="AK137" s="7"/>
      <c r="AL137" s="7"/>
      <c r="AM137" s="7"/>
      <c r="AN137" s="7"/>
      <c r="AO137" s="14"/>
      <c r="AP137" s="44"/>
      <c r="AQ137" s="44"/>
      <c r="AR137" s="7"/>
      <c r="AS137" s="7"/>
      <c r="AT137" s="7"/>
      <c r="AU137" s="55"/>
      <c r="AV137" s="7"/>
      <c r="AW137" s="7"/>
      <c r="AX137" s="7"/>
      <c r="AY137" s="7"/>
      <c r="AZ137" s="7"/>
      <c r="BA137" s="7"/>
      <c r="BB137" s="7"/>
      <c r="BC137" s="7"/>
      <c r="BD137" s="14" t="s">
        <v>2211</v>
      </c>
      <c r="BE137" s="15" t="s">
        <v>2212</v>
      </c>
      <c r="BF137" s="11" t="s">
        <v>2213</v>
      </c>
      <c r="BG137" s="16" t="s">
        <v>27</v>
      </c>
      <c r="BH137" s="7"/>
      <c r="BI137" s="14" t="s">
        <v>1598</v>
      </c>
      <c r="BJ137" s="15" t="s">
        <v>2214</v>
      </c>
      <c r="BK137" s="44"/>
      <c r="BL137" s="16" t="s">
        <v>27</v>
      </c>
      <c r="BM137" s="7"/>
      <c r="BN137" s="7"/>
      <c r="BO137" s="7"/>
      <c r="BP137" s="7"/>
      <c r="BQ137" s="7"/>
      <c r="BR137" s="7"/>
      <c r="BS137" s="7"/>
      <c r="BT137" s="7"/>
      <c r="BU137" s="7"/>
      <c r="BV137" s="7"/>
      <c r="BW137" s="7"/>
      <c r="BX137" s="7"/>
      <c r="BY137" s="7"/>
      <c r="BZ137" s="41"/>
      <c r="CA137" s="7"/>
      <c r="CB137" s="7"/>
      <c r="CC137" s="7"/>
      <c r="CD137" s="7"/>
      <c r="CE137" s="7"/>
      <c r="CF137" s="7"/>
    </row>
    <row r="138">
      <c r="A138" s="14" t="s">
        <v>2215</v>
      </c>
      <c r="B138" s="15" t="s">
        <v>2216</v>
      </c>
      <c r="C138" s="11" t="s">
        <v>2217</v>
      </c>
      <c r="D138" s="26" t="s">
        <v>27</v>
      </c>
      <c r="E138" s="7"/>
      <c r="F138" s="14"/>
      <c r="G138" s="44"/>
      <c r="H138" s="11"/>
      <c r="I138" s="27"/>
      <c r="J138" s="7"/>
      <c r="K138" s="14"/>
      <c r="L138" s="11"/>
      <c r="M138" s="19"/>
      <c r="N138" s="16"/>
      <c r="O138" s="7"/>
      <c r="P138" s="14"/>
      <c r="Q138" s="44"/>
      <c r="R138" s="7"/>
      <c r="S138" s="27"/>
      <c r="T138" s="7"/>
      <c r="U138" s="7"/>
      <c r="V138" s="7"/>
      <c r="W138" s="7"/>
      <c r="X138" s="7"/>
      <c r="Y138" s="7"/>
      <c r="Z138" s="7"/>
      <c r="AA138" s="7"/>
      <c r="AB138" s="7"/>
      <c r="AC138" s="7"/>
      <c r="AD138" s="7"/>
      <c r="AE138" s="7"/>
      <c r="AF138" s="7"/>
      <c r="AG138" s="7"/>
      <c r="AH138" s="7"/>
      <c r="AI138" s="7"/>
      <c r="AJ138" s="7"/>
      <c r="AK138" s="7"/>
      <c r="AL138" s="7"/>
      <c r="AM138" s="7"/>
      <c r="AN138" s="7"/>
      <c r="AS138" s="7"/>
      <c r="AT138" s="7"/>
      <c r="AU138" s="55"/>
      <c r="AV138" s="7"/>
      <c r="AW138" s="7"/>
      <c r="AX138" s="7"/>
      <c r="AY138" s="7"/>
      <c r="AZ138" s="7"/>
      <c r="BA138" s="7"/>
      <c r="BB138" s="7"/>
      <c r="BC138" s="7"/>
      <c r="BD138" s="14" t="s">
        <v>2218</v>
      </c>
      <c r="BE138" s="15" t="s">
        <v>2219</v>
      </c>
      <c r="BF138" s="11" t="s">
        <v>2220</v>
      </c>
      <c r="BG138" s="16" t="s">
        <v>27</v>
      </c>
      <c r="BH138" s="7"/>
      <c r="BI138" s="14" t="s">
        <v>2221</v>
      </c>
      <c r="BJ138" s="15" t="s">
        <v>2222</v>
      </c>
      <c r="BK138" s="44" t="s">
        <v>2223</v>
      </c>
      <c r="BL138" s="16" t="s">
        <v>27</v>
      </c>
      <c r="BM138" s="7"/>
      <c r="BN138" s="7"/>
      <c r="BO138" s="7"/>
      <c r="BP138" s="7"/>
      <c r="BQ138" s="7"/>
      <c r="BR138" s="7"/>
      <c r="BS138" s="7"/>
      <c r="BT138" s="7"/>
      <c r="BU138" s="7"/>
      <c r="BV138" s="7"/>
      <c r="BW138" s="7"/>
      <c r="BX138" s="7"/>
      <c r="BY138" s="7"/>
      <c r="BZ138" s="41"/>
      <c r="CA138" s="7"/>
      <c r="CB138" s="7"/>
      <c r="CC138" s="7"/>
      <c r="CD138" s="7"/>
      <c r="CE138" s="7"/>
      <c r="CF138" s="7"/>
    </row>
    <row r="139">
      <c r="A139" s="14" t="s">
        <v>2224</v>
      </c>
      <c r="B139" s="15" t="s">
        <v>2225</v>
      </c>
      <c r="C139" s="11" t="s">
        <v>2226</v>
      </c>
      <c r="D139" s="26" t="s">
        <v>27</v>
      </c>
      <c r="E139" s="7"/>
      <c r="F139" s="14"/>
      <c r="G139" s="44"/>
      <c r="H139" s="11"/>
      <c r="I139" s="27"/>
      <c r="J139" s="7"/>
      <c r="K139" s="14"/>
      <c r="L139" s="11"/>
      <c r="M139" s="19"/>
      <c r="N139" s="16"/>
      <c r="O139" s="7"/>
      <c r="P139" s="14"/>
      <c r="Q139" s="44"/>
      <c r="R139" s="7"/>
      <c r="S139" s="27"/>
      <c r="T139" s="7"/>
      <c r="U139" s="7"/>
      <c r="V139" s="7"/>
      <c r="W139" s="7"/>
      <c r="X139" s="7"/>
      <c r="Y139" s="7"/>
      <c r="Z139" s="7"/>
      <c r="AA139" s="7"/>
      <c r="AB139" s="7"/>
      <c r="AC139" s="7"/>
      <c r="AD139" s="7"/>
      <c r="AE139" s="7"/>
      <c r="AF139" s="7"/>
      <c r="AG139" s="7"/>
      <c r="AH139" s="7"/>
      <c r="AI139" s="7"/>
      <c r="AJ139" s="7"/>
      <c r="AK139" s="7"/>
      <c r="AL139" s="7"/>
      <c r="AM139" s="7"/>
      <c r="AN139" s="7"/>
      <c r="AS139" s="7"/>
      <c r="AT139" s="7"/>
      <c r="AU139" s="55"/>
      <c r="AV139" s="7"/>
      <c r="AW139" s="7"/>
      <c r="AX139" s="7"/>
      <c r="AY139" s="7"/>
      <c r="AZ139" s="7"/>
      <c r="BA139" s="7"/>
      <c r="BB139" s="7"/>
      <c r="BC139" s="7"/>
      <c r="BD139" s="14" t="s">
        <v>2227</v>
      </c>
      <c r="BE139" s="15" t="s">
        <v>2228</v>
      </c>
      <c r="BF139" s="11"/>
      <c r="BG139" s="16" t="s">
        <v>27</v>
      </c>
      <c r="BH139" s="7"/>
      <c r="BI139" s="14" t="s">
        <v>2229</v>
      </c>
      <c r="BJ139" s="15" t="s">
        <v>2230</v>
      </c>
      <c r="BK139" s="44" t="s">
        <v>1862</v>
      </c>
      <c r="BL139" s="16" t="s">
        <v>27</v>
      </c>
      <c r="BM139" s="7"/>
      <c r="BN139" s="7"/>
      <c r="BO139" s="7"/>
      <c r="BP139" s="7"/>
      <c r="BQ139" s="7"/>
      <c r="BR139" s="7"/>
      <c r="BS139" s="7"/>
      <c r="BT139" s="7"/>
      <c r="BU139" s="7"/>
      <c r="BV139" s="7"/>
      <c r="BW139" s="7"/>
      <c r="BX139" s="7"/>
      <c r="BY139" s="7"/>
      <c r="BZ139" s="41"/>
      <c r="CA139" s="7"/>
      <c r="CB139" s="7"/>
      <c r="CC139" s="7"/>
      <c r="CD139" s="7"/>
      <c r="CE139" s="7"/>
      <c r="CF139" s="7"/>
    </row>
    <row r="140">
      <c r="A140" s="14" t="s">
        <v>2231</v>
      </c>
      <c r="B140" s="15" t="s">
        <v>2232</v>
      </c>
      <c r="C140" s="11" t="s">
        <v>2233</v>
      </c>
      <c r="D140" s="26" t="s">
        <v>27</v>
      </c>
      <c r="E140" s="7"/>
      <c r="F140" s="14"/>
      <c r="G140" s="44"/>
      <c r="H140" s="11"/>
      <c r="I140" s="27"/>
      <c r="J140" s="7"/>
      <c r="K140" s="14"/>
      <c r="L140" s="11"/>
      <c r="M140" s="19"/>
      <c r="N140" s="16"/>
      <c r="O140" s="7"/>
      <c r="P140" s="14"/>
      <c r="Q140" s="44"/>
      <c r="R140" s="7"/>
      <c r="S140" s="27"/>
      <c r="T140" s="7"/>
      <c r="U140" s="7"/>
      <c r="V140" s="7"/>
      <c r="W140" s="7"/>
      <c r="X140" s="7"/>
      <c r="Y140" s="7"/>
      <c r="Z140" s="7"/>
      <c r="AA140" s="7"/>
      <c r="AB140" s="7"/>
      <c r="AC140" s="7"/>
      <c r="AD140" s="7"/>
      <c r="AE140" s="7"/>
      <c r="AF140" s="7"/>
      <c r="AG140" s="7"/>
      <c r="AH140" s="7"/>
      <c r="AI140" s="7"/>
      <c r="AJ140" s="7"/>
      <c r="AK140" s="7"/>
      <c r="AL140" s="7"/>
      <c r="AM140" s="7"/>
      <c r="AN140" s="7"/>
      <c r="AS140" s="7"/>
      <c r="AT140" s="7"/>
      <c r="AU140" s="55"/>
      <c r="AV140" s="7"/>
      <c r="AW140" s="7"/>
      <c r="AX140" s="7"/>
      <c r="AY140" s="7"/>
      <c r="AZ140" s="7"/>
      <c r="BA140" s="7"/>
      <c r="BB140" s="7"/>
      <c r="BC140" s="7"/>
      <c r="BD140" s="14" t="s">
        <v>2234</v>
      </c>
      <c r="BE140" s="15" t="s">
        <v>2235</v>
      </c>
      <c r="BF140" s="11"/>
      <c r="BG140" s="16" t="s">
        <v>27</v>
      </c>
      <c r="BH140" s="7"/>
      <c r="BI140" s="14" t="s">
        <v>2236</v>
      </c>
      <c r="BJ140" s="15" t="s">
        <v>2237</v>
      </c>
      <c r="BK140" s="44"/>
      <c r="BL140" s="16" t="s">
        <v>27</v>
      </c>
      <c r="BM140" s="7"/>
      <c r="BN140" s="7"/>
      <c r="BO140" s="7"/>
      <c r="BP140" s="7"/>
      <c r="BQ140" s="7"/>
      <c r="BR140" s="7"/>
      <c r="BS140" s="7"/>
      <c r="BT140" s="7"/>
      <c r="BU140" s="7"/>
      <c r="BV140" s="7"/>
      <c r="BW140" s="7"/>
      <c r="BX140" s="7"/>
      <c r="BY140" s="7"/>
      <c r="BZ140" s="41"/>
      <c r="CA140" s="7"/>
      <c r="CB140" s="7"/>
      <c r="CC140" s="7"/>
      <c r="CD140" s="7"/>
      <c r="CE140" s="7"/>
      <c r="CF140" s="7"/>
    </row>
    <row r="141">
      <c r="A141" s="14" t="s">
        <v>2238</v>
      </c>
      <c r="B141" s="15" t="s">
        <v>2239</v>
      </c>
      <c r="C141" s="11" t="s">
        <v>2240</v>
      </c>
      <c r="D141" s="26" t="s">
        <v>27</v>
      </c>
      <c r="E141" s="7"/>
      <c r="F141" s="14"/>
      <c r="G141" s="44"/>
      <c r="H141" s="11"/>
      <c r="I141" s="27"/>
      <c r="J141" s="7"/>
      <c r="K141" s="14"/>
      <c r="L141" s="11"/>
      <c r="M141" s="19"/>
      <c r="N141" s="16"/>
      <c r="O141" s="7"/>
      <c r="P141" s="14"/>
      <c r="Q141" s="44"/>
      <c r="R141" s="7"/>
      <c r="S141" s="27"/>
      <c r="T141" s="7"/>
      <c r="U141" s="7"/>
      <c r="V141" s="7"/>
      <c r="W141" s="7"/>
      <c r="X141" s="7"/>
      <c r="Y141" s="7"/>
      <c r="Z141" s="7"/>
      <c r="AA141" s="7"/>
      <c r="AB141" s="7"/>
      <c r="AC141" s="7"/>
      <c r="AD141" s="7"/>
      <c r="AE141" s="7"/>
      <c r="AF141" s="7"/>
      <c r="AG141" s="7"/>
      <c r="AH141" s="7"/>
      <c r="AI141" s="7"/>
      <c r="AJ141" s="7"/>
      <c r="AK141" s="7"/>
      <c r="AL141" s="7"/>
      <c r="AM141" s="7"/>
      <c r="AN141" s="7"/>
      <c r="AS141" s="7"/>
      <c r="AT141" s="7"/>
      <c r="AU141" s="55"/>
      <c r="AV141" s="7"/>
      <c r="AW141" s="7"/>
      <c r="AX141" s="7"/>
      <c r="AY141" s="7"/>
      <c r="AZ141" s="7"/>
      <c r="BA141" s="7"/>
      <c r="BB141" s="7"/>
      <c r="BC141" s="7"/>
      <c r="BD141" s="14" t="s">
        <v>2241</v>
      </c>
      <c r="BE141" s="15" t="s">
        <v>2242</v>
      </c>
      <c r="BF141" s="11" t="s">
        <v>2243</v>
      </c>
      <c r="BG141" s="16" t="s">
        <v>27</v>
      </c>
      <c r="BH141" s="7"/>
      <c r="BI141" s="14" t="s">
        <v>2244</v>
      </c>
      <c r="BJ141" s="15" t="s">
        <v>2245</v>
      </c>
      <c r="BK141" s="44"/>
      <c r="BL141" s="16" t="s">
        <v>27</v>
      </c>
      <c r="BM141" s="7"/>
      <c r="BN141" s="7"/>
      <c r="BO141" s="7"/>
      <c r="BP141" s="7"/>
      <c r="BQ141" s="7"/>
      <c r="BR141" s="7"/>
      <c r="BS141" s="7"/>
      <c r="BT141" s="7"/>
      <c r="BU141" s="7"/>
      <c r="BV141" s="7"/>
      <c r="BW141" s="7"/>
      <c r="BX141" s="7"/>
      <c r="BY141" s="7"/>
      <c r="BZ141" s="41"/>
      <c r="CA141" s="7"/>
      <c r="CB141" s="7"/>
      <c r="CC141" s="7"/>
      <c r="CD141" s="7"/>
      <c r="CE141" s="7"/>
      <c r="CF141" s="7"/>
    </row>
    <row r="142">
      <c r="A142" s="14" t="s">
        <v>2246</v>
      </c>
      <c r="B142" s="15" t="s">
        <v>2247</v>
      </c>
      <c r="C142" s="11"/>
      <c r="D142" s="26" t="s">
        <v>27</v>
      </c>
      <c r="E142" s="7"/>
      <c r="F142" s="14"/>
      <c r="G142" s="44"/>
      <c r="H142" s="11"/>
      <c r="I142" s="27"/>
      <c r="J142" s="7"/>
      <c r="K142" s="14"/>
      <c r="L142" s="11"/>
      <c r="M142" s="19"/>
      <c r="N142" s="16"/>
      <c r="O142" s="7"/>
      <c r="P142" s="14"/>
      <c r="Q142" s="44"/>
      <c r="R142" s="7"/>
      <c r="S142" s="27"/>
      <c r="T142" s="7"/>
      <c r="U142" s="7"/>
      <c r="V142" s="7"/>
      <c r="W142" s="7"/>
      <c r="X142" s="7"/>
      <c r="Y142" s="7"/>
      <c r="Z142" s="7"/>
      <c r="AA142" s="7"/>
      <c r="AB142" s="7"/>
      <c r="AC142" s="7"/>
      <c r="AD142" s="7"/>
      <c r="AE142" s="7"/>
      <c r="AF142" s="7"/>
      <c r="AG142" s="7"/>
      <c r="AH142" s="7"/>
      <c r="AI142" s="7"/>
      <c r="AJ142" s="7"/>
      <c r="AK142" s="7"/>
      <c r="AL142" s="7"/>
      <c r="AM142" s="7"/>
      <c r="AN142" s="7"/>
      <c r="AS142" s="7"/>
      <c r="AT142" s="7"/>
      <c r="AU142" s="55"/>
      <c r="AV142" s="7"/>
      <c r="AW142" s="7"/>
      <c r="AX142" s="7"/>
      <c r="AY142" s="7"/>
      <c r="AZ142" s="7"/>
      <c r="BA142" s="7"/>
      <c r="BB142" s="7"/>
      <c r="BC142" s="7"/>
      <c r="BD142" s="14" t="s">
        <v>2248</v>
      </c>
      <c r="BE142" s="15" t="s">
        <v>2249</v>
      </c>
      <c r="BF142" s="11" t="s">
        <v>2250</v>
      </c>
      <c r="BG142" s="16" t="s">
        <v>27</v>
      </c>
      <c r="BH142" s="7"/>
      <c r="BI142" s="14" t="s">
        <v>2251</v>
      </c>
      <c r="BJ142" s="15" t="s">
        <v>2252</v>
      </c>
      <c r="BK142" s="44" t="s">
        <v>2253</v>
      </c>
      <c r="BL142" s="16" t="s">
        <v>27</v>
      </c>
      <c r="BM142" s="7"/>
      <c r="BN142" s="7"/>
      <c r="BO142" s="7"/>
      <c r="BP142" s="7"/>
      <c r="BQ142" s="7"/>
      <c r="BR142" s="7"/>
      <c r="BS142" s="7"/>
      <c r="BT142" s="7"/>
      <c r="BU142" s="7"/>
      <c r="BV142" s="7"/>
      <c r="BW142" s="7"/>
      <c r="BX142" s="7"/>
      <c r="BY142" s="7"/>
      <c r="BZ142" s="41"/>
      <c r="CA142" s="7"/>
      <c r="CB142" s="7"/>
      <c r="CC142" s="7"/>
      <c r="CD142" s="7"/>
      <c r="CE142" s="7"/>
      <c r="CF142" s="7"/>
    </row>
    <row r="143">
      <c r="A143" s="14" t="s">
        <v>2254</v>
      </c>
      <c r="B143" s="15" t="s">
        <v>2255</v>
      </c>
      <c r="C143" s="11"/>
      <c r="D143" s="26" t="s">
        <v>27</v>
      </c>
      <c r="E143" s="7"/>
      <c r="F143" s="14"/>
      <c r="G143" s="44"/>
      <c r="H143" s="11"/>
      <c r="I143" s="27"/>
      <c r="J143" s="7"/>
      <c r="K143" s="14"/>
      <c r="L143" s="11"/>
      <c r="M143" s="19"/>
      <c r="N143" s="16"/>
      <c r="O143" s="7"/>
      <c r="P143" s="14"/>
      <c r="Q143" s="44"/>
      <c r="R143" s="7"/>
      <c r="S143" s="27"/>
      <c r="T143" s="7"/>
      <c r="U143" s="7"/>
      <c r="V143" s="7"/>
      <c r="W143" s="7"/>
      <c r="X143" s="7"/>
      <c r="Y143" s="7"/>
      <c r="Z143" s="7"/>
      <c r="AA143" s="7"/>
      <c r="AB143" s="7"/>
      <c r="AC143" s="7"/>
      <c r="AD143" s="7"/>
      <c r="AE143" s="7"/>
      <c r="AF143" s="7"/>
      <c r="AG143" s="7"/>
      <c r="AH143" s="7"/>
      <c r="AI143" s="7"/>
      <c r="AJ143" s="7"/>
      <c r="AK143" s="7"/>
      <c r="AL143" s="7"/>
      <c r="AM143" s="7"/>
      <c r="AN143" s="7"/>
      <c r="AS143" s="7"/>
      <c r="AT143" s="7"/>
      <c r="AU143" s="55"/>
      <c r="AV143" s="7"/>
      <c r="AW143" s="7"/>
      <c r="AX143" s="7"/>
      <c r="AY143" s="7"/>
      <c r="AZ143" s="7"/>
      <c r="BA143" s="7"/>
      <c r="BB143" s="7"/>
      <c r="BC143" s="7"/>
      <c r="BD143" s="14" t="s">
        <v>2256</v>
      </c>
      <c r="BE143" s="15" t="s">
        <v>2257</v>
      </c>
      <c r="BF143" s="11" t="s">
        <v>2258</v>
      </c>
      <c r="BG143" s="16" t="s">
        <v>27</v>
      </c>
      <c r="BH143" s="7"/>
      <c r="BI143" s="14" t="s">
        <v>2259</v>
      </c>
      <c r="BJ143" s="15" t="s">
        <v>2260</v>
      </c>
      <c r="BK143" s="44" t="s">
        <v>2261</v>
      </c>
      <c r="BL143" s="16" t="s">
        <v>27</v>
      </c>
      <c r="BM143" s="7"/>
      <c r="BN143" s="7"/>
      <c r="BO143" s="7"/>
      <c r="BP143" s="7"/>
      <c r="BQ143" s="7"/>
      <c r="BR143" s="7"/>
      <c r="BS143" s="7"/>
      <c r="BT143" s="7"/>
      <c r="BU143" s="7"/>
      <c r="BV143" s="7"/>
      <c r="BW143" s="7"/>
      <c r="BX143" s="7"/>
      <c r="BY143" s="7"/>
      <c r="BZ143" s="41"/>
      <c r="CA143" s="7"/>
      <c r="CB143" s="7"/>
      <c r="CC143" s="7"/>
      <c r="CD143" s="7"/>
      <c r="CE143" s="7"/>
      <c r="CF143" s="7"/>
    </row>
    <row r="144">
      <c r="A144" s="14" t="s">
        <v>2262</v>
      </c>
      <c r="B144" s="15" t="s">
        <v>2263</v>
      </c>
      <c r="C144" s="11" t="s">
        <v>2264</v>
      </c>
      <c r="D144" s="26" t="s">
        <v>33</v>
      </c>
      <c r="E144" s="7"/>
      <c r="F144" s="14"/>
      <c r="G144" s="44"/>
      <c r="H144" s="11"/>
      <c r="I144" s="27"/>
      <c r="J144" s="7"/>
      <c r="K144" s="14"/>
      <c r="L144" s="11"/>
      <c r="M144" s="19"/>
      <c r="N144" s="16"/>
      <c r="O144" s="7"/>
      <c r="P144" s="14"/>
      <c r="Q144" s="44"/>
      <c r="R144" s="7"/>
      <c r="S144" s="27"/>
      <c r="T144" s="7"/>
      <c r="U144" s="7"/>
      <c r="V144" s="7"/>
      <c r="W144" s="7"/>
      <c r="X144" s="7"/>
      <c r="Y144" s="7"/>
      <c r="Z144" s="7"/>
      <c r="AA144" s="7"/>
      <c r="AB144" s="7"/>
      <c r="AC144" s="7"/>
      <c r="AD144" s="7"/>
      <c r="AE144" s="7"/>
      <c r="AF144" s="7"/>
      <c r="AG144" s="7"/>
      <c r="AH144" s="7"/>
      <c r="AI144" s="7"/>
      <c r="AJ144" s="7"/>
      <c r="AK144" s="7"/>
      <c r="AL144" s="7"/>
      <c r="AM144" s="7"/>
      <c r="AN144" s="7"/>
      <c r="AS144" s="7"/>
      <c r="AT144" s="7"/>
      <c r="AU144" s="55"/>
      <c r="AV144" s="7"/>
      <c r="AW144" s="7"/>
      <c r="AX144" s="7"/>
      <c r="AY144" s="7"/>
      <c r="AZ144" s="7"/>
      <c r="BA144" s="7"/>
      <c r="BB144" s="7"/>
      <c r="BC144" s="7"/>
      <c r="BD144" s="14" t="s">
        <v>2265</v>
      </c>
      <c r="BE144" s="15" t="s">
        <v>2266</v>
      </c>
      <c r="BF144" s="11" t="s">
        <v>2267</v>
      </c>
      <c r="BG144" s="16" t="s">
        <v>27</v>
      </c>
      <c r="BH144" s="7"/>
      <c r="BI144" s="14" t="s">
        <v>2268</v>
      </c>
      <c r="BJ144" s="15" t="s">
        <v>2269</v>
      </c>
      <c r="BK144" s="44" t="s">
        <v>2270</v>
      </c>
      <c r="BL144" s="16" t="s">
        <v>27</v>
      </c>
      <c r="BM144" s="7"/>
      <c r="BN144" s="7"/>
      <c r="BO144" s="7"/>
      <c r="BP144" s="7"/>
      <c r="BQ144" s="7"/>
      <c r="BR144" s="7"/>
      <c r="BS144" s="7"/>
      <c r="BT144" s="7"/>
      <c r="BU144" s="7"/>
      <c r="BV144" s="7"/>
      <c r="BW144" s="7"/>
      <c r="BX144" s="7"/>
      <c r="BY144" s="7"/>
      <c r="BZ144" s="41"/>
      <c r="CA144" s="7"/>
      <c r="CB144" s="7"/>
      <c r="CC144" s="7"/>
      <c r="CD144" s="7"/>
      <c r="CE144" s="7"/>
      <c r="CF144" s="7"/>
    </row>
    <row r="145">
      <c r="A145" s="14" t="s">
        <v>2271</v>
      </c>
      <c r="B145" s="15" t="s">
        <v>2272</v>
      </c>
      <c r="C145" s="11" t="s">
        <v>2273</v>
      </c>
      <c r="D145" s="26" t="s">
        <v>33</v>
      </c>
      <c r="E145" s="7"/>
      <c r="F145" s="14"/>
      <c r="G145" s="44"/>
      <c r="H145" s="11"/>
      <c r="I145" s="27"/>
      <c r="J145" s="7"/>
      <c r="K145" s="14"/>
      <c r="L145" s="11"/>
      <c r="M145" s="19"/>
      <c r="N145" s="16"/>
      <c r="O145" s="7"/>
      <c r="P145" s="14"/>
      <c r="Q145" s="44"/>
      <c r="R145" s="7"/>
      <c r="S145" s="27"/>
      <c r="T145" s="7"/>
      <c r="U145" s="7"/>
      <c r="V145" s="7"/>
      <c r="W145" s="7"/>
      <c r="X145" s="7"/>
      <c r="Y145" s="7"/>
      <c r="Z145" s="7"/>
      <c r="AA145" s="7"/>
      <c r="AB145" s="7"/>
      <c r="AC145" s="7"/>
      <c r="AD145" s="7"/>
      <c r="AE145" s="7"/>
      <c r="AF145" s="7"/>
      <c r="AG145" s="7"/>
      <c r="AH145" s="7"/>
      <c r="AI145" s="7"/>
      <c r="AJ145" s="7"/>
      <c r="AK145" s="7"/>
      <c r="AL145" s="7"/>
      <c r="AM145" s="7"/>
      <c r="AN145" s="7"/>
      <c r="AS145" s="7"/>
      <c r="AT145" s="7"/>
      <c r="AU145" s="55"/>
      <c r="AV145" s="7"/>
      <c r="AW145" s="7"/>
      <c r="AX145" s="7"/>
      <c r="AY145" s="7"/>
      <c r="AZ145" s="7"/>
      <c r="BA145" s="7"/>
      <c r="BB145" s="7"/>
      <c r="BC145" s="7"/>
      <c r="BD145" s="14" t="s">
        <v>2274</v>
      </c>
      <c r="BE145" s="15" t="s">
        <v>2275</v>
      </c>
      <c r="BF145" s="11" t="s">
        <v>2276</v>
      </c>
      <c r="BG145" s="16" t="s">
        <v>27</v>
      </c>
      <c r="BH145" s="7"/>
      <c r="BI145" s="14" t="s">
        <v>2277</v>
      </c>
      <c r="BJ145" s="15" t="s">
        <v>2278</v>
      </c>
      <c r="BK145" s="44" t="s">
        <v>2279</v>
      </c>
      <c r="BL145" s="16" t="s">
        <v>27</v>
      </c>
      <c r="BM145" s="7"/>
      <c r="BN145" s="7"/>
      <c r="BO145" s="7"/>
      <c r="BP145" s="7"/>
      <c r="BQ145" s="7"/>
      <c r="BR145" s="7"/>
      <c r="BS145" s="7"/>
      <c r="BT145" s="7"/>
      <c r="BU145" s="7"/>
      <c r="BV145" s="7"/>
      <c r="BW145" s="7"/>
      <c r="BX145" s="7"/>
      <c r="BY145" s="7"/>
      <c r="BZ145" s="41"/>
      <c r="CA145" s="7"/>
      <c r="CB145" s="7"/>
      <c r="CC145" s="7"/>
      <c r="CD145" s="7"/>
      <c r="CE145" s="7"/>
      <c r="CF145" s="7"/>
    </row>
    <row r="146">
      <c r="A146" s="14" t="s">
        <v>2280</v>
      </c>
      <c r="B146" s="15" t="s">
        <v>2281</v>
      </c>
      <c r="C146" s="11"/>
      <c r="D146" s="26" t="s">
        <v>27</v>
      </c>
      <c r="E146" s="7"/>
      <c r="F146" s="14"/>
      <c r="G146" s="44"/>
      <c r="H146" s="11"/>
      <c r="I146" s="27"/>
      <c r="J146" s="7"/>
      <c r="K146" s="14"/>
      <c r="L146" s="11"/>
      <c r="M146" s="19"/>
      <c r="N146" s="16"/>
      <c r="O146" s="7"/>
      <c r="P146" s="14"/>
      <c r="Q146" s="44"/>
      <c r="R146" s="7"/>
      <c r="S146" s="27"/>
      <c r="T146" s="7"/>
      <c r="U146" s="7"/>
      <c r="V146" s="7"/>
      <c r="W146" s="7"/>
      <c r="X146" s="7"/>
      <c r="Y146" s="7"/>
      <c r="Z146" s="7"/>
      <c r="AA146" s="7"/>
      <c r="AB146" s="7"/>
      <c r="AC146" s="7"/>
      <c r="AD146" s="7"/>
      <c r="AE146" s="7"/>
      <c r="AF146" s="7"/>
      <c r="AG146" s="7"/>
      <c r="AH146" s="7"/>
      <c r="AI146" s="7"/>
      <c r="AJ146" s="7"/>
      <c r="AK146" s="7"/>
      <c r="AL146" s="7"/>
      <c r="AM146" s="7"/>
      <c r="AN146" s="7"/>
      <c r="AS146" s="7"/>
      <c r="AT146" s="7"/>
      <c r="AU146" s="55"/>
      <c r="AV146" s="7"/>
      <c r="AW146" s="7"/>
      <c r="AX146" s="7"/>
      <c r="AY146" s="7"/>
      <c r="AZ146" s="7"/>
      <c r="BA146" s="7"/>
      <c r="BB146" s="7"/>
      <c r="BC146" s="7"/>
      <c r="BD146" s="14" t="s">
        <v>2282</v>
      </c>
      <c r="BE146" s="15" t="s">
        <v>2283</v>
      </c>
      <c r="BF146" s="11" t="s">
        <v>2284</v>
      </c>
      <c r="BG146" s="16" t="s">
        <v>27</v>
      </c>
      <c r="BH146" s="7"/>
      <c r="BI146" s="14" t="s">
        <v>2285</v>
      </c>
      <c r="BJ146" s="15" t="s">
        <v>2286</v>
      </c>
      <c r="BK146" s="44"/>
      <c r="BL146" s="16" t="s">
        <v>27</v>
      </c>
      <c r="BM146" s="7"/>
      <c r="BN146" s="7"/>
      <c r="BO146" s="7"/>
      <c r="BP146" s="7"/>
      <c r="BQ146" s="7"/>
      <c r="BR146" s="7"/>
      <c r="BS146" s="7"/>
      <c r="BT146" s="7"/>
      <c r="BU146" s="7"/>
      <c r="BV146" s="7"/>
      <c r="BW146" s="7"/>
      <c r="BX146" s="7"/>
      <c r="BY146" s="7"/>
      <c r="BZ146" s="41"/>
      <c r="CA146" s="7"/>
      <c r="CB146" s="7"/>
      <c r="CC146" s="7"/>
      <c r="CD146" s="7"/>
      <c r="CE146" s="7"/>
      <c r="CF146" s="7"/>
    </row>
    <row r="147">
      <c r="A147" s="14" t="s">
        <v>2287</v>
      </c>
      <c r="B147" s="15" t="s">
        <v>2288</v>
      </c>
      <c r="C147" s="11"/>
      <c r="D147" s="26" t="s">
        <v>27</v>
      </c>
      <c r="E147" s="7"/>
      <c r="F147" s="14"/>
      <c r="G147" s="44"/>
      <c r="H147" s="11"/>
      <c r="I147" s="27"/>
      <c r="J147" s="7"/>
      <c r="K147" s="14"/>
      <c r="L147" s="11"/>
      <c r="M147" s="19"/>
      <c r="N147" s="16"/>
      <c r="O147" s="7"/>
      <c r="P147" s="14"/>
      <c r="Q147" s="44"/>
      <c r="R147" s="7"/>
      <c r="S147" s="27"/>
      <c r="T147" s="7"/>
      <c r="U147" s="7"/>
      <c r="V147" s="7"/>
      <c r="W147" s="7"/>
      <c r="X147" s="7"/>
      <c r="Y147" s="7"/>
      <c r="Z147" s="7"/>
      <c r="AA147" s="7"/>
      <c r="AB147" s="7"/>
      <c r="AC147" s="7"/>
      <c r="AD147" s="7"/>
      <c r="AE147" s="7"/>
      <c r="AF147" s="7"/>
      <c r="AG147" s="7"/>
      <c r="AH147" s="7"/>
      <c r="AI147" s="7"/>
      <c r="AJ147" s="7"/>
      <c r="AK147" s="7"/>
      <c r="AL147" s="7"/>
      <c r="AM147" s="7"/>
      <c r="AN147" s="7"/>
      <c r="AS147" s="7"/>
      <c r="AT147" s="7"/>
      <c r="AU147" s="55"/>
      <c r="AV147" s="7"/>
      <c r="AW147" s="7"/>
      <c r="AX147" s="7"/>
      <c r="AY147" s="7"/>
      <c r="AZ147" s="7"/>
      <c r="BA147" s="7"/>
      <c r="BB147" s="7"/>
      <c r="BC147" s="7"/>
      <c r="BD147" s="14" t="s">
        <v>2289</v>
      </c>
      <c r="BE147" s="15" t="s">
        <v>2290</v>
      </c>
      <c r="BF147" s="11" t="s">
        <v>2291</v>
      </c>
      <c r="BG147" s="16" t="s">
        <v>27</v>
      </c>
      <c r="BH147" s="7"/>
      <c r="BI147" s="14" t="s">
        <v>2292</v>
      </c>
      <c r="BJ147" s="15" t="s">
        <v>2293</v>
      </c>
      <c r="BK147" s="44" t="s">
        <v>2294</v>
      </c>
      <c r="BL147" s="16" t="s">
        <v>27</v>
      </c>
      <c r="BM147" s="7"/>
      <c r="BN147" s="7"/>
      <c r="BO147" s="7"/>
      <c r="BP147" s="7"/>
      <c r="BQ147" s="7"/>
      <c r="BR147" s="7"/>
      <c r="BS147" s="7"/>
      <c r="BT147" s="7"/>
      <c r="BU147" s="7"/>
      <c r="BV147" s="7"/>
      <c r="BW147" s="7"/>
      <c r="BX147" s="7"/>
      <c r="BY147" s="7"/>
      <c r="BZ147" s="41"/>
      <c r="CA147" s="7"/>
      <c r="CB147" s="7"/>
      <c r="CC147" s="7"/>
      <c r="CD147" s="7"/>
      <c r="CE147" s="7"/>
      <c r="CF147" s="7"/>
    </row>
    <row r="148">
      <c r="A148" s="14" t="s">
        <v>2295</v>
      </c>
      <c r="B148" s="15" t="s">
        <v>2296</v>
      </c>
      <c r="C148" s="11"/>
      <c r="D148" s="26" t="s">
        <v>27</v>
      </c>
      <c r="E148" s="7"/>
      <c r="F148" s="14"/>
      <c r="G148" s="44"/>
      <c r="H148" s="11"/>
      <c r="I148" s="27"/>
      <c r="J148" s="7"/>
      <c r="K148" s="14"/>
      <c r="L148" s="11"/>
      <c r="M148" s="19"/>
      <c r="N148" s="16"/>
      <c r="O148" s="7"/>
      <c r="P148" s="14"/>
      <c r="Q148" s="44"/>
      <c r="R148" s="7"/>
      <c r="S148" s="27"/>
      <c r="T148" s="7"/>
      <c r="U148" s="7"/>
      <c r="V148" s="7"/>
      <c r="W148" s="7"/>
      <c r="X148" s="7"/>
      <c r="Y148" s="7"/>
      <c r="Z148" s="7"/>
      <c r="AA148" s="7"/>
      <c r="AB148" s="7"/>
      <c r="AC148" s="7"/>
      <c r="AD148" s="7"/>
      <c r="AE148" s="7"/>
      <c r="AF148" s="7"/>
      <c r="AG148" s="7"/>
      <c r="AH148" s="7"/>
      <c r="AI148" s="7"/>
      <c r="AJ148" s="7"/>
      <c r="AK148" s="7"/>
      <c r="AL148" s="7"/>
      <c r="AM148" s="7"/>
      <c r="AN148" s="7"/>
      <c r="AS148" s="7"/>
      <c r="AT148" s="7"/>
      <c r="AU148" s="55"/>
      <c r="AV148" s="7"/>
      <c r="AW148" s="7"/>
      <c r="AX148" s="7"/>
      <c r="AY148" s="7"/>
      <c r="AZ148" s="7"/>
      <c r="BA148" s="7"/>
      <c r="BB148" s="7"/>
      <c r="BC148" s="7"/>
      <c r="BD148" s="14" t="s">
        <v>2297</v>
      </c>
      <c r="BE148" s="15" t="s">
        <v>2298</v>
      </c>
      <c r="BF148" s="11" t="s">
        <v>2299</v>
      </c>
      <c r="BG148" s="16" t="s">
        <v>27</v>
      </c>
      <c r="BH148" s="7"/>
      <c r="BI148" s="14" t="s">
        <v>2300</v>
      </c>
      <c r="BJ148" s="15" t="s">
        <v>2301</v>
      </c>
      <c r="BK148" s="44" t="s">
        <v>2302</v>
      </c>
      <c r="BL148" s="16" t="s">
        <v>27</v>
      </c>
      <c r="BM148" s="7"/>
      <c r="BN148" s="7"/>
      <c r="BO148" s="7"/>
      <c r="BP148" s="7"/>
      <c r="BQ148" s="7"/>
      <c r="BR148" s="7"/>
      <c r="BS148" s="7"/>
      <c r="BT148" s="7"/>
      <c r="BU148" s="7"/>
      <c r="BV148" s="7"/>
      <c r="BW148" s="7"/>
      <c r="BX148" s="7"/>
      <c r="BY148" s="7"/>
      <c r="BZ148" s="41"/>
      <c r="CA148" s="7"/>
      <c r="CB148" s="7"/>
      <c r="CC148" s="7"/>
      <c r="CD148" s="7"/>
      <c r="CE148" s="7"/>
      <c r="CF148" s="7"/>
    </row>
    <row r="149">
      <c r="A149" s="14" t="s">
        <v>2303</v>
      </c>
      <c r="B149" s="15" t="s">
        <v>2304</v>
      </c>
      <c r="C149" s="11" t="s">
        <v>2305</v>
      </c>
      <c r="D149" s="26" t="s">
        <v>27</v>
      </c>
      <c r="E149" s="7"/>
      <c r="F149" s="14"/>
      <c r="G149" s="44"/>
      <c r="H149" s="11"/>
      <c r="I149" s="27"/>
      <c r="J149" s="7"/>
      <c r="K149" s="14"/>
      <c r="L149" s="11"/>
      <c r="M149" s="19"/>
      <c r="N149" s="16"/>
      <c r="O149" s="7"/>
      <c r="P149" s="14"/>
      <c r="Q149" s="44"/>
      <c r="R149" s="7"/>
      <c r="S149" s="27"/>
      <c r="T149" s="7"/>
      <c r="U149" s="7"/>
      <c r="V149" s="7"/>
      <c r="W149" s="7"/>
      <c r="X149" s="7"/>
      <c r="Y149" s="7"/>
      <c r="Z149" s="7"/>
      <c r="AA149" s="7"/>
      <c r="AB149" s="7"/>
      <c r="AC149" s="7"/>
      <c r="AD149" s="7"/>
      <c r="AE149" s="7"/>
      <c r="AF149" s="7"/>
      <c r="AG149" s="7"/>
      <c r="AH149" s="7"/>
      <c r="AI149" s="7"/>
      <c r="AJ149" s="7"/>
      <c r="AK149" s="7"/>
      <c r="AL149" s="7"/>
      <c r="AM149" s="7"/>
      <c r="AN149" s="7"/>
      <c r="AS149" s="7"/>
      <c r="AT149" s="7"/>
      <c r="AU149" s="55"/>
      <c r="AV149" s="7"/>
      <c r="AW149" s="7"/>
      <c r="AX149" s="7"/>
      <c r="AY149" s="7"/>
      <c r="AZ149" s="7"/>
      <c r="BA149" s="7"/>
      <c r="BB149" s="7"/>
      <c r="BC149" s="7"/>
      <c r="BD149" s="14" t="s">
        <v>2306</v>
      </c>
      <c r="BE149" s="15" t="s">
        <v>2307</v>
      </c>
      <c r="BF149" s="11"/>
      <c r="BG149" s="16" t="s">
        <v>136</v>
      </c>
      <c r="BH149" s="7"/>
      <c r="BI149" s="14" t="s">
        <v>2308</v>
      </c>
      <c r="BJ149" s="15" t="s">
        <v>2309</v>
      </c>
      <c r="BK149" s="44" t="s">
        <v>2310</v>
      </c>
      <c r="BL149" s="16" t="s">
        <v>27</v>
      </c>
      <c r="BM149" s="7"/>
      <c r="BN149" s="7"/>
      <c r="BO149" s="7"/>
      <c r="BP149" s="7"/>
      <c r="BQ149" s="7"/>
      <c r="BR149" s="7"/>
      <c r="BS149" s="7"/>
      <c r="BT149" s="7"/>
      <c r="BU149" s="7"/>
      <c r="BV149" s="7"/>
      <c r="BW149" s="7"/>
      <c r="BX149" s="7"/>
      <c r="BY149" s="7"/>
      <c r="BZ149" s="41"/>
      <c r="CA149" s="7"/>
      <c r="CB149" s="7"/>
      <c r="CC149" s="7"/>
      <c r="CD149" s="7"/>
      <c r="CE149" s="7"/>
      <c r="CF149" s="7"/>
    </row>
    <row r="150">
      <c r="A150" s="50"/>
      <c r="B150" s="51" t="s">
        <v>1494</v>
      </c>
      <c r="C150" s="52"/>
      <c r="D150" s="53">
        <f>COUNTIF($D$3:$D$149,"consented")</f>
        <v>10</v>
      </c>
      <c r="E150" s="7"/>
      <c r="F150" s="50"/>
      <c r="G150" s="51" t="s">
        <v>1494</v>
      </c>
      <c r="H150" s="52"/>
      <c r="I150" s="53">
        <f>COUNTIF($I$3:$I$149,"consented")</f>
        <v>10</v>
      </c>
      <c r="J150" s="7"/>
      <c r="K150" s="50"/>
      <c r="L150" s="52" t="s">
        <v>1494</v>
      </c>
      <c r="M150" s="54"/>
      <c r="N150" s="53">
        <f>COUNTIF($N$3:$N$149,"consented")</f>
        <v>6</v>
      </c>
      <c r="O150" s="7"/>
      <c r="P150" s="50"/>
      <c r="Q150" s="51" t="s">
        <v>1494</v>
      </c>
      <c r="R150" s="54"/>
      <c r="S150" s="53">
        <f>COUNTIF($S$3:$S$149,"consented")</f>
        <v>7</v>
      </c>
      <c r="T150" s="7"/>
      <c r="U150" s="7"/>
      <c r="V150" s="7"/>
      <c r="W150" s="7"/>
      <c r="X150" s="7"/>
      <c r="Y150" s="7"/>
      <c r="Z150" s="7"/>
      <c r="AA150" s="7"/>
      <c r="AB150" s="7"/>
      <c r="AC150" s="7"/>
      <c r="AD150" s="7"/>
      <c r="AE150" s="7"/>
      <c r="AF150" s="7"/>
      <c r="AG150" s="7"/>
      <c r="AH150" s="7"/>
      <c r="AI150" s="7"/>
      <c r="AJ150" s="7"/>
      <c r="AK150" s="7"/>
      <c r="AL150" s="7"/>
      <c r="AM150" s="7"/>
      <c r="AN150" s="7"/>
      <c r="AS150" s="7"/>
      <c r="AT150" s="7"/>
      <c r="AU150" s="55"/>
      <c r="AV150" s="7"/>
      <c r="AW150" s="7"/>
      <c r="AX150" s="7"/>
      <c r="AY150" s="7"/>
      <c r="AZ150" s="7"/>
      <c r="BA150" s="7"/>
      <c r="BB150" s="7"/>
      <c r="BC150" s="7"/>
      <c r="BD150" s="14" t="s">
        <v>2311</v>
      </c>
      <c r="BE150" s="15" t="s">
        <v>2312</v>
      </c>
      <c r="BF150" s="11"/>
      <c r="BG150" s="16" t="s">
        <v>27</v>
      </c>
      <c r="BH150" s="7"/>
      <c r="BI150" s="14" t="s">
        <v>2313</v>
      </c>
      <c r="BJ150" s="15" t="s">
        <v>2314</v>
      </c>
      <c r="BK150" s="44" t="s">
        <v>2315</v>
      </c>
      <c r="BL150" s="16" t="s">
        <v>27</v>
      </c>
      <c r="BM150" s="7"/>
      <c r="BN150" s="7"/>
      <c r="BO150" s="7"/>
      <c r="BP150" s="7"/>
      <c r="BQ150" s="7"/>
      <c r="BR150" s="7"/>
      <c r="BS150" s="7"/>
      <c r="BT150" s="7"/>
      <c r="BU150" s="7"/>
      <c r="BV150" s="7"/>
      <c r="BW150" s="7"/>
      <c r="BX150" s="7"/>
      <c r="BY150" s="7"/>
      <c r="BZ150" s="41"/>
      <c r="CA150" s="7"/>
      <c r="CB150" s="7"/>
      <c r="CC150" s="7"/>
      <c r="CD150" s="7"/>
      <c r="CE150" s="7"/>
      <c r="CF150" s="7"/>
    </row>
    <row r="151" ht="60.0" customHeight="1">
      <c r="A151" s="7"/>
      <c r="B151" s="55"/>
      <c r="C151" s="7"/>
      <c r="D151" s="7"/>
      <c r="E151" s="7"/>
      <c r="F151" s="7"/>
      <c r="G151" s="55"/>
      <c r="H151" s="7"/>
      <c r="I151" s="7"/>
      <c r="J151" s="7"/>
      <c r="K151" s="7"/>
      <c r="L151" s="7"/>
      <c r="M151" s="7"/>
      <c r="N151" s="7"/>
      <c r="O151" s="7"/>
      <c r="P151" s="7"/>
      <c r="Q151" s="55"/>
      <c r="R151" s="7"/>
      <c r="S151" s="7"/>
      <c r="T151" s="7"/>
      <c r="U151" s="7"/>
      <c r="V151" s="7"/>
      <c r="W151" s="7"/>
      <c r="X151" s="7"/>
      <c r="Y151" s="7"/>
      <c r="Z151" s="7"/>
      <c r="AA151" s="7"/>
      <c r="AB151" s="7"/>
      <c r="AC151" s="7"/>
      <c r="AD151" s="7"/>
      <c r="AE151" s="7"/>
      <c r="AF151" s="7"/>
      <c r="AG151" s="7"/>
      <c r="AH151" s="7"/>
      <c r="AI151" s="7"/>
      <c r="AJ151" s="7"/>
      <c r="AK151" s="7"/>
      <c r="AL151" s="7"/>
      <c r="AM151" s="7"/>
      <c r="AN151" s="7"/>
      <c r="AS151" s="7"/>
      <c r="AT151" s="7"/>
      <c r="AU151" s="55"/>
      <c r="AV151" s="7"/>
      <c r="AW151" s="7"/>
      <c r="AX151" s="7"/>
      <c r="AY151" s="7"/>
      <c r="AZ151" s="7"/>
      <c r="BA151" s="7"/>
      <c r="BB151" s="7"/>
      <c r="BC151" s="7"/>
      <c r="BD151" s="14" t="s">
        <v>2316</v>
      </c>
      <c r="BE151" s="15" t="s">
        <v>2317</v>
      </c>
      <c r="BF151" s="11"/>
      <c r="BG151" s="16" t="s">
        <v>27</v>
      </c>
      <c r="BH151" s="7"/>
      <c r="BI151" s="14" t="s">
        <v>2318</v>
      </c>
      <c r="BJ151" s="15" t="s">
        <v>2319</v>
      </c>
      <c r="BK151" s="44"/>
      <c r="BL151" s="16" t="s">
        <v>27</v>
      </c>
      <c r="BM151" s="7"/>
      <c r="BN151" s="7"/>
      <c r="BO151" s="7"/>
      <c r="BP151" s="7"/>
      <c r="BQ151" s="7"/>
      <c r="BR151" s="7"/>
      <c r="BS151" s="7"/>
      <c r="BT151" s="7"/>
      <c r="BU151" s="7"/>
      <c r="BV151" s="7"/>
      <c r="BW151" s="7"/>
      <c r="BX151" s="7"/>
      <c r="BY151" s="7"/>
      <c r="BZ151" s="41"/>
      <c r="CA151" s="7"/>
      <c r="CB151" s="7"/>
      <c r="CC151" s="7"/>
      <c r="CD151" s="7"/>
      <c r="CE151" s="7"/>
      <c r="CF151" s="7"/>
    </row>
    <row r="152">
      <c r="T152" s="7"/>
      <c r="U152" s="7"/>
      <c r="V152" s="7"/>
      <c r="W152" s="7"/>
      <c r="X152" s="7"/>
      <c r="Y152" s="7"/>
      <c r="Z152" s="7"/>
      <c r="AA152" s="7"/>
      <c r="AB152" s="7"/>
      <c r="AC152" s="7"/>
      <c r="AD152" s="7"/>
      <c r="AE152" s="7"/>
      <c r="AF152" s="7"/>
      <c r="AG152" s="7"/>
      <c r="AH152" s="7"/>
      <c r="AI152" s="7"/>
      <c r="AJ152" s="7"/>
      <c r="AK152" s="7"/>
      <c r="AL152" s="7"/>
      <c r="AM152" s="7"/>
      <c r="AN152" s="7"/>
      <c r="AS152" s="7"/>
      <c r="AT152" s="7"/>
      <c r="AU152" s="55"/>
      <c r="AV152" s="7"/>
      <c r="AW152" s="7"/>
      <c r="AX152" s="7"/>
      <c r="AY152" s="7"/>
      <c r="AZ152" s="7"/>
      <c r="BA152" s="7"/>
      <c r="BB152" s="7"/>
      <c r="BC152" s="7"/>
      <c r="BD152" s="14" t="s">
        <v>2320</v>
      </c>
      <c r="BE152" s="15" t="s">
        <v>2321</v>
      </c>
      <c r="BF152" s="11"/>
      <c r="BG152" s="16" t="s">
        <v>136</v>
      </c>
      <c r="BH152" s="7"/>
      <c r="BI152" s="14" t="s">
        <v>2322</v>
      </c>
      <c r="BJ152" s="15" t="s">
        <v>2323</v>
      </c>
      <c r="BK152" s="44"/>
      <c r="BL152" s="16" t="s">
        <v>27</v>
      </c>
      <c r="BM152" s="7"/>
      <c r="BN152" s="7"/>
      <c r="BO152" s="7"/>
      <c r="BP152" s="7"/>
      <c r="BQ152" s="7"/>
      <c r="BR152" s="7"/>
      <c r="BS152" s="7"/>
      <c r="BT152" s="7"/>
      <c r="BU152" s="7"/>
      <c r="BV152" s="7"/>
      <c r="BW152" s="7"/>
      <c r="BX152" s="7"/>
      <c r="BY152" s="7"/>
      <c r="BZ152" s="41"/>
      <c r="CA152" s="7"/>
      <c r="CB152" s="7"/>
      <c r="CC152" s="7"/>
      <c r="CD152" s="7"/>
      <c r="CE152" s="7"/>
      <c r="CF152" s="7"/>
    </row>
    <row r="153">
      <c r="T153" s="7"/>
      <c r="U153" s="7"/>
      <c r="V153" s="7"/>
      <c r="W153" s="7"/>
      <c r="X153" s="7"/>
      <c r="Y153" s="7"/>
      <c r="Z153" s="7"/>
      <c r="AA153" s="7"/>
      <c r="AB153" s="7"/>
      <c r="AC153" s="7"/>
      <c r="AD153" s="7"/>
      <c r="AE153" s="7"/>
      <c r="AF153" s="7"/>
      <c r="AG153" s="7"/>
      <c r="AH153" s="7"/>
      <c r="AI153" s="7"/>
      <c r="AJ153" s="7"/>
      <c r="AK153" s="7"/>
      <c r="AL153" s="7"/>
      <c r="AM153" s="7"/>
      <c r="AN153" s="7"/>
      <c r="AS153" s="7"/>
      <c r="AT153" s="7"/>
      <c r="AU153" s="55"/>
      <c r="AV153" s="7"/>
      <c r="AW153" s="7"/>
      <c r="AX153" s="7"/>
      <c r="AY153" s="7"/>
      <c r="AZ153" s="7"/>
      <c r="BA153" s="7"/>
      <c r="BB153" s="7"/>
      <c r="BC153" s="7"/>
      <c r="BD153" s="14" t="s">
        <v>2324</v>
      </c>
      <c r="BE153" s="15" t="s">
        <v>2325</v>
      </c>
      <c r="BF153" s="11"/>
      <c r="BG153" s="16" t="s">
        <v>27</v>
      </c>
      <c r="BH153" s="7"/>
      <c r="BI153" s="14" t="s">
        <v>2326</v>
      </c>
      <c r="BJ153" s="15" t="s">
        <v>2327</v>
      </c>
      <c r="BK153" s="44" t="s">
        <v>2328</v>
      </c>
      <c r="BL153" s="16" t="s">
        <v>27</v>
      </c>
      <c r="BM153" s="7"/>
      <c r="BN153" s="7"/>
      <c r="BO153" s="7"/>
      <c r="BP153" s="7"/>
      <c r="BQ153" s="7"/>
      <c r="BR153" s="7"/>
      <c r="BS153" s="7"/>
      <c r="BT153" s="7"/>
      <c r="BU153" s="7"/>
      <c r="BV153" s="7"/>
      <c r="BW153" s="7"/>
      <c r="BX153" s="7"/>
      <c r="BY153" s="7"/>
      <c r="BZ153" s="41"/>
      <c r="CA153" s="7"/>
      <c r="CB153" s="7"/>
      <c r="CC153" s="7"/>
      <c r="CD153" s="7"/>
      <c r="CE153" s="7"/>
      <c r="CF153" s="7"/>
    </row>
    <row r="154">
      <c r="T154" s="7"/>
      <c r="U154" s="7"/>
      <c r="V154" s="7"/>
      <c r="W154" s="7"/>
      <c r="X154" s="7"/>
      <c r="Y154" s="7"/>
      <c r="Z154" s="7"/>
      <c r="AA154" s="7"/>
      <c r="AB154" s="7"/>
      <c r="AC154" s="7"/>
      <c r="AD154" s="7"/>
      <c r="AE154" s="7"/>
      <c r="AF154" s="7"/>
      <c r="AG154" s="7"/>
      <c r="AH154" s="7"/>
      <c r="AI154" s="7"/>
      <c r="AJ154" s="7"/>
      <c r="AK154" s="7"/>
      <c r="AL154" s="7"/>
      <c r="AM154" s="7"/>
      <c r="AN154" s="7"/>
      <c r="AS154" s="7"/>
      <c r="AT154" s="7"/>
      <c r="AU154" s="55"/>
      <c r="AV154" s="7"/>
      <c r="AW154" s="7"/>
      <c r="AX154" s="7"/>
      <c r="AY154" s="7"/>
      <c r="AZ154" s="7"/>
      <c r="BA154" s="7"/>
      <c r="BB154" s="7"/>
      <c r="BC154" s="7"/>
      <c r="BD154" s="14" t="s">
        <v>2329</v>
      </c>
      <c r="BE154" s="15" t="s">
        <v>2330</v>
      </c>
      <c r="BF154" s="11" t="s">
        <v>2331</v>
      </c>
      <c r="BG154" s="16" t="s">
        <v>27</v>
      </c>
      <c r="BH154" s="7"/>
      <c r="BI154" s="14" t="s">
        <v>2332</v>
      </c>
      <c r="BJ154" s="15" t="s">
        <v>2333</v>
      </c>
      <c r="BK154" s="44"/>
      <c r="BL154" s="16" t="s">
        <v>27</v>
      </c>
      <c r="BM154" s="7"/>
      <c r="BN154" s="7"/>
      <c r="BO154" s="7"/>
      <c r="BP154" s="7"/>
      <c r="BQ154" s="7"/>
      <c r="BR154" s="7"/>
      <c r="BS154" s="7"/>
      <c r="BT154" s="7"/>
      <c r="BU154" s="7"/>
      <c r="BV154" s="7"/>
      <c r="BW154" s="7"/>
      <c r="BX154" s="7"/>
      <c r="BY154" s="7"/>
      <c r="BZ154" s="41"/>
      <c r="CA154" s="7"/>
      <c r="CB154" s="7"/>
      <c r="CC154" s="7"/>
      <c r="CD154" s="7"/>
      <c r="CE154" s="7"/>
      <c r="CF154" s="7"/>
    </row>
    <row r="155">
      <c r="T155" s="7"/>
      <c r="U155" s="7"/>
      <c r="V155" s="7"/>
      <c r="W155" s="7"/>
      <c r="X155" s="7"/>
      <c r="Y155" s="7"/>
      <c r="Z155" s="7"/>
      <c r="AA155" s="7"/>
      <c r="AB155" s="7"/>
      <c r="AC155" s="7"/>
      <c r="AD155" s="7"/>
      <c r="AE155" s="7"/>
      <c r="AF155" s="7"/>
      <c r="AG155" s="7"/>
      <c r="AH155" s="7"/>
      <c r="AI155" s="7"/>
      <c r="AJ155" s="7"/>
      <c r="AK155" s="7"/>
      <c r="AL155" s="7"/>
      <c r="AM155" s="7"/>
      <c r="AN155" s="7"/>
      <c r="AS155" s="7"/>
      <c r="AT155" s="7"/>
      <c r="AU155" s="55"/>
      <c r="AV155" s="7"/>
      <c r="AW155" s="7"/>
      <c r="AX155" s="7"/>
      <c r="AY155" s="7"/>
      <c r="AZ155" s="7"/>
      <c r="BA155" s="7"/>
      <c r="BB155" s="7"/>
      <c r="BC155" s="7"/>
      <c r="BD155" s="14" t="s">
        <v>2334</v>
      </c>
      <c r="BE155" s="15" t="s">
        <v>2335</v>
      </c>
      <c r="BF155" s="11" t="s">
        <v>2336</v>
      </c>
      <c r="BG155" s="16" t="s">
        <v>27</v>
      </c>
      <c r="BH155" s="7"/>
      <c r="BI155" s="14" t="s">
        <v>2337</v>
      </c>
      <c r="BJ155" s="15" t="s">
        <v>2338</v>
      </c>
      <c r="BK155" s="44"/>
      <c r="BL155" s="16" t="s">
        <v>27</v>
      </c>
      <c r="BM155" s="7"/>
      <c r="BN155" s="7"/>
      <c r="BO155" s="7"/>
      <c r="BP155" s="7"/>
      <c r="BQ155" s="7"/>
      <c r="BR155" s="7"/>
      <c r="BS155" s="7"/>
      <c r="BT155" s="7"/>
      <c r="BU155" s="7"/>
      <c r="BV155" s="7"/>
      <c r="BW155" s="7"/>
      <c r="BX155" s="7"/>
      <c r="BY155" s="7"/>
      <c r="BZ155" s="41"/>
      <c r="CA155" s="7"/>
      <c r="CB155" s="7"/>
      <c r="CC155" s="7"/>
      <c r="CD155" s="7"/>
      <c r="CE155" s="7"/>
      <c r="CF155" s="7"/>
    </row>
    <row r="156">
      <c r="T156" s="7"/>
      <c r="U156" s="7"/>
      <c r="V156" s="7"/>
      <c r="W156" s="7"/>
      <c r="X156" s="7"/>
      <c r="Y156" s="7"/>
      <c r="Z156" s="7"/>
      <c r="AA156" s="7"/>
      <c r="AB156" s="7"/>
      <c r="AC156" s="7"/>
      <c r="AD156" s="7"/>
      <c r="AE156" s="7"/>
      <c r="AF156" s="7"/>
      <c r="AG156" s="7"/>
      <c r="AH156" s="7"/>
      <c r="AI156" s="7"/>
      <c r="AJ156" s="7"/>
      <c r="AK156" s="7"/>
      <c r="AL156" s="7"/>
      <c r="AM156" s="7"/>
      <c r="AN156" s="7"/>
      <c r="AS156" s="7"/>
      <c r="AT156" s="7"/>
      <c r="AU156" s="55"/>
      <c r="AV156" s="7"/>
      <c r="AW156" s="7"/>
      <c r="AX156" s="7"/>
      <c r="AY156" s="7"/>
      <c r="AZ156" s="7"/>
      <c r="BA156" s="7"/>
      <c r="BB156" s="7"/>
      <c r="BC156" s="7"/>
      <c r="BD156" s="14" t="s">
        <v>2339</v>
      </c>
      <c r="BE156" s="15" t="s">
        <v>2340</v>
      </c>
      <c r="BF156" s="11" t="s">
        <v>2341</v>
      </c>
      <c r="BG156" s="16" t="s">
        <v>416</v>
      </c>
      <c r="BH156" s="7"/>
      <c r="BI156" s="14" t="s">
        <v>2342</v>
      </c>
      <c r="BJ156" s="15" t="s">
        <v>2343</v>
      </c>
      <c r="BK156" s="44"/>
      <c r="BL156" s="16" t="s">
        <v>27</v>
      </c>
      <c r="BM156" s="7"/>
      <c r="BN156" s="7"/>
      <c r="BO156" s="7"/>
      <c r="BP156" s="7"/>
      <c r="BQ156" s="7"/>
      <c r="BR156" s="7"/>
      <c r="BS156" s="7"/>
      <c r="BT156" s="7"/>
      <c r="BU156" s="7"/>
      <c r="BV156" s="7"/>
      <c r="BW156" s="7"/>
      <c r="BX156" s="7"/>
      <c r="BY156" s="7"/>
      <c r="BZ156" s="41"/>
      <c r="CA156" s="7"/>
      <c r="CB156" s="7"/>
      <c r="CC156" s="7"/>
      <c r="CD156" s="7"/>
      <c r="CE156" s="7"/>
      <c r="CF156" s="7"/>
    </row>
    <row r="157">
      <c r="T157" s="7"/>
      <c r="U157" s="7"/>
      <c r="V157" s="7"/>
      <c r="W157" s="7"/>
      <c r="X157" s="7"/>
      <c r="Y157" s="7"/>
      <c r="Z157" s="7"/>
      <c r="AA157" s="7"/>
      <c r="AB157" s="7"/>
      <c r="AC157" s="7"/>
      <c r="AD157" s="7"/>
      <c r="AE157" s="7"/>
      <c r="AF157" s="7"/>
      <c r="AG157" s="7"/>
      <c r="AH157" s="7"/>
      <c r="AI157" s="7"/>
      <c r="AJ157" s="7"/>
      <c r="AK157" s="7"/>
      <c r="AL157" s="7"/>
      <c r="AM157" s="7"/>
      <c r="AN157" s="7"/>
      <c r="AS157" s="7"/>
      <c r="AT157" s="7"/>
      <c r="AU157" s="55"/>
      <c r="AV157" s="7"/>
      <c r="AW157" s="7"/>
      <c r="AX157" s="7"/>
      <c r="AY157" s="7"/>
      <c r="AZ157" s="7"/>
      <c r="BA157" s="7"/>
      <c r="BB157" s="7"/>
      <c r="BC157" s="7"/>
      <c r="BD157" s="14" t="s">
        <v>2344</v>
      </c>
      <c r="BE157" s="15" t="s">
        <v>2345</v>
      </c>
      <c r="BF157" s="11"/>
      <c r="BG157" s="16" t="s">
        <v>27</v>
      </c>
      <c r="BH157" s="7"/>
      <c r="BI157" s="14" t="s">
        <v>2346</v>
      </c>
      <c r="BJ157" s="15" t="s">
        <v>2347</v>
      </c>
      <c r="BK157" s="44"/>
      <c r="BL157" s="16" t="s">
        <v>27</v>
      </c>
      <c r="BM157" s="7"/>
      <c r="BN157" s="7"/>
      <c r="BO157" s="7"/>
      <c r="BP157" s="7"/>
      <c r="BQ157" s="7"/>
      <c r="BR157" s="7"/>
      <c r="BS157" s="7"/>
      <c r="BT157" s="7"/>
      <c r="BU157" s="7"/>
      <c r="BV157" s="7"/>
      <c r="BW157" s="7"/>
      <c r="BX157" s="7"/>
      <c r="BY157" s="7"/>
      <c r="BZ157" s="41"/>
      <c r="CA157" s="7"/>
      <c r="CB157" s="7"/>
      <c r="CC157" s="7"/>
      <c r="CD157" s="7"/>
      <c r="CE157" s="7"/>
      <c r="CF157" s="7"/>
    </row>
    <row r="158">
      <c r="T158" s="7"/>
      <c r="U158" s="7"/>
      <c r="V158" s="7"/>
      <c r="W158" s="7"/>
      <c r="X158" s="7"/>
      <c r="Y158" s="7"/>
      <c r="Z158" s="7"/>
      <c r="AA158" s="7"/>
      <c r="AB158" s="7"/>
      <c r="AC158" s="7"/>
      <c r="AD158" s="7"/>
      <c r="AE158" s="7"/>
      <c r="AF158" s="7"/>
      <c r="AG158" s="7"/>
      <c r="AH158" s="7"/>
      <c r="AI158" s="7"/>
      <c r="AJ158" s="7"/>
      <c r="AK158" s="7"/>
      <c r="AL158" s="7"/>
      <c r="AM158" s="7"/>
      <c r="AN158" s="7"/>
      <c r="AS158" s="7"/>
      <c r="AT158" s="7"/>
      <c r="AU158" s="55"/>
      <c r="AV158" s="7"/>
      <c r="AW158" s="7"/>
      <c r="AX158" s="7"/>
      <c r="AY158" s="7"/>
      <c r="AZ158" s="7"/>
      <c r="BA158" s="7"/>
      <c r="BB158" s="7"/>
      <c r="BC158" s="7"/>
      <c r="BD158" s="14" t="s">
        <v>2348</v>
      </c>
      <c r="BE158" s="15" t="s">
        <v>2349</v>
      </c>
      <c r="BF158" s="11"/>
      <c r="BG158" s="16" t="s">
        <v>27</v>
      </c>
      <c r="BH158" s="7"/>
      <c r="BI158" s="14" t="s">
        <v>2350</v>
      </c>
      <c r="BJ158" s="15" t="s">
        <v>2351</v>
      </c>
      <c r="BK158" s="44" t="s">
        <v>2352</v>
      </c>
      <c r="BL158" s="16" t="s">
        <v>27</v>
      </c>
      <c r="BM158" s="7"/>
      <c r="BN158" s="7"/>
      <c r="BO158" s="7"/>
      <c r="BP158" s="7"/>
      <c r="BQ158" s="7"/>
      <c r="BR158" s="7"/>
      <c r="BS158" s="7"/>
      <c r="BT158" s="7"/>
      <c r="BU158" s="7"/>
      <c r="BV158" s="7"/>
      <c r="BW158" s="7"/>
      <c r="BX158" s="7"/>
      <c r="BY158" s="7"/>
      <c r="BZ158" s="41"/>
      <c r="CA158" s="7"/>
      <c r="CB158" s="7"/>
      <c r="CC158" s="7"/>
      <c r="CD158" s="7"/>
      <c r="CE158" s="7"/>
      <c r="CF158" s="7"/>
    </row>
    <row r="159">
      <c r="T159" s="7"/>
      <c r="U159" s="7"/>
      <c r="V159" s="7"/>
      <c r="W159" s="7"/>
      <c r="X159" s="7"/>
      <c r="Y159" s="7"/>
      <c r="Z159" s="7"/>
      <c r="AA159" s="7"/>
      <c r="AB159" s="7"/>
      <c r="AC159" s="7"/>
      <c r="AD159" s="7"/>
      <c r="AE159" s="7"/>
      <c r="AF159" s="7"/>
      <c r="AG159" s="7"/>
      <c r="AH159" s="7"/>
      <c r="AI159" s="7"/>
      <c r="AJ159" s="7"/>
      <c r="AK159" s="7"/>
      <c r="AL159" s="7"/>
      <c r="AM159" s="7"/>
      <c r="AN159" s="7"/>
      <c r="AS159" s="7"/>
      <c r="AT159" s="7"/>
      <c r="AU159" s="55"/>
      <c r="AV159" s="7"/>
      <c r="AW159" s="7"/>
      <c r="AX159" s="7"/>
      <c r="AY159" s="7"/>
      <c r="AZ159" s="7"/>
      <c r="BA159" s="7"/>
      <c r="BB159" s="7"/>
      <c r="BC159" s="7"/>
      <c r="BD159" s="14" t="s">
        <v>2353</v>
      </c>
      <c r="BE159" s="15" t="s">
        <v>2354</v>
      </c>
      <c r="BF159" s="11"/>
      <c r="BG159" s="16" t="s">
        <v>27</v>
      </c>
      <c r="BH159" s="7"/>
      <c r="BI159" s="14" t="s">
        <v>2355</v>
      </c>
      <c r="BJ159" s="15" t="s">
        <v>2356</v>
      </c>
      <c r="BK159" s="44"/>
      <c r="BL159" s="16" t="s">
        <v>27</v>
      </c>
      <c r="BM159" s="7"/>
      <c r="BN159" s="7"/>
      <c r="BO159" s="7"/>
      <c r="BP159" s="7"/>
      <c r="BQ159" s="7"/>
      <c r="BR159" s="7"/>
      <c r="BS159" s="7"/>
      <c r="BT159" s="7"/>
      <c r="BU159" s="7"/>
      <c r="BV159" s="7"/>
      <c r="BW159" s="7"/>
      <c r="BX159" s="7"/>
      <c r="BY159" s="7"/>
      <c r="BZ159" s="41"/>
      <c r="CA159" s="7"/>
      <c r="CB159" s="7"/>
      <c r="CC159" s="7"/>
      <c r="CD159" s="7"/>
      <c r="CE159" s="7"/>
      <c r="CF159" s="7"/>
    </row>
    <row r="160">
      <c r="T160" s="7"/>
      <c r="U160" s="7"/>
      <c r="V160" s="7"/>
      <c r="W160" s="7"/>
      <c r="X160" s="7"/>
      <c r="Y160" s="7"/>
      <c r="Z160" s="7"/>
      <c r="AA160" s="7"/>
      <c r="AB160" s="7"/>
      <c r="AC160" s="7"/>
      <c r="AD160" s="7"/>
      <c r="AE160" s="7"/>
      <c r="AF160" s="7"/>
      <c r="AG160" s="7"/>
      <c r="AH160" s="7"/>
      <c r="AI160" s="7"/>
      <c r="AJ160" s="7"/>
      <c r="AK160" s="7"/>
      <c r="AL160" s="7"/>
      <c r="AM160" s="7"/>
      <c r="AN160" s="7"/>
      <c r="AS160" s="7"/>
      <c r="AT160" s="7"/>
      <c r="AU160" s="55"/>
      <c r="AV160" s="7"/>
      <c r="AW160" s="7"/>
      <c r="AX160" s="7"/>
      <c r="AY160" s="7"/>
      <c r="AZ160" s="7"/>
      <c r="BA160" s="7"/>
      <c r="BB160" s="7"/>
      <c r="BC160" s="7"/>
      <c r="BD160" s="14" t="s">
        <v>2357</v>
      </c>
      <c r="BE160" s="15" t="s">
        <v>2358</v>
      </c>
      <c r="BF160" s="11" t="s">
        <v>2359</v>
      </c>
      <c r="BG160" s="16" t="s">
        <v>27</v>
      </c>
      <c r="BH160" s="7"/>
      <c r="BI160" s="14" t="s">
        <v>2360</v>
      </c>
      <c r="BJ160" s="15" t="s">
        <v>2361</v>
      </c>
      <c r="BK160" s="44"/>
      <c r="BL160" s="16" t="s">
        <v>27</v>
      </c>
      <c r="BM160" s="7"/>
      <c r="BN160" s="7"/>
      <c r="BO160" s="7"/>
      <c r="BP160" s="7"/>
      <c r="BQ160" s="7"/>
      <c r="BR160" s="7"/>
      <c r="BS160" s="7"/>
      <c r="BT160" s="7"/>
      <c r="BU160" s="7"/>
      <c r="BV160" s="7"/>
      <c r="BW160" s="7"/>
      <c r="BX160" s="7"/>
      <c r="BY160" s="7"/>
      <c r="BZ160" s="41"/>
      <c r="CA160" s="7"/>
      <c r="CB160" s="7"/>
      <c r="CC160" s="7"/>
      <c r="CD160" s="7"/>
      <c r="CE160" s="7"/>
      <c r="CF160" s="7"/>
    </row>
    <row r="161">
      <c r="T161" s="7"/>
      <c r="U161" s="7"/>
      <c r="V161" s="7"/>
      <c r="W161" s="7"/>
      <c r="X161" s="7"/>
      <c r="Y161" s="7"/>
      <c r="Z161" s="7"/>
      <c r="AA161" s="7"/>
      <c r="AB161" s="7"/>
      <c r="AC161" s="7"/>
      <c r="AD161" s="7"/>
      <c r="AE161" s="7"/>
      <c r="AF161" s="7"/>
      <c r="AG161" s="7"/>
      <c r="AH161" s="7"/>
      <c r="AI161" s="7"/>
      <c r="AJ161" s="7"/>
      <c r="AK161" s="7"/>
      <c r="AL161" s="7"/>
      <c r="AM161" s="7"/>
      <c r="AN161" s="7"/>
      <c r="AS161" s="7"/>
      <c r="AT161" s="7"/>
      <c r="AU161" s="55"/>
      <c r="AV161" s="7"/>
      <c r="AW161" s="7"/>
      <c r="AX161" s="7"/>
      <c r="AY161" s="7"/>
      <c r="AZ161" s="7"/>
      <c r="BA161" s="7"/>
      <c r="BB161" s="7"/>
      <c r="BC161" s="7"/>
      <c r="BD161" s="28" t="s">
        <v>2362</v>
      </c>
      <c r="BE161" s="15" t="s">
        <v>2363</v>
      </c>
      <c r="BF161" s="11"/>
      <c r="BG161" s="16" t="s">
        <v>27</v>
      </c>
      <c r="BH161" s="7"/>
      <c r="BI161" s="14" t="s">
        <v>2364</v>
      </c>
      <c r="BJ161" s="15" t="s">
        <v>2365</v>
      </c>
      <c r="BK161" s="44"/>
      <c r="BL161" s="16" t="s">
        <v>27</v>
      </c>
      <c r="BM161" s="7"/>
      <c r="BN161" s="7"/>
      <c r="BO161" s="7"/>
      <c r="BP161" s="7"/>
      <c r="BQ161" s="7"/>
      <c r="BR161" s="7"/>
      <c r="BS161" s="7"/>
      <c r="BT161" s="7"/>
      <c r="BU161" s="7"/>
      <c r="BV161" s="7"/>
      <c r="BW161" s="7"/>
      <c r="BX161" s="7"/>
      <c r="BY161" s="7"/>
      <c r="BZ161" s="41"/>
      <c r="CA161" s="7"/>
      <c r="CB161" s="7"/>
      <c r="CC161" s="7"/>
      <c r="CD161" s="7"/>
      <c r="CE161" s="7"/>
      <c r="CF161" s="7"/>
    </row>
    <row r="162">
      <c r="T162" s="7"/>
      <c r="U162" s="7"/>
      <c r="V162" s="7"/>
      <c r="W162" s="7"/>
      <c r="X162" s="7"/>
      <c r="Y162" s="7"/>
      <c r="Z162" s="7"/>
      <c r="AA162" s="7"/>
      <c r="AB162" s="7"/>
      <c r="AC162" s="7"/>
      <c r="AD162" s="7"/>
      <c r="AE162" s="7"/>
      <c r="AF162" s="7"/>
      <c r="AG162" s="7"/>
      <c r="AH162" s="7"/>
      <c r="AI162" s="7"/>
      <c r="AJ162" s="7"/>
      <c r="AK162" s="7"/>
      <c r="AL162" s="7"/>
      <c r="AM162" s="7"/>
      <c r="AN162" s="7"/>
      <c r="AS162" s="7"/>
      <c r="AT162" s="7"/>
      <c r="AU162" s="55"/>
      <c r="AV162" s="7"/>
      <c r="AW162" s="7"/>
      <c r="AX162" s="7"/>
      <c r="AY162" s="7"/>
      <c r="AZ162" s="7"/>
      <c r="BA162" s="7"/>
      <c r="BB162" s="7"/>
      <c r="BC162" s="7"/>
      <c r="BD162" s="28" t="s">
        <v>2366</v>
      </c>
      <c r="BE162" s="15" t="s">
        <v>2367</v>
      </c>
      <c r="BF162" s="11"/>
      <c r="BG162" s="16" t="s">
        <v>33</v>
      </c>
      <c r="BH162" s="7"/>
      <c r="BI162" s="14" t="s">
        <v>2368</v>
      </c>
      <c r="BJ162" s="15" t="s">
        <v>2369</v>
      </c>
      <c r="BK162" s="44"/>
      <c r="BL162" s="16" t="s">
        <v>27</v>
      </c>
      <c r="BM162" s="7"/>
      <c r="BN162" s="7"/>
      <c r="BO162" s="7"/>
      <c r="BP162" s="7"/>
      <c r="BQ162" s="7"/>
      <c r="BR162" s="7"/>
      <c r="BS162" s="7"/>
      <c r="BT162" s="7"/>
      <c r="BU162" s="7"/>
      <c r="BV162" s="7"/>
      <c r="BW162" s="7"/>
      <c r="BX162" s="7"/>
      <c r="BY162" s="7"/>
      <c r="BZ162" s="41"/>
      <c r="CA162" s="7"/>
      <c r="CB162" s="7"/>
      <c r="CC162" s="7"/>
      <c r="CD162" s="7"/>
      <c r="CE162" s="7"/>
      <c r="CF162" s="7"/>
    </row>
    <row r="163">
      <c r="T163" s="7"/>
      <c r="U163" s="7"/>
      <c r="V163" s="7"/>
      <c r="W163" s="7"/>
      <c r="X163" s="7"/>
      <c r="Y163" s="7"/>
      <c r="Z163" s="7"/>
      <c r="AA163" s="7"/>
      <c r="AB163" s="7"/>
      <c r="AC163" s="7"/>
      <c r="AD163" s="7"/>
      <c r="AE163" s="7"/>
      <c r="AF163" s="7"/>
      <c r="AG163" s="7"/>
      <c r="AH163" s="7"/>
      <c r="AI163" s="7"/>
      <c r="AJ163" s="7"/>
      <c r="AK163" s="7"/>
      <c r="AL163" s="7"/>
      <c r="AM163" s="7"/>
      <c r="AN163" s="7"/>
      <c r="AS163" s="7"/>
      <c r="AT163" s="7"/>
      <c r="AU163" s="55"/>
      <c r="AV163" s="7"/>
      <c r="AW163" s="7"/>
      <c r="AX163" s="7"/>
      <c r="AY163" s="7"/>
      <c r="AZ163" s="7"/>
      <c r="BA163" s="7"/>
      <c r="BB163" s="7"/>
      <c r="BC163" s="7"/>
      <c r="BD163" s="28" t="s">
        <v>2370</v>
      </c>
      <c r="BE163" s="15" t="s">
        <v>2371</v>
      </c>
      <c r="BF163" s="11"/>
      <c r="BG163" s="16" t="s">
        <v>27</v>
      </c>
      <c r="BH163" s="7"/>
      <c r="BI163" s="14" t="s">
        <v>2372</v>
      </c>
      <c r="BJ163" s="15" t="s">
        <v>2373</v>
      </c>
      <c r="BK163" s="44"/>
      <c r="BL163" s="16" t="s">
        <v>27</v>
      </c>
      <c r="BM163" s="7"/>
      <c r="BN163" s="7"/>
      <c r="BO163" s="7"/>
      <c r="BP163" s="7"/>
      <c r="BQ163" s="7"/>
      <c r="BR163" s="7"/>
      <c r="BS163" s="7"/>
      <c r="BT163" s="7"/>
      <c r="BU163" s="7"/>
      <c r="BV163" s="7"/>
      <c r="BW163" s="7"/>
      <c r="BX163" s="7"/>
      <c r="BY163" s="7"/>
      <c r="BZ163" s="41"/>
      <c r="CA163" s="7"/>
      <c r="CB163" s="7"/>
      <c r="CC163" s="7"/>
      <c r="CD163" s="7"/>
      <c r="CE163" s="7"/>
      <c r="CF163" s="7"/>
    </row>
    <row r="164">
      <c r="T164" s="7"/>
      <c r="U164" s="7"/>
      <c r="V164" s="7"/>
      <c r="W164" s="7"/>
      <c r="X164" s="7"/>
      <c r="Y164" s="7"/>
      <c r="Z164" s="7"/>
      <c r="AA164" s="7"/>
      <c r="AB164" s="7"/>
      <c r="AC164" s="7"/>
      <c r="AD164" s="7"/>
      <c r="AE164" s="7"/>
      <c r="AF164" s="7"/>
      <c r="AG164" s="7"/>
      <c r="AH164" s="7"/>
      <c r="AI164" s="7"/>
      <c r="AJ164" s="7"/>
      <c r="AK164" s="7"/>
      <c r="AL164" s="7"/>
      <c r="AM164" s="7"/>
      <c r="AN164" s="7"/>
      <c r="AS164" s="7"/>
      <c r="AT164" s="7"/>
      <c r="AU164" s="55"/>
      <c r="AV164" s="7"/>
      <c r="AW164" s="7"/>
      <c r="AX164" s="7"/>
      <c r="AY164" s="7"/>
      <c r="AZ164" s="7"/>
      <c r="BA164" s="7"/>
      <c r="BB164" s="7"/>
      <c r="BC164" s="7"/>
      <c r="BD164" s="28" t="s">
        <v>2374</v>
      </c>
      <c r="BE164" s="15" t="s">
        <v>2375</v>
      </c>
      <c r="BF164" s="11"/>
      <c r="BG164" s="16" t="s">
        <v>136</v>
      </c>
      <c r="BH164" s="7"/>
      <c r="BI164" s="14" t="s">
        <v>2376</v>
      </c>
      <c r="BJ164" s="15" t="s">
        <v>2377</v>
      </c>
      <c r="BK164" s="44"/>
      <c r="BL164" s="16" t="s">
        <v>27</v>
      </c>
      <c r="BM164" s="7"/>
      <c r="BN164" s="7"/>
      <c r="BO164" s="7"/>
      <c r="BP164" s="7"/>
      <c r="BQ164" s="7"/>
      <c r="BR164" s="7"/>
      <c r="BS164" s="7"/>
      <c r="BT164" s="7"/>
      <c r="BU164" s="7"/>
      <c r="BV164" s="7"/>
      <c r="BW164" s="7"/>
      <c r="BX164" s="7"/>
      <c r="BY164" s="7"/>
      <c r="BZ164" s="41"/>
      <c r="CA164" s="7"/>
      <c r="CB164" s="7"/>
      <c r="CC164" s="7"/>
      <c r="CD164" s="7"/>
      <c r="CE164" s="7"/>
      <c r="CF164" s="7"/>
    </row>
    <row r="165">
      <c r="T165" s="7"/>
      <c r="U165" s="7"/>
      <c r="V165" s="7"/>
      <c r="W165" s="7"/>
      <c r="X165" s="7"/>
      <c r="Y165" s="7"/>
      <c r="Z165" s="7"/>
      <c r="AA165" s="7"/>
      <c r="AB165" s="7"/>
      <c r="AC165" s="7"/>
      <c r="AD165" s="7"/>
      <c r="AE165" s="7"/>
      <c r="AF165" s="7"/>
      <c r="AG165" s="7"/>
      <c r="AH165" s="7"/>
      <c r="AI165" s="7"/>
      <c r="AJ165" s="7"/>
      <c r="AK165" s="7"/>
      <c r="AL165" s="7"/>
      <c r="AM165" s="7"/>
      <c r="AN165" s="7"/>
      <c r="AS165" s="7"/>
      <c r="AT165" s="7"/>
      <c r="AU165" s="55"/>
      <c r="AV165" s="7"/>
      <c r="AW165" s="7"/>
      <c r="AX165" s="7"/>
      <c r="AY165" s="7"/>
      <c r="AZ165" s="7"/>
      <c r="BA165" s="7"/>
      <c r="BB165" s="7"/>
      <c r="BC165" s="7"/>
      <c r="BD165" s="28" t="s">
        <v>2378</v>
      </c>
      <c r="BE165" s="15" t="s">
        <v>2379</v>
      </c>
      <c r="BF165" s="11"/>
      <c r="BG165" s="16" t="s">
        <v>27</v>
      </c>
      <c r="BH165" s="7"/>
      <c r="BI165" s="14" t="s">
        <v>2380</v>
      </c>
      <c r="BJ165" s="15" t="s">
        <v>2381</v>
      </c>
      <c r="BK165" s="44"/>
      <c r="BL165" s="16" t="s">
        <v>27</v>
      </c>
      <c r="BM165" s="7"/>
      <c r="BN165" s="7"/>
      <c r="BO165" s="7"/>
      <c r="BP165" s="7"/>
      <c r="BQ165" s="7"/>
      <c r="BR165" s="7"/>
      <c r="BS165" s="7"/>
      <c r="BT165" s="7"/>
      <c r="BU165" s="7"/>
      <c r="BV165" s="7"/>
      <c r="BW165" s="7"/>
      <c r="BX165" s="7"/>
      <c r="BY165" s="7"/>
      <c r="BZ165" s="41"/>
      <c r="CA165" s="7"/>
      <c r="CB165" s="7"/>
      <c r="CC165" s="7"/>
      <c r="CD165" s="7"/>
      <c r="CE165" s="7"/>
      <c r="CF165" s="7"/>
    </row>
    <row r="166">
      <c r="T166" s="7"/>
      <c r="U166" s="7"/>
      <c r="V166" s="7"/>
      <c r="W166" s="7"/>
      <c r="X166" s="7"/>
      <c r="Y166" s="7"/>
      <c r="Z166" s="7"/>
      <c r="AA166" s="7"/>
      <c r="AB166" s="7"/>
      <c r="AC166" s="7"/>
      <c r="AD166" s="7"/>
      <c r="AE166" s="7"/>
      <c r="AF166" s="7"/>
      <c r="AG166" s="7"/>
      <c r="AH166" s="7"/>
      <c r="AI166" s="7"/>
      <c r="AJ166" s="7"/>
      <c r="AK166" s="7"/>
      <c r="AL166" s="7"/>
      <c r="AM166" s="7"/>
      <c r="AN166" s="7"/>
      <c r="AS166" s="7"/>
      <c r="AT166" s="7"/>
      <c r="AU166" s="55"/>
      <c r="AV166" s="7"/>
      <c r="AW166" s="7"/>
      <c r="AX166" s="7"/>
      <c r="AY166" s="7"/>
      <c r="AZ166" s="7"/>
      <c r="BA166" s="7"/>
      <c r="BB166" s="7"/>
      <c r="BC166" s="7"/>
      <c r="BD166" s="28" t="s">
        <v>2382</v>
      </c>
      <c r="BE166" s="15" t="s">
        <v>2383</v>
      </c>
      <c r="BF166" s="11"/>
      <c r="BG166" s="16" t="s">
        <v>27</v>
      </c>
      <c r="BH166" s="7"/>
      <c r="BI166" s="14" t="s">
        <v>2384</v>
      </c>
      <c r="BJ166" s="15" t="s">
        <v>2385</v>
      </c>
      <c r="BK166" s="44"/>
      <c r="BL166" s="16" t="s">
        <v>27</v>
      </c>
      <c r="BM166" s="7"/>
      <c r="BN166" s="7"/>
      <c r="BO166" s="7"/>
      <c r="BP166" s="7"/>
      <c r="BQ166" s="7"/>
      <c r="BR166" s="7"/>
      <c r="BS166" s="7"/>
      <c r="BT166" s="7"/>
      <c r="BU166" s="7"/>
      <c r="BV166" s="7"/>
      <c r="BW166" s="7"/>
      <c r="BX166" s="7"/>
      <c r="BY166" s="7"/>
      <c r="BZ166" s="41"/>
      <c r="CA166" s="7"/>
      <c r="CB166" s="7"/>
      <c r="CC166" s="7"/>
      <c r="CD166" s="7"/>
      <c r="CE166" s="7"/>
      <c r="CF166" s="7"/>
    </row>
    <row r="167">
      <c r="T167" s="7"/>
      <c r="U167" s="7"/>
      <c r="V167" s="7"/>
      <c r="W167" s="7"/>
      <c r="X167" s="7"/>
      <c r="Y167" s="7"/>
      <c r="Z167" s="7"/>
      <c r="AA167" s="7"/>
      <c r="AB167" s="7"/>
      <c r="AC167" s="7"/>
      <c r="AD167" s="7"/>
      <c r="AE167" s="7"/>
      <c r="AF167" s="7"/>
      <c r="AG167" s="7"/>
      <c r="AH167" s="7"/>
      <c r="AI167" s="7"/>
      <c r="AJ167" s="7"/>
      <c r="AK167" s="7"/>
      <c r="AL167" s="7"/>
      <c r="AM167" s="7"/>
      <c r="AN167" s="7"/>
      <c r="AS167" s="7"/>
      <c r="AT167" s="7"/>
      <c r="AU167" s="55"/>
      <c r="AV167" s="7"/>
      <c r="AW167" s="7"/>
      <c r="AX167" s="7"/>
      <c r="AY167" s="7"/>
      <c r="AZ167" s="7"/>
      <c r="BA167" s="7"/>
      <c r="BB167" s="7"/>
      <c r="BC167" s="7"/>
      <c r="BD167" s="28" t="s">
        <v>2386</v>
      </c>
      <c r="BE167" s="15" t="s">
        <v>2387</v>
      </c>
      <c r="BF167" s="11"/>
      <c r="BG167" s="16" t="s">
        <v>27</v>
      </c>
      <c r="BH167" s="7"/>
      <c r="BI167" s="14" t="s">
        <v>2388</v>
      </c>
      <c r="BJ167" s="15" t="s">
        <v>2389</v>
      </c>
      <c r="BK167" s="44"/>
      <c r="BL167" s="16" t="s">
        <v>27</v>
      </c>
      <c r="BM167" s="7"/>
      <c r="BN167" s="7"/>
      <c r="BO167" s="7"/>
      <c r="BP167" s="7"/>
      <c r="BQ167" s="7"/>
      <c r="BR167" s="7"/>
      <c r="BS167" s="7"/>
      <c r="BT167" s="7"/>
      <c r="BU167" s="7"/>
      <c r="BV167" s="7"/>
      <c r="BW167" s="7"/>
      <c r="BX167" s="7"/>
      <c r="BY167" s="7"/>
      <c r="BZ167" s="41"/>
      <c r="CA167" s="7"/>
      <c r="CB167" s="7"/>
      <c r="CC167" s="7"/>
      <c r="CD167" s="7"/>
      <c r="CE167" s="7"/>
      <c r="CF167" s="7"/>
    </row>
    <row r="168">
      <c r="T168" s="7"/>
      <c r="U168" s="7"/>
      <c r="V168" s="7"/>
      <c r="W168" s="7"/>
      <c r="X168" s="7"/>
      <c r="Y168" s="7"/>
      <c r="Z168" s="7"/>
      <c r="AA168" s="7"/>
      <c r="AB168" s="7"/>
      <c r="AC168" s="7"/>
      <c r="AD168" s="7"/>
      <c r="AE168" s="7"/>
      <c r="AF168" s="7"/>
      <c r="AG168" s="7"/>
      <c r="AH168" s="7"/>
      <c r="AI168" s="7"/>
      <c r="AJ168" s="7"/>
      <c r="AK168" s="7"/>
      <c r="AL168" s="7"/>
      <c r="AM168" s="7"/>
      <c r="AN168" s="7"/>
      <c r="AS168" s="7"/>
      <c r="AT168" s="7"/>
      <c r="AU168" s="55"/>
      <c r="AV168" s="7"/>
      <c r="AW168" s="7"/>
      <c r="AX168" s="7"/>
      <c r="AY168" s="7"/>
      <c r="AZ168" s="7"/>
      <c r="BA168" s="7"/>
      <c r="BB168" s="7"/>
      <c r="BC168" s="7"/>
      <c r="BD168" s="28" t="s">
        <v>2390</v>
      </c>
      <c r="BE168" s="15" t="s">
        <v>2391</v>
      </c>
      <c r="BF168" s="11" t="s">
        <v>2392</v>
      </c>
      <c r="BG168" s="16" t="s">
        <v>27</v>
      </c>
      <c r="BH168" s="7"/>
      <c r="BI168" s="14" t="s">
        <v>2393</v>
      </c>
      <c r="BJ168" s="15" t="s">
        <v>2394</v>
      </c>
      <c r="BK168" s="44" t="s">
        <v>2395</v>
      </c>
      <c r="BL168" s="16" t="s">
        <v>27</v>
      </c>
      <c r="BM168" s="7"/>
      <c r="BN168" s="7"/>
      <c r="BO168" s="7"/>
      <c r="BP168" s="7"/>
      <c r="BQ168" s="7"/>
      <c r="BR168" s="7"/>
      <c r="BS168" s="7"/>
      <c r="BT168" s="7"/>
      <c r="BU168" s="7"/>
      <c r="BV168" s="7"/>
      <c r="BW168" s="7"/>
      <c r="BX168" s="7"/>
      <c r="BY168" s="7"/>
      <c r="BZ168" s="41"/>
      <c r="CA168" s="7"/>
      <c r="CB168" s="7"/>
      <c r="CC168" s="7"/>
      <c r="CD168" s="7"/>
      <c r="CE168" s="7"/>
      <c r="CF168" s="7"/>
    </row>
    <row r="169">
      <c r="T169" s="7"/>
      <c r="U169" s="7"/>
      <c r="V169" s="7"/>
      <c r="W169" s="7"/>
      <c r="X169" s="7"/>
      <c r="Y169" s="7"/>
      <c r="Z169" s="7"/>
      <c r="AA169" s="7"/>
      <c r="AB169" s="7"/>
      <c r="AC169" s="7"/>
      <c r="AD169" s="7"/>
      <c r="AE169" s="7"/>
      <c r="AF169" s="7"/>
      <c r="AG169" s="7"/>
      <c r="AH169" s="7"/>
      <c r="AI169" s="7"/>
      <c r="AJ169" s="7"/>
      <c r="AK169" s="7"/>
      <c r="AL169" s="7"/>
      <c r="AM169" s="7"/>
      <c r="AN169" s="7"/>
      <c r="AS169" s="7"/>
      <c r="AT169" s="7"/>
      <c r="AU169" s="55"/>
      <c r="AV169" s="7"/>
      <c r="AW169" s="7"/>
      <c r="AX169" s="7"/>
      <c r="AY169" s="7"/>
      <c r="AZ169" s="7"/>
      <c r="BA169" s="7"/>
      <c r="BB169" s="7"/>
      <c r="BC169" s="7"/>
      <c r="BD169" s="28" t="s">
        <v>2396</v>
      </c>
      <c r="BE169" s="15" t="s">
        <v>2397</v>
      </c>
      <c r="BF169" s="11"/>
      <c r="BG169" s="16" t="s">
        <v>27</v>
      </c>
      <c r="BH169" s="7"/>
      <c r="BI169" s="14" t="s">
        <v>2398</v>
      </c>
      <c r="BJ169" s="15" t="s">
        <v>2399</v>
      </c>
      <c r="BK169" s="44"/>
      <c r="BL169" s="16" t="s">
        <v>27</v>
      </c>
      <c r="BM169" s="7"/>
      <c r="BN169" s="7"/>
      <c r="BO169" s="7"/>
      <c r="BP169" s="7"/>
      <c r="BQ169" s="7"/>
      <c r="BR169" s="7"/>
      <c r="BS169" s="7"/>
      <c r="BT169" s="7"/>
      <c r="BU169" s="7"/>
      <c r="BV169" s="7"/>
      <c r="BW169" s="7"/>
      <c r="BX169" s="7"/>
      <c r="BY169" s="7"/>
      <c r="BZ169" s="41"/>
      <c r="CA169" s="7"/>
      <c r="CB169" s="7"/>
      <c r="CC169" s="7"/>
      <c r="CD169" s="7"/>
      <c r="CE169" s="7"/>
      <c r="CF169" s="7"/>
    </row>
    <row r="170">
      <c r="T170" s="7"/>
      <c r="U170" s="7"/>
      <c r="V170" s="7"/>
      <c r="W170" s="7"/>
      <c r="X170" s="7"/>
      <c r="Y170" s="7"/>
      <c r="Z170" s="7"/>
      <c r="AA170" s="7"/>
      <c r="AB170" s="7"/>
      <c r="AC170" s="7"/>
      <c r="AD170" s="7"/>
      <c r="AE170" s="7"/>
      <c r="AF170" s="7"/>
      <c r="AG170" s="7"/>
      <c r="AH170" s="7"/>
      <c r="AI170" s="7"/>
      <c r="AJ170" s="7"/>
      <c r="AK170" s="7"/>
      <c r="AL170" s="7"/>
      <c r="AM170" s="7"/>
      <c r="AN170" s="7"/>
      <c r="AS170" s="7"/>
      <c r="AT170" s="7"/>
      <c r="AU170" s="55"/>
      <c r="AV170" s="7"/>
      <c r="AW170" s="7"/>
      <c r="AX170" s="7"/>
      <c r="AY170" s="7"/>
      <c r="AZ170" s="7"/>
      <c r="BA170" s="7"/>
      <c r="BB170" s="7"/>
      <c r="BC170" s="7"/>
      <c r="BD170" s="28" t="s">
        <v>2400</v>
      </c>
      <c r="BE170" s="15" t="s">
        <v>2401</v>
      </c>
      <c r="BF170" s="11"/>
      <c r="BG170" s="16" t="s">
        <v>27</v>
      </c>
      <c r="BH170" s="7"/>
      <c r="BI170" s="14" t="s">
        <v>2402</v>
      </c>
      <c r="BJ170" s="15" t="s">
        <v>2403</v>
      </c>
      <c r="BK170" s="44"/>
      <c r="BL170" s="16" t="s">
        <v>27</v>
      </c>
      <c r="BM170" s="7"/>
      <c r="BN170" s="7"/>
      <c r="BO170" s="7"/>
      <c r="BP170" s="7"/>
      <c r="BQ170" s="7"/>
      <c r="BR170" s="7"/>
      <c r="BS170" s="7"/>
      <c r="BT170" s="7"/>
      <c r="BU170" s="7"/>
      <c r="BV170" s="7"/>
      <c r="BW170" s="7"/>
      <c r="BX170" s="7"/>
      <c r="BY170" s="7"/>
      <c r="BZ170" s="41"/>
      <c r="CA170" s="7"/>
      <c r="CB170" s="7"/>
      <c r="CC170" s="7"/>
      <c r="CD170" s="7"/>
      <c r="CE170" s="7"/>
      <c r="CF170" s="7"/>
    </row>
    <row r="171">
      <c r="T171" s="7"/>
      <c r="U171" s="7"/>
      <c r="V171" s="7"/>
      <c r="W171" s="7"/>
      <c r="X171" s="7"/>
      <c r="Y171" s="7"/>
      <c r="Z171" s="7"/>
      <c r="AA171" s="7"/>
      <c r="AB171" s="7"/>
      <c r="AC171" s="7"/>
      <c r="AD171" s="7"/>
      <c r="AE171" s="7"/>
      <c r="AF171" s="7"/>
      <c r="AG171" s="7"/>
      <c r="AH171" s="7"/>
      <c r="AI171" s="7"/>
      <c r="AJ171" s="7"/>
      <c r="AK171" s="7"/>
      <c r="AL171" s="7"/>
      <c r="AM171" s="7"/>
      <c r="AN171" s="7"/>
      <c r="AS171" s="7"/>
      <c r="AT171" s="7"/>
      <c r="AU171" s="55"/>
      <c r="AV171" s="7"/>
      <c r="AW171" s="7"/>
      <c r="AX171" s="7"/>
      <c r="AY171" s="7"/>
      <c r="AZ171" s="7"/>
      <c r="BA171" s="7"/>
      <c r="BB171" s="7"/>
      <c r="BC171" s="7"/>
      <c r="BD171" s="28" t="s">
        <v>2404</v>
      </c>
      <c r="BE171" s="15" t="s">
        <v>2405</v>
      </c>
      <c r="BF171" s="11" t="s">
        <v>2406</v>
      </c>
      <c r="BG171" s="16" t="s">
        <v>27</v>
      </c>
      <c r="BH171" s="7"/>
      <c r="BI171" s="14" t="s">
        <v>2407</v>
      </c>
      <c r="BJ171" s="15" t="s">
        <v>2408</v>
      </c>
      <c r="BK171" s="44"/>
      <c r="BL171" s="16" t="s">
        <v>27</v>
      </c>
      <c r="BM171" s="7"/>
      <c r="BN171" s="7"/>
      <c r="BO171" s="7"/>
      <c r="BP171" s="7"/>
      <c r="BQ171" s="7"/>
      <c r="BR171" s="7"/>
      <c r="BS171" s="7"/>
      <c r="BT171" s="7"/>
      <c r="BU171" s="7"/>
      <c r="BV171" s="7"/>
      <c r="BW171" s="7"/>
      <c r="BX171" s="7"/>
      <c r="BY171" s="7"/>
      <c r="BZ171" s="41"/>
      <c r="CA171" s="7"/>
      <c r="CB171" s="7"/>
      <c r="CC171" s="7"/>
      <c r="CD171" s="7"/>
      <c r="CE171" s="7"/>
      <c r="CF171" s="7"/>
    </row>
    <row r="172">
      <c r="T172" s="11"/>
      <c r="U172" s="11"/>
      <c r="V172" s="11"/>
      <c r="W172" s="11"/>
      <c r="X172" s="11"/>
      <c r="Y172" s="11"/>
      <c r="Z172" s="11"/>
      <c r="AA172" s="11"/>
      <c r="AB172" s="11"/>
      <c r="AC172" s="11"/>
      <c r="AD172" s="11"/>
      <c r="AE172" s="11"/>
      <c r="AF172" s="11"/>
      <c r="AG172" s="11"/>
      <c r="AH172" s="11"/>
      <c r="AI172" s="11"/>
      <c r="AJ172" s="11"/>
      <c r="AK172" s="11"/>
      <c r="AL172" s="11"/>
      <c r="AM172" s="11"/>
      <c r="AN172" s="11"/>
      <c r="AS172" s="7"/>
      <c r="AT172" s="7"/>
      <c r="AU172" s="55"/>
      <c r="AV172" s="7"/>
      <c r="AW172" s="7"/>
      <c r="AX172" s="7"/>
      <c r="AY172" s="7"/>
      <c r="AZ172" s="7"/>
      <c r="BA172" s="7"/>
      <c r="BB172" s="7"/>
      <c r="BC172" s="7"/>
      <c r="BD172" s="28" t="s">
        <v>2409</v>
      </c>
      <c r="BE172" s="15" t="s">
        <v>2410</v>
      </c>
      <c r="BF172" s="11" t="s">
        <v>2411</v>
      </c>
      <c r="BG172" s="16" t="s">
        <v>27</v>
      </c>
      <c r="BH172" s="11"/>
      <c r="BI172" s="14" t="s">
        <v>2412</v>
      </c>
      <c r="BJ172" s="15" t="s">
        <v>2413</v>
      </c>
      <c r="BK172" s="44"/>
      <c r="BL172" s="16" t="s">
        <v>27</v>
      </c>
      <c r="BM172" s="11"/>
      <c r="BN172" s="11"/>
      <c r="BO172" s="11"/>
      <c r="BP172" s="11"/>
      <c r="BQ172" s="11"/>
      <c r="BR172" s="11"/>
      <c r="BS172" s="11"/>
      <c r="BT172" s="11"/>
      <c r="BU172" s="11"/>
      <c r="BV172" s="11"/>
      <c r="BW172" s="7"/>
      <c r="BX172" s="7"/>
      <c r="BY172" s="7"/>
      <c r="BZ172" s="41"/>
      <c r="CA172" s="7"/>
      <c r="CB172" s="7"/>
      <c r="CC172" s="7"/>
      <c r="CD172" s="7"/>
      <c r="CE172" s="7"/>
      <c r="CF172" s="7"/>
    </row>
    <row r="173">
      <c r="T173" s="11"/>
      <c r="U173" s="11"/>
      <c r="V173" s="11"/>
      <c r="W173" s="11"/>
      <c r="X173" s="11"/>
      <c r="Y173" s="11"/>
      <c r="Z173" s="11"/>
      <c r="AA173" s="11"/>
      <c r="AB173" s="11"/>
      <c r="AC173" s="11"/>
      <c r="AD173" s="11"/>
      <c r="AE173" s="11"/>
      <c r="AF173" s="11"/>
      <c r="AG173" s="11"/>
      <c r="AH173" s="11"/>
      <c r="AI173" s="11"/>
      <c r="AJ173" s="11"/>
      <c r="AK173" s="11"/>
      <c r="AL173" s="11"/>
      <c r="AM173" s="11"/>
      <c r="AN173" s="11"/>
      <c r="AS173" s="7"/>
      <c r="AT173" s="7"/>
      <c r="AU173" s="55"/>
      <c r="AV173" s="7"/>
      <c r="AW173" s="7"/>
      <c r="AX173" s="7"/>
      <c r="AY173" s="7"/>
      <c r="AZ173" s="7"/>
      <c r="BA173" s="7"/>
      <c r="BB173" s="7"/>
      <c r="BC173" s="7"/>
      <c r="BD173" s="28" t="s">
        <v>2414</v>
      </c>
      <c r="BE173" s="15" t="s">
        <v>2415</v>
      </c>
      <c r="BF173" s="11" t="s">
        <v>2416</v>
      </c>
      <c r="BG173" s="16" t="s">
        <v>416</v>
      </c>
      <c r="BH173" s="11"/>
      <c r="BI173" s="14" t="s">
        <v>2417</v>
      </c>
      <c r="BJ173" s="15" t="s">
        <v>2418</v>
      </c>
      <c r="BK173" s="44"/>
      <c r="BL173" s="16" t="s">
        <v>27</v>
      </c>
      <c r="BM173" s="11"/>
      <c r="BN173" s="11"/>
      <c r="BO173" s="11"/>
      <c r="BP173" s="11"/>
      <c r="BQ173" s="11"/>
      <c r="BR173" s="11"/>
      <c r="BS173" s="11"/>
      <c r="BT173" s="11"/>
      <c r="BU173" s="11"/>
      <c r="BV173" s="11"/>
      <c r="BW173" s="7"/>
      <c r="BX173" s="7"/>
      <c r="BY173" s="7"/>
      <c r="BZ173" s="41"/>
      <c r="CA173" s="7"/>
      <c r="CB173" s="7"/>
      <c r="CC173" s="7"/>
      <c r="CD173" s="7"/>
      <c r="CE173" s="7"/>
      <c r="CF173" s="7"/>
    </row>
    <row r="174">
      <c r="T174" s="11"/>
      <c r="U174" s="11"/>
      <c r="V174" s="11"/>
      <c r="W174" s="11"/>
      <c r="X174" s="11"/>
      <c r="Y174" s="11"/>
      <c r="Z174" s="11"/>
      <c r="AA174" s="11"/>
      <c r="AB174" s="11"/>
      <c r="AC174" s="11"/>
      <c r="AD174" s="11"/>
      <c r="AE174" s="11"/>
      <c r="AF174" s="11"/>
      <c r="AG174" s="11"/>
      <c r="AH174" s="11"/>
      <c r="AI174" s="11"/>
      <c r="AJ174" s="11"/>
      <c r="AK174" s="11"/>
      <c r="AL174" s="11"/>
      <c r="AM174" s="11"/>
      <c r="AN174" s="11"/>
      <c r="AS174" s="7"/>
      <c r="AT174" s="7"/>
      <c r="AU174" s="55"/>
      <c r="AV174" s="7"/>
      <c r="AW174" s="7"/>
      <c r="AX174" s="7"/>
      <c r="AY174" s="7"/>
      <c r="AZ174" s="7"/>
      <c r="BA174" s="7"/>
      <c r="BB174" s="7"/>
      <c r="BC174" s="7"/>
      <c r="BD174" s="28" t="s">
        <v>2419</v>
      </c>
      <c r="BE174" s="15" t="s">
        <v>2420</v>
      </c>
      <c r="BF174" s="11"/>
      <c r="BG174" s="16" t="s">
        <v>27</v>
      </c>
      <c r="BH174" s="11"/>
      <c r="BI174" s="14" t="s">
        <v>2421</v>
      </c>
      <c r="BJ174" s="15" t="s">
        <v>2422</v>
      </c>
      <c r="BK174" s="44"/>
      <c r="BL174" s="16" t="s">
        <v>27</v>
      </c>
      <c r="BM174" s="11"/>
      <c r="BN174" s="11"/>
      <c r="BO174" s="11"/>
      <c r="BP174" s="11"/>
      <c r="BQ174" s="11"/>
      <c r="BR174" s="11"/>
      <c r="BS174" s="11"/>
      <c r="BT174" s="11"/>
      <c r="BU174" s="11"/>
      <c r="BV174" s="11"/>
      <c r="BW174" s="7"/>
      <c r="BX174" s="7"/>
      <c r="BY174" s="7"/>
      <c r="BZ174" s="41"/>
      <c r="CA174" s="7"/>
      <c r="CB174" s="7"/>
      <c r="CC174" s="7"/>
      <c r="CD174" s="7"/>
      <c r="CE174" s="7"/>
      <c r="CF174" s="7"/>
    </row>
    <row r="175">
      <c r="T175" s="11"/>
      <c r="U175" s="11"/>
      <c r="V175" s="11"/>
      <c r="W175" s="11"/>
      <c r="X175" s="11"/>
      <c r="Y175" s="11"/>
      <c r="Z175" s="11"/>
      <c r="AA175" s="11"/>
      <c r="AB175" s="11"/>
      <c r="AC175" s="11"/>
      <c r="AD175" s="11"/>
      <c r="AE175" s="11"/>
      <c r="AF175" s="11"/>
      <c r="AG175" s="11"/>
      <c r="AH175" s="11"/>
      <c r="AI175" s="11"/>
      <c r="AJ175" s="11"/>
      <c r="AK175" s="11"/>
      <c r="AL175" s="11"/>
      <c r="AM175" s="11"/>
      <c r="AN175" s="11"/>
      <c r="AS175" s="7"/>
      <c r="AT175" s="7"/>
      <c r="AU175" s="55"/>
      <c r="AV175" s="7"/>
      <c r="AW175" s="7"/>
      <c r="AX175" s="7"/>
      <c r="AY175" s="7"/>
      <c r="AZ175" s="7"/>
      <c r="BA175" s="7"/>
      <c r="BB175" s="7"/>
      <c r="BC175" s="7"/>
      <c r="BD175" s="28" t="s">
        <v>2423</v>
      </c>
      <c r="BE175" s="15" t="s">
        <v>2424</v>
      </c>
      <c r="BF175" s="11"/>
      <c r="BG175" s="16" t="s">
        <v>27</v>
      </c>
      <c r="BH175" s="11"/>
      <c r="BI175" s="14" t="s">
        <v>2425</v>
      </c>
      <c r="BJ175" s="15" t="s">
        <v>2426</v>
      </c>
      <c r="BK175" s="44" t="s">
        <v>2427</v>
      </c>
      <c r="BL175" s="16" t="s">
        <v>27</v>
      </c>
      <c r="BM175" s="11"/>
      <c r="BN175" s="11"/>
      <c r="BO175" s="11"/>
      <c r="BP175" s="11"/>
      <c r="BQ175" s="11"/>
      <c r="BR175" s="11"/>
      <c r="BS175" s="11"/>
      <c r="BT175" s="11"/>
      <c r="BU175" s="11"/>
      <c r="BV175" s="11"/>
      <c r="BW175" s="7"/>
      <c r="BX175" s="7"/>
      <c r="BY175" s="7"/>
      <c r="BZ175" s="41"/>
      <c r="CA175" s="7"/>
      <c r="CB175" s="7"/>
      <c r="CC175" s="7"/>
      <c r="CD175" s="7"/>
      <c r="CE175" s="7"/>
      <c r="CF175" s="7"/>
    </row>
    <row r="176">
      <c r="T176" s="11"/>
      <c r="U176" s="11"/>
      <c r="V176" s="11"/>
      <c r="W176" s="11"/>
      <c r="X176" s="11"/>
      <c r="Y176" s="11"/>
      <c r="Z176" s="11"/>
      <c r="AA176" s="11"/>
      <c r="AB176" s="11"/>
      <c r="AC176" s="11"/>
      <c r="AD176" s="11"/>
      <c r="AE176" s="11"/>
      <c r="AF176" s="11"/>
      <c r="AG176" s="11"/>
      <c r="AH176" s="11"/>
      <c r="AI176" s="11"/>
      <c r="AJ176" s="11"/>
      <c r="AK176" s="11"/>
      <c r="AL176" s="11"/>
      <c r="AM176" s="11"/>
      <c r="AN176" s="11"/>
      <c r="AS176" s="7"/>
      <c r="AT176" s="7"/>
      <c r="AU176" s="55"/>
      <c r="AV176" s="7"/>
      <c r="AW176" s="7"/>
      <c r="AX176" s="7"/>
      <c r="AY176" s="7"/>
      <c r="AZ176" s="7"/>
      <c r="BA176" s="7"/>
      <c r="BB176" s="7"/>
      <c r="BC176" s="7"/>
      <c r="BD176" s="28" t="s">
        <v>2428</v>
      </c>
      <c r="BE176" s="15" t="s">
        <v>2429</v>
      </c>
      <c r="BF176" s="11"/>
      <c r="BG176" s="16" t="s">
        <v>27</v>
      </c>
      <c r="BH176" s="11"/>
      <c r="BI176" s="14" t="s">
        <v>2430</v>
      </c>
      <c r="BJ176" s="15" t="s">
        <v>2431</v>
      </c>
      <c r="BK176" s="44"/>
      <c r="BL176" s="16" t="s">
        <v>27</v>
      </c>
      <c r="BM176" s="11"/>
      <c r="BN176" s="11"/>
      <c r="BO176" s="11"/>
      <c r="BP176" s="11"/>
      <c r="BQ176" s="11"/>
      <c r="BR176" s="11"/>
      <c r="BS176" s="11"/>
      <c r="BT176" s="11"/>
      <c r="BU176" s="11"/>
      <c r="BV176" s="11"/>
      <c r="BW176" s="7"/>
      <c r="BX176" s="7"/>
      <c r="BY176" s="7"/>
      <c r="BZ176" s="41"/>
      <c r="CA176" s="7"/>
      <c r="CB176" s="7"/>
      <c r="CC176" s="7"/>
      <c r="CD176" s="7"/>
      <c r="CE176" s="7"/>
      <c r="CF176" s="7"/>
    </row>
    <row r="177">
      <c r="T177" s="11"/>
      <c r="U177" s="11"/>
      <c r="V177" s="11"/>
      <c r="W177" s="11"/>
      <c r="X177" s="11"/>
      <c r="Y177" s="11"/>
      <c r="Z177" s="11"/>
      <c r="AA177" s="11"/>
      <c r="AB177" s="11"/>
      <c r="AC177" s="11"/>
      <c r="AD177" s="11"/>
      <c r="AE177" s="11"/>
      <c r="AF177" s="11"/>
      <c r="AG177" s="11"/>
      <c r="AH177" s="11"/>
      <c r="AI177" s="11"/>
      <c r="AJ177" s="11"/>
      <c r="AK177" s="11"/>
      <c r="AL177" s="11"/>
      <c r="AM177" s="11"/>
      <c r="AN177" s="11"/>
      <c r="AS177" s="7"/>
      <c r="AT177" s="7"/>
      <c r="AU177" s="55"/>
      <c r="AV177" s="7"/>
      <c r="AW177" s="7"/>
      <c r="AX177" s="7"/>
      <c r="AY177" s="7"/>
      <c r="AZ177" s="7"/>
      <c r="BA177" s="7"/>
      <c r="BB177" s="7"/>
      <c r="BC177" s="7"/>
      <c r="BD177" s="28" t="s">
        <v>2432</v>
      </c>
      <c r="BE177" s="15" t="s">
        <v>2433</v>
      </c>
      <c r="BF177" s="11"/>
      <c r="BG177" s="16" t="s">
        <v>27</v>
      </c>
      <c r="BH177" s="11"/>
      <c r="BI177" s="14" t="s">
        <v>2434</v>
      </c>
      <c r="BJ177" s="15" t="s">
        <v>2435</v>
      </c>
      <c r="BK177" s="44"/>
      <c r="BL177" s="16" t="s">
        <v>27</v>
      </c>
      <c r="BM177" s="11"/>
      <c r="BN177" s="11"/>
      <c r="BO177" s="11"/>
      <c r="BP177" s="11"/>
      <c r="BQ177" s="11"/>
      <c r="BR177" s="11"/>
      <c r="BS177" s="11"/>
      <c r="BT177" s="11"/>
      <c r="BU177" s="11"/>
      <c r="BV177" s="11"/>
      <c r="BW177" s="7"/>
      <c r="BX177" s="7"/>
      <c r="BY177" s="7"/>
      <c r="BZ177" s="41"/>
      <c r="CA177" s="7"/>
      <c r="CB177" s="7"/>
      <c r="CC177" s="7"/>
      <c r="CD177" s="7"/>
      <c r="CE177" s="7"/>
      <c r="CF177" s="7"/>
    </row>
    <row r="178">
      <c r="T178" s="11"/>
      <c r="U178" s="11"/>
      <c r="V178" s="11"/>
      <c r="W178" s="11"/>
      <c r="X178" s="11"/>
      <c r="Y178" s="11"/>
      <c r="Z178" s="11"/>
      <c r="AA178" s="11"/>
      <c r="AB178" s="11"/>
      <c r="AC178" s="11"/>
      <c r="AD178" s="11"/>
      <c r="AE178" s="11"/>
      <c r="AF178" s="11"/>
      <c r="AG178" s="11"/>
      <c r="AH178" s="11"/>
      <c r="AI178" s="11"/>
      <c r="AJ178" s="11"/>
      <c r="AK178" s="11"/>
      <c r="AL178" s="11"/>
      <c r="AM178" s="11"/>
      <c r="AN178" s="11"/>
      <c r="AS178" s="7"/>
      <c r="AT178" s="7"/>
      <c r="AU178" s="55"/>
      <c r="AV178" s="7"/>
      <c r="AW178" s="7"/>
      <c r="AX178" s="7"/>
      <c r="AY178" s="7"/>
      <c r="AZ178" s="7"/>
      <c r="BA178" s="7"/>
      <c r="BB178" s="7"/>
      <c r="BC178" s="7"/>
      <c r="BD178" s="28" t="s">
        <v>2436</v>
      </c>
      <c r="BE178" s="15" t="s">
        <v>2437</v>
      </c>
      <c r="BF178" s="11"/>
      <c r="BG178" s="16" t="s">
        <v>27</v>
      </c>
      <c r="BH178" s="11"/>
      <c r="BI178" s="14" t="s">
        <v>2438</v>
      </c>
      <c r="BJ178" s="15" t="s">
        <v>2439</v>
      </c>
      <c r="BK178" s="44"/>
      <c r="BL178" s="16" t="s">
        <v>27</v>
      </c>
      <c r="BM178" s="11"/>
      <c r="BN178" s="11"/>
      <c r="BO178" s="11"/>
      <c r="BP178" s="11"/>
      <c r="BQ178" s="11"/>
      <c r="BR178" s="11"/>
      <c r="BS178" s="11"/>
      <c r="BT178" s="11"/>
      <c r="BU178" s="11"/>
      <c r="BV178" s="11"/>
      <c r="BW178" s="7"/>
      <c r="BX178" s="7"/>
      <c r="BY178" s="7"/>
      <c r="BZ178" s="41"/>
      <c r="CA178" s="7"/>
      <c r="CB178" s="7"/>
      <c r="CC178" s="7"/>
      <c r="CD178" s="7"/>
      <c r="CE178" s="7"/>
      <c r="CF178" s="7"/>
    </row>
    <row r="179">
      <c r="T179" s="11"/>
      <c r="U179" s="11"/>
      <c r="V179" s="11"/>
      <c r="W179" s="11"/>
      <c r="X179" s="11"/>
      <c r="Y179" s="11"/>
      <c r="Z179" s="11"/>
      <c r="AA179" s="11"/>
      <c r="AB179" s="11"/>
      <c r="AC179" s="11"/>
      <c r="AD179" s="11"/>
      <c r="AE179" s="11"/>
      <c r="AF179" s="11"/>
      <c r="AG179" s="11"/>
      <c r="AH179" s="11"/>
      <c r="AI179" s="11"/>
      <c r="AJ179" s="11"/>
      <c r="AK179" s="11"/>
      <c r="AL179" s="11"/>
      <c r="AM179" s="11"/>
      <c r="AN179" s="11"/>
      <c r="AS179" s="7"/>
      <c r="AT179" s="7"/>
      <c r="AU179" s="55"/>
      <c r="AV179" s="7"/>
      <c r="AW179" s="7"/>
      <c r="AX179" s="7"/>
      <c r="AY179" s="7"/>
      <c r="AZ179" s="7"/>
      <c r="BA179" s="7"/>
      <c r="BB179" s="7"/>
      <c r="BC179" s="7"/>
      <c r="BD179" s="28" t="s">
        <v>2440</v>
      </c>
      <c r="BE179" s="15" t="s">
        <v>2441</v>
      </c>
      <c r="BF179" s="11" t="s">
        <v>2442</v>
      </c>
      <c r="BG179" s="16" t="s">
        <v>416</v>
      </c>
      <c r="BH179" s="11"/>
      <c r="BI179" s="14" t="s">
        <v>2443</v>
      </c>
      <c r="BJ179" s="15" t="s">
        <v>2444</v>
      </c>
      <c r="BK179" s="44"/>
      <c r="BL179" s="16" t="s">
        <v>27</v>
      </c>
      <c r="BM179" s="11"/>
      <c r="BN179" s="11"/>
      <c r="BO179" s="11"/>
      <c r="BP179" s="11"/>
      <c r="BQ179" s="11"/>
      <c r="BR179" s="11"/>
      <c r="BS179" s="11"/>
      <c r="BT179" s="11"/>
      <c r="BU179" s="11"/>
      <c r="BV179" s="11"/>
      <c r="BW179" s="7"/>
      <c r="BX179" s="7"/>
      <c r="BY179" s="7"/>
      <c r="BZ179" s="41"/>
      <c r="CA179" s="7"/>
      <c r="CB179" s="7"/>
      <c r="CC179" s="7"/>
      <c r="CD179" s="7"/>
      <c r="CE179" s="7"/>
      <c r="CF179" s="7"/>
    </row>
    <row r="180">
      <c r="T180" s="11"/>
      <c r="U180" s="11"/>
      <c r="V180" s="11"/>
      <c r="W180" s="11"/>
      <c r="X180" s="11"/>
      <c r="Y180" s="11"/>
      <c r="Z180" s="11"/>
      <c r="AA180" s="11"/>
      <c r="AB180" s="11"/>
      <c r="AC180" s="11"/>
      <c r="AD180" s="11"/>
      <c r="AE180" s="11"/>
      <c r="AF180" s="11"/>
      <c r="AG180" s="11"/>
      <c r="AH180" s="11"/>
      <c r="AI180" s="11"/>
      <c r="AJ180" s="11"/>
      <c r="AK180" s="11"/>
      <c r="AL180" s="11"/>
      <c r="AM180" s="11"/>
      <c r="AN180" s="11"/>
      <c r="AS180" s="7"/>
      <c r="AT180" s="7"/>
      <c r="AU180" s="55"/>
      <c r="AV180" s="7"/>
      <c r="AW180" s="7"/>
      <c r="AX180" s="7"/>
      <c r="AY180" s="7"/>
      <c r="AZ180" s="7"/>
      <c r="BA180" s="7"/>
      <c r="BB180" s="7"/>
      <c r="BC180" s="7"/>
      <c r="BD180" s="28" t="s">
        <v>2445</v>
      </c>
      <c r="BE180" s="15" t="s">
        <v>2446</v>
      </c>
      <c r="BF180" s="11" t="s">
        <v>2447</v>
      </c>
      <c r="BG180" s="16" t="s">
        <v>27</v>
      </c>
      <c r="BH180" s="11"/>
      <c r="BI180" s="14" t="s">
        <v>2448</v>
      </c>
      <c r="BJ180" s="15" t="s">
        <v>2449</v>
      </c>
      <c r="BK180" s="44" t="s">
        <v>2450</v>
      </c>
      <c r="BL180" s="16" t="s">
        <v>27</v>
      </c>
      <c r="BM180" s="11"/>
      <c r="BN180" s="11"/>
      <c r="BO180" s="11"/>
      <c r="BP180" s="11"/>
      <c r="BQ180" s="11"/>
      <c r="BR180" s="11"/>
      <c r="BS180" s="11"/>
      <c r="BT180" s="11"/>
      <c r="BU180" s="11"/>
      <c r="BV180" s="11"/>
      <c r="BW180" s="7"/>
      <c r="BX180" s="7"/>
      <c r="BY180" s="7"/>
      <c r="BZ180" s="41"/>
      <c r="CA180" s="7"/>
      <c r="CB180" s="7"/>
      <c r="CC180" s="7"/>
      <c r="CD180" s="7"/>
      <c r="CE180" s="7"/>
      <c r="CF180" s="7"/>
    </row>
    <row r="181">
      <c r="T181" s="11"/>
      <c r="U181" s="11"/>
      <c r="V181" s="11"/>
      <c r="W181" s="11"/>
      <c r="X181" s="11"/>
      <c r="Y181" s="11"/>
      <c r="Z181" s="11"/>
      <c r="AA181" s="11"/>
      <c r="AB181" s="11"/>
      <c r="AC181" s="11"/>
      <c r="AD181" s="11"/>
      <c r="AE181" s="11"/>
      <c r="AF181" s="11"/>
      <c r="AG181" s="11"/>
      <c r="AH181" s="11"/>
      <c r="AI181" s="11"/>
      <c r="AJ181" s="11"/>
      <c r="AK181" s="11"/>
      <c r="AL181" s="11"/>
      <c r="AM181" s="11"/>
      <c r="AN181" s="11"/>
      <c r="AS181" s="7"/>
      <c r="AT181" s="7"/>
      <c r="AU181" s="55"/>
      <c r="AV181" s="7"/>
      <c r="AW181" s="7"/>
      <c r="AX181" s="7"/>
      <c r="AY181" s="7"/>
      <c r="AZ181" s="7"/>
      <c r="BA181" s="7"/>
      <c r="BB181" s="7"/>
      <c r="BC181" s="7"/>
      <c r="BD181" s="28" t="s">
        <v>2451</v>
      </c>
      <c r="BE181" s="15" t="s">
        <v>2452</v>
      </c>
      <c r="BF181" s="11"/>
      <c r="BG181" s="16" t="s">
        <v>27</v>
      </c>
      <c r="BH181" s="11"/>
      <c r="BI181" s="14" t="s">
        <v>2453</v>
      </c>
      <c r="BJ181" s="15" t="s">
        <v>2454</v>
      </c>
      <c r="BK181" s="44"/>
      <c r="BL181" s="16" t="s">
        <v>27</v>
      </c>
      <c r="BM181" s="11"/>
      <c r="BN181" s="11"/>
      <c r="BO181" s="11"/>
      <c r="BP181" s="11"/>
      <c r="BQ181" s="11"/>
      <c r="BR181" s="11"/>
      <c r="BS181" s="11"/>
      <c r="BT181" s="11"/>
      <c r="BU181" s="11"/>
      <c r="BV181" s="11"/>
      <c r="BW181" s="7"/>
      <c r="BX181" s="7"/>
      <c r="BY181" s="7"/>
      <c r="BZ181" s="41"/>
      <c r="CA181" s="7"/>
      <c r="CB181" s="7"/>
      <c r="CC181" s="7"/>
      <c r="CD181" s="7"/>
      <c r="CE181" s="7"/>
      <c r="CF181" s="7"/>
    </row>
    <row r="182">
      <c r="T182" s="11"/>
      <c r="U182" s="11"/>
      <c r="V182" s="11"/>
      <c r="W182" s="11"/>
      <c r="X182" s="11"/>
      <c r="Y182" s="11"/>
      <c r="Z182" s="11"/>
      <c r="AA182" s="11"/>
      <c r="AB182" s="11"/>
      <c r="AC182" s="11"/>
      <c r="AD182" s="11"/>
      <c r="AE182" s="11"/>
      <c r="AF182" s="11"/>
      <c r="AG182" s="11"/>
      <c r="AH182" s="11"/>
      <c r="AI182" s="11"/>
      <c r="AJ182" s="11"/>
      <c r="AK182" s="11"/>
      <c r="AL182" s="11"/>
      <c r="AM182" s="11"/>
      <c r="AN182" s="11"/>
      <c r="AS182" s="7"/>
      <c r="AT182" s="7"/>
      <c r="AU182" s="55"/>
      <c r="AV182" s="7"/>
      <c r="AW182" s="7"/>
      <c r="AX182" s="7"/>
      <c r="AY182" s="7"/>
      <c r="AZ182" s="7"/>
      <c r="BA182" s="7"/>
      <c r="BB182" s="7"/>
      <c r="BC182" s="7"/>
      <c r="BD182" s="28" t="s">
        <v>2455</v>
      </c>
      <c r="BE182" s="15" t="s">
        <v>2456</v>
      </c>
      <c r="BF182" s="11"/>
      <c r="BG182" s="16" t="s">
        <v>27</v>
      </c>
      <c r="BH182" s="11"/>
      <c r="BI182" s="14" t="s">
        <v>2457</v>
      </c>
      <c r="BJ182" s="15" t="s">
        <v>2458</v>
      </c>
      <c r="BK182" s="44" t="s">
        <v>2459</v>
      </c>
      <c r="BL182" s="16" t="s">
        <v>27</v>
      </c>
      <c r="BM182" s="11"/>
      <c r="BN182" s="11"/>
      <c r="BO182" s="11"/>
      <c r="BP182" s="11"/>
      <c r="BQ182" s="11"/>
      <c r="BR182" s="11"/>
      <c r="BS182" s="11"/>
      <c r="BT182" s="11"/>
      <c r="BU182" s="11"/>
      <c r="BV182" s="11"/>
      <c r="BW182" s="7"/>
      <c r="BX182" s="7"/>
      <c r="BY182" s="7"/>
      <c r="BZ182" s="41"/>
      <c r="CA182" s="7"/>
      <c r="CB182" s="7"/>
      <c r="CC182" s="7"/>
      <c r="CD182" s="7"/>
      <c r="CE182" s="7"/>
      <c r="CF182" s="7"/>
    </row>
    <row r="183">
      <c r="T183" s="11"/>
      <c r="U183" s="11"/>
      <c r="V183" s="11"/>
      <c r="W183" s="11"/>
      <c r="X183" s="11"/>
      <c r="Y183" s="11"/>
      <c r="Z183" s="11"/>
      <c r="AA183" s="11"/>
      <c r="AB183" s="11"/>
      <c r="AC183" s="11"/>
      <c r="AD183" s="11"/>
      <c r="AE183" s="11"/>
      <c r="AF183" s="11"/>
      <c r="AG183" s="11"/>
      <c r="AH183" s="11"/>
      <c r="AI183" s="11"/>
      <c r="AJ183" s="11"/>
      <c r="AK183" s="11"/>
      <c r="AL183" s="11"/>
      <c r="AM183" s="11"/>
      <c r="AN183" s="11"/>
      <c r="AS183" s="7"/>
      <c r="AT183" s="7"/>
      <c r="AU183" s="55"/>
      <c r="AV183" s="7"/>
      <c r="AW183" s="7"/>
      <c r="AX183" s="7"/>
      <c r="AY183" s="7"/>
      <c r="AZ183" s="7"/>
      <c r="BA183" s="7"/>
      <c r="BB183" s="7"/>
      <c r="BC183" s="7"/>
      <c r="BD183" s="28" t="s">
        <v>2460</v>
      </c>
      <c r="BE183" s="15" t="s">
        <v>2461</v>
      </c>
      <c r="BF183" s="11"/>
      <c r="BG183" s="16" t="s">
        <v>27</v>
      </c>
      <c r="BH183" s="11"/>
      <c r="BI183" s="14" t="s">
        <v>2462</v>
      </c>
      <c r="BJ183" s="15" t="s">
        <v>2463</v>
      </c>
      <c r="BK183" s="44"/>
      <c r="BL183" s="16" t="s">
        <v>27</v>
      </c>
      <c r="BM183" s="11"/>
      <c r="BN183" s="11"/>
      <c r="BO183" s="11"/>
      <c r="BP183" s="11"/>
      <c r="BQ183" s="11"/>
      <c r="BR183" s="11"/>
      <c r="BS183" s="11"/>
      <c r="BT183" s="11"/>
      <c r="BU183" s="11"/>
      <c r="BV183" s="11"/>
      <c r="BW183" s="7"/>
      <c r="BX183" s="7"/>
      <c r="BY183" s="7"/>
      <c r="BZ183" s="41"/>
      <c r="CA183" s="7"/>
      <c r="CB183" s="7"/>
      <c r="CC183" s="7"/>
      <c r="CD183" s="7"/>
      <c r="CE183" s="7"/>
      <c r="CF183" s="7"/>
    </row>
    <row r="184">
      <c r="T184" s="11"/>
      <c r="U184" s="11"/>
      <c r="V184" s="11"/>
      <c r="W184" s="11"/>
      <c r="X184" s="11"/>
      <c r="Y184" s="11"/>
      <c r="Z184" s="11"/>
      <c r="AA184" s="11"/>
      <c r="AB184" s="11"/>
      <c r="AC184" s="11"/>
      <c r="AD184" s="11"/>
      <c r="AE184" s="11"/>
      <c r="AF184" s="11"/>
      <c r="AG184" s="11"/>
      <c r="AH184" s="11"/>
      <c r="AI184" s="11"/>
      <c r="AJ184" s="11"/>
      <c r="AK184" s="11"/>
      <c r="AL184" s="11"/>
      <c r="AM184" s="11"/>
      <c r="AN184" s="11"/>
      <c r="AS184" s="7"/>
      <c r="AT184" s="7"/>
      <c r="AU184" s="55"/>
      <c r="AV184" s="7"/>
      <c r="AW184" s="7"/>
      <c r="AX184" s="7"/>
      <c r="AY184" s="7"/>
      <c r="AZ184" s="7"/>
      <c r="BA184" s="7"/>
      <c r="BB184" s="7"/>
      <c r="BC184" s="7"/>
      <c r="BD184" s="28" t="s">
        <v>2464</v>
      </c>
      <c r="BE184" s="15" t="s">
        <v>2465</v>
      </c>
      <c r="BF184" s="11"/>
      <c r="BG184" s="16" t="s">
        <v>27</v>
      </c>
      <c r="BH184" s="11"/>
      <c r="BI184" s="14" t="s">
        <v>2466</v>
      </c>
      <c r="BJ184" s="15" t="s">
        <v>2467</v>
      </c>
      <c r="BK184" s="44"/>
      <c r="BL184" s="16" t="s">
        <v>27</v>
      </c>
      <c r="BM184" s="11"/>
      <c r="BN184" s="11"/>
      <c r="BO184" s="11"/>
      <c r="BP184" s="11"/>
      <c r="BQ184" s="11"/>
      <c r="BR184" s="11"/>
      <c r="BS184" s="11"/>
      <c r="BT184" s="11"/>
      <c r="BU184" s="11"/>
      <c r="BV184" s="11"/>
      <c r="BW184" s="7"/>
      <c r="BX184" s="7"/>
      <c r="BY184" s="7"/>
      <c r="BZ184" s="41"/>
      <c r="CA184" s="7"/>
      <c r="CB184" s="7"/>
      <c r="CC184" s="7"/>
      <c r="CD184" s="7"/>
      <c r="CE184" s="7"/>
      <c r="CF184" s="7"/>
    </row>
    <row r="185">
      <c r="T185" s="11"/>
      <c r="U185" s="11"/>
      <c r="V185" s="11"/>
      <c r="W185" s="11"/>
      <c r="X185" s="11"/>
      <c r="Y185" s="11"/>
      <c r="Z185" s="11"/>
      <c r="AA185" s="11"/>
      <c r="AB185" s="11"/>
      <c r="AC185" s="11"/>
      <c r="AD185" s="11"/>
      <c r="AE185" s="11"/>
      <c r="AF185" s="11"/>
      <c r="AG185" s="11"/>
      <c r="AH185" s="11"/>
      <c r="AI185" s="11"/>
      <c r="AJ185" s="11"/>
      <c r="AK185" s="11"/>
      <c r="AL185" s="11"/>
      <c r="AM185" s="11"/>
      <c r="AN185" s="11"/>
      <c r="AS185" s="7"/>
      <c r="AT185" s="7"/>
      <c r="AU185" s="55"/>
      <c r="AV185" s="7"/>
      <c r="AW185" s="7"/>
      <c r="AX185" s="7"/>
      <c r="AY185" s="7"/>
      <c r="AZ185" s="7"/>
      <c r="BA185" s="7"/>
      <c r="BB185" s="7"/>
      <c r="BC185" s="7"/>
      <c r="BD185" s="28" t="s">
        <v>2468</v>
      </c>
      <c r="BE185" s="15" t="s">
        <v>2469</v>
      </c>
      <c r="BF185" s="11"/>
      <c r="BG185" s="16" t="s">
        <v>27</v>
      </c>
      <c r="BH185" s="11"/>
      <c r="BI185" s="14" t="s">
        <v>2470</v>
      </c>
      <c r="BJ185" s="15" t="s">
        <v>2471</v>
      </c>
      <c r="BK185" s="44"/>
      <c r="BL185" s="16" t="s">
        <v>27</v>
      </c>
      <c r="BM185" s="11"/>
      <c r="BN185" s="11"/>
      <c r="BO185" s="11"/>
      <c r="BP185" s="11"/>
      <c r="BQ185" s="11"/>
      <c r="BR185" s="11"/>
      <c r="BS185" s="11"/>
      <c r="BT185" s="11"/>
      <c r="BU185" s="11"/>
      <c r="BV185" s="11"/>
      <c r="BW185" s="7"/>
      <c r="BX185" s="7"/>
      <c r="BY185" s="7"/>
      <c r="BZ185" s="41"/>
      <c r="CA185" s="7"/>
      <c r="CB185" s="7"/>
      <c r="CC185" s="7"/>
      <c r="CD185" s="7"/>
      <c r="CE185" s="7"/>
      <c r="CF185" s="7"/>
    </row>
    <row r="186">
      <c r="T186" s="11"/>
      <c r="U186" s="11"/>
      <c r="V186" s="11"/>
      <c r="W186" s="11"/>
      <c r="X186" s="11"/>
      <c r="Y186" s="11"/>
      <c r="Z186" s="11"/>
      <c r="AA186" s="11"/>
      <c r="AB186" s="11"/>
      <c r="AC186" s="11"/>
      <c r="AD186" s="11"/>
      <c r="AE186" s="11"/>
      <c r="AF186" s="11"/>
      <c r="AG186" s="11"/>
      <c r="AH186" s="11"/>
      <c r="AI186" s="11"/>
      <c r="AJ186" s="11"/>
      <c r="AK186" s="11"/>
      <c r="AL186" s="11"/>
      <c r="AM186" s="11"/>
      <c r="AN186" s="11"/>
      <c r="AS186" s="7"/>
      <c r="AT186" s="7"/>
      <c r="AU186" s="55"/>
      <c r="AV186" s="7"/>
      <c r="AW186" s="7"/>
      <c r="AX186" s="7"/>
      <c r="AY186" s="7"/>
      <c r="AZ186" s="7"/>
      <c r="BA186" s="7"/>
      <c r="BB186" s="7"/>
      <c r="BC186" s="7"/>
      <c r="BD186" s="28" t="s">
        <v>2472</v>
      </c>
      <c r="BE186" s="15" t="s">
        <v>2473</v>
      </c>
      <c r="BF186" s="11"/>
      <c r="BG186" s="16" t="s">
        <v>27</v>
      </c>
      <c r="BH186" s="11"/>
      <c r="BI186" s="14" t="s">
        <v>2474</v>
      </c>
      <c r="BJ186" s="15" t="s">
        <v>2475</v>
      </c>
      <c r="BK186" s="44"/>
      <c r="BL186" s="16" t="s">
        <v>21</v>
      </c>
      <c r="BM186" s="11"/>
      <c r="BN186" s="11"/>
      <c r="BO186" s="11"/>
      <c r="BP186" s="11"/>
      <c r="BQ186" s="11"/>
      <c r="BR186" s="11"/>
      <c r="BS186" s="11"/>
      <c r="BT186" s="11"/>
      <c r="BU186" s="11"/>
      <c r="BV186" s="11"/>
      <c r="BW186" s="7"/>
      <c r="BX186" s="7"/>
      <c r="BY186" s="7"/>
      <c r="BZ186" s="41"/>
      <c r="CA186" s="7"/>
      <c r="CB186" s="7"/>
      <c r="CC186" s="7"/>
      <c r="CD186" s="7"/>
      <c r="CE186" s="7"/>
      <c r="CF186" s="7"/>
    </row>
    <row r="187">
      <c r="T187" s="11"/>
      <c r="U187" s="11"/>
      <c r="V187" s="11"/>
      <c r="W187" s="11"/>
      <c r="X187" s="11"/>
      <c r="Y187" s="11"/>
      <c r="Z187" s="11"/>
      <c r="AA187" s="11"/>
      <c r="AB187" s="11"/>
      <c r="AC187" s="11"/>
      <c r="AD187" s="11"/>
      <c r="AE187" s="11"/>
      <c r="AF187" s="11"/>
      <c r="AG187" s="11"/>
      <c r="AH187" s="11"/>
      <c r="AI187" s="11"/>
      <c r="AJ187" s="11"/>
      <c r="AK187" s="11"/>
      <c r="AL187" s="11"/>
      <c r="AM187" s="11"/>
      <c r="AN187" s="11"/>
      <c r="AS187" s="7"/>
      <c r="AT187" s="7"/>
      <c r="AU187" s="55"/>
      <c r="AV187" s="7"/>
      <c r="AW187" s="7"/>
      <c r="AX187" s="7"/>
      <c r="AY187" s="7"/>
      <c r="AZ187" s="7"/>
      <c r="BA187" s="7"/>
      <c r="BB187" s="7"/>
      <c r="BC187" s="7"/>
      <c r="BD187" s="28" t="s">
        <v>2476</v>
      </c>
      <c r="BE187" s="15" t="s">
        <v>2477</v>
      </c>
      <c r="BF187" s="11"/>
      <c r="BG187" s="16" t="s">
        <v>136</v>
      </c>
      <c r="BH187" s="11"/>
      <c r="BI187" s="14" t="s">
        <v>2478</v>
      </c>
      <c r="BJ187" s="15" t="s">
        <v>2479</v>
      </c>
      <c r="BK187" s="44"/>
      <c r="BL187" s="16" t="s">
        <v>27</v>
      </c>
      <c r="BM187" s="11"/>
      <c r="BN187" s="11"/>
      <c r="BO187" s="11"/>
      <c r="BP187" s="11"/>
      <c r="BQ187" s="11"/>
      <c r="BR187" s="11"/>
      <c r="BS187" s="11"/>
      <c r="BT187" s="11"/>
      <c r="BU187" s="11"/>
      <c r="BV187" s="11"/>
      <c r="BW187" s="7"/>
      <c r="BX187" s="7"/>
      <c r="BY187" s="7"/>
      <c r="BZ187" s="41"/>
      <c r="CA187" s="7"/>
      <c r="CB187" s="7"/>
      <c r="CC187" s="7"/>
      <c r="CD187" s="7"/>
      <c r="CE187" s="7"/>
      <c r="CF187" s="7"/>
    </row>
    <row r="188">
      <c r="T188" s="11"/>
      <c r="U188" s="11"/>
      <c r="V188" s="11"/>
      <c r="W188" s="11"/>
      <c r="X188" s="11"/>
      <c r="Y188" s="11"/>
      <c r="Z188" s="11"/>
      <c r="AA188" s="11"/>
      <c r="AB188" s="11"/>
      <c r="AC188" s="11"/>
      <c r="AD188" s="11"/>
      <c r="AE188" s="11"/>
      <c r="AF188" s="11"/>
      <c r="AG188" s="11"/>
      <c r="AH188" s="11"/>
      <c r="AI188" s="11"/>
      <c r="AJ188" s="11"/>
      <c r="AK188" s="11"/>
      <c r="AL188" s="11"/>
      <c r="AM188" s="11"/>
      <c r="AN188" s="11"/>
      <c r="AS188" s="7"/>
      <c r="AT188" s="7"/>
      <c r="AU188" s="55"/>
      <c r="AV188" s="7"/>
      <c r="AW188" s="7"/>
      <c r="AX188" s="7"/>
      <c r="AY188" s="7"/>
      <c r="AZ188" s="7"/>
      <c r="BA188" s="7"/>
      <c r="BB188" s="7"/>
      <c r="BC188" s="7"/>
      <c r="BD188" s="28" t="s">
        <v>2480</v>
      </c>
      <c r="BE188" s="15" t="s">
        <v>2481</v>
      </c>
      <c r="BF188" s="11" t="s">
        <v>2482</v>
      </c>
      <c r="BG188" s="16" t="s">
        <v>27</v>
      </c>
      <c r="BH188" s="11"/>
      <c r="BI188" s="14" t="s">
        <v>2483</v>
      </c>
      <c r="BJ188" s="15" t="s">
        <v>2484</v>
      </c>
      <c r="BK188" s="44"/>
      <c r="BL188" s="16" t="s">
        <v>27</v>
      </c>
      <c r="BM188" s="11"/>
      <c r="BN188" s="11"/>
      <c r="BO188" s="11"/>
      <c r="BP188" s="11"/>
      <c r="BQ188" s="11"/>
      <c r="BR188" s="11"/>
      <c r="BS188" s="11"/>
      <c r="BT188" s="11"/>
      <c r="BU188" s="11"/>
      <c r="BV188" s="11"/>
      <c r="BW188" s="7"/>
      <c r="BX188" s="7"/>
      <c r="BY188" s="7"/>
      <c r="BZ188" s="41"/>
      <c r="CA188" s="7"/>
      <c r="CB188" s="7"/>
      <c r="CC188" s="7"/>
      <c r="CD188" s="7"/>
      <c r="CE188" s="7"/>
      <c r="CF188" s="7"/>
    </row>
    <row r="189">
      <c r="T189" s="11"/>
      <c r="U189" s="11"/>
      <c r="V189" s="11"/>
      <c r="W189" s="11"/>
      <c r="X189" s="11"/>
      <c r="Y189" s="11"/>
      <c r="Z189" s="11"/>
      <c r="AA189" s="11"/>
      <c r="AB189" s="11"/>
      <c r="AC189" s="11"/>
      <c r="AD189" s="11"/>
      <c r="AE189" s="11"/>
      <c r="AF189" s="11"/>
      <c r="AG189" s="11"/>
      <c r="AH189" s="11"/>
      <c r="AI189" s="11"/>
      <c r="AJ189" s="11"/>
      <c r="AK189" s="11"/>
      <c r="AL189" s="11"/>
      <c r="AM189" s="11"/>
      <c r="AN189" s="11"/>
      <c r="AS189" s="7"/>
      <c r="AT189" s="7"/>
      <c r="AU189" s="55"/>
      <c r="AV189" s="7"/>
      <c r="AW189" s="7"/>
      <c r="AX189" s="7"/>
      <c r="AY189" s="7"/>
      <c r="AZ189" s="7"/>
      <c r="BA189" s="7"/>
      <c r="BB189" s="7"/>
      <c r="BC189" s="7"/>
      <c r="BD189" s="28" t="s">
        <v>2485</v>
      </c>
      <c r="BE189" s="15" t="s">
        <v>2486</v>
      </c>
      <c r="BF189" s="11"/>
      <c r="BG189" s="16" t="s">
        <v>27</v>
      </c>
      <c r="BH189" s="11"/>
      <c r="BI189" s="14" t="s">
        <v>2487</v>
      </c>
      <c r="BJ189" s="15" t="s">
        <v>2488</v>
      </c>
      <c r="BK189" s="44"/>
      <c r="BL189" s="16" t="s">
        <v>27</v>
      </c>
      <c r="BM189" s="11"/>
      <c r="BN189" s="11"/>
      <c r="BO189" s="11"/>
      <c r="BP189" s="11"/>
      <c r="BQ189" s="11"/>
      <c r="BR189" s="11"/>
      <c r="BS189" s="11"/>
      <c r="BT189" s="11"/>
      <c r="BU189" s="11"/>
      <c r="BV189" s="11"/>
      <c r="BW189" s="7"/>
      <c r="BX189" s="7"/>
      <c r="BY189" s="7"/>
      <c r="BZ189" s="41"/>
      <c r="CA189" s="7"/>
      <c r="CB189" s="7"/>
      <c r="CC189" s="7"/>
      <c r="CD189" s="7"/>
      <c r="CE189" s="7"/>
      <c r="CF189" s="7"/>
    </row>
    <row r="190">
      <c r="T190" s="11"/>
      <c r="U190" s="11"/>
      <c r="V190" s="11"/>
      <c r="W190" s="11"/>
      <c r="X190" s="11"/>
      <c r="Y190" s="11"/>
      <c r="Z190" s="11"/>
      <c r="AA190" s="11"/>
      <c r="AB190" s="11"/>
      <c r="AC190" s="11"/>
      <c r="AD190" s="11"/>
      <c r="AE190" s="11"/>
      <c r="AF190" s="11"/>
      <c r="AG190" s="11"/>
      <c r="AH190" s="11"/>
      <c r="AI190" s="11"/>
      <c r="AJ190" s="11"/>
      <c r="AK190" s="11"/>
      <c r="AL190" s="11"/>
      <c r="AM190" s="11"/>
      <c r="AN190" s="11"/>
      <c r="AS190" s="7"/>
      <c r="AT190" s="7"/>
      <c r="AU190" s="55"/>
      <c r="AV190" s="7"/>
      <c r="AW190" s="7"/>
      <c r="AX190" s="7"/>
      <c r="AY190" s="7"/>
      <c r="AZ190" s="7"/>
      <c r="BA190" s="7"/>
      <c r="BB190" s="7"/>
      <c r="BC190" s="7"/>
      <c r="BD190" s="28" t="s">
        <v>2489</v>
      </c>
      <c r="BE190" s="15" t="s">
        <v>2490</v>
      </c>
      <c r="BF190" s="11"/>
      <c r="BG190" s="16" t="s">
        <v>27</v>
      </c>
      <c r="BH190" s="11"/>
      <c r="BI190" s="14" t="s">
        <v>2491</v>
      </c>
      <c r="BJ190" s="15" t="s">
        <v>2492</v>
      </c>
      <c r="BK190" s="44"/>
      <c r="BL190" s="16" t="s">
        <v>27</v>
      </c>
      <c r="BM190" s="11"/>
      <c r="BN190" s="11"/>
      <c r="BO190" s="11"/>
      <c r="BP190" s="11"/>
      <c r="BQ190" s="11"/>
      <c r="BR190" s="11"/>
      <c r="BS190" s="11"/>
      <c r="BT190" s="11"/>
      <c r="BU190" s="11"/>
      <c r="BV190" s="11"/>
      <c r="BW190" s="7"/>
      <c r="BX190" s="7"/>
      <c r="BY190" s="7"/>
      <c r="BZ190" s="41"/>
      <c r="CA190" s="7"/>
      <c r="CB190" s="7"/>
      <c r="CC190" s="7"/>
      <c r="CD190" s="7"/>
      <c r="CE190" s="7"/>
      <c r="CF190" s="7"/>
    </row>
    <row r="191">
      <c r="T191" s="11"/>
      <c r="U191" s="11"/>
      <c r="V191" s="11"/>
      <c r="W191" s="11"/>
      <c r="X191" s="11"/>
      <c r="Y191" s="11"/>
      <c r="Z191" s="11"/>
      <c r="AA191" s="11"/>
      <c r="AB191" s="11"/>
      <c r="AC191" s="11"/>
      <c r="AD191" s="11"/>
      <c r="AE191" s="11"/>
      <c r="AF191" s="11"/>
      <c r="AG191" s="11"/>
      <c r="AH191" s="11"/>
      <c r="AI191" s="11"/>
      <c r="AJ191" s="11"/>
      <c r="AK191" s="11"/>
      <c r="AL191" s="11"/>
      <c r="AM191" s="11"/>
      <c r="AN191" s="11"/>
      <c r="AS191" s="7"/>
      <c r="AT191" s="7"/>
      <c r="AU191" s="55"/>
      <c r="AV191" s="7"/>
      <c r="AW191" s="7"/>
      <c r="AX191" s="7"/>
      <c r="AY191" s="7"/>
      <c r="AZ191" s="7"/>
      <c r="BA191" s="7"/>
      <c r="BB191" s="7"/>
      <c r="BC191" s="7"/>
      <c r="BD191" s="28" t="s">
        <v>2493</v>
      </c>
      <c r="BE191" s="15" t="s">
        <v>2494</v>
      </c>
      <c r="BF191" s="11"/>
      <c r="BG191" s="16" t="s">
        <v>27</v>
      </c>
      <c r="BH191" s="11"/>
      <c r="BI191" s="14" t="s">
        <v>2495</v>
      </c>
      <c r="BJ191" s="15" t="s">
        <v>2496</v>
      </c>
      <c r="BK191" s="44"/>
      <c r="BL191" s="16" t="s">
        <v>27</v>
      </c>
      <c r="BM191" s="11"/>
      <c r="BN191" s="11"/>
      <c r="BO191" s="11"/>
      <c r="BP191" s="11"/>
      <c r="BQ191" s="11"/>
      <c r="BR191" s="11"/>
      <c r="BS191" s="11"/>
      <c r="BT191" s="11"/>
      <c r="BU191" s="11"/>
      <c r="BV191" s="11"/>
      <c r="BW191" s="7"/>
      <c r="BX191" s="7"/>
      <c r="BY191" s="7"/>
      <c r="BZ191" s="41"/>
      <c r="CA191" s="7"/>
      <c r="CB191" s="7"/>
      <c r="CC191" s="7"/>
      <c r="CD191" s="7"/>
      <c r="CE191" s="7"/>
      <c r="CF191" s="7"/>
    </row>
    <row r="192">
      <c r="T192" s="11"/>
      <c r="U192" s="11"/>
      <c r="V192" s="11"/>
      <c r="W192" s="11"/>
      <c r="X192" s="11"/>
      <c r="Y192" s="11"/>
      <c r="Z192" s="11"/>
      <c r="AA192" s="11"/>
      <c r="AB192" s="11"/>
      <c r="AC192" s="11"/>
      <c r="AD192" s="11"/>
      <c r="AE192" s="11"/>
      <c r="AF192" s="11"/>
      <c r="AG192" s="11"/>
      <c r="AH192" s="11"/>
      <c r="AI192" s="11"/>
      <c r="AJ192" s="11"/>
      <c r="AK192" s="11"/>
      <c r="AL192" s="11"/>
      <c r="AM192" s="11"/>
      <c r="AN192" s="11"/>
      <c r="AS192" s="7"/>
      <c r="AT192" s="7"/>
      <c r="AU192" s="55"/>
      <c r="AV192" s="7"/>
      <c r="AW192" s="7"/>
      <c r="AX192" s="7"/>
      <c r="AY192" s="7"/>
      <c r="AZ192" s="7"/>
      <c r="BA192" s="7"/>
      <c r="BB192" s="7"/>
      <c r="BC192" s="7"/>
      <c r="BD192" s="28" t="s">
        <v>2497</v>
      </c>
      <c r="BE192" s="15" t="s">
        <v>2498</v>
      </c>
      <c r="BF192" s="11"/>
      <c r="BG192" s="16" t="s">
        <v>27</v>
      </c>
      <c r="BH192" s="11"/>
      <c r="BI192" s="14" t="s">
        <v>2499</v>
      </c>
      <c r="BJ192" s="15" t="s">
        <v>2500</v>
      </c>
      <c r="BK192" s="44"/>
      <c r="BL192" s="16" t="s">
        <v>27</v>
      </c>
      <c r="BM192" s="11"/>
      <c r="BN192" s="11"/>
      <c r="BO192" s="11"/>
      <c r="BP192" s="11"/>
      <c r="BQ192" s="11"/>
      <c r="BR192" s="11"/>
      <c r="BS192" s="11"/>
      <c r="BT192" s="11"/>
      <c r="BU192" s="11"/>
      <c r="BV192" s="11"/>
      <c r="BW192" s="7"/>
      <c r="BX192" s="7"/>
      <c r="BY192" s="7"/>
      <c r="BZ192" s="41"/>
      <c r="CA192" s="7"/>
      <c r="CB192" s="7"/>
      <c r="CC192" s="7"/>
      <c r="CD192" s="7"/>
      <c r="CE192" s="7"/>
      <c r="CF192" s="7"/>
    </row>
    <row r="193">
      <c r="T193" s="11"/>
      <c r="U193" s="11"/>
      <c r="V193" s="11"/>
      <c r="W193" s="11"/>
      <c r="X193" s="11"/>
      <c r="Y193" s="11"/>
      <c r="Z193" s="11"/>
      <c r="AA193" s="11"/>
      <c r="AB193" s="11"/>
      <c r="AC193" s="11"/>
      <c r="AD193" s="11"/>
      <c r="AE193" s="11"/>
      <c r="AF193" s="11"/>
      <c r="AG193" s="11"/>
      <c r="AH193" s="11"/>
      <c r="AI193" s="11"/>
      <c r="AJ193" s="11"/>
      <c r="AK193" s="11"/>
      <c r="AL193" s="11"/>
      <c r="AM193" s="11"/>
      <c r="AN193" s="11"/>
      <c r="AS193" s="7"/>
      <c r="AT193" s="7"/>
      <c r="AU193" s="55"/>
      <c r="AV193" s="7"/>
      <c r="AW193" s="7"/>
      <c r="AX193" s="7"/>
      <c r="AY193" s="7"/>
      <c r="AZ193" s="7"/>
      <c r="BA193" s="7"/>
      <c r="BB193" s="7"/>
      <c r="BC193" s="7"/>
      <c r="BD193" s="28" t="s">
        <v>2501</v>
      </c>
      <c r="BE193" s="15" t="s">
        <v>2502</v>
      </c>
      <c r="BF193" s="11"/>
      <c r="BG193" s="16" t="s">
        <v>27</v>
      </c>
      <c r="BH193" s="11"/>
      <c r="BI193" s="14" t="s">
        <v>2503</v>
      </c>
      <c r="BJ193" s="15" t="s">
        <v>2504</v>
      </c>
      <c r="BK193" s="44"/>
      <c r="BL193" s="16" t="s">
        <v>27</v>
      </c>
      <c r="BM193" s="11"/>
      <c r="BN193" s="11"/>
      <c r="BO193" s="11"/>
      <c r="BP193" s="11"/>
      <c r="BQ193" s="11"/>
      <c r="BR193" s="11"/>
      <c r="BS193" s="11"/>
      <c r="BT193" s="11"/>
      <c r="BU193" s="11"/>
      <c r="BV193" s="11"/>
      <c r="BW193" s="7"/>
      <c r="BX193" s="7"/>
      <c r="BY193" s="7"/>
      <c r="BZ193" s="41"/>
      <c r="CA193" s="7"/>
      <c r="CB193" s="7"/>
      <c r="CC193" s="7"/>
      <c r="CD193" s="7"/>
      <c r="CE193" s="7"/>
      <c r="CF193" s="7"/>
    </row>
    <row r="194">
      <c r="T194" s="11"/>
      <c r="U194" s="11"/>
      <c r="V194" s="11"/>
      <c r="W194" s="11"/>
      <c r="X194" s="11"/>
      <c r="Y194" s="11"/>
      <c r="Z194" s="11"/>
      <c r="AA194" s="11"/>
      <c r="AB194" s="11"/>
      <c r="AC194" s="11"/>
      <c r="AD194" s="11"/>
      <c r="AE194" s="11"/>
      <c r="AF194" s="11"/>
      <c r="AG194" s="11"/>
      <c r="AH194" s="11"/>
      <c r="AI194" s="11"/>
      <c r="AJ194" s="11"/>
      <c r="AK194" s="11"/>
      <c r="AL194" s="11"/>
      <c r="AM194" s="11"/>
      <c r="AN194" s="11"/>
      <c r="AS194" s="7"/>
      <c r="AT194" s="7"/>
      <c r="AU194" s="55"/>
      <c r="AV194" s="7"/>
      <c r="AW194" s="7"/>
      <c r="AX194" s="7"/>
      <c r="AY194" s="7"/>
      <c r="AZ194" s="7"/>
      <c r="BA194" s="7"/>
      <c r="BB194" s="7"/>
      <c r="BC194" s="7"/>
      <c r="BD194" s="28" t="s">
        <v>2505</v>
      </c>
      <c r="BE194" s="15" t="s">
        <v>2506</v>
      </c>
      <c r="BF194" s="11" t="s">
        <v>2507</v>
      </c>
      <c r="BG194" s="16" t="s">
        <v>27</v>
      </c>
      <c r="BH194" s="11"/>
      <c r="BI194" s="14" t="s">
        <v>2508</v>
      </c>
      <c r="BJ194" s="15" t="s">
        <v>2509</v>
      </c>
      <c r="BK194" s="44"/>
      <c r="BL194" s="16" t="s">
        <v>27</v>
      </c>
      <c r="BM194" s="11"/>
      <c r="BN194" s="11"/>
      <c r="BO194" s="11"/>
      <c r="BP194" s="11"/>
      <c r="BQ194" s="11"/>
      <c r="BR194" s="11"/>
      <c r="BS194" s="11"/>
      <c r="BT194" s="11"/>
      <c r="BU194" s="11"/>
      <c r="BV194" s="11"/>
      <c r="BW194" s="7"/>
      <c r="BX194" s="7"/>
      <c r="BY194" s="7"/>
      <c r="BZ194" s="41"/>
      <c r="CA194" s="7"/>
      <c r="CB194" s="7"/>
      <c r="CC194" s="7"/>
      <c r="CD194" s="7"/>
      <c r="CE194" s="7"/>
      <c r="CF194" s="7"/>
    </row>
    <row r="195">
      <c r="T195" s="11"/>
      <c r="U195" s="11"/>
      <c r="V195" s="11"/>
      <c r="W195" s="11"/>
      <c r="X195" s="11"/>
      <c r="Y195" s="11"/>
      <c r="Z195" s="11"/>
      <c r="AA195" s="11"/>
      <c r="AB195" s="11"/>
      <c r="AC195" s="11"/>
      <c r="AD195" s="11"/>
      <c r="AE195" s="11"/>
      <c r="AF195" s="11"/>
      <c r="AG195" s="11"/>
      <c r="AH195" s="11"/>
      <c r="AI195" s="11"/>
      <c r="AJ195" s="11"/>
      <c r="AK195" s="11"/>
      <c r="AL195" s="11"/>
      <c r="AM195" s="11"/>
      <c r="AN195" s="11"/>
      <c r="AS195" s="7"/>
      <c r="AT195" s="7"/>
      <c r="AU195" s="55"/>
      <c r="AV195" s="7"/>
      <c r="AW195" s="7"/>
      <c r="AX195" s="7"/>
      <c r="AY195" s="7"/>
      <c r="AZ195" s="7"/>
      <c r="BA195" s="7"/>
      <c r="BB195" s="7"/>
      <c r="BC195" s="7"/>
      <c r="BD195" s="28" t="s">
        <v>2510</v>
      </c>
      <c r="BE195" s="15" t="s">
        <v>2511</v>
      </c>
      <c r="BF195" s="11"/>
      <c r="BG195" s="16" t="s">
        <v>27</v>
      </c>
      <c r="BH195" s="11"/>
      <c r="BI195" s="14" t="s">
        <v>2512</v>
      </c>
      <c r="BJ195" s="15" t="s">
        <v>2513</v>
      </c>
      <c r="BK195" s="44"/>
      <c r="BL195" s="16" t="s">
        <v>27</v>
      </c>
      <c r="BM195" s="11"/>
      <c r="BN195" s="11"/>
      <c r="BO195" s="11"/>
      <c r="BP195" s="11"/>
      <c r="BQ195" s="11"/>
      <c r="BR195" s="11"/>
      <c r="BS195" s="11"/>
      <c r="BT195" s="11"/>
      <c r="BU195" s="11"/>
      <c r="BV195" s="11"/>
      <c r="BW195" s="7"/>
      <c r="BX195" s="7"/>
      <c r="BY195" s="7"/>
      <c r="BZ195" s="41"/>
      <c r="CA195" s="7"/>
      <c r="CB195" s="7"/>
      <c r="CC195" s="7"/>
      <c r="CD195" s="7"/>
      <c r="CE195" s="7"/>
      <c r="CF195" s="7"/>
    </row>
    <row r="196">
      <c r="T196" s="11"/>
      <c r="U196" s="11"/>
      <c r="V196" s="11"/>
      <c r="W196" s="11"/>
      <c r="X196" s="11"/>
      <c r="Y196" s="11"/>
      <c r="Z196" s="11"/>
      <c r="AA196" s="11"/>
      <c r="AB196" s="11"/>
      <c r="AC196" s="11"/>
      <c r="AD196" s="11"/>
      <c r="AE196" s="11"/>
      <c r="AF196" s="11"/>
      <c r="AG196" s="11"/>
      <c r="AH196" s="11"/>
      <c r="AI196" s="11"/>
      <c r="AJ196" s="11"/>
      <c r="AK196" s="11"/>
      <c r="AL196" s="11"/>
      <c r="AM196" s="11"/>
      <c r="AN196" s="11"/>
      <c r="AS196" s="7"/>
      <c r="AT196" s="7"/>
      <c r="AU196" s="55"/>
      <c r="AV196" s="7"/>
      <c r="AW196" s="7"/>
      <c r="AX196" s="7"/>
      <c r="AY196" s="7"/>
      <c r="AZ196" s="7"/>
      <c r="BA196" s="7"/>
      <c r="BB196" s="7"/>
      <c r="BC196" s="7"/>
      <c r="BD196" s="28" t="s">
        <v>2514</v>
      </c>
      <c r="BE196" s="15" t="s">
        <v>2515</v>
      </c>
      <c r="BF196" s="11"/>
      <c r="BG196" s="16" t="s">
        <v>27</v>
      </c>
      <c r="BH196" s="11"/>
      <c r="BI196" s="14" t="s">
        <v>2516</v>
      </c>
      <c r="BJ196" s="15" t="s">
        <v>2517</v>
      </c>
      <c r="BK196" s="44"/>
      <c r="BL196" s="16" t="s">
        <v>27</v>
      </c>
      <c r="BM196" s="11"/>
      <c r="BN196" s="11"/>
      <c r="BO196" s="11"/>
      <c r="BP196" s="11"/>
      <c r="BQ196" s="11"/>
      <c r="BR196" s="11"/>
      <c r="BS196" s="11"/>
      <c r="BT196" s="11"/>
      <c r="BU196" s="11"/>
      <c r="BV196" s="11"/>
      <c r="BW196" s="7"/>
      <c r="BX196" s="7"/>
      <c r="BY196" s="7"/>
      <c r="BZ196" s="41"/>
      <c r="CA196" s="7"/>
      <c r="CB196" s="7"/>
      <c r="CC196" s="7"/>
      <c r="CD196" s="7"/>
      <c r="CE196" s="7"/>
      <c r="CF196" s="7"/>
    </row>
    <row r="197">
      <c r="T197" s="11"/>
      <c r="U197" s="11"/>
      <c r="V197" s="11"/>
      <c r="W197" s="11"/>
      <c r="X197" s="11"/>
      <c r="Y197" s="11"/>
      <c r="Z197" s="11"/>
      <c r="AA197" s="11"/>
      <c r="AB197" s="11"/>
      <c r="AC197" s="11"/>
      <c r="AD197" s="11"/>
      <c r="AE197" s="11"/>
      <c r="AF197" s="11"/>
      <c r="AG197" s="11"/>
      <c r="AH197" s="11"/>
      <c r="AI197" s="11"/>
      <c r="AJ197" s="11"/>
      <c r="AK197" s="11"/>
      <c r="AL197" s="11"/>
      <c r="AM197" s="11"/>
      <c r="AN197" s="11"/>
      <c r="AS197" s="7"/>
      <c r="AT197" s="7"/>
      <c r="AU197" s="55"/>
      <c r="AV197" s="7"/>
      <c r="AW197" s="7"/>
      <c r="AX197" s="7"/>
      <c r="AY197" s="7"/>
      <c r="AZ197" s="7"/>
      <c r="BA197" s="7"/>
      <c r="BB197" s="7"/>
      <c r="BC197" s="7"/>
      <c r="BD197" s="28" t="s">
        <v>2518</v>
      </c>
      <c r="BE197" s="15" t="s">
        <v>2519</v>
      </c>
      <c r="BF197" s="11" t="s">
        <v>2520</v>
      </c>
      <c r="BG197" s="16" t="s">
        <v>33</v>
      </c>
      <c r="BH197" s="11"/>
      <c r="BI197" s="14" t="s">
        <v>2521</v>
      </c>
      <c r="BJ197" s="15" t="s">
        <v>2522</v>
      </c>
      <c r="BK197" s="44" t="s">
        <v>2523</v>
      </c>
      <c r="BL197" s="16"/>
      <c r="BM197" s="11"/>
      <c r="BN197" s="11"/>
      <c r="BO197" s="11"/>
      <c r="BP197" s="11"/>
      <c r="BQ197" s="11"/>
      <c r="BR197" s="11"/>
      <c r="BS197" s="11"/>
      <c r="BT197" s="11"/>
      <c r="BU197" s="11"/>
      <c r="BV197" s="11"/>
      <c r="BW197" s="7"/>
      <c r="BX197" s="7"/>
      <c r="BY197" s="7"/>
      <c r="BZ197" s="41"/>
      <c r="CA197" s="7"/>
      <c r="CB197" s="7"/>
      <c r="CC197" s="7"/>
      <c r="CD197" s="7"/>
      <c r="CE197" s="7"/>
      <c r="CF197" s="7"/>
    </row>
    <row r="198">
      <c r="T198" s="11"/>
      <c r="U198" s="11"/>
      <c r="V198" s="11"/>
      <c r="W198" s="11"/>
      <c r="X198" s="11"/>
      <c r="Y198" s="11"/>
      <c r="Z198" s="11"/>
      <c r="AA198" s="11"/>
      <c r="AB198" s="11"/>
      <c r="AC198" s="11"/>
      <c r="AD198" s="11"/>
      <c r="AE198" s="11"/>
      <c r="AF198" s="11"/>
      <c r="AG198" s="11"/>
      <c r="AH198" s="11"/>
      <c r="AI198" s="11"/>
      <c r="AJ198" s="11"/>
      <c r="AK198" s="11"/>
      <c r="AL198" s="11"/>
      <c r="AM198" s="11"/>
      <c r="AN198" s="11"/>
      <c r="AS198" s="7"/>
      <c r="AT198" s="7"/>
      <c r="AU198" s="55"/>
      <c r="AV198" s="7"/>
      <c r="AW198" s="7"/>
      <c r="AX198" s="7"/>
      <c r="AY198" s="7"/>
      <c r="AZ198" s="7"/>
      <c r="BA198" s="7"/>
      <c r="BB198" s="7"/>
      <c r="BC198" s="7"/>
      <c r="BD198" s="28" t="s">
        <v>2524</v>
      </c>
      <c r="BE198" s="15" t="s">
        <v>2525</v>
      </c>
      <c r="BF198" s="11"/>
      <c r="BG198" s="16" t="s">
        <v>27</v>
      </c>
      <c r="BH198" s="11"/>
      <c r="BI198" s="14" t="s">
        <v>2526</v>
      </c>
      <c r="BJ198" s="15" t="s">
        <v>2527</v>
      </c>
      <c r="BK198" s="44"/>
      <c r="BL198" s="16"/>
      <c r="BM198" s="11"/>
      <c r="BN198" s="11"/>
      <c r="BO198" s="11"/>
      <c r="BP198" s="11"/>
      <c r="BQ198" s="11"/>
      <c r="BR198" s="11"/>
      <c r="BS198" s="11"/>
      <c r="BT198" s="11"/>
      <c r="BU198" s="11"/>
      <c r="BV198" s="11"/>
      <c r="BW198" s="7"/>
      <c r="BX198" s="7"/>
      <c r="BY198" s="7"/>
      <c r="BZ198" s="41"/>
      <c r="CA198" s="7"/>
      <c r="CB198" s="7"/>
      <c r="CC198" s="7"/>
      <c r="CD198" s="7"/>
      <c r="CE198" s="7"/>
      <c r="CF198" s="7"/>
    </row>
    <row r="199">
      <c r="T199" s="11"/>
      <c r="U199" s="11"/>
      <c r="V199" s="11"/>
      <c r="W199" s="11"/>
      <c r="X199" s="11"/>
      <c r="Y199" s="11"/>
      <c r="Z199" s="11"/>
      <c r="AA199" s="11"/>
      <c r="AB199" s="11"/>
      <c r="AC199" s="11"/>
      <c r="AD199" s="11"/>
      <c r="AE199" s="11"/>
      <c r="AF199" s="11"/>
      <c r="AG199" s="11"/>
      <c r="AH199" s="11"/>
      <c r="AI199" s="11"/>
      <c r="AJ199" s="11"/>
      <c r="AK199" s="11"/>
      <c r="AL199" s="11"/>
      <c r="AM199" s="11"/>
      <c r="AN199" s="11"/>
      <c r="AS199" s="7"/>
      <c r="AT199" s="7"/>
      <c r="AU199" s="55"/>
      <c r="AV199" s="7"/>
      <c r="AW199" s="7"/>
      <c r="AX199" s="7"/>
      <c r="AY199" s="7"/>
      <c r="AZ199" s="7"/>
      <c r="BA199" s="7"/>
      <c r="BB199" s="7"/>
      <c r="BC199" s="7"/>
      <c r="BD199" s="56"/>
      <c r="BE199" s="57" t="s">
        <v>1494</v>
      </c>
      <c r="BF199" s="58"/>
      <c r="BG199" s="59">
        <f>COUNTIF($BG$3:$BG$198,"consented")</f>
        <v>10</v>
      </c>
      <c r="BH199" s="11"/>
      <c r="BI199" s="14" t="s">
        <v>2528</v>
      </c>
      <c r="BJ199" s="15" t="s">
        <v>2529</v>
      </c>
      <c r="BK199" s="44"/>
      <c r="BL199" s="16"/>
      <c r="BM199" s="11"/>
      <c r="BN199" s="11"/>
      <c r="BO199" s="11"/>
      <c r="BP199" s="11"/>
      <c r="BQ199" s="11"/>
      <c r="BR199" s="11"/>
      <c r="BS199" s="11"/>
      <c r="BT199" s="11"/>
      <c r="BU199" s="11"/>
      <c r="BV199" s="11"/>
      <c r="BW199" s="7"/>
      <c r="BX199" s="7"/>
      <c r="BY199" s="7"/>
      <c r="BZ199" s="41"/>
      <c r="CA199" s="7"/>
      <c r="CB199" s="7"/>
      <c r="CC199" s="7"/>
      <c r="CD199" s="7"/>
      <c r="CE199" s="7"/>
      <c r="CF199" s="7"/>
    </row>
    <row r="200">
      <c r="T200" s="11"/>
      <c r="U200" s="11"/>
      <c r="V200" s="11"/>
      <c r="W200" s="11"/>
      <c r="X200" s="11"/>
      <c r="Y200" s="11"/>
      <c r="Z200" s="11"/>
      <c r="AA200" s="11"/>
      <c r="AB200" s="11"/>
      <c r="AC200" s="11"/>
      <c r="AD200" s="11"/>
      <c r="AE200" s="11"/>
      <c r="AF200" s="11"/>
      <c r="AG200" s="11"/>
      <c r="AH200" s="11"/>
      <c r="AI200" s="11"/>
      <c r="AJ200" s="11"/>
      <c r="AK200" s="11"/>
      <c r="AL200" s="11"/>
      <c r="AM200" s="11"/>
      <c r="AN200" s="11"/>
      <c r="AS200" s="7"/>
      <c r="AT200" s="7"/>
      <c r="AU200" s="55"/>
      <c r="AV200" s="7"/>
      <c r="AW200" s="7"/>
      <c r="AX200" s="7"/>
      <c r="AY200" s="7"/>
      <c r="AZ200" s="7"/>
      <c r="BA200" s="7"/>
      <c r="BB200" s="7"/>
      <c r="BC200" s="7"/>
      <c r="BD200" s="60"/>
      <c r="BE200" s="44"/>
      <c r="BF200" s="11"/>
      <c r="BG200" s="19"/>
      <c r="BH200" s="11"/>
      <c r="BI200" s="14" t="s">
        <v>2530</v>
      </c>
      <c r="BJ200" s="15" t="s">
        <v>2531</v>
      </c>
      <c r="BK200" s="44" t="s">
        <v>2532</v>
      </c>
      <c r="BL200" s="16"/>
      <c r="BM200" s="11"/>
      <c r="BN200" s="11"/>
      <c r="BO200" s="11"/>
      <c r="BP200" s="11"/>
      <c r="BQ200" s="11"/>
      <c r="BR200" s="11"/>
      <c r="BS200" s="11"/>
      <c r="BT200" s="11"/>
      <c r="BU200" s="11"/>
      <c r="BV200" s="11"/>
      <c r="BW200" s="7"/>
      <c r="BX200" s="7"/>
      <c r="BY200" s="7"/>
      <c r="BZ200" s="41"/>
      <c r="CA200" s="7"/>
      <c r="CB200" s="7"/>
      <c r="CC200" s="7"/>
      <c r="CD200" s="7"/>
      <c r="CE200" s="7"/>
      <c r="CF200" s="7"/>
    </row>
    <row r="201">
      <c r="T201" s="11"/>
      <c r="U201" s="11"/>
      <c r="V201" s="11"/>
      <c r="W201" s="11"/>
      <c r="X201" s="11"/>
      <c r="Y201" s="11"/>
      <c r="Z201" s="11"/>
      <c r="AA201" s="11"/>
      <c r="AB201" s="11"/>
      <c r="AC201" s="11"/>
      <c r="AD201" s="11"/>
      <c r="AE201" s="11"/>
      <c r="AF201" s="11"/>
      <c r="AG201" s="11"/>
      <c r="AH201" s="11"/>
      <c r="AI201" s="11"/>
      <c r="AJ201" s="11"/>
      <c r="AK201" s="11"/>
      <c r="AL201" s="11"/>
      <c r="AM201" s="11"/>
      <c r="AN201" s="11"/>
      <c r="AS201" s="7"/>
      <c r="AT201" s="7"/>
      <c r="AU201" s="55"/>
      <c r="AV201" s="7"/>
      <c r="AW201" s="7"/>
      <c r="AX201" s="7"/>
      <c r="AY201" s="7"/>
      <c r="AZ201" s="7"/>
      <c r="BA201" s="7"/>
      <c r="BB201" s="7"/>
      <c r="BC201" s="7"/>
      <c r="BD201" s="60"/>
      <c r="BE201" s="44"/>
      <c r="BF201" s="11"/>
      <c r="BG201" s="19"/>
      <c r="BH201" s="11"/>
      <c r="BI201" s="14" t="s">
        <v>2533</v>
      </c>
      <c r="BJ201" s="15" t="s">
        <v>2534</v>
      </c>
      <c r="BK201" s="44"/>
      <c r="BL201" s="16"/>
      <c r="BM201" s="11"/>
      <c r="BN201" s="11"/>
      <c r="BO201" s="11"/>
      <c r="BP201" s="11"/>
      <c r="BQ201" s="11"/>
      <c r="BR201" s="11"/>
      <c r="BS201" s="11"/>
      <c r="BT201" s="11"/>
      <c r="BU201" s="11"/>
      <c r="BV201" s="11"/>
      <c r="BW201" s="7"/>
      <c r="BX201" s="7"/>
      <c r="BY201" s="7"/>
      <c r="BZ201" s="41"/>
      <c r="CA201" s="7"/>
      <c r="CB201" s="7"/>
      <c r="CC201" s="7"/>
      <c r="CD201" s="7"/>
      <c r="CE201" s="7"/>
      <c r="CF201" s="7"/>
    </row>
    <row r="202">
      <c r="T202" s="11"/>
      <c r="U202" s="11"/>
      <c r="V202" s="11"/>
      <c r="W202" s="11"/>
      <c r="X202" s="11"/>
      <c r="Y202" s="11"/>
      <c r="Z202" s="11"/>
      <c r="AA202" s="11"/>
      <c r="AB202" s="11"/>
      <c r="AC202" s="11"/>
      <c r="AD202" s="11"/>
      <c r="AE202" s="11"/>
      <c r="AF202" s="11"/>
      <c r="AG202" s="11"/>
      <c r="AH202" s="11"/>
      <c r="AI202" s="11"/>
      <c r="AJ202" s="11"/>
      <c r="AK202" s="11"/>
      <c r="AL202" s="11"/>
      <c r="AM202" s="11"/>
      <c r="AN202" s="11"/>
      <c r="AS202" s="7"/>
      <c r="AT202" s="7"/>
      <c r="AU202" s="55"/>
      <c r="AV202" s="7"/>
      <c r="AW202" s="7"/>
      <c r="AX202" s="7"/>
      <c r="AY202" s="7"/>
      <c r="AZ202" s="7"/>
      <c r="BA202" s="7"/>
      <c r="BB202" s="7"/>
      <c r="BC202" s="7"/>
      <c r="BD202" s="60"/>
      <c r="BE202" s="44"/>
      <c r="BF202" s="11"/>
      <c r="BG202" s="19"/>
      <c r="BH202" s="11"/>
      <c r="BI202" s="14" t="s">
        <v>2535</v>
      </c>
      <c r="BJ202" s="15" t="s">
        <v>2536</v>
      </c>
      <c r="BK202" s="44"/>
      <c r="BL202" s="16" t="s">
        <v>33</v>
      </c>
      <c r="BM202" s="11"/>
      <c r="BN202" s="11"/>
      <c r="BO202" s="11"/>
      <c r="BP202" s="11"/>
      <c r="BQ202" s="11"/>
      <c r="BR202" s="11"/>
      <c r="BS202" s="11"/>
      <c r="BT202" s="11"/>
      <c r="BU202" s="11"/>
      <c r="BV202" s="11"/>
      <c r="BW202" s="7"/>
      <c r="BX202" s="7"/>
      <c r="BY202" s="7"/>
      <c r="BZ202" s="41"/>
      <c r="CA202" s="7"/>
      <c r="CB202" s="7"/>
      <c r="CC202" s="7"/>
      <c r="CD202" s="7"/>
      <c r="CE202" s="7"/>
      <c r="CF202" s="7"/>
    </row>
    <row r="203">
      <c r="T203" s="11"/>
      <c r="U203" s="11"/>
      <c r="V203" s="11"/>
      <c r="W203" s="11"/>
      <c r="X203" s="11"/>
      <c r="Y203" s="11"/>
      <c r="Z203" s="11"/>
      <c r="AA203" s="11"/>
      <c r="AB203" s="11"/>
      <c r="AC203" s="11"/>
      <c r="AD203" s="11"/>
      <c r="AE203" s="11"/>
      <c r="AF203" s="11"/>
      <c r="AG203" s="11"/>
      <c r="AH203" s="11"/>
      <c r="AI203" s="11"/>
      <c r="AJ203" s="11"/>
      <c r="AK203" s="11"/>
      <c r="AL203" s="11"/>
      <c r="AM203" s="11"/>
      <c r="AN203" s="11"/>
      <c r="AS203" s="7"/>
      <c r="AT203" s="7"/>
      <c r="AU203" s="55"/>
      <c r="AV203" s="7"/>
      <c r="AW203" s="7"/>
      <c r="AX203" s="7"/>
      <c r="AY203" s="7"/>
      <c r="AZ203" s="7"/>
      <c r="BA203" s="7"/>
      <c r="BB203" s="7"/>
      <c r="BC203" s="7"/>
      <c r="BD203" s="60"/>
      <c r="BE203" s="44"/>
      <c r="BF203" s="11"/>
      <c r="BG203" s="19"/>
      <c r="BH203" s="11"/>
      <c r="BI203" s="14" t="s">
        <v>2537</v>
      </c>
      <c r="BJ203" s="15" t="s">
        <v>2538</v>
      </c>
      <c r="BK203" s="44"/>
      <c r="BL203" s="16"/>
      <c r="BM203" s="11"/>
      <c r="BN203" s="11"/>
      <c r="BO203" s="11"/>
      <c r="BP203" s="11"/>
      <c r="BQ203" s="11"/>
      <c r="BR203" s="11"/>
      <c r="BS203" s="11"/>
      <c r="BT203" s="11"/>
      <c r="BU203" s="11"/>
      <c r="BV203" s="11"/>
      <c r="BW203" s="7"/>
      <c r="BX203" s="7"/>
      <c r="BY203" s="7"/>
      <c r="BZ203" s="41"/>
      <c r="CA203" s="7"/>
      <c r="CB203" s="7"/>
      <c r="CC203" s="7"/>
      <c r="CD203" s="7"/>
      <c r="CE203" s="7"/>
      <c r="CF203" s="7"/>
    </row>
    <row r="204">
      <c r="T204" s="11"/>
      <c r="U204" s="11"/>
      <c r="V204" s="11"/>
      <c r="W204" s="11"/>
      <c r="X204" s="11"/>
      <c r="Y204" s="11"/>
      <c r="Z204" s="11"/>
      <c r="AA204" s="11"/>
      <c r="AB204" s="11"/>
      <c r="AC204" s="11"/>
      <c r="AD204" s="11"/>
      <c r="AE204" s="11"/>
      <c r="AF204" s="11"/>
      <c r="AG204" s="11"/>
      <c r="AH204" s="11"/>
      <c r="AI204" s="11"/>
      <c r="AJ204" s="11"/>
      <c r="AK204" s="11"/>
      <c r="AL204" s="11"/>
      <c r="AM204" s="11"/>
      <c r="AN204" s="11"/>
      <c r="AS204" s="7"/>
      <c r="AT204" s="7"/>
      <c r="AU204" s="55"/>
      <c r="AV204" s="7"/>
      <c r="AW204" s="7"/>
      <c r="AX204" s="7"/>
      <c r="AY204" s="7"/>
      <c r="AZ204" s="7"/>
      <c r="BA204" s="7"/>
      <c r="BB204" s="7"/>
      <c r="BC204" s="7"/>
      <c r="BD204" s="60"/>
      <c r="BE204" s="44"/>
      <c r="BF204" s="11"/>
      <c r="BG204" s="19"/>
      <c r="BH204" s="11"/>
      <c r="BI204" s="14" t="s">
        <v>2539</v>
      </c>
      <c r="BJ204" s="15" t="s">
        <v>2540</v>
      </c>
      <c r="BK204" s="44"/>
      <c r="BL204" s="16" t="s">
        <v>33</v>
      </c>
      <c r="BM204" s="11"/>
      <c r="BN204" s="11"/>
      <c r="BO204" s="11"/>
      <c r="BP204" s="11"/>
      <c r="BQ204" s="11"/>
      <c r="BR204" s="11"/>
      <c r="BS204" s="11"/>
      <c r="BT204" s="11"/>
      <c r="BU204" s="11"/>
      <c r="BV204" s="11"/>
      <c r="BW204" s="7"/>
      <c r="BX204" s="7"/>
      <c r="BY204" s="7"/>
      <c r="BZ204" s="41"/>
      <c r="CA204" s="7"/>
      <c r="CB204" s="7"/>
      <c r="CC204" s="7"/>
      <c r="CD204" s="7"/>
      <c r="CE204" s="7"/>
      <c r="CF204" s="7"/>
    </row>
    <row r="205">
      <c r="T205" s="11"/>
      <c r="U205" s="11"/>
      <c r="V205" s="11"/>
      <c r="W205" s="11"/>
      <c r="X205" s="11"/>
      <c r="Y205" s="11"/>
      <c r="Z205" s="11"/>
      <c r="AA205" s="11"/>
      <c r="AB205" s="11"/>
      <c r="AC205" s="11"/>
      <c r="AD205" s="11"/>
      <c r="AE205" s="11"/>
      <c r="AF205" s="11"/>
      <c r="AG205" s="11"/>
      <c r="AH205" s="11"/>
      <c r="AI205" s="11"/>
      <c r="AJ205" s="11"/>
      <c r="AK205" s="11"/>
      <c r="AL205" s="11"/>
      <c r="AM205" s="11"/>
      <c r="AN205" s="11"/>
      <c r="AS205" s="7"/>
      <c r="AT205" s="7"/>
      <c r="AU205" s="55"/>
      <c r="AV205" s="7"/>
      <c r="AW205" s="7"/>
      <c r="AX205" s="7"/>
      <c r="AY205" s="7"/>
      <c r="AZ205" s="7"/>
      <c r="BA205" s="7"/>
      <c r="BB205" s="7"/>
      <c r="BC205" s="7"/>
      <c r="BD205" s="60"/>
      <c r="BE205" s="44"/>
      <c r="BF205" s="11"/>
      <c r="BG205" s="19"/>
      <c r="BH205" s="11"/>
      <c r="BI205" s="14" t="s">
        <v>2541</v>
      </c>
      <c r="BJ205" s="15" t="s">
        <v>2542</v>
      </c>
      <c r="BK205" s="44" t="s">
        <v>2543</v>
      </c>
      <c r="BL205" s="16"/>
      <c r="BM205" s="11"/>
      <c r="BN205" s="11"/>
      <c r="BO205" s="11"/>
      <c r="BP205" s="11"/>
      <c r="BQ205" s="11"/>
      <c r="BR205" s="11"/>
      <c r="BS205" s="11"/>
      <c r="BT205" s="11"/>
      <c r="BU205" s="11"/>
      <c r="BV205" s="11"/>
      <c r="BW205" s="7"/>
      <c r="BX205" s="7"/>
      <c r="BY205" s="7"/>
      <c r="BZ205" s="41"/>
      <c r="CA205" s="7"/>
      <c r="CB205" s="7"/>
      <c r="CC205" s="7"/>
      <c r="CD205" s="7"/>
      <c r="CE205" s="7"/>
      <c r="CF205" s="7"/>
    </row>
    <row r="206">
      <c r="T206" s="11"/>
      <c r="U206" s="11"/>
      <c r="V206" s="11"/>
      <c r="W206" s="11"/>
      <c r="X206" s="11"/>
      <c r="Y206" s="11"/>
      <c r="Z206" s="11"/>
      <c r="AA206" s="11"/>
      <c r="AB206" s="11"/>
      <c r="AC206" s="11"/>
      <c r="AD206" s="11"/>
      <c r="AE206" s="11"/>
      <c r="AF206" s="11"/>
      <c r="AG206" s="11"/>
      <c r="AH206" s="11"/>
      <c r="AI206" s="11"/>
      <c r="AJ206" s="11"/>
      <c r="AK206" s="11"/>
      <c r="AL206" s="11"/>
      <c r="AM206" s="11"/>
      <c r="AN206" s="11"/>
      <c r="AS206" s="7"/>
      <c r="AT206" s="7"/>
      <c r="AU206" s="55"/>
      <c r="AV206" s="7"/>
      <c r="AW206" s="7"/>
      <c r="AX206" s="7"/>
      <c r="AY206" s="7"/>
      <c r="AZ206" s="7"/>
      <c r="BA206" s="7"/>
      <c r="BB206" s="7"/>
      <c r="BC206" s="7"/>
      <c r="BD206" s="60"/>
      <c r="BE206" s="44"/>
      <c r="BF206" s="11"/>
      <c r="BG206" s="19"/>
      <c r="BH206" s="11"/>
      <c r="BI206" s="14" t="s">
        <v>2544</v>
      </c>
      <c r="BJ206" s="15" t="s">
        <v>2545</v>
      </c>
      <c r="BK206" s="44"/>
      <c r="BL206" s="16"/>
      <c r="BM206" s="11"/>
      <c r="BN206" s="11"/>
      <c r="BO206" s="11"/>
      <c r="BP206" s="11"/>
      <c r="BQ206" s="11"/>
      <c r="BR206" s="11"/>
      <c r="BS206" s="11"/>
      <c r="BT206" s="11"/>
      <c r="BU206" s="11"/>
      <c r="BV206" s="11"/>
      <c r="BW206" s="7"/>
      <c r="BX206" s="7"/>
      <c r="BY206" s="7"/>
      <c r="BZ206" s="41"/>
      <c r="CA206" s="7"/>
      <c r="CB206" s="7"/>
      <c r="CC206" s="7"/>
      <c r="CD206" s="7"/>
      <c r="CE206" s="7"/>
      <c r="CF206" s="7"/>
    </row>
    <row r="207">
      <c r="T207" s="11"/>
      <c r="U207" s="11"/>
      <c r="V207" s="11"/>
      <c r="W207" s="11"/>
      <c r="X207" s="11"/>
      <c r="Y207" s="11"/>
      <c r="Z207" s="11"/>
      <c r="AA207" s="11"/>
      <c r="AB207" s="11"/>
      <c r="AC207" s="11"/>
      <c r="AD207" s="11"/>
      <c r="AE207" s="11"/>
      <c r="AF207" s="11"/>
      <c r="AG207" s="11"/>
      <c r="AH207" s="11"/>
      <c r="AI207" s="11"/>
      <c r="AJ207" s="11"/>
      <c r="AK207" s="11"/>
      <c r="AL207" s="11"/>
      <c r="AM207" s="11"/>
      <c r="AN207" s="11"/>
      <c r="AS207" s="7"/>
      <c r="AT207" s="7"/>
      <c r="AU207" s="55"/>
      <c r="AV207" s="7"/>
      <c r="AW207" s="7"/>
      <c r="AX207" s="7"/>
      <c r="AY207" s="7"/>
      <c r="AZ207" s="7"/>
      <c r="BA207" s="7"/>
      <c r="BB207" s="7"/>
      <c r="BC207" s="7"/>
      <c r="BD207" s="60"/>
      <c r="BE207" s="44"/>
      <c r="BF207" s="11"/>
      <c r="BG207" s="19"/>
      <c r="BH207" s="11"/>
      <c r="BI207" s="14" t="s">
        <v>2546</v>
      </c>
      <c r="BJ207" s="15" t="s">
        <v>2547</v>
      </c>
      <c r="BK207" s="44"/>
      <c r="BL207" s="16"/>
      <c r="BM207" s="11"/>
      <c r="BN207" s="11"/>
      <c r="BO207" s="11"/>
      <c r="BP207" s="11"/>
      <c r="BQ207" s="11"/>
      <c r="BR207" s="11"/>
      <c r="BS207" s="11"/>
      <c r="BT207" s="11"/>
      <c r="BU207" s="11"/>
      <c r="BV207" s="11"/>
      <c r="BW207" s="7"/>
      <c r="BX207" s="7"/>
      <c r="BY207" s="7"/>
      <c r="BZ207" s="41"/>
      <c r="CA207" s="7"/>
      <c r="CB207" s="7"/>
      <c r="CC207" s="7"/>
      <c r="CD207" s="7"/>
      <c r="CE207" s="7"/>
      <c r="CF207" s="7"/>
    </row>
    <row r="208">
      <c r="T208" s="11"/>
      <c r="U208" s="11"/>
      <c r="V208" s="11"/>
      <c r="W208" s="11"/>
      <c r="X208" s="11"/>
      <c r="Y208" s="11"/>
      <c r="Z208" s="11"/>
      <c r="AA208" s="11"/>
      <c r="AB208" s="11"/>
      <c r="AC208" s="11"/>
      <c r="AD208" s="11"/>
      <c r="AE208" s="11"/>
      <c r="AF208" s="11"/>
      <c r="AG208" s="11"/>
      <c r="AH208" s="11"/>
      <c r="AI208" s="11"/>
      <c r="AJ208" s="11"/>
      <c r="AK208" s="11"/>
      <c r="AL208" s="11"/>
      <c r="AM208" s="11"/>
      <c r="AN208" s="11"/>
      <c r="AS208" s="7"/>
      <c r="AT208" s="7"/>
      <c r="AU208" s="55"/>
      <c r="AV208" s="7"/>
      <c r="AW208" s="7"/>
      <c r="AX208" s="7"/>
      <c r="AY208" s="7"/>
      <c r="AZ208" s="7"/>
      <c r="BA208" s="7"/>
      <c r="BB208" s="7"/>
      <c r="BC208" s="7"/>
      <c r="BD208" s="60"/>
      <c r="BE208" s="44"/>
      <c r="BF208" s="11"/>
      <c r="BG208" s="19"/>
      <c r="BH208" s="11"/>
      <c r="BI208" s="14" t="s">
        <v>2548</v>
      </c>
      <c r="BJ208" s="15" t="s">
        <v>2549</v>
      </c>
      <c r="BK208" s="44"/>
      <c r="BL208" s="16"/>
      <c r="BM208" s="11"/>
      <c r="BN208" s="11"/>
      <c r="BO208" s="11"/>
      <c r="BP208" s="11"/>
      <c r="BQ208" s="11"/>
      <c r="BR208" s="11"/>
      <c r="BS208" s="11"/>
      <c r="BT208" s="11"/>
      <c r="BU208" s="11"/>
      <c r="BV208" s="11"/>
      <c r="BW208" s="7"/>
      <c r="BX208" s="7"/>
      <c r="BY208" s="7"/>
      <c r="BZ208" s="41"/>
      <c r="CA208" s="7"/>
      <c r="CB208" s="7"/>
      <c r="CC208" s="7"/>
      <c r="CD208" s="7"/>
      <c r="CE208" s="7"/>
      <c r="CF208" s="7"/>
    </row>
    <row r="209">
      <c r="T209" s="11"/>
      <c r="U209" s="11"/>
      <c r="V209" s="11"/>
      <c r="W209" s="11"/>
      <c r="X209" s="11"/>
      <c r="Y209" s="11"/>
      <c r="Z209" s="11"/>
      <c r="AA209" s="11"/>
      <c r="AB209" s="11"/>
      <c r="AC209" s="11"/>
      <c r="AD209" s="11"/>
      <c r="AE209" s="11"/>
      <c r="AF209" s="11"/>
      <c r="AG209" s="11"/>
      <c r="AH209" s="11"/>
      <c r="AI209" s="11"/>
      <c r="AJ209" s="11"/>
      <c r="AK209" s="11"/>
      <c r="AL209" s="11"/>
      <c r="AM209" s="11"/>
      <c r="AN209" s="11"/>
      <c r="AS209" s="7"/>
      <c r="AT209" s="7"/>
      <c r="AU209" s="55"/>
      <c r="AV209" s="7"/>
      <c r="AW209" s="7"/>
      <c r="AX209" s="7"/>
      <c r="AY209" s="7"/>
      <c r="AZ209" s="7"/>
      <c r="BA209" s="7"/>
      <c r="BB209" s="7"/>
      <c r="BC209" s="7"/>
      <c r="BD209" s="60"/>
      <c r="BE209" s="44"/>
      <c r="BF209" s="11"/>
      <c r="BG209" s="19"/>
      <c r="BH209" s="11"/>
      <c r="BI209" s="14" t="s">
        <v>2550</v>
      </c>
      <c r="BJ209" s="15" t="s">
        <v>2551</v>
      </c>
      <c r="BK209" s="44"/>
      <c r="BL209" s="16" t="s">
        <v>33</v>
      </c>
      <c r="BM209" s="11"/>
      <c r="BN209" s="11"/>
      <c r="BO209" s="11"/>
      <c r="BP209" s="11"/>
      <c r="BQ209" s="11"/>
      <c r="BR209" s="11"/>
      <c r="BS209" s="11"/>
      <c r="BT209" s="11"/>
      <c r="BU209" s="11"/>
      <c r="BV209" s="11"/>
      <c r="BW209" s="7"/>
      <c r="BX209" s="7"/>
      <c r="BY209" s="7"/>
      <c r="BZ209" s="41"/>
      <c r="CA209" s="7"/>
      <c r="CB209" s="7"/>
      <c r="CC209" s="7"/>
      <c r="CD209" s="7"/>
      <c r="CE209" s="7"/>
      <c r="CF209" s="7"/>
    </row>
    <row r="210">
      <c r="T210" s="11"/>
      <c r="U210" s="11"/>
      <c r="V210" s="11"/>
      <c r="W210" s="11"/>
      <c r="X210" s="11"/>
      <c r="Y210" s="11"/>
      <c r="Z210" s="11"/>
      <c r="AA210" s="11"/>
      <c r="AB210" s="11"/>
      <c r="AC210" s="11"/>
      <c r="AD210" s="11"/>
      <c r="AE210" s="11"/>
      <c r="AF210" s="11"/>
      <c r="AG210" s="11"/>
      <c r="AH210" s="11"/>
      <c r="AI210" s="11"/>
      <c r="AJ210" s="11"/>
      <c r="AK210" s="11"/>
      <c r="AL210" s="11"/>
      <c r="AM210" s="11"/>
      <c r="AN210" s="11"/>
      <c r="AS210" s="7"/>
      <c r="AT210" s="7"/>
      <c r="AU210" s="55"/>
      <c r="AV210" s="7"/>
      <c r="AW210" s="7"/>
      <c r="AX210" s="7"/>
      <c r="AY210" s="7"/>
      <c r="AZ210" s="7"/>
      <c r="BA210" s="7"/>
      <c r="BB210" s="7"/>
      <c r="BC210" s="7"/>
      <c r="BD210" s="60"/>
      <c r="BE210" s="44"/>
      <c r="BF210" s="11"/>
      <c r="BG210" s="19"/>
      <c r="BH210" s="11"/>
      <c r="BI210" s="14" t="s">
        <v>2552</v>
      </c>
      <c r="BJ210" s="15" t="s">
        <v>2553</v>
      </c>
      <c r="BK210" s="44"/>
      <c r="BL210" s="16"/>
      <c r="BM210" s="11"/>
      <c r="BN210" s="11"/>
      <c r="BO210" s="11"/>
      <c r="BP210" s="11"/>
      <c r="BQ210" s="11"/>
      <c r="BR210" s="11"/>
      <c r="BS210" s="11"/>
      <c r="BT210" s="11"/>
      <c r="BU210" s="11"/>
      <c r="BV210" s="11"/>
      <c r="BW210" s="7"/>
      <c r="BX210" s="7"/>
      <c r="BY210" s="7"/>
      <c r="BZ210" s="41"/>
      <c r="CA210" s="7"/>
      <c r="CB210" s="7"/>
      <c r="CC210" s="7"/>
      <c r="CD210" s="7"/>
      <c r="CE210" s="7"/>
      <c r="CF210" s="7"/>
    </row>
    <row r="211">
      <c r="T211" s="11"/>
      <c r="U211" s="11"/>
      <c r="V211" s="11"/>
      <c r="W211" s="11"/>
      <c r="X211" s="11"/>
      <c r="Y211" s="11"/>
      <c r="Z211" s="11"/>
      <c r="AA211" s="11"/>
      <c r="AB211" s="11"/>
      <c r="AC211" s="11"/>
      <c r="AD211" s="11"/>
      <c r="AE211" s="11"/>
      <c r="AF211" s="11"/>
      <c r="AG211" s="11"/>
      <c r="AH211" s="11"/>
      <c r="AI211" s="11"/>
      <c r="AJ211" s="11"/>
      <c r="AK211" s="11"/>
      <c r="AL211" s="11"/>
      <c r="AM211" s="11"/>
      <c r="AN211" s="11"/>
      <c r="AS211" s="7"/>
      <c r="AT211" s="7"/>
      <c r="AU211" s="55"/>
      <c r="AV211" s="7"/>
      <c r="AW211" s="7"/>
      <c r="AX211" s="7"/>
      <c r="AY211" s="7"/>
      <c r="AZ211" s="7"/>
      <c r="BA211" s="7"/>
      <c r="BB211" s="7"/>
      <c r="BC211" s="7"/>
      <c r="BD211" s="60"/>
      <c r="BE211" s="44"/>
      <c r="BF211" s="11"/>
      <c r="BG211" s="19"/>
      <c r="BH211" s="11"/>
      <c r="BI211" s="14" t="s">
        <v>2554</v>
      </c>
      <c r="BJ211" s="15" t="s">
        <v>2555</v>
      </c>
      <c r="BK211" s="44"/>
      <c r="BL211" s="16"/>
      <c r="BM211" s="11"/>
      <c r="BN211" s="11"/>
      <c r="BO211" s="11"/>
      <c r="BP211" s="11"/>
      <c r="BQ211" s="11"/>
      <c r="BR211" s="11"/>
      <c r="BS211" s="11"/>
      <c r="BT211" s="11"/>
      <c r="BU211" s="11"/>
      <c r="BV211" s="11"/>
      <c r="BW211" s="7"/>
      <c r="BX211" s="7"/>
      <c r="BY211" s="7"/>
      <c r="BZ211" s="41"/>
      <c r="CA211" s="7"/>
      <c r="CB211" s="7"/>
      <c r="CC211" s="7"/>
      <c r="CD211" s="7"/>
      <c r="CE211" s="7"/>
      <c r="CF211" s="7"/>
    </row>
    <row r="212">
      <c r="T212" s="11"/>
      <c r="U212" s="11"/>
      <c r="V212" s="11"/>
      <c r="W212" s="11"/>
      <c r="X212" s="11"/>
      <c r="Y212" s="11"/>
      <c r="Z212" s="11"/>
      <c r="AA212" s="11"/>
      <c r="AB212" s="11"/>
      <c r="AC212" s="11"/>
      <c r="AD212" s="11"/>
      <c r="AE212" s="11"/>
      <c r="AF212" s="11"/>
      <c r="AG212" s="11"/>
      <c r="AH212" s="11"/>
      <c r="AI212" s="11"/>
      <c r="AJ212" s="11"/>
      <c r="AK212" s="11"/>
      <c r="AL212" s="11"/>
      <c r="AM212" s="11"/>
      <c r="AN212" s="11"/>
      <c r="AS212" s="7"/>
      <c r="AT212" s="7"/>
      <c r="AU212" s="55"/>
      <c r="AV212" s="7"/>
      <c r="AW212" s="7"/>
      <c r="AX212" s="7"/>
      <c r="AY212" s="7"/>
      <c r="AZ212" s="7"/>
      <c r="BA212" s="7"/>
      <c r="BB212" s="7"/>
      <c r="BC212" s="7"/>
      <c r="BD212" s="60"/>
      <c r="BE212" s="44"/>
      <c r="BF212" s="11"/>
      <c r="BG212" s="19"/>
      <c r="BH212" s="11"/>
      <c r="BI212" s="14" t="s">
        <v>2556</v>
      </c>
      <c r="BJ212" s="15" t="s">
        <v>2557</v>
      </c>
      <c r="BK212" s="44"/>
      <c r="BL212" s="16" t="s">
        <v>33</v>
      </c>
      <c r="BM212" s="11"/>
      <c r="BN212" s="11"/>
      <c r="BO212" s="11"/>
      <c r="BP212" s="11"/>
      <c r="BQ212" s="11"/>
      <c r="BR212" s="11"/>
      <c r="BS212" s="11"/>
      <c r="BT212" s="11"/>
      <c r="BU212" s="11"/>
      <c r="BV212" s="11"/>
      <c r="BW212" s="7"/>
      <c r="BX212" s="7"/>
      <c r="BY212" s="7"/>
      <c r="BZ212" s="41"/>
      <c r="CA212" s="7"/>
      <c r="CB212" s="7"/>
      <c r="CC212" s="7"/>
      <c r="CD212" s="7"/>
      <c r="CE212" s="7"/>
      <c r="CF212" s="7"/>
    </row>
    <row r="213">
      <c r="T213" s="11"/>
      <c r="U213" s="11"/>
      <c r="V213" s="11"/>
      <c r="W213" s="11"/>
      <c r="X213" s="11"/>
      <c r="Y213" s="11"/>
      <c r="Z213" s="11"/>
      <c r="AA213" s="11"/>
      <c r="AB213" s="11"/>
      <c r="AC213" s="11"/>
      <c r="AD213" s="11"/>
      <c r="AE213" s="11"/>
      <c r="AF213" s="11"/>
      <c r="AG213" s="11"/>
      <c r="AH213" s="11"/>
      <c r="AI213" s="11"/>
      <c r="AJ213" s="11"/>
      <c r="AK213" s="11"/>
      <c r="AL213" s="11"/>
      <c r="AM213" s="11"/>
      <c r="AN213" s="11"/>
      <c r="AS213" s="7"/>
      <c r="AT213" s="7"/>
      <c r="AU213" s="55"/>
      <c r="AV213" s="7"/>
      <c r="AW213" s="7"/>
      <c r="AX213" s="7"/>
      <c r="AY213" s="7"/>
      <c r="AZ213" s="7"/>
      <c r="BA213" s="7"/>
      <c r="BB213" s="7"/>
      <c r="BC213" s="7"/>
      <c r="BD213" s="60"/>
      <c r="BE213" s="44"/>
      <c r="BF213" s="11"/>
      <c r="BG213" s="19"/>
      <c r="BH213" s="11"/>
      <c r="BI213" s="14" t="s">
        <v>2558</v>
      </c>
      <c r="BJ213" s="15" t="s">
        <v>2559</v>
      </c>
      <c r="BK213" s="44"/>
      <c r="BL213" s="16"/>
      <c r="BM213" s="11"/>
      <c r="BN213" s="11"/>
      <c r="BO213" s="11"/>
      <c r="BP213" s="11"/>
      <c r="BQ213" s="11"/>
      <c r="BR213" s="11"/>
      <c r="BS213" s="11"/>
      <c r="BT213" s="11"/>
      <c r="BU213" s="11"/>
      <c r="BV213" s="11"/>
      <c r="BW213" s="7"/>
      <c r="BX213" s="7"/>
      <c r="BY213" s="7"/>
      <c r="BZ213" s="41"/>
      <c r="CA213" s="7"/>
      <c r="CB213" s="7"/>
      <c r="CC213" s="7"/>
      <c r="CD213" s="7"/>
      <c r="CE213" s="7"/>
      <c r="CF213" s="7"/>
    </row>
    <row r="214">
      <c r="T214" s="11"/>
      <c r="U214" s="11"/>
      <c r="V214" s="11"/>
      <c r="W214" s="11"/>
      <c r="X214" s="11"/>
      <c r="Y214" s="11"/>
      <c r="Z214" s="11"/>
      <c r="AA214" s="11"/>
      <c r="AB214" s="11"/>
      <c r="AC214" s="11"/>
      <c r="AD214" s="11"/>
      <c r="AE214" s="11"/>
      <c r="AF214" s="11"/>
      <c r="AG214" s="11"/>
      <c r="AH214" s="11"/>
      <c r="AI214" s="11"/>
      <c r="AJ214" s="11"/>
      <c r="AK214" s="11"/>
      <c r="AL214" s="11"/>
      <c r="AM214" s="11"/>
      <c r="AN214" s="11"/>
      <c r="AS214" s="7"/>
      <c r="AT214" s="7"/>
      <c r="AU214" s="55"/>
      <c r="AV214" s="7"/>
      <c r="AW214" s="7"/>
      <c r="AX214" s="7"/>
      <c r="AY214" s="7"/>
      <c r="AZ214" s="7"/>
      <c r="BA214" s="7"/>
      <c r="BB214" s="7"/>
      <c r="BC214" s="7"/>
      <c r="BD214" s="60"/>
      <c r="BE214" s="44"/>
      <c r="BF214" s="11"/>
      <c r="BG214" s="19"/>
      <c r="BH214" s="11"/>
      <c r="BI214" s="14" t="s">
        <v>2560</v>
      </c>
      <c r="BJ214" s="15" t="s">
        <v>2561</v>
      </c>
      <c r="BK214" s="44" t="s">
        <v>2562</v>
      </c>
      <c r="BL214" s="16"/>
      <c r="BM214" s="11"/>
      <c r="BN214" s="11"/>
      <c r="BO214" s="11"/>
      <c r="BP214" s="11"/>
      <c r="BQ214" s="11"/>
      <c r="BR214" s="11"/>
      <c r="BS214" s="11"/>
      <c r="BT214" s="11"/>
      <c r="BU214" s="11"/>
      <c r="BV214" s="11"/>
      <c r="BW214" s="7"/>
      <c r="BX214" s="7"/>
      <c r="BY214" s="7"/>
      <c r="BZ214" s="41"/>
      <c r="CA214" s="7"/>
      <c r="CB214" s="7"/>
      <c r="CC214" s="7"/>
      <c r="CD214" s="7"/>
      <c r="CE214" s="7"/>
      <c r="CF214" s="7"/>
    </row>
    <row r="215">
      <c r="T215" s="7"/>
      <c r="U215" s="7"/>
      <c r="V215" s="7"/>
      <c r="W215" s="7"/>
      <c r="X215" s="7"/>
      <c r="Y215" s="7"/>
      <c r="Z215" s="7"/>
      <c r="AA215" s="7"/>
      <c r="AB215" s="7"/>
      <c r="AC215" s="7"/>
      <c r="AD215" s="7"/>
      <c r="AE215" s="7"/>
      <c r="AF215" s="7"/>
      <c r="AG215" s="7"/>
      <c r="AH215" s="7"/>
      <c r="AI215" s="7"/>
      <c r="AJ215" s="7"/>
      <c r="AK215" s="7"/>
      <c r="AL215" s="7"/>
      <c r="AM215" s="7"/>
      <c r="AN215" s="7"/>
      <c r="AS215" s="7"/>
      <c r="AT215" s="7"/>
      <c r="AU215" s="55"/>
      <c r="AV215" s="7"/>
      <c r="AW215" s="7"/>
      <c r="AX215" s="7"/>
      <c r="AY215" s="7"/>
      <c r="AZ215" s="7"/>
      <c r="BA215" s="7"/>
      <c r="BB215" s="7"/>
      <c r="BC215" s="7"/>
      <c r="BD215" s="60"/>
      <c r="BE215" s="44"/>
      <c r="BF215" s="11"/>
      <c r="BG215" s="19"/>
      <c r="BH215" s="7"/>
      <c r="BI215" s="14" t="s">
        <v>2563</v>
      </c>
      <c r="BJ215" s="15" t="s">
        <v>2564</v>
      </c>
      <c r="BK215" s="44" t="s">
        <v>2565</v>
      </c>
      <c r="BL215" s="16"/>
      <c r="BM215" s="7"/>
      <c r="BN215" s="7"/>
      <c r="BO215" s="7"/>
      <c r="BP215" s="7"/>
      <c r="BQ215" s="7"/>
      <c r="BR215" s="7"/>
      <c r="BS215" s="7"/>
      <c r="BT215" s="7"/>
      <c r="BU215" s="7"/>
      <c r="BV215" s="7"/>
      <c r="BW215" s="7"/>
      <c r="BX215" s="7"/>
      <c r="BY215" s="7"/>
      <c r="BZ215" s="41"/>
      <c r="CA215" s="7"/>
      <c r="CB215" s="7"/>
      <c r="CC215" s="7"/>
      <c r="CD215" s="7"/>
      <c r="CE215" s="7"/>
      <c r="CF215" s="7"/>
    </row>
    <row r="216" ht="54.0" customHeight="1">
      <c r="A216" s="7"/>
      <c r="B216" s="55"/>
      <c r="C216" s="7"/>
      <c r="D216" s="7"/>
      <c r="E216" s="7"/>
      <c r="F216" s="7"/>
      <c r="G216" s="55"/>
      <c r="H216" s="7"/>
      <c r="I216" s="7"/>
      <c r="J216" s="7"/>
      <c r="K216" s="7"/>
      <c r="L216" s="7"/>
      <c r="M216" s="7"/>
      <c r="N216" s="7"/>
      <c r="O216" s="7"/>
      <c r="P216" s="7"/>
      <c r="Q216" s="55"/>
      <c r="R216" s="7"/>
      <c r="S216" s="7"/>
      <c r="T216" s="7"/>
      <c r="U216" s="7"/>
      <c r="V216" s="7"/>
      <c r="W216" s="7"/>
      <c r="X216" s="7"/>
      <c r="Y216" s="7"/>
      <c r="Z216" s="7"/>
      <c r="AA216" s="7"/>
      <c r="AB216" s="7"/>
      <c r="AC216" s="7"/>
      <c r="AD216" s="7"/>
      <c r="AE216" s="7"/>
      <c r="AF216" s="7"/>
      <c r="AG216" s="7"/>
      <c r="AH216" s="7"/>
      <c r="AI216" s="7"/>
      <c r="AJ216" s="7"/>
      <c r="AK216" s="7"/>
      <c r="AL216" s="7"/>
      <c r="AM216" s="7"/>
      <c r="AN216" s="7"/>
      <c r="AS216" s="7"/>
      <c r="AT216" s="7"/>
      <c r="AU216" s="55"/>
      <c r="AV216" s="7"/>
      <c r="AW216" s="7"/>
      <c r="AX216" s="7"/>
      <c r="AY216" s="7"/>
      <c r="AZ216" s="7"/>
      <c r="BA216" s="7"/>
      <c r="BB216" s="7"/>
      <c r="BC216" s="7"/>
      <c r="BD216" s="60"/>
      <c r="BE216" s="44"/>
      <c r="BF216" s="11"/>
      <c r="BG216" s="19"/>
      <c r="BH216" s="7"/>
      <c r="BI216" s="14" t="s">
        <v>2566</v>
      </c>
      <c r="BJ216" s="15" t="s">
        <v>2567</v>
      </c>
      <c r="BK216" s="44"/>
      <c r="BL216" s="16"/>
      <c r="BM216" s="7"/>
      <c r="BN216" s="7"/>
      <c r="BO216" s="7"/>
      <c r="BP216" s="7"/>
      <c r="BQ216" s="7"/>
      <c r="BR216" s="7"/>
      <c r="BS216" s="7"/>
      <c r="BT216" s="7"/>
      <c r="BU216" s="7"/>
      <c r="BV216" s="7"/>
      <c r="BW216" s="7"/>
      <c r="BX216" s="7"/>
      <c r="BY216" s="7"/>
      <c r="BZ216" s="41"/>
      <c r="CA216" s="7"/>
      <c r="CB216" s="7"/>
      <c r="CC216" s="7"/>
      <c r="CD216" s="7"/>
      <c r="CE216" s="7"/>
      <c r="CF216" s="7"/>
    </row>
    <row r="217">
      <c r="T217" s="7"/>
      <c r="U217" s="7"/>
      <c r="V217" s="7"/>
      <c r="W217" s="7"/>
      <c r="X217" s="7"/>
      <c r="Y217" s="7"/>
      <c r="Z217" s="7"/>
      <c r="AA217" s="7"/>
      <c r="AB217" s="7"/>
      <c r="AC217" s="7"/>
      <c r="AD217" s="7"/>
      <c r="AE217" s="7"/>
      <c r="AF217" s="7"/>
      <c r="AG217" s="7"/>
      <c r="AH217" s="7"/>
      <c r="AI217" s="7"/>
      <c r="AJ217" s="7"/>
      <c r="AK217" s="7"/>
      <c r="AL217" s="7"/>
      <c r="AM217" s="7"/>
      <c r="AN217" s="7"/>
      <c r="AS217" s="7"/>
      <c r="AT217" s="7"/>
      <c r="AU217" s="55"/>
      <c r="AV217" s="7"/>
      <c r="AW217" s="7"/>
      <c r="AX217" s="7"/>
      <c r="AY217" s="7"/>
      <c r="AZ217" s="7"/>
      <c r="BA217" s="7"/>
      <c r="BB217" s="7"/>
      <c r="BC217" s="7"/>
      <c r="BD217" s="60"/>
      <c r="BE217" s="44"/>
      <c r="BF217" s="11"/>
      <c r="BG217" s="19"/>
      <c r="BH217" s="7"/>
      <c r="BI217" s="14" t="s">
        <v>2568</v>
      </c>
      <c r="BJ217" s="15" t="s">
        <v>2569</v>
      </c>
      <c r="BK217" s="44" t="s">
        <v>2570</v>
      </c>
      <c r="BL217" s="16" t="s">
        <v>33</v>
      </c>
      <c r="BM217" s="11" t="s">
        <v>144</v>
      </c>
      <c r="BN217" s="7"/>
      <c r="BO217" s="7"/>
      <c r="BP217" s="7"/>
      <c r="BQ217" s="7"/>
      <c r="BR217" s="7"/>
      <c r="BS217" s="7"/>
      <c r="BT217" s="7"/>
      <c r="BU217" s="7"/>
      <c r="BV217" s="7"/>
      <c r="BW217" s="7"/>
      <c r="BX217" s="7"/>
      <c r="BY217" s="7"/>
      <c r="BZ217" s="41"/>
      <c r="CA217" s="7"/>
      <c r="CB217" s="7"/>
      <c r="CC217" s="7"/>
      <c r="CD217" s="7"/>
      <c r="CE217" s="7"/>
      <c r="CF217" s="7"/>
    </row>
    <row r="218">
      <c r="T218" s="7"/>
      <c r="U218" s="7"/>
      <c r="V218" s="7"/>
      <c r="W218" s="7"/>
      <c r="X218" s="7"/>
      <c r="Y218" s="7"/>
      <c r="Z218" s="7"/>
      <c r="AA218" s="7"/>
      <c r="AB218" s="7"/>
      <c r="AC218" s="7"/>
      <c r="AD218" s="7"/>
      <c r="AE218" s="7"/>
      <c r="AF218" s="7"/>
      <c r="AG218" s="7"/>
      <c r="AH218" s="7"/>
      <c r="AI218" s="7"/>
      <c r="AJ218" s="7"/>
      <c r="AK218" s="7"/>
      <c r="AL218" s="7"/>
      <c r="AM218" s="7"/>
      <c r="AN218" s="7"/>
      <c r="AS218" s="7"/>
      <c r="AT218" s="7"/>
      <c r="AU218" s="55"/>
      <c r="AV218" s="7"/>
      <c r="AW218" s="7"/>
      <c r="AX218" s="7"/>
      <c r="AY218" s="7"/>
      <c r="AZ218" s="7"/>
      <c r="BA218" s="7"/>
      <c r="BB218" s="7"/>
      <c r="BC218" s="7"/>
      <c r="BD218" s="60"/>
      <c r="BE218" s="44"/>
      <c r="BF218" s="11"/>
      <c r="BG218" s="19"/>
      <c r="BH218" s="7"/>
      <c r="BI218" s="14" t="s">
        <v>2571</v>
      </c>
      <c r="BJ218" s="15" t="s">
        <v>2572</v>
      </c>
      <c r="BK218" s="44"/>
      <c r="BL218" s="16" t="s">
        <v>21</v>
      </c>
      <c r="BM218" s="11" t="s">
        <v>144</v>
      </c>
      <c r="BN218" s="7"/>
      <c r="BO218" s="7"/>
      <c r="BP218" s="7"/>
      <c r="BQ218" s="7"/>
      <c r="BR218" s="7"/>
      <c r="BS218" s="7"/>
      <c r="BT218" s="7"/>
      <c r="BU218" s="7"/>
      <c r="BV218" s="7"/>
      <c r="BW218" s="7"/>
      <c r="BX218" s="7"/>
      <c r="BY218" s="7"/>
      <c r="BZ218" s="41"/>
      <c r="CA218" s="7"/>
      <c r="CB218" s="7"/>
      <c r="CC218" s="7"/>
      <c r="CD218" s="7"/>
      <c r="CE218" s="7"/>
      <c r="CF218" s="7"/>
    </row>
    <row r="219">
      <c r="T219" s="7"/>
      <c r="U219" s="7"/>
      <c r="V219" s="7"/>
      <c r="W219" s="7"/>
      <c r="X219" s="7"/>
      <c r="Y219" s="7"/>
      <c r="Z219" s="7"/>
      <c r="AA219" s="7"/>
      <c r="AB219" s="7"/>
      <c r="AC219" s="7"/>
      <c r="AD219" s="7"/>
      <c r="AE219" s="7"/>
      <c r="AF219" s="7"/>
      <c r="AG219" s="7"/>
      <c r="AH219" s="7"/>
      <c r="AI219" s="7"/>
      <c r="AJ219" s="7"/>
      <c r="AK219" s="7"/>
      <c r="AL219" s="7"/>
      <c r="AM219" s="7"/>
      <c r="AN219" s="7"/>
      <c r="AS219" s="7"/>
      <c r="AT219" s="7"/>
      <c r="AU219" s="55"/>
      <c r="AV219" s="7"/>
      <c r="AW219" s="7"/>
      <c r="AX219" s="7"/>
      <c r="AY219" s="7"/>
      <c r="AZ219" s="7"/>
      <c r="BA219" s="7"/>
      <c r="BB219" s="7"/>
      <c r="BC219" s="7"/>
      <c r="BD219" s="60"/>
      <c r="BE219" s="44"/>
      <c r="BF219" s="11"/>
      <c r="BG219" s="19"/>
      <c r="BH219" s="7"/>
      <c r="BI219" s="14" t="s">
        <v>2573</v>
      </c>
      <c r="BJ219" s="15" t="s">
        <v>2574</v>
      </c>
      <c r="BK219" s="44"/>
      <c r="BL219" s="16"/>
      <c r="BM219" s="7"/>
      <c r="BN219" s="7"/>
      <c r="BO219" s="7"/>
      <c r="BP219" s="7"/>
      <c r="BQ219" s="7"/>
      <c r="BR219" s="7"/>
      <c r="BS219" s="7"/>
      <c r="BT219" s="7"/>
      <c r="BU219" s="7"/>
      <c r="BV219" s="7"/>
      <c r="BW219" s="7"/>
      <c r="BX219" s="7"/>
      <c r="BY219" s="7"/>
      <c r="BZ219" s="41"/>
      <c r="CA219" s="7"/>
      <c r="CB219" s="7"/>
      <c r="CC219" s="7"/>
      <c r="CD219" s="7"/>
      <c r="CE219" s="7"/>
      <c r="CF219" s="7"/>
    </row>
    <row r="220">
      <c r="T220" s="7"/>
      <c r="U220" s="7"/>
      <c r="V220" s="7"/>
      <c r="W220" s="7"/>
      <c r="X220" s="7"/>
      <c r="Y220" s="7"/>
      <c r="Z220" s="7"/>
      <c r="AA220" s="7"/>
      <c r="AB220" s="7"/>
      <c r="AC220" s="7"/>
      <c r="AD220" s="7"/>
      <c r="AE220" s="7"/>
      <c r="AF220" s="7"/>
      <c r="AG220" s="7"/>
      <c r="AH220" s="7"/>
      <c r="AI220" s="7"/>
      <c r="AJ220" s="7"/>
      <c r="AK220" s="7"/>
      <c r="AL220" s="7"/>
      <c r="AM220" s="7"/>
      <c r="AN220" s="7"/>
      <c r="AS220" s="7"/>
      <c r="AT220" s="7"/>
      <c r="AU220" s="55"/>
      <c r="AV220" s="7"/>
      <c r="AW220" s="7"/>
      <c r="AX220" s="7"/>
      <c r="AY220" s="7"/>
      <c r="AZ220" s="7"/>
      <c r="BA220" s="7"/>
      <c r="BB220" s="7"/>
      <c r="BC220" s="7"/>
      <c r="BD220" s="60"/>
      <c r="BE220" s="44"/>
      <c r="BF220" s="11"/>
      <c r="BG220" s="19"/>
      <c r="BH220" s="7"/>
      <c r="BI220" s="14" t="s">
        <v>2575</v>
      </c>
      <c r="BJ220" s="15" t="s">
        <v>2576</v>
      </c>
      <c r="BK220" s="44" t="s">
        <v>2577</v>
      </c>
      <c r="BL220" s="16"/>
      <c r="BM220" s="7"/>
      <c r="BN220" s="7"/>
      <c r="BO220" s="7"/>
      <c r="BP220" s="7"/>
      <c r="BQ220" s="7"/>
      <c r="BR220" s="7"/>
      <c r="BS220" s="7"/>
      <c r="BT220" s="7"/>
      <c r="BU220" s="7"/>
      <c r="BV220" s="7"/>
      <c r="BW220" s="7"/>
      <c r="BX220" s="7"/>
      <c r="BY220" s="7"/>
      <c r="BZ220" s="41"/>
      <c r="CA220" s="7"/>
      <c r="CB220" s="7"/>
      <c r="CC220" s="7"/>
      <c r="CD220" s="7"/>
      <c r="CE220" s="7"/>
      <c r="CF220" s="7"/>
    </row>
    <row r="221">
      <c r="T221" s="7"/>
      <c r="U221" s="7"/>
      <c r="V221" s="7"/>
      <c r="W221" s="7"/>
      <c r="X221" s="7"/>
      <c r="Y221" s="7"/>
      <c r="Z221" s="7"/>
      <c r="AA221" s="7"/>
      <c r="AB221" s="7"/>
      <c r="AC221" s="7"/>
      <c r="AD221" s="7"/>
      <c r="AE221" s="7"/>
      <c r="AF221" s="7"/>
      <c r="AG221" s="7"/>
      <c r="AH221" s="7"/>
      <c r="AI221" s="7"/>
      <c r="AJ221" s="7"/>
      <c r="AK221" s="7"/>
      <c r="AL221" s="7"/>
      <c r="AM221" s="7"/>
      <c r="AN221" s="7"/>
      <c r="AS221" s="7"/>
      <c r="AT221" s="7"/>
      <c r="AU221" s="55"/>
      <c r="AV221" s="7"/>
      <c r="AW221" s="7"/>
      <c r="AX221" s="7"/>
      <c r="AY221" s="7"/>
      <c r="AZ221" s="7"/>
      <c r="BA221" s="7"/>
      <c r="BB221" s="7"/>
      <c r="BC221" s="7"/>
      <c r="BD221" s="60"/>
      <c r="BE221" s="44"/>
      <c r="BF221" s="11"/>
      <c r="BG221" s="19"/>
      <c r="BH221" s="7"/>
      <c r="BI221" s="14" t="s">
        <v>2578</v>
      </c>
      <c r="BJ221" s="15" t="s">
        <v>2579</v>
      </c>
      <c r="BK221" s="44"/>
      <c r="BL221" s="16"/>
      <c r="BM221" s="7"/>
      <c r="BN221" s="7"/>
      <c r="BO221" s="7"/>
      <c r="BP221" s="7"/>
      <c r="BQ221" s="7"/>
      <c r="BR221" s="7"/>
      <c r="BS221" s="7"/>
      <c r="BT221" s="7"/>
      <c r="BU221" s="7"/>
      <c r="BV221" s="7"/>
      <c r="BW221" s="7"/>
      <c r="BX221" s="7"/>
      <c r="BY221" s="7"/>
      <c r="BZ221" s="41"/>
      <c r="CA221" s="7"/>
      <c r="CB221" s="7"/>
      <c r="CC221" s="7"/>
      <c r="CD221" s="7"/>
      <c r="CE221" s="7"/>
      <c r="CF221" s="7"/>
    </row>
    <row r="222">
      <c r="T222" s="7"/>
      <c r="U222" s="7"/>
      <c r="V222" s="7"/>
      <c r="W222" s="7"/>
      <c r="X222" s="7"/>
      <c r="Y222" s="7"/>
      <c r="Z222" s="7"/>
      <c r="AA222" s="7"/>
      <c r="AB222" s="7"/>
      <c r="AC222" s="7"/>
      <c r="AD222" s="7"/>
      <c r="AE222" s="7"/>
      <c r="AF222" s="7"/>
      <c r="AG222" s="7"/>
      <c r="AH222" s="7"/>
      <c r="AI222" s="7"/>
      <c r="AJ222" s="7"/>
      <c r="AK222" s="7"/>
      <c r="AL222" s="7"/>
      <c r="AM222" s="7"/>
      <c r="AN222" s="7"/>
      <c r="AS222" s="7"/>
      <c r="AT222" s="7"/>
      <c r="AU222" s="55"/>
      <c r="AV222" s="7"/>
      <c r="AW222" s="7"/>
      <c r="AX222" s="7"/>
      <c r="AY222" s="7"/>
      <c r="AZ222" s="7"/>
      <c r="BA222" s="7"/>
      <c r="BB222" s="7"/>
      <c r="BC222" s="7"/>
      <c r="BD222" s="60"/>
      <c r="BE222" s="44"/>
      <c r="BF222" s="11"/>
      <c r="BG222" s="19"/>
      <c r="BH222" s="7"/>
      <c r="BI222" s="14" t="s">
        <v>2580</v>
      </c>
      <c r="BJ222" s="15" t="s">
        <v>2581</v>
      </c>
      <c r="BK222" s="44"/>
      <c r="BL222" s="16"/>
      <c r="BM222" s="7"/>
      <c r="BN222" s="7"/>
      <c r="BO222" s="7"/>
      <c r="BP222" s="7"/>
      <c r="BQ222" s="7"/>
      <c r="BR222" s="7"/>
      <c r="BS222" s="7"/>
      <c r="BT222" s="7"/>
      <c r="BU222" s="7"/>
      <c r="BV222" s="7"/>
      <c r="BW222" s="7"/>
      <c r="BX222" s="7"/>
      <c r="BY222" s="7"/>
      <c r="BZ222" s="41"/>
      <c r="CA222" s="7"/>
      <c r="CB222" s="7"/>
      <c r="CC222" s="7"/>
      <c r="CD222" s="7"/>
      <c r="CE222" s="7"/>
      <c r="CF222" s="7"/>
    </row>
    <row r="223">
      <c r="T223" s="7"/>
      <c r="U223" s="7"/>
      <c r="V223" s="7"/>
      <c r="W223" s="7"/>
      <c r="X223" s="7"/>
      <c r="Y223" s="7"/>
      <c r="Z223" s="7"/>
      <c r="AA223" s="7"/>
      <c r="AB223" s="7"/>
      <c r="AC223" s="7"/>
      <c r="AD223" s="7"/>
      <c r="AE223" s="7"/>
      <c r="AF223" s="7"/>
      <c r="AG223" s="7"/>
      <c r="AH223" s="7"/>
      <c r="AI223" s="7"/>
      <c r="AJ223" s="7"/>
      <c r="AK223" s="7"/>
      <c r="AL223" s="7"/>
      <c r="AM223" s="7"/>
      <c r="AN223" s="7"/>
      <c r="AS223" s="7"/>
      <c r="AT223" s="7"/>
      <c r="AU223" s="55"/>
      <c r="AV223" s="7"/>
      <c r="AW223" s="7"/>
      <c r="AX223" s="7"/>
      <c r="AY223" s="7"/>
      <c r="AZ223" s="7"/>
      <c r="BA223" s="7"/>
      <c r="BB223" s="7"/>
      <c r="BC223" s="7"/>
      <c r="BD223" s="60"/>
      <c r="BE223" s="44"/>
      <c r="BF223" s="11"/>
      <c r="BG223" s="19"/>
      <c r="BH223" s="7"/>
      <c r="BI223" s="14" t="s">
        <v>2582</v>
      </c>
      <c r="BJ223" s="15" t="s">
        <v>2583</v>
      </c>
      <c r="BK223" s="44"/>
      <c r="BL223" s="16" t="s">
        <v>33</v>
      </c>
      <c r="BM223" s="7"/>
      <c r="BN223" s="7"/>
      <c r="BO223" s="7"/>
      <c r="BP223" s="7"/>
      <c r="BQ223" s="7"/>
      <c r="BR223" s="7"/>
      <c r="BS223" s="7"/>
      <c r="BT223" s="7"/>
      <c r="BU223" s="7"/>
      <c r="BV223" s="7"/>
      <c r="BW223" s="7"/>
      <c r="BX223" s="7"/>
      <c r="BY223" s="7"/>
      <c r="BZ223" s="41"/>
      <c r="CA223" s="7"/>
      <c r="CB223" s="7"/>
      <c r="CC223" s="7"/>
      <c r="CD223" s="7"/>
      <c r="CE223" s="7"/>
      <c r="CF223" s="7"/>
    </row>
    <row r="224">
      <c r="T224" s="7"/>
      <c r="U224" s="7"/>
      <c r="V224" s="7"/>
      <c r="W224" s="7"/>
      <c r="X224" s="7"/>
      <c r="Y224" s="7"/>
      <c r="Z224" s="7"/>
      <c r="AA224" s="7"/>
      <c r="AB224" s="7"/>
      <c r="AC224" s="7"/>
      <c r="AD224" s="7"/>
      <c r="AE224" s="7"/>
      <c r="AF224" s="7"/>
      <c r="AG224" s="7"/>
      <c r="AH224" s="7"/>
      <c r="AI224" s="7"/>
      <c r="AJ224" s="7"/>
      <c r="AK224" s="7"/>
      <c r="AL224" s="7"/>
      <c r="AM224" s="7"/>
      <c r="AN224" s="7"/>
      <c r="AS224" s="7"/>
      <c r="AT224" s="7"/>
      <c r="AU224" s="55"/>
      <c r="AV224" s="7"/>
      <c r="AW224" s="7"/>
      <c r="AX224" s="7"/>
      <c r="AY224" s="7"/>
      <c r="AZ224" s="7"/>
      <c r="BA224" s="7"/>
      <c r="BB224" s="7"/>
      <c r="BC224" s="7"/>
      <c r="BD224" s="60"/>
      <c r="BE224" s="44"/>
      <c r="BF224" s="11"/>
      <c r="BG224" s="19"/>
      <c r="BH224" s="7"/>
      <c r="BI224" s="14" t="s">
        <v>2584</v>
      </c>
      <c r="BJ224" s="15" t="s">
        <v>2585</v>
      </c>
      <c r="BK224" s="44"/>
      <c r="BL224" s="16"/>
      <c r="BM224" s="7"/>
      <c r="BN224" s="7"/>
      <c r="BO224" s="7"/>
      <c r="BP224" s="7"/>
      <c r="BQ224" s="7"/>
      <c r="BR224" s="7"/>
      <c r="BS224" s="7"/>
      <c r="BT224" s="7"/>
      <c r="BU224" s="7"/>
      <c r="BV224" s="7"/>
      <c r="BW224" s="7"/>
      <c r="BX224" s="7"/>
      <c r="BY224" s="7"/>
      <c r="BZ224" s="41"/>
      <c r="CA224" s="7"/>
      <c r="CB224" s="7"/>
      <c r="CC224" s="7"/>
      <c r="CD224" s="7"/>
      <c r="CE224" s="7"/>
      <c r="CF224" s="7"/>
    </row>
    <row r="225">
      <c r="T225" s="7"/>
      <c r="U225" s="7"/>
      <c r="V225" s="7"/>
      <c r="W225" s="7"/>
      <c r="X225" s="7"/>
      <c r="Y225" s="7"/>
      <c r="Z225" s="7"/>
      <c r="AA225" s="7"/>
      <c r="AB225" s="7"/>
      <c r="AC225" s="7"/>
      <c r="AD225" s="7"/>
      <c r="AE225" s="7"/>
      <c r="AF225" s="7"/>
      <c r="AG225" s="7"/>
      <c r="AH225" s="7"/>
      <c r="AI225" s="7"/>
      <c r="AJ225" s="7"/>
      <c r="AK225" s="7"/>
      <c r="AL225" s="7"/>
      <c r="AM225" s="7"/>
      <c r="AN225" s="7"/>
      <c r="AS225" s="7"/>
      <c r="AT225" s="7"/>
      <c r="AU225" s="55"/>
      <c r="AV225" s="7"/>
      <c r="AW225" s="7"/>
      <c r="AX225" s="7"/>
      <c r="AY225" s="7"/>
      <c r="AZ225" s="7"/>
      <c r="BA225" s="7"/>
      <c r="BB225" s="7"/>
      <c r="BC225" s="7"/>
      <c r="BD225" s="60"/>
      <c r="BE225" s="44"/>
      <c r="BF225" s="11"/>
      <c r="BG225" s="19"/>
      <c r="BH225" s="7"/>
      <c r="BI225" s="14" t="s">
        <v>2586</v>
      </c>
      <c r="BJ225" s="15" t="s">
        <v>2587</v>
      </c>
      <c r="BK225" s="44" t="s">
        <v>2588</v>
      </c>
      <c r="BL225" s="16"/>
      <c r="BM225" s="7"/>
      <c r="BN225" s="7"/>
      <c r="BO225" s="7"/>
      <c r="BP225" s="7"/>
      <c r="BQ225" s="7"/>
      <c r="BR225" s="7"/>
      <c r="BS225" s="7"/>
      <c r="BT225" s="7"/>
      <c r="BU225" s="7"/>
      <c r="BV225" s="7"/>
      <c r="BW225" s="7"/>
      <c r="BX225" s="7"/>
      <c r="BY225" s="7"/>
      <c r="BZ225" s="41"/>
      <c r="CA225" s="7"/>
      <c r="CB225" s="7"/>
      <c r="CC225" s="7"/>
      <c r="CD225" s="7"/>
      <c r="CE225" s="7"/>
      <c r="CF225" s="7"/>
    </row>
    <row r="226">
      <c r="T226" s="7"/>
      <c r="U226" s="7"/>
      <c r="V226" s="7"/>
      <c r="W226" s="7"/>
      <c r="X226" s="7"/>
      <c r="Y226" s="7"/>
      <c r="Z226" s="7"/>
      <c r="AA226" s="7"/>
      <c r="AB226" s="7"/>
      <c r="AC226" s="7"/>
      <c r="AD226" s="7"/>
      <c r="AE226" s="7"/>
      <c r="AF226" s="7"/>
      <c r="AG226" s="7"/>
      <c r="AH226" s="7"/>
      <c r="AI226" s="7"/>
      <c r="AJ226" s="7"/>
      <c r="AK226" s="7"/>
      <c r="AL226" s="7"/>
      <c r="AM226" s="7"/>
      <c r="AN226" s="7"/>
      <c r="AS226" s="7"/>
      <c r="AT226" s="7"/>
      <c r="AU226" s="55"/>
      <c r="AV226" s="7"/>
      <c r="AW226" s="7"/>
      <c r="AX226" s="7"/>
      <c r="AY226" s="7"/>
      <c r="AZ226" s="7"/>
      <c r="BA226" s="7"/>
      <c r="BB226" s="7"/>
      <c r="BC226" s="7"/>
      <c r="BD226" s="60"/>
      <c r="BE226" s="44"/>
      <c r="BF226" s="11"/>
      <c r="BG226" s="19"/>
      <c r="BH226" s="7"/>
      <c r="BI226" s="14" t="s">
        <v>2589</v>
      </c>
      <c r="BJ226" s="15" t="s">
        <v>2590</v>
      </c>
      <c r="BK226" s="44" t="s">
        <v>2591</v>
      </c>
      <c r="BL226" s="16"/>
      <c r="BM226" s="7"/>
      <c r="BN226" s="7"/>
      <c r="BO226" s="7"/>
      <c r="BP226" s="7"/>
      <c r="BQ226" s="7"/>
      <c r="BR226" s="7"/>
      <c r="BS226" s="7"/>
      <c r="BT226" s="7"/>
      <c r="BU226" s="7"/>
      <c r="BV226" s="7"/>
      <c r="BW226" s="7"/>
      <c r="BX226" s="7"/>
      <c r="BY226" s="7"/>
      <c r="BZ226" s="41"/>
      <c r="CA226" s="7"/>
      <c r="CB226" s="7"/>
      <c r="CC226" s="7"/>
      <c r="CD226" s="7"/>
      <c r="CE226" s="7"/>
      <c r="CF226" s="7"/>
    </row>
    <row r="227">
      <c r="T227" s="7"/>
      <c r="U227" s="7"/>
      <c r="V227" s="7"/>
      <c r="W227" s="7"/>
      <c r="X227" s="7"/>
      <c r="Y227" s="7"/>
      <c r="Z227" s="7"/>
      <c r="AA227" s="7"/>
      <c r="AB227" s="7"/>
      <c r="AC227" s="7"/>
      <c r="AD227" s="7"/>
      <c r="AE227" s="7"/>
      <c r="AF227" s="7"/>
      <c r="AG227" s="7"/>
      <c r="AH227" s="7"/>
      <c r="AI227" s="7"/>
      <c r="AJ227" s="7"/>
      <c r="AK227" s="7"/>
      <c r="AL227" s="7"/>
      <c r="AM227" s="7"/>
      <c r="AN227" s="7"/>
      <c r="AS227" s="7"/>
      <c r="AT227" s="7"/>
      <c r="AU227" s="55"/>
      <c r="AV227" s="7"/>
      <c r="AW227" s="7"/>
      <c r="AX227" s="7"/>
      <c r="AY227" s="7"/>
      <c r="AZ227" s="7"/>
      <c r="BA227" s="7"/>
      <c r="BB227" s="7"/>
      <c r="BC227" s="7"/>
      <c r="BD227" s="60"/>
      <c r="BE227" s="44"/>
      <c r="BF227" s="11"/>
      <c r="BG227" s="19"/>
      <c r="BH227" s="7"/>
      <c r="BI227" s="14" t="s">
        <v>2592</v>
      </c>
      <c r="BJ227" s="15" t="s">
        <v>2593</v>
      </c>
      <c r="BK227" s="44"/>
      <c r="BL227" s="16" t="s">
        <v>21</v>
      </c>
      <c r="BM227" s="7"/>
      <c r="BN227" s="7"/>
      <c r="BO227" s="7"/>
      <c r="BP227" s="7"/>
      <c r="BQ227" s="7"/>
      <c r="BR227" s="7"/>
      <c r="BS227" s="7"/>
      <c r="BT227" s="7"/>
      <c r="BU227" s="7"/>
      <c r="BV227" s="7"/>
      <c r="BW227" s="7"/>
      <c r="BX227" s="7"/>
      <c r="BY227" s="7"/>
      <c r="BZ227" s="41"/>
      <c r="CA227" s="7"/>
      <c r="CB227" s="7"/>
      <c r="CC227" s="7"/>
      <c r="CD227" s="7"/>
      <c r="CE227" s="7"/>
      <c r="CF227" s="7"/>
    </row>
    <row r="228">
      <c r="T228" s="7"/>
      <c r="U228" s="7"/>
      <c r="V228" s="7"/>
      <c r="W228" s="7"/>
      <c r="X228" s="7"/>
      <c r="Y228" s="7"/>
      <c r="Z228" s="7"/>
      <c r="AA228" s="7"/>
      <c r="AB228" s="7"/>
      <c r="AC228" s="7"/>
      <c r="AD228" s="7"/>
      <c r="AE228" s="7"/>
      <c r="AF228" s="7"/>
      <c r="AG228" s="7"/>
      <c r="AH228" s="7"/>
      <c r="AI228" s="7"/>
      <c r="AJ228" s="7"/>
      <c r="AK228" s="7"/>
      <c r="AL228" s="7"/>
      <c r="AM228" s="7"/>
      <c r="AN228" s="7"/>
      <c r="AS228" s="7"/>
      <c r="AT228" s="7"/>
      <c r="AU228" s="55"/>
      <c r="AV228" s="7"/>
      <c r="AW228" s="7"/>
      <c r="AX228" s="7"/>
      <c r="AY228" s="7"/>
      <c r="AZ228" s="7"/>
      <c r="BA228" s="7"/>
      <c r="BB228" s="7"/>
      <c r="BC228" s="7"/>
      <c r="BD228" s="60"/>
      <c r="BE228" s="44"/>
      <c r="BF228" s="11"/>
      <c r="BG228" s="19"/>
      <c r="BH228" s="7"/>
      <c r="BI228" s="14" t="s">
        <v>2594</v>
      </c>
      <c r="BJ228" s="15" t="s">
        <v>2595</v>
      </c>
      <c r="BK228" s="44" t="s">
        <v>2596</v>
      </c>
      <c r="BL228" s="16"/>
      <c r="BM228" s="7"/>
      <c r="BN228" s="7"/>
      <c r="BO228" s="7"/>
      <c r="BP228" s="7"/>
      <c r="BQ228" s="7"/>
      <c r="BR228" s="7"/>
      <c r="BS228" s="7"/>
      <c r="BT228" s="7"/>
      <c r="BU228" s="7"/>
      <c r="BV228" s="7"/>
      <c r="BW228" s="7"/>
      <c r="BX228" s="7"/>
      <c r="BY228" s="7"/>
      <c r="BZ228" s="41"/>
      <c r="CA228" s="7"/>
      <c r="CB228" s="7"/>
      <c r="CC228" s="7"/>
      <c r="CD228" s="7"/>
      <c r="CE228" s="7"/>
      <c r="CF228" s="7"/>
    </row>
    <row r="229">
      <c r="T229" s="7"/>
      <c r="U229" s="7"/>
      <c r="V229" s="7"/>
      <c r="W229" s="7"/>
      <c r="X229" s="7"/>
      <c r="Y229" s="7"/>
      <c r="Z229" s="7"/>
      <c r="AA229" s="7"/>
      <c r="AB229" s="7"/>
      <c r="AC229" s="7"/>
      <c r="AD229" s="7"/>
      <c r="AE229" s="7"/>
      <c r="AF229" s="7"/>
      <c r="AG229" s="7"/>
      <c r="AH229" s="7"/>
      <c r="AI229" s="7"/>
      <c r="AJ229" s="7"/>
      <c r="AK229" s="7"/>
      <c r="AL229" s="7"/>
      <c r="AM229" s="7"/>
      <c r="AN229" s="7"/>
      <c r="AS229" s="7"/>
      <c r="AT229" s="7"/>
      <c r="AU229" s="55"/>
      <c r="AV229" s="7"/>
      <c r="AW229" s="7"/>
      <c r="AX229" s="7"/>
      <c r="AY229" s="7"/>
      <c r="AZ229" s="7"/>
      <c r="BA229" s="7"/>
      <c r="BB229" s="7"/>
      <c r="BC229" s="7"/>
      <c r="BD229" s="60"/>
      <c r="BE229" s="44"/>
      <c r="BF229" s="11"/>
      <c r="BG229" s="19"/>
      <c r="BH229" s="7"/>
      <c r="BI229" s="14" t="s">
        <v>2597</v>
      </c>
      <c r="BJ229" s="15" t="s">
        <v>2598</v>
      </c>
      <c r="BK229" s="44" t="s">
        <v>2599</v>
      </c>
      <c r="BL229" s="16"/>
      <c r="BM229" s="7"/>
      <c r="BN229" s="7"/>
      <c r="BO229" s="7"/>
      <c r="BP229" s="7"/>
      <c r="BQ229" s="7"/>
      <c r="BR229" s="7"/>
      <c r="BS229" s="7"/>
      <c r="BT229" s="7"/>
      <c r="BU229" s="7"/>
      <c r="BV229" s="7"/>
      <c r="BW229" s="7"/>
      <c r="BX229" s="7"/>
      <c r="BY229" s="7"/>
      <c r="BZ229" s="41"/>
      <c r="CA229" s="7"/>
      <c r="CB229" s="7"/>
      <c r="CC229" s="7"/>
      <c r="CD229" s="7"/>
      <c r="CE229" s="7"/>
      <c r="CF229" s="7"/>
    </row>
    <row r="230">
      <c r="T230" s="7"/>
      <c r="U230" s="7"/>
      <c r="V230" s="7"/>
      <c r="W230" s="7"/>
      <c r="X230" s="7"/>
      <c r="Y230" s="7"/>
      <c r="Z230" s="7"/>
      <c r="AA230" s="7"/>
      <c r="AB230" s="7"/>
      <c r="AC230" s="7"/>
      <c r="AD230" s="7"/>
      <c r="AE230" s="7"/>
      <c r="AF230" s="7"/>
      <c r="AG230" s="7"/>
      <c r="AH230" s="7"/>
      <c r="AI230" s="7"/>
      <c r="AJ230" s="7"/>
      <c r="AK230" s="7"/>
      <c r="AL230" s="7"/>
      <c r="AM230" s="7"/>
      <c r="AN230" s="7"/>
      <c r="AS230" s="7"/>
      <c r="AT230" s="7"/>
      <c r="AU230" s="55"/>
      <c r="AV230" s="7"/>
      <c r="AW230" s="7"/>
      <c r="AX230" s="7"/>
      <c r="AY230" s="7"/>
      <c r="AZ230" s="7"/>
      <c r="BA230" s="7"/>
      <c r="BB230" s="7"/>
      <c r="BC230" s="7"/>
      <c r="BD230" s="60"/>
      <c r="BE230" s="44"/>
      <c r="BF230" s="11"/>
      <c r="BG230" s="19"/>
      <c r="BH230" s="7"/>
      <c r="BI230" s="14" t="s">
        <v>2600</v>
      </c>
      <c r="BJ230" s="15" t="s">
        <v>2601</v>
      </c>
      <c r="BK230" s="44"/>
      <c r="BL230" s="16"/>
      <c r="BM230" s="7"/>
      <c r="BN230" s="7"/>
      <c r="BO230" s="7"/>
      <c r="BP230" s="7"/>
      <c r="BQ230" s="7"/>
      <c r="BR230" s="7"/>
      <c r="BS230" s="7"/>
      <c r="BT230" s="7"/>
      <c r="BU230" s="7"/>
      <c r="BV230" s="7"/>
      <c r="BW230" s="7"/>
      <c r="BX230" s="7"/>
      <c r="BY230" s="7"/>
      <c r="BZ230" s="41"/>
      <c r="CA230" s="7"/>
      <c r="CB230" s="7"/>
      <c r="CC230" s="7"/>
      <c r="CD230" s="7"/>
      <c r="CE230" s="7"/>
      <c r="CF230" s="7"/>
    </row>
    <row r="231">
      <c r="T231" s="7"/>
      <c r="U231" s="7"/>
      <c r="V231" s="7"/>
      <c r="W231" s="7"/>
      <c r="X231" s="7"/>
      <c r="Y231" s="7"/>
      <c r="Z231" s="7"/>
      <c r="AA231" s="7"/>
      <c r="AB231" s="7"/>
      <c r="AC231" s="7"/>
      <c r="AD231" s="7"/>
      <c r="AE231" s="7"/>
      <c r="AF231" s="7"/>
      <c r="AG231" s="7"/>
      <c r="AH231" s="7"/>
      <c r="AI231" s="7"/>
      <c r="AJ231" s="7"/>
      <c r="AK231" s="7"/>
      <c r="AL231" s="7"/>
      <c r="AM231" s="7"/>
      <c r="AN231" s="7"/>
      <c r="AS231" s="7"/>
      <c r="AT231" s="7"/>
      <c r="AU231" s="55"/>
      <c r="AV231" s="7"/>
      <c r="AW231" s="7"/>
      <c r="AX231" s="7"/>
      <c r="AY231" s="7"/>
      <c r="AZ231" s="7"/>
      <c r="BA231" s="7"/>
      <c r="BB231" s="7"/>
      <c r="BC231" s="7"/>
      <c r="BD231" s="60"/>
      <c r="BE231" s="44"/>
      <c r="BF231" s="11"/>
      <c r="BG231" s="19"/>
      <c r="BH231" s="7"/>
      <c r="BI231" s="14" t="s">
        <v>2602</v>
      </c>
      <c r="BJ231" s="15" t="s">
        <v>2603</v>
      </c>
      <c r="BK231" s="44"/>
      <c r="BL231" s="16"/>
      <c r="BM231" s="7"/>
      <c r="BN231" s="7"/>
      <c r="BO231" s="7"/>
      <c r="BP231" s="7"/>
      <c r="BQ231" s="7"/>
      <c r="BR231" s="7"/>
      <c r="BS231" s="7"/>
      <c r="BT231" s="7"/>
      <c r="BU231" s="7"/>
      <c r="BV231" s="7"/>
      <c r="BW231" s="7"/>
      <c r="BX231" s="7"/>
      <c r="BY231" s="7"/>
      <c r="BZ231" s="41"/>
      <c r="CA231" s="7"/>
      <c r="CB231" s="7"/>
      <c r="CC231" s="7"/>
      <c r="CD231" s="7"/>
      <c r="CE231" s="7"/>
      <c r="CF231" s="7"/>
    </row>
    <row r="232">
      <c r="T232" s="7"/>
      <c r="U232" s="7"/>
      <c r="V232" s="7"/>
      <c r="W232" s="7"/>
      <c r="X232" s="7"/>
      <c r="Y232" s="7"/>
      <c r="Z232" s="7"/>
      <c r="AA232" s="7"/>
      <c r="AB232" s="7"/>
      <c r="AC232" s="7"/>
      <c r="AD232" s="7"/>
      <c r="AE232" s="7"/>
      <c r="AF232" s="7"/>
      <c r="AG232" s="7"/>
      <c r="AH232" s="7"/>
      <c r="AI232" s="7"/>
      <c r="AJ232" s="7"/>
      <c r="AK232" s="7"/>
      <c r="AL232" s="7"/>
      <c r="AM232" s="7"/>
      <c r="AN232" s="7"/>
      <c r="AS232" s="7"/>
      <c r="AT232" s="7"/>
      <c r="AU232" s="55"/>
      <c r="AV232" s="7"/>
      <c r="AW232" s="7"/>
      <c r="AX232" s="7"/>
      <c r="AY232" s="7"/>
      <c r="AZ232" s="7"/>
      <c r="BA232" s="7"/>
      <c r="BB232" s="7"/>
      <c r="BC232" s="7"/>
      <c r="BD232" s="60"/>
      <c r="BE232" s="44"/>
      <c r="BF232" s="11"/>
      <c r="BG232" s="19"/>
      <c r="BH232" s="7"/>
      <c r="BI232" s="14" t="s">
        <v>2604</v>
      </c>
      <c r="BJ232" s="15" t="s">
        <v>2605</v>
      </c>
      <c r="BK232" s="44" t="s">
        <v>2606</v>
      </c>
      <c r="BL232" s="16"/>
      <c r="BM232" s="7"/>
      <c r="BN232" s="7"/>
      <c r="BO232" s="7"/>
      <c r="BP232" s="7"/>
      <c r="BQ232" s="7"/>
      <c r="BR232" s="7"/>
      <c r="BS232" s="7"/>
      <c r="BT232" s="7"/>
      <c r="BU232" s="7"/>
      <c r="BV232" s="7"/>
      <c r="BW232" s="7"/>
      <c r="BX232" s="7"/>
      <c r="BY232" s="7"/>
      <c r="BZ232" s="41"/>
      <c r="CA232" s="7"/>
      <c r="CB232" s="7"/>
      <c r="CC232" s="7"/>
      <c r="CD232" s="7"/>
      <c r="CE232" s="7"/>
      <c r="CF232" s="7"/>
    </row>
    <row r="233">
      <c r="T233" s="7"/>
      <c r="U233" s="7"/>
      <c r="V233" s="7"/>
      <c r="W233" s="7"/>
      <c r="X233" s="7"/>
      <c r="Y233" s="7"/>
      <c r="Z233" s="7"/>
      <c r="AA233" s="7"/>
      <c r="AB233" s="7"/>
      <c r="AC233" s="7"/>
      <c r="AD233" s="7"/>
      <c r="AE233" s="7"/>
      <c r="AF233" s="7"/>
      <c r="AG233" s="7"/>
      <c r="AH233" s="7"/>
      <c r="AI233" s="7"/>
      <c r="AJ233" s="7"/>
      <c r="AK233" s="7"/>
      <c r="AL233" s="7"/>
      <c r="AM233" s="7"/>
      <c r="AN233" s="7"/>
      <c r="AS233" s="7"/>
      <c r="AT233" s="7"/>
      <c r="AU233" s="55"/>
      <c r="AV233" s="7"/>
      <c r="AW233" s="7"/>
      <c r="AX233" s="7"/>
      <c r="AY233" s="7"/>
      <c r="AZ233" s="7"/>
      <c r="BA233" s="7"/>
      <c r="BB233" s="7"/>
      <c r="BC233" s="7"/>
      <c r="BD233" s="60"/>
      <c r="BE233" s="44"/>
      <c r="BF233" s="11"/>
      <c r="BG233" s="19"/>
      <c r="BH233" s="7"/>
      <c r="BI233" s="14" t="s">
        <v>2607</v>
      </c>
      <c r="BJ233" s="15" t="s">
        <v>2608</v>
      </c>
      <c r="BK233" s="44"/>
      <c r="BL233" s="16"/>
      <c r="BM233" s="7"/>
      <c r="BN233" s="7"/>
      <c r="BO233" s="7"/>
      <c r="BP233" s="7"/>
      <c r="BQ233" s="7"/>
      <c r="BR233" s="7"/>
      <c r="BS233" s="7"/>
      <c r="BT233" s="7"/>
      <c r="BU233" s="7"/>
      <c r="BV233" s="7"/>
      <c r="BW233" s="7"/>
      <c r="BX233" s="7"/>
      <c r="BY233" s="7"/>
      <c r="BZ233" s="41"/>
      <c r="CA233" s="7"/>
      <c r="CB233" s="7"/>
      <c r="CC233" s="7"/>
      <c r="CD233" s="7"/>
      <c r="CE233" s="7"/>
      <c r="CF233" s="7"/>
    </row>
    <row r="234">
      <c r="T234" s="7"/>
      <c r="U234" s="7"/>
      <c r="V234" s="7"/>
      <c r="W234" s="7"/>
      <c r="X234" s="7"/>
      <c r="Y234" s="7"/>
      <c r="Z234" s="7"/>
      <c r="AA234" s="7"/>
      <c r="AB234" s="7"/>
      <c r="AC234" s="7"/>
      <c r="AD234" s="7"/>
      <c r="AE234" s="7"/>
      <c r="AF234" s="7"/>
      <c r="AG234" s="7"/>
      <c r="AH234" s="7"/>
      <c r="AI234" s="7"/>
      <c r="AJ234" s="7"/>
      <c r="AK234" s="7"/>
      <c r="AL234" s="7"/>
      <c r="AM234" s="7"/>
      <c r="AN234" s="7"/>
      <c r="AS234" s="7"/>
      <c r="AT234" s="7"/>
      <c r="AU234" s="55"/>
      <c r="AV234" s="7"/>
      <c r="AW234" s="7"/>
      <c r="AX234" s="7"/>
      <c r="AY234" s="7"/>
      <c r="AZ234" s="7"/>
      <c r="BA234" s="7"/>
      <c r="BB234" s="7"/>
      <c r="BC234" s="7"/>
      <c r="BD234" s="60"/>
      <c r="BE234" s="44"/>
      <c r="BF234" s="11"/>
      <c r="BG234" s="19"/>
      <c r="BH234" s="7"/>
      <c r="BI234" s="14" t="s">
        <v>2609</v>
      </c>
      <c r="BJ234" s="15" t="s">
        <v>2610</v>
      </c>
      <c r="BK234" s="44"/>
      <c r="BL234" s="16"/>
      <c r="BM234" s="7"/>
      <c r="BN234" s="7"/>
      <c r="BO234" s="7"/>
      <c r="BP234" s="7"/>
      <c r="BQ234" s="7"/>
      <c r="BR234" s="7"/>
      <c r="BS234" s="7"/>
      <c r="BT234" s="7"/>
      <c r="BU234" s="7"/>
      <c r="BV234" s="7"/>
      <c r="BW234" s="7"/>
      <c r="BX234" s="7"/>
      <c r="BY234" s="7"/>
      <c r="BZ234" s="41"/>
      <c r="CA234" s="7"/>
      <c r="CB234" s="7"/>
      <c r="CC234" s="7"/>
      <c r="CD234" s="7"/>
      <c r="CE234" s="7"/>
      <c r="CF234" s="7"/>
    </row>
    <row r="235">
      <c r="T235" s="7"/>
      <c r="U235" s="7"/>
      <c r="V235" s="7"/>
      <c r="W235" s="7"/>
      <c r="X235" s="7"/>
      <c r="Y235" s="7"/>
      <c r="Z235" s="7"/>
      <c r="AA235" s="7"/>
      <c r="AB235" s="7"/>
      <c r="AC235" s="7"/>
      <c r="AD235" s="7"/>
      <c r="AE235" s="7"/>
      <c r="AF235" s="7"/>
      <c r="AG235" s="7"/>
      <c r="AH235" s="7"/>
      <c r="AI235" s="7"/>
      <c r="AJ235" s="7"/>
      <c r="AK235" s="7"/>
      <c r="AL235" s="7"/>
      <c r="AM235" s="7"/>
      <c r="AN235" s="7"/>
      <c r="AS235" s="7"/>
      <c r="AT235" s="7"/>
      <c r="AU235" s="55"/>
      <c r="AV235" s="7"/>
      <c r="AW235" s="7"/>
      <c r="AX235" s="7"/>
      <c r="AY235" s="7"/>
      <c r="AZ235" s="7"/>
      <c r="BA235" s="7"/>
      <c r="BB235" s="7"/>
      <c r="BC235" s="7"/>
      <c r="BD235" s="60"/>
      <c r="BE235" s="44"/>
      <c r="BF235" s="11"/>
      <c r="BG235" s="19"/>
      <c r="BH235" s="7"/>
      <c r="BI235" s="14" t="s">
        <v>2611</v>
      </c>
      <c r="BJ235" s="15" t="s">
        <v>2612</v>
      </c>
      <c r="BK235" s="44"/>
      <c r="BL235" s="16" t="s">
        <v>21</v>
      </c>
      <c r="BM235" s="7"/>
      <c r="BN235" s="7"/>
      <c r="BO235" s="7"/>
      <c r="BP235" s="7"/>
      <c r="BQ235" s="7"/>
      <c r="BR235" s="7"/>
      <c r="BS235" s="7"/>
      <c r="BT235" s="7"/>
      <c r="BU235" s="7"/>
      <c r="BV235" s="7"/>
      <c r="BW235" s="7"/>
      <c r="BX235" s="7"/>
      <c r="BY235" s="7"/>
      <c r="BZ235" s="41"/>
      <c r="CA235" s="7"/>
      <c r="CB235" s="7"/>
      <c r="CC235" s="7"/>
      <c r="CD235" s="7"/>
      <c r="CE235" s="7"/>
      <c r="CF235" s="7"/>
    </row>
    <row r="236">
      <c r="T236" s="7"/>
      <c r="U236" s="7"/>
      <c r="V236" s="7"/>
      <c r="W236" s="7"/>
      <c r="X236" s="7"/>
      <c r="Y236" s="7"/>
      <c r="Z236" s="7"/>
      <c r="AA236" s="7"/>
      <c r="AB236" s="7"/>
      <c r="AC236" s="7"/>
      <c r="AD236" s="7"/>
      <c r="AE236" s="7"/>
      <c r="AF236" s="7"/>
      <c r="AG236" s="7"/>
      <c r="AH236" s="7"/>
      <c r="AI236" s="7"/>
      <c r="AJ236" s="7"/>
      <c r="AK236" s="7"/>
      <c r="AL236" s="7"/>
      <c r="AM236" s="7"/>
      <c r="AN236" s="7"/>
      <c r="AS236" s="7"/>
      <c r="AT236" s="7"/>
      <c r="AU236" s="55"/>
      <c r="AV236" s="7"/>
      <c r="AW236" s="7"/>
      <c r="AX236" s="7"/>
      <c r="AY236" s="7"/>
      <c r="AZ236" s="7"/>
      <c r="BA236" s="7"/>
      <c r="BB236" s="7"/>
      <c r="BC236" s="7"/>
      <c r="BD236" s="60"/>
      <c r="BE236" s="44"/>
      <c r="BF236" s="11"/>
      <c r="BG236" s="19"/>
      <c r="BH236" s="7"/>
      <c r="BI236" s="14" t="s">
        <v>2613</v>
      </c>
      <c r="BJ236" s="15" t="s">
        <v>2614</v>
      </c>
      <c r="BK236" s="44" t="s">
        <v>2615</v>
      </c>
      <c r="BL236" s="16"/>
      <c r="BM236" s="7"/>
      <c r="BN236" s="7"/>
      <c r="BO236" s="7"/>
      <c r="BP236" s="7"/>
      <c r="BQ236" s="7"/>
      <c r="BR236" s="7"/>
      <c r="BS236" s="7"/>
      <c r="BT236" s="7"/>
      <c r="BU236" s="7"/>
      <c r="BV236" s="7"/>
      <c r="BW236" s="7"/>
      <c r="BX236" s="7"/>
      <c r="BY236" s="7"/>
      <c r="BZ236" s="41"/>
      <c r="CA236" s="7"/>
      <c r="CB236" s="7"/>
      <c r="CC236" s="7"/>
      <c r="CD236" s="7"/>
      <c r="CE236" s="7"/>
      <c r="CF236" s="7"/>
    </row>
    <row r="237">
      <c r="T237" s="7"/>
      <c r="U237" s="7"/>
      <c r="V237" s="7"/>
      <c r="W237" s="7"/>
      <c r="X237" s="7"/>
      <c r="Y237" s="7"/>
      <c r="Z237" s="7"/>
      <c r="AA237" s="7"/>
      <c r="AB237" s="7"/>
      <c r="AC237" s="7"/>
      <c r="AD237" s="7"/>
      <c r="AE237" s="7"/>
      <c r="AF237" s="7"/>
      <c r="AG237" s="7"/>
      <c r="AH237" s="7"/>
      <c r="AI237" s="7"/>
      <c r="AJ237" s="7"/>
      <c r="AK237" s="7"/>
      <c r="AL237" s="7"/>
      <c r="AM237" s="7"/>
      <c r="AN237" s="7"/>
      <c r="AS237" s="7"/>
      <c r="AT237" s="7"/>
      <c r="AU237" s="55"/>
      <c r="AV237" s="7"/>
      <c r="AW237" s="7"/>
      <c r="AX237" s="7"/>
      <c r="AY237" s="7"/>
      <c r="AZ237" s="7"/>
      <c r="BA237" s="7"/>
      <c r="BB237" s="7"/>
      <c r="BC237" s="7"/>
      <c r="BD237" s="60"/>
      <c r="BE237" s="44"/>
      <c r="BF237" s="11"/>
      <c r="BG237" s="19"/>
      <c r="BH237" s="7"/>
      <c r="BI237" s="14" t="s">
        <v>2616</v>
      </c>
      <c r="BJ237" s="15" t="s">
        <v>2617</v>
      </c>
      <c r="BK237" s="44"/>
      <c r="BL237" s="16"/>
      <c r="BM237" s="7"/>
      <c r="BN237" s="7"/>
      <c r="BO237" s="7"/>
      <c r="BP237" s="7"/>
      <c r="BQ237" s="7"/>
      <c r="BR237" s="7"/>
      <c r="BS237" s="7"/>
      <c r="BT237" s="7"/>
      <c r="BU237" s="7"/>
      <c r="BV237" s="7"/>
      <c r="BW237" s="7"/>
      <c r="BX237" s="7"/>
      <c r="BY237" s="7"/>
      <c r="BZ237" s="41"/>
      <c r="CA237" s="7"/>
      <c r="CB237" s="7"/>
      <c r="CC237" s="7"/>
      <c r="CD237" s="7"/>
      <c r="CE237" s="7"/>
      <c r="CF237" s="7"/>
    </row>
    <row r="238">
      <c r="T238" s="7"/>
      <c r="U238" s="7"/>
      <c r="V238" s="7"/>
      <c r="W238" s="7"/>
      <c r="X238" s="7"/>
      <c r="Y238" s="7"/>
      <c r="Z238" s="7"/>
      <c r="AA238" s="7"/>
      <c r="AB238" s="7"/>
      <c r="AC238" s="7"/>
      <c r="AD238" s="7"/>
      <c r="AE238" s="7"/>
      <c r="AF238" s="7"/>
      <c r="AG238" s="7"/>
      <c r="AH238" s="7"/>
      <c r="AI238" s="7"/>
      <c r="AJ238" s="7"/>
      <c r="AK238" s="7"/>
      <c r="AL238" s="7"/>
      <c r="AM238" s="7"/>
      <c r="AN238" s="7"/>
      <c r="AS238" s="7"/>
      <c r="AT238" s="7"/>
      <c r="AU238" s="55"/>
      <c r="AV238" s="7"/>
      <c r="AW238" s="7"/>
      <c r="AX238" s="7"/>
      <c r="AY238" s="7"/>
      <c r="AZ238" s="7"/>
      <c r="BA238" s="7"/>
      <c r="BB238" s="7"/>
      <c r="BC238" s="7"/>
      <c r="BD238" s="60"/>
      <c r="BE238" s="44"/>
      <c r="BF238" s="11"/>
      <c r="BG238" s="19"/>
      <c r="BH238" s="7"/>
      <c r="BI238" s="14" t="s">
        <v>2618</v>
      </c>
      <c r="BJ238" s="15" t="s">
        <v>2619</v>
      </c>
      <c r="BK238" s="44" t="s">
        <v>2620</v>
      </c>
      <c r="BL238" s="16"/>
      <c r="BM238" s="7"/>
      <c r="BN238" s="7"/>
      <c r="BO238" s="7"/>
      <c r="BP238" s="7"/>
      <c r="BQ238" s="7"/>
      <c r="BR238" s="7"/>
      <c r="BS238" s="7"/>
      <c r="BT238" s="7"/>
      <c r="BU238" s="7"/>
      <c r="BV238" s="7"/>
      <c r="BW238" s="7"/>
      <c r="BX238" s="7"/>
      <c r="BY238" s="7"/>
      <c r="BZ238" s="41"/>
      <c r="CA238" s="7"/>
      <c r="CB238" s="7"/>
      <c r="CC238" s="7"/>
      <c r="CD238" s="7"/>
      <c r="CE238" s="7"/>
      <c r="CF238" s="7"/>
    </row>
    <row r="239">
      <c r="T239" s="7"/>
      <c r="U239" s="7"/>
      <c r="V239" s="7"/>
      <c r="W239" s="7"/>
      <c r="X239" s="7"/>
      <c r="Y239" s="7"/>
      <c r="Z239" s="7"/>
      <c r="AA239" s="7"/>
      <c r="AB239" s="7"/>
      <c r="AC239" s="7"/>
      <c r="AD239" s="7"/>
      <c r="AE239" s="7"/>
      <c r="AF239" s="7"/>
      <c r="AG239" s="7"/>
      <c r="AH239" s="7"/>
      <c r="AI239" s="7"/>
      <c r="AJ239" s="7"/>
      <c r="AK239" s="7"/>
      <c r="AL239" s="7"/>
      <c r="AM239" s="7"/>
      <c r="AN239" s="7"/>
      <c r="AS239" s="7"/>
      <c r="AT239" s="7"/>
      <c r="AU239" s="55"/>
      <c r="AV239" s="7"/>
      <c r="AW239" s="7"/>
      <c r="AX239" s="7"/>
      <c r="AY239" s="7"/>
      <c r="AZ239" s="7"/>
      <c r="BA239" s="7"/>
      <c r="BB239" s="7"/>
      <c r="BC239" s="7"/>
      <c r="BD239" s="60"/>
      <c r="BE239" s="44"/>
      <c r="BF239" s="11"/>
      <c r="BG239" s="19"/>
      <c r="BH239" s="7"/>
      <c r="BI239" s="14" t="s">
        <v>2621</v>
      </c>
      <c r="BJ239" s="15" t="s">
        <v>2622</v>
      </c>
      <c r="BK239" s="44"/>
      <c r="BL239" s="16"/>
      <c r="BM239" s="7"/>
      <c r="BN239" s="7"/>
      <c r="BO239" s="7"/>
      <c r="BP239" s="7"/>
      <c r="BQ239" s="7"/>
      <c r="BR239" s="7"/>
      <c r="BS239" s="7"/>
      <c r="BT239" s="7"/>
      <c r="BU239" s="7"/>
      <c r="BV239" s="7"/>
      <c r="BW239" s="7"/>
      <c r="BX239" s="7"/>
      <c r="BY239" s="7"/>
      <c r="BZ239" s="41"/>
      <c r="CA239" s="7"/>
      <c r="CB239" s="7"/>
      <c r="CC239" s="7"/>
      <c r="CD239" s="7"/>
      <c r="CE239" s="7"/>
      <c r="CF239" s="7"/>
    </row>
    <row r="240">
      <c r="T240" s="7"/>
      <c r="U240" s="7"/>
      <c r="V240" s="7"/>
      <c r="W240" s="7"/>
      <c r="X240" s="7"/>
      <c r="Y240" s="7"/>
      <c r="Z240" s="7"/>
      <c r="AA240" s="7"/>
      <c r="AB240" s="7"/>
      <c r="AC240" s="7"/>
      <c r="AD240" s="7"/>
      <c r="AE240" s="7"/>
      <c r="AF240" s="7"/>
      <c r="AG240" s="7"/>
      <c r="AH240" s="7"/>
      <c r="AI240" s="7"/>
      <c r="AJ240" s="7"/>
      <c r="AK240" s="7"/>
      <c r="AL240" s="7"/>
      <c r="AM240" s="7"/>
      <c r="AN240" s="7"/>
      <c r="AS240" s="7"/>
      <c r="AT240" s="7"/>
      <c r="AU240" s="55"/>
      <c r="AV240" s="7"/>
      <c r="AW240" s="7"/>
      <c r="AX240" s="7"/>
      <c r="AY240" s="7"/>
      <c r="AZ240" s="7"/>
      <c r="BA240" s="7"/>
      <c r="BB240" s="7"/>
      <c r="BC240" s="7"/>
      <c r="BD240" s="60"/>
      <c r="BE240" s="44"/>
      <c r="BF240" s="11"/>
      <c r="BG240" s="19"/>
      <c r="BH240" s="7"/>
      <c r="BI240" s="14" t="s">
        <v>2623</v>
      </c>
      <c r="BJ240" s="15" t="s">
        <v>2624</v>
      </c>
      <c r="BK240" s="44"/>
      <c r="BL240" s="16"/>
      <c r="BM240" s="7"/>
      <c r="BN240" s="7"/>
      <c r="BO240" s="7"/>
      <c r="BP240" s="7"/>
      <c r="BQ240" s="7"/>
      <c r="BR240" s="7"/>
      <c r="BS240" s="7"/>
      <c r="BT240" s="7"/>
      <c r="BU240" s="7"/>
      <c r="BV240" s="7"/>
      <c r="BW240" s="7"/>
      <c r="BX240" s="7"/>
      <c r="BY240" s="7"/>
      <c r="BZ240" s="41"/>
      <c r="CA240" s="7"/>
      <c r="CB240" s="7"/>
      <c r="CC240" s="7"/>
      <c r="CD240" s="7"/>
      <c r="CE240" s="7"/>
      <c r="CF240" s="7"/>
    </row>
    <row r="241">
      <c r="T241" s="7"/>
      <c r="U241" s="7"/>
      <c r="V241" s="7"/>
      <c r="W241" s="7"/>
      <c r="X241" s="7"/>
      <c r="Y241" s="7"/>
      <c r="Z241" s="7"/>
      <c r="AA241" s="7"/>
      <c r="AB241" s="7"/>
      <c r="AC241" s="7"/>
      <c r="AD241" s="7"/>
      <c r="AE241" s="7"/>
      <c r="AF241" s="7"/>
      <c r="AG241" s="7"/>
      <c r="AH241" s="7"/>
      <c r="AI241" s="7"/>
      <c r="AJ241" s="7"/>
      <c r="AK241" s="7"/>
      <c r="AL241" s="7"/>
      <c r="AM241" s="7"/>
      <c r="AN241" s="7"/>
      <c r="AS241" s="7"/>
      <c r="AT241" s="7"/>
      <c r="AU241" s="55"/>
      <c r="AV241" s="7"/>
      <c r="AW241" s="7"/>
      <c r="AX241" s="7"/>
      <c r="AY241" s="7"/>
      <c r="AZ241" s="7"/>
      <c r="BA241" s="7"/>
      <c r="BB241" s="7"/>
      <c r="BC241" s="7"/>
      <c r="BD241" s="60"/>
      <c r="BE241" s="44"/>
      <c r="BF241" s="11"/>
      <c r="BG241" s="19"/>
      <c r="BH241" s="7"/>
      <c r="BI241" s="14" t="s">
        <v>2625</v>
      </c>
      <c r="BJ241" s="15" t="s">
        <v>2626</v>
      </c>
      <c r="BK241" s="44"/>
      <c r="BL241" s="16" t="s">
        <v>33</v>
      </c>
      <c r="BM241" s="7"/>
      <c r="BN241" s="7"/>
      <c r="BO241" s="7"/>
      <c r="BP241" s="7"/>
      <c r="BQ241" s="7"/>
      <c r="BR241" s="7"/>
      <c r="BS241" s="7"/>
      <c r="BT241" s="7"/>
      <c r="BU241" s="7"/>
      <c r="BV241" s="7"/>
      <c r="BW241" s="7"/>
      <c r="BX241" s="7"/>
      <c r="BY241" s="7"/>
      <c r="BZ241" s="41"/>
      <c r="CA241" s="7"/>
      <c r="CB241" s="7"/>
      <c r="CC241" s="7"/>
      <c r="CD241" s="7"/>
      <c r="CE241" s="7"/>
      <c r="CF241" s="7"/>
    </row>
    <row r="242">
      <c r="T242" s="7"/>
      <c r="U242" s="7"/>
      <c r="V242" s="7"/>
      <c r="W242" s="7"/>
      <c r="X242" s="7"/>
      <c r="Y242" s="7"/>
      <c r="Z242" s="7"/>
      <c r="AA242" s="7"/>
      <c r="AB242" s="7"/>
      <c r="AC242" s="7"/>
      <c r="AD242" s="7"/>
      <c r="AE242" s="7"/>
      <c r="AF242" s="7"/>
      <c r="AG242" s="7"/>
      <c r="AH242" s="7"/>
      <c r="AI242" s="7"/>
      <c r="AJ242" s="7"/>
      <c r="AK242" s="7"/>
      <c r="AL242" s="7"/>
      <c r="AM242" s="7"/>
      <c r="AN242" s="7"/>
      <c r="AS242" s="7"/>
      <c r="AT242" s="7"/>
      <c r="AU242" s="55"/>
      <c r="AV242" s="7"/>
      <c r="AW242" s="7"/>
      <c r="AX242" s="7"/>
      <c r="AY242" s="7"/>
      <c r="AZ242" s="7"/>
      <c r="BA242" s="7"/>
      <c r="BB242" s="7"/>
      <c r="BC242" s="7"/>
      <c r="BD242" s="60"/>
      <c r="BE242" s="44"/>
      <c r="BF242" s="11"/>
      <c r="BG242" s="19"/>
      <c r="BH242" s="7"/>
      <c r="BI242" s="14" t="s">
        <v>2627</v>
      </c>
      <c r="BJ242" s="15" t="s">
        <v>2628</v>
      </c>
      <c r="BK242" s="44"/>
      <c r="BL242" s="16"/>
      <c r="BM242" s="7"/>
      <c r="BN242" s="7"/>
      <c r="BO242" s="7"/>
      <c r="BP242" s="7"/>
      <c r="BQ242" s="7"/>
      <c r="BR242" s="7"/>
      <c r="BS242" s="7"/>
      <c r="BT242" s="7"/>
      <c r="BU242" s="7"/>
      <c r="BV242" s="7"/>
      <c r="BW242" s="7"/>
      <c r="BX242" s="7"/>
      <c r="BY242" s="7"/>
      <c r="BZ242" s="41"/>
      <c r="CA242" s="7"/>
      <c r="CB242" s="7"/>
      <c r="CC242" s="7"/>
      <c r="CD242" s="7"/>
      <c r="CE242" s="7"/>
      <c r="CF242" s="7"/>
    </row>
    <row r="243">
      <c r="T243" s="7"/>
      <c r="U243" s="7"/>
      <c r="V243" s="7"/>
      <c r="W243" s="7"/>
      <c r="X243" s="7"/>
      <c r="Y243" s="7"/>
      <c r="Z243" s="7"/>
      <c r="AA243" s="7"/>
      <c r="AB243" s="7"/>
      <c r="AC243" s="7"/>
      <c r="AD243" s="7"/>
      <c r="AE243" s="7"/>
      <c r="AF243" s="7"/>
      <c r="AG243" s="7"/>
      <c r="AH243" s="7"/>
      <c r="AI243" s="7"/>
      <c r="AJ243" s="7"/>
      <c r="AK243" s="7"/>
      <c r="AL243" s="7"/>
      <c r="AM243" s="7"/>
      <c r="AN243" s="7"/>
      <c r="AS243" s="7"/>
      <c r="AT243" s="7"/>
      <c r="AU243" s="55"/>
      <c r="AV243" s="7"/>
      <c r="AW243" s="7"/>
      <c r="AX243" s="7"/>
      <c r="AY243" s="7"/>
      <c r="AZ243" s="7"/>
      <c r="BA243" s="7"/>
      <c r="BB243" s="7"/>
      <c r="BC243" s="7"/>
      <c r="BD243" s="60"/>
      <c r="BE243" s="44"/>
      <c r="BF243" s="11"/>
      <c r="BG243" s="19"/>
      <c r="BH243" s="7"/>
      <c r="BI243" s="14" t="s">
        <v>2629</v>
      </c>
      <c r="BJ243" s="15" t="s">
        <v>2630</v>
      </c>
      <c r="BK243" s="44"/>
      <c r="BL243" s="16"/>
      <c r="BM243" s="7"/>
      <c r="BN243" s="7"/>
      <c r="BO243" s="7"/>
      <c r="BP243" s="7"/>
      <c r="BQ243" s="7"/>
      <c r="BR243" s="7"/>
      <c r="BS243" s="7"/>
      <c r="BT243" s="7"/>
      <c r="BU243" s="7"/>
      <c r="BV243" s="7"/>
      <c r="BW243" s="7"/>
      <c r="BX243" s="7"/>
      <c r="BY243" s="7"/>
      <c r="BZ243" s="41"/>
      <c r="CA243" s="7"/>
      <c r="CB243" s="7"/>
      <c r="CC243" s="7"/>
      <c r="CD243" s="7"/>
      <c r="CE243" s="7"/>
      <c r="CF243" s="7"/>
    </row>
    <row r="244">
      <c r="T244" s="7"/>
      <c r="U244" s="7"/>
      <c r="V244" s="7"/>
      <c r="W244" s="7"/>
      <c r="X244" s="7"/>
      <c r="Y244" s="7"/>
      <c r="Z244" s="7"/>
      <c r="AA244" s="7"/>
      <c r="AB244" s="7"/>
      <c r="AC244" s="7"/>
      <c r="AD244" s="7"/>
      <c r="AE244" s="7"/>
      <c r="AF244" s="7"/>
      <c r="AG244" s="7"/>
      <c r="AH244" s="7"/>
      <c r="AI244" s="7"/>
      <c r="AJ244" s="7"/>
      <c r="AK244" s="7"/>
      <c r="AL244" s="7"/>
      <c r="AM244" s="7"/>
      <c r="AN244" s="7"/>
      <c r="AS244" s="7"/>
      <c r="AT244" s="7"/>
      <c r="AU244" s="55"/>
      <c r="AV244" s="7"/>
      <c r="AW244" s="7"/>
      <c r="AX244" s="7"/>
      <c r="AY244" s="7"/>
      <c r="AZ244" s="7"/>
      <c r="BA244" s="7"/>
      <c r="BB244" s="7"/>
      <c r="BC244" s="7"/>
      <c r="BD244" s="60"/>
      <c r="BE244" s="44"/>
      <c r="BF244" s="11"/>
      <c r="BG244" s="19"/>
      <c r="BH244" s="7"/>
      <c r="BI244" s="14" t="s">
        <v>2631</v>
      </c>
      <c r="BJ244" s="15" t="s">
        <v>2632</v>
      </c>
      <c r="BK244" s="44"/>
      <c r="BL244" s="16"/>
      <c r="BM244" s="7"/>
      <c r="BN244" s="7"/>
      <c r="BO244" s="7"/>
      <c r="BP244" s="7"/>
      <c r="BQ244" s="7"/>
      <c r="BR244" s="7"/>
      <c r="BS244" s="7"/>
      <c r="BT244" s="7"/>
      <c r="BU244" s="7"/>
      <c r="BV244" s="7"/>
      <c r="BW244" s="7"/>
      <c r="BX244" s="7"/>
      <c r="BY244" s="7"/>
      <c r="BZ244" s="41"/>
      <c r="CA244" s="7"/>
      <c r="CB244" s="7"/>
      <c r="CC244" s="7"/>
      <c r="CD244" s="7"/>
      <c r="CE244" s="7"/>
      <c r="CF244" s="7"/>
    </row>
    <row r="245">
      <c r="T245" s="7"/>
      <c r="U245" s="7"/>
      <c r="V245" s="7"/>
      <c r="W245" s="7"/>
      <c r="X245" s="7"/>
      <c r="Y245" s="7"/>
      <c r="Z245" s="7"/>
      <c r="AA245" s="7"/>
      <c r="AB245" s="7"/>
      <c r="AC245" s="7"/>
      <c r="AD245" s="7"/>
      <c r="AE245" s="7"/>
      <c r="AF245" s="7"/>
      <c r="AG245" s="7"/>
      <c r="AH245" s="7"/>
      <c r="AI245" s="7"/>
      <c r="AJ245" s="7"/>
      <c r="AK245" s="7"/>
      <c r="AL245" s="7"/>
      <c r="AM245" s="7"/>
      <c r="AN245" s="7"/>
      <c r="AS245" s="7"/>
      <c r="AT245" s="7"/>
      <c r="AU245" s="55"/>
      <c r="AV245" s="7"/>
      <c r="AW245" s="7"/>
      <c r="AX245" s="7"/>
      <c r="AY245" s="7"/>
      <c r="AZ245" s="7"/>
      <c r="BA245" s="7"/>
      <c r="BB245" s="7"/>
      <c r="BC245" s="7"/>
      <c r="BD245" s="60"/>
      <c r="BE245" s="44"/>
      <c r="BF245" s="11"/>
      <c r="BG245" s="19"/>
      <c r="BH245" s="7"/>
      <c r="BI245" s="14" t="s">
        <v>2633</v>
      </c>
      <c r="BJ245" s="15" t="s">
        <v>2634</v>
      </c>
      <c r="BK245" s="44"/>
      <c r="BL245" s="16"/>
      <c r="BM245" s="7"/>
      <c r="BN245" s="7"/>
      <c r="BO245" s="7"/>
      <c r="BP245" s="7"/>
      <c r="BQ245" s="7"/>
      <c r="BR245" s="7"/>
      <c r="BS245" s="7"/>
      <c r="BT245" s="7"/>
      <c r="BU245" s="7"/>
      <c r="BV245" s="7"/>
      <c r="BW245" s="7"/>
      <c r="BX245" s="7"/>
      <c r="BY245" s="7"/>
      <c r="BZ245" s="41"/>
      <c r="CA245" s="7"/>
      <c r="CB245" s="7"/>
      <c r="CC245" s="7"/>
      <c r="CD245" s="7"/>
      <c r="CE245" s="7"/>
      <c r="CF245" s="7"/>
    </row>
    <row r="246">
      <c r="T246" s="7"/>
      <c r="U246" s="7"/>
      <c r="V246" s="7"/>
      <c r="W246" s="7"/>
      <c r="X246" s="7"/>
      <c r="Y246" s="7"/>
      <c r="Z246" s="7"/>
      <c r="AA246" s="7"/>
      <c r="AB246" s="7"/>
      <c r="AC246" s="7"/>
      <c r="AD246" s="7"/>
      <c r="AE246" s="7"/>
      <c r="AF246" s="7"/>
      <c r="AG246" s="7"/>
      <c r="AH246" s="7"/>
      <c r="AI246" s="7"/>
      <c r="AJ246" s="7"/>
      <c r="AK246" s="7"/>
      <c r="AL246" s="7"/>
      <c r="AM246" s="7"/>
      <c r="AN246" s="7"/>
      <c r="AS246" s="7"/>
      <c r="AT246" s="7"/>
      <c r="AU246" s="55"/>
      <c r="AV246" s="7"/>
      <c r="AW246" s="7"/>
      <c r="AX246" s="7"/>
      <c r="AY246" s="7"/>
      <c r="AZ246" s="7"/>
      <c r="BA246" s="7"/>
      <c r="BB246" s="7"/>
      <c r="BC246" s="7"/>
      <c r="BD246" s="60"/>
      <c r="BE246" s="44"/>
      <c r="BF246" s="11"/>
      <c r="BG246" s="19"/>
      <c r="BH246" s="7"/>
      <c r="BI246" s="14" t="s">
        <v>2635</v>
      </c>
      <c r="BJ246" s="15" t="s">
        <v>2636</v>
      </c>
      <c r="BK246" s="44"/>
      <c r="BL246" s="16"/>
      <c r="BM246" s="7"/>
      <c r="BN246" s="7"/>
      <c r="BO246" s="7"/>
      <c r="BP246" s="7"/>
      <c r="BQ246" s="7"/>
      <c r="BR246" s="7"/>
      <c r="BS246" s="7"/>
      <c r="BT246" s="7"/>
      <c r="BU246" s="7"/>
      <c r="BV246" s="7"/>
      <c r="BW246" s="7"/>
      <c r="BX246" s="7"/>
      <c r="BY246" s="7"/>
      <c r="BZ246" s="41"/>
      <c r="CA246" s="7"/>
      <c r="CB246" s="7"/>
      <c r="CC246" s="7"/>
      <c r="CD246" s="7"/>
      <c r="CE246" s="7"/>
      <c r="CF246" s="7"/>
    </row>
    <row r="247">
      <c r="T247" s="7"/>
      <c r="U247" s="7"/>
      <c r="V247" s="7"/>
      <c r="W247" s="7"/>
      <c r="X247" s="7"/>
      <c r="Y247" s="7"/>
      <c r="Z247" s="7"/>
      <c r="AA247" s="7"/>
      <c r="AB247" s="7"/>
      <c r="AC247" s="7"/>
      <c r="AD247" s="7"/>
      <c r="AE247" s="7"/>
      <c r="AF247" s="7"/>
      <c r="AG247" s="7"/>
      <c r="AH247" s="7"/>
      <c r="AI247" s="7"/>
      <c r="AJ247" s="7"/>
      <c r="AK247" s="7"/>
      <c r="AL247" s="7"/>
      <c r="AM247" s="7"/>
      <c r="AN247" s="7"/>
      <c r="AS247" s="7"/>
      <c r="AT247" s="7"/>
      <c r="AU247" s="55"/>
      <c r="AV247" s="7"/>
      <c r="AW247" s="7"/>
      <c r="AX247" s="7"/>
      <c r="AY247" s="7"/>
      <c r="AZ247" s="7"/>
      <c r="BA247" s="7"/>
      <c r="BB247" s="7"/>
      <c r="BC247" s="7"/>
      <c r="BD247" s="60"/>
      <c r="BE247" s="44"/>
      <c r="BF247" s="11"/>
      <c r="BG247" s="19"/>
      <c r="BH247" s="7"/>
      <c r="BI247" s="14" t="s">
        <v>2637</v>
      </c>
      <c r="BJ247" s="15" t="s">
        <v>2638</v>
      </c>
      <c r="BK247" s="44"/>
      <c r="BL247" s="16" t="s">
        <v>21</v>
      </c>
      <c r="BM247" s="7"/>
      <c r="BN247" s="7"/>
      <c r="BO247" s="7"/>
      <c r="BP247" s="7"/>
      <c r="BQ247" s="7"/>
      <c r="BR247" s="7"/>
      <c r="BS247" s="7"/>
      <c r="BT247" s="7"/>
      <c r="BU247" s="7"/>
      <c r="BV247" s="7"/>
      <c r="BW247" s="7"/>
      <c r="BX247" s="7"/>
      <c r="BY247" s="7"/>
      <c r="BZ247" s="41"/>
      <c r="CA247" s="7"/>
      <c r="CB247" s="7"/>
      <c r="CC247" s="7"/>
      <c r="CD247" s="7"/>
      <c r="CE247" s="7"/>
      <c r="CF247" s="7"/>
    </row>
    <row r="248">
      <c r="T248" s="7"/>
      <c r="U248" s="7"/>
      <c r="V248" s="7"/>
      <c r="W248" s="7"/>
      <c r="X248" s="7"/>
      <c r="Y248" s="7"/>
      <c r="Z248" s="7"/>
      <c r="AA248" s="7"/>
      <c r="AB248" s="7"/>
      <c r="AC248" s="7"/>
      <c r="AD248" s="7"/>
      <c r="AE248" s="7"/>
      <c r="AF248" s="7"/>
      <c r="AG248" s="7"/>
      <c r="AH248" s="7"/>
      <c r="AI248" s="7"/>
      <c r="AJ248" s="7"/>
      <c r="AK248" s="7"/>
      <c r="AL248" s="7"/>
      <c r="AM248" s="7"/>
      <c r="AN248" s="7"/>
      <c r="AS248" s="7"/>
      <c r="AT248" s="7"/>
      <c r="AU248" s="55"/>
      <c r="AV248" s="7"/>
      <c r="AW248" s="7"/>
      <c r="AX248" s="7"/>
      <c r="AY248" s="7"/>
      <c r="AZ248" s="7"/>
      <c r="BA248" s="7"/>
      <c r="BB248" s="7"/>
      <c r="BC248" s="7"/>
      <c r="BD248" s="60"/>
      <c r="BE248" s="44"/>
      <c r="BF248" s="11"/>
      <c r="BG248" s="19"/>
      <c r="BH248" s="7"/>
      <c r="BI248" s="14" t="s">
        <v>2639</v>
      </c>
      <c r="BJ248" s="15" t="s">
        <v>2640</v>
      </c>
      <c r="BK248" s="44"/>
      <c r="BL248" s="16"/>
      <c r="BM248" s="7"/>
      <c r="BN248" s="7"/>
      <c r="BO248" s="7"/>
      <c r="BP248" s="7"/>
      <c r="BQ248" s="7"/>
      <c r="BR248" s="7"/>
      <c r="BS248" s="7"/>
      <c r="BT248" s="7"/>
      <c r="BU248" s="7"/>
      <c r="BV248" s="7"/>
      <c r="BW248" s="7"/>
      <c r="BX248" s="7"/>
      <c r="BY248" s="7"/>
      <c r="BZ248" s="41"/>
      <c r="CA248" s="7"/>
      <c r="CB248" s="7"/>
      <c r="CC248" s="7"/>
      <c r="CD248" s="7"/>
      <c r="CE248" s="7"/>
      <c r="CF248" s="7"/>
    </row>
    <row r="249">
      <c r="T249" s="7"/>
      <c r="U249" s="7"/>
      <c r="V249" s="7"/>
      <c r="W249" s="7"/>
      <c r="X249" s="7"/>
      <c r="Y249" s="7"/>
      <c r="Z249" s="7"/>
      <c r="AA249" s="7"/>
      <c r="AB249" s="7"/>
      <c r="AC249" s="7"/>
      <c r="AD249" s="7"/>
      <c r="AE249" s="7"/>
      <c r="AF249" s="7"/>
      <c r="AG249" s="7"/>
      <c r="AH249" s="7"/>
      <c r="AI249" s="7"/>
      <c r="AJ249" s="7"/>
      <c r="AK249" s="7"/>
      <c r="AL249" s="7"/>
      <c r="AM249" s="7"/>
      <c r="AN249" s="7"/>
      <c r="AS249" s="7"/>
      <c r="AT249" s="7"/>
      <c r="AU249" s="55"/>
      <c r="AV249" s="7"/>
      <c r="AW249" s="7"/>
      <c r="AX249" s="7"/>
      <c r="AY249" s="7"/>
      <c r="AZ249" s="7"/>
      <c r="BA249" s="7"/>
      <c r="BB249" s="7"/>
      <c r="BC249" s="7"/>
      <c r="BD249" s="60"/>
      <c r="BE249" s="44"/>
      <c r="BF249" s="11"/>
      <c r="BG249" s="19"/>
      <c r="BH249" s="7"/>
      <c r="BI249" s="14" t="s">
        <v>2641</v>
      </c>
      <c r="BJ249" s="15" t="s">
        <v>2642</v>
      </c>
      <c r="BK249" s="44"/>
      <c r="BL249" s="16"/>
      <c r="BM249" s="7"/>
      <c r="BN249" s="7"/>
      <c r="BO249" s="7"/>
      <c r="BP249" s="7"/>
      <c r="BQ249" s="7"/>
      <c r="BR249" s="7"/>
      <c r="BS249" s="7"/>
      <c r="BT249" s="7"/>
      <c r="BU249" s="7"/>
      <c r="BV249" s="7"/>
      <c r="BW249" s="7"/>
      <c r="BX249" s="7"/>
      <c r="BY249" s="7"/>
      <c r="BZ249" s="41"/>
      <c r="CA249" s="7"/>
      <c r="CB249" s="7"/>
      <c r="CC249" s="7"/>
      <c r="CD249" s="7"/>
      <c r="CE249" s="7"/>
      <c r="CF249" s="7"/>
    </row>
    <row r="250">
      <c r="T250" s="7"/>
      <c r="U250" s="7"/>
      <c r="V250" s="7"/>
      <c r="W250" s="7"/>
      <c r="X250" s="7"/>
      <c r="Y250" s="7"/>
      <c r="Z250" s="7"/>
      <c r="AA250" s="7"/>
      <c r="AB250" s="7"/>
      <c r="AC250" s="7"/>
      <c r="AD250" s="7"/>
      <c r="AE250" s="7"/>
      <c r="AF250" s="7"/>
      <c r="AG250" s="7"/>
      <c r="AH250" s="7"/>
      <c r="AI250" s="7"/>
      <c r="AJ250" s="7"/>
      <c r="AK250" s="7"/>
      <c r="AL250" s="7"/>
      <c r="AM250" s="7"/>
      <c r="AN250" s="7"/>
      <c r="AS250" s="7"/>
      <c r="AT250" s="7"/>
      <c r="AU250" s="55"/>
      <c r="AV250" s="7"/>
      <c r="AW250" s="7"/>
      <c r="AX250" s="7"/>
      <c r="AY250" s="7"/>
      <c r="AZ250" s="7"/>
      <c r="BA250" s="7"/>
      <c r="BB250" s="7"/>
      <c r="BC250" s="7"/>
      <c r="BD250" s="60"/>
      <c r="BE250" s="44"/>
      <c r="BF250" s="11"/>
      <c r="BG250" s="19"/>
      <c r="BH250" s="7"/>
      <c r="BI250" s="14" t="s">
        <v>2643</v>
      </c>
      <c r="BJ250" s="15" t="s">
        <v>2644</v>
      </c>
      <c r="BK250" s="44"/>
      <c r="BL250" s="16"/>
      <c r="BM250" s="7"/>
      <c r="BN250" s="7"/>
      <c r="BO250" s="7"/>
      <c r="BP250" s="7"/>
      <c r="BQ250" s="7"/>
      <c r="BR250" s="7"/>
      <c r="BS250" s="7"/>
      <c r="BT250" s="7"/>
      <c r="BU250" s="7"/>
      <c r="BV250" s="7"/>
      <c r="BW250" s="7"/>
      <c r="BX250" s="7"/>
      <c r="BY250" s="7"/>
      <c r="BZ250" s="41"/>
      <c r="CA250" s="7"/>
      <c r="CB250" s="7"/>
      <c r="CC250" s="7"/>
      <c r="CD250" s="7"/>
      <c r="CE250" s="7"/>
      <c r="CF250" s="7"/>
    </row>
    <row r="251">
      <c r="T251" s="7"/>
      <c r="U251" s="7"/>
      <c r="V251" s="7"/>
      <c r="W251" s="7"/>
      <c r="X251" s="7"/>
      <c r="Y251" s="7"/>
      <c r="Z251" s="7"/>
      <c r="AA251" s="7"/>
      <c r="AB251" s="7"/>
      <c r="AC251" s="7"/>
      <c r="AD251" s="7"/>
      <c r="AE251" s="7"/>
      <c r="AF251" s="7"/>
      <c r="AG251" s="7"/>
      <c r="AH251" s="7"/>
      <c r="AI251" s="7"/>
      <c r="AJ251" s="7"/>
      <c r="AK251" s="7"/>
      <c r="AL251" s="7"/>
      <c r="AM251" s="7"/>
      <c r="AN251" s="7"/>
      <c r="AS251" s="7"/>
      <c r="AT251" s="7"/>
      <c r="AU251" s="55"/>
      <c r="AV251" s="7"/>
      <c r="AW251" s="7"/>
      <c r="AX251" s="7"/>
      <c r="AY251" s="7"/>
      <c r="AZ251" s="7"/>
      <c r="BA251" s="7"/>
      <c r="BB251" s="7"/>
      <c r="BC251" s="7"/>
      <c r="BD251" s="60"/>
      <c r="BE251" s="44"/>
      <c r="BF251" s="11"/>
      <c r="BG251" s="19"/>
      <c r="BH251" s="7"/>
      <c r="BI251" s="14" t="s">
        <v>2645</v>
      </c>
      <c r="BJ251" s="15" t="s">
        <v>2646</v>
      </c>
      <c r="BK251" s="44"/>
      <c r="BL251" s="16"/>
      <c r="BM251" s="7"/>
      <c r="BN251" s="7"/>
      <c r="BO251" s="7"/>
      <c r="BP251" s="7"/>
      <c r="BQ251" s="7"/>
      <c r="BR251" s="7"/>
      <c r="BS251" s="7"/>
      <c r="BT251" s="7"/>
      <c r="BU251" s="7"/>
      <c r="BV251" s="7"/>
      <c r="BW251" s="7"/>
      <c r="BX251" s="7"/>
      <c r="BY251" s="7"/>
      <c r="BZ251" s="41"/>
      <c r="CA251" s="7"/>
      <c r="CB251" s="7"/>
      <c r="CC251" s="7"/>
      <c r="CD251" s="7"/>
      <c r="CE251" s="7"/>
      <c r="CF251" s="7"/>
    </row>
    <row r="252">
      <c r="T252" s="7"/>
      <c r="U252" s="7"/>
      <c r="V252" s="7"/>
      <c r="W252" s="7"/>
      <c r="X252" s="7"/>
      <c r="Y252" s="7"/>
      <c r="Z252" s="7"/>
      <c r="AA252" s="7"/>
      <c r="AB252" s="7"/>
      <c r="AC252" s="7"/>
      <c r="AD252" s="7"/>
      <c r="AE252" s="7"/>
      <c r="AF252" s="7"/>
      <c r="AG252" s="7"/>
      <c r="AH252" s="7"/>
      <c r="AI252" s="7"/>
      <c r="AJ252" s="7"/>
      <c r="AK252" s="7"/>
      <c r="AL252" s="7"/>
      <c r="AM252" s="7"/>
      <c r="AN252" s="7"/>
      <c r="AS252" s="7"/>
      <c r="AT252" s="7"/>
      <c r="AU252" s="55"/>
      <c r="AV252" s="7"/>
      <c r="AW252" s="7"/>
      <c r="AX252" s="7"/>
      <c r="AY252" s="7"/>
      <c r="AZ252" s="7"/>
      <c r="BA252" s="7"/>
      <c r="BB252" s="7"/>
      <c r="BC252" s="7"/>
      <c r="BD252" s="60"/>
      <c r="BE252" s="44"/>
      <c r="BF252" s="11"/>
      <c r="BG252" s="19"/>
      <c r="BH252" s="7"/>
      <c r="BI252" s="14" t="s">
        <v>2647</v>
      </c>
      <c r="BJ252" s="15" t="s">
        <v>2648</v>
      </c>
      <c r="BK252" s="44"/>
      <c r="BL252" s="16"/>
      <c r="BM252" s="7"/>
      <c r="BN252" s="7"/>
      <c r="BO252" s="7"/>
      <c r="BP252" s="7"/>
      <c r="BQ252" s="7"/>
      <c r="BR252" s="7"/>
      <c r="BS252" s="7"/>
      <c r="BT252" s="7"/>
      <c r="BU252" s="7"/>
      <c r="BV252" s="7"/>
      <c r="BW252" s="7"/>
      <c r="BX252" s="7"/>
      <c r="BY252" s="7"/>
      <c r="BZ252" s="41"/>
      <c r="CA252" s="7"/>
      <c r="CB252" s="7"/>
      <c r="CC252" s="7"/>
      <c r="CD252" s="7"/>
      <c r="CE252" s="7"/>
      <c r="CF252" s="7"/>
    </row>
    <row r="253">
      <c r="T253" s="7"/>
      <c r="U253" s="7"/>
      <c r="V253" s="7"/>
      <c r="W253" s="7"/>
      <c r="X253" s="7"/>
      <c r="Y253" s="7"/>
      <c r="Z253" s="7"/>
      <c r="AA253" s="7"/>
      <c r="AB253" s="7"/>
      <c r="AC253" s="7"/>
      <c r="AD253" s="7"/>
      <c r="AE253" s="7"/>
      <c r="AF253" s="7"/>
      <c r="AG253" s="7"/>
      <c r="AH253" s="7"/>
      <c r="AI253" s="7"/>
      <c r="AJ253" s="7"/>
      <c r="AK253" s="7"/>
      <c r="AL253" s="7"/>
      <c r="AM253" s="7"/>
      <c r="AN253" s="7"/>
      <c r="AS253" s="7"/>
      <c r="AT253" s="7"/>
      <c r="AU253" s="55"/>
      <c r="AV253" s="7"/>
      <c r="AW253" s="7"/>
      <c r="AX253" s="7"/>
      <c r="AY253" s="7"/>
      <c r="AZ253" s="7"/>
      <c r="BA253" s="7"/>
      <c r="BB253" s="7"/>
      <c r="BC253" s="7"/>
      <c r="BD253" s="60"/>
      <c r="BE253" s="44"/>
      <c r="BF253" s="11"/>
      <c r="BG253" s="19"/>
      <c r="BH253" s="7"/>
      <c r="BI253" s="14" t="s">
        <v>2649</v>
      </c>
      <c r="BJ253" s="15" t="s">
        <v>2650</v>
      </c>
      <c r="BK253" s="44"/>
      <c r="BL253" s="16"/>
      <c r="BM253" s="7"/>
      <c r="BN253" s="7"/>
      <c r="BO253" s="7"/>
      <c r="BP253" s="7"/>
      <c r="BQ253" s="7"/>
      <c r="BR253" s="7"/>
      <c r="BS253" s="7"/>
      <c r="BT253" s="7"/>
      <c r="BU253" s="7"/>
      <c r="BV253" s="7"/>
      <c r="BW253" s="7"/>
      <c r="BX253" s="7"/>
      <c r="BY253" s="7"/>
      <c r="BZ253" s="41"/>
      <c r="CA253" s="7"/>
      <c r="CB253" s="7"/>
      <c r="CC253" s="7"/>
      <c r="CD253" s="7"/>
      <c r="CE253" s="7"/>
      <c r="CF253" s="7"/>
    </row>
    <row r="254">
      <c r="T254" s="7"/>
      <c r="U254" s="7"/>
      <c r="V254" s="7"/>
      <c r="W254" s="7"/>
      <c r="X254" s="7"/>
      <c r="Y254" s="7"/>
      <c r="Z254" s="7"/>
      <c r="AA254" s="7"/>
      <c r="AB254" s="7"/>
      <c r="AC254" s="7"/>
      <c r="AD254" s="7"/>
      <c r="AE254" s="7"/>
      <c r="AF254" s="7"/>
      <c r="AG254" s="7"/>
      <c r="AH254" s="7"/>
      <c r="AI254" s="7"/>
      <c r="AJ254" s="7"/>
      <c r="AK254" s="7"/>
      <c r="AL254" s="7"/>
      <c r="AM254" s="7"/>
      <c r="AN254" s="7"/>
      <c r="AS254" s="7"/>
      <c r="AT254" s="7"/>
      <c r="AU254" s="55"/>
      <c r="AV254" s="7"/>
      <c r="AW254" s="7"/>
      <c r="AX254" s="7"/>
      <c r="AY254" s="7"/>
      <c r="AZ254" s="7"/>
      <c r="BA254" s="7"/>
      <c r="BB254" s="7"/>
      <c r="BC254" s="7"/>
      <c r="BD254" s="60"/>
      <c r="BE254" s="44"/>
      <c r="BF254" s="11"/>
      <c r="BG254" s="19"/>
      <c r="BH254" s="7"/>
      <c r="BI254" s="14" t="s">
        <v>2651</v>
      </c>
      <c r="BJ254" s="15" t="s">
        <v>2652</v>
      </c>
      <c r="BK254" s="44"/>
      <c r="BL254" s="16"/>
      <c r="BM254" s="7"/>
      <c r="BN254" s="7"/>
      <c r="BO254" s="7"/>
      <c r="BP254" s="7"/>
      <c r="BQ254" s="7"/>
      <c r="BR254" s="7"/>
      <c r="BS254" s="7"/>
      <c r="BT254" s="7"/>
      <c r="BU254" s="7"/>
      <c r="BV254" s="7"/>
      <c r="BW254" s="7"/>
      <c r="BX254" s="7"/>
      <c r="BY254" s="7"/>
      <c r="BZ254" s="41"/>
      <c r="CA254" s="7"/>
      <c r="CB254" s="7"/>
      <c r="CC254" s="7"/>
      <c r="CD254" s="7"/>
      <c r="CE254" s="7"/>
      <c r="CF254" s="7"/>
    </row>
    <row r="255">
      <c r="T255" s="7"/>
      <c r="U255" s="7"/>
      <c r="V255" s="7"/>
      <c r="W255" s="7"/>
      <c r="X255" s="7"/>
      <c r="Y255" s="7"/>
      <c r="Z255" s="7"/>
      <c r="AA255" s="7"/>
      <c r="AB255" s="7"/>
      <c r="AC255" s="7"/>
      <c r="AD255" s="7"/>
      <c r="AE255" s="7"/>
      <c r="AF255" s="7"/>
      <c r="AG255" s="7"/>
      <c r="AH255" s="7"/>
      <c r="AI255" s="7"/>
      <c r="AJ255" s="7"/>
      <c r="AK255" s="7"/>
      <c r="AL255" s="7"/>
      <c r="AM255" s="7"/>
      <c r="AN255" s="7"/>
      <c r="AS255" s="7"/>
      <c r="AT255" s="7"/>
      <c r="AU255" s="55"/>
      <c r="AV255" s="7"/>
      <c r="AW255" s="7"/>
      <c r="AX255" s="7"/>
      <c r="AY255" s="7"/>
      <c r="AZ255" s="7"/>
      <c r="BA255" s="7"/>
      <c r="BB255" s="7"/>
      <c r="BC255" s="7"/>
      <c r="BD255" s="60"/>
      <c r="BE255" s="44"/>
      <c r="BF255" s="11"/>
      <c r="BG255" s="19"/>
      <c r="BH255" s="7"/>
      <c r="BI255" s="14" t="s">
        <v>2653</v>
      </c>
      <c r="BJ255" s="15" t="s">
        <v>2654</v>
      </c>
      <c r="BK255" s="44"/>
      <c r="BL255" s="16"/>
      <c r="BM255" s="7"/>
      <c r="BN255" s="7"/>
      <c r="BO255" s="7"/>
      <c r="BP255" s="7"/>
      <c r="BQ255" s="7"/>
      <c r="BR255" s="7"/>
      <c r="BS255" s="7"/>
      <c r="BT255" s="7"/>
      <c r="BU255" s="7"/>
      <c r="BV255" s="7"/>
      <c r="BW255" s="7"/>
      <c r="BX255" s="7"/>
      <c r="BY255" s="7"/>
      <c r="BZ255" s="41"/>
      <c r="CA255" s="7"/>
      <c r="CB255" s="7"/>
      <c r="CC255" s="7"/>
      <c r="CD255" s="7"/>
      <c r="CE255" s="7"/>
      <c r="CF255" s="7"/>
    </row>
    <row r="256">
      <c r="T256" s="7"/>
      <c r="U256" s="7"/>
      <c r="V256" s="7"/>
      <c r="W256" s="7"/>
      <c r="X256" s="7"/>
      <c r="Y256" s="7"/>
      <c r="Z256" s="7"/>
      <c r="AA256" s="7"/>
      <c r="AB256" s="7"/>
      <c r="AC256" s="7"/>
      <c r="AD256" s="7"/>
      <c r="AE256" s="7"/>
      <c r="AF256" s="7"/>
      <c r="AG256" s="7"/>
      <c r="AH256" s="7"/>
      <c r="AI256" s="7"/>
      <c r="AJ256" s="7"/>
      <c r="AK256" s="7"/>
      <c r="AL256" s="7"/>
      <c r="AM256" s="7"/>
      <c r="AN256" s="7"/>
      <c r="AS256" s="7"/>
      <c r="AT256" s="7"/>
      <c r="AU256" s="55"/>
      <c r="AV256" s="7"/>
      <c r="AW256" s="7"/>
      <c r="AX256" s="7"/>
      <c r="AY256" s="7"/>
      <c r="AZ256" s="7"/>
      <c r="BA256" s="7"/>
      <c r="BB256" s="7"/>
      <c r="BC256" s="7"/>
      <c r="BD256" s="60"/>
      <c r="BE256" s="44"/>
      <c r="BF256" s="11"/>
      <c r="BG256" s="19"/>
      <c r="BH256" s="7"/>
      <c r="BI256" s="14" t="s">
        <v>2655</v>
      </c>
      <c r="BJ256" s="15" t="s">
        <v>2656</v>
      </c>
      <c r="BK256" s="44"/>
      <c r="BL256" s="16"/>
      <c r="BM256" s="7"/>
      <c r="BN256" s="7"/>
      <c r="BO256" s="7"/>
      <c r="BP256" s="7"/>
      <c r="BQ256" s="7"/>
      <c r="BR256" s="7"/>
      <c r="BS256" s="7"/>
      <c r="BT256" s="7"/>
      <c r="BU256" s="7"/>
      <c r="BV256" s="7"/>
      <c r="BW256" s="7"/>
      <c r="BX256" s="7"/>
      <c r="BY256" s="7"/>
      <c r="BZ256" s="41"/>
      <c r="CA256" s="7"/>
      <c r="CB256" s="7"/>
      <c r="CC256" s="7"/>
      <c r="CD256" s="7"/>
      <c r="CE256" s="7"/>
      <c r="CF256" s="7"/>
    </row>
    <row r="257">
      <c r="T257" s="7"/>
      <c r="U257" s="7"/>
      <c r="V257" s="7"/>
      <c r="W257" s="7"/>
      <c r="X257" s="7"/>
      <c r="Y257" s="7"/>
      <c r="Z257" s="7"/>
      <c r="AA257" s="7"/>
      <c r="AB257" s="7"/>
      <c r="AC257" s="7"/>
      <c r="AD257" s="7"/>
      <c r="AE257" s="7"/>
      <c r="AF257" s="7"/>
      <c r="AG257" s="7"/>
      <c r="AH257" s="7"/>
      <c r="AI257" s="7"/>
      <c r="AJ257" s="7"/>
      <c r="AK257" s="7"/>
      <c r="AL257" s="7"/>
      <c r="AM257" s="7"/>
      <c r="AN257" s="7"/>
      <c r="AS257" s="7"/>
      <c r="AT257" s="7"/>
      <c r="AU257" s="55"/>
      <c r="AV257" s="7"/>
      <c r="AW257" s="7"/>
      <c r="AX257" s="7"/>
      <c r="AY257" s="7"/>
      <c r="AZ257" s="7"/>
      <c r="BA257" s="7"/>
      <c r="BB257" s="7"/>
      <c r="BC257" s="7"/>
      <c r="BD257" s="60"/>
      <c r="BE257" s="44"/>
      <c r="BF257" s="11"/>
      <c r="BG257" s="19"/>
      <c r="BH257" s="7"/>
      <c r="BI257" s="14" t="s">
        <v>2657</v>
      </c>
      <c r="BJ257" s="15" t="s">
        <v>2658</v>
      </c>
      <c r="BK257" s="44"/>
      <c r="BL257" s="16"/>
      <c r="BM257" s="7"/>
      <c r="BN257" s="7"/>
      <c r="BO257" s="7"/>
      <c r="BP257" s="7"/>
      <c r="BQ257" s="7"/>
      <c r="BR257" s="7"/>
      <c r="BS257" s="7"/>
      <c r="BT257" s="7"/>
      <c r="BU257" s="7"/>
      <c r="BV257" s="7"/>
      <c r="BW257" s="7"/>
      <c r="BX257" s="7"/>
      <c r="BY257" s="7"/>
      <c r="BZ257" s="41"/>
      <c r="CA257" s="7"/>
      <c r="CB257" s="7"/>
      <c r="CC257" s="7"/>
      <c r="CD257" s="7"/>
      <c r="CE257" s="7"/>
      <c r="CF257" s="7"/>
    </row>
    <row r="258">
      <c r="T258" s="7"/>
      <c r="U258" s="7"/>
      <c r="V258" s="7"/>
      <c r="W258" s="7"/>
      <c r="X258" s="7"/>
      <c r="Y258" s="7"/>
      <c r="Z258" s="7"/>
      <c r="AA258" s="7"/>
      <c r="AB258" s="7"/>
      <c r="AC258" s="7"/>
      <c r="AD258" s="7"/>
      <c r="AE258" s="7"/>
      <c r="AF258" s="7"/>
      <c r="AG258" s="7"/>
      <c r="AH258" s="7"/>
      <c r="AI258" s="7"/>
      <c r="AJ258" s="7"/>
      <c r="AK258" s="7"/>
      <c r="AL258" s="7"/>
      <c r="AM258" s="7"/>
      <c r="AN258" s="7"/>
      <c r="AS258" s="7"/>
      <c r="AT258" s="7"/>
      <c r="AU258" s="55"/>
      <c r="AV258" s="7"/>
      <c r="AW258" s="7"/>
      <c r="AX258" s="7"/>
      <c r="AY258" s="7"/>
      <c r="AZ258" s="7"/>
      <c r="BA258" s="7"/>
      <c r="BB258" s="7"/>
      <c r="BC258" s="7"/>
      <c r="BD258" s="60"/>
      <c r="BE258" s="44"/>
      <c r="BF258" s="11"/>
      <c r="BG258" s="19"/>
      <c r="BH258" s="7"/>
      <c r="BI258" s="14" t="s">
        <v>2659</v>
      </c>
      <c r="BJ258" s="15" t="s">
        <v>2660</v>
      </c>
      <c r="BK258" s="44"/>
      <c r="BL258" s="16"/>
      <c r="BM258" s="7"/>
      <c r="BN258" s="7"/>
      <c r="BO258" s="7"/>
      <c r="BP258" s="7"/>
      <c r="BQ258" s="7"/>
      <c r="BR258" s="7"/>
      <c r="BS258" s="7"/>
      <c r="BT258" s="7"/>
      <c r="BU258" s="7"/>
      <c r="BV258" s="7"/>
      <c r="BW258" s="7"/>
      <c r="BX258" s="7"/>
      <c r="BY258" s="7"/>
      <c r="BZ258" s="41"/>
      <c r="CA258" s="7"/>
      <c r="CB258" s="7"/>
      <c r="CC258" s="7"/>
      <c r="CD258" s="7"/>
      <c r="CE258" s="7"/>
      <c r="CF258" s="7"/>
    </row>
    <row r="259">
      <c r="T259" s="7"/>
      <c r="U259" s="7"/>
      <c r="V259" s="7"/>
      <c r="W259" s="7"/>
      <c r="X259" s="7"/>
      <c r="Y259" s="7"/>
      <c r="Z259" s="7"/>
      <c r="AA259" s="7"/>
      <c r="AB259" s="7"/>
      <c r="AC259" s="7"/>
      <c r="AD259" s="7"/>
      <c r="AE259" s="7"/>
      <c r="AF259" s="7"/>
      <c r="AG259" s="7"/>
      <c r="AH259" s="7"/>
      <c r="AI259" s="7"/>
      <c r="AJ259" s="7"/>
      <c r="AK259" s="7"/>
      <c r="AL259" s="7"/>
      <c r="AM259" s="7"/>
      <c r="AN259" s="7"/>
      <c r="AS259" s="7"/>
      <c r="AT259" s="7"/>
      <c r="AU259" s="55"/>
      <c r="AV259" s="7"/>
      <c r="AW259" s="7"/>
      <c r="AX259" s="7"/>
      <c r="AY259" s="7"/>
      <c r="AZ259" s="7"/>
      <c r="BA259" s="7"/>
      <c r="BB259" s="7"/>
      <c r="BC259" s="7"/>
      <c r="BD259" s="60"/>
      <c r="BE259" s="44"/>
      <c r="BF259" s="11"/>
      <c r="BG259" s="19"/>
      <c r="BH259" s="7"/>
      <c r="BI259" s="14" t="s">
        <v>2661</v>
      </c>
      <c r="BJ259" s="15" t="s">
        <v>2662</v>
      </c>
      <c r="BK259" s="44"/>
      <c r="BL259" s="16" t="s">
        <v>33</v>
      </c>
      <c r="BM259" s="7"/>
      <c r="BN259" s="7"/>
      <c r="BO259" s="7"/>
      <c r="BP259" s="7"/>
      <c r="BQ259" s="7"/>
      <c r="BR259" s="7"/>
      <c r="BS259" s="7"/>
      <c r="BT259" s="7"/>
      <c r="BU259" s="7"/>
      <c r="BV259" s="7"/>
      <c r="BW259" s="7"/>
      <c r="BX259" s="7"/>
      <c r="BY259" s="7"/>
      <c r="BZ259" s="41"/>
      <c r="CA259" s="7"/>
      <c r="CB259" s="7"/>
      <c r="CC259" s="7"/>
      <c r="CD259" s="7"/>
      <c r="CE259" s="7"/>
      <c r="CF259" s="7"/>
    </row>
    <row r="260">
      <c r="T260" s="7"/>
      <c r="U260" s="7"/>
      <c r="V260" s="7"/>
      <c r="W260" s="7"/>
      <c r="X260" s="7"/>
      <c r="Y260" s="7"/>
      <c r="Z260" s="7"/>
      <c r="AA260" s="7"/>
      <c r="AB260" s="7"/>
      <c r="AC260" s="7"/>
      <c r="AD260" s="7"/>
      <c r="AE260" s="7"/>
      <c r="AF260" s="7"/>
      <c r="AG260" s="7"/>
      <c r="AH260" s="7"/>
      <c r="AI260" s="7"/>
      <c r="AJ260" s="7"/>
      <c r="AK260" s="7"/>
      <c r="AL260" s="7"/>
      <c r="AM260" s="7"/>
      <c r="AN260" s="7"/>
      <c r="AS260" s="7"/>
      <c r="AT260" s="7"/>
      <c r="AU260" s="55"/>
      <c r="AV260" s="7"/>
      <c r="AW260" s="7"/>
      <c r="AX260" s="7"/>
      <c r="AY260" s="7"/>
      <c r="AZ260" s="7"/>
      <c r="BA260" s="7"/>
      <c r="BB260" s="7"/>
      <c r="BC260" s="7"/>
      <c r="BD260" s="60"/>
      <c r="BE260" s="44"/>
      <c r="BF260" s="11"/>
      <c r="BG260" s="19"/>
      <c r="BH260" s="7"/>
      <c r="BI260" s="14" t="s">
        <v>2663</v>
      </c>
      <c r="BJ260" s="15" t="s">
        <v>2664</v>
      </c>
      <c r="BK260" s="44"/>
      <c r="BL260" s="16"/>
      <c r="BM260" s="7"/>
      <c r="BN260" s="7"/>
      <c r="BO260" s="7"/>
      <c r="BP260" s="7"/>
      <c r="BQ260" s="7"/>
      <c r="BR260" s="7"/>
      <c r="BS260" s="7"/>
      <c r="BT260" s="7"/>
      <c r="BU260" s="7"/>
      <c r="BV260" s="7"/>
      <c r="BW260" s="7"/>
      <c r="BX260" s="7"/>
      <c r="BY260" s="7"/>
      <c r="BZ260" s="41"/>
      <c r="CA260" s="7"/>
      <c r="CB260" s="7"/>
      <c r="CC260" s="7"/>
      <c r="CD260" s="7"/>
      <c r="CE260" s="7"/>
      <c r="CF260" s="7"/>
    </row>
    <row r="261">
      <c r="T261" s="7"/>
      <c r="U261" s="7"/>
      <c r="V261" s="7"/>
      <c r="W261" s="7"/>
      <c r="X261" s="7"/>
      <c r="Y261" s="7"/>
      <c r="Z261" s="7"/>
      <c r="AA261" s="7"/>
      <c r="AB261" s="7"/>
      <c r="AC261" s="7"/>
      <c r="AD261" s="7"/>
      <c r="AE261" s="7"/>
      <c r="AF261" s="7"/>
      <c r="AG261" s="7"/>
      <c r="AH261" s="7"/>
      <c r="AI261" s="7"/>
      <c r="AJ261" s="7"/>
      <c r="AK261" s="7"/>
      <c r="AL261" s="7"/>
      <c r="AM261" s="7"/>
      <c r="AN261" s="7"/>
      <c r="AS261" s="7"/>
      <c r="AT261" s="7"/>
      <c r="AU261" s="55"/>
      <c r="AV261" s="7"/>
      <c r="AW261" s="7"/>
      <c r="AX261" s="7"/>
      <c r="AY261" s="7"/>
      <c r="AZ261" s="7"/>
      <c r="BA261" s="7"/>
      <c r="BB261" s="7"/>
      <c r="BC261" s="7"/>
      <c r="BD261" s="60"/>
      <c r="BE261" s="44"/>
      <c r="BF261" s="11"/>
      <c r="BG261" s="19"/>
      <c r="BH261" s="7"/>
      <c r="BI261" s="14" t="s">
        <v>2665</v>
      </c>
      <c r="BJ261" s="15" t="s">
        <v>2666</v>
      </c>
      <c r="BK261" s="44"/>
      <c r="BL261" s="16"/>
      <c r="BM261" s="7"/>
      <c r="BN261" s="7"/>
      <c r="BO261" s="7"/>
      <c r="BP261" s="7"/>
      <c r="BQ261" s="7"/>
      <c r="BR261" s="7"/>
      <c r="BS261" s="7"/>
      <c r="BT261" s="7"/>
      <c r="BU261" s="7"/>
      <c r="BV261" s="7"/>
      <c r="BW261" s="7"/>
      <c r="BX261" s="7"/>
      <c r="BY261" s="7"/>
      <c r="BZ261" s="41"/>
      <c r="CA261" s="7"/>
      <c r="CB261" s="7"/>
      <c r="CC261" s="7"/>
      <c r="CD261" s="7"/>
      <c r="CE261" s="7"/>
      <c r="CF261" s="7"/>
    </row>
    <row r="262">
      <c r="T262" s="7"/>
      <c r="U262" s="7"/>
      <c r="V262" s="7"/>
      <c r="W262" s="7"/>
      <c r="X262" s="7"/>
      <c r="Y262" s="7"/>
      <c r="Z262" s="7"/>
      <c r="AA262" s="7"/>
      <c r="AB262" s="7"/>
      <c r="AC262" s="7"/>
      <c r="AD262" s="7"/>
      <c r="AE262" s="7"/>
      <c r="AF262" s="7"/>
      <c r="AG262" s="7"/>
      <c r="AH262" s="7"/>
      <c r="AI262" s="7"/>
      <c r="AJ262" s="7"/>
      <c r="AK262" s="7"/>
      <c r="AL262" s="7"/>
      <c r="AM262" s="7"/>
      <c r="AN262" s="7"/>
      <c r="AS262" s="7"/>
      <c r="AT262" s="7"/>
      <c r="AU262" s="55"/>
      <c r="AV262" s="7"/>
      <c r="AW262" s="7"/>
      <c r="AX262" s="7"/>
      <c r="AY262" s="7"/>
      <c r="AZ262" s="7"/>
      <c r="BA262" s="7"/>
      <c r="BB262" s="7"/>
      <c r="BC262" s="7"/>
      <c r="BD262" s="60"/>
      <c r="BE262" s="44"/>
      <c r="BF262" s="11"/>
      <c r="BG262" s="19"/>
      <c r="BH262" s="7"/>
      <c r="BI262" s="14" t="s">
        <v>2667</v>
      </c>
      <c r="BJ262" s="15" t="s">
        <v>2668</v>
      </c>
      <c r="BK262" s="44"/>
      <c r="BL262" s="16"/>
      <c r="BM262" s="7"/>
      <c r="BN262" s="7"/>
      <c r="BO262" s="7"/>
      <c r="BP262" s="7"/>
      <c r="BQ262" s="7"/>
      <c r="BR262" s="7"/>
      <c r="BS262" s="7"/>
      <c r="BT262" s="7"/>
      <c r="BU262" s="7"/>
      <c r="BV262" s="7"/>
      <c r="BW262" s="7"/>
      <c r="BX262" s="7"/>
      <c r="BY262" s="7"/>
      <c r="BZ262" s="41"/>
      <c r="CA262" s="7"/>
      <c r="CB262" s="7"/>
      <c r="CC262" s="7"/>
      <c r="CD262" s="7"/>
      <c r="CE262" s="7"/>
      <c r="CF262" s="7"/>
    </row>
    <row r="263">
      <c r="T263" s="7"/>
      <c r="U263" s="7"/>
      <c r="V263" s="7"/>
      <c r="W263" s="7"/>
      <c r="X263" s="7"/>
      <c r="Y263" s="7"/>
      <c r="Z263" s="7"/>
      <c r="AA263" s="7"/>
      <c r="AB263" s="7"/>
      <c r="AC263" s="7"/>
      <c r="AD263" s="7"/>
      <c r="AE263" s="7"/>
      <c r="AF263" s="7"/>
      <c r="AG263" s="7"/>
      <c r="AH263" s="7"/>
      <c r="AI263" s="7"/>
      <c r="AJ263" s="7"/>
      <c r="AK263" s="7"/>
      <c r="AL263" s="7"/>
      <c r="AM263" s="7"/>
      <c r="AN263" s="7"/>
      <c r="AS263" s="7"/>
      <c r="AT263" s="7"/>
      <c r="AU263" s="55"/>
      <c r="AV263" s="7"/>
      <c r="AW263" s="7"/>
      <c r="AX263" s="7"/>
      <c r="AY263" s="7"/>
      <c r="AZ263" s="7"/>
      <c r="BA263" s="7"/>
      <c r="BB263" s="7"/>
      <c r="BC263" s="7"/>
      <c r="BD263" s="60"/>
      <c r="BE263" s="44"/>
      <c r="BF263" s="11"/>
      <c r="BG263" s="19"/>
      <c r="BH263" s="7"/>
      <c r="BI263" s="14" t="s">
        <v>2669</v>
      </c>
      <c r="BJ263" s="15" t="s">
        <v>2670</v>
      </c>
      <c r="BK263" s="44"/>
      <c r="BL263" s="16"/>
      <c r="BM263" s="7"/>
      <c r="BN263" s="7"/>
      <c r="BO263" s="7"/>
      <c r="BP263" s="7"/>
      <c r="BQ263" s="7"/>
      <c r="BR263" s="7"/>
      <c r="BS263" s="7"/>
      <c r="BT263" s="7"/>
      <c r="BU263" s="7"/>
      <c r="BV263" s="7"/>
      <c r="BW263" s="7"/>
      <c r="BX263" s="7"/>
      <c r="BY263" s="7"/>
      <c r="BZ263" s="41"/>
      <c r="CA263" s="7"/>
      <c r="CB263" s="7"/>
      <c r="CC263" s="7"/>
      <c r="CD263" s="7"/>
      <c r="CE263" s="7"/>
      <c r="CF263" s="7"/>
    </row>
    <row r="264">
      <c r="T264" s="7"/>
      <c r="U264" s="7"/>
      <c r="V264" s="7"/>
      <c r="W264" s="7"/>
      <c r="X264" s="7"/>
      <c r="Y264" s="7"/>
      <c r="Z264" s="7"/>
      <c r="AA264" s="7"/>
      <c r="AB264" s="7"/>
      <c r="AC264" s="7"/>
      <c r="AD264" s="7"/>
      <c r="AE264" s="7"/>
      <c r="AF264" s="7"/>
      <c r="AG264" s="7"/>
      <c r="AH264" s="7"/>
      <c r="AI264" s="7"/>
      <c r="AJ264" s="7"/>
      <c r="AK264" s="7"/>
      <c r="AL264" s="7"/>
      <c r="AM264" s="7"/>
      <c r="AN264" s="7"/>
      <c r="AS264" s="7"/>
      <c r="AT264" s="7"/>
      <c r="AU264" s="55"/>
      <c r="AV264" s="7"/>
      <c r="AW264" s="7"/>
      <c r="AX264" s="7"/>
      <c r="AY264" s="7"/>
      <c r="AZ264" s="7"/>
      <c r="BA264" s="7"/>
      <c r="BB264" s="7"/>
      <c r="BC264" s="7"/>
      <c r="BD264" s="60"/>
      <c r="BE264" s="44"/>
      <c r="BF264" s="11"/>
      <c r="BG264" s="19"/>
      <c r="BH264" s="7"/>
      <c r="BI264" s="14" t="s">
        <v>2671</v>
      </c>
      <c r="BJ264" s="15" t="s">
        <v>2672</v>
      </c>
      <c r="BK264" s="44"/>
      <c r="BL264" s="16"/>
      <c r="BM264" s="7"/>
      <c r="BN264" s="7"/>
      <c r="BO264" s="7"/>
      <c r="BP264" s="7"/>
      <c r="BQ264" s="7"/>
      <c r="BR264" s="7"/>
      <c r="BS264" s="7"/>
      <c r="BT264" s="7"/>
      <c r="BU264" s="7"/>
      <c r="BV264" s="7"/>
      <c r="BW264" s="7"/>
      <c r="BX264" s="7"/>
      <c r="BY264" s="7"/>
      <c r="BZ264" s="41"/>
      <c r="CA264" s="7"/>
      <c r="CB264" s="7"/>
      <c r="CC264" s="7"/>
      <c r="CD264" s="7"/>
      <c r="CE264" s="7"/>
      <c r="CF264" s="7"/>
    </row>
    <row r="265">
      <c r="T265" s="7"/>
      <c r="U265" s="7"/>
      <c r="V265" s="7"/>
      <c r="W265" s="7"/>
      <c r="X265" s="7"/>
      <c r="Y265" s="7"/>
      <c r="Z265" s="7"/>
      <c r="AA265" s="7"/>
      <c r="AB265" s="7"/>
      <c r="AC265" s="7"/>
      <c r="AD265" s="7"/>
      <c r="AE265" s="7"/>
      <c r="AF265" s="7"/>
      <c r="AG265" s="7"/>
      <c r="AH265" s="7"/>
      <c r="AI265" s="7"/>
      <c r="AJ265" s="7"/>
      <c r="AK265" s="7"/>
      <c r="AL265" s="7"/>
      <c r="AM265" s="7"/>
      <c r="AN265" s="7"/>
      <c r="AS265" s="7"/>
      <c r="AT265" s="7"/>
      <c r="AU265" s="55"/>
      <c r="AV265" s="7"/>
      <c r="AW265" s="7"/>
      <c r="AX265" s="7"/>
      <c r="AY265" s="7"/>
      <c r="AZ265" s="7"/>
      <c r="BA265" s="7"/>
      <c r="BB265" s="7"/>
      <c r="BC265" s="7"/>
      <c r="BD265" s="60"/>
      <c r="BE265" s="44"/>
      <c r="BF265" s="11"/>
      <c r="BG265" s="19"/>
      <c r="BH265" s="7"/>
      <c r="BI265" s="14"/>
      <c r="BJ265" s="44"/>
      <c r="BK265" s="44"/>
      <c r="BL265" s="16"/>
      <c r="BM265" s="7"/>
      <c r="BN265" s="7"/>
      <c r="BO265" s="7"/>
      <c r="BP265" s="7"/>
      <c r="BQ265" s="7"/>
      <c r="BR265" s="7"/>
      <c r="BS265" s="7"/>
      <c r="BT265" s="7"/>
      <c r="BU265" s="7"/>
      <c r="BV265" s="7"/>
      <c r="BW265" s="7"/>
      <c r="BX265" s="7"/>
      <c r="BY265" s="7"/>
      <c r="BZ265" s="41"/>
      <c r="CA265" s="7"/>
      <c r="CB265" s="7"/>
      <c r="CC265" s="7"/>
      <c r="CD265" s="7"/>
      <c r="CE265" s="7"/>
      <c r="CF265" s="7"/>
    </row>
    <row r="266">
      <c r="T266" s="7"/>
      <c r="U266" s="7"/>
      <c r="V266" s="7"/>
      <c r="W266" s="7"/>
      <c r="X266" s="7"/>
      <c r="Y266" s="7"/>
      <c r="Z266" s="7"/>
      <c r="AA266" s="7"/>
      <c r="AB266" s="7"/>
      <c r="AC266" s="7"/>
      <c r="AD266" s="7"/>
      <c r="AE266" s="7"/>
      <c r="AF266" s="7"/>
      <c r="AG266" s="7"/>
      <c r="AH266" s="7"/>
      <c r="AI266" s="7"/>
      <c r="AJ266" s="7"/>
      <c r="AK266" s="7"/>
      <c r="AL266" s="7"/>
      <c r="AM266" s="7"/>
      <c r="AN266" s="7"/>
      <c r="AS266" s="7"/>
      <c r="AT266" s="7"/>
      <c r="AU266" s="55"/>
      <c r="AV266" s="7"/>
      <c r="AW266" s="7"/>
      <c r="AX266" s="7"/>
      <c r="AY266" s="7"/>
      <c r="AZ266" s="7"/>
      <c r="BA266" s="7"/>
      <c r="BB266" s="7"/>
      <c r="BC266" s="7"/>
      <c r="BD266" s="60"/>
      <c r="BE266" s="44"/>
      <c r="BF266" s="11"/>
      <c r="BG266" s="19"/>
      <c r="BH266" s="7"/>
      <c r="BI266" s="14"/>
      <c r="BJ266" s="44"/>
      <c r="BK266" s="44"/>
      <c r="BL266" s="16"/>
      <c r="BM266" s="7"/>
      <c r="BN266" s="7"/>
      <c r="BO266" s="7"/>
      <c r="BP266" s="7"/>
      <c r="BQ266" s="7"/>
      <c r="BR266" s="7"/>
      <c r="BS266" s="7"/>
      <c r="BT266" s="7"/>
      <c r="BU266" s="7"/>
      <c r="BV266" s="7"/>
      <c r="BW266" s="7"/>
      <c r="BX266" s="7"/>
      <c r="BY266" s="7"/>
      <c r="BZ266" s="41"/>
      <c r="CA266" s="7"/>
      <c r="CB266" s="7"/>
      <c r="CC266" s="7"/>
      <c r="CD266" s="7"/>
      <c r="CE266" s="7"/>
      <c r="CF266" s="7"/>
    </row>
    <row r="267">
      <c r="T267" s="7"/>
      <c r="U267" s="7"/>
      <c r="V267" s="7"/>
      <c r="W267" s="7"/>
      <c r="X267" s="7"/>
      <c r="Y267" s="7"/>
      <c r="Z267" s="7"/>
      <c r="AA267" s="7"/>
      <c r="AB267" s="7"/>
      <c r="AC267" s="7"/>
      <c r="AD267" s="7"/>
      <c r="AE267" s="7"/>
      <c r="AF267" s="7"/>
      <c r="AG267" s="7"/>
      <c r="AH267" s="7"/>
      <c r="AI267" s="7"/>
      <c r="AJ267" s="7"/>
      <c r="AK267" s="7"/>
      <c r="AL267" s="7"/>
      <c r="AM267" s="7"/>
      <c r="AN267" s="7"/>
      <c r="AS267" s="7"/>
      <c r="AT267" s="7"/>
      <c r="AU267" s="55"/>
      <c r="AV267" s="7"/>
      <c r="AW267" s="7"/>
      <c r="AX267" s="7"/>
      <c r="AY267" s="7"/>
      <c r="AZ267" s="7"/>
      <c r="BA267" s="7"/>
      <c r="BB267" s="7"/>
      <c r="BC267" s="7"/>
      <c r="BD267" s="60"/>
      <c r="BE267" s="44"/>
      <c r="BF267" s="11"/>
      <c r="BG267" s="19"/>
      <c r="BH267" s="7"/>
      <c r="BI267" s="14"/>
      <c r="BJ267" s="44"/>
      <c r="BK267" s="44"/>
      <c r="BL267" s="16"/>
      <c r="BM267" s="7"/>
      <c r="BN267" s="7"/>
      <c r="BO267" s="7"/>
      <c r="BP267" s="7"/>
      <c r="BQ267" s="7"/>
      <c r="BR267" s="7"/>
      <c r="BS267" s="7"/>
      <c r="BT267" s="7"/>
      <c r="BU267" s="7"/>
      <c r="BV267" s="7"/>
      <c r="BW267" s="7"/>
      <c r="BX267" s="7"/>
      <c r="BY267" s="7"/>
      <c r="BZ267" s="41"/>
      <c r="CA267" s="7"/>
      <c r="CB267" s="7"/>
      <c r="CC267" s="7"/>
      <c r="CD267" s="7"/>
      <c r="CE267" s="7"/>
      <c r="CF267" s="7"/>
    </row>
    <row r="268">
      <c r="T268" s="7"/>
      <c r="U268" s="7"/>
      <c r="V268" s="7"/>
      <c r="W268" s="7"/>
      <c r="X268" s="7"/>
      <c r="Y268" s="7"/>
      <c r="Z268" s="7"/>
      <c r="AA268" s="7"/>
      <c r="AB268" s="7"/>
      <c r="AC268" s="7"/>
      <c r="AD268" s="7"/>
      <c r="AE268" s="7"/>
      <c r="AF268" s="7"/>
      <c r="AG268" s="7"/>
      <c r="AH268" s="7"/>
      <c r="AI268" s="7"/>
      <c r="AJ268" s="7"/>
      <c r="AK268" s="7"/>
      <c r="AL268" s="7"/>
      <c r="AM268" s="7"/>
      <c r="AN268" s="7"/>
      <c r="AS268" s="7"/>
      <c r="AT268" s="7"/>
      <c r="AU268" s="55"/>
      <c r="AV268" s="7"/>
      <c r="AW268" s="7"/>
      <c r="AX268" s="7"/>
      <c r="AY268" s="7"/>
      <c r="AZ268" s="7"/>
      <c r="BA268" s="7"/>
      <c r="BB268" s="7"/>
      <c r="BC268" s="7"/>
      <c r="BD268" s="60"/>
      <c r="BE268" s="44"/>
      <c r="BF268" s="11"/>
      <c r="BG268" s="19"/>
      <c r="BH268" s="7"/>
      <c r="BI268" s="14"/>
      <c r="BJ268" s="44"/>
      <c r="BK268" s="44"/>
      <c r="BL268" s="16"/>
      <c r="BM268" s="7"/>
      <c r="BN268" s="7"/>
      <c r="BO268" s="7"/>
      <c r="BP268" s="7"/>
      <c r="BQ268" s="7"/>
      <c r="BR268" s="7"/>
      <c r="BS268" s="7"/>
      <c r="BT268" s="7"/>
      <c r="BU268" s="7"/>
      <c r="BV268" s="7"/>
      <c r="BW268" s="7"/>
      <c r="BX268" s="7"/>
      <c r="BY268" s="7"/>
      <c r="BZ268" s="41"/>
      <c r="CA268" s="7"/>
      <c r="CB268" s="7"/>
      <c r="CC268" s="7"/>
      <c r="CD268" s="7"/>
      <c r="CE268" s="7"/>
      <c r="CF268" s="7"/>
    </row>
    <row r="269">
      <c r="T269" s="7"/>
      <c r="U269" s="7"/>
      <c r="V269" s="7"/>
      <c r="W269" s="7"/>
      <c r="X269" s="7"/>
      <c r="Y269" s="7"/>
      <c r="Z269" s="7"/>
      <c r="AA269" s="7"/>
      <c r="AB269" s="7"/>
      <c r="AC269" s="7"/>
      <c r="AD269" s="7"/>
      <c r="AE269" s="7"/>
      <c r="AF269" s="7"/>
      <c r="AG269" s="7"/>
      <c r="AH269" s="7"/>
      <c r="AI269" s="7"/>
      <c r="AJ269" s="7"/>
      <c r="AK269" s="7"/>
      <c r="AL269" s="7"/>
      <c r="AM269" s="7"/>
      <c r="AN269" s="7"/>
      <c r="AS269" s="7"/>
      <c r="AT269" s="7"/>
      <c r="AU269" s="55"/>
      <c r="AV269" s="7"/>
      <c r="AW269" s="7"/>
      <c r="AX269" s="7"/>
      <c r="AY269" s="7"/>
      <c r="AZ269" s="7"/>
      <c r="BA269" s="7"/>
      <c r="BB269" s="7"/>
      <c r="BC269" s="7"/>
      <c r="BD269" s="60"/>
      <c r="BE269" s="44"/>
      <c r="BF269" s="11"/>
      <c r="BG269" s="19"/>
      <c r="BH269" s="7"/>
      <c r="BI269" s="14"/>
      <c r="BJ269" s="44"/>
      <c r="BK269" s="44"/>
      <c r="BL269" s="16"/>
      <c r="BM269" s="7"/>
      <c r="BN269" s="7"/>
      <c r="BO269" s="7"/>
      <c r="BP269" s="7"/>
      <c r="BQ269" s="7"/>
      <c r="BR269" s="7"/>
      <c r="BS269" s="7"/>
      <c r="BT269" s="7"/>
      <c r="BU269" s="7"/>
      <c r="BV269" s="7"/>
      <c r="BW269" s="7"/>
      <c r="BX269" s="7"/>
      <c r="BY269" s="7"/>
      <c r="BZ269" s="41"/>
      <c r="CA269" s="7"/>
      <c r="CB269" s="7"/>
      <c r="CC269" s="7"/>
      <c r="CD269" s="7"/>
      <c r="CE269" s="7"/>
      <c r="CF269" s="7"/>
    </row>
    <row r="270">
      <c r="T270" s="7"/>
      <c r="U270" s="7"/>
      <c r="V270" s="7"/>
      <c r="W270" s="7"/>
      <c r="X270" s="7"/>
      <c r="Y270" s="7"/>
      <c r="Z270" s="7"/>
      <c r="AA270" s="7"/>
      <c r="AB270" s="7"/>
      <c r="AC270" s="7"/>
      <c r="AD270" s="7"/>
      <c r="AE270" s="7"/>
      <c r="AF270" s="7"/>
      <c r="AG270" s="7"/>
      <c r="AH270" s="7"/>
      <c r="AI270" s="7"/>
      <c r="AJ270" s="7"/>
      <c r="AK270" s="7"/>
      <c r="AL270" s="7"/>
      <c r="AM270" s="7"/>
      <c r="AN270" s="7"/>
      <c r="AS270" s="7"/>
      <c r="AT270" s="7"/>
      <c r="AU270" s="55"/>
      <c r="AV270" s="7"/>
      <c r="AW270" s="7"/>
      <c r="AX270" s="7"/>
      <c r="AY270" s="7"/>
      <c r="AZ270" s="7"/>
      <c r="BA270" s="7"/>
      <c r="BB270" s="7"/>
      <c r="BC270" s="7"/>
      <c r="BD270" s="60"/>
      <c r="BE270" s="44"/>
      <c r="BF270" s="11"/>
      <c r="BG270" s="19"/>
      <c r="BH270" s="7"/>
      <c r="BI270" s="14"/>
      <c r="BJ270" s="44"/>
      <c r="BK270" s="44"/>
      <c r="BL270" s="16"/>
      <c r="BM270" s="7"/>
      <c r="BN270" s="7"/>
      <c r="BO270" s="7"/>
      <c r="BP270" s="7"/>
      <c r="BQ270" s="7"/>
      <c r="BR270" s="7"/>
      <c r="BS270" s="7"/>
      <c r="BT270" s="7"/>
      <c r="BU270" s="7"/>
      <c r="BV270" s="7"/>
      <c r="BW270" s="7"/>
      <c r="BX270" s="7"/>
      <c r="BY270" s="7"/>
      <c r="BZ270" s="41"/>
      <c r="CA270" s="7"/>
      <c r="CB270" s="7"/>
      <c r="CC270" s="7"/>
      <c r="CD270" s="7"/>
      <c r="CE270" s="7"/>
      <c r="CF270" s="7"/>
    </row>
    <row r="271">
      <c r="T271" s="7"/>
      <c r="U271" s="7"/>
      <c r="V271" s="7"/>
      <c r="W271" s="7"/>
      <c r="X271" s="7"/>
      <c r="Y271" s="7"/>
      <c r="Z271" s="7"/>
      <c r="AA271" s="7"/>
      <c r="AB271" s="7"/>
      <c r="AC271" s="7"/>
      <c r="AD271" s="7"/>
      <c r="AE271" s="7"/>
      <c r="AF271" s="7"/>
      <c r="AG271" s="7"/>
      <c r="AH271" s="7"/>
      <c r="AI271" s="7"/>
      <c r="AJ271" s="7"/>
      <c r="AK271" s="7"/>
      <c r="AL271" s="7"/>
      <c r="AM271" s="7"/>
      <c r="AN271" s="7"/>
      <c r="AS271" s="7"/>
      <c r="AT271" s="7"/>
      <c r="AU271" s="55"/>
      <c r="AV271" s="7"/>
      <c r="AW271" s="7"/>
      <c r="AX271" s="7"/>
      <c r="AY271" s="7"/>
      <c r="AZ271" s="7"/>
      <c r="BA271" s="7"/>
      <c r="BB271" s="7"/>
      <c r="BC271" s="7"/>
      <c r="BD271" s="60"/>
      <c r="BE271" s="44"/>
      <c r="BF271" s="11"/>
      <c r="BG271" s="19"/>
      <c r="BH271" s="7"/>
      <c r="BI271" s="14"/>
      <c r="BJ271" s="44"/>
      <c r="BK271" s="44"/>
      <c r="BL271" s="16"/>
      <c r="BM271" s="7"/>
      <c r="BN271" s="7"/>
      <c r="BO271" s="7"/>
      <c r="BP271" s="7"/>
      <c r="BQ271" s="7"/>
      <c r="BR271" s="7"/>
      <c r="BS271" s="7"/>
      <c r="BT271" s="7"/>
      <c r="BU271" s="7"/>
      <c r="BV271" s="7"/>
      <c r="BW271" s="7"/>
      <c r="BX271" s="7"/>
      <c r="BY271" s="7"/>
      <c r="BZ271" s="41"/>
      <c r="CA271" s="7"/>
      <c r="CB271" s="7"/>
      <c r="CC271" s="7"/>
      <c r="CD271" s="7"/>
      <c r="CE271" s="7"/>
      <c r="CF271" s="7"/>
    </row>
    <row r="272">
      <c r="T272" s="7"/>
      <c r="U272" s="7"/>
      <c r="V272" s="7"/>
      <c r="W272" s="7"/>
      <c r="X272" s="7"/>
      <c r="Y272" s="7"/>
      <c r="Z272" s="7"/>
      <c r="AA272" s="7"/>
      <c r="AB272" s="7"/>
      <c r="AC272" s="7"/>
      <c r="AD272" s="7"/>
      <c r="AE272" s="7"/>
      <c r="AF272" s="7"/>
      <c r="AG272" s="7"/>
      <c r="AH272" s="7"/>
      <c r="AI272" s="7"/>
      <c r="AJ272" s="7"/>
      <c r="AK272" s="7"/>
      <c r="AL272" s="7"/>
      <c r="AM272" s="7"/>
      <c r="AN272" s="7"/>
      <c r="AS272" s="7"/>
      <c r="AT272" s="7"/>
      <c r="AU272" s="55"/>
      <c r="AV272" s="7"/>
      <c r="AW272" s="7"/>
      <c r="AX272" s="7"/>
      <c r="AY272" s="7"/>
      <c r="AZ272" s="7"/>
      <c r="BA272" s="7"/>
      <c r="BB272" s="7"/>
      <c r="BC272" s="7"/>
      <c r="BD272" s="60"/>
      <c r="BE272" s="44"/>
      <c r="BF272" s="11"/>
      <c r="BG272" s="19"/>
      <c r="BH272" s="7"/>
      <c r="BI272" s="14"/>
      <c r="BJ272" s="44"/>
      <c r="BK272" s="44"/>
      <c r="BL272" s="16"/>
      <c r="BM272" s="7"/>
      <c r="BN272" s="7"/>
      <c r="BO272" s="7"/>
      <c r="BP272" s="7"/>
      <c r="BQ272" s="7"/>
      <c r="BR272" s="7"/>
      <c r="BS272" s="7"/>
      <c r="BT272" s="7"/>
      <c r="BU272" s="7"/>
      <c r="BV272" s="7"/>
      <c r="BW272" s="7"/>
      <c r="BX272" s="7"/>
      <c r="BY272" s="7"/>
      <c r="BZ272" s="41"/>
      <c r="CA272" s="7"/>
      <c r="CB272" s="7"/>
      <c r="CC272" s="7"/>
      <c r="CD272" s="7"/>
      <c r="CE272" s="7"/>
      <c r="CF272" s="7"/>
    </row>
    <row r="273">
      <c r="T273" s="7"/>
      <c r="U273" s="7"/>
      <c r="V273" s="7"/>
      <c r="W273" s="7"/>
      <c r="X273" s="7"/>
      <c r="Y273" s="7"/>
      <c r="Z273" s="7"/>
      <c r="AA273" s="7"/>
      <c r="AB273" s="7"/>
      <c r="AC273" s="7"/>
      <c r="AD273" s="7"/>
      <c r="AE273" s="7"/>
      <c r="AF273" s="7"/>
      <c r="AG273" s="7"/>
      <c r="AH273" s="7"/>
      <c r="AI273" s="7"/>
      <c r="AJ273" s="7"/>
      <c r="AK273" s="7"/>
      <c r="AL273" s="7"/>
      <c r="AM273" s="7"/>
      <c r="AN273" s="7"/>
      <c r="AS273" s="7"/>
      <c r="AT273" s="7"/>
      <c r="AU273" s="55"/>
      <c r="AV273" s="7"/>
      <c r="AW273" s="7"/>
      <c r="AX273" s="7"/>
      <c r="AY273" s="7"/>
      <c r="AZ273" s="7"/>
      <c r="BA273" s="7"/>
      <c r="BB273" s="7"/>
      <c r="BC273" s="7"/>
      <c r="BD273" s="60"/>
      <c r="BE273" s="44"/>
      <c r="BF273" s="11"/>
      <c r="BG273" s="19"/>
      <c r="BH273" s="7"/>
      <c r="BI273" s="14"/>
      <c r="BJ273" s="44"/>
      <c r="BK273" s="44"/>
      <c r="BL273" s="16"/>
      <c r="BM273" s="7"/>
      <c r="BN273" s="7"/>
      <c r="BO273" s="7"/>
      <c r="BP273" s="7"/>
      <c r="BQ273" s="7"/>
      <c r="BR273" s="7"/>
      <c r="BS273" s="7"/>
      <c r="BT273" s="7"/>
      <c r="BU273" s="7"/>
      <c r="BV273" s="7"/>
      <c r="BW273" s="7"/>
      <c r="BX273" s="7"/>
      <c r="BY273" s="7"/>
      <c r="BZ273" s="41"/>
      <c r="CA273" s="7"/>
      <c r="CB273" s="7"/>
      <c r="CC273" s="7"/>
      <c r="CD273" s="7"/>
      <c r="CE273" s="7"/>
      <c r="CF273" s="7"/>
    </row>
    <row r="274">
      <c r="T274" s="7"/>
      <c r="U274" s="7"/>
      <c r="V274" s="7"/>
      <c r="W274" s="7"/>
      <c r="X274" s="7"/>
      <c r="Y274" s="7"/>
      <c r="Z274" s="7"/>
      <c r="AA274" s="7"/>
      <c r="AB274" s="7"/>
      <c r="AC274" s="7"/>
      <c r="AD274" s="7"/>
      <c r="AE274" s="7"/>
      <c r="AF274" s="7"/>
      <c r="AG274" s="7"/>
      <c r="AH274" s="7"/>
      <c r="AI274" s="7"/>
      <c r="AJ274" s="7"/>
      <c r="AK274" s="7"/>
      <c r="AL274" s="7"/>
      <c r="AM274" s="7"/>
      <c r="AN274" s="7"/>
      <c r="AS274" s="7"/>
      <c r="AT274" s="7"/>
      <c r="AU274" s="55"/>
      <c r="AV274" s="7"/>
      <c r="AW274" s="7"/>
      <c r="AX274" s="7"/>
      <c r="AY274" s="7"/>
      <c r="AZ274" s="7"/>
      <c r="BA274" s="7"/>
      <c r="BB274" s="7"/>
      <c r="BC274" s="7"/>
      <c r="BD274" s="60"/>
      <c r="BE274" s="44"/>
      <c r="BF274" s="11"/>
      <c r="BG274" s="19"/>
      <c r="BH274" s="7"/>
      <c r="BI274" s="50"/>
      <c r="BJ274" s="51" t="s">
        <v>1494</v>
      </c>
      <c r="BK274" s="52"/>
      <c r="BL274" s="53">
        <f>COUNTIF($BL$3:$BL$273,"consented")</f>
        <v>10</v>
      </c>
      <c r="BM274" s="7"/>
      <c r="BN274" s="7"/>
      <c r="BO274" s="7"/>
      <c r="BP274" s="7"/>
      <c r="BQ274" s="7"/>
      <c r="BR274" s="7"/>
      <c r="BS274" s="7"/>
      <c r="BT274" s="7"/>
      <c r="BU274" s="7"/>
      <c r="BV274" s="7"/>
      <c r="BW274" s="7"/>
      <c r="BX274" s="7"/>
      <c r="BY274" s="7"/>
      <c r="BZ274" s="41"/>
      <c r="CA274" s="7"/>
      <c r="CB274" s="7"/>
      <c r="CC274" s="7"/>
      <c r="CD274" s="7"/>
      <c r="CE274" s="7"/>
      <c r="CF274" s="7"/>
    </row>
    <row r="275">
      <c r="T275" s="7"/>
      <c r="U275" s="7"/>
      <c r="V275" s="7"/>
      <c r="W275" s="7"/>
      <c r="X275" s="7"/>
      <c r="Y275" s="7"/>
      <c r="Z275" s="7"/>
      <c r="AA275" s="7"/>
      <c r="AB275" s="7"/>
      <c r="AC275" s="7"/>
      <c r="AD275" s="7"/>
      <c r="AE275" s="7"/>
      <c r="AF275" s="7"/>
      <c r="AG275" s="7"/>
      <c r="AH275" s="7"/>
      <c r="AI275" s="7"/>
      <c r="AJ275" s="7"/>
      <c r="AK275" s="7"/>
      <c r="AL275" s="7"/>
      <c r="AM275" s="7"/>
      <c r="AN275" s="7"/>
      <c r="AS275" s="7"/>
      <c r="AT275" s="7"/>
      <c r="AU275" s="55"/>
      <c r="AV275" s="7"/>
      <c r="AW275" s="7"/>
      <c r="AX275" s="7"/>
      <c r="AY275" s="7"/>
      <c r="AZ275" s="7"/>
      <c r="BA275" s="7"/>
      <c r="BB275" s="7"/>
      <c r="BC275" s="7"/>
      <c r="BD275" s="60"/>
      <c r="BE275" s="44"/>
      <c r="BF275" s="11"/>
      <c r="BG275" s="19"/>
      <c r="BH275" s="7"/>
      <c r="BI275" s="7"/>
      <c r="BJ275" s="7"/>
      <c r="BK275" s="7"/>
      <c r="BL275" s="7"/>
      <c r="BM275" s="7"/>
      <c r="BN275" s="7"/>
      <c r="BO275" s="7"/>
      <c r="BP275" s="7"/>
      <c r="BQ275" s="7"/>
      <c r="BR275" s="7"/>
      <c r="BS275" s="7"/>
      <c r="BT275" s="7"/>
      <c r="BU275" s="7"/>
      <c r="BV275" s="7"/>
      <c r="BW275" s="7"/>
      <c r="BX275" s="7"/>
      <c r="BY275" s="7"/>
      <c r="BZ275" s="41"/>
      <c r="CA275" s="7"/>
      <c r="CB275" s="7"/>
      <c r="CC275" s="7"/>
      <c r="CD275" s="7"/>
      <c r="CE275" s="7"/>
      <c r="CF275" s="7"/>
    </row>
    <row r="276">
      <c r="T276" s="7"/>
      <c r="U276" s="7"/>
      <c r="V276" s="7"/>
      <c r="W276" s="7"/>
      <c r="X276" s="7"/>
      <c r="Y276" s="7"/>
      <c r="Z276" s="7"/>
      <c r="AA276" s="7"/>
      <c r="AB276" s="7"/>
      <c r="AC276" s="7"/>
      <c r="AD276" s="7"/>
      <c r="AE276" s="7"/>
      <c r="AF276" s="7"/>
      <c r="AG276" s="7"/>
      <c r="AH276" s="7"/>
      <c r="AI276" s="7"/>
      <c r="AJ276" s="7"/>
      <c r="AK276" s="7"/>
      <c r="AL276" s="7"/>
      <c r="AM276" s="7"/>
      <c r="AN276" s="7"/>
      <c r="AS276" s="7"/>
      <c r="AT276" s="7"/>
      <c r="AU276" s="55"/>
      <c r="AV276" s="7"/>
      <c r="AW276" s="7"/>
      <c r="AX276" s="7"/>
      <c r="AY276" s="7"/>
      <c r="AZ276" s="7"/>
      <c r="BA276" s="7"/>
      <c r="BB276" s="7"/>
      <c r="BC276" s="7"/>
      <c r="BD276" s="60"/>
      <c r="BE276" s="44"/>
      <c r="BF276" s="11"/>
      <c r="BG276" s="19"/>
      <c r="BH276" s="7"/>
      <c r="BI276" s="7"/>
      <c r="BJ276" s="7"/>
      <c r="BK276" s="7"/>
      <c r="BL276" s="7"/>
      <c r="BM276" s="7"/>
      <c r="BN276" s="7"/>
      <c r="BO276" s="7"/>
      <c r="BP276" s="7"/>
      <c r="BQ276" s="7"/>
      <c r="BR276" s="7"/>
      <c r="BS276" s="7"/>
      <c r="BT276" s="7"/>
      <c r="BU276" s="7"/>
      <c r="BV276" s="7"/>
      <c r="BW276" s="7"/>
      <c r="BX276" s="7"/>
      <c r="BY276" s="7"/>
      <c r="BZ276" s="41"/>
      <c r="CA276" s="7"/>
      <c r="CB276" s="7"/>
      <c r="CC276" s="7"/>
      <c r="CD276" s="7"/>
      <c r="CE276" s="7"/>
      <c r="CF276" s="7"/>
    </row>
    <row r="277">
      <c r="T277" s="7"/>
      <c r="U277" s="7"/>
      <c r="V277" s="7"/>
      <c r="W277" s="7"/>
      <c r="X277" s="7"/>
      <c r="Y277" s="7"/>
      <c r="Z277" s="7"/>
      <c r="AA277" s="7"/>
      <c r="AB277" s="7"/>
      <c r="AC277" s="7"/>
      <c r="AD277" s="7"/>
      <c r="AE277" s="7"/>
      <c r="AF277" s="7"/>
      <c r="AG277" s="7"/>
      <c r="AH277" s="7"/>
      <c r="AI277" s="7"/>
      <c r="AJ277" s="7"/>
      <c r="AK277" s="7"/>
      <c r="AL277" s="7"/>
      <c r="AM277" s="7"/>
      <c r="AN277" s="7"/>
      <c r="AS277" s="7"/>
      <c r="AT277" s="7"/>
      <c r="AU277" s="55"/>
      <c r="AV277" s="7"/>
      <c r="AW277" s="7"/>
      <c r="AX277" s="7"/>
      <c r="AY277" s="7"/>
      <c r="AZ277" s="7"/>
      <c r="BA277" s="7"/>
      <c r="BB277" s="7"/>
      <c r="BC277" s="7"/>
      <c r="BD277" s="60"/>
      <c r="BE277" s="44"/>
      <c r="BF277" s="11"/>
      <c r="BG277" s="19"/>
      <c r="BH277" s="7"/>
      <c r="BI277" s="7"/>
      <c r="BJ277" s="7"/>
      <c r="BK277" s="7"/>
      <c r="BL277" s="7"/>
      <c r="BM277" s="7"/>
      <c r="BN277" s="7"/>
      <c r="BO277" s="7"/>
      <c r="BP277" s="7"/>
      <c r="BQ277" s="7"/>
      <c r="BR277" s="7"/>
      <c r="BS277" s="7"/>
      <c r="BT277" s="7"/>
      <c r="BU277" s="7"/>
      <c r="BV277" s="7"/>
      <c r="BW277" s="7"/>
      <c r="BX277" s="7"/>
      <c r="BY277" s="7"/>
      <c r="BZ277" s="41"/>
      <c r="CA277" s="7"/>
      <c r="CB277" s="7"/>
      <c r="CC277" s="7"/>
      <c r="CD277" s="7"/>
      <c r="CE277" s="7"/>
      <c r="CF277" s="7"/>
    </row>
    <row r="278">
      <c r="T278" s="7"/>
      <c r="U278" s="7"/>
      <c r="V278" s="7"/>
      <c r="W278" s="7"/>
      <c r="X278" s="7"/>
      <c r="Y278" s="7"/>
      <c r="Z278" s="7"/>
      <c r="AA278" s="7"/>
      <c r="AB278" s="7"/>
      <c r="AC278" s="7"/>
      <c r="AD278" s="7"/>
      <c r="AE278" s="7"/>
      <c r="AF278" s="7"/>
      <c r="AG278" s="7"/>
      <c r="AH278" s="7"/>
      <c r="AI278" s="7"/>
      <c r="AJ278" s="7"/>
      <c r="AK278" s="7"/>
      <c r="AL278" s="7"/>
      <c r="AM278" s="7"/>
      <c r="AN278" s="7"/>
      <c r="AS278" s="7"/>
      <c r="AT278" s="7"/>
      <c r="AU278" s="55"/>
      <c r="AV278" s="7"/>
      <c r="AW278" s="7"/>
      <c r="AX278" s="7"/>
      <c r="AY278" s="7"/>
      <c r="AZ278" s="7"/>
      <c r="BA278" s="7"/>
      <c r="BB278" s="7"/>
      <c r="BC278" s="7"/>
      <c r="BD278" s="60"/>
      <c r="BE278" s="44"/>
      <c r="BF278" s="11"/>
      <c r="BG278" s="19"/>
      <c r="BH278" s="7"/>
      <c r="BI278" s="7"/>
      <c r="BJ278" s="7"/>
      <c r="BK278" s="7"/>
      <c r="BL278" s="7"/>
      <c r="BM278" s="7"/>
      <c r="BN278" s="7"/>
      <c r="BO278" s="7"/>
      <c r="BP278" s="7"/>
      <c r="BQ278" s="7"/>
      <c r="BR278" s="7"/>
      <c r="BS278" s="7"/>
      <c r="BT278" s="7"/>
      <c r="BU278" s="7"/>
      <c r="BV278" s="7"/>
      <c r="BW278" s="7"/>
      <c r="BX278" s="7"/>
      <c r="BY278" s="7"/>
      <c r="BZ278" s="41"/>
      <c r="CA278" s="7"/>
      <c r="CB278" s="7"/>
      <c r="CC278" s="7"/>
      <c r="CD278" s="7"/>
      <c r="CE278" s="7"/>
      <c r="CF278" s="7"/>
    </row>
    <row r="279">
      <c r="T279" s="7"/>
      <c r="U279" s="7"/>
      <c r="V279" s="7"/>
      <c r="W279" s="7"/>
      <c r="X279" s="7"/>
      <c r="Y279" s="7"/>
      <c r="Z279" s="7"/>
      <c r="AA279" s="7"/>
      <c r="AB279" s="7"/>
      <c r="AC279" s="7"/>
      <c r="AD279" s="7"/>
      <c r="AE279" s="7"/>
      <c r="AF279" s="7"/>
      <c r="AG279" s="7"/>
      <c r="AH279" s="7"/>
      <c r="AI279" s="7"/>
      <c r="AJ279" s="7"/>
      <c r="AK279" s="7"/>
      <c r="AL279" s="7"/>
      <c r="AM279" s="7"/>
      <c r="AN279" s="7"/>
      <c r="AS279" s="7"/>
      <c r="AT279" s="7"/>
      <c r="AU279" s="55"/>
      <c r="AV279" s="7"/>
      <c r="AW279" s="7"/>
      <c r="AX279" s="7"/>
      <c r="AY279" s="7"/>
      <c r="AZ279" s="7"/>
      <c r="BA279" s="7"/>
      <c r="BB279" s="7"/>
      <c r="BC279" s="7"/>
      <c r="BD279" s="60"/>
      <c r="BE279" s="44"/>
      <c r="BF279" s="11"/>
      <c r="BG279" s="19"/>
      <c r="BH279" s="7"/>
      <c r="BI279" s="7"/>
      <c r="BJ279" s="7"/>
      <c r="BK279" s="7"/>
      <c r="BL279" s="7"/>
      <c r="BM279" s="7"/>
      <c r="BN279" s="7"/>
      <c r="BO279" s="7"/>
      <c r="BP279" s="7"/>
      <c r="BQ279" s="7"/>
      <c r="BR279" s="7"/>
      <c r="BS279" s="7"/>
      <c r="BT279" s="7"/>
      <c r="BU279" s="7"/>
      <c r="BV279" s="7"/>
      <c r="BW279" s="7"/>
      <c r="BX279" s="7"/>
      <c r="BY279" s="7"/>
      <c r="BZ279" s="41"/>
      <c r="CA279" s="7"/>
      <c r="CB279" s="7"/>
      <c r="CC279" s="7"/>
      <c r="CD279" s="7"/>
      <c r="CE279" s="7"/>
      <c r="CF279" s="7"/>
    </row>
    <row r="280">
      <c r="T280" s="7"/>
      <c r="U280" s="7"/>
      <c r="V280" s="7"/>
      <c r="W280" s="7"/>
      <c r="X280" s="7"/>
      <c r="Y280" s="7"/>
      <c r="Z280" s="7"/>
      <c r="AA280" s="7"/>
      <c r="AB280" s="7"/>
      <c r="AC280" s="7"/>
      <c r="AD280" s="7"/>
      <c r="AE280" s="7"/>
      <c r="AF280" s="7"/>
      <c r="AG280" s="7"/>
      <c r="AH280" s="7"/>
      <c r="AI280" s="7"/>
      <c r="AJ280" s="7"/>
      <c r="AK280" s="7"/>
      <c r="AL280" s="7"/>
      <c r="AM280" s="7"/>
      <c r="AN280" s="7"/>
      <c r="AS280" s="7"/>
      <c r="AT280" s="7"/>
      <c r="AU280" s="55"/>
      <c r="AV280" s="7"/>
      <c r="AW280" s="7"/>
      <c r="AX280" s="7"/>
      <c r="AY280" s="7"/>
      <c r="AZ280" s="7"/>
      <c r="BA280" s="7"/>
      <c r="BB280" s="7"/>
      <c r="BC280" s="7"/>
      <c r="BD280" s="60"/>
      <c r="BE280" s="44"/>
      <c r="BF280" s="11"/>
      <c r="BG280" s="19"/>
      <c r="BH280" s="7"/>
      <c r="BI280" s="7"/>
      <c r="BJ280" s="7"/>
      <c r="BK280" s="7"/>
      <c r="BL280" s="7"/>
      <c r="BM280" s="7"/>
      <c r="BN280" s="7"/>
      <c r="BO280" s="7"/>
      <c r="BP280" s="7"/>
      <c r="BQ280" s="7"/>
      <c r="BR280" s="7"/>
      <c r="BS280" s="7"/>
      <c r="BT280" s="7"/>
      <c r="BU280" s="7"/>
      <c r="BV280" s="7"/>
      <c r="BW280" s="7"/>
      <c r="BX280" s="7"/>
      <c r="BY280" s="7"/>
      <c r="BZ280" s="41"/>
      <c r="CA280" s="7"/>
      <c r="CB280" s="7"/>
      <c r="CC280" s="7"/>
      <c r="CD280" s="7"/>
      <c r="CE280" s="7"/>
      <c r="CF280" s="7"/>
    </row>
    <row r="281">
      <c r="T281" s="7"/>
      <c r="U281" s="7"/>
      <c r="V281" s="7"/>
      <c r="W281" s="7"/>
      <c r="X281" s="7"/>
      <c r="Y281" s="7"/>
      <c r="Z281" s="7"/>
      <c r="AA281" s="7"/>
      <c r="AB281" s="7"/>
      <c r="AC281" s="7"/>
      <c r="AD281" s="7"/>
      <c r="AE281" s="7"/>
      <c r="AF281" s="7"/>
      <c r="AG281" s="7"/>
      <c r="AH281" s="7"/>
      <c r="AI281" s="7"/>
      <c r="AJ281" s="7"/>
      <c r="AK281" s="7"/>
      <c r="AL281" s="7"/>
      <c r="AM281" s="7"/>
      <c r="AN281" s="7"/>
      <c r="AS281" s="7"/>
      <c r="AT281" s="7"/>
      <c r="AU281" s="55"/>
      <c r="AV281" s="7"/>
      <c r="AW281" s="7"/>
      <c r="AX281" s="7"/>
      <c r="AY281" s="7"/>
      <c r="AZ281" s="7"/>
      <c r="BA281" s="7"/>
      <c r="BB281" s="7"/>
      <c r="BC281" s="7"/>
      <c r="BD281" s="60"/>
      <c r="BE281" s="44"/>
      <c r="BF281" s="11"/>
      <c r="BG281" s="19"/>
      <c r="BH281" s="7"/>
      <c r="BI281" s="7"/>
      <c r="BJ281" s="7"/>
      <c r="BK281" s="7"/>
      <c r="BL281" s="7"/>
      <c r="BM281" s="7"/>
      <c r="BN281" s="7"/>
      <c r="BO281" s="7"/>
      <c r="BP281" s="7"/>
      <c r="BQ281" s="7"/>
      <c r="BR281" s="7"/>
      <c r="BS281" s="7"/>
      <c r="BT281" s="7"/>
      <c r="BU281" s="7"/>
      <c r="BV281" s="7"/>
      <c r="BW281" s="7"/>
      <c r="BX281" s="7"/>
      <c r="BY281" s="7"/>
      <c r="BZ281" s="41"/>
      <c r="CA281" s="7"/>
      <c r="CB281" s="7"/>
      <c r="CC281" s="7"/>
      <c r="CD281" s="7"/>
      <c r="CE281" s="7"/>
      <c r="CF281" s="7"/>
    </row>
    <row r="282">
      <c r="T282" s="7"/>
      <c r="U282" s="7"/>
      <c r="V282" s="7"/>
      <c r="W282" s="7"/>
      <c r="X282" s="7"/>
      <c r="Y282" s="7"/>
      <c r="Z282" s="7"/>
      <c r="AA282" s="7"/>
      <c r="AB282" s="7"/>
      <c r="AC282" s="7"/>
      <c r="AD282" s="7"/>
      <c r="AE282" s="7"/>
      <c r="AF282" s="7"/>
      <c r="AG282" s="7"/>
      <c r="AH282" s="7"/>
      <c r="AI282" s="7"/>
      <c r="AJ282" s="7"/>
      <c r="AK282" s="7"/>
      <c r="AL282" s="7"/>
      <c r="AM282" s="7"/>
      <c r="AN282" s="7"/>
      <c r="AS282" s="7"/>
      <c r="AT282" s="7"/>
      <c r="AU282" s="55"/>
      <c r="AV282" s="7"/>
      <c r="AW282" s="7"/>
      <c r="AX282" s="7"/>
      <c r="AY282" s="7"/>
      <c r="AZ282" s="7"/>
      <c r="BA282" s="7"/>
      <c r="BB282" s="7"/>
      <c r="BC282" s="7"/>
      <c r="BD282" s="60"/>
      <c r="BE282" s="44"/>
      <c r="BF282" s="11"/>
      <c r="BG282" s="19"/>
      <c r="BH282" s="7"/>
      <c r="BI282" s="7"/>
      <c r="BJ282" s="7"/>
      <c r="BK282" s="7"/>
      <c r="BL282" s="7"/>
      <c r="BM282" s="7"/>
      <c r="BN282" s="7"/>
      <c r="BO282" s="7"/>
      <c r="BP282" s="7"/>
      <c r="BQ282" s="7"/>
      <c r="BR282" s="7"/>
      <c r="BS282" s="7"/>
      <c r="BT282" s="7"/>
      <c r="BU282" s="7"/>
      <c r="BV282" s="7"/>
      <c r="BW282" s="7"/>
      <c r="BX282" s="7"/>
      <c r="BY282" s="7"/>
      <c r="BZ282" s="41"/>
      <c r="CA282" s="7"/>
      <c r="CB282" s="7"/>
      <c r="CC282" s="7"/>
      <c r="CD282" s="7"/>
      <c r="CE282" s="7"/>
      <c r="CF282" s="7"/>
    </row>
    <row r="283">
      <c r="T283" s="7"/>
      <c r="U283" s="7"/>
      <c r="V283" s="7"/>
      <c r="W283" s="7"/>
      <c r="X283" s="7"/>
      <c r="Y283" s="7"/>
      <c r="Z283" s="7"/>
      <c r="AA283" s="7"/>
      <c r="AB283" s="7"/>
      <c r="AC283" s="7"/>
      <c r="AD283" s="7"/>
      <c r="AE283" s="7"/>
      <c r="AF283" s="7"/>
      <c r="AG283" s="7"/>
      <c r="AH283" s="7"/>
      <c r="AI283" s="7"/>
      <c r="AJ283" s="7"/>
      <c r="AK283" s="7"/>
      <c r="AL283" s="7"/>
      <c r="AM283" s="7"/>
      <c r="AN283" s="7"/>
      <c r="AS283" s="7"/>
      <c r="AT283" s="7"/>
      <c r="AU283" s="55"/>
      <c r="AV283" s="7"/>
      <c r="AW283" s="7"/>
      <c r="AX283" s="7"/>
      <c r="AY283" s="7"/>
      <c r="AZ283" s="7"/>
      <c r="BA283" s="7"/>
      <c r="BB283" s="7"/>
      <c r="BC283" s="7"/>
      <c r="BD283" s="60"/>
      <c r="BE283" s="44"/>
      <c r="BF283" s="11"/>
      <c r="BG283" s="19"/>
      <c r="BH283" s="7"/>
      <c r="BI283" s="7"/>
      <c r="BJ283" s="7"/>
      <c r="BK283" s="7"/>
      <c r="BL283" s="7"/>
      <c r="BM283" s="7"/>
      <c r="BN283" s="7"/>
      <c r="BO283" s="7"/>
      <c r="BP283" s="7"/>
      <c r="BQ283" s="7"/>
      <c r="BR283" s="7"/>
      <c r="BS283" s="7"/>
      <c r="BT283" s="7"/>
      <c r="BU283" s="7"/>
      <c r="BV283" s="7"/>
      <c r="BW283" s="7"/>
      <c r="BX283" s="7"/>
      <c r="BY283" s="7"/>
      <c r="BZ283" s="41"/>
      <c r="CA283" s="7"/>
      <c r="CB283" s="7"/>
      <c r="CC283" s="7"/>
      <c r="CD283" s="7"/>
      <c r="CE283" s="7"/>
      <c r="CF283" s="7"/>
    </row>
    <row r="284">
      <c r="T284" s="7"/>
      <c r="U284" s="7"/>
      <c r="V284" s="7"/>
      <c r="W284" s="7"/>
      <c r="X284" s="7"/>
      <c r="Y284" s="7"/>
      <c r="Z284" s="7"/>
      <c r="AA284" s="7"/>
      <c r="AB284" s="7"/>
      <c r="AC284" s="7"/>
      <c r="AD284" s="7"/>
      <c r="AE284" s="7"/>
      <c r="AF284" s="7"/>
      <c r="AG284" s="7"/>
      <c r="AH284" s="7"/>
      <c r="AI284" s="7"/>
      <c r="AJ284" s="7"/>
      <c r="AK284" s="7"/>
      <c r="AL284" s="7"/>
      <c r="AM284" s="7"/>
      <c r="AN284" s="7"/>
      <c r="AS284" s="7"/>
      <c r="AT284" s="7"/>
      <c r="AU284" s="55"/>
      <c r="AV284" s="7"/>
      <c r="AW284" s="7"/>
      <c r="AX284" s="7"/>
      <c r="AY284" s="7"/>
      <c r="AZ284" s="7"/>
      <c r="BA284" s="7"/>
      <c r="BB284" s="7"/>
      <c r="BC284" s="7"/>
      <c r="BD284" s="60"/>
      <c r="BE284" s="44"/>
      <c r="BF284" s="11"/>
      <c r="BG284" s="19"/>
      <c r="BH284" s="7"/>
      <c r="BI284" s="7"/>
      <c r="BJ284" s="7"/>
      <c r="BK284" s="7"/>
      <c r="BL284" s="7"/>
      <c r="BM284" s="7"/>
      <c r="BN284" s="7"/>
      <c r="BO284" s="7"/>
      <c r="BP284" s="7"/>
      <c r="BQ284" s="7"/>
      <c r="BR284" s="7"/>
      <c r="BS284" s="7"/>
      <c r="BT284" s="7"/>
      <c r="BU284" s="7"/>
      <c r="BV284" s="7"/>
      <c r="BW284" s="7"/>
      <c r="BX284" s="7"/>
      <c r="BY284" s="7"/>
      <c r="BZ284" s="41"/>
      <c r="CA284" s="7"/>
      <c r="CB284" s="7"/>
      <c r="CC284" s="7"/>
      <c r="CD284" s="7"/>
      <c r="CE284" s="7"/>
      <c r="CF284" s="7"/>
    </row>
    <row r="285">
      <c r="T285" s="7"/>
      <c r="U285" s="7"/>
      <c r="V285" s="7"/>
      <c r="W285" s="7"/>
      <c r="X285" s="7"/>
      <c r="Y285" s="7"/>
      <c r="Z285" s="7"/>
      <c r="AA285" s="7"/>
      <c r="AB285" s="7"/>
      <c r="AC285" s="7"/>
      <c r="AD285" s="7"/>
      <c r="AE285" s="7"/>
      <c r="AF285" s="7"/>
      <c r="AG285" s="7"/>
      <c r="AH285" s="7"/>
      <c r="AI285" s="7"/>
      <c r="AJ285" s="7"/>
      <c r="AK285" s="7"/>
      <c r="AL285" s="7"/>
      <c r="AM285" s="7"/>
      <c r="AN285" s="7"/>
      <c r="AS285" s="7"/>
      <c r="AT285" s="7"/>
      <c r="AU285" s="55"/>
      <c r="AV285" s="7"/>
      <c r="AW285" s="7"/>
      <c r="AX285" s="7"/>
      <c r="AY285" s="7"/>
      <c r="AZ285" s="7"/>
      <c r="BA285" s="7"/>
      <c r="BB285" s="7"/>
      <c r="BC285" s="7"/>
      <c r="BD285" s="60"/>
      <c r="BE285" s="44"/>
      <c r="BF285" s="11"/>
      <c r="BG285" s="19"/>
      <c r="BH285" s="7"/>
      <c r="BI285" s="7"/>
      <c r="BJ285" s="7"/>
      <c r="BK285" s="7"/>
      <c r="BL285" s="7"/>
      <c r="BM285" s="7"/>
      <c r="BN285" s="7"/>
      <c r="BO285" s="7"/>
      <c r="BP285" s="7"/>
      <c r="BQ285" s="7"/>
      <c r="BR285" s="7"/>
      <c r="BS285" s="7"/>
      <c r="BT285" s="7"/>
      <c r="BU285" s="7"/>
      <c r="BV285" s="7"/>
      <c r="BW285" s="7"/>
      <c r="BX285" s="7"/>
      <c r="BY285" s="7"/>
      <c r="BZ285" s="41"/>
      <c r="CA285" s="7"/>
      <c r="CB285" s="7"/>
      <c r="CC285" s="7"/>
      <c r="CD285" s="7"/>
      <c r="CE285" s="7"/>
      <c r="CF285" s="7"/>
    </row>
    <row r="286">
      <c r="T286" s="7"/>
      <c r="U286" s="7"/>
      <c r="V286" s="7"/>
      <c r="W286" s="7"/>
      <c r="X286" s="7"/>
      <c r="Y286" s="7"/>
      <c r="Z286" s="7"/>
      <c r="AA286" s="7"/>
      <c r="AB286" s="7"/>
      <c r="AC286" s="7"/>
      <c r="AD286" s="7"/>
      <c r="AE286" s="7"/>
      <c r="AF286" s="7"/>
      <c r="AG286" s="7"/>
      <c r="AH286" s="7"/>
      <c r="AI286" s="7"/>
      <c r="AJ286" s="7"/>
      <c r="AK286" s="7"/>
      <c r="AL286" s="7"/>
      <c r="AM286" s="7"/>
      <c r="AN286" s="7"/>
      <c r="AS286" s="7"/>
      <c r="AT286" s="7"/>
      <c r="AU286" s="55"/>
      <c r="AV286" s="7"/>
      <c r="AW286" s="7"/>
      <c r="AX286" s="7"/>
      <c r="AY286" s="7"/>
      <c r="AZ286" s="7"/>
      <c r="BA286" s="7"/>
      <c r="BB286" s="7"/>
      <c r="BC286" s="7"/>
      <c r="BD286" s="60"/>
      <c r="BE286" s="44"/>
      <c r="BF286" s="11"/>
      <c r="BG286" s="19"/>
      <c r="BH286" s="7"/>
      <c r="BI286" s="7"/>
      <c r="BJ286" s="7"/>
      <c r="BK286" s="7"/>
      <c r="BL286" s="7"/>
      <c r="BM286" s="7"/>
      <c r="BN286" s="7"/>
      <c r="BO286" s="7"/>
      <c r="BP286" s="7"/>
      <c r="BQ286" s="7"/>
      <c r="BR286" s="7"/>
      <c r="BS286" s="7"/>
      <c r="BT286" s="7"/>
      <c r="BU286" s="7"/>
      <c r="BV286" s="7"/>
      <c r="BW286" s="7"/>
      <c r="BX286" s="7"/>
      <c r="BY286" s="7"/>
      <c r="BZ286" s="41"/>
      <c r="CA286" s="7"/>
      <c r="CB286" s="7"/>
      <c r="CC286" s="7"/>
      <c r="CD286" s="7"/>
      <c r="CE286" s="7"/>
      <c r="CF286" s="7"/>
    </row>
    <row r="287">
      <c r="T287" s="7"/>
      <c r="U287" s="7"/>
      <c r="V287" s="7"/>
      <c r="W287" s="7"/>
      <c r="X287" s="7"/>
      <c r="Y287" s="7"/>
      <c r="Z287" s="7"/>
      <c r="AA287" s="7"/>
      <c r="AB287" s="7"/>
      <c r="AC287" s="7"/>
      <c r="AD287" s="7"/>
      <c r="AE287" s="7"/>
      <c r="AF287" s="7"/>
      <c r="AG287" s="7"/>
      <c r="AH287" s="7"/>
      <c r="AI287" s="7"/>
      <c r="AJ287" s="7"/>
      <c r="AK287" s="7"/>
      <c r="AL287" s="7"/>
      <c r="AM287" s="7"/>
      <c r="AN287" s="7"/>
      <c r="AS287" s="7"/>
      <c r="AT287" s="7"/>
      <c r="AU287" s="55"/>
      <c r="AV287" s="7"/>
      <c r="AW287" s="7"/>
      <c r="AX287" s="7"/>
      <c r="AY287" s="7"/>
      <c r="AZ287" s="7"/>
      <c r="BA287" s="7"/>
      <c r="BB287" s="7"/>
      <c r="BC287" s="7"/>
      <c r="BD287" s="60"/>
      <c r="BE287" s="44"/>
      <c r="BF287" s="11"/>
      <c r="BG287" s="19"/>
      <c r="BH287" s="7"/>
      <c r="BI287" s="7"/>
      <c r="BJ287" s="7"/>
      <c r="BK287" s="7"/>
      <c r="BL287" s="7"/>
      <c r="BM287" s="7"/>
      <c r="BN287" s="7"/>
      <c r="BO287" s="7"/>
      <c r="BP287" s="7"/>
      <c r="BQ287" s="7"/>
      <c r="BR287" s="7"/>
      <c r="BS287" s="7"/>
      <c r="BT287" s="7"/>
      <c r="BU287" s="7"/>
      <c r="BV287" s="7"/>
      <c r="BW287" s="7"/>
      <c r="BX287" s="7"/>
      <c r="BY287" s="7"/>
      <c r="BZ287" s="41"/>
      <c r="CA287" s="7"/>
      <c r="CB287" s="7"/>
      <c r="CC287" s="7"/>
      <c r="CD287" s="7"/>
      <c r="CE287" s="7"/>
      <c r="CF287" s="7"/>
    </row>
    <row r="288">
      <c r="T288" s="7"/>
      <c r="U288" s="7"/>
      <c r="V288" s="7"/>
      <c r="W288" s="7"/>
      <c r="X288" s="7"/>
      <c r="Y288" s="7"/>
      <c r="Z288" s="7"/>
      <c r="AA288" s="7"/>
      <c r="AB288" s="7"/>
      <c r="AC288" s="7"/>
      <c r="AD288" s="7"/>
      <c r="AE288" s="7"/>
      <c r="AF288" s="7"/>
      <c r="AG288" s="7"/>
      <c r="AH288" s="7"/>
      <c r="AI288" s="7"/>
      <c r="AJ288" s="7"/>
      <c r="AK288" s="7"/>
      <c r="AL288" s="7"/>
      <c r="AM288" s="7"/>
      <c r="AN288" s="7"/>
      <c r="AS288" s="7"/>
      <c r="AT288" s="7"/>
      <c r="AU288" s="55"/>
      <c r="AV288" s="7"/>
      <c r="AW288" s="7"/>
      <c r="AX288" s="7"/>
      <c r="AY288" s="7"/>
      <c r="AZ288" s="7"/>
      <c r="BA288" s="7"/>
      <c r="BB288" s="7"/>
      <c r="BC288" s="7"/>
      <c r="BD288" s="60"/>
      <c r="BE288" s="44"/>
      <c r="BF288" s="11"/>
      <c r="BG288" s="19"/>
      <c r="BH288" s="7"/>
      <c r="BI288" s="7"/>
      <c r="BJ288" s="7"/>
      <c r="BK288" s="7"/>
      <c r="BL288" s="7"/>
      <c r="BM288" s="7"/>
      <c r="BN288" s="7"/>
      <c r="BO288" s="7"/>
      <c r="BP288" s="7"/>
      <c r="BQ288" s="7"/>
      <c r="BR288" s="7"/>
      <c r="BS288" s="7"/>
      <c r="BT288" s="7"/>
      <c r="BU288" s="7"/>
      <c r="BV288" s="7"/>
      <c r="BW288" s="7"/>
      <c r="BX288" s="7"/>
      <c r="BY288" s="7"/>
      <c r="BZ288" s="41"/>
      <c r="CA288" s="7"/>
      <c r="CB288" s="7"/>
      <c r="CC288" s="7"/>
      <c r="CD288" s="7"/>
      <c r="CE288" s="7"/>
      <c r="CF288" s="7"/>
    </row>
    <row r="289">
      <c r="T289" s="7"/>
      <c r="U289" s="7"/>
      <c r="V289" s="7"/>
      <c r="W289" s="7"/>
      <c r="X289" s="7"/>
      <c r="Y289" s="7"/>
      <c r="Z289" s="7"/>
      <c r="AA289" s="7"/>
      <c r="AB289" s="7"/>
      <c r="AC289" s="7"/>
      <c r="AD289" s="7"/>
      <c r="AE289" s="7"/>
      <c r="AF289" s="7"/>
      <c r="AG289" s="7"/>
      <c r="AH289" s="7"/>
      <c r="AI289" s="7"/>
      <c r="AJ289" s="7"/>
      <c r="AK289" s="7"/>
      <c r="AL289" s="7"/>
      <c r="AM289" s="7"/>
      <c r="AN289" s="7"/>
      <c r="AS289" s="7"/>
      <c r="AT289" s="7"/>
      <c r="AU289" s="55"/>
      <c r="AV289" s="7"/>
      <c r="AW289" s="7"/>
      <c r="AX289" s="7"/>
      <c r="AY289" s="7"/>
      <c r="AZ289" s="7"/>
      <c r="BA289" s="7"/>
      <c r="BB289" s="7"/>
      <c r="BC289" s="7"/>
      <c r="BD289" s="60"/>
      <c r="BE289" s="44"/>
      <c r="BF289" s="11"/>
      <c r="BG289" s="19"/>
      <c r="BH289" s="7"/>
      <c r="BI289" s="7"/>
      <c r="BJ289" s="7"/>
      <c r="BK289" s="7"/>
      <c r="BL289" s="7"/>
      <c r="BM289" s="7"/>
      <c r="BN289" s="7"/>
      <c r="BO289" s="7"/>
      <c r="BP289" s="7"/>
      <c r="BQ289" s="7"/>
      <c r="BR289" s="7"/>
      <c r="BS289" s="7"/>
      <c r="BT289" s="7"/>
      <c r="BU289" s="7"/>
      <c r="BV289" s="7"/>
      <c r="BW289" s="7"/>
      <c r="BX289" s="7"/>
      <c r="BY289" s="7"/>
      <c r="BZ289" s="41"/>
      <c r="CA289" s="7"/>
      <c r="CB289" s="7"/>
      <c r="CC289" s="7"/>
      <c r="CD289" s="7"/>
      <c r="CE289" s="7"/>
      <c r="CF289" s="7"/>
    </row>
    <row r="290">
      <c r="T290" s="7"/>
      <c r="U290" s="7"/>
      <c r="V290" s="7"/>
      <c r="W290" s="7"/>
      <c r="X290" s="7"/>
      <c r="Y290" s="7"/>
      <c r="Z290" s="7"/>
      <c r="AA290" s="7"/>
      <c r="AB290" s="7"/>
      <c r="AC290" s="7"/>
      <c r="AD290" s="7"/>
      <c r="AE290" s="7"/>
      <c r="AF290" s="7"/>
      <c r="AG290" s="7"/>
      <c r="AH290" s="7"/>
      <c r="AI290" s="7"/>
      <c r="AJ290" s="7"/>
      <c r="AK290" s="7"/>
      <c r="AL290" s="7"/>
      <c r="AM290" s="7"/>
      <c r="AN290" s="7"/>
      <c r="AS290" s="7"/>
      <c r="AT290" s="7"/>
      <c r="AU290" s="55"/>
      <c r="AV290" s="7"/>
      <c r="AW290" s="7"/>
      <c r="AX290" s="7"/>
      <c r="AY290" s="7"/>
      <c r="AZ290" s="7"/>
      <c r="BA290" s="7"/>
      <c r="BB290" s="7"/>
      <c r="BC290" s="7"/>
      <c r="BD290" s="60"/>
      <c r="BE290" s="44"/>
      <c r="BF290" s="11"/>
      <c r="BG290" s="19"/>
      <c r="BH290" s="7"/>
      <c r="BI290" s="7"/>
      <c r="BJ290" s="7"/>
      <c r="BK290" s="7"/>
      <c r="BL290" s="7"/>
      <c r="BM290" s="7"/>
      <c r="BN290" s="7"/>
      <c r="BO290" s="7"/>
      <c r="BP290" s="7"/>
      <c r="BQ290" s="7"/>
      <c r="BR290" s="7"/>
      <c r="BS290" s="7"/>
      <c r="BT290" s="7"/>
      <c r="BU290" s="7"/>
      <c r="BV290" s="7"/>
      <c r="BW290" s="7"/>
      <c r="BX290" s="7"/>
      <c r="BY290" s="7"/>
      <c r="BZ290" s="41"/>
      <c r="CA290" s="7"/>
      <c r="CB290" s="7"/>
      <c r="CC290" s="7"/>
      <c r="CD290" s="7"/>
      <c r="CE290" s="7"/>
      <c r="CF290" s="7"/>
    </row>
    <row r="291">
      <c r="T291" s="7"/>
      <c r="U291" s="7"/>
      <c r="V291" s="7"/>
      <c r="W291" s="7"/>
      <c r="X291" s="7"/>
      <c r="Y291" s="7"/>
      <c r="Z291" s="7"/>
      <c r="AA291" s="7"/>
      <c r="AB291" s="7"/>
      <c r="AC291" s="7"/>
      <c r="AD291" s="7"/>
      <c r="AE291" s="7"/>
      <c r="AF291" s="7"/>
      <c r="AG291" s="7"/>
      <c r="AH291" s="7"/>
      <c r="AI291" s="7"/>
      <c r="AJ291" s="7"/>
      <c r="AK291" s="7"/>
      <c r="AL291" s="7"/>
      <c r="AM291" s="7"/>
      <c r="AN291" s="7"/>
      <c r="AS291" s="7"/>
      <c r="AT291" s="7"/>
      <c r="AU291" s="55"/>
      <c r="AV291" s="7"/>
      <c r="AW291" s="7"/>
      <c r="AX291" s="7"/>
      <c r="AY291" s="7"/>
      <c r="AZ291" s="7"/>
      <c r="BA291" s="7"/>
      <c r="BB291" s="7"/>
      <c r="BC291" s="7"/>
      <c r="BD291" s="60"/>
      <c r="BE291" s="44"/>
      <c r="BF291" s="11"/>
      <c r="BG291" s="19"/>
      <c r="BH291" s="7"/>
      <c r="BI291" s="7"/>
      <c r="BJ291" s="7"/>
      <c r="BK291" s="7"/>
      <c r="BL291" s="7"/>
      <c r="BM291" s="7"/>
      <c r="BN291" s="7"/>
      <c r="BO291" s="7"/>
      <c r="BP291" s="7"/>
      <c r="BQ291" s="7"/>
      <c r="BR291" s="7"/>
      <c r="BS291" s="7"/>
      <c r="BT291" s="7"/>
      <c r="BU291" s="7"/>
      <c r="BV291" s="7"/>
      <c r="BW291" s="7"/>
      <c r="BX291" s="7"/>
      <c r="BY291" s="7"/>
      <c r="BZ291" s="41"/>
      <c r="CA291" s="7"/>
      <c r="CB291" s="7"/>
      <c r="CC291" s="7"/>
      <c r="CD291" s="7"/>
      <c r="CE291" s="7"/>
      <c r="CF291" s="7"/>
    </row>
    <row r="292">
      <c r="T292" s="7"/>
      <c r="U292" s="7"/>
      <c r="V292" s="7"/>
      <c r="W292" s="7"/>
      <c r="X292" s="7"/>
      <c r="Y292" s="7"/>
      <c r="Z292" s="7"/>
      <c r="AA292" s="7"/>
      <c r="AB292" s="7"/>
      <c r="AC292" s="7"/>
      <c r="AD292" s="7"/>
      <c r="AE292" s="7"/>
      <c r="AF292" s="7"/>
      <c r="AG292" s="7"/>
      <c r="AH292" s="7"/>
      <c r="AI292" s="7"/>
      <c r="AJ292" s="7"/>
      <c r="AK292" s="7"/>
      <c r="AL292" s="7"/>
      <c r="AM292" s="7"/>
      <c r="AN292" s="7"/>
      <c r="AS292" s="7"/>
      <c r="AT292" s="7"/>
      <c r="AU292" s="55"/>
      <c r="AV292" s="7"/>
      <c r="AW292" s="7"/>
      <c r="AX292" s="7"/>
      <c r="AY292" s="7"/>
      <c r="AZ292" s="7"/>
      <c r="BA292" s="7"/>
      <c r="BB292" s="7"/>
      <c r="BC292" s="7"/>
      <c r="BD292" s="60"/>
      <c r="BE292" s="44"/>
      <c r="BF292" s="11"/>
      <c r="BG292" s="19"/>
      <c r="BH292" s="7"/>
      <c r="BI292" s="7"/>
      <c r="BJ292" s="7"/>
      <c r="BK292" s="7"/>
      <c r="BL292" s="7"/>
      <c r="BM292" s="7"/>
      <c r="BN292" s="7"/>
      <c r="BO292" s="7"/>
      <c r="BP292" s="7"/>
      <c r="BQ292" s="7"/>
      <c r="BR292" s="7"/>
      <c r="BS292" s="7"/>
      <c r="BT292" s="7"/>
      <c r="BU292" s="7"/>
      <c r="BV292" s="7"/>
      <c r="BW292" s="7"/>
      <c r="BX292" s="7"/>
      <c r="BY292" s="7"/>
      <c r="BZ292" s="41"/>
      <c r="CA292" s="7"/>
      <c r="CB292" s="7"/>
      <c r="CC292" s="7"/>
      <c r="CD292" s="7"/>
      <c r="CE292" s="7"/>
      <c r="CF292" s="7"/>
    </row>
    <row r="293">
      <c r="T293" s="7"/>
      <c r="U293" s="7"/>
      <c r="V293" s="7"/>
      <c r="W293" s="7"/>
      <c r="X293" s="7"/>
      <c r="Y293" s="7"/>
      <c r="Z293" s="7"/>
      <c r="AA293" s="7"/>
      <c r="AB293" s="7"/>
      <c r="AC293" s="7"/>
      <c r="AD293" s="7"/>
      <c r="AE293" s="7"/>
      <c r="AF293" s="7"/>
      <c r="AG293" s="7"/>
      <c r="AH293" s="7"/>
      <c r="AI293" s="7"/>
      <c r="AJ293" s="7"/>
      <c r="AK293" s="7"/>
      <c r="AL293" s="7"/>
      <c r="AM293" s="7"/>
      <c r="AN293" s="7"/>
      <c r="AS293" s="7"/>
      <c r="AT293" s="7"/>
      <c r="AU293" s="55"/>
      <c r="AV293" s="7"/>
      <c r="AW293" s="7"/>
      <c r="AX293" s="7"/>
      <c r="AY293" s="7"/>
      <c r="AZ293" s="7"/>
      <c r="BA293" s="7"/>
      <c r="BB293" s="7"/>
      <c r="BC293" s="7"/>
      <c r="BD293" s="60"/>
      <c r="BE293" s="44"/>
      <c r="BF293" s="11"/>
      <c r="BG293" s="19"/>
      <c r="BH293" s="7"/>
      <c r="BI293" s="7"/>
      <c r="BJ293" s="7"/>
      <c r="BK293" s="7"/>
      <c r="BL293" s="7"/>
      <c r="BM293" s="7"/>
      <c r="BN293" s="7"/>
      <c r="BO293" s="7"/>
      <c r="BP293" s="7"/>
      <c r="BQ293" s="7"/>
      <c r="BR293" s="7"/>
      <c r="BS293" s="7"/>
      <c r="BT293" s="7"/>
      <c r="BU293" s="7"/>
      <c r="BV293" s="7"/>
      <c r="BW293" s="7"/>
      <c r="BX293" s="7"/>
      <c r="BY293" s="7"/>
      <c r="BZ293" s="41"/>
      <c r="CA293" s="7"/>
      <c r="CB293" s="7"/>
      <c r="CC293" s="7"/>
      <c r="CD293" s="7"/>
      <c r="CE293" s="7"/>
      <c r="CF293" s="7"/>
    </row>
    <row r="294">
      <c r="T294" s="7"/>
      <c r="U294" s="7"/>
      <c r="V294" s="7"/>
      <c r="W294" s="7"/>
      <c r="X294" s="7"/>
      <c r="Y294" s="7"/>
      <c r="Z294" s="7"/>
      <c r="AA294" s="7"/>
      <c r="AB294" s="7"/>
      <c r="AC294" s="7"/>
      <c r="AD294" s="7"/>
      <c r="AE294" s="7"/>
      <c r="AF294" s="7"/>
      <c r="AG294" s="7"/>
      <c r="AH294" s="7"/>
      <c r="AI294" s="7"/>
      <c r="AJ294" s="7"/>
      <c r="AK294" s="7"/>
      <c r="AL294" s="7"/>
      <c r="AM294" s="7"/>
      <c r="AN294" s="7"/>
      <c r="AS294" s="7"/>
      <c r="AT294" s="7"/>
      <c r="AU294" s="55"/>
      <c r="AV294" s="7"/>
      <c r="AW294" s="7"/>
      <c r="AX294" s="7"/>
      <c r="AY294" s="7"/>
      <c r="AZ294" s="7"/>
      <c r="BA294" s="7"/>
      <c r="BB294" s="7"/>
      <c r="BC294" s="7"/>
      <c r="BD294" s="60"/>
      <c r="BE294" s="44"/>
      <c r="BF294" s="11"/>
      <c r="BG294" s="19"/>
      <c r="BH294" s="7"/>
      <c r="BI294" s="7"/>
      <c r="BJ294" s="7"/>
      <c r="BK294" s="7"/>
      <c r="BL294" s="7"/>
      <c r="BM294" s="7"/>
      <c r="BN294" s="7"/>
      <c r="BO294" s="7"/>
      <c r="BP294" s="7"/>
      <c r="BQ294" s="7"/>
      <c r="BR294" s="7"/>
      <c r="BS294" s="7"/>
      <c r="BT294" s="7"/>
      <c r="BU294" s="7"/>
      <c r="BV294" s="7"/>
      <c r="BW294" s="7"/>
      <c r="BX294" s="7"/>
      <c r="BY294" s="7"/>
      <c r="BZ294" s="41"/>
      <c r="CA294" s="7"/>
      <c r="CB294" s="7"/>
      <c r="CC294" s="7"/>
      <c r="CD294" s="7"/>
      <c r="CE294" s="7"/>
      <c r="CF294" s="7"/>
    </row>
    <row r="295">
      <c r="T295" s="7"/>
      <c r="U295" s="7"/>
      <c r="V295" s="7"/>
      <c r="W295" s="7"/>
      <c r="X295" s="7"/>
      <c r="Y295" s="7"/>
      <c r="Z295" s="7"/>
      <c r="AA295" s="7"/>
      <c r="AB295" s="7"/>
      <c r="AC295" s="7"/>
      <c r="AD295" s="7"/>
      <c r="AE295" s="7"/>
      <c r="AF295" s="7"/>
      <c r="AG295" s="7"/>
      <c r="AH295" s="7"/>
      <c r="AI295" s="7"/>
      <c r="AJ295" s="7"/>
      <c r="AK295" s="7"/>
      <c r="AL295" s="7"/>
      <c r="AM295" s="7"/>
      <c r="AN295" s="7"/>
      <c r="AS295" s="7"/>
      <c r="AT295" s="7"/>
      <c r="AU295" s="55"/>
      <c r="AV295" s="7"/>
      <c r="AW295" s="7"/>
      <c r="AX295" s="7"/>
      <c r="AY295" s="7"/>
      <c r="AZ295" s="7"/>
      <c r="BA295" s="7"/>
      <c r="BB295" s="7"/>
      <c r="BC295" s="7"/>
      <c r="BD295" s="60"/>
      <c r="BE295" s="44"/>
      <c r="BF295" s="11"/>
      <c r="BG295" s="19"/>
      <c r="BH295" s="7"/>
      <c r="BI295" s="7"/>
      <c r="BJ295" s="7"/>
      <c r="BK295" s="7"/>
      <c r="BL295" s="7"/>
      <c r="BM295" s="7"/>
      <c r="BN295" s="7"/>
      <c r="BO295" s="7"/>
      <c r="BP295" s="7"/>
      <c r="BQ295" s="7"/>
      <c r="BR295" s="7"/>
      <c r="BS295" s="7"/>
      <c r="BT295" s="7"/>
      <c r="BU295" s="7"/>
      <c r="BV295" s="7"/>
      <c r="BW295" s="7"/>
      <c r="BX295" s="7"/>
      <c r="BY295" s="7"/>
      <c r="BZ295" s="41"/>
      <c r="CA295" s="7"/>
      <c r="CB295" s="7"/>
      <c r="CC295" s="7"/>
      <c r="CD295" s="7"/>
      <c r="CE295" s="7"/>
      <c r="CF295" s="7"/>
    </row>
    <row r="296">
      <c r="T296" s="7"/>
      <c r="U296" s="7"/>
      <c r="V296" s="7"/>
      <c r="W296" s="7"/>
      <c r="X296" s="7"/>
      <c r="Y296" s="7"/>
      <c r="Z296" s="7"/>
      <c r="AA296" s="7"/>
      <c r="AB296" s="7"/>
      <c r="AC296" s="7"/>
      <c r="AD296" s="7"/>
      <c r="AE296" s="7"/>
      <c r="AF296" s="7"/>
      <c r="AG296" s="7"/>
      <c r="AH296" s="7"/>
      <c r="AI296" s="7"/>
      <c r="AJ296" s="7"/>
      <c r="AK296" s="7"/>
      <c r="AL296" s="7"/>
      <c r="AM296" s="7"/>
      <c r="AN296" s="7"/>
      <c r="AS296" s="7"/>
      <c r="AT296" s="7"/>
      <c r="AU296" s="55"/>
      <c r="AV296" s="7"/>
      <c r="AW296" s="7"/>
      <c r="AX296" s="7"/>
      <c r="AY296" s="7"/>
      <c r="AZ296" s="7"/>
      <c r="BA296" s="7"/>
      <c r="BB296" s="7"/>
      <c r="BC296" s="7"/>
      <c r="BD296" s="60"/>
      <c r="BE296" s="44"/>
      <c r="BF296" s="11"/>
      <c r="BG296" s="19"/>
      <c r="BH296" s="7"/>
      <c r="BI296" s="7"/>
      <c r="BJ296" s="7"/>
      <c r="BK296" s="7"/>
      <c r="BL296" s="7"/>
      <c r="BM296" s="7"/>
      <c r="BN296" s="7"/>
      <c r="BO296" s="7"/>
      <c r="BP296" s="7"/>
      <c r="BQ296" s="7"/>
      <c r="BR296" s="7"/>
      <c r="BS296" s="7"/>
      <c r="BT296" s="7"/>
      <c r="BU296" s="7"/>
      <c r="BV296" s="7"/>
      <c r="BW296" s="7"/>
      <c r="BX296" s="7"/>
      <c r="BY296" s="7"/>
      <c r="BZ296" s="41"/>
      <c r="CA296" s="7"/>
      <c r="CB296" s="7"/>
      <c r="CC296" s="7"/>
      <c r="CD296" s="7"/>
      <c r="CE296" s="7"/>
      <c r="CF296" s="7"/>
    </row>
    <row r="297">
      <c r="T297" s="7"/>
      <c r="U297" s="7"/>
      <c r="V297" s="7"/>
      <c r="W297" s="7"/>
      <c r="X297" s="7"/>
      <c r="Y297" s="7"/>
      <c r="Z297" s="7"/>
      <c r="AA297" s="7"/>
      <c r="AB297" s="7"/>
      <c r="AC297" s="7"/>
      <c r="AD297" s="7"/>
      <c r="AE297" s="7"/>
      <c r="AF297" s="7"/>
      <c r="AG297" s="7"/>
      <c r="AH297" s="7"/>
      <c r="AI297" s="7"/>
      <c r="AJ297" s="7"/>
      <c r="AK297" s="7"/>
      <c r="AL297" s="7"/>
      <c r="AM297" s="7"/>
      <c r="AN297" s="7"/>
      <c r="AS297" s="7"/>
      <c r="AT297" s="7"/>
      <c r="AU297" s="55"/>
      <c r="AV297" s="7"/>
      <c r="AW297" s="7"/>
      <c r="AX297" s="7"/>
      <c r="AY297" s="7"/>
      <c r="AZ297" s="7"/>
      <c r="BA297" s="7"/>
      <c r="BB297" s="7"/>
      <c r="BC297" s="7"/>
      <c r="BD297" s="60"/>
      <c r="BE297" s="44"/>
      <c r="BF297" s="11"/>
      <c r="BG297" s="19"/>
      <c r="BH297" s="7"/>
      <c r="BI297" s="7"/>
      <c r="BJ297" s="7"/>
      <c r="BK297" s="7"/>
      <c r="BL297" s="7"/>
      <c r="BM297" s="7"/>
      <c r="BN297" s="7"/>
      <c r="BO297" s="7"/>
      <c r="BP297" s="7"/>
      <c r="BQ297" s="7"/>
      <c r="BR297" s="7"/>
      <c r="BS297" s="7"/>
      <c r="BT297" s="7"/>
      <c r="BU297" s="7"/>
      <c r="BV297" s="7"/>
      <c r="BW297" s="7"/>
      <c r="BX297" s="7"/>
      <c r="BY297" s="7"/>
      <c r="BZ297" s="41"/>
      <c r="CA297" s="7"/>
      <c r="CB297" s="7"/>
      <c r="CC297" s="7"/>
      <c r="CD297" s="7"/>
      <c r="CE297" s="7"/>
      <c r="CF297" s="7"/>
    </row>
    <row r="298">
      <c r="T298" s="7"/>
      <c r="U298" s="7"/>
      <c r="V298" s="7"/>
      <c r="W298" s="7"/>
      <c r="X298" s="7"/>
      <c r="Y298" s="7"/>
      <c r="Z298" s="7"/>
      <c r="AA298" s="7"/>
      <c r="AB298" s="7"/>
      <c r="AC298" s="7"/>
      <c r="AD298" s="7"/>
      <c r="AE298" s="7"/>
      <c r="AF298" s="7"/>
      <c r="AG298" s="7"/>
      <c r="AH298" s="7"/>
      <c r="AI298" s="7"/>
      <c r="AJ298" s="7"/>
      <c r="AK298" s="7"/>
      <c r="AL298" s="7"/>
      <c r="AM298" s="7"/>
      <c r="AN298" s="7"/>
      <c r="AS298" s="7"/>
      <c r="AT298" s="7"/>
      <c r="AU298" s="55"/>
      <c r="AV298" s="7"/>
      <c r="AW298" s="7"/>
      <c r="AX298" s="7"/>
      <c r="AY298" s="7"/>
      <c r="AZ298" s="7"/>
      <c r="BA298" s="7"/>
      <c r="BB298" s="7"/>
      <c r="BC298" s="7"/>
      <c r="BD298" s="60"/>
      <c r="BE298" s="44"/>
      <c r="BF298" s="11"/>
      <c r="BG298" s="19"/>
      <c r="BH298" s="7"/>
      <c r="BI298" s="7"/>
      <c r="BJ298" s="7"/>
      <c r="BK298" s="7"/>
      <c r="BL298" s="7"/>
      <c r="BM298" s="7"/>
      <c r="BN298" s="7"/>
      <c r="BO298" s="7"/>
      <c r="BP298" s="7"/>
      <c r="BQ298" s="7"/>
      <c r="BR298" s="7"/>
      <c r="BS298" s="7"/>
      <c r="BT298" s="7"/>
      <c r="BU298" s="7"/>
      <c r="BV298" s="7"/>
      <c r="BW298" s="7"/>
      <c r="BX298" s="7"/>
      <c r="BY298" s="7"/>
      <c r="BZ298" s="41"/>
      <c r="CA298" s="7"/>
      <c r="CB298" s="7"/>
      <c r="CC298" s="7"/>
      <c r="CD298" s="7"/>
      <c r="CE298" s="7"/>
      <c r="CF298" s="7"/>
    </row>
    <row r="299">
      <c r="T299" s="7"/>
      <c r="U299" s="7"/>
      <c r="V299" s="7"/>
      <c r="W299" s="7"/>
      <c r="X299" s="7"/>
      <c r="Y299" s="7"/>
      <c r="Z299" s="7"/>
      <c r="AA299" s="7"/>
      <c r="AB299" s="7"/>
      <c r="AC299" s="7"/>
      <c r="AD299" s="7"/>
      <c r="AE299" s="7"/>
      <c r="AF299" s="7"/>
      <c r="AG299" s="7"/>
      <c r="AH299" s="7"/>
      <c r="AI299" s="7"/>
      <c r="AJ299" s="7"/>
      <c r="AK299" s="7"/>
      <c r="AL299" s="7"/>
      <c r="AM299" s="7"/>
      <c r="AN299" s="7"/>
      <c r="AS299" s="7"/>
      <c r="AT299" s="7"/>
      <c r="AU299" s="55"/>
      <c r="AV299" s="7"/>
      <c r="AW299" s="7"/>
      <c r="AX299" s="7"/>
      <c r="AY299" s="7"/>
      <c r="AZ299" s="7"/>
      <c r="BA299" s="7"/>
      <c r="BB299" s="7"/>
      <c r="BC299" s="7"/>
      <c r="BD299" s="60"/>
      <c r="BE299" s="44"/>
      <c r="BF299" s="11"/>
      <c r="BG299" s="19"/>
      <c r="BH299" s="7"/>
      <c r="BI299" s="7"/>
      <c r="BJ299" s="7"/>
      <c r="BK299" s="7"/>
      <c r="BL299" s="7"/>
      <c r="BM299" s="7"/>
      <c r="BN299" s="7"/>
      <c r="BO299" s="7"/>
      <c r="BP299" s="7"/>
      <c r="BQ299" s="7"/>
      <c r="BR299" s="7"/>
      <c r="BS299" s="7"/>
      <c r="BT299" s="7"/>
      <c r="BU299" s="7"/>
      <c r="BV299" s="7"/>
      <c r="BW299" s="7"/>
      <c r="BX299" s="7"/>
      <c r="BY299" s="7"/>
      <c r="BZ299" s="41"/>
      <c r="CA299" s="7"/>
      <c r="CB299" s="7"/>
      <c r="CC299" s="7"/>
      <c r="CD299" s="7"/>
      <c r="CE299" s="7"/>
      <c r="CF299" s="7"/>
    </row>
    <row r="300">
      <c r="T300" s="7"/>
      <c r="U300" s="7"/>
      <c r="V300" s="7"/>
      <c r="W300" s="7"/>
      <c r="X300" s="7"/>
      <c r="Y300" s="7"/>
      <c r="Z300" s="7"/>
      <c r="AA300" s="7"/>
      <c r="AB300" s="7"/>
      <c r="AC300" s="7"/>
      <c r="AD300" s="7"/>
      <c r="AE300" s="7"/>
      <c r="AF300" s="7"/>
      <c r="AG300" s="7"/>
      <c r="AH300" s="7"/>
      <c r="AI300" s="7"/>
      <c r="AJ300" s="7"/>
      <c r="AK300" s="7"/>
      <c r="AL300" s="7"/>
      <c r="AM300" s="7"/>
      <c r="AN300" s="7"/>
      <c r="AS300" s="7"/>
      <c r="AT300" s="7"/>
      <c r="AU300" s="55"/>
      <c r="AV300" s="7"/>
      <c r="AW300" s="7"/>
      <c r="AX300" s="7"/>
      <c r="AY300" s="7"/>
      <c r="AZ300" s="7"/>
      <c r="BA300" s="7"/>
      <c r="BB300" s="7"/>
      <c r="BC300" s="7"/>
      <c r="BD300" s="60"/>
      <c r="BE300" s="44"/>
      <c r="BF300" s="11"/>
      <c r="BG300" s="19"/>
      <c r="BH300" s="7"/>
      <c r="BI300" s="7"/>
      <c r="BJ300" s="7"/>
      <c r="BK300" s="7"/>
      <c r="BL300" s="7"/>
      <c r="BM300" s="7"/>
      <c r="BN300" s="7"/>
      <c r="BO300" s="7"/>
      <c r="BP300" s="7"/>
      <c r="BQ300" s="7"/>
      <c r="BR300" s="7"/>
      <c r="BS300" s="7"/>
      <c r="BT300" s="7"/>
      <c r="BU300" s="7"/>
      <c r="BV300" s="7"/>
      <c r="BW300" s="7"/>
      <c r="BX300" s="7"/>
      <c r="BY300" s="7"/>
      <c r="BZ300" s="41"/>
      <c r="CA300" s="7"/>
      <c r="CB300" s="7"/>
      <c r="CC300" s="7"/>
      <c r="CD300" s="7"/>
      <c r="CE300" s="7"/>
      <c r="CF300" s="7"/>
    </row>
    <row r="301">
      <c r="T301" s="7"/>
      <c r="U301" s="7"/>
      <c r="V301" s="7"/>
      <c r="W301" s="7"/>
      <c r="X301" s="7"/>
      <c r="Y301" s="7"/>
      <c r="Z301" s="7"/>
      <c r="AA301" s="7"/>
      <c r="AB301" s="7"/>
      <c r="AC301" s="7"/>
      <c r="AD301" s="7"/>
      <c r="AE301" s="7"/>
      <c r="AF301" s="7"/>
      <c r="AG301" s="7"/>
      <c r="AH301" s="7"/>
      <c r="AI301" s="7"/>
      <c r="AJ301" s="7"/>
      <c r="AK301" s="7"/>
      <c r="AL301" s="7"/>
      <c r="AM301" s="7"/>
      <c r="AN301" s="7"/>
      <c r="AS301" s="7"/>
      <c r="AT301" s="7"/>
      <c r="AU301" s="55"/>
      <c r="AV301" s="7"/>
      <c r="AW301" s="7"/>
      <c r="AX301" s="7"/>
      <c r="AY301" s="7"/>
      <c r="AZ301" s="7"/>
      <c r="BA301" s="7"/>
      <c r="BB301" s="7"/>
      <c r="BC301" s="7"/>
      <c r="BD301" s="60"/>
      <c r="BE301" s="44"/>
      <c r="BF301" s="11"/>
      <c r="BG301" s="19"/>
      <c r="BH301" s="7"/>
      <c r="BI301" s="7"/>
      <c r="BJ301" s="7"/>
      <c r="BK301" s="7"/>
      <c r="BL301" s="7"/>
      <c r="BM301" s="7"/>
      <c r="BN301" s="7"/>
      <c r="BO301" s="7"/>
      <c r="BP301" s="7"/>
      <c r="BQ301" s="7"/>
      <c r="BR301" s="7"/>
      <c r="BS301" s="7"/>
      <c r="BT301" s="7"/>
      <c r="BU301" s="7"/>
      <c r="BV301" s="7"/>
      <c r="BW301" s="7"/>
      <c r="BX301" s="7"/>
      <c r="BY301" s="7"/>
      <c r="BZ301" s="41"/>
      <c r="CA301" s="7"/>
      <c r="CB301" s="7"/>
      <c r="CC301" s="7"/>
      <c r="CD301" s="7"/>
      <c r="CE301" s="7"/>
      <c r="CF301" s="7"/>
    </row>
    <row r="302">
      <c r="T302" s="7"/>
      <c r="U302" s="7"/>
      <c r="V302" s="7"/>
      <c r="W302" s="7"/>
      <c r="X302" s="7"/>
      <c r="Y302" s="7"/>
      <c r="Z302" s="7"/>
      <c r="AA302" s="7"/>
      <c r="AB302" s="7"/>
      <c r="AC302" s="7"/>
      <c r="AD302" s="7"/>
      <c r="AE302" s="7"/>
      <c r="AF302" s="7"/>
      <c r="AG302" s="7"/>
      <c r="AH302" s="7"/>
      <c r="AI302" s="7"/>
      <c r="AJ302" s="7"/>
      <c r="AK302" s="7"/>
      <c r="AL302" s="7"/>
      <c r="AM302" s="7"/>
      <c r="AN302" s="7"/>
      <c r="AS302" s="7"/>
      <c r="AT302" s="7"/>
      <c r="AU302" s="55"/>
      <c r="AV302" s="7"/>
      <c r="AW302" s="7"/>
      <c r="AX302" s="7"/>
      <c r="AY302" s="7"/>
      <c r="AZ302" s="7"/>
      <c r="BA302" s="7"/>
      <c r="BB302" s="7"/>
      <c r="BC302" s="7"/>
      <c r="BD302" s="60"/>
      <c r="BE302" s="44"/>
      <c r="BF302" s="11"/>
      <c r="BG302" s="19"/>
      <c r="BH302" s="7"/>
      <c r="BI302" s="7"/>
      <c r="BJ302" s="7"/>
      <c r="BK302" s="7"/>
      <c r="BL302" s="7"/>
      <c r="BM302" s="7"/>
      <c r="BN302" s="7"/>
      <c r="BO302" s="7"/>
      <c r="BP302" s="7"/>
      <c r="BQ302" s="7"/>
      <c r="BR302" s="7"/>
      <c r="BS302" s="7"/>
      <c r="BT302" s="7"/>
      <c r="BU302" s="7"/>
      <c r="BV302" s="7"/>
      <c r="BW302" s="7"/>
      <c r="BX302" s="7"/>
      <c r="BY302" s="7"/>
      <c r="BZ302" s="41"/>
      <c r="CA302" s="7"/>
      <c r="CB302" s="7"/>
      <c r="CC302" s="7"/>
      <c r="CD302" s="7"/>
      <c r="CE302" s="7"/>
      <c r="CF302" s="7"/>
    </row>
    <row r="303">
      <c r="T303" s="7"/>
      <c r="U303" s="7"/>
      <c r="V303" s="7"/>
      <c r="W303" s="7"/>
      <c r="X303" s="7"/>
      <c r="Y303" s="7"/>
      <c r="Z303" s="7"/>
      <c r="AA303" s="7"/>
      <c r="AB303" s="7"/>
      <c r="AC303" s="7"/>
      <c r="AD303" s="7"/>
      <c r="AE303" s="7"/>
      <c r="AF303" s="7"/>
      <c r="AG303" s="7"/>
      <c r="AH303" s="7"/>
      <c r="AI303" s="7"/>
      <c r="AJ303" s="7"/>
      <c r="AK303" s="7"/>
      <c r="AL303" s="7"/>
      <c r="AM303" s="7"/>
      <c r="AN303" s="7"/>
      <c r="AS303" s="7"/>
      <c r="AT303" s="7"/>
      <c r="AU303" s="55"/>
      <c r="AV303" s="7"/>
      <c r="AW303" s="7"/>
      <c r="AX303" s="7"/>
      <c r="AY303" s="7"/>
      <c r="AZ303" s="7"/>
      <c r="BA303" s="7"/>
      <c r="BB303" s="7"/>
      <c r="BC303" s="7"/>
      <c r="BD303" s="60"/>
      <c r="BE303" s="44"/>
      <c r="BF303" s="11"/>
      <c r="BG303" s="19"/>
      <c r="BH303" s="7"/>
      <c r="BI303" s="7"/>
      <c r="BJ303" s="7"/>
      <c r="BK303" s="7"/>
      <c r="BL303" s="7"/>
      <c r="BM303" s="7"/>
      <c r="BN303" s="7"/>
      <c r="BO303" s="7"/>
      <c r="BP303" s="7"/>
      <c r="BQ303" s="7"/>
      <c r="BR303" s="7"/>
      <c r="BS303" s="7"/>
      <c r="BT303" s="7"/>
      <c r="BU303" s="7"/>
      <c r="BV303" s="7"/>
      <c r="BW303" s="7"/>
      <c r="BX303" s="7"/>
      <c r="BY303" s="7"/>
      <c r="BZ303" s="41"/>
      <c r="CA303" s="7"/>
      <c r="CB303" s="7"/>
      <c r="CC303" s="7"/>
      <c r="CD303" s="7"/>
      <c r="CE303" s="7"/>
      <c r="CF303" s="7"/>
    </row>
    <row r="304">
      <c r="T304" s="7"/>
      <c r="U304" s="7"/>
      <c r="V304" s="7"/>
      <c r="W304" s="7"/>
      <c r="X304" s="7"/>
      <c r="Y304" s="7"/>
      <c r="Z304" s="7"/>
      <c r="AA304" s="7"/>
      <c r="AB304" s="7"/>
      <c r="AC304" s="7"/>
      <c r="AD304" s="7"/>
      <c r="AE304" s="7"/>
      <c r="AF304" s="7"/>
      <c r="AG304" s="7"/>
      <c r="AH304" s="7"/>
      <c r="AI304" s="7"/>
      <c r="AJ304" s="7"/>
      <c r="AK304" s="7"/>
      <c r="AL304" s="7"/>
      <c r="AM304" s="7"/>
      <c r="AN304" s="7"/>
      <c r="AS304" s="7"/>
      <c r="AT304" s="7"/>
      <c r="AU304" s="55"/>
      <c r="AV304" s="7"/>
      <c r="AW304" s="7"/>
      <c r="AX304" s="7"/>
      <c r="AY304" s="7"/>
      <c r="AZ304" s="7"/>
      <c r="BA304" s="7"/>
      <c r="BB304" s="7"/>
      <c r="BC304" s="7"/>
      <c r="BD304" s="60"/>
      <c r="BE304" s="44"/>
      <c r="BF304" s="11"/>
      <c r="BG304" s="19"/>
      <c r="BH304" s="7"/>
      <c r="BI304" s="7"/>
      <c r="BJ304" s="7"/>
      <c r="BK304" s="7"/>
      <c r="BL304" s="7"/>
      <c r="BM304" s="7"/>
      <c r="BN304" s="7"/>
      <c r="BO304" s="7"/>
      <c r="BP304" s="7"/>
      <c r="BQ304" s="7"/>
      <c r="BR304" s="7"/>
      <c r="BS304" s="7"/>
      <c r="BT304" s="7"/>
      <c r="BU304" s="7"/>
      <c r="BV304" s="7"/>
      <c r="BW304" s="7"/>
      <c r="BX304" s="7"/>
      <c r="BY304" s="7"/>
      <c r="BZ304" s="41"/>
      <c r="CA304" s="7"/>
      <c r="CB304" s="7"/>
      <c r="CC304" s="7"/>
      <c r="CD304" s="7"/>
      <c r="CE304" s="7"/>
      <c r="CF304" s="7"/>
    </row>
    <row r="305">
      <c r="T305" s="7"/>
      <c r="U305" s="7"/>
      <c r="V305" s="7"/>
      <c r="W305" s="7"/>
      <c r="X305" s="7"/>
      <c r="Y305" s="7"/>
      <c r="Z305" s="7"/>
      <c r="AA305" s="7"/>
      <c r="AB305" s="7"/>
      <c r="AC305" s="7"/>
      <c r="AD305" s="7"/>
      <c r="AE305" s="7"/>
      <c r="AF305" s="7"/>
      <c r="AG305" s="7"/>
      <c r="AH305" s="7"/>
      <c r="AI305" s="7"/>
      <c r="AJ305" s="7"/>
      <c r="AK305" s="7"/>
      <c r="AL305" s="7"/>
      <c r="AM305" s="7"/>
      <c r="AN305" s="7"/>
      <c r="AS305" s="7"/>
      <c r="AT305" s="7"/>
      <c r="AU305" s="55"/>
      <c r="AV305" s="7"/>
      <c r="AW305" s="7"/>
      <c r="AX305" s="7"/>
      <c r="AY305" s="7"/>
      <c r="AZ305" s="7"/>
      <c r="BA305" s="7"/>
      <c r="BB305" s="7"/>
      <c r="BC305" s="7"/>
      <c r="BD305" s="60"/>
      <c r="BE305" s="44"/>
      <c r="BF305" s="11"/>
      <c r="BG305" s="19"/>
      <c r="BH305" s="7"/>
      <c r="BI305" s="7"/>
      <c r="BJ305" s="7"/>
      <c r="BK305" s="7"/>
      <c r="BL305" s="7"/>
      <c r="BM305" s="7"/>
      <c r="BN305" s="7"/>
      <c r="BO305" s="7"/>
      <c r="BP305" s="7"/>
      <c r="BQ305" s="7"/>
      <c r="BR305" s="7"/>
      <c r="BS305" s="7"/>
      <c r="BT305" s="7"/>
      <c r="BU305" s="7"/>
      <c r="BV305" s="7"/>
      <c r="BW305" s="7"/>
      <c r="BX305" s="7"/>
      <c r="BY305" s="7"/>
      <c r="BZ305" s="41"/>
      <c r="CA305" s="7"/>
      <c r="CB305" s="7"/>
      <c r="CC305" s="7"/>
      <c r="CD305" s="7"/>
      <c r="CE305" s="7"/>
      <c r="CF305" s="7"/>
    </row>
    <row r="306">
      <c r="T306" s="7"/>
      <c r="U306" s="7"/>
      <c r="V306" s="7"/>
      <c r="W306" s="7"/>
      <c r="X306" s="7"/>
      <c r="Y306" s="7"/>
      <c r="Z306" s="7"/>
      <c r="AA306" s="7"/>
      <c r="AB306" s="7"/>
      <c r="AC306" s="7"/>
      <c r="AD306" s="7"/>
      <c r="AE306" s="7"/>
      <c r="AF306" s="7"/>
      <c r="AG306" s="7"/>
      <c r="AH306" s="7"/>
      <c r="AI306" s="7"/>
      <c r="AJ306" s="7"/>
      <c r="AK306" s="7"/>
      <c r="AL306" s="7"/>
      <c r="AM306" s="7"/>
      <c r="AN306" s="7"/>
      <c r="AS306" s="7"/>
      <c r="AT306" s="7"/>
      <c r="AU306" s="55"/>
      <c r="AV306" s="7"/>
      <c r="AW306" s="7"/>
      <c r="AX306" s="7"/>
      <c r="AY306" s="7"/>
      <c r="AZ306" s="7"/>
      <c r="BA306" s="7"/>
      <c r="BB306" s="7"/>
      <c r="BC306" s="7"/>
      <c r="BD306" s="60"/>
      <c r="BE306" s="44"/>
      <c r="BF306" s="11"/>
      <c r="BG306" s="19"/>
      <c r="BH306" s="7"/>
      <c r="BI306" s="7"/>
      <c r="BJ306" s="7"/>
      <c r="BK306" s="7"/>
      <c r="BL306" s="7"/>
      <c r="BM306" s="7"/>
      <c r="BN306" s="7"/>
      <c r="BO306" s="7"/>
      <c r="BP306" s="7"/>
      <c r="BQ306" s="7"/>
      <c r="BR306" s="7"/>
      <c r="BS306" s="7"/>
      <c r="BT306" s="7"/>
      <c r="BU306" s="7"/>
      <c r="BV306" s="7"/>
      <c r="BW306" s="7"/>
      <c r="BX306" s="7"/>
      <c r="BY306" s="7"/>
      <c r="BZ306" s="41"/>
      <c r="CA306" s="7"/>
      <c r="CB306" s="7"/>
      <c r="CC306" s="7"/>
      <c r="CD306" s="7"/>
      <c r="CE306" s="7"/>
      <c r="CF306" s="7"/>
    </row>
    <row r="307">
      <c r="T307" s="7"/>
      <c r="U307" s="7"/>
      <c r="V307" s="7"/>
      <c r="W307" s="7"/>
      <c r="X307" s="7"/>
      <c r="Y307" s="7"/>
      <c r="Z307" s="7"/>
      <c r="AA307" s="7"/>
      <c r="AB307" s="7"/>
      <c r="AC307" s="7"/>
      <c r="AD307" s="7"/>
      <c r="AE307" s="7"/>
      <c r="AF307" s="7"/>
      <c r="AG307" s="7"/>
      <c r="AH307" s="7"/>
      <c r="AI307" s="7"/>
      <c r="AJ307" s="7"/>
      <c r="AK307" s="7"/>
      <c r="AL307" s="7"/>
      <c r="AM307" s="7"/>
      <c r="AN307" s="7"/>
      <c r="AS307" s="7"/>
      <c r="AT307" s="7"/>
      <c r="AU307" s="55"/>
      <c r="AV307" s="7"/>
      <c r="AW307" s="7"/>
      <c r="AX307" s="7"/>
      <c r="AY307" s="7"/>
      <c r="AZ307" s="7"/>
      <c r="BA307" s="7"/>
      <c r="BB307" s="7"/>
      <c r="BC307" s="7"/>
      <c r="BD307" s="60"/>
      <c r="BE307" s="44"/>
      <c r="BF307" s="11"/>
      <c r="BG307" s="19"/>
      <c r="BH307" s="7"/>
      <c r="BI307" s="7"/>
      <c r="BJ307" s="7"/>
      <c r="BK307" s="7"/>
      <c r="BL307" s="7"/>
      <c r="BM307" s="7"/>
      <c r="BN307" s="7"/>
      <c r="BO307" s="7"/>
      <c r="BP307" s="7"/>
      <c r="BQ307" s="7"/>
      <c r="BR307" s="7"/>
      <c r="BS307" s="7"/>
      <c r="BT307" s="7"/>
      <c r="BU307" s="7"/>
      <c r="BV307" s="7"/>
      <c r="BW307" s="7"/>
      <c r="BX307" s="7"/>
      <c r="BY307" s="7"/>
      <c r="BZ307" s="41"/>
      <c r="CA307" s="7"/>
      <c r="CB307" s="7"/>
      <c r="CC307" s="7"/>
      <c r="CD307" s="7"/>
      <c r="CE307" s="7"/>
      <c r="CF307" s="7"/>
    </row>
    <row r="308">
      <c r="T308" s="7"/>
      <c r="U308" s="7"/>
      <c r="V308" s="7"/>
      <c r="W308" s="7"/>
      <c r="X308" s="7"/>
      <c r="Y308" s="7"/>
      <c r="Z308" s="7"/>
      <c r="AA308" s="7"/>
      <c r="AB308" s="7"/>
      <c r="AC308" s="7"/>
      <c r="AD308" s="7"/>
      <c r="AE308" s="7"/>
      <c r="AF308" s="7"/>
      <c r="AG308" s="7"/>
      <c r="AH308" s="7"/>
      <c r="AI308" s="7"/>
      <c r="AJ308" s="7"/>
      <c r="AK308" s="7"/>
      <c r="AL308" s="7"/>
      <c r="AM308" s="7"/>
      <c r="AN308" s="7"/>
      <c r="AS308" s="7"/>
      <c r="AT308" s="7"/>
      <c r="AU308" s="55"/>
      <c r="AV308" s="7"/>
      <c r="AW308" s="7"/>
      <c r="AX308" s="7"/>
      <c r="AY308" s="7"/>
      <c r="AZ308" s="7"/>
      <c r="BA308" s="7"/>
      <c r="BB308" s="7"/>
      <c r="BC308" s="7"/>
      <c r="BD308" s="60"/>
      <c r="BE308" s="44"/>
      <c r="BF308" s="11"/>
      <c r="BG308" s="19"/>
      <c r="BH308" s="7"/>
      <c r="BI308" s="7"/>
      <c r="BJ308" s="7"/>
      <c r="BK308" s="7"/>
      <c r="BL308" s="7"/>
      <c r="BM308" s="7"/>
      <c r="BN308" s="7"/>
      <c r="BO308" s="7"/>
      <c r="BP308" s="7"/>
      <c r="BQ308" s="7"/>
      <c r="BR308" s="7"/>
      <c r="BS308" s="7"/>
      <c r="BT308" s="7"/>
      <c r="BU308" s="7"/>
      <c r="BV308" s="7"/>
      <c r="BW308" s="7"/>
      <c r="BX308" s="7"/>
      <c r="BY308" s="7"/>
      <c r="BZ308" s="41"/>
      <c r="CA308" s="7"/>
      <c r="CB308" s="7"/>
      <c r="CC308" s="7"/>
      <c r="CD308" s="7"/>
      <c r="CE308" s="7"/>
      <c r="CF308" s="7"/>
    </row>
    <row r="309">
      <c r="T309" s="7"/>
      <c r="U309" s="7"/>
      <c r="V309" s="7"/>
      <c r="W309" s="7"/>
      <c r="X309" s="7"/>
      <c r="Y309" s="7"/>
      <c r="Z309" s="7"/>
      <c r="AA309" s="7"/>
      <c r="AB309" s="7"/>
      <c r="AC309" s="7"/>
      <c r="AD309" s="7"/>
      <c r="AE309" s="7"/>
      <c r="AF309" s="7"/>
      <c r="AG309" s="7"/>
      <c r="AH309" s="7"/>
      <c r="AI309" s="7"/>
      <c r="AJ309" s="7"/>
      <c r="AK309" s="7"/>
      <c r="AL309" s="7"/>
      <c r="AM309" s="7"/>
      <c r="AN309" s="7"/>
      <c r="AS309" s="7"/>
      <c r="AT309" s="7"/>
      <c r="AU309" s="55"/>
      <c r="AV309" s="7"/>
      <c r="AW309" s="7"/>
      <c r="AX309" s="7"/>
      <c r="AY309" s="7"/>
      <c r="AZ309" s="7"/>
      <c r="BA309" s="7"/>
      <c r="BB309" s="7"/>
      <c r="BC309" s="7"/>
      <c r="BD309" s="60"/>
      <c r="BE309" s="44"/>
      <c r="BF309" s="11"/>
      <c r="BG309" s="19"/>
      <c r="BH309" s="7"/>
      <c r="BI309" s="7"/>
      <c r="BJ309" s="7"/>
      <c r="BK309" s="7"/>
      <c r="BL309" s="7"/>
      <c r="BM309" s="7"/>
      <c r="BN309" s="7"/>
      <c r="BO309" s="7"/>
      <c r="BP309" s="7"/>
      <c r="BQ309" s="7"/>
      <c r="BR309" s="7"/>
      <c r="BS309" s="7"/>
      <c r="BT309" s="7"/>
      <c r="BU309" s="7"/>
      <c r="BV309" s="7"/>
      <c r="BW309" s="7"/>
      <c r="BX309" s="7"/>
      <c r="BY309" s="7"/>
      <c r="BZ309" s="41"/>
      <c r="CA309" s="7"/>
      <c r="CB309" s="7"/>
      <c r="CC309" s="7"/>
      <c r="CD309" s="7"/>
      <c r="CE309" s="7"/>
      <c r="CF309" s="7"/>
    </row>
    <row r="310">
      <c r="T310" s="7"/>
      <c r="U310" s="7"/>
      <c r="V310" s="7"/>
      <c r="W310" s="7"/>
      <c r="X310" s="7"/>
      <c r="Y310" s="7"/>
      <c r="Z310" s="7"/>
      <c r="AA310" s="7"/>
      <c r="AB310" s="7"/>
      <c r="AC310" s="7"/>
      <c r="AD310" s="7"/>
      <c r="AE310" s="7"/>
      <c r="AF310" s="7"/>
      <c r="AG310" s="7"/>
      <c r="AH310" s="7"/>
      <c r="AI310" s="7"/>
      <c r="AJ310" s="7"/>
      <c r="AK310" s="7"/>
      <c r="AL310" s="7"/>
      <c r="AM310" s="7"/>
      <c r="AN310" s="7"/>
      <c r="AS310" s="7"/>
      <c r="AT310" s="7"/>
      <c r="AU310" s="55"/>
      <c r="AV310" s="7"/>
      <c r="AW310" s="7"/>
      <c r="AX310" s="7"/>
      <c r="AY310" s="7"/>
      <c r="AZ310" s="7"/>
      <c r="BA310" s="7"/>
      <c r="BB310" s="7"/>
      <c r="BC310" s="7"/>
      <c r="BD310" s="60"/>
      <c r="BE310" s="44"/>
      <c r="BF310" s="11"/>
      <c r="BG310" s="19"/>
      <c r="BH310" s="7"/>
      <c r="BI310" s="7"/>
      <c r="BJ310" s="7"/>
      <c r="BK310" s="7"/>
      <c r="BL310" s="7"/>
      <c r="BM310" s="7"/>
      <c r="BN310" s="7"/>
      <c r="BO310" s="7"/>
      <c r="BP310" s="7"/>
      <c r="BQ310" s="7"/>
      <c r="BR310" s="7"/>
      <c r="BS310" s="7"/>
      <c r="BT310" s="7"/>
      <c r="BU310" s="7"/>
      <c r="BV310" s="7"/>
      <c r="BW310" s="7"/>
      <c r="BX310" s="7"/>
      <c r="BY310" s="7"/>
      <c r="BZ310" s="41"/>
      <c r="CA310" s="7"/>
      <c r="CB310" s="7"/>
      <c r="CC310" s="7"/>
      <c r="CD310" s="7"/>
      <c r="CE310" s="7"/>
      <c r="CF310" s="7"/>
    </row>
    <row r="311">
      <c r="T311" s="7"/>
      <c r="U311" s="7"/>
      <c r="V311" s="7"/>
      <c r="W311" s="7"/>
      <c r="X311" s="7"/>
      <c r="Y311" s="7"/>
      <c r="Z311" s="7"/>
      <c r="AA311" s="7"/>
      <c r="AB311" s="7"/>
      <c r="AC311" s="7"/>
      <c r="AD311" s="7"/>
      <c r="AE311" s="7"/>
      <c r="AF311" s="7"/>
      <c r="AG311" s="7"/>
      <c r="AH311" s="7"/>
      <c r="AI311" s="7"/>
      <c r="AJ311" s="7"/>
      <c r="AK311" s="7"/>
      <c r="AL311" s="7"/>
      <c r="AM311" s="7"/>
      <c r="AN311" s="7"/>
      <c r="AS311" s="7"/>
      <c r="AT311" s="7"/>
      <c r="AU311" s="55"/>
      <c r="AV311" s="7"/>
      <c r="AW311" s="7"/>
      <c r="AX311" s="7"/>
      <c r="AY311" s="7"/>
      <c r="AZ311" s="7"/>
      <c r="BA311" s="7"/>
      <c r="BB311" s="7"/>
      <c r="BC311" s="7"/>
      <c r="BD311" s="60"/>
      <c r="BE311" s="44"/>
      <c r="BF311" s="11"/>
      <c r="BG311" s="19"/>
      <c r="BH311" s="7"/>
      <c r="BI311" s="7"/>
      <c r="BJ311" s="7"/>
      <c r="BK311" s="7"/>
      <c r="BL311" s="7"/>
      <c r="BM311" s="7"/>
      <c r="BN311" s="7"/>
      <c r="BO311" s="7"/>
      <c r="BP311" s="7"/>
      <c r="BQ311" s="7"/>
      <c r="BR311" s="7"/>
      <c r="BS311" s="7"/>
      <c r="BT311" s="7"/>
      <c r="BU311" s="7"/>
      <c r="BV311" s="7"/>
      <c r="BW311" s="7"/>
      <c r="BX311" s="7"/>
      <c r="BY311" s="7"/>
      <c r="BZ311" s="41"/>
      <c r="CA311" s="7"/>
      <c r="CB311" s="7"/>
      <c r="CC311" s="7"/>
      <c r="CD311" s="7"/>
      <c r="CE311" s="7"/>
      <c r="CF311" s="7"/>
    </row>
    <row r="312">
      <c r="T312" s="7"/>
      <c r="U312" s="7"/>
      <c r="V312" s="7"/>
      <c r="W312" s="7"/>
      <c r="X312" s="7"/>
      <c r="Y312" s="7"/>
      <c r="Z312" s="7"/>
      <c r="AA312" s="7"/>
      <c r="AB312" s="7"/>
      <c r="AC312" s="7"/>
      <c r="AD312" s="7"/>
      <c r="AE312" s="7"/>
      <c r="AF312" s="7"/>
      <c r="AG312" s="7"/>
      <c r="AH312" s="7"/>
      <c r="AI312" s="7"/>
      <c r="AJ312" s="7"/>
      <c r="AK312" s="7"/>
      <c r="AL312" s="7"/>
      <c r="AM312" s="7"/>
      <c r="AN312" s="7"/>
      <c r="AS312" s="7"/>
      <c r="AT312" s="7"/>
      <c r="AU312" s="55"/>
      <c r="AV312" s="7"/>
      <c r="AW312" s="7"/>
      <c r="AX312" s="7"/>
      <c r="AY312" s="7"/>
      <c r="AZ312" s="7"/>
      <c r="BA312" s="7"/>
      <c r="BB312" s="7"/>
      <c r="BC312" s="7"/>
      <c r="BD312" s="60"/>
      <c r="BE312" s="44"/>
      <c r="BF312" s="11"/>
      <c r="BG312" s="19"/>
      <c r="BH312" s="7"/>
      <c r="BI312" s="7"/>
      <c r="BJ312" s="7"/>
      <c r="BK312" s="7"/>
      <c r="BL312" s="7"/>
      <c r="BM312" s="7"/>
      <c r="BN312" s="7"/>
      <c r="BO312" s="7"/>
      <c r="BP312" s="7"/>
      <c r="BQ312" s="7"/>
      <c r="BR312" s="7"/>
      <c r="BS312" s="7"/>
      <c r="BT312" s="7"/>
      <c r="BU312" s="7"/>
      <c r="BV312" s="7"/>
      <c r="BW312" s="7"/>
      <c r="BX312" s="7"/>
      <c r="BY312" s="7"/>
      <c r="BZ312" s="41"/>
      <c r="CA312" s="7"/>
      <c r="CB312" s="7"/>
      <c r="CC312" s="7"/>
      <c r="CD312" s="7"/>
      <c r="CE312" s="7"/>
      <c r="CF312" s="7"/>
    </row>
    <row r="313">
      <c r="T313" s="7"/>
      <c r="U313" s="7"/>
      <c r="V313" s="7"/>
      <c r="W313" s="7"/>
      <c r="X313" s="7"/>
      <c r="Y313" s="7"/>
      <c r="Z313" s="7"/>
      <c r="AA313" s="7"/>
      <c r="AB313" s="7"/>
      <c r="AC313" s="7"/>
      <c r="AD313" s="7"/>
      <c r="AE313" s="7"/>
      <c r="AF313" s="7"/>
      <c r="AG313" s="7"/>
      <c r="AH313" s="7"/>
      <c r="AI313" s="7"/>
      <c r="AJ313" s="7"/>
      <c r="AK313" s="7"/>
      <c r="AL313" s="7"/>
      <c r="AM313" s="7"/>
      <c r="AN313" s="7"/>
      <c r="AS313" s="7"/>
      <c r="AT313" s="7"/>
      <c r="AU313" s="55"/>
      <c r="AV313" s="7"/>
      <c r="AW313" s="7"/>
      <c r="AX313" s="7"/>
      <c r="AY313" s="7"/>
      <c r="AZ313" s="7"/>
      <c r="BA313" s="7"/>
      <c r="BB313" s="7"/>
      <c r="BC313" s="7"/>
      <c r="BD313" s="60"/>
      <c r="BE313" s="44"/>
      <c r="BF313" s="11"/>
      <c r="BG313" s="19"/>
      <c r="BH313" s="7"/>
      <c r="BI313" s="7"/>
      <c r="BJ313" s="7"/>
      <c r="BK313" s="7"/>
      <c r="BL313" s="7"/>
      <c r="BM313" s="7"/>
      <c r="BN313" s="7"/>
      <c r="BO313" s="7"/>
      <c r="BP313" s="7"/>
      <c r="BQ313" s="7"/>
      <c r="BR313" s="7"/>
      <c r="BS313" s="7"/>
      <c r="BT313" s="7"/>
      <c r="BU313" s="7"/>
      <c r="BV313" s="7"/>
      <c r="BW313" s="7"/>
      <c r="BX313" s="7"/>
      <c r="BY313" s="7"/>
      <c r="BZ313" s="41"/>
      <c r="CA313" s="7"/>
      <c r="CB313" s="7"/>
      <c r="CC313" s="7"/>
      <c r="CD313" s="7"/>
      <c r="CE313" s="7"/>
      <c r="CF313" s="7"/>
    </row>
    <row r="314">
      <c r="T314" s="7"/>
      <c r="U314" s="7"/>
      <c r="V314" s="7"/>
      <c r="W314" s="7"/>
      <c r="X314" s="7"/>
      <c r="Y314" s="7"/>
      <c r="Z314" s="7"/>
      <c r="AA314" s="7"/>
      <c r="AB314" s="7"/>
      <c r="AC314" s="7"/>
      <c r="AD314" s="7"/>
      <c r="AE314" s="7"/>
      <c r="AF314" s="7"/>
      <c r="AG314" s="7"/>
      <c r="AH314" s="7"/>
      <c r="AI314" s="7"/>
      <c r="AJ314" s="7"/>
      <c r="AK314" s="7"/>
      <c r="AL314" s="7"/>
      <c r="AM314" s="7"/>
      <c r="AN314" s="7"/>
      <c r="AS314" s="7"/>
      <c r="AT314" s="7"/>
      <c r="AU314" s="55"/>
      <c r="AV314" s="7"/>
      <c r="AW314" s="7"/>
      <c r="AX314" s="7"/>
      <c r="AY314" s="7"/>
      <c r="AZ314" s="7"/>
      <c r="BA314" s="7"/>
      <c r="BB314" s="7"/>
      <c r="BC314" s="7"/>
      <c r="BD314" s="60"/>
      <c r="BE314" s="44"/>
      <c r="BF314" s="11"/>
      <c r="BG314" s="19"/>
      <c r="BH314" s="7"/>
      <c r="BI314" s="7"/>
      <c r="BJ314" s="7"/>
      <c r="BK314" s="7"/>
      <c r="BL314" s="7"/>
      <c r="BM314" s="7"/>
      <c r="BN314" s="7"/>
      <c r="BO314" s="7"/>
      <c r="BP314" s="7"/>
      <c r="BQ314" s="7"/>
      <c r="BR314" s="7"/>
      <c r="BS314" s="7"/>
      <c r="BT314" s="7"/>
      <c r="BU314" s="7"/>
      <c r="BV314" s="7"/>
      <c r="BW314" s="7"/>
      <c r="BX314" s="7"/>
      <c r="BY314" s="7"/>
      <c r="BZ314" s="41"/>
      <c r="CA314" s="7"/>
      <c r="CB314" s="7"/>
      <c r="CC314" s="7"/>
      <c r="CD314" s="7"/>
      <c r="CE314" s="7"/>
      <c r="CF314" s="7"/>
    </row>
    <row r="315">
      <c r="T315" s="7"/>
      <c r="U315" s="7"/>
      <c r="V315" s="7"/>
      <c r="W315" s="7"/>
      <c r="X315" s="7"/>
      <c r="Y315" s="7"/>
      <c r="Z315" s="7"/>
      <c r="AA315" s="7"/>
      <c r="AB315" s="7"/>
      <c r="AC315" s="7"/>
      <c r="AD315" s="7"/>
      <c r="AE315" s="7"/>
      <c r="AF315" s="7"/>
      <c r="AG315" s="7"/>
      <c r="AH315" s="7"/>
      <c r="AI315" s="7"/>
      <c r="AJ315" s="7"/>
      <c r="AK315" s="7"/>
      <c r="AL315" s="7"/>
      <c r="AM315" s="7"/>
      <c r="AN315" s="7"/>
      <c r="AS315" s="7"/>
      <c r="AT315" s="7"/>
      <c r="AU315" s="55"/>
      <c r="AV315" s="7"/>
      <c r="AW315" s="7"/>
      <c r="AX315" s="7"/>
      <c r="AY315" s="7"/>
      <c r="AZ315" s="7"/>
      <c r="BA315" s="7"/>
      <c r="BB315" s="7"/>
      <c r="BC315" s="7"/>
      <c r="BD315" s="60"/>
      <c r="BE315" s="44"/>
      <c r="BF315" s="11"/>
      <c r="BG315" s="19"/>
      <c r="BH315" s="7"/>
      <c r="BI315" s="7"/>
      <c r="BJ315" s="7"/>
      <c r="BK315" s="7"/>
      <c r="BL315" s="7"/>
      <c r="BM315" s="7"/>
      <c r="BN315" s="7"/>
      <c r="BO315" s="7"/>
      <c r="BP315" s="7"/>
      <c r="BQ315" s="7"/>
      <c r="BR315" s="7"/>
      <c r="BS315" s="7"/>
      <c r="BT315" s="7"/>
      <c r="BU315" s="7"/>
      <c r="BV315" s="7"/>
      <c r="BW315" s="7"/>
      <c r="BX315" s="7"/>
      <c r="BY315" s="7"/>
      <c r="BZ315" s="41"/>
      <c r="CA315" s="7"/>
      <c r="CB315" s="7"/>
      <c r="CC315" s="7"/>
      <c r="CD315" s="7"/>
      <c r="CE315" s="7"/>
      <c r="CF315" s="7"/>
    </row>
    <row r="316">
      <c r="T316" s="7"/>
      <c r="U316" s="7"/>
      <c r="V316" s="7"/>
      <c r="W316" s="7"/>
      <c r="X316" s="7"/>
      <c r="Y316" s="7"/>
      <c r="Z316" s="7"/>
      <c r="AA316" s="7"/>
      <c r="AB316" s="7"/>
      <c r="AC316" s="7"/>
      <c r="AD316" s="7"/>
      <c r="AE316" s="7"/>
      <c r="AF316" s="7"/>
      <c r="AG316" s="7"/>
      <c r="AH316" s="7"/>
      <c r="AI316" s="7"/>
      <c r="AJ316" s="7"/>
      <c r="AK316" s="7"/>
      <c r="AL316" s="7"/>
      <c r="AM316" s="7"/>
      <c r="AN316" s="7"/>
      <c r="AS316" s="7"/>
      <c r="AT316" s="7"/>
      <c r="AU316" s="55"/>
      <c r="AV316" s="7"/>
      <c r="AW316" s="7"/>
      <c r="AX316" s="7"/>
      <c r="AY316" s="7"/>
      <c r="AZ316" s="7"/>
      <c r="BA316" s="7"/>
      <c r="BB316" s="7"/>
      <c r="BC316" s="7"/>
      <c r="BD316" s="60"/>
      <c r="BE316" s="44"/>
      <c r="BF316" s="11"/>
      <c r="BG316" s="19"/>
      <c r="BH316" s="7"/>
      <c r="BI316" s="7"/>
      <c r="BJ316" s="7"/>
      <c r="BK316" s="7"/>
      <c r="BL316" s="7"/>
      <c r="BM316" s="7"/>
      <c r="BN316" s="7"/>
      <c r="BO316" s="7"/>
      <c r="BP316" s="7"/>
      <c r="BQ316" s="7"/>
      <c r="BR316" s="7"/>
      <c r="BS316" s="7"/>
      <c r="BT316" s="7"/>
      <c r="BU316" s="7"/>
      <c r="BV316" s="7"/>
      <c r="BW316" s="7"/>
      <c r="BX316" s="7"/>
      <c r="BY316" s="7"/>
      <c r="BZ316" s="41"/>
      <c r="CA316" s="7"/>
      <c r="CB316" s="7"/>
      <c r="CC316" s="7"/>
      <c r="CD316" s="7"/>
      <c r="CE316" s="7"/>
      <c r="CF316" s="7"/>
    </row>
    <row r="317">
      <c r="T317" s="7"/>
      <c r="U317" s="7"/>
      <c r="V317" s="7"/>
      <c r="W317" s="7"/>
      <c r="X317" s="7"/>
      <c r="Y317" s="7"/>
      <c r="Z317" s="7"/>
      <c r="AA317" s="7"/>
      <c r="AB317" s="7"/>
      <c r="AC317" s="7"/>
      <c r="AD317" s="7"/>
      <c r="AE317" s="7"/>
      <c r="AF317" s="7"/>
      <c r="AG317" s="7"/>
      <c r="AH317" s="7"/>
      <c r="AI317" s="7"/>
      <c r="AJ317" s="7"/>
      <c r="AK317" s="7"/>
      <c r="AL317" s="7"/>
      <c r="AM317" s="7"/>
      <c r="AN317" s="7"/>
      <c r="AS317" s="7"/>
      <c r="AT317" s="7"/>
      <c r="AU317" s="55"/>
      <c r="AV317" s="7"/>
      <c r="AW317" s="7"/>
      <c r="AX317" s="7"/>
      <c r="AY317" s="7"/>
      <c r="AZ317" s="7"/>
      <c r="BA317" s="7"/>
      <c r="BB317" s="7"/>
      <c r="BC317" s="7"/>
      <c r="BD317" s="60"/>
      <c r="BE317" s="44"/>
      <c r="BF317" s="11"/>
      <c r="BG317" s="19"/>
      <c r="BH317" s="7"/>
      <c r="BI317" s="7"/>
      <c r="BJ317" s="7"/>
      <c r="BK317" s="7"/>
      <c r="BL317" s="7"/>
      <c r="BM317" s="7"/>
      <c r="BN317" s="7"/>
      <c r="BO317" s="7"/>
      <c r="BP317" s="7"/>
      <c r="BQ317" s="7"/>
      <c r="BR317" s="7"/>
      <c r="BS317" s="7"/>
      <c r="BT317" s="7"/>
      <c r="BU317" s="7"/>
      <c r="BV317" s="7"/>
      <c r="BW317" s="7"/>
      <c r="BX317" s="7"/>
      <c r="BY317" s="7"/>
      <c r="BZ317" s="41"/>
      <c r="CA317" s="7"/>
      <c r="CB317" s="7"/>
      <c r="CC317" s="7"/>
      <c r="CD317" s="7"/>
      <c r="CE317" s="7"/>
      <c r="CF317" s="7"/>
    </row>
    <row r="318">
      <c r="T318" s="7"/>
      <c r="U318" s="7"/>
      <c r="V318" s="7"/>
      <c r="W318" s="7"/>
      <c r="X318" s="7"/>
      <c r="Y318" s="7"/>
      <c r="Z318" s="7"/>
      <c r="AA318" s="7"/>
      <c r="AB318" s="7"/>
      <c r="AC318" s="7"/>
      <c r="AD318" s="7"/>
      <c r="AE318" s="7"/>
      <c r="AF318" s="7"/>
      <c r="AG318" s="7"/>
      <c r="AH318" s="7"/>
      <c r="AI318" s="7"/>
      <c r="AJ318" s="7"/>
      <c r="AK318" s="7"/>
      <c r="AL318" s="7"/>
      <c r="AM318" s="7"/>
      <c r="AN318" s="7"/>
      <c r="AS318" s="7"/>
      <c r="AT318" s="7"/>
      <c r="AU318" s="55"/>
      <c r="AV318" s="7"/>
      <c r="AW318" s="7"/>
      <c r="AX318" s="7"/>
      <c r="AY318" s="7"/>
      <c r="AZ318" s="7"/>
      <c r="BA318" s="7"/>
      <c r="BB318" s="7"/>
      <c r="BC318" s="7"/>
      <c r="BD318" s="60"/>
      <c r="BE318" s="44"/>
      <c r="BF318" s="11"/>
      <c r="BG318" s="19"/>
      <c r="BH318" s="7"/>
      <c r="BI318" s="7"/>
      <c r="BJ318" s="7"/>
      <c r="BK318" s="7"/>
      <c r="BL318" s="7"/>
      <c r="BM318" s="7"/>
      <c r="BN318" s="7"/>
      <c r="BO318" s="7"/>
      <c r="BP318" s="7"/>
      <c r="BQ318" s="7"/>
      <c r="BR318" s="7"/>
      <c r="BS318" s="7"/>
      <c r="BT318" s="7"/>
      <c r="BU318" s="7"/>
      <c r="BV318" s="7"/>
      <c r="BW318" s="7"/>
      <c r="BX318" s="7"/>
      <c r="BY318" s="7"/>
      <c r="BZ318" s="41"/>
      <c r="CA318" s="7"/>
      <c r="CB318" s="7"/>
      <c r="CC318" s="7"/>
      <c r="CD318" s="7"/>
      <c r="CE318" s="7"/>
      <c r="CF318" s="7"/>
    </row>
    <row r="319">
      <c r="T319" s="7"/>
      <c r="U319" s="7"/>
      <c r="V319" s="7"/>
      <c r="W319" s="7"/>
      <c r="X319" s="7"/>
      <c r="Y319" s="7"/>
      <c r="Z319" s="7"/>
      <c r="AA319" s="7"/>
      <c r="AB319" s="7"/>
      <c r="AC319" s="7"/>
      <c r="AD319" s="7"/>
      <c r="AE319" s="7"/>
      <c r="AF319" s="7"/>
      <c r="AG319" s="7"/>
      <c r="AH319" s="7"/>
      <c r="AI319" s="7"/>
      <c r="AJ319" s="7"/>
      <c r="AK319" s="7"/>
      <c r="AL319" s="7"/>
      <c r="AM319" s="7"/>
      <c r="AN319" s="7"/>
      <c r="AS319" s="7"/>
      <c r="AT319" s="7"/>
      <c r="AU319" s="55"/>
      <c r="AV319" s="7"/>
      <c r="AW319" s="7"/>
      <c r="AX319" s="7"/>
      <c r="AY319" s="7"/>
      <c r="AZ319" s="7"/>
      <c r="BA319" s="7"/>
      <c r="BB319" s="7"/>
      <c r="BC319" s="7"/>
      <c r="BD319" s="60"/>
      <c r="BE319" s="44"/>
      <c r="BF319" s="11"/>
      <c r="BG319" s="19"/>
      <c r="BH319" s="7"/>
      <c r="BI319" s="7"/>
      <c r="BJ319" s="7"/>
      <c r="BK319" s="7"/>
      <c r="BL319" s="7"/>
      <c r="BM319" s="7"/>
      <c r="BN319" s="7"/>
      <c r="BO319" s="7"/>
      <c r="BP319" s="7"/>
      <c r="BQ319" s="7"/>
      <c r="BR319" s="7"/>
      <c r="BS319" s="7"/>
      <c r="BT319" s="7"/>
      <c r="BU319" s="7"/>
      <c r="BV319" s="7"/>
      <c r="BW319" s="7"/>
      <c r="BX319" s="7"/>
      <c r="BY319" s="7"/>
      <c r="BZ319" s="41"/>
      <c r="CA319" s="7"/>
      <c r="CB319" s="7"/>
      <c r="CC319" s="7"/>
      <c r="CD319" s="7"/>
      <c r="CE319" s="7"/>
      <c r="CF319" s="7"/>
    </row>
    <row r="320">
      <c r="T320" s="7"/>
      <c r="U320" s="7"/>
      <c r="V320" s="7"/>
      <c r="W320" s="7"/>
      <c r="X320" s="7"/>
      <c r="Y320" s="7"/>
      <c r="Z320" s="7"/>
      <c r="AA320" s="7"/>
      <c r="AB320" s="7"/>
      <c r="AC320" s="7"/>
      <c r="AD320" s="7"/>
      <c r="AE320" s="7"/>
      <c r="AF320" s="7"/>
      <c r="AG320" s="7"/>
      <c r="AH320" s="7"/>
      <c r="AI320" s="7"/>
      <c r="AJ320" s="7"/>
      <c r="AK320" s="7"/>
      <c r="AL320" s="7"/>
      <c r="AM320" s="7"/>
      <c r="AN320" s="7"/>
      <c r="AS320" s="7"/>
      <c r="AT320" s="7"/>
      <c r="AU320" s="55"/>
      <c r="AV320" s="7"/>
      <c r="AW320" s="7"/>
      <c r="AX320" s="7"/>
      <c r="AY320" s="7"/>
      <c r="AZ320" s="7"/>
      <c r="BA320" s="7"/>
      <c r="BB320" s="7"/>
      <c r="BC320" s="7"/>
      <c r="BD320" s="60"/>
      <c r="BE320" s="44"/>
      <c r="BF320" s="11"/>
      <c r="BG320" s="19"/>
      <c r="BH320" s="7"/>
      <c r="BI320" s="7"/>
      <c r="BJ320" s="7"/>
      <c r="BK320" s="7"/>
      <c r="BL320" s="7"/>
      <c r="BM320" s="7"/>
      <c r="BN320" s="7"/>
      <c r="BO320" s="7"/>
      <c r="BP320" s="7"/>
      <c r="BQ320" s="7"/>
      <c r="BR320" s="7"/>
      <c r="BS320" s="7"/>
      <c r="BT320" s="7"/>
      <c r="BU320" s="7"/>
      <c r="BV320" s="7"/>
      <c r="BW320" s="7"/>
      <c r="BX320" s="7"/>
      <c r="BY320" s="7"/>
      <c r="BZ320" s="41"/>
      <c r="CA320" s="7"/>
      <c r="CB320" s="7"/>
      <c r="CC320" s="7"/>
      <c r="CD320" s="7"/>
      <c r="CE320" s="7"/>
      <c r="CF320" s="7"/>
    </row>
    <row r="321">
      <c r="T321" s="7"/>
      <c r="U321" s="7"/>
      <c r="V321" s="7"/>
      <c r="W321" s="7"/>
      <c r="X321" s="7"/>
      <c r="Y321" s="7"/>
      <c r="Z321" s="7"/>
      <c r="AA321" s="7"/>
      <c r="AB321" s="7"/>
      <c r="AC321" s="7"/>
      <c r="AD321" s="7"/>
      <c r="AE321" s="7"/>
      <c r="AF321" s="7"/>
      <c r="AG321" s="7"/>
      <c r="AH321" s="7"/>
      <c r="AI321" s="7"/>
      <c r="AJ321" s="7"/>
      <c r="AK321" s="7"/>
      <c r="AL321" s="7"/>
      <c r="AM321" s="7"/>
      <c r="AN321" s="7"/>
      <c r="AS321" s="7"/>
      <c r="AT321" s="7"/>
      <c r="AU321" s="55"/>
      <c r="AV321" s="7"/>
      <c r="AW321" s="7"/>
      <c r="AX321" s="7"/>
      <c r="AY321" s="7"/>
      <c r="AZ321" s="7"/>
      <c r="BA321" s="7"/>
      <c r="BB321" s="7"/>
      <c r="BC321" s="7"/>
      <c r="BD321" s="60"/>
      <c r="BE321" s="44"/>
      <c r="BF321" s="11"/>
      <c r="BG321" s="19"/>
      <c r="BH321" s="7"/>
      <c r="BI321" s="7"/>
      <c r="BJ321" s="7"/>
      <c r="BK321" s="7"/>
      <c r="BL321" s="7"/>
      <c r="BM321" s="7"/>
      <c r="BN321" s="7"/>
      <c r="BO321" s="7"/>
      <c r="BP321" s="7"/>
      <c r="BQ321" s="7"/>
      <c r="BR321" s="7"/>
      <c r="BS321" s="7"/>
      <c r="BT321" s="7"/>
      <c r="BU321" s="7"/>
      <c r="BV321" s="7"/>
      <c r="BW321" s="7"/>
      <c r="BX321" s="7"/>
      <c r="BY321" s="7"/>
      <c r="BZ321" s="41"/>
      <c r="CA321" s="7"/>
      <c r="CB321" s="7"/>
      <c r="CC321" s="7"/>
      <c r="CD321" s="7"/>
      <c r="CE321" s="7"/>
      <c r="CF321" s="7"/>
    </row>
    <row r="322">
      <c r="T322" s="7"/>
      <c r="U322" s="7"/>
      <c r="V322" s="7"/>
      <c r="W322" s="7"/>
      <c r="X322" s="7"/>
      <c r="Y322" s="7"/>
      <c r="Z322" s="7"/>
      <c r="AA322" s="7"/>
      <c r="AB322" s="7"/>
      <c r="AC322" s="7"/>
      <c r="AD322" s="7"/>
      <c r="AE322" s="7"/>
      <c r="AF322" s="7"/>
      <c r="AG322" s="7"/>
      <c r="AH322" s="7"/>
      <c r="AI322" s="7"/>
      <c r="AJ322" s="7"/>
      <c r="AK322" s="7"/>
      <c r="AL322" s="7"/>
      <c r="AM322" s="7"/>
      <c r="AN322" s="7"/>
      <c r="AS322" s="7"/>
      <c r="AT322" s="7"/>
      <c r="AU322" s="55"/>
      <c r="AV322" s="7"/>
      <c r="AW322" s="7"/>
      <c r="AX322" s="7"/>
      <c r="AY322" s="7"/>
      <c r="AZ322" s="7"/>
      <c r="BA322" s="7"/>
      <c r="BB322" s="7"/>
      <c r="BC322" s="7"/>
      <c r="BD322" s="60"/>
      <c r="BE322" s="44"/>
      <c r="BF322" s="11"/>
      <c r="BG322" s="19"/>
      <c r="BH322" s="7"/>
      <c r="BI322" s="7"/>
      <c r="BJ322" s="7"/>
      <c r="BK322" s="7"/>
      <c r="BL322" s="7"/>
      <c r="BM322" s="7"/>
      <c r="BN322" s="7"/>
      <c r="BO322" s="7"/>
      <c r="BP322" s="7"/>
      <c r="BQ322" s="7"/>
      <c r="BR322" s="7"/>
      <c r="BS322" s="7"/>
      <c r="BT322" s="7"/>
      <c r="BU322" s="7"/>
      <c r="BV322" s="7"/>
      <c r="BW322" s="7"/>
      <c r="BX322" s="7"/>
      <c r="BY322" s="7"/>
      <c r="BZ322" s="41"/>
      <c r="CA322" s="7"/>
      <c r="CB322" s="7"/>
      <c r="CC322" s="7"/>
      <c r="CD322" s="7"/>
      <c r="CE322" s="7"/>
      <c r="CF322" s="7"/>
    </row>
    <row r="323">
      <c r="T323" s="7"/>
      <c r="U323" s="7"/>
      <c r="V323" s="7"/>
      <c r="W323" s="7"/>
      <c r="X323" s="7"/>
      <c r="Y323" s="7"/>
      <c r="Z323" s="7"/>
      <c r="AA323" s="7"/>
      <c r="AB323" s="7"/>
      <c r="AC323" s="7"/>
      <c r="AD323" s="7"/>
      <c r="AE323" s="7"/>
      <c r="AF323" s="7"/>
      <c r="AG323" s="7"/>
      <c r="AH323" s="7"/>
      <c r="AI323" s="7"/>
      <c r="AJ323" s="7"/>
      <c r="AK323" s="7"/>
      <c r="AL323" s="7"/>
      <c r="AM323" s="7"/>
      <c r="AN323" s="7"/>
      <c r="AS323" s="7"/>
      <c r="AT323" s="7"/>
      <c r="AU323" s="55"/>
      <c r="AV323" s="7"/>
      <c r="AW323" s="7"/>
      <c r="AX323" s="7"/>
      <c r="AY323" s="7"/>
      <c r="AZ323" s="7"/>
      <c r="BA323" s="7"/>
      <c r="BB323" s="7"/>
      <c r="BC323" s="7"/>
      <c r="BD323" s="60"/>
      <c r="BE323" s="44"/>
      <c r="BF323" s="11"/>
      <c r="BG323" s="19"/>
      <c r="BH323" s="7"/>
      <c r="BI323" s="7"/>
      <c r="BJ323" s="7"/>
      <c r="BK323" s="7"/>
      <c r="BL323" s="7"/>
      <c r="BM323" s="7"/>
      <c r="BN323" s="7"/>
      <c r="BO323" s="7"/>
      <c r="BP323" s="7"/>
      <c r="BQ323" s="7"/>
      <c r="BR323" s="7"/>
      <c r="BS323" s="7"/>
      <c r="BT323" s="7"/>
      <c r="BU323" s="7"/>
      <c r="BV323" s="7"/>
      <c r="BW323" s="7"/>
      <c r="BX323" s="7"/>
      <c r="BY323" s="7"/>
      <c r="BZ323" s="41"/>
      <c r="CA323" s="7"/>
      <c r="CB323" s="7"/>
      <c r="CC323" s="7"/>
      <c r="CD323" s="7"/>
      <c r="CE323" s="7"/>
      <c r="CF323" s="7"/>
    </row>
    <row r="324">
      <c r="T324" s="7"/>
      <c r="U324" s="7"/>
      <c r="V324" s="7"/>
      <c r="W324" s="7"/>
      <c r="X324" s="7"/>
      <c r="Y324" s="7"/>
      <c r="Z324" s="7"/>
      <c r="AA324" s="7"/>
      <c r="AB324" s="7"/>
      <c r="AC324" s="7"/>
      <c r="AD324" s="7"/>
      <c r="AE324" s="7"/>
      <c r="AF324" s="7"/>
      <c r="AG324" s="7"/>
      <c r="AH324" s="7"/>
      <c r="AI324" s="7"/>
      <c r="AJ324" s="7"/>
      <c r="AK324" s="7"/>
      <c r="AL324" s="7"/>
      <c r="AM324" s="7"/>
      <c r="AN324" s="7"/>
      <c r="AS324" s="7"/>
      <c r="AT324" s="7"/>
      <c r="AU324" s="55"/>
      <c r="AV324" s="7"/>
      <c r="AW324" s="7"/>
      <c r="AX324" s="7"/>
      <c r="AY324" s="7"/>
      <c r="AZ324" s="7"/>
      <c r="BA324" s="7"/>
      <c r="BB324" s="7"/>
      <c r="BC324" s="7"/>
      <c r="BD324" s="60"/>
      <c r="BE324" s="44"/>
      <c r="BF324" s="11"/>
      <c r="BG324" s="19"/>
      <c r="BH324" s="7"/>
      <c r="BI324" s="7"/>
      <c r="BJ324" s="7"/>
      <c r="BK324" s="7"/>
      <c r="BL324" s="7"/>
      <c r="BM324" s="7"/>
      <c r="BN324" s="7"/>
      <c r="BO324" s="7"/>
      <c r="BP324" s="7"/>
      <c r="BQ324" s="7"/>
      <c r="BR324" s="7"/>
      <c r="BS324" s="7"/>
      <c r="BT324" s="7"/>
      <c r="BU324" s="7"/>
      <c r="BV324" s="7"/>
      <c r="BW324" s="7"/>
      <c r="BX324" s="7"/>
      <c r="BY324" s="7"/>
      <c r="BZ324" s="41"/>
      <c r="CA324" s="7"/>
      <c r="CB324" s="7"/>
      <c r="CC324" s="7"/>
      <c r="CD324" s="7"/>
      <c r="CE324" s="7"/>
      <c r="CF324" s="7"/>
    </row>
    <row r="325">
      <c r="T325" s="7"/>
      <c r="U325" s="7"/>
      <c r="V325" s="7"/>
      <c r="W325" s="7"/>
      <c r="X325" s="7"/>
      <c r="Y325" s="7"/>
      <c r="Z325" s="7"/>
      <c r="AA325" s="7"/>
      <c r="AB325" s="7"/>
      <c r="AC325" s="7"/>
      <c r="AD325" s="7"/>
      <c r="AE325" s="7"/>
      <c r="AF325" s="7"/>
      <c r="AG325" s="7"/>
      <c r="AH325" s="7"/>
      <c r="AI325" s="7"/>
      <c r="AJ325" s="7"/>
      <c r="AK325" s="7"/>
      <c r="AL325" s="7"/>
      <c r="AM325" s="7"/>
      <c r="AN325" s="7"/>
      <c r="AS325" s="7"/>
      <c r="AT325" s="7"/>
      <c r="AU325" s="55"/>
      <c r="AV325" s="7"/>
      <c r="AW325" s="7"/>
      <c r="AX325" s="7"/>
      <c r="AY325" s="7"/>
      <c r="AZ325" s="7"/>
      <c r="BA325" s="7"/>
      <c r="BB325" s="7"/>
      <c r="BC325" s="7"/>
      <c r="BD325" s="60"/>
      <c r="BE325" s="44"/>
      <c r="BF325" s="11"/>
      <c r="BG325" s="19"/>
      <c r="BH325" s="7"/>
      <c r="BI325" s="7"/>
      <c r="BJ325" s="7"/>
      <c r="BK325" s="7"/>
      <c r="BL325" s="7"/>
      <c r="BM325" s="7"/>
      <c r="BN325" s="7"/>
      <c r="BO325" s="7"/>
      <c r="BP325" s="7"/>
      <c r="BQ325" s="7"/>
      <c r="BR325" s="7"/>
      <c r="BS325" s="7"/>
      <c r="BT325" s="7"/>
      <c r="BU325" s="7"/>
      <c r="BV325" s="7"/>
      <c r="BW325" s="7"/>
      <c r="BX325" s="7"/>
      <c r="BY325" s="7"/>
      <c r="BZ325" s="41"/>
      <c r="CA325" s="7"/>
      <c r="CB325" s="7"/>
      <c r="CC325" s="7"/>
      <c r="CD325" s="7"/>
      <c r="CE325" s="7"/>
      <c r="CF325" s="7"/>
    </row>
    <row r="326">
      <c r="T326" s="7"/>
      <c r="U326" s="7"/>
      <c r="V326" s="7"/>
      <c r="W326" s="7"/>
      <c r="X326" s="7"/>
      <c r="Y326" s="7"/>
      <c r="Z326" s="7"/>
      <c r="AA326" s="7"/>
      <c r="AB326" s="7"/>
      <c r="AC326" s="7"/>
      <c r="AD326" s="7"/>
      <c r="AE326" s="7"/>
      <c r="AF326" s="7"/>
      <c r="AG326" s="7"/>
      <c r="AH326" s="7"/>
      <c r="AI326" s="7"/>
      <c r="AJ326" s="7"/>
      <c r="AK326" s="7"/>
      <c r="AL326" s="7"/>
      <c r="AM326" s="7"/>
      <c r="AN326" s="7"/>
      <c r="AS326" s="7"/>
      <c r="AT326" s="7"/>
      <c r="AU326" s="55"/>
      <c r="AV326" s="7"/>
      <c r="AW326" s="7"/>
      <c r="AX326" s="7"/>
      <c r="AY326" s="7"/>
      <c r="AZ326" s="7"/>
      <c r="BA326" s="7"/>
      <c r="BB326" s="7"/>
      <c r="BC326" s="7"/>
      <c r="BD326" s="60"/>
      <c r="BE326" s="44"/>
      <c r="BF326" s="11"/>
      <c r="BG326" s="19"/>
      <c r="BH326" s="7"/>
      <c r="BI326" s="7"/>
      <c r="BJ326" s="7"/>
      <c r="BK326" s="7"/>
      <c r="BL326" s="7"/>
      <c r="BM326" s="7"/>
      <c r="BN326" s="7"/>
      <c r="BO326" s="7"/>
      <c r="BP326" s="7"/>
      <c r="BQ326" s="7"/>
      <c r="BR326" s="7"/>
      <c r="BS326" s="7"/>
      <c r="BT326" s="7"/>
      <c r="BU326" s="7"/>
      <c r="BV326" s="7"/>
      <c r="BW326" s="7"/>
      <c r="BX326" s="7"/>
      <c r="BY326" s="7"/>
      <c r="BZ326" s="41"/>
      <c r="CA326" s="7"/>
      <c r="CB326" s="7"/>
      <c r="CC326" s="7"/>
      <c r="CD326" s="7"/>
      <c r="CE326" s="7"/>
      <c r="CF326" s="7"/>
    </row>
    <row r="327">
      <c r="T327" s="7"/>
      <c r="U327" s="7"/>
      <c r="V327" s="7"/>
      <c r="W327" s="7"/>
      <c r="X327" s="7"/>
      <c r="Y327" s="7"/>
      <c r="Z327" s="7"/>
      <c r="AA327" s="7"/>
      <c r="AB327" s="7"/>
      <c r="AC327" s="7"/>
      <c r="AD327" s="7"/>
      <c r="AE327" s="7"/>
      <c r="AF327" s="7"/>
      <c r="AG327" s="7"/>
      <c r="AH327" s="7"/>
      <c r="AI327" s="7"/>
      <c r="AJ327" s="7"/>
      <c r="AK327" s="7"/>
      <c r="AL327" s="7"/>
      <c r="AM327" s="7"/>
      <c r="AN327" s="7"/>
      <c r="AS327" s="7"/>
      <c r="AT327" s="7"/>
      <c r="AU327" s="55"/>
      <c r="AV327" s="7"/>
      <c r="AW327" s="7"/>
      <c r="AX327" s="7"/>
      <c r="AY327" s="7"/>
      <c r="AZ327" s="7"/>
      <c r="BA327" s="7"/>
      <c r="BB327" s="7"/>
      <c r="BC327" s="7"/>
      <c r="BD327" s="60"/>
      <c r="BE327" s="44"/>
      <c r="BF327" s="11"/>
      <c r="BG327" s="19"/>
      <c r="BH327" s="7"/>
      <c r="BI327" s="7"/>
      <c r="BJ327" s="7"/>
      <c r="BK327" s="7"/>
      <c r="BL327" s="7"/>
      <c r="BM327" s="7"/>
      <c r="BN327" s="7"/>
      <c r="BO327" s="7"/>
      <c r="BP327" s="7"/>
      <c r="BQ327" s="7"/>
      <c r="BR327" s="7"/>
      <c r="BS327" s="7"/>
      <c r="BT327" s="7"/>
      <c r="BU327" s="7"/>
      <c r="BV327" s="7"/>
      <c r="BW327" s="7"/>
      <c r="BX327" s="7"/>
      <c r="BY327" s="7"/>
      <c r="BZ327" s="41"/>
      <c r="CA327" s="7"/>
      <c r="CB327" s="7"/>
      <c r="CC327" s="7"/>
      <c r="CD327" s="7"/>
      <c r="CE327" s="7"/>
      <c r="CF327" s="7"/>
    </row>
    <row r="328">
      <c r="T328" s="7"/>
      <c r="U328" s="7"/>
      <c r="V328" s="7"/>
      <c r="W328" s="7"/>
      <c r="X328" s="7"/>
      <c r="Y328" s="7"/>
      <c r="Z328" s="7"/>
      <c r="AA328" s="7"/>
      <c r="AB328" s="7"/>
      <c r="AC328" s="7"/>
      <c r="AD328" s="7"/>
      <c r="AE328" s="7"/>
      <c r="AF328" s="7"/>
      <c r="AG328" s="7"/>
      <c r="AH328" s="7"/>
      <c r="AI328" s="7"/>
      <c r="AJ328" s="7"/>
      <c r="AK328" s="7"/>
      <c r="AL328" s="7"/>
      <c r="AM328" s="7"/>
      <c r="AN328" s="7"/>
      <c r="AS328" s="7"/>
      <c r="AT328" s="7"/>
      <c r="AU328" s="55"/>
      <c r="AV328" s="7"/>
      <c r="AW328" s="7"/>
      <c r="AX328" s="7"/>
      <c r="AY328" s="7"/>
      <c r="AZ328" s="7"/>
      <c r="BA328" s="7"/>
      <c r="BB328" s="7"/>
      <c r="BC328" s="7"/>
      <c r="BD328" s="60"/>
      <c r="BE328" s="44"/>
      <c r="BF328" s="11"/>
      <c r="BG328" s="19"/>
      <c r="BH328" s="7"/>
      <c r="BI328" s="7"/>
      <c r="BJ328" s="7"/>
      <c r="BK328" s="7"/>
      <c r="BL328" s="7"/>
      <c r="BM328" s="7"/>
      <c r="BN328" s="7"/>
      <c r="BO328" s="7"/>
      <c r="BP328" s="7"/>
      <c r="BQ328" s="7"/>
      <c r="BR328" s="7"/>
      <c r="BS328" s="7"/>
      <c r="BT328" s="7"/>
      <c r="BU328" s="7"/>
      <c r="BV328" s="7"/>
      <c r="BW328" s="7"/>
      <c r="BX328" s="7"/>
      <c r="BY328" s="7"/>
      <c r="BZ328" s="41"/>
      <c r="CA328" s="7"/>
      <c r="CB328" s="7"/>
      <c r="CC328" s="7"/>
      <c r="CD328" s="7"/>
      <c r="CE328" s="7"/>
      <c r="CF328" s="7"/>
    </row>
    <row r="329">
      <c r="T329" s="7"/>
      <c r="U329" s="7"/>
      <c r="V329" s="7"/>
      <c r="W329" s="7"/>
      <c r="X329" s="7"/>
      <c r="Y329" s="7"/>
      <c r="Z329" s="7"/>
      <c r="AA329" s="7"/>
      <c r="AB329" s="7"/>
      <c r="AC329" s="7"/>
      <c r="AD329" s="7"/>
      <c r="AE329" s="7"/>
      <c r="AF329" s="7"/>
      <c r="AG329" s="7"/>
      <c r="AH329" s="7"/>
      <c r="AI329" s="7"/>
      <c r="AJ329" s="7"/>
      <c r="AK329" s="7"/>
      <c r="AL329" s="7"/>
      <c r="AM329" s="7"/>
      <c r="AN329" s="7"/>
      <c r="AS329" s="7"/>
      <c r="AT329" s="7"/>
      <c r="AU329" s="55"/>
      <c r="AV329" s="7"/>
      <c r="AW329" s="7"/>
      <c r="AX329" s="7"/>
      <c r="AY329" s="7"/>
      <c r="AZ329" s="7"/>
      <c r="BA329" s="7"/>
      <c r="BB329" s="7"/>
      <c r="BC329" s="7"/>
      <c r="BD329" s="60"/>
      <c r="BE329" s="44"/>
      <c r="BF329" s="11"/>
      <c r="BG329" s="19"/>
      <c r="BH329" s="7"/>
      <c r="BI329" s="7"/>
      <c r="BJ329" s="7"/>
      <c r="BK329" s="7"/>
      <c r="BL329" s="7"/>
      <c r="BM329" s="7"/>
      <c r="BN329" s="7"/>
      <c r="BO329" s="7"/>
      <c r="BP329" s="7"/>
      <c r="BQ329" s="7"/>
      <c r="BR329" s="7"/>
      <c r="BS329" s="7"/>
      <c r="BT329" s="7"/>
      <c r="BU329" s="7"/>
      <c r="BV329" s="7"/>
      <c r="BW329" s="7"/>
      <c r="BX329" s="7"/>
      <c r="BY329" s="7"/>
      <c r="BZ329" s="41"/>
      <c r="CA329" s="7"/>
      <c r="CB329" s="7"/>
      <c r="CC329" s="7"/>
      <c r="CD329" s="7"/>
      <c r="CE329" s="7"/>
      <c r="CF329" s="7"/>
    </row>
    <row r="330">
      <c r="T330" s="7"/>
      <c r="U330" s="7"/>
      <c r="V330" s="7"/>
      <c r="W330" s="7"/>
      <c r="X330" s="7"/>
      <c r="Y330" s="7"/>
      <c r="Z330" s="7"/>
      <c r="AA330" s="7"/>
      <c r="AB330" s="7"/>
      <c r="AC330" s="7"/>
      <c r="AD330" s="7"/>
      <c r="AE330" s="7"/>
      <c r="AF330" s="7"/>
      <c r="AG330" s="7"/>
      <c r="AH330" s="7"/>
      <c r="AI330" s="7"/>
      <c r="AJ330" s="7"/>
      <c r="AK330" s="7"/>
      <c r="AL330" s="7"/>
      <c r="AM330" s="7"/>
      <c r="AN330" s="7"/>
      <c r="AS330" s="7"/>
      <c r="AT330" s="7"/>
      <c r="AU330" s="55"/>
      <c r="AV330" s="7"/>
      <c r="AW330" s="7"/>
      <c r="AX330" s="7"/>
      <c r="AY330" s="7"/>
      <c r="AZ330" s="7"/>
      <c r="BA330" s="7"/>
      <c r="BB330" s="7"/>
      <c r="BC330" s="7"/>
      <c r="BD330" s="60"/>
      <c r="BE330" s="44"/>
      <c r="BF330" s="11"/>
      <c r="BG330" s="19"/>
      <c r="BH330" s="7"/>
      <c r="BI330" s="7"/>
      <c r="BJ330" s="7"/>
      <c r="BK330" s="7"/>
      <c r="BL330" s="7"/>
      <c r="BM330" s="7"/>
      <c r="BN330" s="7"/>
      <c r="BO330" s="7"/>
      <c r="BP330" s="7"/>
      <c r="BQ330" s="7"/>
      <c r="BR330" s="7"/>
      <c r="BS330" s="7"/>
      <c r="BT330" s="7"/>
      <c r="BU330" s="7"/>
      <c r="BV330" s="7"/>
      <c r="BW330" s="7"/>
      <c r="BX330" s="7"/>
      <c r="BY330" s="7"/>
      <c r="BZ330" s="41"/>
      <c r="CA330" s="7"/>
      <c r="CB330" s="7"/>
      <c r="CC330" s="7"/>
      <c r="CD330" s="7"/>
      <c r="CE330" s="7"/>
      <c r="CF330" s="7"/>
    </row>
    <row r="331">
      <c r="T331" s="7"/>
      <c r="U331" s="7"/>
      <c r="V331" s="7"/>
      <c r="W331" s="7"/>
      <c r="X331" s="7"/>
      <c r="Y331" s="7"/>
      <c r="Z331" s="7"/>
      <c r="AA331" s="7"/>
      <c r="AB331" s="7"/>
      <c r="AC331" s="7"/>
      <c r="AD331" s="7"/>
      <c r="AE331" s="7"/>
      <c r="AF331" s="7"/>
      <c r="AG331" s="7"/>
      <c r="AH331" s="7"/>
      <c r="AI331" s="7"/>
      <c r="AJ331" s="7"/>
      <c r="AK331" s="7"/>
      <c r="AL331" s="7"/>
      <c r="AM331" s="7"/>
      <c r="AN331" s="7"/>
      <c r="AS331" s="7"/>
      <c r="AT331" s="7"/>
      <c r="AU331" s="55"/>
      <c r="AV331" s="7"/>
      <c r="AW331" s="7"/>
      <c r="AX331" s="7"/>
      <c r="AY331" s="7"/>
      <c r="AZ331" s="7"/>
      <c r="BA331" s="7"/>
      <c r="BB331" s="7"/>
      <c r="BC331" s="7"/>
      <c r="BD331" s="60"/>
      <c r="BE331" s="44"/>
      <c r="BF331" s="11"/>
      <c r="BG331" s="19"/>
      <c r="BH331" s="7"/>
      <c r="BI331" s="7"/>
      <c r="BJ331" s="7"/>
      <c r="BK331" s="7"/>
      <c r="BL331" s="7"/>
      <c r="BM331" s="7"/>
      <c r="BN331" s="7"/>
      <c r="BO331" s="7"/>
      <c r="BP331" s="7"/>
      <c r="BQ331" s="7"/>
      <c r="BR331" s="7"/>
      <c r="BS331" s="7"/>
      <c r="BT331" s="7"/>
      <c r="BU331" s="7"/>
      <c r="BV331" s="7"/>
      <c r="BW331" s="7"/>
      <c r="BX331" s="7"/>
      <c r="BY331" s="7"/>
      <c r="BZ331" s="41"/>
      <c r="CA331" s="7"/>
      <c r="CB331" s="7"/>
      <c r="CC331" s="7"/>
      <c r="CD331" s="7"/>
      <c r="CE331" s="7"/>
      <c r="CF331" s="7"/>
    </row>
    <row r="332">
      <c r="T332" s="7"/>
      <c r="U332" s="7"/>
      <c r="V332" s="7"/>
      <c r="W332" s="7"/>
      <c r="X332" s="7"/>
      <c r="Y332" s="7"/>
      <c r="Z332" s="7"/>
      <c r="AA332" s="7"/>
      <c r="AB332" s="7"/>
      <c r="AC332" s="7"/>
      <c r="AD332" s="7"/>
      <c r="AE332" s="7"/>
      <c r="AF332" s="7"/>
      <c r="AG332" s="7"/>
      <c r="AH332" s="7"/>
      <c r="AI332" s="7"/>
      <c r="AJ332" s="7"/>
      <c r="AK332" s="7"/>
      <c r="AL332" s="7"/>
      <c r="AM332" s="7"/>
      <c r="AN332" s="7"/>
      <c r="AS332" s="7"/>
      <c r="AT332" s="7"/>
      <c r="AU332" s="55"/>
      <c r="AV332" s="7"/>
      <c r="AW332" s="7"/>
      <c r="AX332" s="7"/>
      <c r="AY332" s="7"/>
      <c r="AZ332" s="7"/>
      <c r="BA332" s="7"/>
      <c r="BB332" s="7"/>
      <c r="BC332" s="7"/>
      <c r="BD332" s="60"/>
      <c r="BE332" s="44"/>
      <c r="BF332" s="11"/>
      <c r="BG332" s="19"/>
      <c r="BH332" s="7"/>
      <c r="BI332" s="7"/>
      <c r="BJ332" s="7"/>
      <c r="BK332" s="7"/>
      <c r="BL332" s="7"/>
      <c r="BM332" s="7"/>
      <c r="BN332" s="7"/>
      <c r="BO332" s="7"/>
      <c r="BP332" s="7"/>
      <c r="BQ332" s="7"/>
      <c r="BR332" s="7"/>
      <c r="BS332" s="7"/>
      <c r="BT332" s="7"/>
      <c r="BU332" s="7"/>
      <c r="BV332" s="7"/>
      <c r="BW332" s="7"/>
      <c r="BX332" s="7"/>
      <c r="BY332" s="7"/>
      <c r="BZ332" s="41"/>
      <c r="CA332" s="7"/>
      <c r="CB332" s="7"/>
      <c r="CC332" s="7"/>
      <c r="CD332" s="7"/>
      <c r="CE332" s="7"/>
      <c r="CF332" s="7"/>
    </row>
    <row r="333">
      <c r="T333" s="7"/>
      <c r="U333" s="7"/>
      <c r="V333" s="7"/>
      <c r="W333" s="7"/>
      <c r="X333" s="7"/>
      <c r="Y333" s="7"/>
      <c r="Z333" s="7"/>
      <c r="AA333" s="7"/>
      <c r="AB333" s="7"/>
      <c r="AC333" s="7"/>
      <c r="AD333" s="7"/>
      <c r="AE333" s="7"/>
      <c r="AF333" s="7"/>
      <c r="AG333" s="7"/>
      <c r="AH333" s="7"/>
      <c r="AI333" s="7"/>
      <c r="AJ333" s="7"/>
      <c r="AK333" s="7"/>
      <c r="AL333" s="7"/>
      <c r="AM333" s="7"/>
      <c r="AN333" s="7"/>
      <c r="AS333" s="7"/>
      <c r="AT333" s="7"/>
      <c r="AU333" s="55"/>
      <c r="AV333" s="7"/>
      <c r="AW333" s="7"/>
      <c r="AX333" s="7"/>
      <c r="AY333" s="7"/>
      <c r="AZ333" s="7"/>
      <c r="BA333" s="7"/>
      <c r="BB333" s="7"/>
      <c r="BC333" s="7"/>
      <c r="BD333" s="60"/>
      <c r="BE333" s="44"/>
      <c r="BF333" s="11"/>
      <c r="BG333" s="19"/>
      <c r="BH333" s="7"/>
      <c r="BI333" s="7"/>
      <c r="BJ333" s="7"/>
      <c r="BK333" s="7"/>
      <c r="BL333" s="7"/>
      <c r="BM333" s="7"/>
      <c r="BN333" s="7"/>
      <c r="BO333" s="7"/>
      <c r="BP333" s="7"/>
      <c r="BQ333" s="7"/>
      <c r="BR333" s="7"/>
      <c r="BS333" s="7"/>
      <c r="BT333" s="7"/>
      <c r="BU333" s="7"/>
      <c r="BV333" s="7"/>
      <c r="BW333" s="7"/>
      <c r="BX333" s="7"/>
      <c r="BY333" s="7"/>
      <c r="BZ333" s="41"/>
      <c r="CA333" s="7"/>
      <c r="CB333" s="7"/>
      <c r="CC333" s="7"/>
      <c r="CD333" s="7"/>
      <c r="CE333" s="7"/>
      <c r="CF333" s="7"/>
    </row>
    <row r="334">
      <c r="T334" s="7"/>
      <c r="U334" s="7"/>
      <c r="V334" s="7"/>
      <c r="W334" s="7"/>
      <c r="X334" s="7"/>
      <c r="Y334" s="7"/>
      <c r="Z334" s="7"/>
      <c r="AA334" s="7"/>
      <c r="AB334" s="7"/>
      <c r="AC334" s="7"/>
      <c r="AD334" s="7"/>
      <c r="AE334" s="7"/>
      <c r="AF334" s="7"/>
      <c r="AG334" s="7"/>
      <c r="AH334" s="7"/>
      <c r="AI334" s="7"/>
      <c r="AJ334" s="7"/>
      <c r="AK334" s="7"/>
      <c r="AL334" s="7"/>
      <c r="AM334" s="7"/>
      <c r="AN334" s="7"/>
      <c r="AS334" s="7"/>
      <c r="AT334" s="7"/>
      <c r="AU334" s="55"/>
      <c r="AV334" s="7"/>
      <c r="AW334" s="7"/>
      <c r="AX334" s="7"/>
      <c r="AY334" s="7"/>
      <c r="AZ334" s="7"/>
      <c r="BA334" s="7"/>
      <c r="BB334" s="7"/>
      <c r="BC334" s="7"/>
      <c r="BD334" s="60"/>
      <c r="BE334" s="44"/>
      <c r="BF334" s="11"/>
      <c r="BG334" s="19"/>
      <c r="BH334" s="7"/>
      <c r="BI334" s="7"/>
      <c r="BJ334" s="7"/>
      <c r="BK334" s="7"/>
      <c r="BL334" s="7"/>
      <c r="BM334" s="7"/>
      <c r="BN334" s="7"/>
      <c r="BO334" s="7"/>
      <c r="BP334" s="7"/>
      <c r="BQ334" s="7"/>
      <c r="BR334" s="7"/>
      <c r="BS334" s="7"/>
      <c r="BT334" s="7"/>
      <c r="BU334" s="7"/>
      <c r="BV334" s="7"/>
      <c r="BW334" s="7"/>
      <c r="BX334" s="7"/>
      <c r="BY334" s="7"/>
      <c r="BZ334" s="41"/>
      <c r="CA334" s="7"/>
      <c r="CB334" s="7"/>
      <c r="CC334" s="7"/>
      <c r="CD334" s="7"/>
      <c r="CE334" s="7"/>
      <c r="CF334" s="7"/>
    </row>
    <row r="335">
      <c r="T335" s="7"/>
      <c r="U335" s="7"/>
      <c r="V335" s="7"/>
      <c r="W335" s="7"/>
      <c r="X335" s="7"/>
      <c r="Y335" s="7"/>
      <c r="Z335" s="7"/>
      <c r="AA335" s="7"/>
      <c r="AB335" s="7"/>
      <c r="AC335" s="7"/>
      <c r="AD335" s="7"/>
      <c r="AE335" s="7"/>
      <c r="AF335" s="7"/>
      <c r="AG335" s="7"/>
      <c r="AH335" s="7"/>
      <c r="AI335" s="7"/>
      <c r="AJ335" s="7"/>
      <c r="AK335" s="7"/>
      <c r="AL335" s="7"/>
      <c r="AM335" s="7"/>
      <c r="AN335" s="7"/>
      <c r="AS335" s="7"/>
      <c r="AT335" s="7"/>
      <c r="AU335" s="55"/>
      <c r="AV335" s="7"/>
      <c r="AW335" s="7"/>
      <c r="AX335" s="7"/>
      <c r="AY335" s="7"/>
      <c r="AZ335" s="7"/>
      <c r="BA335" s="7"/>
      <c r="BB335" s="7"/>
      <c r="BC335" s="7"/>
      <c r="BD335" s="60"/>
      <c r="BE335" s="44"/>
      <c r="BF335" s="11"/>
      <c r="BG335" s="19"/>
      <c r="BH335" s="7"/>
      <c r="BI335" s="7"/>
      <c r="BJ335" s="7"/>
      <c r="BK335" s="7"/>
      <c r="BL335" s="7"/>
      <c r="BM335" s="7"/>
      <c r="BN335" s="7"/>
      <c r="BO335" s="7"/>
      <c r="BP335" s="7"/>
      <c r="BQ335" s="7"/>
      <c r="BR335" s="7"/>
      <c r="BS335" s="7"/>
      <c r="BT335" s="7"/>
      <c r="BU335" s="7"/>
      <c r="BV335" s="7"/>
      <c r="BW335" s="7"/>
      <c r="BX335" s="7"/>
      <c r="BY335" s="7"/>
      <c r="BZ335" s="41"/>
      <c r="CA335" s="7"/>
      <c r="CB335" s="7"/>
      <c r="CC335" s="7"/>
      <c r="CD335" s="7"/>
      <c r="CE335" s="7"/>
      <c r="CF335" s="7"/>
    </row>
    <row r="336">
      <c r="T336" s="7"/>
      <c r="U336" s="7"/>
      <c r="V336" s="7"/>
      <c r="W336" s="7"/>
      <c r="X336" s="7"/>
      <c r="Y336" s="7"/>
      <c r="Z336" s="7"/>
      <c r="AA336" s="7"/>
      <c r="AB336" s="7"/>
      <c r="AC336" s="7"/>
      <c r="AD336" s="7"/>
      <c r="AE336" s="7"/>
      <c r="AF336" s="7"/>
      <c r="AG336" s="7"/>
      <c r="AH336" s="7"/>
      <c r="AI336" s="7"/>
      <c r="AJ336" s="7"/>
      <c r="AK336" s="7"/>
      <c r="AL336" s="7"/>
      <c r="AM336" s="7"/>
      <c r="AN336" s="7"/>
      <c r="AS336" s="7"/>
      <c r="AT336" s="7"/>
      <c r="AU336" s="55"/>
      <c r="AV336" s="7"/>
      <c r="AW336" s="7"/>
      <c r="AX336" s="7"/>
      <c r="AY336" s="7"/>
      <c r="AZ336" s="7"/>
      <c r="BA336" s="7"/>
      <c r="BB336" s="7"/>
      <c r="BC336" s="7"/>
      <c r="BD336" s="60"/>
      <c r="BE336" s="44"/>
      <c r="BF336" s="11"/>
      <c r="BG336" s="19"/>
      <c r="BH336" s="7"/>
      <c r="BI336" s="7"/>
      <c r="BJ336" s="7"/>
      <c r="BK336" s="7"/>
      <c r="BL336" s="7"/>
      <c r="BM336" s="7"/>
      <c r="BN336" s="7"/>
      <c r="BO336" s="7"/>
      <c r="BP336" s="7"/>
      <c r="BQ336" s="7"/>
      <c r="BR336" s="7"/>
      <c r="BS336" s="7"/>
      <c r="BT336" s="7"/>
      <c r="BU336" s="7"/>
      <c r="BV336" s="7"/>
      <c r="BW336" s="7"/>
      <c r="BX336" s="7"/>
      <c r="BY336" s="7"/>
      <c r="BZ336" s="41"/>
      <c r="CA336" s="7"/>
      <c r="CB336" s="7"/>
      <c r="CC336" s="7"/>
      <c r="CD336" s="7"/>
      <c r="CE336" s="7"/>
      <c r="CF336" s="7"/>
    </row>
    <row r="337">
      <c r="T337" s="7"/>
      <c r="U337" s="7"/>
      <c r="V337" s="7"/>
      <c r="W337" s="7"/>
      <c r="X337" s="7"/>
      <c r="Y337" s="7"/>
      <c r="Z337" s="7"/>
      <c r="AA337" s="7"/>
      <c r="AB337" s="7"/>
      <c r="AC337" s="7"/>
      <c r="AD337" s="7"/>
      <c r="AE337" s="7"/>
      <c r="AF337" s="7"/>
      <c r="AG337" s="7"/>
      <c r="AH337" s="7"/>
      <c r="AI337" s="7"/>
      <c r="AJ337" s="7"/>
      <c r="AK337" s="7"/>
      <c r="AL337" s="7"/>
      <c r="AM337" s="7"/>
      <c r="AN337" s="7"/>
      <c r="AS337" s="7"/>
      <c r="AT337" s="7"/>
      <c r="AU337" s="55"/>
      <c r="AV337" s="7"/>
      <c r="AW337" s="7"/>
      <c r="AX337" s="7"/>
      <c r="AY337" s="7"/>
      <c r="AZ337" s="7"/>
      <c r="BA337" s="7"/>
      <c r="BB337" s="7"/>
      <c r="BC337" s="7"/>
      <c r="BD337" s="60"/>
      <c r="BE337" s="44"/>
      <c r="BF337" s="11"/>
      <c r="BG337" s="19"/>
      <c r="BH337" s="7"/>
      <c r="BI337" s="7"/>
      <c r="BJ337" s="7"/>
      <c r="BK337" s="7"/>
      <c r="BL337" s="7"/>
      <c r="BM337" s="7"/>
      <c r="BN337" s="7"/>
      <c r="BO337" s="7"/>
      <c r="BP337" s="7"/>
      <c r="BQ337" s="7"/>
      <c r="BR337" s="7"/>
      <c r="BS337" s="7"/>
      <c r="BT337" s="7"/>
      <c r="BU337" s="7"/>
      <c r="BV337" s="7"/>
      <c r="BW337" s="7"/>
      <c r="BX337" s="7"/>
      <c r="BY337" s="7"/>
      <c r="BZ337" s="41"/>
      <c r="CA337" s="7"/>
      <c r="CB337" s="7"/>
      <c r="CC337" s="7"/>
      <c r="CD337" s="7"/>
      <c r="CE337" s="7"/>
      <c r="CF337" s="7"/>
    </row>
    <row r="338">
      <c r="T338" s="7"/>
      <c r="U338" s="7"/>
      <c r="V338" s="7"/>
      <c r="W338" s="7"/>
      <c r="X338" s="7"/>
      <c r="Y338" s="7"/>
      <c r="Z338" s="7"/>
      <c r="AA338" s="7"/>
      <c r="AB338" s="7"/>
      <c r="AC338" s="7"/>
      <c r="AD338" s="7"/>
      <c r="AE338" s="7"/>
      <c r="AF338" s="7"/>
      <c r="AG338" s="7"/>
      <c r="AH338" s="7"/>
      <c r="AI338" s="7"/>
      <c r="AJ338" s="7"/>
      <c r="AK338" s="7"/>
      <c r="AL338" s="7"/>
      <c r="AM338" s="7"/>
      <c r="AN338" s="7"/>
      <c r="AS338" s="7"/>
      <c r="AT338" s="7"/>
      <c r="AU338" s="55"/>
      <c r="AV338" s="7"/>
      <c r="AW338" s="7"/>
      <c r="AX338" s="7"/>
      <c r="AY338" s="7"/>
      <c r="AZ338" s="7"/>
      <c r="BA338" s="7"/>
      <c r="BB338" s="7"/>
      <c r="BC338" s="7"/>
      <c r="BD338" s="60"/>
      <c r="BE338" s="44"/>
      <c r="BF338" s="11"/>
      <c r="BG338" s="19"/>
      <c r="BH338" s="7"/>
      <c r="BI338" s="7"/>
      <c r="BJ338" s="7"/>
      <c r="BK338" s="7"/>
      <c r="BL338" s="7"/>
      <c r="BM338" s="7"/>
      <c r="BN338" s="7"/>
      <c r="BO338" s="7"/>
      <c r="BP338" s="7"/>
      <c r="BQ338" s="7"/>
      <c r="BR338" s="7"/>
      <c r="BS338" s="7"/>
      <c r="BT338" s="7"/>
      <c r="BU338" s="7"/>
      <c r="BV338" s="7"/>
      <c r="BW338" s="7"/>
      <c r="BX338" s="7"/>
      <c r="BY338" s="7"/>
      <c r="BZ338" s="41"/>
      <c r="CA338" s="7"/>
      <c r="CB338" s="7"/>
      <c r="CC338" s="7"/>
      <c r="CD338" s="7"/>
      <c r="CE338" s="7"/>
      <c r="CF338" s="7"/>
    </row>
    <row r="339">
      <c r="T339" s="7"/>
      <c r="U339" s="7"/>
      <c r="V339" s="7"/>
      <c r="W339" s="7"/>
      <c r="X339" s="7"/>
      <c r="Y339" s="7"/>
      <c r="Z339" s="7"/>
      <c r="AA339" s="7"/>
      <c r="AB339" s="7"/>
      <c r="AC339" s="7"/>
      <c r="AD339" s="7"/>
      <c r="AE339" s="7"/>
      <c r="AF339" s="7"/>
      <c r="AG339" s="7"/>
      <c r="AH339" s="7"/>
      <c r="AI339" s="7"/>
      <c r="AJ339" s="7"/>
      <c r="AK339" s="7"/>
      <c r="AL339" s="7"/>
      <c r="AM339" s="7"/>
      <c r="AN339" s="7"/>
      <c r="AS339" s="7"/>
      <c r="AT339" s="7"/>
      <c r="AU339" s="55"/>
      <c r="AV339" s="7"/>
      <c r="AW339" s="7"/>
      <c r="AX339" s="7"/>
      <c r="AY339" s="7"/>
      <c r="AZ339" s="7"/>
      <c r="BA339" s="7"/>
      <c r="BB339" s="7"/>
      <c r="BC339" s="7"/>
      <c r="BD339" s="60"/>
      <c r="BE339" s="44"/>
      <c r="BF339" s="11"/>
      <c r="BG339" s="19"/>
      <c r="BH339" s="7"/>
      <c r="BI339" s="7"/>
      <c r="BJ339" s="7"/>
      <c r="BK339" s="7"/>
      <c r="BL339" s="7"/>
      <c r="BM339" s="7"/>
      <c r="BN339" s="7"/>
      <c r="BO339" s="7"/>
      <c r="BP339" s="7"/>
      <c r="BQ339" s="7"/>
      <c r="BR339" s="7"/>
      <c r="BS339" s="7"/>
      <c r="BT339" s="7"/>
      <c r="BU339" s="7"/>
      <c r="BV339" s="7"/>
      <c r="BW339" s="7"/>
      <c r="BX339" s="7"/>
      <c r="BY339" s="7"/>
      <c r="BZ339" s="41"/>
      <c r="CA339" s="7"/>
      <c r="CB339" s="7"/>
      <c r="CC339" s="7"/>
      <c r="CD339" s="7"/>
      <c r="CE339" s="7"/>
      <c r="CF339" s="7"/>
    </row>
    <row r="340">
      <c r="T340" s="7"/>
      <c r="U340" s="7"/>
      <c r="V340" s="7"/>
      <c r="W340" s="7"/>
      <c r="X340" s="7"/>
      <c r="Y340" s="7"/>
      <c r="Z340" s="7"/>
      <c r="AA340" s="7"/>
      <c r="AB340" s="7"/>
      <c r="AC340" s="7"/>
      <c r="AD340" s="7"/>
      <c r="AE340" s="7"/>
      <c r="AF340" s="7"/>
      <c r="AG340" s="7"/>
      <c r="AH340" s="7"/>
      <c r="AI340" s="7"/>
      <c r="AJ340" s="7"/>
      <c r="AK340" s="7"/>
      <c r="AL340" s="7"/>
      <c r="AM340" s="7"/>
      <c r="AN340" s="7"/>
      <c r="AS340" s="7"/>
      <c r="AT340" s="7"/>
      <c r="AU340" s="55"/>
      <c r="AV340" s="7"/>
      <c r="AW340" s="7"/>
      <c r="AX340" s="7"/>
      <c r="AY340" s="7"/>
      <c r="AZ340" s="7"/>
      <c r="BA340" s="7"/>
      <c r="BB340" s="7"/>
      <c r="BC340" s="7"/>
      <c r="BD340" s="60"/>
      <c r="BE340" s="44"/>
      <c r="BF340" s="11"/>
      <c r="BG340" s="19"/>
      <c r="BH340" s="7"/>
      <c r="BI340" s="7"/>
      <c r="BJ340" s="7"/>
      <c r="BK340" s="7"/>
      <c r="BL340" s="7"/>
      <c r="BM340" s="7"/>
      <c r="BN340" s="7"/>
      <c r="BO340" s="7"/>
      <c r="BP340" s="7"/>
      <c r="BQ340" s="7"/>
      <c r="BR340" s="7"/>
      <c r="BS340" s="7"/>
      <c r="BT340" s="7"/>
      <c r="BU340" s="7"/>
      <c r="BV340" s="7"/>
      <c r="BW340" s="7"/>
      <c r="BX340" s="7"/>
      <c r="BY340" s="7"/>
      <c r="BZ340" s="41"/>
      <c r="CA340" s="7"/>
      <c r="CB340" s="7"/>
      <c r="CC340" s="7"/>
      <c r="CD340" s="7"/>
      <c r="CE340" s="7"/>
      <c r="CF340" s="7"/>
    </row>
    <row r="341">
      <c r="T341" s="7"/>
      <c r="U341" s="7"/>
      <c r="V341" s="7"/>
      <c r="W341" s="7"/>
      <c r="X341" s="7"/>
      <c r="Y341" s="7"/>
      <c r="Z341" s="7"/>
      <c r="AA341" s="7"/>
      <c r="AB341" s="7"/>
      <c r="AC341" s="7"/>
      <c r="AD341" s="7"/>
      <c r="AE341" s="7"/>
      <c r="AF341" s="7"/>
      <c r="AG341" s="7"/>
      <c r="AH341" s="7"/>
      <c r="AI341" s="7"/>
      <c r="AJ341" s="7"/>
      <c r="AK341" s="7"/>
      <c r="AL341" s="7"/>
      <c r="AM341" s="7"/>
      <c r="AN341" s="7"/>
      <c r="AS341" s="7"/>
      <c r="AT341" s="7"/>
      <c r="AU341" s="55"/>
      <c r="AV341" s="7"/>
      <c r="AW341" s="7"/>
      <c r="AX341" s="7"/>
      <c r="AY341" s="7"/>
      <c r="AZ341" s="7"/>
      <c r="BA341" s="7"/>
      <c r="BB341" s="7"/>
      <c r="BC341" s="7"/>
      <c r="BD341" s="60"/>
      <c r="BE341" s="44"/>
      <c r="BF341" s="11"/>
      <c r="BG341" s="19"/>
      <c r="BH341" s="7"/>
      <c r="BI341" s="7"/>
      <c r="BJ341" s="7"/>
      <c r="BK341" s="7"/>
      <c r="BL341" s="7"/>
      <c r="BM341" s="7"/>
      <c r="BN341" s="7"/>
      <c r="BO341" s="7"/>
      <c r="BP341" s="7"/>
      <c r="BQ341" s="7"/>
      <c r="BR341" s="7"/>
      <c r="BS341" s="7"/>
      <c r="BT341" s="7"/>
      <c r="BU341" s="7"/>
      <c r="BV341" s="7"/>
      <c r="BW341" s="7"/>
      <c r="BX341" s="7"/>
      <c r="BY341" s="7"/>
      <c r="BZ341" s="41"/>
      <c r="CA341" s="7"/>
      <c r="CB341" s="7"/>
      <c r="CC341" s="7"/>
      <c r="CD341" s="7"/>
      <c r="CE341" s="7"/>
      <c r="CF341" s="7"/>
    </row>
    <row r="342">
      <c r="T342" s="7"/>
      <c r="U342" s="7"/>
      <c r="V342" s="7"/>
      <c r="W342" s="7"/>
      <c r="X342" s="7"/>
      <c r="Y342" s="7"/>
      <c r="Z342" s="7"/>
      <c r="AA342" s="7"/>
      <c r="AB342" s="7"/>
      <c r="AC342" s="7"/>
      <c r="AD342" s="7"/>
      <c r="AE342" s="7"/>
      <c r="AF342" s="7"/>
      <c r="AG342" s="7"/>
      <c r="AH342" s="7"/>
      <c r="AI342" s="7"/>
      <c r="AJ342" s="7"/>
      <c r="AK342" s="7"/>
      <c r="AL342" s="7"/>
      <c r="AM342" s="7"/>
      <c r="AN342" s="7"/>
      <c r="AS342" s="7"/>
      <c r="AT342" s="7"/>
      <c r="AU342" s="55"/>
      <c r="AV342" s="7"/>
      <c r="AW342" s="7"/>
      <c r="AX342" s="7"/>
      <c r="AY342" s="7"/>
      <c r="AZ342" s="7"/>
      <c r="BA342" s="7"/>
      <c r="BB342" s="7"/>
      <c r="BC342" s="7"/>
      <c r="BD342" s="60"/>
      <c r="BE342" s="44"/>
      <c r="BF342" s="11"/>
      <c r="BG342" s="19"/>
      <c r="BH342" s="7"/>
      <c r="BI342" s="7"/>
      <c r="BJ342" s="7"/>
      <c r="BK342" s="7"/>
      <c r="BL342" s="7"/>
      <c r="BM342" s="7"/>
      <c r="BN342" s="7"/>
      <c r="BO342" s="7"/>
      <c r="BP342" s="7"/>
      <c r="BQ342" s="7"/>
      <c r="BR342" s="7"/>
      <c r="BS342" s="7"/>
      <c r="BT342" s="7"/>
      <c r="BU342" s="7"/>
      <c r="BV342" s="7"/>
      <c r="BW342" s="7"/>
      <c r="BX342" s="7"/>
      <c r="BY342" s="7"/>
      <c r="BZ342" s="41"/>
      <c r="CA342" s="7"/>
      <c r="CB342" s="7"/>
      <c r="CC342" s="7"/>
      <c r="CD342" s="7"/>
      <c r="CE342" s="7"/>
      <c r="CF342" s="7"/>
    </row>
    <row r="343">
      <c r="T343" s="7"/>
      <c r="U343" s="7"/>
      <c r="V343" s="7"/>
      <c r="W343" s="7"/>
      <c r="X343" s="7"/>
      <c r="Y343" s="7"/>
      <c r="Z343" s="7"/>
      <c r="AA343" s="7"/>
      <c r="AB343" s="7"/>
      <c r="AC343" s="7"/>
      <c r="AD343" s="7"/>
      <c r="AE343" s="7"/>
      <c r="AF343" s="7"/>
      <c r="AG343" s="7"/>
      <c r="AH343" s="7"/>
      <c r="AI343" s="7"/>
      <c r="AJ343" s="7"/>
      <c r="AK343" s="7"/>
      <c r="AL343" s="7"/>
      <c r="AM343" s="7"/>
      <c r="AN343" s="7"/>
      <c r="AS343" s="7"/>
      <c r="AT343" s="7"/>
      <c r="AU343" s="55"/>
      <c r="AV343" s="7"/>
      <c r="AW343" s="7"/>
      <c r="AX343" s="7"/>
      <c r="AY343" s="7"/>
      <c r="AZ343" s="7"/>
      <c r="BA343" s="7"/>
      <c r="BB343" s="7"/>
      <c r="BC343" s="7"/>
      <c r="BD343" s="60"/>
      <c r="BE343" s="44"/>
      <c r="BF343" s="11"/>
      <c r="BG343" s="19"/>
      <c r="BH343" s="7"/>
      <c r="BI343" s="7"/>
      <c r="BJ343" s="7"/>
      <c r="BK343" s="7"/>
      <c r="BL343" s="7"/>
      <c r="BM343" s="7"/>
      <c r="BN343" s="7"/>
      <c r="BO343" s="7"/>
      <c r="BP343" s="7"/>
      <c r="BQ343" s="7"/>
      <c r="BR343" s="7"/>
      <c r="BS343" s="7"/>
      <c r="BT343" s="7"/>
      <c r="BU343" s="7"/>
      <c r="BV343" s="7"/>
      <c r="BW343" s="7"/>
      <c r="BX343" s="7"/>
      <c r="BY343" s="7"/>
      <c r="BZ343" s="41"/>
      <c r="CA343" s="7"/>
      <c r="CB343" s="7"/>
      <c r="CC343" s="7"/>
      <c r="CD343" s="7"/>
      <c r="CE343" s="7"/>
      <c r="CF343" s="7"/>
    </row>
    <row r="344">
      <c r="T344" s="7"/>
      <c r="U344" s="7"/>
      <c r="V344" s="7"/>
      <c r="W344" s="7"/>
      <c r="X344" s="7"/>
      <c r="Y344" s="7"/>
      <c r="Z344" s="7"/>
      <c r="AA344" s="7"/>
      <c r="AB344" s="7"/>
      <c r="AC344" s="7"/>
      <c r="AD344" s="7"/>
      <c r="AE344" s="7"/>
      <c r="AF344" s="7"/>
      <c r="AG344" s="7"/>
      <c r="AH344" s="7"/>
      <c r="AI344" s="7"/>
      <c r="AJ344" s="7"/>
      <c r="AK344" s="7"/>
      <c r="AL344" s="7"/>
      <c r="AM344" s="7"/>
      <c r="AN344" s="7"/>
      <c r="AS344" s="7"/>
      <c r="AT344" s="7"/>
      <c r="AU344" s="55"/>
      <c r="AV344" s="7"/>
      <c r="AW344" s="7"/>
      <c r="AX344" s="7"/>
      <c r="AY344" s="7"/>
      <c r="AZ344" s="7"/>
      <c r="BA344" s="7"/>
      <c r="BB344" s="7"/>
      <c r="BC344" s="7"/>
      <c r="BD344" s="60"/>
      <c r="BE344" s="44"/>
      <c r="BF344" s="11"/>
      <c r="BG344" s="19"/>
      <c r="BH344" s="7"/>
      <c r="BI344" s="7"/>
      <c r="BJ344" s="7"/>
      <c r="BK344" s="7"/>
      <c r="BL344" s="7"/>
      <c r="BM344" s="7"/>
      <c r="BN344" s="7"/>
      <c r="BO344" s="7"/>
      <c r="BP344" s="7"/>
      <c r="BQ344" s="7"/>
      <c r="BR344" s="7"/>
      <c r="BS344" s="7"/>
      <c r="BT344" s="7"/>
      <c r="BU344" s="7"/>
      <c r="BV344" s="7"/>
      <c r="BW344" s="7"/>
      <c r="BX344" s="7"/>
      <c r="BY344" s="7"/>
      <c r="BZ344" s="41"/>
      <c r="CA344" s="7"/>
      <c r="CB344" s="7"/>
      <c r="CC344" s="7"/>
      <c r="CD344" s="7"/>
      <c r="CE344" s="7"/>
      <c r="CF344" s="7"/>
    </row>
    <row r="345">
      <c r="T345" s="7"/>
      <c r="U345" s="7"/>
      <c r="V345" s="7"/>
      <c r="W345" s="7"/>
      <c r="X345" s="7"/>
      <c r="Y345" s="7"/>
      <c r="Z345" s="7"/>
      <c r="AA345" s="7"/>
      <c r="AB345" s="7"/>
      <c r="AC345" s="7"/>
      <c r="AD345" s="7"/>
      <c r="AE345" s="7"/>
      <c r="AF345" s="7"/>
      <c r="AG345" s="7"/>
      <c r="AH345" s="7"/>
      <c r="AI345" s="7"/>
      <c r="AJ345" s="7"/>
      <c r="AK345" s="7"/>
      <c r="AL345" s="7"/>
      <c r="AM345" s="7"/>
      <c r="AN345" s="7"/>
      <c r="AS345" s="7"/>
      <c r="AT345" s="7"/>
      <c r="AU345" s="55"/>
      <c r="AV345" s="7"/>
      <c r="AW345" s="7"/>
      <c r="AX345" s="7"/>
      <c r="AY345" s="7"/>
      <c r="AZ345" s="7"/>
      <c r="BA345" s="7"/>
      <c r="BB345" s="7"/>
      <c r="BC345" s="7"/>
      <c r="BD345" s="60"/>
      <c r="BE345" s="44"/>
      <c r="BF345" s="11"/>
      <c r="BG345" s="19"/>
      <c r="BH345" s="7"/>
      <c r="BI345" s="7"/>
      <c r="BJ345" s="7"/>
      <c r="BK345" s="7"/>
      <c r="BL345" s="7"/>
      <c r="BM345" s="7"/>
      <c r="BN345" s="7"/>
      <c r="BO345" s="7"/>
      <c r="BP345" s="7"/>
      <c r="BQ345" s="7"/>
      <c r="BR345" s="7"/>
      <c r="BS345" s="7"/>
      <c r="BT345" s="7"/>
      <c r="BU345" s="7"/>
      <c r="BV345" s="7"/>
      <c r="BW345" s="7"/>
      <c r="BX345" s="7"/>
      <c r="BY345" s="7"/>
      <c r="BZ345" s="41"/>
      <c r="CA345" s="7"/>
      <c r="CB345" s="7"/>
      <c r="CC345" s="7"/>
      <c r="CD345" s="7"/>
      <c r="CE345" s="7"/>
      <c r="CF345" s="7"/>
    </row>
    <row r="346">
      <c r="T346" s="7"/>
      <c r="U346" s="7"/>
      <c r="V346" s="7"/>
      <c r="W346" s="7"/>
      <c r="X346" s="7"/>
      <c r="Y346" s="7"/>
      <c r="Z346" s="7"/>
      <c r="AA346" s="7"/>
      <c r="AB346" s="7"/>
      <c r="AC346" s="7"/>
      <c r="AD346" s="7"/>
      <c r="AE346" s="7"/>
      <c r="AF346" s="7"/>
      <c r="AG346" s="7"/>
      <c r="AH346" s="7"/>
      <c r="AI346" s="7"/>
      <c r="AJ346" s="7"/>
      <c r="AK346" s="7"/>
      <c r="AL346" s="7"/>
      <c r="AM346" s="7"/>
      <c r="AN346" s="7"/>
      <c r="AS346" s="7"/>
      <c r="AT346" s="7"/>
      <c r="AU346" s="55"/>
      <c r="AV346" s="7"/>
      <c r="AW346" s="7"/>
      <c r="AX346" s="7"/>
      <c r="AY346" s="7"/>
      <c r="AZ346" s="7"/>
      <c r="BA346" s="7"/>
      <c r="BB346" s="7"/>
      <c r="BC346" s="7"/>
      <c r="BD346" s="60"/>
      <c r="BE346" s="44"/>
      <c r="BF346" s="11"/>
      <c r="BG346" s="19"/>
      <c r="BH346" s="7"/>
      <c r="BI346" s="7"/>
      <c r="BJ346" s="7"/>
      <c r="BK346" s="7"/>
      <c r="BL346" s="7"/>
      <c r="BM346" s="7"/>
      <c r="BN346" s="7"/>
      <c r="BO346" s="7"/>
      <c r="BP346" s="7"/>
      <c r="BQ346" s="7"/>
      <c r="BR346" s="7"/>
      <c r="BS346" s="7"/>
      <c r="BT346" s="7"/>
      <c r="BU346" s="7"/>
      <c r="BV346" s="7"/>
      <c r="BW346" s="7"/>
      <c r="BX346" s="7"/>
      <c r="BY346" s="7"/>
      <c r="BZ346" s="41"/>
      <c r="CA346" s="7"/>
      <c r="CB346" s="7"/>
      <c r="CC346" s="7"/>
      <c r="CD346" s="7"/>
      <c r="CE346" s="7"/>
      <c r="CF346" s="7"/>
    </row>
    <row r="347">
      <c r="T347" s="7"/>
      <c r="U347" s="7"/>
      <c r="V347" s="7"/>
      <c r="W347" s="7"/>
      <c r="X347" s="7"/>
      <c r="Y347" s="7"/>
      <c r="Z347" s="7"/>
      <c r="AA347" s="7"/>
      <c r="AB347" s="7"/>
      <c r="AC347" s="7"/>
      <c r="AD347" s="7"/>
      <c r="AE347" s="7"/>
      <c r="AF347" s="7"/>
      <c r="AG347" s="7"/>
      <c r="AH347" s="7"/>
      <c r="AI347" s="7"/>
      <c r="AJ347" s="7"/>
      <c r="AK347" s="7"/>
      <c r="AL347" s="7"/>
      <c r="AM347" s="7"/>
      <c r="AN347" s="7"/>
      <c r="AS347" s="7"/>
      <c r="AT347" s="7"/>
      <c r="AU347" s="55"/>
      <c r="AV347" s="7"/>
      <c r="AW347" s="7"/>
      <c r="AX347" s="7"/>
      <c r="AY347" s="7"/>
      <c r="AZ347" s="7"/>
      <c r="BA347" s="7"/>
      <c r="BB347" s="7"/>
      <c r="BC347" s="7"/>
      <c r="BD347" s="60"/>
      <c r="BE347" s="44"/>
      <c r="BF347" s="11"/>
      <c r="BG347" s="19"/>
      <c r="BH347" s="7"/>
      <c r="BI347" s="7"/>
      <c r="BJ347" s="7"/>
      <c r="BK347" s="7"/>
      <c r="BL347" s="7"/>
      <c r="BM347" s="7"/>
      <c r="BN347" s="7"/>
      <c r="BO347" s="7"/>
      <c r="BP347" s="7"/>
      <c r="BQ347" s="7"/>
      <c r="BR347" s="7"/>
      <c r="BS347" s="7"/>
      <c r="BT347" s="7"/>
      <c r="BU347" s="7"/>
      <c r="BV347" s="7"/>
      <c r="BW347" s="7"/>
      <c r="BX347" s="7"/>
      <c r="BY347" s="7"/>
      <c r="BZ347" s="41"/>
      <c r="CA347" s="7"/>
      <c r="CB347" s="7"/>
      <c r="CC347" s="7"/>
      <c r="CD347" s="7"/>
      <c r="CE347" s="7"/>
      <c r="CF347" s="7"/>
    </row>
    <row r="348">
      <c r="T348" s="7"/>
      <c r="U348" s="7"/>
      <c r="V348" s="7"/>
      <c r="W348" s="7"/>
      <c r="X348" s="7"/>
      <c r="Y348" s="7"/>
      <c r="Z348" s="7"/>
      <c r="AA348" s="7"/>
      <c r="AB348" s="7"/>
      <c r="AC348" s="7"/>
      <c r="AD348" s="7"/>
      <c r="AE348" s="7"/>
      <c r="AF348" s="7"/>
      <c r="AG348" s="7"/>
      <c r="AH348" s="7"/>
      <c r="AI348" s="7"/>
      <c r="AJ348" s="7"/>
      <c r="AK348" s="7"/>
      <c r="AL348" s="7"/>
      <c r="AM348" s="7"/>
      <c r="AN348" s="7"/>
      <c r="AS348" s="7"/>
      <c r="AT348" s="7"/>
      <c r="AU348" s="55"/>
      <c r="AV348" s="7"/>
      <c r="AW348" s="7"/>
      <c r="AX348" s="7"/>
      <c r="AY348" s="7"/>
      <c r="AZ348" s="7"/>
      <c r="BA348" s="7"/>
      <c r="BB348" s="7"/>
      <c r="BC348" s="7"/>
      <c r="BD348" s="60"/>
      <c r="BE348" s="44"/>
      <c r="BF348" s="11"/>
      <c r="BG348" s="19"/>
      <c r="BH348" s="7"/>
      <c r="BI348" s="7"/>
      <c r="BJ348" s="7"/>
      <c r="BK348" s="7"/>
      <c r="BL348" s="7"/>
      <c r="BM348" s="7"/>
      <c r="BN348" s="7"/>
      <c r="BO348" s="7"/>
      <c r="BP348" s="7"/>
      <c r="BQ348" s="7"/>
      <c r="BR348" s="7"/>
      <c r="BS348" s="7"/>
      <c r="BT348" s="7"/>
      <c r="BU348" s="7"/>
      <c r="BV348" s="7"/>
      <c r="BW348" s="7"/>
      <c r="BX348" s="7"/>
      <c r="BY348" s="7"/>
      <c r="BZ348" s="41"/>
      <c r="CA348" s="7"/>
      <c r="CB348" s="7"/>
      <c r="CC348" s="7"/>
      <c r="CD348" s="7"/>
      <c r="CE348" s="7"/>
      <c r="CF348" s="7"/>
    </row>
    <row r="349">
      <c r="T349" s="7"/>
      <c r="U349" s="7"/>
      <c r="V349" s="7"/>
      <c r="W349" s="7"/>
      <c r="X349" s="7"/>
      <c r="Y349" s="7"/>
      <c r="Z349" s="7"/>
      <c r="AA349" s="7"/>
      <c r="AB349" s="7"/>
      <c r="AC349" s="7"/>
      <c r="AD349" s="7"/>
      <c r="AE349" s="7"/>
      <c r="AF349" s="7"/>
      <c r="AG349" s="7"/>
      <c r="AH349" s="7"/>
      <c r="AI349" s="7"/>
      <c r="AJ349" s="7"/>
      <c r="AK349" s="7"/>
      <c r="AL349" s="7"/>
      <c r="AM349" s="7"/>
      <c r="AN349" s="7"/>
      <c r="AS349" s="7"/>
      <c r="AT349" s="7"/>
      <c r="AU349" s="55"/>
      <c r="AV349" s="7"/>
      <c r="AW349" s="7"/>
      <c r="AX349" s="7"/>
      <c r="AY349" s="7"/>
      <c r="AZ349" s="7"/>
      <c r="BA349" s="7"/>
      <c r="BB349" s="7"/>
      <c r="BC349" s="7"/>
      <c r="BD349" s="60"/>
      <c r="BE349" s="44"/>
      <c r="BF349" s="11"/>
      <c r="BG349" s="19"/>
      <c r="BH349" s="7"/>
      <c r="BI349" s="7"/>
      <c r="BJ349" s="7"/>
      <c r="BK349" s="7"/>
      <c r="BL349" s="7"/>
      <c r="BM349" s="7"/>
      <c r="BN349" s="7"/>
      <c r="BO349" s="7"/>
      <c r="BP349" s="7"/>
      <c r="BQ349" s="7"/>
      <c r="BR349" s="7"/>
      <c r="BS349" s="7"/>
      <c r="BT349" s="7"/>
      <c r="BU349" s="7"/>
      <c r="BV349" s="7"/>
      <c r="BW349" s="7"/>
      <c r="BX349" s="7"/>
      <c r="BY349" s="7"/>
      <c r="BZ349" s="41"/>
      <c r="CA349" s="7"/>
      <c r="CB349" s="7"/>
      <c r="CC349" s="7"/>
      <c r="CD349" s="7"/>
      <c r="CE349" s="7"/>
      <c r="CF349" s="7"/>
    </row>
    <row r="350">
      <c r="T350" s="7"/>
      <c r="U350" s="7"/>
      <c r="V350" s="7"/>
      <c r="W350" s="7"/>
      <c r="X350" s="7"/>
      <c r="Y350" s="7"/>
      <c r="Z350" s="7"/>
      <c r="AA350" s="7"/>
      <c r="AB350" s="7"/>
      <c r="AC350" s="7"/>
      <c r="AD350" s="7"/>
      <c r="AE350" s="7"/>
      <c r="AF350" s="7"/>
      <c r="AG350" s="7"/>
      <c r="AH350" s="7"/>
      <c r="AI350" s="7"/>
      <c r="AJ350" s="7"/>
      <c r="AK350" s="7"/>
      <c r="AL350" s="7"/>
      <c r="AM350" s="7"/>
      <c r="AN350" s="7"/>
      <c r="AS350" s="7"/>
      <c r="AT350" s="7"/>
      <c r="AU350" s="55"/>
      <c r="AV350" s="7"/>
      <c r="AW350" s="7"/>
      <c r="AX350" s="7"/>
      <c r="AY350" s="7"/>
      <c r="AZ350" s="7"/>
      <c r="BA350" s="7"/>
      <c r="BB350" s="7"/>
      <c r="BC350" s="7"/>
      <c r="BD350" s="60"/>
      <c r="BE350" s="44"/>
      <c r="BF350" s="11"/>
      <c r="BG350" s="19"/>
      <c r="BH350" s="7"/>
      <c r="BI350" s="7"/>
      <c r="BJ350" s="7"/>
      <c r="BK350" s="7"/>
      <c r="BL350" s="7"/>
      <c r="BM350" s="7"/>
      <c r="BN350" s="7"/>
      <c r="BO350" s="7"/>
      <c r="BP350" s="7"/>
      <c r="BQ350" s="7"/>
      <c r="BR350" s="7"/>
      <c r="BS350" s="7"/>
      <c r="BT350" s="7"/>
      <c r="BU350" s="7"/>
      <c r="BV350" s="7"/>
      <c r="BW350" s="7"/>
      <c r="BX350" s="7"/>
      <c r="BY350" s="7"/>
      <c r="BZ350" s="41"/>
      <c r="CA350" s="7"/>
      <c r="CB350" s="7"/>
      <c r="CC350" s="7"/>
      <c r="CD350" s="7"/>
      <c r="CE350" s="7"/>
      <c r="CF350" s="7"/>
    </row>
    <row r="351">
      <c r="T351" s="7"/>
      <c r="U351" s="7"/>
      <c r="V351" s="7"/>
      <c r="W351" s="7"/>
      <c r="X351" s="7"/>
      <c r="Y351" s="7"/>
      <c r="Z351" s="7"/>
      <c r="AA351" s="7"/>
      <c r="AB351" s="7"/>
      <c r="AC351" s="7"/>
      <c r="AD351" s="7"/>
      <c r="AE351" s="7"/>
      <c r="AF351" s="7"/>
      <c r="AG351" s="7"/>
      <c r="AH351" s="7"/>
      <c r="AI351" s="7"/>
      <c r="AJ351" s="7"/>
      <c r="AK351" s="7"/>
      <c r="AL351" s="7"/>
      <c r="AM351" s="7"/>
      <c r="AN351" s="7"/>
      <c r="AS351" s="7"/>
      <c r="AT351" s="7"/>
      <c r="AU351" s="55"/>
      <c r="AV351" s="7"/>
      <c r="AW351" s="7"/>
      <c r="AX351" s="7"/>
      <c r="AY351" s="7"/>
      <c r="AZ351" s="7"/>
      <c r="BA351" s="7"/>
      <c r="BB351" s="7"/>
      <c r="BC351" s="7"/>
      <c r="BD351" s="60"/>
      <c r="BE351" s="44"/>
      <c r="BF351" s="11"/>
      <c r="BG351" s="19"/>
      <c r="BH351" s="7"/>
      <c r="BI351" s="7"/>
      <c r="BJ351" s="7"/>
      <c r="BK351" s="7"/>
      <c r="BL351" s="7"/>
      <c r="BM351" s="7"/>
      <c r="BN351" s="7"/>
      <c r="BO351" s="7"/>
      <c r="BP351" s="7"/>
      <c r="BQ351" s="7"/>
      <c r="BR351" s="7"/>
      <c r="BS351" s="7"/>
      <c r="BT351" s="7"/>
      <c r="BU351" s="7"/>
      <c r="BV351" s="7"/>
      <c r="BW351" s="7"/>
      <c r="BX351" s="7"/>
      <c r="BY351" s="7"/>
      <c r="BZ351" s="41"/>
      <c r="CA351" s="7"/>
      <c r="CB351" s="7"/>
      <c r="CC351" s="7"/>
      <c r="CD351" s="7"/>
      <c r="CE351" s="7"/>
      <c r="CF351" s="7"/>
    </row>
    <row r="352">
      <c r="T352" s="7"/>
      <c r="U352" s="7"/>
      <c r="V352" s="7"/>
      <c r="W352" s="7"/>
      <c r="X352" s="7"/>
      <c r="Y352" s="7"/>
      <c r="Z352" s="7"/>
      <c r="AA352" s="7"/>
      <c r="AB352" s="7"/>
      <c r="AC352" s="7"/>
      <c r="AD352" s="7"/>
      <c r="AE352" s="7"/>
      <c r="AF352" s="7"/>
      <c r="AG352" s="7"/>
      <c r="AH352" s="7"/>
      <c r="AI352" s="7"/>
      <c r="AJ352" s="7"/>
      <c r="AK352" s="7"/>
      <c r="AL352" s="7"/>
      <c r="AM352" s="7"/>
      <c r="AN352" s="7"/>
      <c r="AS352" s="7"/>
      <c r="AT352" s="7"/>
      <c r="AU352" s="55"/>
      <c r="AV352" s="7"/>
      <c r="AW352" s="7"/>
      <c r="AX352" s="7"/>
      <c r="AY352" s="7"/>
      <c r="AZ352" s="7"/>
      <c r="BA352" s="7"/>
      <c r="BB352" s="7"/>
      <c r="BC352" s="7"/>
      <c r="BD352" s="60"/>
      <c r="BE352" s="44"/>
      <c r="BF352" s="11"/>
      <c r="BG352" s="19"/>
      <c r="BH352" s="7"/>
      <c r="BI352" s="7"/>
      <c r="BJ352" s="7"/>
      <c r="BK352" s="7"/>
      <c r="BL352" s="7"/>
      <c r="BM352" s="7"/>
      <c r="BN352" s="7"/>
      <c r="BO352" s="7"/>
      <c r="BP352" s="7"/>
      <c r="BQ352" s="7"/>
      <c r="BR352" s="7"/>
      <c r="BS352" s="7"/>
      <c r="BT352" s="7"/>
      <c r="BU352" s="7"/>
      <c r="BV352" s="7"/>
      <c r="BW352" s="7"/>
      <c r="BX352" s="7"/>
      <c r="BY352" s="7"/>
      <c r="BZ352" s="41"/>
      <c r="CA352" s="7"/>
      <c r="CB352" s="7"/>
      <c r="CC352" s="7"/>
      <c r="CD352" s="7"/>
      <c r="CE352" s="7"/>
      <c r="CF352" s="7"/>
    </row>
    <row r="353" ht="44.25" customHeight="1">
      <c r="T353" s="7"/>
      <c r="U353" s="7"/>
      <c r="V353" s="7"/>
      <c r="W353" s="7"/>
      <c r="X353" s="7"/>
      <c r="Y353" s="7"/>
      <c r="Z353" s="7"/>
      <c r="AA353" s="7"/>
      <c r="AB353" s="7"/>
      <c r="AC353" s="7"/>
      <c r="AD353" s="7"/>
      <c r="AE353" s="7"/>
      <c r="AF353" s="7"/>
      <c r="AG353" s="7"/>
      <c r="AH353" s="7"/>
      <c r="AI353" s="7"/>
      <c r="AJ353" s="7"/>
      <c r="AK353" s="7"/>
      <c r="AL353" s="7"/>
      <c r="AM353" s="7"/>
      <c r="AN353" s="7"/>
      <c r="AS353" s="7"/>
      <c r="AT353" s="7"/>
      <c r="AU353" s="55"/>
      <c r="AV353" s="7"/>
      <c r="AW353" s="7"/>
      <c r="AX353" s="7"/>
      <c r="AY353" s="7"/>
      <c r="AZ353" s="7"/>
      <c r="BA353" s="7"/>
      <c r="BB353" s="7"/>
      <c r="BC353" s="7"/>
      <c r="BD353" s="60"/>
      <c r="BE353" s="44"/>
      <c r="BF353" s="11"/>
      <c r="BG353" s="19"/>
      <c r="BH353" s="7"/>
      <c r="BI353" s="7"/>
      <c r="BJ353" s="7"/>
      <c r="BK353" s="7"/>
      <c r="BL353" s="7"/>
      <c r="BM353" s="7"/>
      <c r="BN353" s="7"/>
      <c r="BO353" s="7"/>
      <c r="BP353" s="7"/>
      <c r="BQ353" s="7"/>
      <c r="BR353" s="7"/>
      <c r="BS353" s="7"/>
      <c r="BT353" s="7"/>
      <c r="BU353" s="7"/>
      <c r="BV353" s="7"/>
      <c r="BW353" s="7"/>
      <c r="BX353" s="7"/>
      <c r="BY353" s="7"/>
      <c r="BZ353" s="41"/>
      <c r="CA353" s="7"/>
      <c r="CB353" s="7"/>
      <c r="CC353" s="7"/>
      <c r="CD353" s="7"/>
      <c r="CE353" s="7"/>
      <c r="CF353" s="7"/>
    </row>
    <row r="354">
      <c r="T354" s="7"/>
      <c r="U354" s="7"/>
      <c r="V354" s="7"/>
      <c r="W354" s="7"/>
      <c r="X354" s="7"/>
      <c r="Y354" s="7"/>
      <c r="Z354" s="7"/>
      <c r="AA354" s="7"/>
      <c r="AB354" s="7"/>
      <c r="AC354" s="7"/>
      <c r="AD354" s="7"/>
      <c r="AE354" s="7"/>
      <c r="AF354" s="7"/>
      <c r="AG354" s="7"/>
      <c r="AH354" s="7"/>
      <c r="AI354" s="7"/>
      <c r="AJ354" s="7"/>
      <c r="AK354" s="7"/>
      <c r="AL354" s="7"/>
      <c r="AM354" s="7"/>
      <c r="AN354" s="7"/>
      <c r="AS354" s="7"/>
      <c r="AT354" s="7"/>
      <c r="AU354" s="55"/>
      <c r="AV354" s="7"/>
      <c r="AW354" s="7"/>
      <c r="AX354" s="7"/>
      <c r="AY354" s="7"/>
      <c r="AZ354" s="7"/>
      <c r="BA354" s="7"/>
      <c r="BB354" s="7"/>
      <c r="BC354" s="7"/>
      <c r="BD354" s="60"/>
      <c r="BE354" s="44"/>
      <c r="BF354" s="11"/>
      <c r="BG354" s="19"/>
      <c r="BH354" s="7"/>
      <c r="BI354" s="7"/>
      <c r="BJ354" s="7"/>
      <c r="BK354" s="7"/>
      <c r="BL354" s="7"/>
      <c r="BM354" s="7"/>
      <c r="BN354" s="7"/>
      <c r="BO354" s="7"/>
      <c r="BP354" s="7"/>
      <c r="BQ354" s="7"/>
      <c r="BR354" s="7"/>
      <c r="BS354" s="7"/>
      <c r="BT354" s="7"/>
      <c r="BU354" s="7"/>
      <c r="BV354" s="7"/>
      <c r="BW354" s="7"/>
      <c r="BX354" s="7"/>
      <c r="BY354" s="7"/>
      <c r="BZ354" s="41"/>
      <c r="CA354" s="7"/>
      <c r="CB354" s="7"/>
      <c r="CC354" s="7"/>
      <c r="CD354" s="7"/>
      <c r="CE354" s="7"/>
      <c r="CF354" s="7"/>
    </row>
    <row r="355">
      <c r="T355" s="7"/>
      <c r="U355" s="7"/>
      <c r="V355" s="7"/>
      <c r="W355" s="7"/>
      <c r="X355" s="7"/>
      <c r="Y355" s="7"/>
      <c r="Z355" s="7"/>
      <c r="AA355" s="7"/>
      <c r="AB355" s="7"/>
      <c r="AC355" s="7"/>
      <c r="AD355" s="7"/>
      <c r="AE355" s="7"/>
      <c r="AF355" s="7"/>
      <c r="AG355" s="7"/>
      <c r="AH355" s="7"/>
      <c r="AI355" s="7"/>
      <c r="AJ355" s="7"/>
      <c r="AK355" s="7"/>
      <c r="AL355" s="7"/>
      <c r="AM355" s="7"/>
      <c r="AN355" s="7"/>
      <c r="AS355" s="7"/>
      <c r="AT355" s="7"/>
      <c r="AU355" s="55"/>
      <c r="AV355" s="7"/>
      <c r="AW355" s="7"/>
      <c r="AX355" s="7"/>
      <c r="AY355" s="7"/>
      <c r="AZ355" s="7"/>
      <c r="BA355" s="7"/>
      <c r="BB355" s="7"/>
      <c r="BC355" s="7"/>
      <c r="BD355" s="60"/>
      <c r="BE355" s="44"/>
      <c r="BF355" s="11"/>
      <c r="BG355" s="19"/>
      <c r="BH355" s="7"/>
      <c r="BI355" s="7"/>
      <c r="BJ355" s="7"/>
      <c r="BK355" s="7"/>
      <c r="BL355" s="7"/>
      <c r="BM355" s="7"/>
      <c r="BN355" s="7"/>
      <c r="BO355" s="7"/>
      <c r="BP355" s="7"/>
      <c r="BQ355" s="7"/>
      <c r="BR355" s="7"/>
      <c r="BS355" s="7"/>
      <c r="BT355" s="7"/>
      <c r="BU355" s="7"/>
      <c r="BV355" s="7"/>
      <c r="BW355" s="7"/>
      <c r="BX355" s="7"/>
      <c r="BY355" s="7"/>
      <c r="BZ355" s="41"/>
      <c r="CA355" s="7"/>
      <c r="CB355" s="7"/>
      <c r="CC355" s="7"/>
      <c r="CD355" s="7"/>
      <c r="CE355" s="7"/>
      <c r="CF355" s="7"/>
    </row>
    <row r="356">
      <c r="T356" s="7"/>
      <c r="U356" s="7"/>
      <c r="V356" s="7"/>
      <c r="W356" s="7"/>
      <c r="X356" s="7"/>
      <c r="Y356" s="7"/>
      <c r="Z356" s="7"/>
      <c r="AA356" s="7"/>
      <c r="AB356" s="7"/>
      <c r="AC356" s="7"/>
      <c r="AD356" s="7"/>
      <c r="AE356" s="7"/>
      <c r="AF356" s="7"/>
      <c r="AG356" s="7"/>
      <c r="AH356" s="7"/>
      <c r="AI356" s="7"/>
      <c r="AJ356" s="7"/>
      <c r="AK356" s="7"/>
      <c r="AL356" s="7"/>
      <c r="AM356" s="7"/>
      <c r="AN356" s="7"/>
      <c r="AS356" s="7"/>
      <c r="AT356" s="7"/>
      <c r="AU356" s="55"/>
      <c r="AV356" s="7"/>
      <c r="AW356" s="7"/>
      <c r="AX356" s="7"/>
      <c r="AY356" s="7"/>
      <c r="AZ356" s="7"/>
      <c r="BA356" s="7"/>
      <c r="BB356" s="7"/>
      <c r="BC356" s="7"/>
      <c r="BD356" s="60"/>
      <c r="BE356" s="44"/>
      <c r="BF356" s="11"/>
      <c r="BG356" s="19"/>
      <c r="BH356" s="7"/>
      <c r="BI356" s="7"/>
      <c r="BJ356" s="7"/>
      <c r="BK356" s="7"/>
      <c r="BL356" s="7"/>
      <c r="BM356" s="7"/>
      <c r="BN356" s="7"/>
      <c r="BO356" s="7"/>
      <c r="BP356" s="7"/>
      <c r="BQ356" s="7"/>
      <c r="BR356" s="7"/>
      <c r="BS356" s="7"/>
      <c r="BT356" s="7"/>
      <c r="BU356" s="7"/>
      <c r="BV356" s="7"/>
      <c r="BW356" s="7"/>
      <c r="BX356" s="7"/>
      <c r="BY356" s="7"/>
      <c r="BZ356" s="41"/>
      <c r="CA356" s="7"/>
      <c r="CB356" s="7"/>
      <c r="CC356" s="7"/>
      <c r="CD356" s="7"/>
      <c r="CE356" s="7"/>
      <c r="CF356" s="7"/>
    </row>
    <row r="357">
      <c r="T357" s="7"/>
      <c r="U357" s="7"/>
      <c r="V357" s="7"/>
      <c r="W357" s="7"/>
      <c r="X357" s="7"/>
      <c r="Y357" s="7"/>
      <c r="Z357" s="7"/>
      <c r="AA357" s="7"/>
      <c r="AB357" s="7"/>
      <c r="AC357" s="7"/>
      <c r="AD357" s="7"/>
      <c r="AE357" s="7"/>
      <c r="AF357" s="7"/>
      <c r="AG357" s="7"/>
      <c r="AH357" s="7"/>
      <c r="AI357" s="7"/>
      <c r="AJ357" s="7"/>
      <c r="AK357" s="7"/>
      <c r="AL357" s="7"/>
      <c r="AM357" s="7"/>
      <c r="AN357" s="7"/>
      <c r="AS357" s="7"/>
      <c r="AT357" s="7"/>
      <c r="AU357" s="55"/>
      <c r="AV357" s="7"/>
      <c r="AW357" s="7"/>
      <c r="AX357" s="7"/>
      <c r="AY357" s="7"/>
      <c r="AZ357" s="7"/>
      <c r="BA357" s="7"/>
      <c r="BB357" s="7"/>
      <c r="BC357" s="7"/>
      <c r="BD357" s="60"/>
      <c r="BE357" s="44"/>
      <c r="BF357" s="11"/>
      <c r="BG357" s="19"/>
      <c r="BH357" s="7"/>
      <c r="BI357" s="7"/>
      <c r="BJ357" s="7"/>
      <c r="BK357" s="7"/>
      <c r="BL357" s="7"/>
      <c r="BM357" s="7"/>
      <c r="BN357" s="7"/>
      <c r="BO357" s="7"/>
      <c r="BP357" s="7"/>
      <c r="BQ357" s="7"/>
      <c r="BR357" s="7"/>
      <c r="BS357" s="7"/>
      <c r="BT357" s="7"/>
      <c r="BU357" s="7"/>
      <c r="BV357" s="7"/>
      <c r="BW357" s="7"/>
      <c r="BX357" s="7"/>
      <c r="BY357" s="7"/>
      <c r="BZ357" s="41"/>
      <c r="CA357" s="7"/>
      <c r="CB357" s="7"/>
      <c r="CC357" s="7"/>
      <c r="CD357" s="7"/>
      <c r="CE357" s="7"/>
      <c r="CF357" s="7"/>
    </row>
    <row r="358">
      <c r="T358" s="7"/>
      <c r="U358" s="7"/>
      <c r="V358" s="7"/>
      <c r="W358" s="7"/>
      <c r="X358" s="7"/>
      <c r="Y358" s="7"/>
      <c r="Z358" s="7"/>
      <c r="AA358" s="7"/>
      <c r="AB358" s="7"/>
      <c r="AC358" s="7"/>
      <c r="AD358" s="7"/>
      <c r="AE358" s="7"/>
      <c r="AF358" s="7"/>
      <c r="AG358" s="7"/>
      <c r="AH358" s="7"/>
      <c r="AI358" s="7"/>
      <c r="AJ358" s="7"/>
      <c r="AK358" s="7"/>
      <c r="AL358" s="7"/>
      <c r="AM358" s="7"/>
      <c r="AN358" s="7"/>
      <c r="AS358" s="7"/>
      <c r="AT358" s="7"/>
      <c r="AU358" s="55"/>
      <c r="AV358" s="7"/>
      <c r="AW358" s="7"/>
      <c r="AX358" s="7"/>
      <c r="AY358" s="7"/>
      <c r="AZ358" s="7"/>
      <c r="BA358" s="7"/>
      <c r="BB358" s="7"/>
      <c r="BC358" s="7"/>
      <c r="BD358" s="60"/>
      <c r="BE358" s="44"/>
      <c r="BF358" s="11"/>
      <c r="BG358" s="19"/>
      <c r="BH358" s="7"/>
      <c r="BI358" s="7"/>
      <c r="BJ358" s="7"/>
      <c r="BK358" s="7"/>
      <c r="BL358" s="7"/>
      <c r="BM358" s="7"/>
      <c r="BN358" s="7"/>
      <c r="BO358" s="7"/>
      <c r="BP358" s="7"/>
      <c r="BQ358" s="7"/>
      <c r="BR358" s="7"/>
      <c r="BS358" s="7"/>
      <c r="BT358" s="7"/>
      <c r="BU358" s="7"/>
      <c r="BV358" s="7"/>
      <c r="BW358" s="7"/>
      <c r="BX358" s="7"/>
      <c r="BY358" s="7"/>
      <c r="BZ358" s="41"/>
      <c r="CA358" s="7"/>
      <c r="CB358" s="7"/>
      <c r="CC358" s="7"/>
      <c r="CD358" s="7"/>
      <c r="CE358" s="7"/>
      <c r="CF358" s="7"/>
    </row>
    <row r="359">
      <c r="T359" s="7"/>
      <c r="U359" s="7"/>
      <c r="V359" s="7"/>
      <c r="W359" s="7"/>
      <c r="X359" s="7"/>
      <c r="Y359" s="7"/>
      <c r="Z359" s="7"/>
      <c r="AA359" s="7"/>
      <c r="AB359" s="7"/>
      <c r="AC359" s="7"/>
      <c r="AD359" s="7"/>
      <c r="AE359" s="7"/>
      <c r="AF359" s="7"/>
      <c r="AG359" s="7"/>
      <c r="AH359" s="7"/>
      <c r="AI359" s="7"/>
      <c r="AJ359" s="7"/>
      <c r="AK359" s="7"/>
      <c r="AL359" s="7"/>
      <c r="AM359" s="7"/>
      <c r="AN359" s="7"/>
      <c r="AS359" s="7"/>
      <c r="AT359" s="7"/>
      <c r="AU359" s="55"/>
      <c r="AV359" s="7"/>
      <c r="AW359" s="7"/>
      <c r="AX359" s="7"/>
      <c r="AY359" s="7"/>
      <c r="AZ359" s="7"/>
      <c r="BA359" s="7"/>
      <c r="BB359" s="7"/>
      <c r="BC359" s="7"/>
      <c r="BD359" s="60"/>
      <c r="BE359" s="44"/>
      <c r="BF359" s="11"/>
      <c r="BG359" s="19"/>
      <c r="BH359" s="7"/>
      <c r="BI359" s="7"/>
      <c r="BJ359" s="7"/>
      <c r="BK359" s="7"/>
      <c r="BL359" s="7"/>
      <c r="BM359" s="7"/>
      <c r="BN359" s="7"/>
      <c r="BO359" s="7"/>
      <c r="BP359" s="7"/>
      <c r="BQ359" s="7"/>
      <c r="BR359" s="7"/>
      <c r="BS359" s="7"/>
      <c r="BT359" s="7"/>
      <c r="BU359" s="7"/>
      <c r="BV359" s="7"/>
      <c r="BW359" s="7"/>
      <c r="BX359" s="7"/>
      <c r="BY359" s="7"/>
      <c r="BZ359" s="41"/>
      <c r="CA359" s="7"/>
      <c r="CB359" s="7"/>
      <c r="CC359" s="7"/>
      <c r="CD359" s="7"/>
      <c r="CE359" s="7"/>
      <c r="CF359" s="7"/>
    </row>
    <row r="360">
      <c r="T360" s="7"/>
      <c r="U360" s="7"/>
      <c r="V360" s="7"/>
      <c r="W360" s="7"/>
      <c r="X360" s="7"/>
      <c r="Y360" s="7"/>
      <c r="Z360" s="7"/>
      <c r="AA360" s="7"/>
      <c r="AB360" s="7"/>
      <c r="AC360" s="7"/>
      <c r="AD360" s="7"/>
      <c r="AE360" s="7"/>
      <c r="AF360" s="7"/>
      <c r="AG360" s="7"/>
      <c r="AH360" s="7"/>
      <c r="AI360" s="7"/>
      <c r="AJ360" s="7"/>
      <c r="AK360" s="7"/>
      <c r="AL360" s="7"/>
      <c r="AM360" s="7"/>
      <c r="AN360" s="7"/>
      <c r="AS360" s="7"/>
      <c r="AT360" s="7"/>
      <c r="AU360" s="55"/>
      <c r="AV360" s="7"/>
      <c r="AW360" s="7"/>
      <c r="AX360" s="7"/>
      <c r="AY360" s="7"/>
      <c r="AZ360" s="7"/>
      <c r="BA360" s="7"/>
      <c r="BB360" s="7"/>
      <c r="BC360" s="7"/>
      <c r="BD360" s="60"/>
      <c r="BE360" s="44"/>
      <c r="BF360" s="11"/>
      <c r="BG360" s="19"/>
      <c r="BH360" s="7"/>
      <c r="BI360" s="7"/>
      <c r="BJ360" s="7"/>
      <c r="BK360" s="7"/>
      <c r="BL360" s="7"/>
      <c r="BM360" s="7"/>
      <c r="BN360" s="7"/>
      <c r="BO360" s="7"/>
      <c r="BP360" s="7"/>
      <c r="BQ360" s="7"/>
      <c r="BR360" s="7"/>
      <c r="BS360" s="7"/>
      <c r="BT360" s="7"/>
      <c r="BU360" s="7"/>
      <c r="BV360" s="7"/>
      <c r="BW360" s="7"/>
      <c r="BX360" s="7"/>
      <c r="BY360" s="7"/>
      <c r="BZ360" s="41"/>
      <c r="CA360" s="7"/>
      <c r="CB360" s="7"/>
      <c r="CC360" s="7"/>
      <c r="CD360" s="7"/>
      <c r="CE360" s="7"/>
      <c r="CF360" s="7"/>
    </row>
    <row r="361">
      <c r="T361" s="7"/>
      <c r="U361" s="7"/>
      <c r="V361" s="7"/>
      <c r="W361" s="7"/>
      <c r="X361" s="7"/>
      <c r="Y361" s="7"/>
      <c r="Z361" s="7"/>
      <c r="AA361" s="7"/>
      <c r="AB361" s="7"/>
      <c r="AC361" s="7"/>
      <c r="AD361" s="7"/>
      <c r="AE361" s="7"/>
      <c r="AF361" s="7"/>
      <c r="AG361" s="7"/>
      <c r="AH361" s="7"/>
      <c r="AI361" s="7"/>
      <c r="AJ361" s="7"/>
      <c r="AK361" s="7"/>
      <c r="AL361" s="7"/>
      <c r="AM361" s="7"/>
      <c r="AN361" s="7"/>
      <c r="AS361" s="7"/>
      <c r="AT361" s="7"/>
      <c r="AU361" s="55"/>
      <c r="AV361" s="7"/>
      <c r="AW361" s="7"/>
      <c r="AX361" s="7"/>
      <c r="AY361" s="7"/>
      <c r="AZ361" s="7"/>
      <c r="BA361" s="7"/>
      <c r="BB361" s="7"/>
      <c r="BC361" s="7"/>
      <c r="BD361" s="60"/>
      <c r="BE361" s="44"/>
      <c r="BF361" s="11"/>
      <c r="BG361" s="19"/>
      <c r="BH361" s="7"/>
      <c r="BI361" s="7"/>
      <c r="BJ361" s="7"/>
      <c r="BK361" s="7"/>
      <c r="BL361" s="7"/>
      <c r="BM361" s="7"/>
      <c r="BN361" s="7"/>
      <c r="BO361" s="7"/>
      <c r="BP361" s="7"/>
      <c r="BQ361" s="7"/>
      <c r="BR361" s="7"/>
      <c r="BS361" s="7"/>
      <c r="BT361" s="7"/>
      <c r="BU361" s="7"/>
      <c r="BV361" s="7"/>
      <c r="BW361" s="7"/>
      <c r="BX361" s="7"/>
      <c r="BY361" s="7"/>
      <c r="BZ361" s="41"/>
      <c r="CA361" s="7"/>
      <c r="CB361" s="7"/>
      <c r="CC361" s="7"/>
      <c r="CD361" s="7"/>
      <c r="CE361" s="7"/>
      <c r="CF361" s="7"/>
    </row>
    <row r="362">
      <c r="T362" s="7"/>
      <c r="U362" s="7"/>
      <c r="V362" s="7"/>
      <c r="W362" s="7"/>
      <c r="X362" s="7"/>
      <c r="Y362" s="7"/>
      <c r="Z362" s="7"/>
      <c r="AA362" s="7"/>
      <c r="AB362" s="7"/>
      <c r="AC362" s="7"/>
      <c r="AD362" s="7"/>
      <c r="AE362" s="7"/>
      <c r="AF362" s="7"/>
      <c r="AG362" s="7"/>
      <c r="AH362" s="7"/>
      <c r="AI362" s="7"/>
      <c r="AJ362" s="7"/>
      <c r="AK362" s="7"/>
      <c r="AL362" s="7"/>
      <c r="AM362" s="7"/>
      <c r="AN362" s="7"/>
      <c r="AS362" s="7"/>
      <c r="AT362" s="7"/>
      <c r="AU362" s="55"/>
      <c r="AV362" s="7"/>
      <c r="AW362" s="7"/>
      <c r="AX362" s="7"/>
      <c r="AY362" s="7"/>
      <c r="AZ362" s="7"/>
      <c r="BA362" s="7"/>
      <c r="BB362" s="7"/>
      <c r="BC362" s="7"/>
      <c r="BD362" s="60"/>
      <c r="BE362" s="44"/>
      <c r="BF362" s="11"/>
      <c r="BG362" s="19"/>
      <c r="BH362" s="7"/>
      <c r="BI362" s="7"/>
      <c r="BJ362" s="7"/>
      <c r="BK362" s="7"/>
      <c r="BL362" s="7"/>
      <c r="BM362" s="7"/>
      <c r="BN362" s="7"/>
      <c r="BO362" s="7"/>
      <c r="BP362" s="7"/>
      <c r="BQ362" s="7"/>
      <c r="BR362" s="7"/>
      <c r="BS362" s="7"/>
      <c r="BT362" s="7"/>
      <c r="BU362" s="7"/>
      <c r="BV362" s="7"/>
      <c r="BW362" s="7"/>
      <c r="BX362" s="7"/>
      <c r="BY362" s="7"/>
      <c r="BZ362" s="41"/>
      <c r="CA362" s="7"/>
      <c r="CB362" s="7"/>
      <c r="CC362" s="7"/>
      <c r="CD362" s="7"/>
      <c r="CE362" s="7"/>
      <c r="CF362" s="7"/>
    </row>
    <row r="363">
      <c r="T363" s="7"/>
      <c r="U363" s="7"/>
      <c r="V363" s="7"/>
      <c r="W363" s="7"/>
      <c r="X363" s="7"/>
      <c r="Y363" s="7"/>
      <c r="Z363" s="7"/>
      <c r="AA363" s="7"/>
      <c r="AB363" s="7"/>
      <c r="AC363" s="7"/>
      <c r="AD363" s="7"/>
      <c r="AE363" s="7"/>
      <c r="AF363" s="7"/>
      <c r="AG363" s="7"/>
      <c r="AH363" s="7"/>
      <c r="AI363" s="7"/>
      <c r="AJ363" s="7"/>
      <c r="AK363" s="7"/>
      <c r="AL363" s="7"/>
      <c r="AM363" s="7"/>
      <c r="AN363" s="7"/>
      <c r="AS363" s="7"/>
      <c r="AT363" s="7"/>
      <c r="AU363" s="55"/>
      <c r="AV363" s="7"/>
      <c r="AW363" s="7"/>
      <c r="AX363" s="7"/>
      <c r="AY363" s="7"/>
      <c r="AZ363" s="7"/>
      <c r="BA363" s="7"/>
      <c r="BB363" s="7"/>
      <c r="BC363" s="7"/>
      <c r="BD363" s="60"/>
      <c r="BE363" s="44"/>
      <c r="BF363" s="11"/>
      <c r="BG363" s="19"/>
      <c r="BH363" s="7"/>
      <c r="BI363" s="7"/>
      <c r="BJ363" s="7"/>
      <c r="BK363" s="7"/>
      <c r="BL363" s="7"/>
      <c r="BM363" s="7"/>
      <c r="BN363" s="7"/>
      <c r="BO363" s="7"/>
      <c r="BP363" s="7"/>
      <c r="BQ363" s="7"/>
      <c r="BR363" s="7"/>
      <c r="BS363" s="7"/>
      <c r="BT363" s="7"/>
      <c r="BU363" s="7"/>
      <c r="BV363" s="7"/>
      <c r="BW363" s="7"/>
      <c r="BX363" s="7"/>
      <c r="BY363" s="7"/>
      <c r="BZ363" s="41"/>
      <c r="CA363" s="7"/>
      <c r="CB363" s="7"/>
      <c r="CC363" s="7"/>
      <c r="CD363" s="7"/>
      <c r="CE363" s="7"/>
      <c r="CF363" s="7"/>
    </row>
    <row r="364">
      <c r="T364" s="7"/>
      <c r="U364" s="7"/>
      <c r="V364" s="7"/>
      <c r="W364" s="7"/>
      <c r="X364" s="7"/>
      <c r="Y364" s="7"/>
      <c r="Z364" s="7"/>
      <c r="AA364" s="7"/>
      <c r="AB364" s="7"/>
      <c r="AC364" s="7"/>
      <c r="AD364" s="7"/>
      <c r="AE364" s="7"/>
      <c r="AF364" s="7"/>
      <c r="AG364" s="7"/>
      <c r="AH364" s="7"/>
      <c r="AI364" s="7"/>
      <c r="AJ364" s="7"/>
      <c r="AK364" s="7"/>
      <c r="AL364" s="7"/>
      <c r="AM364" s="7"/>
      <c r="AN364" s="7"/>
      <c r="AS364" s="7"/>
      <c r="AT364" s="7"/>
      <c r="AU364" s="55"/>
      <c r="AV364" s="7"/>
      <c r="AW364" s="7"/>
      <c r="AX364" s="7"/>
      <c r="AY364" s="7"/>
      <c r="AZ364" s="7"/>
      <c r="BA364" s="7"/>
      <c r="BB364" s="7"/>
      <c r="BC364" s="7"/>
      <c r="BD364" s="60"/>
      <c r="BE364" s="44"/>
      <c r="BF364" s="11"/>
      <c r="BG364" s="19"/>
      <c r="BH364" s="7"/>
      <c r="BI364" s="7"/>
      <c r="BJ364" s="7"/>
      <c r="BK364" s="7"/>
      <c r="BL364" s="7"/>
      <c r="BM364" s="7"/>
      <c r="BN364" s="7"/>
      <c r="BO364" s="7"/>
      <c r="BP364" s="7"/>
      <c r="BQ364" s="7"/>
      <c r="BR364" s="7"/>
      <c r="BS364" s="7"/>
      <c r="BT364" s="7"/>
      <c r="BU364" s="7"/>
      <c r="BV364" s="7"/>
      <c r="BW364" s="7"/>
      <c r="BX364" s="7"/>
      <c r="BY364" s="7"/>
      <c r="BZ364" s="41"/>
      <c r="CA364" s="7"/>
      <c r="CB364" s="7"/>
      <c r="CC364" s="7"/>
      <c r="CD364" s="7"/>
      <c r="CE364" s="7"/>
      <c r="CF364" s="7"/>
    </row>
    <row r="365">
      <c r="T365" s="7"/>
      <c r="U365" s="7"/>
      <c r="V365" s="7"/>
      <c r="W365" s="7"/>
      <c r="X365" s="7"/>
      <c r="Y365" s="7"/>
      <c r="Z365" s="7"/>
      <c r="AA365" s="7"/>
      <c r="AB365" s="7"/>
      <c r="AC365" s="7"/>
      <c r="AD365" s="7"/>
      <c r="AE365" s="7"/>
      <c r="AF365" s="7"/>
      <c r="AG365" s="7"/>
      <c r="AH365" s="7"/>
      <c r="AI365" s="7"/>
      <c r="AJ365" s="7"/>
      <c r="AK365" s="7"/>
      <c r="AL365" s="7"/>
      <c r="AM365" s="7"/>
      <c r="AN365" s="7"/>
      <c r="AS365" s="7"/>
      <c r="AT365" s="7"/>
      <c r="AU365" s="55"/>
      <c r="AV365" s="7"/>
      <c r="AW365" s="7"/>
      <c r="AX365" s="7"/>
      <c r="AY365" s="7"/>
      <c r="AZ365" s="7"/>
      <c r="BA365" s="7"/>
      <c r="BB365" s="7"/>
      <c r="BC365" s="7"/>
      <c r="BD365" s="60"/>
      <c r="BE365" s="44"/>
      <c r="BF365" s="11"/>
      <c r="BG365" s="19"/>
      <c r="BH365" s="7"/>
      <c r="BI365" s="7"/>
      <c r="BJ365" s="7"/>
      <c r="BK365" s="7"/>
      <c r="BL365" s="7"/>
      <c r="BM365" s="7"/>
      <c r="BN365" s="7"/>
      <c r="BO365" s="7"/>
      <c r="BP365" s="7"/>
      <c r="BQ365" s="7"/>
      <c r="BR365" s="7"/>
      <c r="BS365" s="7"/>
      <c r="BT365" s="7"/>
      <c r="BU365" s="7"/>
      <c r="BV365" s="7"/>
      <c r="BW365" s="7"/>
      <c r="BX365" s="7"/>
      <c r="BY365" s="7"/>
      <c r="BZ365" s="41"/>
      <c r="CA365" s="7"/>
      <c r="CB365" s="7"/>
      <c r="CC365" s="7"/>
      <c r="CD365" s="7"/>
      <c r="CE365" s="7"/>
      <c r="CF365" s="7"/>
    </row>
    <row r="366">
      <c r="T366" s="7"/>
      <c r="U366" s="7"/>
      <c r="V366" s="7"/>
      <c r="W366" s="7"/>
      <c r="X366" s="7"/>
      <c r="Y366" s="7"/>
      <c r="Z366" s="7"/>
      <c r="AA366" s="7"/>
      <c r="AB366" s="7"/>
      <c r="AC366" s="7"/>
      <c r="AD366" s="7"/>
      <c r="AE366" s="7"/>
      <c r="AF366" s="7"/>
      <c r="AG366" s="7"/>
      <c r="AH366" s="7"/>
      <c r="AI366" s="7"/>
      <c r="AJ366" s="7"/>
      <c r="AK366" s="7"/>
      <c r="AL366" s="7"/>
      <c r="AM366" s="7"/>
      <c r="AN366" s="7"/>
      <c r="AS366" s="7"/>
      <c r="AT366" s="7"/>
      <c r="AU366" s="55"/>
      <c r="AV366" s="7"/>
      <c r="AW366" s="7"/>
      <c r="AX366" s="7"/>
      <c r="AY366" s="7"/>
      <c r="AZ366" s="7"/>
      <c r="BA366" s="7"/>
      <c r="BB366" s="7"/>
      <c r="BC366" s="7"/>
      <c r="BD366" s="60"/>
      <c r="BE366" s="44"/>
      <c r="BF366" s="11"/>
      <c r="BG366" s="19"/>
      <c r="BH366" s="7"/>
      <c r="BI366" s="7"/>
      <c r="BJ366" s="7"/>
      <c r="BK366" s="7"/>
      <c r="BL366" s="7"/>
      <c r="BM366" s="7"/>
      <c r="BN366" s="7"/>
      <c r="BO366" s="7"/>
      <c r="BP366" s="7"/>
      <c r="BQ366" s="7"/>
      <c r="BR366" s="7"/>
      <c r="BS366" s="7"/>
      <c r="BT366" s="7"/>
      <c r="BU366" s="7"/>
      <c r="BV366" s="7"/>
      <c r="BW366" s="7"/>
      <c r="BX366" s="7"/>
      <c r="BY366" s="7"/>
      <c r="BZ366" s="41"/>
      <c r="CA366" s="7"/>
      <c r="CB366" s="7"/>
      <c r="CC366" s="7"/>
      <c r="CD366" s="7"/>
      <c r="CE366" s="7"/>
      <c r="CF366" s="7"/>
    </row>
    <row r="367">
      <c r="T367" s="7"/>
      <c r="U367" s="7"/>
      <c r="V367" s="7"/>
      <c r="W367" s="7"/>
      <c r="X367" s="7"/>
      <c r="Y367" s="7"/>
      <c r="Z367" s="7"/>
      <c r="AA367" s="7"/>
      <c r="AB367" s="7"/>
      <c r="AC367" s="7"/>
      <c r="AD367" s="7"/>
      <c r="AE367" s="7"/>
      <c r="AF367" s="7"/>
      <c r="AG367" s="7"/>
      <c r="AH367" s="7"/>
      <c r="AI367" s="7"/>
      <c r="AJ367" s="7"/>
      <c r="AK367" s="7"/>
      <c r="AL367" s="7"/>
      <c r="AM367" s="7"/>
      <c r="AN367" s="7"/>
      <c r="AS367" s="7"/>
      <c r="AT367" s="7"/>
      <c r="AU367" s="55"/>
      <c r="AV367" s="7"/>
      <c r="AW367" s="7"/>
      <c r="AX367" s="7"/>
      <c r="AY367" s="7"/>
      <c r="AZ367" s="7"/>
      <c r="BA367" s="7"/>
      <c r="BB367" s="7"/>
      <c r="BC367" s="7"/>
      <c r="BD367" s="60"/>
      <c r="BE367" s="44"/>
      <c r="BF367" s="11"/>
      <c r="BG367" s="19"/>
      <c r="BH367" s="7"/>
      <c r="BI367" s="7"/>
      <c r="BJ367" s="7"/>
      <c r="BK367" s="7"/>
      <c r="BL367" s="7"/>
      <c r="BM367" s="7"/>
      <c r="BN367" s="7"/>
      <c r="BO367" s="7"/>
      <c r="BP367" s="7"/>
      <c r="BQ367" s="7"/>
      <c r="BR367" s="7"/>
      <c r="BS367" s="7"/>
      <c r="BT367" s="7"/>
      <c r="BU367" s="7"/>
      <c r="BV367" s="7"/>
      <c r="BW367" s="7"/>
      <c r="BX367" s="7"/>
      <c r="BY367" s="7"/>
      <c r="BZ367" s="41"/>
      <c r="CA367" s="7"/>
      <c r="CB367" s="7"/>
      <c r="CC367" s="7"/>
      <c r="CD367" s="7"/>
      <c r="CE367" s="7"/>
      <c r="CF367" s="7"/>
    </row>
    <row r="368">
      <c r="T368" s="7"/>
      <c r="U368" s="7"/>
      <c r="V368" s="7"/>
      <c r="W368" s="7"/>
      <c r="X368" s="7"/>
      <c r="Y368" s="7"/>
      <c r="Z368" s="7"/>
      <c r="AA368" s="7"/>
      <c r="AB368" s="7"/>
      <c r="AC368" s="7"/>
      <c r="AD368" s="7"/>
      <c r="AE368" s="7"/>
      <c r="AF368" s="7"/>
      <c r="AG368" s="7"/>
      <c r="AH368" s="7"/>
      <c r="AI368" s="7"/>
      <c r="AJ368" s="7"/>
      <c r="AK368" s="7"/>
      <c r="AL368" s="7"/>
      <c r="AM368" s="7"/>
      <c r="AN368" s="7"/>
      <c r="AS368" s="7"/>
      <c r="AT368" s="7"/>
      <c r="AU368" s="55"/>
      <c r="AV368" s="7"/>
      <c r="AW368" s="7"/>
      <c r="AX368" s="7"/>
      <c r="AY368" s="7"/>
      <c r="AZ368" s="7"/>
      <c r="BA368" s="7"/>
      <c r="BB368" s="7"/>
      <c r="BC368" s="7"/>
      <c r="BD368" s="60"/>
      <c r="BE368" s="44"/>
      <c r="BF368" s="11"/>
      <c r="BG368" s="19"/>
      <c r="BH368" s="7"/>
      <c r="BI368" s="7"/>
      <c r="BJ368" s="7"/>
      <c r="BK368" s="7"/>
      <c r="BL368" s="7"/>
      <c r="BM368" s="7"/>
      <c r="BN368" s="7"/>
      <c r="BO368" s="7"/>
      <c r="BP368" s="7"/>
      <c r="BQ368" s="7"/>
      <c r="BR368" s="7"/>
      <c r="BS368" s="7"/>
      <c r="BT368" s="7"/>
      <c r="BU368" s="7"/>
      <c r="BV368" s="7"/>
      <c r="BW368" s="7"/>
      <c r="BX368" s="7"/>
      <c r="BY368" s="7"/>
      <c r="BZ368" s="41"/>
      <c r="CA368" s="7"/>
      <c r="CB368" s="7"/>
      <c r="CC368" s="7"/>
      <c r="CD368" s="7"/>
      <c r="CE368" s="7"/>
      <c r="CF368" s="7"/>
    </row>
    <row r="369">
      <c r="T369" s="7"/>
      <c r="U369" s="7"/>
      <c r="V369" s="7"/>
      <c r="W369" s="7"/>
      <c r="X369" s="7"/>
      <c r="Y369" s="7"/>
      <c r="Z369" s="7"/>
      <c r="AA369" s="7"/>
      <c r="AB369" s="7"/>
      <c r="AC369" s="7"/>
      <c r="AD369" s="7"/>
      <c r="AE369" s="7"/>
      <c r="AF369" s="7"/>
      <c r="AG369" s="7"/>
      <c r="AH369" s="7"/>
      <c r="AI369" s="7"/>
      <c r="AJ369" s="7"/>
      <c r="AK369" s="7"/>
      <c r="AL369" s="7"/>
      <c r="AM369" s="7"/>
      <c r="AN369" s="7"/>
      <c r="AS369" s="7"/>
      <c r="AT369" s="7"/>
      <c r="AU369" s="55"/>
      <c r="AV369" s="7"/>
      <c r="AW369" s="7"/>
      <c r="AX369" s="7"/>
      <c r="AY369" s="7"/>
      <c r="AZ369" s="7"/>
      <c r="BA369" s="7"/>
      <c r="BB369" s="7"/>
      <c r="BC369" s="7"/>
      <c r="BD369" s="60"/>
      <c r="BE369" s="44"/>
      <c r="BF369" s="11"/>
      <c r="BG369" s="19"/>
      <c r="BH369" s="7"/>
      <c r="BI369" s="7"/>
      <c r="BJ369" s="7"/>
      <c r="BK369" s="7"/>
      <c r="BL369" s="7"/>
      <c r="BM369" s="7"/>
      <c r="BN369" s="7"/>
      <c r="BO369" s="7"/>
      <c r="BP369" s="7"/>
      <c r="BQ369" s="7"/>
      <c r="BR369" s="7"/>
      <c r="BS369" s="7"/>
      <c r="BT369" s="7"/>
      <c r="BU369" s="7"/>
      <c r="BV369" s="7"/>
      <c r="BW369" s="7"/>
      <c r="BX369" s="7"/>
      <c r="BY369" s="7"/>
      <c r="BZ369" s="41"/>
      <c r="CA369" s="7"/>
      <c r="CB369" s="7"/>
      <c r="CC369" s="7"/>
      <c r="CD369" s="7"/>
      <c r="CE369" s="7"/>
      <c r="CF369" s="7"/>
    </row>
    <row r="370">
      <c r="T370" s="7"/>
      <c r="U370" s="7"/>
      <c r="V370" s="7"/>
      <c r="W370" s="7"/>
      <c r="X370" s="7"/>
      <c r="Y370" s="7"/>
      <c r="Z370" s="7"/>
      <c r="AA370" s="7"/>
      <c r="AB370" s="7"/>
      <c r="AC370" s="7"/>
      <c r="AD370" s="7"/>
      <c r="AE370" s="7"/>
      <c r="AF370" s="7"/>
      <c r="AG370" s="7"/>
      <c r="AH370" s="7"/>
      <c r="AI370" s="7"/>
      <c r="AJ370" s="7"/>
      <c r="AK370" s="7"/>
      <c r="AL370" s="7"/>
      <c r="AM370" s="7"/>
      <c r="AN370" s="7"/>
      <c r="AS370" s="7"/>
      <c r="AT370" s="7"/>
      <c r="AU370" s="55"/>
      <c r="AV370" s="7"/>
      <c r="AW370" s="7"/>
      <c r="AX370" s="7"/>
      <c r="AY370" s="7"/>
      <c r="AZ370" s="7"/>
      <c r="BA370" s="7"/>
      <c r="BB370" s="7"/>
      <c r="BC370" s="7"/>
      <c r="BD370" s="60"/>
      <c r="BE370" s="44"/>
      <c r="BF370" s="11"/>
      <c r="BG370" s="19"/>
      <c r="BH370" s="7"/>
      <c r="BI370" s="7"/>
      <c r="BJ370" s="7"/>
      <c r="BK370" s="7"/>
      <c r="BL370" s="7"/>
      <c r="BM370" s="7"/>
      <c r="BN370" s="7"/>
      <c r="BO370" s="7"/>
      <c r="BP370" s="7"/>
      <c r="BQ370" s="7"/>
      <c r="BR370" s="7"/>
      <c r="BS370" s="7"/>
      <c r="BT370" s="7"/>
      <c r="BU370" s="7"/>
      <c r="BV370" s="7"/>
      <c r="BW370" s="7"/>
      <c r="BX370" s="7"/>
      <c r="BY370" s="7"/>
      <c r="BZ370" s="41"/>
      <c r="CA370" s="7"/>
      <c r="CB370" s="7"/>
      <c r="CC370" s="7"/>
      <c r="CD370" s="7"/>
      <c r="CE370" s="7"/>
      <c r="CF370" s="7"/>
    </row>
    <row r="371">
      <c r="T371" s="7"/>
      <c r="U371" s="7"/>
      <c r="V371" s="7"/>
      <c r="W371" s="7"/>
      <c r="X371" s="7"/>
      <c r="Y371" s="7"/>
      <c r="Z371" s="7"/>
      <c r="AA371" s="7"/>
      <c r="AB371" s="7"/>
      <c r="AC371" s="7"/>
      <c r="AD371" s="7"/>
      <c r="AE371" s="7"/>
      <c r="AF371" s="7"/>
      <c r="AG371" s="7"/>
      <c r="AH371" s="7"/>
      <c r="AI371" s="7"/>
      <c r="AJ371" s="7"/>
      <c r="AK371" s="7"/>
      <c r="AL371" s="7"/>
      <c r="AM371" s="7"/>
      <c r="AN371" s="7"/>
      <c r="AS371" s="7"/>
      <c r="AT371" s="7"/>
      <c r="AU371" s="55"/>
      <c r="AV371" s="7"/>
      <c r="AW371" s="7"/>
      <c r="AX371" s="7"/>
      <c r="AY371" s="7"/>
      <c r="AZ371" s="7"/>
      <c r="BA371" s="7"/>
      <c r="BB371" s="7"/>
      <c r="BC371" s="7"/>
      <c r="BD371" s="60"/>
      <c r="BE371" s="44"/>
      <c r="BF371" s="11"/>
      <c r="BG371" s="19"/>
      <c r="BH371" s="7"/>
      <c r="BI371" s="7"/>
      <c r="BJ371" s="7"/>
      <c r="BK371" s="7"/>
      <c r="BL371" s="7"/>
      <c r="BM371" s="7"/>
      <c r="BN371" s="7"/>
      <c r="BO371" s="7"/>
      <c r="BP371" s="7"/>
      <c r="BQ371" s="7"/>
      <c r="BR371" s="7"/>
      <c r="BS371" s="7"/>
      <c r="BT371" s="7"/>
      <c r="BU371" s="7"/>
      <c r="BV371" s="7"/>
      <c r="BW371" s="7"/>
      <c r="BX371" s="7"/>
      <c r="BY371" s="7"/>
      <c r="BZ371" s="41"/>
      <c r="CA371" s="7"/>
      <c r="CB371" s="7"/>
      <c r="CC371" s="7"/>
      <c r="CD371" s="7"/>
      <c r="CE371" s="7"/>
      <c r="CF371" s="7"/>
    </row>
    <row r="372">
      <c r="T372" s="7"/>
      <c r="U372" s="7"/>
      <c r="V372" s="7"/>
      <c r="W372" s="7"/>
      <c r="X372" s="7"/>
      <c r="Y372" s="7"/>
      <c r="Z372" s="7"/>
      <c r="AA372" s="7"/>
      <c r="AB372" s="7"/>
      <c r="AC372" s="7"/>
      <c r="AD372" s="7"/>
      <c r="AE372" s="7"/>
      <c r="AF372" s="7"/>
      <c r="AG372" s="7"/>
      <c r="AH372" s="7"/>
      <c r="AI372" s="7"/>
      <c r="AJ372" s="7"/>
      <c r="AK372" s="7"/>
      <c r="AL372" s="7"/>
      <c r="AM372" s="7"/>
      <c r="AN372" s="7"/>
      <c r="AS372" s="7"/>
      <c r="AT372" s="7"/>
      <c r="AU372" s="55"/>
      <c r="AV372" s="7"/>
      <c r="AW372" s="7"/>
      <c r="AX372" s="7"/>
      <c r="AY372" s="7"/>
      <c r="AZ372" s="7"/>
      <c r="BA372" s="7"/>
      <c r="BB372" s="7"/>
      <c r="BC372" s="7"/>
      <c r="BD372" s="60"/>
      <c r="BE372" s="44"/>
      <c r="BF372" s="11"/>
      <c r="BG372" s="19"/>
      <c r="BH372" s="7"/>
      <c r="BI372" s="7"/>
      <c r="BJ372" s="7"/>
      <c r="BK372" s="7"/>
      <c r="BL372" s="7"/>
      <c r="BM372" s="7"/>
      <c r="BN372" s="7"/>
      <c r="BO372" s="7"/>
      <c r="BP372" s="7"/>
      <c r="BQ372" s="7"/>
      <c r="BR372" s="7"/>
      <c r="BS372" s="7"/>
      <c r="BT372" s="7"/>
      <c r="BU372" s="7"/>
      <c r="BV372" s="7"/>
      <c r="BW372" s="7"/>
      <c r="BX372" s="7"/>
      <c r="BY372" s="7"/>
      <c r="BZ372" s="41"/>
      <c r="CA372" s="7"/>
      <c r="CB372" s="7"/>
      <c r="CC372" s="7"/>
      <c r="CD372" s="7"/>
      <c r="CE372" s="7"/>
      <c r="CF372" s="7"/>
    </row>
    <row r="373">
      <c r="T373" s="7"/>
      <c r="U373" s="7"/>
      <c r="V373" s="7"/>
      <c r="W373" s="7"/>
      <c r="X373" s="7"/>
      <c r="Y373" s="7"/>
      <c r="Z373" s="7"/>
      <c r="AA373" s="7"/>
      <c r="AB373" s="7"/>
      <c r="AC373" s="7"/>
      <c r="AD373" s="7"/>
      <c r="AE373" s="7"/>
      <c r="AF373" s="7"/>
      <c r="AG373" s="7"/>
      <c r="AH373" s="7"/>
      <c r="AI373" s="7"/>
      <c r="AJ373" s="7"/>
      <c r="AK373" s="7"/>
      <c r="AL373" s="7"/>
      <c r="AM373" s="7"/>
      <c r="AN373" s="7"/>
      <c r="AS373" s="7"/>
      <c r="AT373" s="7"/>
      <c r="AU373" s="55"/>
      <c r="AV373" s="7"/>
      <c r="AW373" s="7"/>
      <c r="AX373" s="7"/>
      <c r="AY373" s="7"/>
      <c r="AZ373" s="7"/>
      <c r="BA373" s="7"/>
      <c r="BB373" s="7"/>
      <c r="BC373" s="7"/>
      <c r="BD373" s="60"/>
      <c r="BE373" s="44"/>
      <c r="BF373" s="11"/>
      <c r="BG373" s="19"/>
      <c r="BH373" s="7"/>
      <c r="BI373" s="7"/>
      <c r="BJ373" s="7"/>
      <c r="BK373" s="7"/>
      <c r="BL373" s="7"/>
      <c r="BM373" s="7"/>
      <c r="BN373" s="7"/>
      <c r="BO373" s="7"/>
      <c r="BP373" s="7"/>
      <c r="BQ373" s="7"/>
      <c r="BR373" s="7"/>
      <c r="BS373" s="7"/>
      <c r="BT373" s="7"/>
      <c r="BU373" s="7"/>
      <c r="BV373" s="7"/>
      <c r="BW373" s="7"/>
      <c r="BX373" s="7"/>
      <c r="BY373" s="7"/>
      <c r="BZ373" s="41"/>
      <c r="CA373" s="7"/>
      <c r="CB373" s="7"/>
      <c r="CC373" s="7"/>
      <c r="CD373" s="7"/>
      <c r="CE373" s="7"/>
      <c r="CF373" s="7"/>
    </row>
    <row r="374">
      <c r="T374" s="7"/>
      <c r="U374" s="7"/>
      <c r="V374" s="7"/>
      <c r="W374" s="7"/>
      <c r="X374" s="7"/>
      <c r="Y374" s="7"/>
      <c r="Z374" s="7"/>
      <c r="AA374" s="7"/>
      <c r="AB374" s="7"/>
      <c r="AC374" s="7"/>
      <c r="AD374" s="7"/>
      <c r="AE374" s="7"/>
      <c r="AF374" s="7"/>
      <c r="AG374" s="7"/>
      <c r="AH374" s="7"/>
      <c r="AI374" s="7"/>
      <c r="AJ374" s="7"/>
      <c r="AK374" s="7"/>
      <c r="AL374" s="7"/>
      <c r="AM374" s="7"/>
      <c r="AN374" s="7"/>
      <c r="AS374" s="7"/>
      <c r="AT374" s="7"/>
      <c r="AU374" s="55"/>
      <c r="AV374" s="7"/>
      <c r="AW374" s="7"/>
      <c r="AX374" s="7"/>
      <c r="AY374" s="7"/>
      <c r="AZ374" s="7"/>
      <c r="BA374" s="7"/>
      <c r="BB374" s="7"/>
      <c r="BC374" s="7"/>
      <c r="BD374" s="60"/>
      <c r="BE374" s="44"/>
      <c r="BF374" s="11"/>
      <c r="BG374" s="19"/>
      <c r="BH374" s="7"/>
      <c r="BI374" s="7"/>
      <c r="BJ374" s="7"/>
      <c r="BK374" s="7"/>
      <c r="BL374" s="7"/>
      <c r="BM374" s="7"/>
      <c r="BN374" s="7"/>
      <c r="BO374" s="7"/>
      <c r="BP374" s="7"/>
      <c r="BQ374" s="7"/>
      <c r="BR374" s="7"/>
      <c r="BS374" s="7"/>
      <c r="BT374" s="7"/>
      <c r="BU374" s="7"/>
      <c r="BV374" s="7"/>
      <c r="BW374" s="7"/>
      <c r="BX374" s="7"/>
      <c r="BY374" s="7"/>
      <c r="BZ374" s="41"/>
      <c r="CA374" s="7"/>
      <c r="CB374" s="7"/>
      <c r="CC374" s="7"/>
      <c r="CD374" s="7"/>
      <c r="CE374" s="7"/>
      <c r="CF374" s="7"/>
    </row>
    <row r="375">
      <c r="T375" s="7"/>
      <c r="U375" s="7"/>
      <c r="V375" s="7"/>
      <c r="W375" s="7"/>
      <c r="X375" s="7"/>
      <c r="Y375" s="7"/>
      <c r="Z375" s="7"/>
      <c r="AA375" s="7"/>
      <c r="AB375" s="7"/>
      <c r="AC375" s="7"/>
      <c r="AD375" s="7"/>
      <c r="AE375" s="7"/>
      <c r="AF375" s="7"/>
      <c r="AG375" s="7"/>
      <c r="AH375" s="7"/>
      <c r="AI375" s="7"/>
      <c r="AJ375" s="7"/>
      <c r="AK375" s="7"/>
      <c r="AL375" s="7"/>
      <c r="AM375" s="7"/>
      <c r="AN375" s="7"/>
      <c r="AS375" s="7"/>
      <c r="AT375" s="7"/>
      <c r="AU375" s="55"/>
      <c r="AV375" s="7"/>
      <c r="AW375" s="7"/>
      <c r="AX375" s="7"/>
      <c r="AY375" s="7"/>
      <c r="AZ375" s="7"/>
      <c r="BA375" s="7"/>
      <c r="BB375" s="7"/>
      <c r="BC375" s="7"/>
      <c r="BD375" s="60"/>
      <c r="BE375" s="44"/>
      <c r="BF375" s="11"/>
      <c r="BG375" s="19"/>
      <c r="BH375" s="7"/>
      <c r="BI375" s="7"/>
      <c r="BJ375" s="7"/>
      <c r="BK375" s="7"/>
      <c r="BL375" s="7"/>
      <c r="BM375" s="7"/>
      <c r="BN375" s="7"/>
      <c r="BO375" s="7"/>
      <c r="BP375" s="7"/>
      <c r="BQ375" s="7"/>
      <c r="BR375" s="7"/>
      <c r="BS375" s="7"/>
      <c r="BT375" s="7"/>
      <c r="BU375" s="7"/>
      <c r="BV375" s="7"/>
      <c r="BW375" s="7"/>
      <c r="BX375" s="7"/>
      <c r="BY375" s="7"/>
      <c r="BZ375" s="41"/>
      <c r="CA375" s="7"/>
      <c r="CB375" s="7"/>
      <c r="CC375" s="7"/>
      <c r="CD375" s="7"/>
      <c r="CE375" s="7"/>
      <c r="CF375" s="7"/>
    </row>
    <row r="376">
      <c r="T376" s="7"/>
      <c r="U376" s="7"/>
      <c r="V376" s="7"/>
      <c r="W376" s="7"/>
      <c r="X376" s="7"/>
      <c r="Y376" s="7"/>
      <c r="Z376" s="7"/>
      <c r="AA376" s="7"/>
      <c r="AB376" s="7"/>
      <c r="AC376" s="7"/>
      <c r="AD376" s="7"/>
      <c r="AE376" s="7"/>
      <c r="AF376" s="7"/>
      <c r="AG376" s="7"/>
      <c r="AH376" s="7"/>
      <c r="AI376" s="7"/>
      <c r="AJ376" s="7"/>
      <c r="AK376" s="7"/>
      <c r="AL376" s="7"/>
      <c r="AM376" s="7"/>
      <c r="AN376" s="7"/>
      <c r="AS376" s="7"/>
      <c r="AT376" s="7"/>
      <c r="AU376" s="55"/>
      <c r="AV376" s="7"/>
      <c r="AW376" s="7"/>
      <c r="AX376" s="7"/>
      <c r="AY376" s="7"/>
      <c r="AZ376" s="7"/>
      <c r="BA376" s="7"/>
      <c r="BB376" s="7"/>
      <c r="BC376" s="7"/>
      <c r="BD376" s="60"/>
      <c r="BE376" s="44"/>
      <c r="BF376" s="11"/>
      <c r="BG376" s="19"/>
      <c r="BH376" s="7"/>
      <c r="BI376" s="7"/>
      <c r="BJ376" s="7"/>
      <c r="BK376" s="7"/>
      <c r="BL376" s="7"/>
      <c r="BM376" s="7"/>
      <c r="BN376" s="7"/>
      <c r="BO376" s="7"/>
      <c r="BP376" s="7"/>
      <c r="BQ376" s="7"/>
      <c r="BR376" s="7"/>
      <c r="BS376" s="7"/>
      <c r="BT376" s="7"/>
      <c r="BU376" s="7"/>
      <c r="BV376" s="7"/>
      <c r="BW376" s="7"/>
      <c r="BX376" s="7"/>
      <c r="BY376" s="7"/>
      <c r="BZ376" s="41"/>
      <c r="CA376" s="7"/>
      <c r="CB376" s="7"/>
      <c r="CC376" s="7"/>
      <c r="CD376" s="7"/>
      <c r="CE376" s="7"/>
      <c r="CF376" s="7"/>
    </row>
    <row r="377">
      <c r="T377" s="7"/>
      <c r="U377" s="7"/>
      <c r="V377" s="7"/>
      <c r="W377" s="7"/>
      <c r="X377" s="7"/>
      <c r="Y377" s="7"/>
      <c r="Z377" s="7"/>
      <c r="AA377" s="7"/>
      <c r="AB377" s="7"/>
      <c r="AC377" s="7"/>
      <c r="AD377" s="7"/>
      <c r="AE377" s="7"/>
      <c r="AF377" s="7"/>
      <c r="AG377" s="7"/>
      <c r="AH377" s="7"/>
      <c r="AI377" s="7"/>
      <c r="AJ377" s="7"/>
      <c r="AK377" s="7"/>
      <c r="AL377" s="7"/>
      <c r="AM377" s="7"/>
      <c r="AN377" s="7"/>
      <c r="AS377" s="7"/>
      <c r="AT377" s="7"/>
      <c r="AU377" s="55"/>
      <c r="AV377" s="7"/>
      <c r="AW377" s="7"/>
      <c r="AX377" s="7"/>
      <c r="AY377" s="7"/>
      <c r="AZ377" s="7"/>
      <c r="BA377" s="7"/>
      <c r="BB377" s="7"/>
      <c r="BC377" s="7"/>
      <c r="BD377" s="60"/>
      <c r="BE377" s="44"/>
      <c r="BF377" s="11"/>
      <c r="BG377" s="19"/>
      <c r="BH377" s="7"/>
      <c r="BI377" s="7"/>
      <c r="BJ377" s="7"/>
      <c r="BK377" s="7"/>
      <c r="BL377" s="7"/>
      <c r="BM377" s="7"/>
      <c r="BN377" s="7"/>
      <c r="BO377" s="7"/>
      <c r="BP377" s="7"/>
      <c r="BQ377" s="7"/>
      <c r="BR377" s="7"/>
      <c r="BS377" s="7"/>
      <c r="BT377" s="7"/>
      <c r="BU377" s="7"/>
      <c r="BV377" s="7"/>
      <c r="BW377" s="7"/>
      <c r="BX377" s="7"/>
      <c r="BY377" s="7"/>
      <c r="BZ377" s="41"/>
      <c r="CA377" s="7"/>
      <c r="CB377" s="7"/>
      <c r="CC377" s="7"/>
      <c r="CD377" s="7"/>
      <c r="CE377" s="7"/>
      <c r="CF377" s="7"/>
    </row>
    <row r="378">
      <c r="T378" s="7"/>
      <c r="U378" s="7"/>
      <c r="V378" s="7"/>
      <c r="W378" s="7"/>
      <c r="X378" s="7"/>
      <c r="Y378" s="7"/>
      <c r="Z378" s="7"/>
      <c r="AA378" s="7"/>
      <c r="AB378" s="7"/>
      <c r="AC378" s="7"/>
      <c r="AD378" s="7"/>
      <c r="AE378" s="7"/>
      <c r="AF378" s="7"/>
      <c r="AG378" s="7"/>
      <c r="AH378" s="7"/>
      <c r="AI378" s="7"/>
      <c r="AJ378" s="7"/>
      <c r="AK378" s="7"/>
      <c r="AL378" s="7"/>
      <c r="AM378" s="7"/>
      <c r="AN378" s="7"/>
      <c r="AS378" s="7"/>
      <c r="AT378" s="7"/>
      <c r="AU378" s="55"/>
      <c r="AV378" s="7"/>
      <c r="AW378" s="7"/>
      <c r="AX378" s="7"/>
      <c r="AY378" s="7"/>
      <c r="AZ378" s="7"/>
      <c r="BA378" s="7"/>
      <c r="BB378" s="7"/>
      <c r="BC378" s="7"/>
      <c r="BD378" s="60"/>
      <c r="BE378" s="44"/>
      <c r="BF378" s="11"/>
      <c r="BG378" s="19"/>
      <c r="BH378" s="7"/>
      <c r="BI378" s="7"/>
      <c r="BJ378" s="7"/>
      <c r="BK378" s="7"/>
      <c r="BL378" s="7"/>
      <c r="BM378" s="7"/>
      <c r="BN378" s="7"/>
      <c r="BO378" s="7"/>
      <c r="BP378" s="7"/>
      <c r="BQ378" s="7"/>
      <c r="BR378" s="7"/>
      <c r="BS378" s="7"/>
      <c r="BT378" s="7"/>
      <c r="BU378" s="7"/>
      <c r="BV378" s="7"/>
      <c r="BW378" s="7"/>
      <c r="BX378" s="7"/>
      <c r="BY378" s="7"/>
      <c r="BZ378" s="41"/>
      <c r="CA378" s="7"/>
      <c r="CB378" s="7"/>
      <c r="CC378" s="7"/>
      <c r="CD378" s="7"/>
      <c r="CE378" s="7"/>
      <c r="CF378" s="7"/>
    </row>
    <row r="379">
      <c r="T379" s="7"/>
      <c r="U379" s="7"/>
      <c r="V379" s="7"/>
      <c r="W379" s="7"/>
      <c r="X379" s="7"/>
      <c r="Y379" s="7"/>
      <c r="Z379" s="7"/>
      <c r="AA379" s="7"/>
      <c r="AB379" s="7"/>
      <c r="AC379" s="7"/>
      <c r="AD379" s="7"/>
      <c r="AE379" s="7"/>
      <c r="AF379" s="7"/>
      <c r="AG379" s="7"/>
      <c r="AH379" s="7"/>
      <c r="AI379" s="7"/>
      <c r="AJ379" s="7"/>
      <c r="AK379" s="7"/>
      <c r="AL379" s="7"/>
      <c r="AM379" s="7"/>
      <c r="AN379" s="7"/>
      <c r="AS379" s="7"/>
      <c r="AT379" s="7"/>
      <c r="AU379" s="55"/>
      <c r="AV379" s="7"/>
      <c r="AW379" s="7"/>
      <c r="AX379" s="7"/>
      <c r="AY379" s="7"/>
      <c r="AZ379" s="7"/>
      <c r="BA379" s="7"/>
      <c r="BB379" s="7"/>
      <c r="BC379" s="7"/>
      <c r="BD379" s="60"/>
      <c r="BE379" s="44"/>
      <c r="BF379" s="11"/>
      <c r="BG379" s="19"/>
      <c r="BH379" s="7"/>
      <c r="BI379" s="7"/>
      <c r="BJ379" s="7"/>
      <c r="BK379" s="7"/>
      <c r="BL379" s="7"/>
      <c r="BM379" s="7"/>
      <c r="BN379" s="7"/>
      <c r="BO379" s="7"/>
      <c r="BP379" s="7"/>
      <c r="BQ379" s="7"/>
      <c r="BR379" s="7"/>
      <c r="BS379" s="7"/>
      <c r="BT379" s="7"/>
      <c r="BU379" s="7"/>
      <c r="BV379" s="7"/>
      <c r="BW379" s="7"/>
      <c r="BX379" s="7"/>
      <c r="BY379" s="7"/>
      <c r="BZ379" s="41"/>
      <c r="CA379" s="7"/>
      <c r="CB379" s="7"/>
      <c r="CC379" s="7"/>
      <c r="CD379" s="7"/>
      <c r="CE379" s="7"/>
      <c r="CF379" s="7"/>
    </row>
    <row r="380">
      <c r="T380" s="7"/>
      <c r="U380" s="7"/>
      <c r="V380" s="7"/>
      <c r="W380" s="7"/>
      <c r="X380" s="7"/>
      <c r="Y380" s="7"/>
      <c r="Z380" s="7"/>
      <c r="AA380" s="7"/>
      <c r="AB380" s="7"/>
      <c r="AC380" s="7"/>
      <c r="AD380" s="7"/>
      <c r="AE380" s="7"/>
      <c r="AF380" s="7"/>
      <c r="AG380" s="7"/>
      <c r="AH380" s="7"/>
      <c r="AI380" s="7"/>
      <c r="AJ380" s="7"/>
      <c r="AK380" s="7"/>
      <c r="AL380" s="7"/>
      <c r="AM380" s="7"/>
      <c r="AN380" s="7"/>
      <c r="AS380" s="7"/>
      <c r="AT380" s="7"/>
      <c r="AU380" s="55"/>
      <c r="AV380" s="7"/>
      <c r="AW380" s="7"/>
      <c r="AX380" s="7"/>
      <c r="AY380" s="7"/>
      <c r="AZ380" s="7"/>
      <c r="BA380" s="7"/>
      <c r="BB380" s="7"/>
      <c r="BC380" s="7"/>
      <c r="BD380" s="60"/>
      <c r="BE380" s="44"/>
      <c r="BF380" s="11"/>
      <c r="BG380" s="19"/>
      <c r="BH380" s="7"/>
      <c r="BI380" s="7"/>
      <c r="BJ380" s="7"/>
      <c r="BK380" s="7"/>
      <c r="BL380" s="7"/>
      <c r="BM380" s="7"/>
      <c r="BN380" s="7"/>
      <c r="BO380" s="7"/>
      <c r="BP380" s="7"/>
      <c r="BQ380" s="7"/>
      <c r="BR380" s="7"/>
      <c r="BS380" s="7"/>
      <c r="BT380" s="7"/>
      <c r="BU380" s="7"/>
      <c r="BV380" s="7"/>
      <c r="BW380" s="7"/>
      <c r="BX380" s="7"/>
      <c r="BY380" s="7"/>
      <c r="BZ380" s="41"/>
      <c r="CA380" s="7"/>
      <c r="CB380" s="7"/>
      <c r="CC380" s="7"/>
      <c r="CD380" s="7"/>
      <c r="CE380" s="7"/>
      <c r="CF380" s="7"/>
    </row>
    <row r="381">
      <c r="T381" s="7"/>
      <c r="U381" s="7"/>
      <c r="V381" s="7"/>
      <c r="W381" s="7"/>
      <c r="X381" s="7"/>
      <c r="Y381" s="7"/>
      <c r="Z381" s="7"/>
      <c r="AA381" s="7"/>
      <c r="AB381" s="7"/>
      <c r="AC381" s="7"/>
      <c r="AD381" s="7"/>
      <c r="AE381" s="7"/>
      <c r="AF381" s="7"/>
      <c r="AG381" s="7"/>
      <c r="AH381" s="7"/>
      <c r="AI381" s="7"/>
      <c r="AJ381" s="7"/>
      <c r="AK381" s="7"/>
      <c r="AL381" s="7"/>
      <c r="AM381" s="7"/>
      <c r="AN381" s="7"/>
      <c r="AS381" s="7"/>
      <c r="AT381" s="7"/>
      <c r="AU381" s="55"/>
      <c r="AV381" s="7"/>
      <c r="AW381" s="7"/>
      <c r="AX381" s="7"/>
      <c r="AY381" s="7"/>
      <c r="AZ381" s="7"/>
      <c r="BA381" s="7"/>
      <c r="BB381" s="7"/>
      <c r="BC381" s="7"/>
      <c r="BD381" s="60"/>
      <c r="BE381" s="44"/>
      <c r="BF381" s="11"/>
      <c r="BG381" s="19"/>
      <c r="BH381" s="7"/>
      <c r="BI381" s="7"/>
      <c r="BJ381" s="7"/>
      <c r="BK381" s="7"/>
      <c r="BL381" s="7"/>
      <c r="BM381" s="7"/>
      <c r="BN381" s="7"/>
      <c r="BO381" s="7"/>
      <c r="BP381" s="7"/>
      <c r="BQ381" s="7"/>
      <c r="BR381" s="7"/>
      <c r="BS381" s="7"/>
      <c r="BT381" s="7"/>
      <c r="BU381" s="7"/>
      <c r="BV381" s="7"/>
      <c r="BW381" s="7"/>
      <c r="BX381" s="7"/>
      <c r="BY381" s="7"/>
      <c r="BZ381" s="41"/>
      <c r="CA381" s="7"/>
      <c r="CB381" s="7"/>
      <c r="CC381" s="7"/>
      <c r="CD381" s="7"/>
      <c r="CE381" s="7"/>
      <c r="CF381" s="7"/>
    </row>
    <row r="382">
      <c r="T382" s="7"/>
      <c r="U382" s="7"/>
      <c r="V382" s="7"/>
      <c r="W382" s="7"/>
      <c r="X382" s="7"/>
      <c r="Y382" s="7"/>
      <c r="Z382" s="7"/>
      <c r="AA382" s="7"/>
      <c r="AB382" s="7"/>
      <c r="AC382" s="7"/>
      <c r="AD382" s="7"/>
      <c r="AE382" s="7"/>
      <c r="AF382" s="7"/>
      <c r="AG382" s="7"/>
      <c r="AH382" s="7"/>
      <c r="AI382" s="7"/>
      <c r="AJ382" s="7"/>
      <c r="AK382" s="7"/>
      <c r="AL382" s="7"/>
      <c r="AM382" s="7"/>
      <c r="AN382" s="7"/>
      <c r="AS382" s="7"/>
      <c r="AT382" s="7"/>
      <c r="AU382" s="55"/>
      <c r="AV382" s="7"/>
      <c r="AW382" s="7"/>
      <c r="AX382" s="7"/>
      <c r="AY382" s="7"/>
      <c r="AZ382" s="7"/>
      <c r="BA382" s="7"/>
      <c r="BB382" s="7"/>
      <c r="BC382" s="7"/>
      <c r="BD382" s="60"/>
      <c r="BE382" s="44"/>
      <c r="BF382" s="11"/>
      <c r="BG382" s="19"/>
      <c r="BH382" s="7"/>
      <c r="BI382" s="7"/>
      <c r="BJ382" s="7"/>
      <c r="BK382" s="7"/>
      <c r="BL382" s="7"/>
      <c r="BM382" s="7"/>
      <c r="BN382" s="7"/>
      <c r="BO382" s="7"/>
      <c r="BP382" s="7"/>
      <c r="BQ382" s="7"/>
      <c r="BR382" s="7"/>
      <c r="BS382" s="7"/>
      <c r="BT382" s="7"/>
      <c r="BU382" s="7"/>
      <c r="BV382" s="7"/>
      <c r="BW382" s="7"/>
      <c r="BX382" s="7"/>
      <c r="BY382" s="7"/>
      <c r="BZ382" s="41"/>
      <c r="CA382" s="7"/>
      <c r="CB382" s="7"/>
      <c r="CC382" s="7"/>
      <c r="CD382" s="7"/>
      <c r="CE382" s="7"/>
      <c r="CF382" s="7"/>
    </row>
    <row r="383">
      <c r="T383" s="7"/>
      <c r="U383" s="7"/>
      <c r="V383" s="7"/>
      <c r="W383" s="7"/>
      <c r="X383" s="7"/>
      <c r="Y383" s="7"/>
      <c r="Z383" s="7"/>
      <c r="AA383" s="7"/>
      <c r="AB383" s="7"/>
      <c r="AC383" s="7"/>
      <c r="AD383" s="7"/>
      <c r="AE383" s="7"/>
      <c r="AF383" s="7"/>
      <c r="AG383" s="7"/>
      <c r="AH383" s="7"/>
      <c r="AI383" s="7"/>
      <c r="AJ383" s="7"/>
      <c r="AK383" s="7"/>
      <c r="AL383" s="7"/>
      <c r="AM383" s="7"/>
      <c r="AN383" s="7"/>
      <c r="AS383" s="7"/>
      <c r="AT383" s="7"/>
      <c r="AU383" s="55"/>
      <c r="AV383" s="7"/>
      <c r="AW383" s="7"/>
      <c r="AX383" s="7"/>
      <c r="AY383" s="7"/>
      <c r="AZ383" s="7"/>
      <c r="BA383" s="7"/>
      <c r="BB383" s="7"/>
      <c r="BC383" s="7"/>
      <c r="BD383" s="60"/>
      <c r="BE383" s="44"/>
      <c r="BF383" s="11"/>
      <c r="BG383" s="19"/>
      <c r="BH383" s="7"/>
      <c r="BI383" s="7"/>
      <c r="BJ383" s="7"/>
      <c r="BK383" s="7"/>
      <c r="BL383" s="7"/>
      <c r="BM383" s="7"/>
      <c r="BN383" s="7"/>
      <c r="BO383" s="7"/>
      <c r="BP383" s="7"/>
      <c r="BQ383" s="7"/>
      <c r="BR383" s="7"/>
      <c r="BS383" s="7"/>
      <c r="BT383" s="7"/>
      <c r="BU383" s="7"/>
      <c r="BV383" s="7"/>
      <c r="BW383" s="7"/>
      <c r="BX383" s="7"/>
      <c r="BY383" s="7"/>
      <c r="BZ383" s="41"/>
      <c r="CA383" s="7"/>
      <c r="CB383" s="7"/>
      <c r="CC383" s="7"/>
      <c r="CD383" s="7"/>
      <c r="CE383" s="7"/>
      <c r="CF383" s="7"/>
    </row>
    <row r="384">
      <c r="T384" s="7"/>
      <c r="U384" s="7"/>
      <c r="V384" s="7"/>
      <c r="W384" s="7"/>
      <c r="X384" s="7"/>
      <c r="Y384" s="7"/>
      <c r="Z384" s="7"/>
      <c r="AA384" s="7"/>
      <c r="AB384" s="7"/>
      <c r="AC384" s="7"/>
      <c r="AD384" s="7"/>
      <c r="AE384" s="7"/>
      <c r="AF384" s="7"/>
      <c r="AG384" s="7"/>
      <c r="AH384" s="7"/>
      <c r="AI384" s="7"/>
      <c r="AJ384" s="7"/>
      <c r="AK384" s="7"/>
      <c r="AL384" s="7"/>
      <c r="AM384" s="7"/>
      <c r="AN384" s="7"/>
      <c r="AS384" s="7"/>
      <c r="AT384" s="7"/>
      <c r="AU384" s="55"/>
      <c r="AV384" s="7"/>
      <c r="AW384" s="7"/>
      <c r="AX384" s="7"/>
      <c r="AY384" s="7"/>
      <c r="AZ384" s="7"/>
      <c r="BA384" s="7"/>
      <c r="BB384" s="7"/>
      <c r="BC384" s="7"/>
      <c r="BD384" s="60"/>
      <c r="BE384" s="44"/>
      <c r="BF384" s="11"/>
      <c r="BG384" s="19"/>
      <c r="BH384" s="7"/>
      <c r="BI384" s="7"/>
      <c r="BJ384" s="7"/>
      <c r="BK384" s="7"/>
      <c r="BL384" s="7"/>
      <c r="BM384" s="7"/>
      <c r="BN384" s="7"/>
      <c r="BO384" s="7"/>
      <c r="BP384" s="7"/>
      <c r="BQ384" s="7"/>
      <c r="BR384" s="7"/>
      <c r="BS384" s="7"/>
      <c r="BT384" s="7"/>
      <c r="BU384" s="7"/>
      <c r="BV384" s="7"/>
      <c r="BW384" s="7"/>
      <c r="BX384" s="7"/>
      <c r="BY384" s="7"/>
      <c r="BZ384" s="41"/>
      <c r="CA384" s="7"/>
      <c r="CB384" s="7"/>
      <c r="CC384" s="7"/>
      <c r="CD384" s="7"/>
      <c r="CE384" s="7"/>
      <c r="CF384" s="7"/>
    </row>
    <row r="385">
      <c r="T385" s="7"/>
      <c r="U385" s="7"/>
      <c r="V385" s="7"/>
      <c r="W385" s="7"/>
      <c r="X385" s="7"/>
      <c r="Y385" s="7"/>
      <c r="Z385" s="7"/>
      <c r="AA385" s="7"/>
      <c r="AB385" s="7"/>
      <c r="AC385" s="7"/>
      <c r="AD385" s="7"/>
      <c r="AE385" s="7"/>
      <c r="AF385" s="7"/>
      <c r="AG385" s="7"/>
      <c r="AH385" s="7"/>
      <c r="AI385" s="7"/>
      <c r="AJ385" s="7"/>
      <c r="AK385" s="7"/>
      <c r="AL385" s="7"/>
      <c r="AM385" s="7"/>
      <c r="AN385" s="7"/>
      <c r="AS385" s="7"/>
      <c r="AT385" s="7"/>
      <c r="AU385" s="55"/>
      <c r="AV385" s="7"/>
      <c r="AW385" s="7"/>
      <c r="AX385" s="7"/>
      <c r="AY385" s="7"/>
      <c r="AZ385" s="7"/>
      <c r="BA385" s="7"/>
      <c r="BB385" s="7"/>
      <c r="BC385" s="7"/>
      <c r="BD385" s="60"/>
      <c r="BE385" s="44"/>
      <c r="BF385" s="11"/>
      <c r="BG385" s="19"/>
      <c r="BH385" s="7"/>
      <c r="BI385" s="7"/>
      <c r="BJ385" s="7"/>
      <c r="BK385" s="7"/>
      <c r="BL385" s="7"/>
      <c r="BM385" s="7"/>
      <c r="BN385" s="7"/>
      <c r="BO385" s="7"/>
      <c r="BP385" s="7"/>
      <c r="BQ385" s="7"/>
      <c r="BR385" s="7"/>
      <c r="BS385" s="7"/>
      <c r="BT385" s="7"/>
      <c r="BU385" s="7"/>
      <c r="BV385" s="7"/>
      <c r="BW385" s="7"/>
      <c r="BX385" s="7"/>
      <c r="BY385" s="7"/>
      <c r="BZ385" s="41"/>
      <c r="CA385" s="7"/>
      <c r="CB385" s="7"/>
      <c r="CC385" s="7"/>
      <c r="CD385" s="7"/>
      <c r="CE385" s="7"/>
      <c r="CF385" s="7"/>
    </row>
    <row r="386">
      <c r="T386" s="7"/>
      <c r="U386" s="7"/>
      <c r="V386" s="7"/>
      <c r="W386" s="7"/>
      <c r="X386" s="7"/>
      <c r="Y386" s="7"/>
      <c r="Z386" s="7"/>
      <c r="AA386" s="7"/>
      <c r="AB386" s="7"/>
      <c r="AC386" s="7"/>
      <c r="AD386" s="7"/>
      <c r="AE386" s="7"/>
      <c r="AF386" s="7"/>
      <c r="AG386" s="7"/>
      <c r="AH386" s="7"/>
      <c r="AI386" s="7"/>
      <c r="AJ386" s="7"/>
      <c r="AK386" s="7"/>
      <c r="AL386" s="7"/>
      <c r="AM386" s="7"/>
      <c r="AN386" s="7"/>
      <c r="AS386" s="7"/>
      <c r="AT386" s="7"/>
      <c r="AU386" s="55"/>
      <c r="AV386" s="7"/>
      <c r="AW386" s="7"/>
      <c r="AX386" s="7"/>
      <c r="AY386" s="7"/>
      <c r="AZ386" s="7"/>
      <c r="BA386" s="7"/>
      <c r="BB386" s="7"/>
      <c r="BC386" s="7"/>
      <c r="BH386" s="7"/>
      <c r="BI386" s="7"/>
      <c r="BJ386" s="7"/>
      <c r="BK386" s="7"/>
      <c r="BL386" s="7"/>
      <c r="BM386" s="7"/>
      <c r="BN386" s="7"/>
      <c r="BO386" s="7"/>
      <c r="BP386" s="7"/>
      <c r="BQ386" s="7"/>
      <c r="BR386" s="7"/>
      <c r="BS386" s="7"/>
      <c r="BT386" s="7"/>
      <c r="BU386" s="7"/>
      <c r="BV386" s="7"/>
      <c r="BW386" s="7"/>
      <c r="BX386" s="7"/>
      <c r="BY386" s="7"/>
      <c r="BZ386" s="41"/>
      <c r="CA386" s="7"/>
      <c r="CB386" s="7"/>
      <c r="CC386" s="7"/>
      <c r="CD386" s="7"/>
      <c r="CE386" s="7"/>
      <c r="CF386" s="7"/>
    </row>
    <row r="387">
      <c r="T387" s="7"/>
      <c r="U387" s="7"/>
      <c r="V387" s="7"/>
      <c r="W387" s="7"/>
      <c r="X387" s="7"/>
      <c r="Y387" s="7"/>
      <c r="Z387" s="7"/>
      <c r="AA387" s="7"/>
      <c r="AB387" s="7"/>
      <c r="AC387" s="7"/>
      <c r="AD387" s="7"/>
      <c r="AE387" s="7"/>
      <c r="AF387" s="7"/>
      <c r="AG387" s="7"/>
      <c r="AH387" s="7"/>
      <c r="AI387" s="7"/>
      <c r="AJ387" s="7"/>
      <c r="AK387" s="7"/>
      <c r="AL387" s="7"/>
      <c r="AM387" s="7"/>
      <c r="AN387" s="7"/>
      <c r="AS387" s="7"/>
      <c r="AT387" s="7"/>
      <c r="AU387" s="55"/>
      <c r="AV387" s="7"/>
      <c r="AW387" s="7"/>
      <c r="AX387" s="7"/>
      <c r="AY387" s="7"/>
      <c r="AZ387" s="7"/>
      <c r="BA387" s="7"/>
      <c r="BB387" s="7"/>
      <c r="BC387" s="7"/>
      <c r="BD387" s="7"/>
      <c r="BE387" s="55"/>
      <c r="BF387" s="7"/>
      <c r="BG387" s="7"/>
      <c r="BH387" s="7"/>
      <c r="BI387" s="7"/>
      <c r="BJ387" s="7"/>
      <c r="BK387" s="7"/>
      <c r="BL387" s="7"/>
      <c r="BM387" s="7"/>
      <c r="BN387" s="7"/>
      <c r="BO387" s="7"/>
      <c r="BP387" s="7"/>
      <c r="BQ387" s="7"/>
      <c r="BR387" s="7"/>
      <c r="BS387" s="7"/>
      <c r="BT387" s="7"/>
      <c r="BU387" s="7"/>
      <c r="BV387" s="7"/>
      <c r="BW387" s="7"/>
      <c r="BX387" s="7"/>
      <c r="BY387" s="7"/>
      <c r="BZ387" s="41"/>
      <c r="CA387" s="7"/>
      <c r="CB387" s="7"/>
      <c r="CC387" s="7"/>
      <c r="CD387" s="7"/>
      <c r="CE387" s="7"/>
      <c r="CF387" s="7"/>
    </row>
    <row r="388">
      <c r="T388" s="7"/>
      <c r="U388" s="7"/>
      <c r="V388" s="7"/>
      <c r="W388" s="7"/>
      <c r="X388" s="7"/>
      <c r="Y388" s="7"/>
      <c r="Z388" s="7"/>
      <c r="AA388" s="7"/>
      <c r="AB388" s="7"/>
      <c r="AC388" s="7"/>
      <c r="AD388" s="7"/>
      <c r="AE388" s="7"/>
      <c r="AF388" s="7"/>
      <c r="AG388" s="7"/>
      <c r="AH388" s="7"/>
      <c r="AI388" s="7"/>
      <c r="AJ388" s="7"/>
      <c r="AK388" s="7"/>
      <c r="AL388" s="7"/>
      <c r="AM388" s="7"/>
      <c r="AN388" s="7"/>
      <c r="AS388" s="7"/>
      <c r="AT388" s="7"/>
      <c r="AU388" s="55"/>
      <c r="AV388" s="7"/>
      <c r="AW388" s="7"/>
      <c r="AX388" s="7"/>
      <c r="AY388" s="7"/>
      <c r="AZ388" s="7"/>
      <c r="BA388" s="7"/>
      <c r="BB388" s="7"/>
      <c r="BC388" s="7"/>
      <c r="BD388" s="7"/>
      <c r="BE388" s="55"/>
      <c r="BF388" s="7"/>
      <c r="BG388" s="7"/>
      <c r="BH388" s="7"/>
      <c r="BI388" s="7"/>
      <c r="BJ388" s="7"/>
      <c r="BK388" s="7"/>
      <c r="BL388" s="7"/>
      <c r="BM388" s="7"/>
      <c r="BN388" s="7"/>
      <c r="BO388" s="7"/>
      <c r="BP388" s="7"/>
      <c r="BQ388" s="7"/>
      <c r="BR388" s="7"/>
      <c r="BS388" s="7"/>
      <c r="BT388" s="7"/>
      <c r="BU388" s="7"/>
      <c r="BV388" s="7"/>
      <c r="BW388" s="7"/>
      <c r="BX388" s="7"/>
      <c r="BY388" s="7"/>
      <c r="BZ388" s="41"/>
      <c r="CA388" s="7"/>
      <c r="CB388" s="7"/>
      <c r="CC388" s="7"/>
      <c r="CD388" s="7"/>
      <c r="CE388" s="7"/>
      <c r="CF388" s="7"/>
    </row>
    <row r="389">
      <c r="T389" s="7"/>
      <c r="U389" s="7"/>
      <c r="V389" s="7"/>
      <c r="W389" s="7"/>
      <c r="X389" s="7"/>
      <c r="Y389" s="7"/>
      <c r="Z389" s="7"/>
      <c r="AA389" s="7"/>
      <c r="AB389" s="7"/>
      <c r="AC389" s="7"/>
      <c r="AD389" s="7"/>
      <c r="AE389" s="7"/>
      <c r="AF389" s="7"/>
      <c r="AG389" s="7"/>
      <c r="AH389" s="7"/>
      <c r="AI389" s="7"/>
      <c r="AJ389" s="7"/>
      <c r="AK389" s="7"/>
      <c r="AL389" s="7"/>
      <c r="AM389" s="7"/>
      <c r="AN389" s="7"/>
      <c r="AS389" s="7"/>
      <c r="AT389" s="7"/>
      <c r="AU389" s="55"/>
      <c r="AV389" s="7"/>
      <c r="AW389" s="7"/>
      <c r="AX389" s="7"/>
      <c r="AY389" s="7"/>
      <c r="AZ389" s="7"/>
      <c r="BA389" s="7"/>
      <c r="BB389" s="7"/>
      <c r="BC389" s="7"/>
      <c r="BD389" s="7"/>
      <c r="BE389" s="55"/>
      <c r="BF389" s="7"/>
      <c r="BG389" s="7"/>
      <c r="BH389" s="7"/>
      <c r="BI389" s="7"/>
      <c r="BJ389" s="7"/>
      <c r="BK389" s="7"/>
      <c r="BL389" s="7"/>
      <c r="BM389" s="7"/>
      <c r="BN389" s="7"/>
      <c r="BO389" s="7"/>
      <c r="BP389" s="7"/>
      <c r="BQ389" s="7"/>
      <c r="BR389" s="7"/>
      <c r="BS389" s="7"/>
      <c r="BT389" s="7"/>
      <c r="BU389" s="7"/>
      <c r="BV389" s="7"/>
      <c r="BW389" s="7"/>
      <c r="BX389" s="7"/>
      <c r="BY389" s="7"/>
      <c r="BZ389" s="41"/>
      <c r="CA389" s="7"/>
      <c r="CB389" s="7"/>
      <c r="CC389" s="7"/>
      <c r="CD389" s="7"/>
      <c r="CE389" s="7"/>
      <c r="CF389" s="7"/>
    </row>
    <row r="390">
      <c r="T390" s="7"/>
      <c r="U390" s="7"/>
      <c r="V390" s="7"/>
      <c r="W390" s="7"/>
      <c r="X390" s="7"/>
      <c r="Y390" s="7"/>
      <c r="Z390" s="7"/>
      <c r="AA390" s="7"/>
      <c r="AB390" s="7"/>
      <c r="AC390" s="7"/>
      <c r="AD390" s="7"/>
      <c r="AE390" s="7"/>
      <c r="AF390" s="7"/>
      <c r="AG390" s="7"/>
      <c r="AH390" s="7"/>
      <c r="AI390" s="7"/>
      <c r="AJ390" s="7"/>
      <c r="AK390" s="7"/>
      <c r="AL390" s="7"/>
      <c r="AM390" s="7"/>
      <c r="AN390" s="7"/>
      <c r="AS390" s="7"/>
      <c r="AT390" s="7"/>
      <c r="AU390" s="55"/>
      <c r="AV390" s="7"/>
      <c r="AW390" s="7"/>
      <c r="AX390" s="7"/>
      <c r="AY390" s="7"/>
      <c r="AZ390" s="7"/>
      <c r="BA390" s="7"/>
      <c r="BB390" s="7"/>
      <c r="BC390" s="7"/>
      <c r="BD390" s="7"/>
      <c r="BE390" s="55"/>
      <c r="BF390" s="7"/>
      <c r="BG390" s="7"/>
      <c r="BH390" s="7"/>
      <c r="BI390" s="7"/>
      <c r="BJ390" s="7"/>
      <c r="BK390" s="7"/>
      <c r="BL390" s="7"/>
      <c r="BM390" s="7"/>
      <c r="BN390" s="7"/>
      <c r="BO390" s="7"/>
      <c r="BP390" s="7"/>
      <c r="BQ390" s="7"/>
      <c r="BR390" s="7"/>
      <c r="BS390" s="7"/>
      <c r="BT390" s="7"/>
      <c r="BU390" s="7"/>
      <c r="BV390" s="7"/>
      <c r="BW390" s="7"/>
      <c r="BX390" s="7"/>
      <c r="BY390" s="7"/>
      <c r="BZ390" s="41"/>
      <c r="CA390" s="7"/>
      <c r="CB390" s="7"/>
      <c r="CC390" s="7"/>
      <c r="CD390" s="7"/>
      <c r="CE390" s="7"/>
      <c r="CF390" s="7"/>
    </row>
    <row r="391">
      <c r="T391" s="7"/>
      <c r="U391" s="7"/>
      <c r="V391" s="7"/>
      <c r="W391" s="7"/>
      <c r="X391" s="7"/>
      <c r="Y391" s="7"/>
      <c r="Z391" s="7"/>
      <c r="AA391" s="7"/>
      <c r="AB391" s="7"/>
      <c r="AC391" s="7"/>
      <c r="AD391" s="7"/>
      <c r="AE391" s="7"/>
      <c r="AF391" s="7"/>
      <c r="AG391" s="7"/>
      <c r="AH391" s="7"/>
      <c r="AI391" s="7"/>
      <c r="AJ391" s="7"/>
      <c r="AK391" s="7"/>
      <c r="AL391" s="7"/>
      <c r="AM391" s="7"/>
      <c r="AN391" s="7"/>
      <c r="AS391" s="7"/>
      <c r="AT391" s="7"/>
      <c r="AU391" s="55"/>
      <c r="AV391" s="7"/>
      <c r="AW391" s="7"/>
      <c r="AX391" s="7"/>
      <c r="AY391" s="7"/>
      <c r="AZ391" s="7"/>
      <c r="BA391" s="7"/>
      <c r="BB391" s="7"/>
      <c r="BC391" s="7"/>
      <c r="BD391" s="7"/>
      <c r="BE391" s="55"/>
      <c r="BF391" s="7"/>
      <c r="BG391" s="7"/>
      <c r="BH391" s="7"/>
      <c r="BI391" s="7"/>
      <c r="BJ391" s="7"/>
      <c r="BK391" s="7"/>
      <c r="BL391" s="7"/>
      <c r="BM391" s="7"/>
      <c r="BN391" s="7"/>
      <c r="BO391" s="7"/>
      <c r="BP391" s="7"/>
      <c r="BQ391" s="7"/>
      <c r="BR391" s="7"/>
      <c r="BS391" s="7"/>
      <c r="BT391" s="7"/>
      <c r="BU391" s="7"/>
      <c r="BV391" s="7"/>
      <c r="BW391" s="7"/>
      <c r="BX391" s="7"/>
      <c r="BY391" s="7"/>
      <c r="BZ391" s="41"/>
      <c r="CA391" s="7"/>
      <c r="CB391" s="7"/>
      <c r="CC391" s="7"/>
      <c r="CD391" s="7"/>
      <c r="CE391" s="7"/>
      <c r="CF391" s="7"/>
    </row>
    <row r="392">
      <c r="T392" s="7"/>
      <c r="U392" s="7"/>
      <c r="V392" s="7"/>
      <c r="W392" s="7"/>
      <c r="X392" s="7"/>
      <c r="Y392" s="7"/>
      <c r="Z392" s="7"/>
      <c r="AA392" s="7"/>
      <c r="AB392" s="7"/>
      <c r="AC392" s="7"/>
      <c r="AD392" s="7"/>
      <c r="AE392" s="7"/>
      <c r="AF392" s="7"/>
      <c r="AG392" s="7"/>
      <c r="AH392" s="7"/>
      <c r="AI392" s="7"/>
      <c r="AJ392" s="7"/>
      <c r="AK392" s="7"/>
      <c r="AL392" s="7"/>
      <c r="AM392" s="7"/>
      <c r="AN392" s="7"/>
      <c r="AS392" s="7"/>
      <c r="AT392" s="7"/>
      <c r="AU392" s="55"/>
      <c r="AV392" s="7"/>
      <c r="AW392" s="7"/>
      <c r="AX392" s="7"/>
      <c r="AY392" s="7"/>
      <c r="AZ392" s="7"/>
      <c r="BA392" s="7"/>
      <c r="BB392" s="7"/>
      <c r="BC392" s="7"/>
      <c r="BD392" s="7"/>
      <c r="BE392" s="55"/>
      <c r="BF392" s="7"/>
      <c r="BG392" s="7"/>
      <c r="BH392" s="7"/>
      <c r="BI392" s="7"/>
      <c r="BJ392" s="7"/>
      <c r="BK392" s="7"/>
      <c r="BL392" s="7"/>
      <c r="BM392" s="7"/>
      <c r="BN392" s="7"/>
      <c r="BO392" s="7"/>
      <c r="BP392" s="7"/>
      <c r="BQ392" s="7"/>
      <c r="BR392" s="7"/>
      <c r="BS392" s="7"/>
      <c r="BT392" s="7"/>
      <c r="BU392" s="7"/>
      <c r="BV392" s="7"/>
      <c r="BW392" s="7"/>
      <c r="BX392" s="7"/>
      <c r="BY392" s="7"/>
      <c r="BZ392" s="41"/>
      <c r="CA392" s="7"/>
      <c r="CB392" s="7"/>
      <c r="CC392" s="7"/>
      <c r="CD392" s="7"/>
      <c r="CE392" s="7"/>
      <c r="CF392" s="7"/>
    </row>
    <row r="393">
      <c r="T393" s="7"/>
      <c r="U393" s="7"/>
      <c r="V393" s="7"/>
      <c r="W393" s="7"/>
      <c r="X393" s="7"/>
      <c r="Y393" s="7"/>
      <c r="Z393" s="7"/>
      <c r="AA393" s="7"/>
      <c r="AB393" s="7"/>
      <c r="AC393" s="7"/>
      <c r="AD393" s="7"/>
      <c r="AE393" s="7"/>
      <c r="AF393" s="7"/>
      <c r="AG393" s="7"/>
      <c r="AH393" s="7"/>
      <c r="AI393" s="7"/>
      <c r="AJ393" s="7"/>
      <c r="AK393" s="7"/>
      <c r="AL393" s="7"/>
      <c r="AM393" s="7"/>
      <c r="AN393" s="7"/>
      <c r="AS393" s="7"/>
      <c r="AT393" s="7"/>
      <c r="AU393" s="55"/>
      <c r="AV393" s="7"/>
      <c r="AW393" s="7"/>
      <c r="AX393" s="7"/>
      <c r="AY393" s="7"/>
      <c r="AZ393" s="7"/>
      <c r="BA393" s="7"/>
      <c r="BB393" s="7"/>
      <c r="BC393" s="7"/>
      <c r="BD393" s="7"/>
      <c r="BE393" s="55"/>
      <c r="BF393" s="7"/>
      <c r="BG393" s="7"/>
      <c r="BH393" s="7"/>
      <c r="BI393" s="7"/>
      <c r="BJ393" s="7"/>
      <c r="BK393" s="7"/>
      <c r="BL393" s="7"/>
      <c r="BM393" s="7"/>
      <c r="BN393" s="7"/>
      <c r="BO393" s="7"/>
      <c r="BP393" s="7"/>
      <c r="BQ393" s="7"/>
      <c r="BR393" s="7"/>
      <c r="BS393" s="7"/>
      <c r="BT393" s="7"/>
      <c r="BU393" s="7"/>
      <c r="BV393" s="7"/>
      <c r="BW393" s="7"/>
      <c r="BX393" s="7"/>
      <c r="BY393" s="7"/>
      <c r="BZ393" s="41"/>
      <c r="CA393" s="7"/>
      <c r="CB393" s="7"/>
      <c r="CC393" s="7"/>
      <c r="CD393" s="7"/>
      <c r="CE393" s="7"/>
      <c r="CF393" s="7"/>
    </row>
    <row r="394">
      <c r="T394" s="7"/>
      <c r="U394" s="7"/>
      <c r="V394" s="7"/>
      <c r="W394" s="7"/>
      <c r="X394" s="7"/>
      <c r="Y394" s="7"/>
      <c r="Z394" s="7"/>
      <c r="AA394" s="7"/>
      <c r="AB394" s="7"/>
      <c r="AC394" s="7"/>
      <c r="AD394" s="7"/>
      <c r="AE394" s="7"/>
      <c r="AF394" s="7"/>
      <c r="AG394" s="7"/>
      <c r="AH394" s="7"/>
      <c r="AI394" s="7"/>
      <c r="AJ394" s="7"/>
      <c r="AK394" s="7"/>
      <c r="AL394" s="7"/>
      <c r="AM394" s="7"/>
      <c r="AN394" s="7"/>
      <c r="AS394" s="7"/>
      <c r="AT394" s="7"/>
      <c r="AU394" s="55"/>
      <c r="AV394" s="7"/>
      <c r="AW394" s="7"/>
      <c r="AX394" s="7"/>
      <c r="AY394" s="7"/>
      <c r="AZ394" s="7"/>
      <c r="BA394" s="7"/>
      <c r="BB394" s="7"/>
      <c r="BC394" s="7"/>
      <c r="BD394" s="7"/>
      <c r="BE394" s="55"/>
      <c r="BF394" s="7"/>
      <c r="BG394" s="7"/>
      <c r="BH394" s="7"/>
      <c r="BI394" s="7"/>
      <c r="BJ394" s="7"/>
      <c r="BK394" s="7"/>
      <c r="BL394" s="7"/>
      <c r="BM394" s="7"/>
      <c r="BN394" s="7"/>
      <c r="BO394" s="7"/>
      <c r="BP394" s="7"/>
      <c r="BQ394" s="7"/>
      <c r="BR394" s="7"/>
      <c r="BS394" s="7"/>
      <c r="BT394" s="7"/>
      <c r="BU394" s="7"/>
      <c r="BV394" s="7"/>
      <c r="BW394" s="7"/>
      <c r="BX394" s="7"/>
      <c r="BY394" s="7"/>
      <c r="BZ394" s="41"/>
      <c r="CA394" s="7"/>
      <c r="CB394" s="7"/>
      <c r="CC394" s="7"/>
      <c r="CD394" s="7"/>
      <c r="CE394" s="7"/>
      <c r="CF394" s="7"/>
    </row>
    <row r="395">
      <c r="T395" s="7"/>
      <c r="U395" s="7"/>
      <c r="V395" s="7"/>
      <c r="W395" s="7"/>
      <c r="X395" s="7"/>
      <c r="Y395" s="7"/>
      <c r="Z395" s="7"/>
      <c r="AA395" s="7"/>
      <c r="AB395" s="7"/>
      <c r="AC395" s="7"/>
      <c r="AD395" s="7"/>
      <c r="AE395" s="7"/>
      <c r="AF395" s="7"/>
      <c r="AG395" s="7"/>
      <c r="AH395" s="7"/>
      <c r="AI395" s="7"/>
      <c r="AJ395" s="7"/>
      <c r="AK395" s="7"/>
      <c r="AL395" s="7"/>
      <c r="AM395" s="7"/>
      <c r="AN395" s="7"/>
      <c r="AS395" s="7"/>
      <c r="AT395" s="7"/>
      <c r="AU395" s="55"/>
      <c r="AV395" s="7"/>
      <c r="AW395" s="7"/>
      <c r="AX395" s="7"/>
      <c r="AY395" s="7"/>
      <c r="AZ395" s="7"/>
      <c r="BA395" s="7"/>
      <c r="BB395" s="7"/>
      <c r="BC395" s="7"/>
      <c r="BD395" s="7"/>
      <c r="BE395" s="55"/>
      <c r="BF395" s="7"/>
      <c r="BG395" s="7"/>
      <c r="BH395" s="7"/>
      <c r="BI395" s="7"/>
      <c r="BJ395" s="7"/>
      <c r="BK395" s="7"/>
      <c r="BL395" s="7"/>
      <c r="BM395" s="7"/>
      <c r="BN395" s="7"/>
      <c r="BO395" s="7"/>
      <c r="BP395" s="7"/>
      <c r="BQ395" s="7"/>
      <c r="BR395" s="7"/>
      <c r="BS395" s="7"/>
      <c r="BT395" s="7"/>
      <c r="BU395" s="7"/>
      <c r="BV395" s="7"/>
      <c r="BW395" s="7"/>
      <c r="BX395" s="7"/>
      <c r="BY395" s="7"/>
      <c r="BZ395" s="41"/>
      <c r="CA395" s="7"/>
      <c r="CB395" s="7"/>
      <c r="CC395" s="7"/>
      <c r="CD395" s="7"/>
      <c r="CE395" s="7"/>
      <c r="CF395" s="7"/>
    </row>
    <row r="396">
      <c r="T396" s="7"/>
      <c r="U396" s="7"/>
      <c r="V396" s="7"/>
      <c r="W396" s="7"/>
      <c r="X396" s="7"/>
      <c r="Y396" s="7"/>
      <c r="Z396" s="7"/>
      <c r="AA396" s="7"/>
      <c r="AB396" s="7"/>
      <c r="AC396" s="7"/>
      <c r="AD396" s="7"/>
      <c r="AE396" s="7"/>
      <c r="AF396" s="7"/>
      <c r="AG396" s="7"/>
      <c r="AH396" s="7"/>
      <c r="AI396" s="7"/>
      <c r="AJ396" s="7"/>
      <c r="AK396" s="7"/>
      <c r="AL396" s="7"/>
      <c r="AM396" s="7"/>
      <c r="AN396" s="7"/>
      <c r="AS396" s="7"/>
      <c r="AT396" s="7"/>
      <c r="AU396" s="55"/>
      <c r="AV396" s="7"/>
      <c r="AW396" s="7"/>
      <c r="AX396" s="7"/>
      <c r="AY396" s="7"/>
      <c r="AZ396" s="7"/>
      <c r="BA396" s="7"/>
      <c r="BB396" s="7"/>
      <c r="BC396" s="7"/>
      <c r="BD396" s="7"/>
      <c r="BE396" s="55"/>
      <c r="BF396" s="7"/>
      <c r="BG396" s="7"/>
      <c r="BH396" s="7"/>
      <c r="BI396" s="7"/>
      <c r="BJ396" s="7"/>
      <c r="BK396" s="7"/>
      <c r="BL396" s="7"/>
      <c r="BM396" s="7"/>
      <c r="BN396" s="7"/>
      <c r="BO396" s="7"/>
      <c r="BP396" s="7"/>
      <c r="BQ396" s="7"/>
      <c r="BR396" s="7"/>
      <c r="BS396" s="7"/>
      <c r="BT396" s="7"/>
      <c r="BU396" s="7"/>
      <c r="BV396" s="7"/>
      <c r="BW396" s="7"/>
      <c r="BX396" s="7"/>
      <c r="BY396" s="7"/>
      <c r="BZ396" s="41"/>
      <c r="CA396" s="7"/>
      <c r="CB396" s="7"/>
      <c r="CC396" s="7"/>
      <c r="CD396" s="7"/>
      <c r="CE396" s="7"/>
      <c r="CF396" s="7"/>
    </row>
    <row r="397">
      <c r="T397" s="7"/>
      <c r="U397" s="7"/>
      <c r="V397" s="7"/>
      <c r="W397" s="7"/>
      <c r="X397" s="7"/>
      <c r="Y397" s="7"/>
      <c r="Z397" s="7"/>
      <c r="AA397" s="7"/>
      <c r="AB397" s="7"/>
      <c r="AC397" s="7"/>
      <c r="AD397" s="7"/>
      <c r="AE397" s="7"/>
      <c r="AF397" s="7"/>
      <c r="AG397" s="7"/>
      <c r="AH397" s="7"/>
      <c r="AI397" s="7"/>
      <c r="AJ397" s="7"/>
      <c r="AK397" s="7"/>
      <c r="AL397" s="7"/>
      <c r="AM397" s="7"/>
      <c r="AN397" s="7"/>
      <c r="AS397" s="7"/>
      <c r="AT397" s="7"/>
      <c r="AU397" s="55"/>
      <c r="AV397" s="7"/>
      <c r="AW397" s="7"/>
      <c r="AX397" s="7"/>
      <c r="AY397" s="7"/>
      <c r="AZ397" s="7"/>
      <c r="BA397" s="7"/>
      <c r="BB397" s="7"/>
      <c r="BC397" s="7"/>
      <c r="BD397" s="7"/>
      <c r="BE397" s="55"/>
      <c r="BF397" s="7"/>
      <c r="BG397" s="7"/>
      <c r="BH397" s="7"/>
      <c r="BI397" s="7"/>
      <c r="BJ397" s="7"/>
      <c r="BK397" s="7"/>
      <c r="BL397" s="7"/>
      <c r="BM397" s="7"/>
      <c r="BN397" s="7"/>
      <c r="BO397" s="7"/>
      <c r="BP397" s="7"/>
      <c r="BQ397" s="7"/>
      <c r="BR397" s="7"/>
      <c r="BS397" s="7"/>
      <c r="BT397" s="7"/>
      <c r="BU397" s="7"/>
      <c r="BV397" s="7"/>
      <c r="BW397" s="7"/>
      <c r="BX397" s="7"/>
      <c r="BY397" s="7"/>
      <c r="BZ397" s="41"/>
      <c r="CA397" s="7"/>
      <c r="CB397" s="7"/>
      <c r="CC397" s="7"/>
      <c r="CD397" s="7"/>
      <c r="CE397" s="7"/>
      <c r="CF397" s="7"/>
    </row>
    <row r="398">
      <c r="T398" s="7"/>
      <c r="U398" s="7"/>
      <c r="V398" s="7"/>
      <c r="W398" s="7"/>
      <c r="X398" s="7"/>
      <c r="Y398" s="7"/>
      <c r="Z398" s="7"/>
      <c r="AA398" s="7"/>
      <c r="AB398" s="7"/>
      <c r="AC398" s="7"/>
      <c r="AD398" s="7"/>
      <c r="AE398" s="7"/>
      <c r="AF398" s="7"/>
      <c r="AG398" s="7"/>
      <c r="AH398" s="7"/>
      <c r="AI398" s="7"/>
      <c r="AJ398" s="7"/>
      <c r="AK398" s="7"/>
      <c r="AL398" s="7"/>
      <c r="AM398" s="7"/>
      <c r="AN398" s="7"/>
      <c r="AS398" s="7"/>
      <c r="AT398" s="7"/>
      <c r="AU398" s="55"/>
      <c r="AV398" s="7"/>
      <c r="AW398" s="7"/>
      <c r="AX398" s="7"/>
      <c r="AY398" s="7"/>
      <c r="AZ398" s="7"/>
      <c r="BA398" s="7"/>
      <c r="BB398" s="7"/>
      <c r="BC398" s="7"/>
      <c r="BD398" s="7"/>
      <c r="BE398" s="55"/>
      <c r="BF398" s="7"/>
      <c r="BG398" s="7"/>
      <c r="BH398" s="7"/>
      <c r="BI398" s="7"/>
      <c r="BJ398" s="7"/>
      <c r="BK398" s="7"/>
      <c r="BL398" s="7"/>
      <c r="BM398" s="7"/>
      <c r="BN398" s="7"/>
      <c r="BO398" s="7"/>
      <c r="BP398" s="7"/>
      <c r="BQ398" s="7"/>
      <c r="BR398" s="7"/>
      <c r="BS398" s="7"/>
      <c r="BT398" s="7"/>
      <c r="BU398" s="7"/>
      <c r="BV398" s="7"/>
      <c r="BW398" s="7"/>
      <c r="BX398" s="7"/>
      <c r="BY398" s="7"/>
      <c r="BZ398" s="41"/>
      <c r="CA398" s="7"/>
      <c r="CB398" s="7"/>
      <c r="CC398" s="7"/>
      <c r="CD398" s="7"/>
      <c r="CE398" s="7"/>
      <c r="CF398" s="7"/>
    </row>
    <row r="399">
      <c r="T399" s="7"/>
      <c r="U399" s="7"/>
      <c r="V399" s="7"/>
      <c r="W399" s="7"/>
      <c r="X399" s="7"/>
      <c r="Y399" s="7"/>
      <c r="Z399" s="7"/>
      <c r="AA399" s="7"/>
      <c r="AB399" s="7"/>
      <c r="AC399" s="7"/>
      <c r="AD399" s="7"/>
      <c r="AE399" s="7"/>
      <c r="AF399" s="7"/>
      <c r="AG399" s="7"/>
      <c r="AH399" s="7"/>
      <c r="AI399" s="7"/>
      <c r="AJ399" s="7"/>
      <c r="AK399" s="7"/>
      <c r="AL399" s="7"/>
      <c r="AM399" s="7"/>
      <c r="AN399" s="7"/>
      <c r="AS399" s="7"/>
      <c r="AT399" s="7"/>
      <c r="AU399" s="55"/>
      <c r="AV399" s="7"/>
      <c r="AW399" s="7"/>
      <c r="AX399" s="7"/>
      <c r="AY399" s="7"/>
      <c r="AZ399" s="7"/>
      <c r="BA399" s="7"/>
      <c r="BB399" s="7"/>
      <c r="BC399" s="7"/>
      <c r="BD399" s="7"/>
      <c r="BE399" s="55"/>
      <c r="BF399" s="7"/>
      <c r="BG399" s="7"/>
      <c r="BH399" s="7"/>
      <c r="BI399" s="7"/>
      <c r="BJ399" s="7"/>
      <c r="BK399" s="7"/>
      <c r="BL399" s="7"/>
      <c r="BM399" s="7"/>
      <c r="BN399" s="7"/>
      <c r="BO399" s="7"/>
      <c r="BP399" s="7"/>
      <c r="BQ399" s="7"/>
      <c r="BR399" s="7"/>
      <c r="BS399" s="7"/>
      <c r="BT399" s="7"/>
      <c r="BU399" s="7"/>
      <c r="BV399" s="7"/>
      <c r="BW399" s="7"/>
      <c r="BX399" s="7"/>
      <c r="BY399" s="7"/>
      <c r="BZ399" s="41"/>
      <c r="CA399" s="7"/>
      <c r="CB399" s="7"/>
      <c r="CC399" s="7"/>
      <c r="CD399" s="7"/>
      <c r="CE399" s="7"/>
      <c r="CF399" s="7"/>
    </row>
    <row r="400">
      <c r="T400" s="7"/>
      <c r="U400" s="7"/>
      <c r="V400" s="7"/>
      <c r="W400" s="7"/>
      <c r="X400" s="7"/>
      <c r="Y400" s="7"/>
      <c r="Z400" s="7"/>
      <c r="AA400" s="7"/>
      <c r="AB400" s="7"/>
      <c r="AC400" s="7"/>
      <c r="AD400" s="7"/>
      <c r="AE400" s="7"/>
      <c r="AF400" s="7"/>
      <c r="AG400" s="7"/>
      <c r="AH400" s="7"/>
      <c r="AI400" s="7"/>
      <c r="AJ400" s="7"/>
      <c r="AK400" s="7"/>
      <c r="AL400" s="7"/>
      <c r="AM400" s="7"/>
      <c r="AN400" s="7"/>
      <c r="AS400" s="7"/>
      <c r="AT400" s="7"/>
      <c r="AU400" s="55"/>
      <c r="AV400" s="7"/>
      <c r="AW400" s="7"/>
      <c r="AX400" s="7"/>
      <c r="AY400" s="7"/>
      <c r="AZ400" s="7"/>
      <c r="BA400" s="7"/>
      <c r="BB400" s="7"/>
      <c r="BC400" s="7"/>
      <c r="BD400" s="7"/>
      <c r="BE400" s="55"/>
      <c r="BF400" s="7"/>
      <c r="BG400" s="7"/>
      <c r="BH400" s="7"/>
      <c r="BI400" s="7"/>
      <c r="BJ400" s="7"/>
      <c r="BK400" s="7"/>
      <c r="BL400" s="7"/>
      <c r="BM400" s="7"/>
      <c r="BN400" s="7"/>
      <c r="BO400" s="7"/>
      <c r="BP400" s="7"/>
      <c r="BQ400" s="7"/>
      <c r="BR400" s="7"/>
      <c r="BS400" s="7"/>
      <c r="BT400" s="7"/>
      <c r="BU400" s="7"/>
      <c r="BV400" s="7"/>
      <c r="BW400" s="7"/>
      <c r="BX400" s="7"/>
      <c r="BY400" s="7"/>
      <c r="BZ400" s="41"/>
      <c r="CA400" s="7"/>
      <c r="CB400" s="7"/>
      <c r="CC400" s="7"/>
      <c r="CD400" s="7"/>
      <c r="CE400" s="7"/>
      <c r="CF400" s="7"/>
    </row>
    <row r="401">
      <c r="T401" s="7"/>
      <c r="U401" s="7"/>
      <c r="V401" s="7"/>
      <c r="W401" s="7"/>
      <c r="X401" s="7"/>
      <c r="Y401" s="7"/>
      <c r="Z401" s="7"/>
      <c r="AA401" s="7"/>
      <c r="AB401" s="7"/>
      <c r="AC401" s="7"/>
      <c r="AD401" s="7"/>
      <c r="AE401" s="7"/>
      <c r="AF401" s="7"/>
      <c r="AG401" s="7"/>
      <c r="AH401" s="7"/>
      <c r="AI401" s="7"/>
      <c r="AJ401" s="7"/>
      <c r="AK401" s="7"/>
      <c r="AL401" s="7"/>
      <c r="AM401" s="7"/>
      <c r="AN401" s="7"/>
      <c r="AS401" s="7"/>
      <c r="AT401" s="7"/>
      <c r="AU401" s="55"/>
      <c r="AV401" s="7"/>
      <c r="AW401" s="7"/>
      <c r="AX401" s="7"/>
      <c r="AY401" s="7"/>
      <c r="AZ401" s="7"/>
      <c r="BA401" s="7"/>
      <c r="BB401" s="7"/>
      <c r="BC401" s="7"/>
      <c r="BD401" s="7"/>
      <c r="BE401" s="55"/>
      <c r="BF401" s="7"/>
      <c r="BG401" s="7"/>
      <c r="BH401" s="7"/>
      <c r="BI401" s="7"/>
      <c r="BJ401" s="7"/>
      <c r="BK401" s="7"/>
      <c r="BL401" s="7"/>
      <c r="BM401" s="7"/>
      <c r="BN401" s="7"/>
      <c r="BO401" s="7"/>
      <c r="BP401" s="7"/>
      <c r="BQ401" s="7"/>
      <c r="BR401" s="7"/>
      <c r="BS401" s="7"/>
      <c r="BT401" s="7"/>
      <c r="BU401" s="7"/>
      <c r="BV401" s="7"/>
      <c r="BW401" s="7"/>
      <c r="BX401" s="7"/>
      <c r="BY401" s="7"/>
      <c r="BZ401" s="41"/>
      <c r="CA401" s="7"/>
      <c r="CB401" s="7"/>
      <c r="CC401" s="7"/>
      <c r="CD401" s="7"/>
      <c r="CE401" s="7"/>
      <c r="CF401" s="7"/>
    </row>
    <row r="402">
      <c r="T402" s="7"/>
      <c r="U402" s="7"/>
      <c r="V402" s="7"/>
      <c r="W402" s="7"/>
      <c r="X402" s="7"/>
      <c r="Y402" s="7"/>
      <c r="Z402" s="7"/>
      <c r="AA402" s="7"/>
      <c r="AB402" s="7"/>
      <c r="AC402" s="7"/>
      <c r="AD402" s="7"/>
      <c r="AE402" s="7"/>
      <c r="AF402" s="7"/>
      <c r="AG402" s="7"/>
      <c r="AH402" s="7"/>
      <c r="AI402" s="7"/>
      <c r="AJ402" s="7"/>
      <c r="AK402" s="7"/>
      <c r="AL402" s="7"/>
      <c r="AM402" s="7"/>
      <c r="AN402" s="7"/>
      <c r="AS402" s="7"/>
      <c r="AT402" s="7"/>
      <c r="AU402" s="55"/>
      <c r="AV402" s="7"/>
      <c r="AW402" s="7"/>
      <c r="AX402" s="7"/>
      <c r="AY402" s="7"/>
      <c r="AZ402" s="7"/>
      <c r="BA402" s="7"/>
      <c r="BB402" s="7"/>
      <c r="BC402" s="7"/>
      <c r="BD402" s="7"/>
      <c r="BE402" s="55"/>
      <c r="BF402" s="7"/>
      <c r="BG402" s="7"/>
      <c r="BH402" s="7"/>
      <c r="BI402" s="7"/>
      <c r="BJ402" s="7"/>
      <c r="BK402" s="7"/>
      <c r="BL402" s="7"/>
      <c r="BM402" s="7"/>
      <c r="BN402" s="7"/>
      <c r="BO402" s="7"/>
      <c r="BP402" s="7"/>
      <c r="BQ402" s="7"/>
      <c r="BR402" s="7"/>
      <c r="BS402" s="7"/>
      <c r="BT402" s="7"/>
      <c r="BU402" s="7"/>
      <c r="BV402" s="7"/>
      <c r="BW402" s="7"/>
      <c r="BX402" s="7"/>
      <c r="BY402" s="7"/>
      <c r="BZ402" s="41"/>
      <c r="CA402" s="7"/>
      <c r="CB402" s="7"/>
      <c r="CC402" s="7"/>
      <c r="CD402" s="7"/>
      <c r="CE402" s="7"/>
      <c r="CF402" s="7"/>
    </row>
    <row r="403">
      <c r="T403" s="7"/>
      <c r="U403" s="7"/>
      <c r="V403" s="7"/>
      <c r="W403" s="7"/>
      <c r="X403" s="7"/>
      <c r="Y403" s="7"/>
      <c r="Z403" s="7"/>
      <c r="AA403" s="7"/>
      <c r="AB403" s="7"/>
      <c r="AC403" s="7"/>
      <c r="AD403" s="7"/>
      <c r="AE403" s="7"/>
      <c r="AF403" s="7"/>
      <c r="AG403" s="7"/>
      <c r="AH403" s="7"/>
      <c r="AI403" s="7"/>
      <c r="AJ403" s="7"/>
      <c r="AK403" s="7"/>
      <c r="AL403" s="7"/>
      <c r="AM403" s="7"/>
      <c r="AN403" s="7"/>
      <c r="AS403" s="7"/>
      <c r="AT403" s="7"/>
      <c r="AU403" s="55"/>
      <c r="AV403" s="7"/>
      <c r="AW403" s="7"/>
      <c r="AX403" s="7"/>
      <c r="AY403" s="7"/>
      <c r="AZ403" s="7"/>
      <c r="BA403" s="7"/>
      <c r="BB403" s="7"/>
      <c r="BC403" s="7"/>
      <c r="BD403" s="7"/>
      <c r="BE403" s="55"/>
      <c r="BF403" s="7"/>
      <c r="BG403" s="7"/>
      <c r="BH403" s="7"/>
      <c r="BI403" s="7"/>
      <c r="BJ403" s="7"/>
      <c r="BK403" s="7"/>
      <c r="BL403" s="7"/>
      <c r="BM403" s="7"/>
      <c r="BN403" s="7"/>
      <c r="BO403" s="7"/>
      <c r="BP403" s="7"/>
      <c r="BQ403" s="7"/>
      <c r="BR403" s="7"/>
      <c r="BS403" s="7"/>
      <c r="BT403" s="7"/>
      <c r="BU403" s="7"/>
      <c r="BV403" s="7"/>
      <c r="BW403" s="7"/>
      <c r="BX403" s="7"/>
      <c r="BY403" s="7"/>
      <c r="BZ403" s="41"/>
      <c r="CA403" s="7"/>
      <c r="CB403" s="7"/>
      <c r="CC403" s="7"/>
      <c r="CD403" s="7"/>
      <c r="CE403" s="7"/>
      <c r="CF403" s="7"/>
    </row>
    <row r="404">
      <c r="T404" s="7"/>
      <c r="U404" s="7"/>
      <c r="V404" s="7"/>
      <c r="W404" s="7"/>
      <c r="X404" s="7"/>
      <c r="Y404" s="7"/>
      <c r="Z404" s="7"/>
      <c r="AA404" s="7"/>
      <c r="AB404" s="7"/>
      <c r="AC404" s="7"/>
      <c r="AD404" s="7"/>
      <c r="AE404" s="7"/>
      <c r="AF404" s="7"/>
      <c r="AG404" s="7"/>
      <c r="AH404" s="7"/>
      <c r="AI404" s="7"/>
      <c r="AJ404" s="7"/>
      <c r="AK404" s="7"/>
      <c r="AL404" s="7"/>
      <c r="AM404" s="7"/>
      <c r="AN404" s="7"/>
      <c r="AS404" s="7"/>
      <c r="AT404" s="7"/>
      <c r="AU404" s="55"/>
      <c r="AV404" s="7"/>
      <c r="AW404" s="7"/>
      <c r="AX404" s="7"/>
      <c r="AY404" s="7"/>
      <c r="AZ404" s="7"/>
      <c r="BA404" s="7"/>
      <c r="BB404" s="7"/>
      <c r="BC404" s="7"/>
      <c r="BD404" s="7"/>
      <c r="BE404" s="55"/>
      <c r="BF404" s="7"/>
      <c r="BG404" s="7"/>
      <c r="BH404" s="7"/>
      <c r="BI404" s="7"/>
      <c r="BJ404" s="7"/>
      <c r="BK404" s="7"/>
      <c r="BL404" s="7"/>
      <c r="BM404" s="7"/>
      <c r="BN404" s="7"/>
      <c r="BO404" s="7"/>
      <c r="BP404" s="7"/>
      <c r="BQ404" s="7"/>
      <c r="BR404" s="7"/>
      <c r="BS404" s="7"/>
      <c r="BT404" s="7"/>
      <c r="BU404" s="7"/>
      <c r="BV404" s="7"/>
      <c r="BW404" s="7"/>
      <c r="BX404" s="7"/>
      <c r="BY404" s="7"/>
      <c r="BZ404" s="41"/>
      <c r="CA404" s="7"/>
      <c r="CB404" s="7"/>
      <c r="CC404" s="7"/>
      <c r="CD404" s="7"/>
      <c r="CE404" s="7"/>
      <c r="CF404" s="7"/>
    </row>
    <row r="405">
      <c r="T405" s="7"/>
      <c r="U405" s="7"/>
      <c r="V405" s="7"/>
      <c r="W405" s="7"/>
      <c r="X405" s="7"/>
      <c r="Y405" s="7"/>
      <c r="Z405" s="7"/>
      <c r="AA405" s="7"/>
      <c r="AB405" s="7"/>
      <c r="AC405" s="7"/>
      <c r="AD405" s="7"/>
      <c r="AE405" s="7"/>
      <c r="AF405" s="7"/>
      <c r="AG405" s="7"/>
      <c r="AH405" s="7"/>
      <c r="AI405" s="7"/>
      <c r="AJ405" s="7"/>
      <c r="AK405" s="7"/>
      <c r="AL405" s="7"/>
      <c r="AM405" s="7"/>
      <c r="AN405" s="7"/>
      <c r="AS405" s="7"/>
      <c r="AT405" s="7"/>
      <c r="AU405" s="55"/>
      <c r="AV405" s="7"/>
      <c r="AW405" s="7"/>
      <c r="AX405" s="7"/>
      <c r="AY405" s="7"/>
      <c r="AZ405" s="7"/>
      <c r="BA405" s="7"/>
      <c r="BB405" s="7"/>
      <c r="BC405" s="7"/>
      <c r="BD405" s="7"/>
      <c r="BE405" s="55"/>
      <c r="BF405" s="7"/>
      <c r="BG405" s="7"/>
      <c r="BH405" s="7"/>
      <c r="BI405" s="7"/>
      <c r="BJ405" s="7"/>
      <c r="BK405" s="7"/>
      <c r="BL405" s="7"/>
      <c r="BM405" s="7"/>
      <c r="BN405" s="7"/>
      <c r="BO405" s="7"/>
      <c r="BP405" s="7"/>
      <c r="BQ405" s="7"/>
      <c r="BR405" s="7"/>
      <c r="BS405" s="7"/>
      <c r="BT405" s="7"/>
      <c r="BU405" s="7"/>
      <c r="BV405" s="7"/>
      <c r="BW405" s="7"/>
      <c r="BX405" s="7"/>
      <c r="BY405" s="7"/>
      <c r="BZ405" s="41"/>
      <c r="CA405" s="7"/>
      <c r="CB405" s="7"/>
      <c r="CC405" s="7"/>
      <c r="CD405" s="7"/>
      <c r="CE405" s="7"/>
      <c r="CF405" s="7"/>
    </row>
    <row r="406">
      <c r="T406" s="7"/>
      <c r="U406" s="7"/>
      <c r="V406" s="7"/>
      <c r="W406" s="7"/>
      <c r="X406" s="7"/>
      <c r="Y406" s="7"/>
      <c r="Z406" s="7"/>
      <c r="AA406" s="7"/>
      <c r="AB406" s="7"/>
      <c r="AC406" s="7"/>
      <c r="AD406" s="7"/>
      <c r="AE406" s="7"/>
      <c r="AF406" s="7"/>
      <c r="AG406" s="7"/>
      <c r="AH406" s="7"/>
      <c r="AI406" s="7"/>
      <c r="AJ406" s="7"/>
      <c r="AK406" s="7"/>
      <c r="AL406" s="7"/>
      <c r="AM406" s="7"/>
      <c r="AN406" s="7"/>
      <c r="AS406" s="7"/>
      <c r="AT406" s="7"/>
      <c r="AU406" s="55"/>
      <c r="AV406" s="7"/>
      <c r="AW406" s="7"/>
      <c r="AX406" s="7"/>
      <c r="AY406" s="7"/>
      <c r="AZ406" s="7"/>
      <c r="BA406" s="7"/>
      <c r="BB406" s="7"/>
      <c r="BC406" s="7"/>
      <c r="BD406" s="7"/>
      <c r="BE406" s="55"/>
      <c r="BF406" s="7"/>
      <c r="BG406" s="7"/>
      <c r="BH406" s="7"/>
      <c r="BI406" s="7"/>
      <c r="BJ406" s="7"/>
      <c r="BK406" s="7"/>
      <c r="BL406" s="7"/>
      <c r="BM406" s="7"/>
      <c r="BN406" s="7"/>
      <c r="BO406" s="7"/>
      <c r="BP406" s="7"/>
      <c r="BQ406" s="7"/>
      <c r="BR406" s="7"/>
      <c r="BS406" s="7"/>
      <c r="BT406" s="7"/>
      <c r="BU406" s="7"/>
      <c r="BV406" s="7"/>
      <c r="BW406" s="7"/>
      <c r="BX406" s="7"/>
      <c r="BY406" s="7"/>
      <c r="BZ406" s="41"/>
      <c r="CA406" s="7"/>
      <c r="CB406" s="7"/>
      <c r="CC406" s="7"/>
      <c r="CD406" s="7"/>
      <c r="CE406" s="7"/>
      <c r="CF406" s="7"/>
    </row>
    <row r="407">
      <c r="T407" s="7"/>
      <c r="U407" s="7"/>
      <c r="V407" s="7"/>
      <c r="W407" s="7"/>
      <c r="X407" s="7"/>
      <c r="Y407" s="7"/>
      <c r="Z407" s="7"/>
      <c r="AA407" s="7"/>
      <c r="AB407" s="7"/>
      <c r="AC407" s="7"/>
      <c r="AD407" s="7"/>
      <c r="AE407" s="7"/>
      <c r="AF407" s="7"/>
      <c r="AG407" s="7"/>
      <c r="AH407" s="7"/>
      <c r="AI407" s="7"/>
      <c r="AJ407" s="7"/>
      <c r="AK407" s="7"/>
      <c r="AL407" s="7"/>
      <c r="AM407" s="7"/>
      <c r="AN407" s="7"/>
      <c r="AS407" s="7"/>
      <c r="AT407" s="7"/>
      <c r="AU407" s="55"/>
      <c r="AV407" s="7"/>
      <c r="AW407" s="7"/>
      <c r="AX407" s="7"/>
      <c r="AY407" s="7"/>
      <c r="AZ407" s="7"/>
      <c r="BA407" s="7"/>
      <c r="BB407" s="7"/>
      <c r="BC407" s="7"/>
      <c r="BD407" s="7"/>
      <c r="BE407" s="55"/>
      <c r="BF407" s="7"/>
      <c r="BG407" s="7"/>
      <c r="BH407" s="7"/>
      <c r="BI407" s="7"/>
      <c r="BJ407" s="7"/>
      <c r="BK407" s="7"/>
      <c r="BL407" s="7"/>
      <c r="BM407" s="7"/>
      <c r="BN407" s="7"/>
      <c r="BO407" s="7"/>
      <c r="BP407" s="7"/>
      <c r="BQ407" s="7"/>
      <c r="BR407" s="7"/>
      <c r="BS407" s="7"/>
      <c r="BT407" s="7"/>
      <c r="BU407" s="7"/>
      <c r="BV407" s="7"/>
      <c r="BW407" s="7"/>
      <c r="BX407" s="7"/>
      <c r="BY407" s="7"/>
      <c r="BZ407" s="41"/>
      <c r="CA407" s="7"/>
      <c r="CB407" s="7"/>
      <c r="CC407" s="7"/>
      <c r="CD407" s="7"/>
      <c r="CE407" s="7"/>
      <c r="CF407" s="7"/>
    </row>
    <row r="408">
      <c r="T408" s="7"/>
      <c r="U408" s="7"/>
      <c r="V408" s="7"/>
      <c r="W408" s="7"/>
      <c r="X408" s="7"/>
      <c r="Y408" s="7"/>
      <c r="Z408" s="7"/>
      <c r="AA408" s="7"/>
      <c r="AB408" s="7"/>
      <c r="AC408" s="7"/>
      <c r="AD408" s="7"/>
      <c r="AE408" s="7"/>
      <c r="AF408" s="7"/>
      <c r="AG408" s="7"/>
      <c r="AH408" s="7"/>
      <c r="AI408" s="7"/>
      <c r="AJ408" s="7"/>
      <c r="AK408" s="7"/>
      <c r="AL408" s="7"/>
      <c r="AM408" s="7"/>
      <c r="AN408" s="7"/>
      <c r="AS408" s="7"/>
      <c r="AT408" s="7"/>
      <c r="AU408" s="55"/>
      <c r="AV408" s="7"/>
      <c r="AW408" s="7"/>
      <c r="AX408" s="7"/>
      <c r="AY408" s="7"/>
      <c r="AZ408" s="7"/>
      <c r="BA408" s="7"/>
      <c r="BB408" s="7"/>
      <c r="BC408" s="7"/>
      <c r="BD408" s="7"/>
      <c r="BE408" s="55"/>
      <c r="BF408" s="7"/>
      <c r="BG408" s="7"/>
      <c r="BH408" s="7"/>
      <c r="BI408" s="7"/>
      <c r="BJ408" s="7"/>
      <c r="BK408" s="7"/>
      <c r="BL408" s="7"/>
      <c r="BM408" s="7"/>
      <c r="BN408" s="7"/>
      <c r="BO408" s="7"/>
      <c r="BP408" s="7"/>
      <c r="BQ408" s="7"/>
      <c r="BR408" s="7"/>
      <c r="BS408" s="7"/>
      <c r="BT408" s="7"/>
      <c r="BU408" s="7"/>
      <c r="BV408" s="7"/>
      <c r="BW408" s="7"/>
      <c r="BX408" s="7"/>
      <c r="BY408" s="7"/>
      <c r="BZ408" s="41"/>
      <c r="CA408" s="7"/>
      <c r="CB408" s="7"/>
      <c r="CC408" s="7"/>
      <c r="CD408" s="7"/>
      <c r="CE408" s="7"/>
      <c r="CF408" s="7"/>
    </row>
    <row r="409">
      <c r="T409" s="7"/>
      <c r="U409" s="7"/>
      <c r="V409" s="7"/>
      <c r="W409" s="7"/>
      <c r="X409" s="7"/>
      <c r="Y409" s="7"/>
      <c r="Z409" s="7"/>
      <c r="AA409" s="7"/>
      <c r="AB409" s="7"/>
      <c r="AC409" s="7"/>
      <c r="AD409" s="7"/>
      <c r="AE409" s="7"/>
      <c r="AF409" s="7"/>
      <c r="AG409" s="7"/>
      <c r="AH409" s="7"/>
      <c r="AI409" s="7"/>
      <c r="AJ409" s="7"/>
      <c r="AK409" s="7"/>
      <c r="AL409" s="7"/>
      <c r="AM409" s="7"/>
      <c r="AN409" s="7"/>
      <c r="AS409" s="7"/>
      <c r="AT409" s="7"/>
      <c r="AU409" s="55"/>
      <c r="AV409" s="7"/>
      <c r="AW409" s="7"/>
      <c r="AX409" s="7"/>
      <c r="AY409" s="7"/>
      <c r="AZ409" s="7"/>
      <c r="BA409" s="7"/>
      <c r="BB409" s="7"/>
      <c r="BC409" s="7"/>
      <c r="BD409" s="7"/>
      <c r="BE409" s="55"/>
      <c r="BF409" s="7"/>
      <c r="BG409" s="7"/>
      <c r="BH409" s="7"/>
      <c r="BI409" s="7"/>
      <c r="BJ409" s="7"/>
      <c r="BK409" s="7"/>
      <c r="BL409" s="7"/>
      <c r="BM409" s="7"/>
      <c r="BN409" s="7"/>
      <c r="BO409" s="7"/>
      <c r="BP409" s="7"/>
      <c r="BQ409" s="7"/>
      <c r="BR409" s="7"/>
      <c r="BS409" s="7"/>
      <c r="BT409" s="7"/>
      <c r="BU409" s="7"/>
      <c r="BV409" s="7"/>
      <c r="BW409" s="7"/>
      <c r="BX409" s="7"/>
      <c r="BY409" s="7"/>
      <c r="BZ409" s="41"/>
      <c r="CA409" s="7"/>
      <c r="CB409" s="7"/>
      <c r="CC409" s="7"/>
      <c r="CD409" s="7"/>
      <c r="CE409" s="7"/>
      <c r="CF409" s="7"/>
    </row>
    <row r="410">
      <c r="T410" s="7"/>
      <c r="U410" s="7"/>
      <c r="V410" s="7"/>
      <c r="W410" s="7"/>
      <c r="X410" s="7"/>
      <c r="Y410" s="7"/>
      <c r="Z410" s="7"/>
      <c r="AA410" s="7"/>
      <c r="AB410" s="7"/>
      <c r="AC410" s="7"/>
      <c r="AD410" s="7"/>
      <c r="AE410" s="7"/>
      <c r="AF410" s="7"/>
      <c r="AG410" s="7"/>
      <c r="AH410" s="7"/>
      <c r="AI410" s="7"/>
      <c r="AJ410" s="7"/>
      <c r="AK410" s="7"/>
      <c r="AL410" s="7"/>
      <c r="AM410" s="7"/>
      <c r="AN410" s="7"/>
      <c r="AS410" s="7"/>
      <c r="AT410" s="7"/>
      <c r="AU410" s="55"/>
      <c r="AV410" s="7"/>
      <c r="AW410" s="7"/>
      <c r="AX410" s="7"/>
      <c r="AY410" s="7"/>
      <c r="AZ410" s="7"/>
      <c r="BA410" s="7"/>
      <c r="BB410" s="7"/>
      <c r="BC410" s="7"/>
      <c r="BD410" s="7"/>
      <c r="BE410" s="55"/>
      <c r="BF410" s="7"/>
      <c r="BG410" s="7"/>
      <c r="BH410" s="7"/>
      <c r="BI410" s="7"/>
      <c r="BJ410" s="7"/>
      <c r="BK410" s="7"/>
      <c r="BL410" s="7"/>
      <c r="BM410" s="7"/>
      <c r="BN410" s="7"/>
      <c r="BO410" s="7"/>
      <c r="BP410" s="7"/>
      <c r="BQ410" s="7"/>
      <c r="BR410" s="7"/>
      <c r="BS410" s="7"/>
      <c r="BT410" s="7"/>
      <c r="BU410" s="7"/>
      <c r="BV410" s="7"/>
      <c r="BW410" s="7"/>
      <c r="BX410" s="7"/>
      <c r="BY410" s="7"/>
      <c r="BZ410" s="41"/>
      <c r="CA410" s="7"/>
      <c r="CB410" s="7"/>
      <c r="CC410" s="7"/>
      <c r="CD410" s="7"/>
      <c r="CE410" s="7"/>
      <c r="CF410" s="7"/>
    </row>
    <row r="411">
      <c r="T411" s="7"/>
      <c r="U411" s="7"/>
      <c r="V411" s="7"/>
      <c r="W411" s="7"/>
      <c r="X411" s="7"/>
      <c r="Y411" s="7"/>
      <c r="Z411" s="7"/>
      <c r="AA411" s="7"/>
      <c r="AB411" s="7"/>
      <c r="AC411" s="7"/>
      <c r="AD411" s="7"/>
      <c r="AE411" s="7"/>
      <c r="AF411" s="7"/>
      <c r="AG411" s="7"/>
      <c r="AH411" s="7"/>
      <c r="AI411" s="7"/>
      <c r="AJ411" s="7"/>
      <c r="AK411" s="7"/>
      <c r="AL411" s="7"/>
      <c r="AM411" s="7"/>
      <c r="AN411" s="7"/>
      <c r="AS411" s="7"/>
      <c r="AT411" s="7"/>
      <c r="AU411" s="55"/>
      <c r="AV411" s="7"/>
      <c r="AW411" s="7"/>
      <c r="AX411" s="7"/>
      <c r="AY411" s="7"/>
      <c r="AZ411" s="7"/>
      <c r="BA411" s="7"/>
      <c r="BB411" s="7"/>
      <c r="BC411" s="7"/>
      <c r="BD411" s="7"/>
      <c r="BE411" s="55"/>
      <c r="BF411" s="7"/>
      <c r="BG411" s="7"/>
      <c r="BH411" s="7"/>
      <c r="BI411" s="7"/>
      <c r="BJ411" s="7"/>
      <c r="BK411" s="7"/>
      <c r="BL411" s="7"/>
      <c r="BM411" s="7"/>
      <c r="BN411" s="7"/>
      <c r="BO411" s="7"/>
      <c r="BP411" s="7"/>
      <c r="BQ411" s="7"/>
      <c r="BR411" s="7"/>
      <c r="BS411" s="7"/>
      <c r="BT411" s="7"/>
      <c r="BU411" s="7"/>
      <c r="BV411" s="7"/>
      <c r="BW411" s="7"/>
      <c r="BX411" s="7"/>
      <c r="BY411" s="7"/>
      <c r="BZ411" s="41"/>
      <c r="CA411" s="7"/>
      <c r="CB411" s="7"/>
      <c r="CC411" s="7"/>
      <c r="CD411" s="7"/>
      <c r="CE411" s="7"/>
      <c r="CF411" s="7"/>
    </row>
    <row r="412">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41"/>
      <c r="CA412" s="7"/>
      <c r="CB412" s="7"/>
      <c r="CC412" s="7"/>
      <c r="CD412" s="7"/>
      <c r="CE412" s="7"/>
      <c r="CF412" s="7"/>
    </row>
    <row r="413">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41"/>
      <c r="CA413" s="7"/>
      <c r="CB413" s="7"/>
      <c r="CC413" s="7"/>
      <c r="CD413" s="7"/>
      <c r="CE413" s="7"/>
      <c r="CF413" s="7"/>
    </row>
    <row r="414">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41"/>
      <c r="CA414" s="7"/>
      <c r="CB414" s="7"/>
      <c r="CC414" s="7"/>
      <c r="CD414" s="7"/>
      <c r="CE414" s="7"/>
      <c r="CF414" s="7"/>
    </row>
    <row r="415">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41"/>
      <c r="CA415" s="7"/>
      <c r="CB415" s="7"/>
      <c r="CC415" s="7"/>
      <c r="CD415" s="7"/>
      <c r="CE415" s="7"/>
      <c r="CF415" s="7"/>
    </row>
    <row r="416">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41"/>
      <c r="CA416" s="7"/>
      <c r="CB416" s="7"/>
      <c r="CC416" s="7"/>
      <c r="CD416" s="7"/>
      <c r="CE416" s="7"/>
      <c r="CF416" s="7"/>
    </row>
    <row r="41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41"/>
      <c r="CA417" s="7"/>
      <c r="CB417" s="7"/>
      <c r="CC417" s="7"/>
      <c r="CD417" s="7"/>
      <c r="CE417" s="7"/>
      <c r="CF417" s="7"/>
    </row>
    <row r="418">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41"/>
      <c r="CA418" s="7"/>
      <c r="CB418" s="7"/>
      <c r="CC418" s="7"/>
      <c r="CD418" s="7"/>
      <c r="CE418" s="7"/>
      <c r="CF418" s="7"/>
    </row>
    <row r="419">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41"/>
      <c r="CA419" s="7"/>
      <c r="CB419" s="7"/>
      <c r="CC419" s="7"/>
      <c r="CD419" s="7"/>
      <c r="CE419" s="7"/>
      <c r="CF419" s="7"/>
    </row>
    <row r="420">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41"/>
      <c r="CA420" s="7"/>
      <c r="CB420" s="7"/>
      <c r="CC420" s="7"/>
      <c r="CD420" s="7"/>
      <c r="CE420" s="7"/>
      <c r="CF420" s="7"/>
    </row>
    <row r="421">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41"/>
      <c r="CA421" s="7"/>
      <c r="CB421" s="7"/>
      <c r="CC421" s="7"/>
      <c r="CD421" s="7"/>
      <c r="CE421" s="7"/>
      <c r="CF421" s="7"/>
    </row>
    <row r="422">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41"/>
      <c r="CA422" s="7"/>
      <c r="CB422" s="7"/>
      <c r="CC422" s="7"/>
      <c r="CD422" s="7"/>
      <c r="CE422" s="7"/>
      <c r="CF422" s="7"/>
    </row>
    <row r="423">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41"/>
      <c r="CA423" s="7"/>
      <c r="CB423" s="7"/>
      <c r="CC423" s="7"/>
      <c r="CD423" s="7"/>
      <c r="CE423" s="7"/>
      <c r="CF423" s="7"/>
    </row>
    <row r="424">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41"/>
      <c r="CA424" s="7"/>
      <c r="CB424" s="7"/>
      <c r="CC424" s="7"/>
      <c r="CD424" s="7"/>
      <c r="CE424" s="7"/>
      <c r="CF424" s="7"/>
    </row>
    <row r="425">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41"/>
      <c r="CA425" s="7"/>
      <c r="CB425" s="7"/>
      <c r="CC425" s="7"/>
      <c r="CD425" s="7"/>
      <c r="CE425" s="7"/>
      <c r="CF425" s="7"/>
    </row>
    <row r="426">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41"/>
      <c r="CA426" s="7"/>
      <c r="CB426" s="7"/>
      <c r="CC426" s="7"/>
      <c r="CD426" s="7"/>
      <c r="CE426" s="7"/>
      <c r="CF426" s="7"/>
    </row>
    <row r="42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41"/>
      <c r="CA427" s="7"/>
      <c r="CB427" s="7"/>
      <c r="CC427" s="7"/>
      <c r="CD427" s="7"/>
      <c r="CE427" s="7"/>
      <c r="CF427" s="7"/>
    </row>
    <row r="428">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41"/>
      <c r="CA428" s="7"/>
      <c r="CB428" s="7"/>
      <c r="CC428" s="7"/>
      <c r="CD428" s="7"/>
      <c r="CE428" s="7"/>
      <c r="CF428" s="7"/>
    </row>
    <row r="429">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41"/>
      <c r="CA429" s="7"/>
      <c r="CB429" s="7"/>
      <c r="CC429" s="7"/>
      <c r="CD429" s="7"/>
      <c r="CE429" s="7"/>
      <c r="CF429" s="7"/>
    </row>
    <row r="430">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41"/>
      <c r="CA430" s="7"/>
      <c r="CB430" s="7"/>
      <c r="CC430" s="7"/>
      <c r="CD430" s="7"/>
      <c r="CE430" s="7"/>
      <c r="CF430" s="7"/>
    </row>
    <row r="431">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41"/>
      <c r="CA431" s="7"/>
      <c r="CB431" s="7"/>
      <c r="CC431" s="7"/>
      <c r="CD431" s="7"/>
      <c r="CE431" s="7"/>
      <c r="CF431" s="7"/>
    </row>
    <row r="432">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41"/>
      <c r="CA432" s="7"/>
      <c r="CB432" s="7"/>
      <c r="CC432" s="7"/>
      <c r="CD432" s="7"/>
      <c r="CE432" s="7"/>
      <c r="CF432" s="7"/>
    </row>
    <row r="433">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41"/>
      <c r="CA433" s="7"/>
      <c r="CB433" s="7"/>
      <c r="CC433" s="7"/>
      <c r="CD433" s="7"/>
      <c r="CE433" s="7"/>
      <c r="CF433" s="7"/>
    </row>
    <row r="434">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41"/>
      <c r="CA434" s="7"/>
      <c r="CB434" s="7"/>
      <c r="CC434" s="7"/>
      <c r="CD434" s="7"/>
      <c r="CE434" s="7"/>
      <c r="CF434" s="7"/>
    </row>
    <row r="435">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41"/>
      <c r="CA435" s="7"/>
      <c r="CB435" s="7"/>
      <c r="CC435" s="7"/>
      <c r="CD435" s="7"/>
      <c r="CE435" s="7"/>
      <c r="CF435" s="7"/>
    </row>
    <row r="436">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41"/>
      <c r="CA436" s="7"/>
      <c r="CB436" s="7"/>
      <c r="CC436" s="7"/>
      <c r="CD436" s="7"/>
      <c r="CE436" s="7"/>
      <c r="CF436" s="7"/>
    </row>
    <row r="43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41"/>
      <c r="CA437" s="7"/>
      <c r="CB437" s="7"/>
      <c r="CC437" s="7"/>
      <c r="CD437" s="7"/>
      <c r="CE437" s="7"/>
      <c r="CF437" s="7"/>
    </row>
    <row r="438">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41"/>
      <c r="CA438" s="7"/>
      <c r="CB438" s="7"/>
      <c r="CC438" s="7"/>
      <c r="CD438" s="7"/>
      <c r="CE438" s="7"/>
      <c r="CF438" s="7"/>
    </row>
    <row r="439">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41"/>
      <c r="CA439" s="7"/>
      <c r="CB439" s="7"/>
      <c r="CC439" s="7"/>
      <c r="CD439" s="7"/>
      <c r="CE439" s="7"/>
      <c r="CF439" s="7"/>
    </row>
    <row r="440">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c r="BX440" s="7"/>
      <c r="BY440" s="7"/>
      <c r="BZ440" s="41"/>
      <c r="CA440" s="7"/>
      <c r="CB440" s="7"/>
      <c r="CC440" s="7"/>
      <c r="CD440" s="7"/>
      <c r="CE440" s="7"/>
      <c r="CF440" s="7"/>
    </row>
    <row r="441">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41"/>
      <c r="CA441" s="7"/>
      <c r="CB441" s="7"/>
      <c r="CC441" s="7"/>
      <c r="CD441" s="7"/>
      <c r="CE441" s="7"/>
      <c r="CF441" s="7"/>
    </row>
    <row r="442">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41"/>
      <c r="CA442" s="7"/>
      <c r="CB442" s="7"/>
      <c r="CC442" s="7"/>
      <c r="CD442" s="7"/>
      <c r="CE442" s="7"/>
      <c r="CF442" s="7"/>
    </row>
    <row r="443">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41"/>
      <c r="CA443" s="7"/>
      <c r="CB443" s="7"/>
      <c r="CC443" s="7"/>
      <c r="CD443" s="7"/>
      <c r="CE443" s="7"/>
      <c r="CF443" s="7"/>
    </row>
    <row r="444">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41"/>
      <c r="CA444" s="7"/>
      <c r="CB444" s="7"/>
      <c r="CC444" s="7"/>
      <c r="CD444" s="7"/>
      <c r="CE444" s="7"/>
      <c r="CF444" s="7"/>
    </row>
    <row r="445">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41"/>
      <c r="CA445" s="7"/>
      <c r="CB445" s="7"/>
      <c r="CC445" s="7"/>
      <c r="CD445" s="7"/>
      <c r="CE445" s="7"/>
      <c r="CF445" s="7"/>
    </row>
    <row r="446">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41"/>
      <c r="CA446" s="7"/>
      <c r="CB446" s="7"/>
      <c r="CC446" s="7"/>
      <c r="CD446" s="7"/>
      <c r="CE446" s="7"/>
      <c r="CF446" s="7"/>
    </row>
    <row r="44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41"/>
      <c r="CA447" s="7"/>
      <c r="CB447" s="7"/>
      <c r="CC447" s="7"/>
      <c r="CD447" s="7"/>
      <c r="CE447" s="7"/>
      <c r="CF447" s="7"/>
    </row>
    <row r="448">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c r="BZ448" s="41"/>
      <c r="CA448" s="7"/>
      <c r="CB448" s="7"/>
      <c r="CC448" s="7"/>
      <c r="CD448" s="7"/>
      <c r="CE448" s="7"/>
      <c r="CF448" s="7"/>
    </row>
    <row r="449">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41"/>
      <c r="CA449" s="7"/>
      <c r="CB449" s="7"/>
      <c r="CC449" s="7"/>
      <c r="CD449" s="7"/>
      <c r="CE449" s="7"/>
      <c r="CF449" s="7"/>
    </row>
    <row r="450">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41"/>
      <c r="CA450" s="7"/>
      <c r="CB450" s="7"/>
      <c r="CC450" s="7"/>
      <c r="CD450" s="7"/>
      <c r="CE450" s="7"/>
      <c r="CF450" s="7"/>
    </row>
    <row r="451">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41"/>
      <c r="CA451" s="7"/>
      <c r="CB451" s="7"/>
      <c r="CC451" s="7"/>
      <c r="CD451" s="7"/>
      <c r="CE451" s="7"/>
      <c r="CF451" s="7"/>
    </row>
    <row r="452">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41"/>
      <c r="CA452" s="7"/>
      <c r="CB452" s="7"/>
      <c r="CC452" s="7"/>
      <c r="CD452" s="7"/>
      <c r="CE452" s="7"/>
      <c r="CF452" s="7"/>
    </row>
    <row r="453">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41"/>
      <c r="CA453" s="7"/>
      <c r="CB453" s="7"/>
      <c r="CC453" s="7"/>
      <c r="CD453" s="7"/>
      <c r="CE453" s="7"/>
      <c r="CF453" s="7"/>
    </row>
    <row r="454">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41"/>
      <c r="CA454" s="7"/>
      <c r="CB454" s="7"/>
      <c r="CC454" s="7"/>
      <c r="CD454" s="7"/>
      <c r="CE454" s="7"/>
      <c r="CF454" s="7"/>
    </row>
    <row r="455">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41"/>
      <c r="CA455" s="7"/>
      <c r="CB455" s="7"/>
      <c r="CC455" s="7"/>
      <c r="CD455" s="7"/>
      <c r="CE455" s="7"/>
      <c r="CF455" s="7"/>
    </row>
    <row r="456">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41"/>
      <c r="CA456" s="7"/>
      <c r="CB456" s="7"/>
      <c r="CC456" s="7"/>
      <c r="CD456" s="7"/>
      <c r="CE456" s="7"/>
      <c r="CF456" s="7"/>
    </row>
    <row r="45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c r="BZ457" s="41"/>
      <c r="CA457" s="7"/>
      <c r="CB457" s="7"/>
      <c r="CC457" s="7"/>
      <c r="CD457" s="7"/>
      <c r="CE457" s="7"/>
      <c r="CF457" s="7"/>
    </row>
    <row r="458">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c r="BZ458" s="41"/>
      <c r="CA458" s="7"/>
      <c r="CB458" s="7"/>
      <c r="CC458" s="7"/>
      <c r="CD458" s="7"/>
      <c r="CE458" s="7"/>
      <c r="CF458" s="7"/>
    </row>
    <row r="459">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41"/>
      <c r="CA459" s="7"/>
      <c r="CB459" s="7"/>
      <c r="CC459" s="7"/>
      <c r="CD459" s="7"/>
      <c r="CE459" s="7"/>
      <c r="CF459" s="7"/>
    </row>
    <row r="460">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41"/>
      <c r="CA460" s="7"/>
      <c r="CB460" s="7"/>
      <c r="CC460" s="7"/>
      <c r="CD460" s="7"/>
      <c r="CE460" s="7"/>
      <c r="CF460" s="7"/>
    </row>
    <row r="461">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41"/>
      <c r="CA461" s="7"/>
      <c r="CB461" s="7"/>
      <c r="CC461" s="7"/>
      <c r="CD461" s="7"/>
      <c r="CE461" s="7"/>
      <c r="CF461" s="7"/>
    </row>
    <row r="462">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41"/>
      <c r="CA462" s="7"/>
      <c r="CB462" s="7"/>
      <c r="CC462" s="7"/>
      <c r="CD462" s="7"/>
      <c r="CE462" s="7"/>
      <c r="CF462" s="7"/>
    </row>
    <row r="463">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41"/>
      <c r="CA463" s="7"/>
      <c r="CB463" s="7"/>
      <c r="CC463" s="7"/>
      <c r="CD463" s="7"/>
      <c r="CE463" s="7"/>
      <c r="CF463" s="7"/>
    </row>
    <row r="464">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c r="BZ464" s="41"/>
      <c r="CA464" s="7"/>
      <c r="CB464" s="7"/>
      <c r="CC464" s="7"/>
      <c r="CD464" s="7"/>
      <c r="CE464" s="7"/>
      <c r="CF464" s="7"/>
    </row>
    <row r="465">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41"/>
      <c r="CA465" s="7"/>
      <c r="CB465" s="7"/>
      <c r="CC465" s="7"/>
      <c r="CD465" s="7"/>
      <c r="CE465" s="7"/>
      <c r="CF465" s="7"/>
    </row>
    <row r="466">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c r="BZ466" s="41"/>
      <c r="CA466" s="7"/>
      <c r="CB466" s="7"/>
      <c r="CC466" s="7"/>
      <c r="CD466" s="7"/>
      <c r="CE466" s="7"/>
      <c r="CF466" s="7"/>
    </row>
    <row r="46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41"/>
      <c r="CA467" s="7"/>
      <c r="CB467" s="7"/>
      <c r="CC467" s="7"/>
      <c r="CD467" s="7"/>
      <c r="CE467" s="7"/>
      <c r="CF467" s="7"/>
    </row>
    <row r="468">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c r="BZ468" s="41"/>
      <c r="CA468" s="7"/>
      <c r="CB468" s="7"/>
      <c r="CC468" s="7"/>
      <c r="CD468" s="7"/>
      <c r="CE468" s="7"/>
      <c r="CF468" s="7"/>
    </row>
    <row r="469">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41"/>
      <c r="CA469" s="7"/>
      <c r="CB469" s="7"/>
      <c r="CC469" s="7"/>
      <c r="CD469" s="7"/>
      <c r="CE469" s="7"/>
      <c r="CF469" s="7"/>
    </row>
    <row r="470">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c r="BZ470" s="41"/>
      <c r="CA470" s="7"/>
      <c r="CB470" s="7"/>
      <c r="CC470" s="7"/>
      <c r="CD470" s="7"/>
      <c r="CE470" s="7"/>
      <c r="CF470" s="7"/>
    </row>
    <row r="471">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41"/>
      <c r="CA471" s="7"/>
      <c r="CB471" s="7"/>
      <c r="CC471" s="7"/>
      <c r="CD471" s="7"/>
      <c r="CE471" s="7"/>
      <c r="CF471" s="7"/>
    </row>
    <row r="472">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c r="BZ472" s="41"/>
      <c r="CA472" s="7"/>
      <c r="CB472" s="7"/>
      <c r="CC472" s="7"/>
      <c r="CD472" s="7"/>
      <c r="CE472" s="7"/>
      <c r="CF472" s="7"/>
    </row>
    <row r="473">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41"/>
      <c r="CA473" s="7"/>
      <c r="CB473" s="7"/>
      <c r="CC473" s="7"/>
      <c r="CD473" s="7"/>
      <c r="CE473" s="7"/>
      <c r="CF473" s="7"/>
    </row>
    <row r="474">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41"/>
      <c r="CA474" s="7"/>
      <c r="CB474" s="7"/>
      <c r="CC474" s="7"/>
      <c r="CD474" s="7"/>
      <c r="CE474" s="7"/>
      <c r="CF474" s="7"/>
    </row>
    <row r="475">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41"/>
      <c r="CA475" s="7"/>
      <c r="CB475" s="7"/>
      <c r="CC475" s="7"/>
      <c r="CD475" s="7"/>
      <c r="CE475" s="7"/>
      <c r="CF475" s="7"/>
    </row>
    <row r="476">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41"/>
      <c r="CA476" s="7"/>
      <c r="CB476" s="7"/>
      <c r="CC476" s="7"/>
      <c r="CD476" s="7"/>
      <c r="CE476" s="7"/>
      <c r="CF476" s="7"/>
    </row>
    <row r="47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41"/>
      <c r="CA477" s="7"/>
      <c r="CB477" s="7"/>
      <c r="CC477" s="7"/>
      <c r="CD477" s="7"/>
      <c r="CE477" s="7"/>
      <c r="CF477" s="7"/>
    </row>
    <row r="478">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c r="BX478" s="7"/>
      <c r="BY478" s="7"/>
      <c r="BZ478" s="41"/>
      <c r="CA478" s="7"/>
      <c r="CB478" s="7"/>
      <c r="CC478" s="7"/>
      <c r="CD478" s="7"/>
      <c r="CE478" s="7"/>
      <c r="CF478" s="7"/>
    </row>
    <row r="479">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41"/>
      <c r="CA479" s="7"/>
      <c r="CB479" s="7"/>
      <c r="CC479" s="7"/>
      <c r="CD479" s="7"/>
      <c r="CE479" s="7"/>
      <c r="CF479" s="7"/>
    </row>
    <row r="480">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c r="BZ480" s="41"/>
      <c r="CA480" s="7"/>
      <c r="CB480" s="7"/>
      <c r="CC480" s="7"/>
      <c r="CD480" s="7"/>
      <c r="CE480" s="7"/>
      <c r="CF480" s="7"/>
    </row>
    <row r="481">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41"/>
      <c r="CA481" s="7"/>
      <c r="CB481" s="7"/>
      <c r="CC481" s="7"/>
      <c r="CD481" s="7"/>
      <c r="CE481" s="7"/>
      <c r="CF481" s="7"/>
    </row>
    <row r="482">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41"/>
      <c r="CA482" s="7"/>
      <c r="CB482" s="7"/>
      <c r="CC482" s="7"/>
      <c r="CD482" s="7"/>
      <c r="CE482" s="7"/>
      <c r="CF482" s="7"/>
    </row>
    <row r="483">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41"/>
      <c r="CA483" s="7"/>
      <c r="CB483" s="7"/>
      <c r="CC483" s="7"/>
      <c r="CD483" s="7"/>
      <c r="CE483" s="7"/>
      <c r="CF483" s="7"/>
    </row>
    <row r="484">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41"/>
      <c r="CA484" s="7"/>
      <c r="CB484" s="7"/>
      <c r="CC484" s="7"/>
      <c r="CD484" s="7"/>
      <c r="CE484" s="7"/>
      <c r="CF484" s="7"/>
    </row>
    <row r="485">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41"/>
      <c r="CA485" s="7"/>
      <c r="CB485" s="7"/>
      <c r="CC485" s="7"/>
      <c r="CD485" s="7"/>
      <c r="CE485" s="7"/>
      <c r="CF485" s="7"/>
    </row>
    <row r="486">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41"/>
      <c r="CA486" s="7"/>
      <c r="CB486" s="7"/>
      <c r="CC486" s="7"/>
      <c r="CD486" s="7"/>
      <c r="CE486" s="7"/>
      <c r="CF486" s="7"/>
    </row>
    <row r="48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41"/>
      <c r="CA487" s="7"/>
      <c r="CB487" s="7"/>
      <c r="CC487" s="7"/>
      <c r="CD487" s="7"/>
      <c r="CE487" s="7"/>
      <c r="CF487" s="7"/>
    </row>
    <row r="488">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41"/>
      <c r="CA488" s="7"/>
      <c r="CB488" s="7"/>
      <c r="CC488" s="7"/>
      <c r="CD488" s="7"/>
      <c r="CE488" s="7"/>
      <c r="CF488" s="7"/>
    </row>
    <row r="489">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41"/>
      <c r="CA489" s="7"/>
      <c r="CB489" s="7"/>
      <c r="CC489" s="7"/>
      <c r="CD489" s="7"/>
      <c r="CE489" s="7"/>
      <c r="CF489" s="7"/>
    </row>
    <row r="490">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c r="BZ490" s="41"/>
      <c r="CA490" s="7"/>
      <c r="CB490" s="7"/>
      <c r="CC490" s="7"/>
      <c r="CD490" s="7"/>
      <c r="CE490" s="7"/>
      <c r="CF490" s="7"/>
    </row>
    <row r="491">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41"/>
      <c r="CA491" s="7"/>
      <c r="CB491" s="7"/>
      <c r="CC491" s="7"/>
      <c r="CD491" s="7"/>
      <c r="CE491" s="7"/>
      <c r="CF491" s="7"/>
    </row>
    <row r="492">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41"/>
      <c r="CA492" s="7"/>
      <c r="CB492" s="7"/>
      <c r="CC492" s="7"/>
      <c r="CD492" s="7"/>
      <c r="CE492" s="7"/>
      <c r="CF492" s="7"/>
    </row>
    <row r="493">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41"/>
      <c r="CA493" s="7"/>
      <c r="CB493" s="7"/>
      <c r="CC493" s="7"/>
      <c r="CD493" s="7"/>
      <c r="CE493" s="7"/>
      <c r="CF493" s="7"/>
    </row>
    <row r="494">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41"/>
      <c r="CA494" s="7"/>
      <c r="CB494" s="7"/>
      <c r="CC494" s="7"/>
      <c r="CD494" s="7"/>
      <c r="CE494" s="7"/>
      <c r="CF494" s="7"/>
    </row>
    <row r="495">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41"/>
      <c r="CA495" s="7"/>
      <c r="CB495" s="7"/>
      <c r="CC495" s="7"/>
      <c r="CD495" s="7"/>
      <c r="CE495" s="7"/>
      <c r="CF495" s="7"/>
    </row>
    <row r="496">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c r="BZ496" s="41"/>
      <c r="CA496" s="7"/>
      <c r="CB496" s="7"/>
      <c r="CC496" s="7"/>
      <c r="CD496" s="7"/>
      <c r="CE496" s="7"/>
      <c r="CF496" s="7"/>
    </row>
    <row r="49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41"/>
      <c r="CA497" s="7"/>
      <c r="CB497" s="7"/>
      <c r="CC497" s="7"/>
      <c r="CD497" s="7"/>
      <c r="CE497" s="7"/>
      <c r="CF497" s="7"/>
    </row>
    <row r="498">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41"/>
      <c r="CA498" s="7"/>
      <c r="CB498" s="7"/>
      <c r="CC498" s="7"/>
      <c r="CD498" s="7"/>
      <c r="CE498" s="7"/>
      <c r="CF498" s="7"/>
    </row>
    <row r="499">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41"/>
      <c r="CA499" s="7"/>
      <c r="CB499" s="7"/>
      <c r="CC499" s="7"/>
      <c r="CD499" s="7"/>
      <c r="CE499" s="7"/>
      <c r="CF499" s="7"/>
    </row>
    <row r="500">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c r="BZ500" s="41"/>
      <c r="CA500" s="7"/>
      <c r="CB500" s="7"/>
      <c r="CC500" s="7"/>
      <c r="CD500" s="7"/>
      <c r="CE500" s="7"/>
      <c r="CF500" s="7"/>
    </row>
    <row r="501">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c r="BZ501" s="41"/>
      <c r="CA501" s="7"/>
      <c r="CB501" s="7"/>
      <c r="CC501" s="7"/>
      <c r="CD501" s="7"/>
      <c r="CE501" s="7"/>
      <c r="CF501" s="7"/>
    </row>
    <row r="502">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c r="BZ502" s="41"/>
      <c r="CA502" s="7"/>
      <c r="CB502" s="7"/>
      <c r="CC502" s="7"/>
      <c r="CD502" s="7"/>
      <c r="CE502" s="7"/>
      <c r="CF502" s="7"/>
    </row>
    <row r="503">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c r="BZ503" s="41"/>
      <c r="CA503" s="7"/>
      <c r="CB503" s="7"/>
      <c r="CC503" s="7"/>
      <c r="CD503" s="7"/>
      <c r="CE503" s="7"/>
      <c r="CF503" s="7"/>
    </row>
    <row r="504">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c r="BX504" s="7"/>
      <c r="BY504" s="7"/>
      <c r="BZ504" s="41"/>
      <c r="CA504" s="7"/>
      <c r="CB504" s="7"/>
      <c r="CC504" s="7"/>
      <c r="CD504" s="7"/>
      <c r="CE504" s="7"/>
      <c r="CF504" s="7"/>
    </row>
    <row r="505">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c r="BZ505" s="41"/>
      <c r="CA505" s="7"/>
      <c r="CB505" s="7"/>
      <c r="CC505" s="7"/>
      <c r="CD505" s="7"/>
      <c r="CE505" s="7"/>
      <c r="CF505" s="7"/>
    </row>
    <row r="506">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c r="BX506" s="7"/>
      <c r="BY506" s="7"/>
      <c r="BZ506" s="41"/>
      <c r="CA506" s="7"/>
      <c r="CB506" s="7"/>
      <c r="CC506" s="7"/>
      <c r="CD506" s="7"/>
      <c r="CE506" s="7"/>
      <c r="CF506" s="7"/>
    </row>
    <row r="50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41"/>
      <c r="CA507" s="7"/>
      <c r="CB507" s="7"/>
      <c r="CC507" s="7"/>
      <c r="CD507" s="7"/>
      <c r="CE507" s="7"/>
      <c r="CF507" s="7"/>
    </row>
    <row r="508">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c r="BZ508" s="41"/>
      <c r="CA508" s="7"/>
      <c r="CB508" s="7"/>
      <c r="CC508" s="7"/>
      <c r="CD508" s="7"/>
      <c r="CE508" s="7"/>
      <c r="CF508" s="7"/>
    </row>
    <row r="509">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41"/>
      <c r="CA509" s="7"/>
      <c r="CB509" s="7"/>
      <c r="CC509" s="7"/>
      <c r="CD509" s="7"/>
      <c r="CE509" s="7"/>
      <c r="CF509" s="7"/>
    </row>
    <row r="510">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c r="BZ510" s="41"/>
      <c r="CA510" s="7"/>
      <c r="CB510" s="7"/>
      <c r="CC510" s="7"/>
      <c r="CD510" s="7"/>
      <c r="CE510" s="7"/>
      <c r="CF510" s="7"/>
    </row>
    <row r="511">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41"/>
      <c r="CA511" s="7"/>
      <c r="CB511" s="7"/>
      <c r="CC511" s="7"/>
      <c r="CD511" s="7"/>
      <c r="CE511" s="7"/>
      <c r="CF511" s="7"/>
    </row>
    <row r="512">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c r="BZ512" s="41"/>
      <c r="CA512" s="7"/>
      <c r="CB512" s="7"/>
      <c r="CC512" s="7"/>
      <c r="CD512" s="7"/>
      <c r="CE512" s="7"/>
      <c r="CF512" s="7"/>
    </row>
    <row r="513">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41"/>
      <c r="CA513" s="7"/>
      <c r="CB513" s="7"/>
      <c r="CC513" s="7"/>
      <c r="CD513" s="7"/>
      <c r="CE513" s="7"/>
      <c r="CF513" s="7"/>
    </row>
    <row r="514">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c r="BZ514" s="41"/>
      <c r="CA514" s="7"/>
      <c r="CB514" s="7"/>
      <c r="CC514" s="7"/>
      <c r="CD514" s="7"/>
      <c r="CE514" s="7"/>
      <c r="CF514" s="7"/>
    </row>
    <row r="515">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41"/>
      <c r="CA515" s="7"/>
      <c r="CB515" s="7"/>
      <c r="CC515" s="7"/>
      <c r="CD515" s="7"/>
      <c r="CE515" s="7"/>
      <c r="CF515" s="7"/>
    </row>
    <row r="516">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c r="BZ516" s="41"/>
      <c r="CA516" s="7"/>
      <c r="CB516" s="7"/>
      <c r="CC516" s="7"/>
      <c r="CD516" s="7"/>
      <c r="CE516" s="7"/>
      <c r="CF516" s="7"/>
    </row>
    <row r="51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41"/>
      <c r="CA517" s="7"/>
      <c r="CB517" s="7"/>
      <c r="CC517" s="7"/>
      <c r="CD517" s="7"/>
      <c r="CE517" s="7"/>
      <c r="CF517" s="7"/>
    </row>
    <row r="518">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c r="BZ518" s="41"/>
      <c r="CA518" s="7"/>
      <c r="CB518" s="7"/>
      <c r="CC518" s="7"/>
      <c r="CD518" s="7"/>
      <c r="CE518" s="7"/>
      <c r="CF518" s="7"/>
    </row>
    <row r="519">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c r="BZ519" s="41"/>
      <c r="CA519" s="7"/>
      <c r="CB519" s="7"/>
      <c r="CC519" s="7"/>
      <c r="CD519" s="7"/>
      <c r="CE519" s="7"/>
      <c r="CF519" s="7"/>
    </row>
    <row r="520">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c r="BZ520" s="41"/>
      <c r="CA520" s="7"/>
      <c r="CB520" s="7"/>
      <c r="CC520" s="7"/>
      <c r="CD520" s="7"/>
      <c r="CE520" s="7"/>
      <c r="CF520" s="7"/>
    </row>
    <row r="521">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41"/>
      <c r="CA521" s="7"/>
      <c r="CB521" s="7"/>
      <c r="CC521" s="7"/>
      <c r="CD521" s="7"/>
      <c r="CE521" s="7"/>
      <c r="CF521" s="7"/>
    </row>
    <row r="522">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c r="BZ522" s="41"/>
      <c r="CA522" s="7"/>
      <c r="CB522" s="7"/>
      <c r="CC522" s="7"/>
      <c r="CD522" s="7"/>
      <c r="CE522" s="7"/>
      <c r="CF522" s="7"/>
    </row>
    <row r="523">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41"/>
      <c r="CA523" s="7"/>
      <c r="CB523" s="7"/>
      <c r="CC523" s="7"/>
      <c r="CD523" s="7"/>
      <c r="CE523" s="7"/>
      <c r="CF523" s="7"/>
    </row>
    <row r="524">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c r="BX524" s="7"/>
      <c r="BY524" s="7"/>
      <c r="BZ524" s="41"/>
      <c r="CA524" s="7"/>
      <c r="CB524" s="7"/>
      <c r="CC524" s="7"/>
      <c r="CD524" s="7"/>
      <c r="CE524" s="7"/>
      <c r="CF524" s="7"/>
    </row>
    <row r="525">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41"/>
      <c r="CA525" s="7"/>
      <c r="CB525" s="7"/>
      <c r="CC525" s="7"/>
      <c r="CD525" s="7"/>
      <c r="CE525" s="7"/>
      <c r="CF525" s="7"/>
    </row>
    <row r="526">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c r="BZ526" s="41"/>
      <c r="CA526" s="7"/>
      <c r="CB526" s="7"/>
      <c r="CC526" s="7"/>
      <c r="CD526" s="7"/>
      <c r="CE526" s="7"/>
      <c r="CF526" s="7"/>
    </row>
    <row r="52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c r="BZ527" s="41"/>
      <c r="CA527" s="7"/>
      <c r="CB527" s="7"/>
      <c r="CC527" s="7"/>
      <c r="CD527" s="7"/>
      <c r="CE527" s="7"/>
      <c r="CF527" s="7"/>
    </row>
    <row r="528">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c r="BX528" s="7"/>
      <c r="BY528" s="7"/>
      <c r="BZ528" s="41"/>
      <c r="CA528" s="7"/>
      <c r="CB528" s="7"/>
      <c r="CC528" s="7"/>
      <c r="CD528" s="7"/>
      <c r="CE528" s="7"/>
      <c r="CF528" s="7"/>
    </row>
    <row r="529">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41"/>
      <c r="CA529" s="7"/>
      <c r="CB529" s="7"/>
      <c r="CC529" s="7"/>
      <c r="CD529" s="7"/>
      <c r="CE529" s="7"/>
      <c r="CF529" s="7"/>
    </row>
    <row r="530">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c r="BZ530" s="41"/>
      <c r="CA530" s="7"/>
      <c r="CB530" s="7"/>
      <c r="CC530" s="7"/>
      <c r="CD530" s="7"/>
      <c r="CE530" s="7"/>
      <c r="CF530" s="7"/>
    </row>
    <row r="531">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c r="BZ531" s="41"/>
      <c r="CA531" s="7"/>
      <c r="CB531" s="7"/>
      <c r="CC531" s="7"/>
      <c r="CD531" s="7"/>
      <c r="CE531" s="7"/>
      <c r="CF531" s="7"/>
    </row>
    <row r="532">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c r="BZ532" s="41"/>
      <c r="CA532" s="7"/>
      <c r="CB532" s="7"/>
      <c r="CC532" s="7"/>
      <c r="CD532" s="7"/>
      <c r="CE532" s="7"/>
      <c r="CF532" s="7"/>
    </row>
    <row r="533">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c r="BZ533" s="41"/>
      <c r="CA533" s="7"/>
      <c r="CB533" s="7"/>
      <c r="CC533" s="7"/>
      <c r="CD533" s="7"/>
      <c r="CE533" s="7"/>
      <c r="CF533" s="7"/>
    </row>
    <row r="534">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c r="BX534" s="7"/>
      <c r="BY534" s="7"/>
      <c r="BZ534" s="41"/>
      <c r="CA534" s="7"/>
      <c r="CB534" s="7"/>
      <c r="CC534" s="7"/>
      <c r="CD534" s="7"/>
      <c r="CE534" s="7"/>
      <c r="CF534" s="7"/>
    </row>
    <row r="535">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c r="BZ535" s="41"/>
      <c r="CA535" s="7"/>
      <c r="CB535" s="7"/>
      <c r="CC535" s="7"/>
      <c r="CD535" s="7"/>
      <c r="CE535" s="7"/>
      <c r="CF535" s="7"/>
    </row>
    <row r="536">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c r="BZ536" s="41"/>
      <c r="CA536" s="7"/>
      <c r="CB536" s="7"/>
      <c r="CC536" s="7"/>
      <c r="CD536" s="7"/>
      <c r="CE536" s="7"/>
      <c r="CF536" s="7"/>
    </row>
    <row r="53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41"/>
      <c r="CA537" s="7"/>
      <c r="CB537" s="7"/>
      <c r="CC537" s="7"/>
      <c r="CD537" s="7"/>
      <c r="CE537" s="7"/>
      <c r="CF537" s="7"/>
    </row>
    <row r="538">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c r="BZ538" s="41"/>
      <c r="CA538" s="7"/>
      <c r="CB538" s="7"/>
      <c r="CC538" s="7"/>
      <c r="CD538" s="7"/>
      <c r="CE538" s="7"/>
      <c r="CF538" s="7"/>
    </row>
    <row r="539">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c r="BZ539" s="41"/>
      <c r="CA539" s="7"/>
      <c r="CB539" s="7"/>
      <c r="CC539" s="7"/>
      <c r="CD539" s="7"/>
      <c r="CE539" s="7"/>
      <c r="CF539" s="7"/>
    </row>
    <row r="540">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c r="BZ540" s="41"/>
      <c r="CA540" s="7"/>
      <c r="CB540" s="7"/>
      <c r="CC540" s="7"/>
      <c r="CD540" s="7"/>
      <c r="CE540" s="7"/>
      <c r="CF540" s="7"/>
    </row>
    <row r="541">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c r="BZ541" s="41"/>
      <c r="CA541" s="7"/>
      <c r="CB541" s="7"/>
      <c r="CC541" s="7"/>
      <c r="CD541" s="7"/>
      <c r="CE541" s="7"/>
      <c r="CF541" s="7"/>
    </row>
    <row r="542">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c r="BZ542" s="41"/>
      <c r="CA542" s="7"/>
      <c r="CB542" s="7"/>
      <c r="CC542" s="7"/>
      <c r="CD542" s="7"/>
      <c r="CE542" s="7"/>
      <c r="CF542" s="7"/>
    </row>
    <row r="543">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c r="BZ543" s="41"/>
      <c r="CA543" s="7"/>
      <c r="CB543" s="7"/>
      <c r="CC543" s="7"/>
      <c r="CD543" s="7"/>
      <c r="CE543" s="7"/>
      <c r="CF543" s="7"/>
    </row>
    <row r="544">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c r="BX544" s="7"/>
      <c r="BY544" s="7"/>
      <c r="BZ544" s="41"/>
      <c r="CA544" s="7"/>
      <c r="CB544" s="7"/>
      <c r="CC544" s="7"/>
      <c r="CD544" s="7"/>
      <c r="CE544" s="7"/>
      <c r="CF544" s="7"/>
    </row>
    <row r="545">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c r="BX545" s="7"/>
      <c r="BY545" s="7"/>
      <c r="BZ545" s="41"/>
      <c r="CA545" s="7"/>
      <c r="CB545" s="7"/>
      <c r="CC545" s="7"/>
      <c r="CD545" s="7"/>
      <c r="CE545" s="7"/>
      <c r="CF545" s="7"/>
    </row>
    <row r="546">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c r="BZ546" s="41"/>
      <c r="CA546" s="7"/>
      <c r="CB546" s="7"/>
      <c r="CC546" s="7"/>
      <c r="CD546" s="7"/>
      <c r="CE546" s="7"/>
      <c r="CF546" s="7"/>
    </row>
    <row r="54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41"/>
      <c r="CA547" s="7"/>
      <c r="CB547" s="7"/>
      <c r="CC547" s="7"/>
      <c r="CD547" s="7"/>
      <c r="CE547" s="7"/>
      <c r="CF547" s="7"/>
    </row>
    <row r="548">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c r="BX548" s="7"/>
      <c r="BY548" s="7"/>
      <c r="BZ548" s="41"/>
      <c r="CA548" s="7"/>
      <c r="CB548" s="7"/>
      <c r="CC548" s="7"/>
      <c r="CD548" s="7"/>
      <c r="CE548" s="7"/>
      <c r="CF548" s="7"/>
    </row>
    <row r="549">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c r="BZ549" s="41"/>
      <c r="CA549" s="7"/>
      <c r="CB549" s="7"/>
      <c r="CC549" s="7"/>
      <c r="CD549" s="7"/>
      <c r="CE549" s="7"/>
      <c r="CF549" s="7"/>
    </row>
    <row r="550">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c r="BX550" s="7"/>
      <c r="BY550" s="7"/>
      <c r="BZ550" s="41"/>
      <c r="CA550" s="7"/>
      <c r="CB550" s="7"/>
      <c r="CC550" s="7"/>
      <c r="CD550" s="7"/>
      <c r="CE550" s="7"/>
      <c r="CF550" s="7"/>
    </row>
    <row r="551">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41"/>
      <c r="CA551" s="7"/>
      <c r="CB551" s="7"/>
      <c r="CC551" s="7"/>
      <c r="CD551" s="7"/>
      <c r="CE551" s="7"/>
      <c r="CF551" s="7"/>
    </row>
    <row r="552">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c r="BZ552" s="41"/>
      <c r="CA552" s="7"/>
      <c r="CB552" s="7"/>
      <c r="CC552" s="7"/>
      <c r="CD552" s="7"/>
      <c r="CE552" s="7"/>
      <c r="CF552" s="7"/>
    </row>
    <row r="553">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c r="BZ553" s="41"/>
      <c r="CA553" s="7"/>
      <c r="CB553" s="7"/>
      <c r="CC553" s="7"/>
      <c r="CD553" s="7"/>
      <c r="CE553" s="7"/>
      <c r="CF553" s="7"/>
    </row>
    <row r="554">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c r="BX554" s="7"/>
      <c r="BY554" s="7"/>
      <c r="BZ554" s="41"/>
      <c r="CA554" s="7"/>
      <c r="CB554" s="7"/>
      <c r="CC554" s="7"/>
      <c r="CD554" s="7"/>
      <c r="CE554" s="7"/>
      <c r="CF554" s="7"/>
    </row>
    <row r="555">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41"/>
      <c r="CA555" s="7"/>
      <c r="CB555" s="7"/>
      <c r="CC555" s="7"/>
      <c r="CD555" s="7"/>
      <c r="CE555" s="7"/>
      <c r="CF555" s="7"/>
    </row>
    <row r="556">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c r="BX556" s="7"/>
      <c r="BY556" s="7"/>
      <c r="BZ556" s="41"/>
      <c r="CA556" s="7"/>
      <c r="CB556" s="7"/>
      <c r="CC556" s="7"/>
      <c r="CD556" s="7"/>
      <c r="CE556" s="7"/>
      <c r="CF556" s="7"/>
    </row>
    <row r="55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c r="BZ557" s="41"/>
      <c r="CA557" s="7"/>
      <c r="CB557" s="7"/>
      <c r="CC557" s="7"/>
      <c r="CD557" s="7"/>
      <c r="CE557" s="7"/>
      <c r="CF557" s="7"/>
    </row>
    <row r="558">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c r="BX558" s="7"/>
      <c r="BY558" s="7"/>
      <c r="BZ558" s="41"/>
      <c r="CA558" s="7"/>
      <c r="CB558" s="7"/>
      <c r="CC558" s="7"/>
      <c r="CD558" s="7"/>
      <c r="CE558" s="7"/>
      <c r="CF558" s="7"/>
    </row>
    <row r="559">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41"/>
      <c r="CA559" s="7"/>
      <c r="CB559" s="7"/>
      <c r="CC559" s="7"/>
      <c r="CD559" s="7"/>
      <c r="CE559" s="7"/>
      <c r="CF559" s="7"/>
    </row>
    <row r="560">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c r="BZ560" s="41"/>
      <c r="CA560" s="7"/>
      <c r="CB560" s="7"/>
      <c r="CC560" s="7"/>
      <c r="CD560" s="7"/>
      <c r="CE560" s="7"/>
      <c r="CF560" s="7"/>
    </row>
    <row r="561">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c r="BZ561" s="41"/>
      <c r="CA561" s="7"/>
      <c r="CB561" s="7"/>
      <c r="CC561" s="7"/>
      <c r="CD561" s="7"/>
      <c r="CE561" s="7"/>
      <c r="CF561" s="7"/>
    </row>
    <row r="562">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c r="BX562" s="7"/>
      <c r="BY562" s="7"/>
      <c r="BZ562" s="41"/>
      <c r="CA562" s="7"/>
      <c r="CB562" s="7"/>
      <c r="CC562" s="7"/>
      <c r="CD562" s="7"/>
      <c r="CE562" s="7"/>
      <c r="CF562" s="7"/>
    </row>
    <row r="563">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c r="BZ563" s="41"/>
      <c r="CA563" s="7"/>
      <c r="CB563" s="7"/>
      <c r="CC563" s="7"/>
      <c r="CD563" s="7"/>
      <c r="CE563" s="7"/>
      <c r="CF563" s="7"/>
    </row>
    <row r="564">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c r="BZ564" s="41"/>
      <c r="CA564" s="7"/>
      <c r="CB564" s="7"/>
      <c r="CC564" s="7"/>
      <c r="CD564" s="7"/>
      <c r="CE564" s="7"/>
      <c r="CF564" s="7"/>
    </row>
    <row r="565">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41"/>
      <c r="CA565" s="7"/>
      <c r="CB565" s="7"/>
      <c r="CC565" s="7"/>
      <c r="CD565" s="7"/>
      <c r="CE565" s="7"/>
      <c r="CF565" s="7"/>
    </row>
    <row r="566">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41"/>
      <c r="CA566" s="7"/>
      <c r="CB566" s="7"/>
      <c r="CC566" s="7"/>
      <c r="CD566" s="7"/>
      <c r="CE566" s="7"/>
      <c r="CF566" s="7"/>
    </row>
    <row r="56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41"/>
      <c r="CA567" s="7"/>
      <c r="CB567" s="7"/>
      <c r="CC567" s="7"/>
      <c r="CD567" s="7"/>
      <c r="CE567" s="7"/>
      <c r="CF567" s="7"/>
    </row>
    <row r="568">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c r="BX568" s="7"/>
      <c r="BY568" s="7"/>
      <c r="BZ568" s="41"/>
      <c r="CA568" s="7"/>
      <c r="CB568" s="7"/>
      <c r="CC568" s="7"/>
      <c r="CD568" s="7"/>
      <c r="CE568" s="7"/>
      <c r="CF568" s="7"/>
    </row>
    <row r="569">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c r="BZ569" s="41"/>
      <c r="CA569" s="7"/>
      <c r="CB569" s="7"/>
      <c r="CC569" s="7"/>
      <c r="CD569" s="7"/>
      <c r="CE569" s="7"/>
      <c r="CF569" s="7"/>
    </row>
    <row r="570">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c r="BZ570" s="41"/>
      <c r="CA570" s="7"/>
      <c r="CB570" s="7"/>
      <c r="CC570" s="7"/>
      <c r="CD570" s="7"/>
      <c r="CE570" s="7"/>
      <c r="CF570" s="7"/>
    </row>
    <row r="571">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c r="BZ571" s="41"/>
      <c r="CA571" s="7"/>
      <c r="CB571" s="7"/>
      <c r="CC571" s="7"/>
      <c r="CD571" s="7"/>
      <c r="CE571" s="7"/>
      <c r="CF571" s="7"/>
    </row>
    <row r="572">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41"/>
      <c r="CA572" s="7"/>
      <c r="CB572" s="7"/>
      <c r="CC572" s="7"/>
      <c r="CD572" s="7"/>
      <c r="CE572" s="7"/>
      <c r="CF572" s="7"/>
    </row>
    <row r="573">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41"/>
      <c r="CA573" s="7"/>
      <c r="CB573" s="7"/>
      <c r="CC573" s="7"/>
      <c r="CD573" s="7"/>
      <c r="CE573" s="7"/>
      <c r="CF573" s="7"/>
    </row>
    <row r="574">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c r="BZ574" s="41"/>
      <c r="CA574" s="7"/>
      <c r="CB574" s="7"/>
      <c r="CC574" s="7"/>
      <c r="CD574" s="7"/>
      <c r="CE574" s="7"/>
      <c r="CF574" s="7"/>
    </row>
    <row r="575">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41"/>
      <c r="CA575" s="7"/>
      <c r="CB575" s="7"/>
      <c r="CC575" s="7"/>
      <c r="CD575" s="7"/>
      <c r="CE575" s="7"/>
      <c r="CF575" s="7"/>
    </row>
    <row r="576">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c r="BZ576" s="41"/>
      <c r="CA576" s="7"/>
      <c r="CB576" s="7"/>
      <c r="CC576" s="7"/>
      <c r="CD576" s="7"/>
      <c r="CE576" s="7"/>
      <c r="CF576" s="7"/>
    </row>
    <row r="57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41"/>
      <c r="CA577" s="7"/>
      <c r="CB577" s="7"/>
      <c r="CC577" s="7"/>
      <c r="CD577" s="7"/>
      <c r="CE577" s="7"/>
      <c r="CF577" s="7"/>
    </row>
    <row r="578">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c r="BZ578" s="41"/>
      <c r="CA578" s="7"/>
      <c r="CB578" s="7"/>
      <c r="CC578" s="7"/>
      <c r="CD578" s="7"/>
      <c r="CE578" s="7"/>
      <c r="CF578" s="7"/>
    </row>
    <row r="579">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41"/>
      <c r="CA579" s="7"/>
      <c r="CB579" s="7"/>
      <c r="CC579" s="7"/>
      <c r="CD579" s="7"/>
      <c r="CE579" s="7"/>
      <c r="CF579" s="7"/>
    </row>
    <row r="580">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c r="BZ580" s="41"/>
      <c r="CA580" s="7"/>
      <c r="CB580" s="7"/>
      <c r="CC580" s="7"/>
      <c r="CD580" s="7"/>
      <c r="CE580" s="7"/>
      <c r="CF580" s="7"/>
    </row>
    <row r="581">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41"/>
      <c r="CA581" s="7"/>
      <c r="CB581" s="7"/>
      <c r="CC581" s="7"/>
      <c r="CD581" s="7"/>
      <c r="CE581" s="7"/>
      <c r="CF581" s="7"/>
    </row>
    <row r="582">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c r="BZ582" s="41"/>
      <c r="CA582" s="7"/>
      <c r="CB582" s="7"/>
      <c r="CC582" s="7"/>
      <c r="CD582" s="7"/>
      <c r="CE582" s="7"/>
      <c r="CF582" s="7"/>
    </row>
    <row r="583">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41"/>
      <c r="CA583" s="7"/>
      <c r="CB583" s="7"/>
      <c r="CC583" s="7"/>
      <c r="CD583" s="7"/>
      <c r="CE583" s="7"/>
      <c r="CF583" s="7"/>
    </row>
    <row r="584">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c r="BZ584" s="41"/>
      <c r="CA584" s="7"/>
      <c r="CB584" s="7"/>
      <c r="CC584" s="7"/>
      <c r="CD584" s="7"/>
      <c r="CE584" s="7"/>
      <c r="CF584" s="7"/>
    </row>
    <row r="585">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c r="BZ585" s="41"/>
      <c r="CA585" s="7"/>
      <c r="CB585" s="7"/>
      <c r="CC585" s="7"/>
      <c r="CD585" s="7"/>
      <c r="CE585" s="7"/>
      <c r="CF585" s="7"/>
    </row>
    <row r="586">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c r="BZ586" s="41"/>
      <c r="CA586" s="7"/>
      <c r="CB586" s="7"/>
      <c r="CC586" s="7"/>
      <c r="CD586" s="7"/>
      <c r="CE586" s="7"/>
      <c r="CF586" s="7"/>
    </row>
    <row r="58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c r="BZ587" s="41"/>
      <c r="CA587" s="7"/>
      <c r="CB587" s="7"/>
      <c r="CC587" s="7"/>
      <c r="CD587" s="7"/>
      <c r="CE587" s="7"/>
      <c r="CF587" s="7"/>
    </row>
    <row r="588">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c r="BX588" s="7"/>
      <c r="BY588" s="7"/>
      <c r="BZ588" s="41"/>
      <c r="CA588" s="7"/>
      <c r="CB588" s="7"/>
      <c r="CC588" s="7"/>
      <c r="CD588" s="7"/>
      <c r="CE588" s="7"/>
      <c r="CF588" s="7"/>
    </row>
    <row r="589">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41"/>
      <c r="CA589" s="7"/>
      <c r="CB589" s="7"/>
      <c r="CC589" s="7"/>
      <c r="CD589" s="7"/>
      <c r="CE589" s="7"/>
      <c r="CF589" s="7"/>
    </row>
    <row r="590">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c r="BZ590" s="41"/>
      <c r="CA590" s="7"/>
      <c r="CB590" s="7"/>
      <c r="CC590" s="7"/>
      <c r="CD590" s="7"/>
      <c r="CE590" s="7"/>
      <c r="CF590" s="7"/>
    </row>
    <row r="591">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c r="BZ591" s="41"/>
      <c r="CA591" s="7"/>
      <c r="CB591" s="7"/>
      <c r="CC591" s="7"/>
      <c r="CD591" s="7"/>
      <c r="CE591" s="7"/>
      <c r="CF591" s="7"/>
    </row>
    <row r="592">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c r="BX592" s="7"/>
      <c r="BY592" s="7"/>
      <c r="BZ592" s="41"/>
      <c r="CA592" s="7"/>
      <c r="CB592" s="7"/>
      <c r="CC592" s="7"/>
      <c r="CD592" s="7"/>
      <c r="CE592" s="7"/>
      <c r="CF592" s="7"/>
    </row>
    <row r="593">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41"/>
      <c r="CA593" s="7"/>
      <c r="CB593" s="7"/>
      <c r="CC593" s="7"/>
      <c r="CD593" s="7"/>
      <c r="CE593" s="7"/>
      <c r="CF593" s="7"/>
    </row>
    <row r="594">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c r="BX594" s="7"/>
      <c r="BY594" s="7"/>
      <c r="BZ594" s="41"/>
      <c r="CA594" s="7"/>
      <c r="CB594" s="7"/>
      <c r="CC594" s="7"/>
      <c r="CD594" s="7"/>
      <c r="CE594" s="7"/>
      <c r="CF594" s="7"/>
    </row>
    <row r="595">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c r="BZ595" s="41"/>
      <c r="CA595" s="7"/>
      <c r="CB595" s="7"/>
      <c r="CC595" s="7"/>
      <c r="CD595" s="7"/>
      <c r="CE595" s="7"/>
      <c r="CF595" s="7"/>
    </row>
    <row r="596">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c r="BX596" s="7"/>
      <c r="BY596" s="7"/>
      <c r="BZ596" s="41"/>
      <c r="CA596" s="7"/>
      <c r="CB596" s="7"/>
      <c r="CC596" s="7"/>
      <c r="CD596" s="7"/>
      <c r="CE596" s="7"/>
      <c r="CF596" s="7"/>
    </row>
    <row r="59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c r="BZ597" s="41"/>
      <c r="CA597" s="7"/>
      <c r="CB597" s="7"/>
      <c r="CC597" s="7"/>
      <c r="CD597" s="7"/>
      <c r="CE597" s="7"/>
      <c r="CF597" s="7"/>
    </row>
    <row r="598">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c r="BX598" s="7"/>
      <c r="BY598" s="7"/>
      <c r="BZ598" s="41"/>
      <c r="CA598" s="7"/>
      <c r="CB598" s="7"/>
      <c r="CC598" s="7"/>
      <c r="CD598" s="7"/>
      <c r="CE598" s="7"/>
      <c r="CF598" s="7"/>
    </row>
    <row r="599">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c r="BZ599" s="41"/>
      <c r="CA599" s="7"/>
      <c r="CB599" s="7"/>
      <c r="CC599" s="7"/>
      <c r="CD599" s="7"/>
      <c r="CE599" s="7"/>
      <c r="CF599" s="7"/>
    </row>
    <row r="600">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c r="BX600" s="7"/>
      <c r="BY600" s="7"/>
      <c r="BZ600" s="41"/>
      <c r="CA600" s="7"/>
      <c r="CB600" s="7"/>
      <c r="CC600" s="7"/>
      <c r="CD600" s="7"/>
      <c r="CE600" s="7"/>
      <c r="CF600" s="7"/>
    </row>
    <row r="601">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41"/>
      <c r="CA601" s="7"/>
      <c r="CB601" s="7"/>
      <c r="CC601" s="7"/>
      <c r="CD601" s="7"/>
      <c r="CE601" s="7"/>
      <c r="CF601" s="7"/>
    </row>
    <row r="602">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c r="BZ602" s="41"/>
      <c r="CA602" s="7"/>
      <c r="CB602" s="7"/>
      <c r="CC602" s="7"/>
      <c r="CD602" s="7"/>
      <c r="CE602" s="7"/>
      <c r="CF602" s="7"/>
    </row>
    <row r="603">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41"/>
      <c r="CA603" s="7"/>
      <c r="CB603" s="7"/>
      <c r="CC603" s="7"/>
      <c r="CD603" s="7"/>
      <c r="CE603" s="7"/>
      <c r="CF603" s="7"/>
    </row>
    <row r="604">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c r="BZ604" s="41"/>
      <c r="CA604" s="7"/>
      <c r="CB604" s="7"/>
      <c r="CC604" s="7"/>
      <c r="CD604" s="7"/>
      <c r="CE604" s="7"/>
      <c r="CF604" s="7"/>
    </row>
    <row r="605">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c r="BX605" s="7"/>
      <c r="BY605" s="7"/>
      <c r="BZ605" s="41"/>
      <c r="CA605" s="7"/>
      <c r="CB605" s="7"/>
      <c r="CC605" s="7"/>
      <c r="CD605" s="7"/>
      <c r="CE605" s="7"/>
      <c r="CF605" s="7"/>
    </row>
    <row r="606">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c r="BZ606" s="41"/>
      <c r="CA606" s="7"/>
      <c r="CB606" s="7"/>
      <c r="CC606" s="7"/>
      <c r="CD606" s="7"/>
      <c r="CE606" s="7"/>
      <c r="CF606" s="7"/>
    </row>
    <row r="60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41"/>
      <c r="CA607" s="7"/>
      <c r="CB607" s="7"/>
      <c r="CC607" s="7"/>
      <c r="CD607" s="7"/>
      <c r="CE607" s="7"/>
      <c r="CF607" s="7"/>
    </row>
    <row r="608">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c r="BZ608" s="41"/>
      <c r="CA608" s="7"/>
      <c r="CB608" s="7"/>
      <c r="CC608" s="7"/>
      <c r="CD608" s="7"/>
      <c r="CE608" s="7"/>
      <c r="CF608" s="7"/>
    </row>
    <row r="609">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c r="BZ609" s="41"/>
      <c r="CA609" s="7"/>
      <c r="CB609" s="7"/>
      <c r="CC609" s="7"/>
      <c r="CD609" s="7"/>
      <c r="CE609" s="7"/>
      <c r="CF609" s="7"/>
    </row>
    <row r="610">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c r="BZ610" s="41"/>
      <c r="CA610" s="7"/>
      <c r="CB610" s="7"/>
      <c r="CC610" s="7"/>
      <c r="CD610" s="7"/>
      <c r="CE610" s="7"/>
      <c r="CF610" s="7"/>
    </row>
    <row r="611">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41"/>
      <c r="CA611" s="7"/>
      <c r="CB611" s="7"/>
      <c r="CC611" s="7"/>
      <c r="CD611" s="7"/>
      <c r="CE611" s="7"/>
      <c r="CF611" s="7"/>
    </row>
    <row r="612">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c r="BZ612" s="41"/>
      <c r="CA612" s="7"/>
      <c r="CB612" s="7"/>
      <c r="CC612" s="7"/>
      <c r="CD612" s="7"/>
      <c r="CE612" s="7"/>
      <c r="CF612" s="7"/>
    </row>
    <row r="613">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41"/>
      <c r="CA613" s="7"/>
      <c r="CB613" s="7"/>
      <c r="CC613" s="7"/>
      <c r="CD613" s="7"/>
      <c r="CE613" s="7"/>
      <c r="CF613" s="7"/>
    </row>
    <row r="614">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c r="BZ614" s="41"/>
      <c r="CA614" s="7"/>
      <c r="CB614" s="7"/>
      <c r="CC614" s="7"/>
      <c r="CD614" s="7"/>
      <c r="CE614" s="7"/>
      <c r="CF614" s="7"/>
    </row>
    <row r="615">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41"/>
      <c r="CA615" s="7"/>
      <c r="CB615" s="7"/>
      <c r="CC615" s="7"/>
      <c r="CD615" s="7"/>
      <c r="CE615" s="7"/>
      <c r="CF615" s="7"/>
    </row>
    <row r="616">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c r="BZ616" s="41"/>
      <c r="CA616" s="7"/>
      <c r="CB616" s="7"/>
      <c r="CC616" s="7"/>
      <c r="CD616" s="7"/>
      <c r="CE616" s="7"/>
      <c r="CF616" s="7"/>
    </row>
    <row r="61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41"/>
      <c r="CA617" s="7"/>
      <c r="CB617" s="7"/>
      <c r="CC617" s="7"/>
      <c r="CD617" s="7"/>
      <c r="CE617" s="7"/>
      <c r="CF617" s="7"/>
    </row>
    <row r="618">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c r="BZ618" s="41"/>
      <c r="CA618" s="7"/>
      <c r="CB618" s="7"/>
      <c r="CC618" s="7"/>
      <c r="CD618" s="7"/>
      <c r="CE618" s="7"/>
      <c r="CF618" s="7"/>
    </row>
    <row r="619">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41"/>
      <c r="CA619" s="7"/>
      <c r="CB619" s="7"/>
      <c r="CC619" s="7"/>
      <c r="CD619" s="7"/>
      <c r="CE619" s="7"/>
      <c r="CF619" s="7"/>
    </row>
    <row r="620">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c r="BZ620" s="41"/>
      <c r="CA620" s="7"/>
      <c r="CB620" s="7"/>
      <c r="CC620" s="7"/>
      <c r="CD620" s="7"/>
      <c r="CE620" s="7"/>
      <c r="CF620" s="7"/>
    </row>
    <row r="621">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41"/>
      <c r="CA621" s="7"/>
      <c r="CB621" s="7"/>
      <c r="CC621" s="7"/>
      <c r="CD621" s="7"/>
      <c r="CE621" s="7"/>
      <c r="CF621" s="7"/>
    </row>
    <row r="622">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c r="BV622" s="7"/>
      <c r="BW622" s="7"/>
      <c r="BX622" s="7"/>
      <c r="BY622" s="7"/>
      <c r="BZ622" s="41"/>
      <c r="CA622" s="7"/>
      <c r="CB622" s="7"/>
      <c r="CC622" s="7"/>
      <c r="CD622" s="7"/>
      <c r="CE622" s="7"/>
      <c r="CF622" s="7"/>
    </row>
    <row r="623">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c r="BZ623" s="41"/>
      <c r="CA623" s="7"/>
      <c r="CB623" s="7"/>
      <c r="CC623" s="7"/>
      <c r="CD623" s="7"/>
      <c r="CE623" s="7"/>
      <c r="CF623" s="7"/>
    </row>
    <row r="624">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c r="BX624" s="7"/>
      <c r="BY624" s="7"/>
      <c r="BZ624" s="41"/>
      <c r="CA624" s="7"/>
      <c r="CB624" s="7"/>
      <c r="CC624" s="7"/>
      <c r="CD624" s="7"/>
      <c r="CE624" s="7"/>
      <c r="CF624" s="7"/>
    </row>
    <row r="625">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c r="BZ625" s="41"/>
      <c r="CA625" s="7"/>
      <c r="CB625" s="7"/>
      <c r="CC625" s="7"/>
      <c r="CD625" s="7"/>
      <c r="CE625" s="7"/>
      <c r="CF625" s="7"/>
    </row>
    <row r="626">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c r="BZ626" s="41"/>
      <c r="CA626" s="7"/>
      <c r="CB626" s="7"/>
      <c r="CC626" s="7"/>
      <c r="CD626" s="7"/>
      <c r="CE626" s="7"/>
      <c r="CF626" s="7"/>
    </row>
    <row r="62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c r="BZ627" s="41"/>
      <c r="CA627" s="7"/>
      <c r="CB627" s="7"/>
      <c r="CC627" s="7"/>
      <c r="CD627" s="7"/>
      <c r="CE627" s="7"/>
      <c r="CF627" s="7"/>
    </row>
    <row r="628">
      <c r="A628" s="7"/>
      <c r="B628" s="55"/>
      <c r="C628" s="7"/>
      <c r="D628" s="7"/>
      <c r="E628" s="7"/>
      <c r="F628" s="7"/>
      <c r="G628" s="55"/>
      <c r="H628" s="7"/>
      <c r="I628" s="7"/>
      <c r="J628" s="7"/>
      <c r="K628" s="7"/>
      <c r="L628" s="7"/>
      <c r="M628" s="7"/>
      <c r="N628" s="7"/>
      <c r="O628" s="7"/>
      <c r="P628" s="7"/>
      <c r="Q628" s="55"/>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c r="BX628" s="7"/>
      <c r="BY628" s="7"/>
      <c r="BZ628" s="41"/>
      <c r="CA628" s="7"/>
      <c r="CB628" s="7"/>
      <c r="CC628" s="7"/>
      <c r="CD628" s="7"/>
      <c r="CE628" s="7"/>
      <c r="CF628" s="7"/>
    </row>
    <row r="629">
      <c r="A629" s="7"/>
      <c r="B629" s="55"/>
      <c r="C629" s="7"/>
      <c r="D629" s="7"/>
      <c r="E629" s="7"/>
      <c r="F629" s="7"/>
      <c r="G629" s="55"/>
      <c r="H629" s="7"/>
      <c r="I629" s="7"/>
      <c r="J629" s="7"/>
      <c r="K629" s="7"/>
      <c r="L629" s="7"/>
      <c r="M629" s="7"/>
      <c r="N629" s="7"/>
      <c r="O629" s="7"/>
      <c r="P629" s="7"/>
      <c r="Q629" s="55"/>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41"/>
      <c r="CA629" s="7"/>
      <c r="CB629" s="7"/>
      <c r="CC629" s="7"/>
      <c r="CD629" s="7"/>
      <c r="CE629" s="7"/>
      <c r="CF629" s="7"/>
    </row>
    <row r="630">
      <c r="A630" s="7"/>
      <c r="B630" s="55"/>
      <c r="C630" s="7"/>
      <c r="D630" s="7"/>
      <c r="E630" s="7"/>
      <c r="F630" s="7"/>
      <c r="G630" s="55"/>
      <c r="H630" s="7"/>
      <c r="I630" s="7"/>
      <c r="J630" s="7"/>
      <c r="K630" s="7"/>
      <c r="L630" s="7"/>
      <c r="M630" s="7"/>
      <c r="N630" s="7"/>
      <c r="O630" s="7"/>
      <c r="P630" s="7"/>
      <c r="Q630" s="55"/>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c r="BX630" s="7"/>
      <c r="BY630" s="7"/>
      <c r="BZ630" s="41"/>
      <c r="CA630" s="7"/>
      <c r="CB630" s="7"/>
      <c r="CC630" s="7"/>
      <c r="CD630" s="7"/>
      <c r="CE630" s="7"/>
      <c r="CF630" s="7"/>
    </row>
    <row r="631">
      <c r="A631" s="7"/>
      <c r="B631" s="55"/>
      <c r="C631" s="7"/>
      <c r="D631" s="7"/>
      <c r="E631" s="7"/>
      <c r="F631" s="7"/>
      <c r="G631" s="55"/>
      <c r="H631" s="7"/>
      <c r="I631" s="7"/>
      <c r="J631" s="7"/>
      <c r="K631" s="7"/>
      <c r="L631" s="7"/>
      <c r="M631" s="7"/>
      <c r="N631" s="7"/>
      <c r="O631" s="7"/>
      <c r="P631" s="7"/>
      <c r="Q631" s="55"/>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41"/>
      <c r="CA631" s="7"/>
      <c r="CB631" s="7"/>
      <c r="CC631" s="7"/>
      <c r="CD631" s="7"/>
      <c r="CE631" s="7"/>
      <c r="CF631" s="7"/>
    </row>
    <row r="632">
      <c r="A632" s="7"/>
      <c r="B632" s="55"/>
      <c r="C632" s="7"/>
      <c r="D632" s="7"/>
      <c r="E632" s="7"/>
      <c r="F632" s="7"/>
      <c r="G632" s="55"/>
      <c r="H632" s="7"/>
      <c r="I632" s="7"/>
      <c r="J632" s="7"/>
      <c r="K632" s="7"/>
      <c r="L632" s="7"/>
      <c r="M632" s="7"/>
      <c r="N632" s="7"/>
      <c r="O632" s="7"/>
      <c r="P632" s="7"/>
      <c r="Q632" s="55"/>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c r="BX632" s="7"/>
      <c r="BY632" s="7"/>
      <c r="BZ632" s="41"/>
      <c r="CA632" s="7"/>
      <c r="CB632" s="7"/>
      <c r="CC632" s="7"/>
      <c r="CD632" s="7"/>
      <c r="CE632" s="7"/>
      <c r="CF632" s="7"/>
    </row>
    <row r="633">
      <c r="A633" s="7"/>
      <c r="B633" s="55"/>
      <c r="C633" s="7"/>
      <c r="D633" s="7"/>
      <c r="E633" s="7"/>
      <c r="F633" s="7"/>
      <c r="G633" s="55"/>
      <c r="H633" s="7"/>
      <c r="I633" s="7"/>
      <c r="J633" s="7"/>
      <c r="K633" s="7"/>
      <c r="L633" s="7"/>
      <c r="M633" s="7"/>
      <c r="N633" s="7"/>
      <c r="O633" s="7"/>
      <c r="P633" s="7"/>
      <c r="Q633" s="55"/>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c r="BZ633" s="41"/>
      <c r="CA633" s="7"/>
      <c r="CB633" s="7"/>
      <c r="CC633" s="7"/>
      <c r="CD633" s="7"/>
      <c r="CE633" s="7"/>
      <c r="CF633" s="7"/>
    </row>
    <row r="634">
      <c r="A634" s="7"/>
      <c r="B634" s="55"/>
      <c r="C634" s="7"/>
      <c r="D634" s="7"/>
      <c r="E634" s="7"/>
      <c r="F634" s="7"/>
      <c r="G634" s="55"/>
      <c r="H634" s="7"/>
      <c r="I634" s="7"/>
      <c r="J634" s="7"/>
      <c r="K634" s="7"/>
      <c r="L634" s="7"/>
      <c r="M634" s="7"/>
      <c r="N634" s="7"/>
      <c r="O634" s="7"/>
      <c r="P634" s="7"/>
      <c r="Q634" s="55"/>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c r="BZ634" s="41"/>
      <c r="CA634" s="7"/>
      <c r="CB634" s="7"/>
      <c r="CC634" s="7"/>
      <c r="CD634" s="7"/>
      <c r="CE634" s="7"/>
      <c r="CF634" s="7"/>
    </row>
    <row r="635">
      <c r="A635" s="7"/>
      <c r="B635" s="55"/>
      <c r="C635" s="7"/>
      <c r="D635" s="7"/>
      <c r="E635" s="7"/>
      <c r="F635" s="7"/>
      <c r="G635" s="55"/>
      <c r="H635" s="7"/>
      <c r="I635" s="7"/>
      <c r="J635" s="7"/>
      <c r="K635" s="7"/>
      <c r="L635" s="7"/>
      <c r="M635" s="7"/>
      <c r="N635" s="7"/>
      <c r="O635" s="7"/>
      <c r="P635" s="7"/>
      <c r="Q635" s="55"/>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c r="BZ635" s="41"/>
      <c r="CA635" s="7"/>
      <c r="CB635" s="7"/>
      <c r="CC635" s="7"/>
      <c r="CD635" s="7"/>
      <c r="CE635" s="7"/>
      <c r="CF635" s="7"/>
    </row>
    <row r="636">
      <c r="A636" s="7"/>
      <c r="B636" s="55"/>
      <c r="C636" s="7"/>
      <c r="D636" s="7"/>
      <c r="E636" s="7"/>
      <c r="F636" s="7"/>
      <c r="G636" s="55"/>
      <c r="H636" s="7"/>
      <c r="I636" s="7"/>
      <c r="J636" s="7"/>
      <c r="K636" s="7"/>
      <c r="L636" s="7"/>
      <c r="M636" s="7"/>
      <c r="N636" s="7"/>
      <c r="O636" s="7"/>
      <c r="P636" s="7"/>
      <c r="Q636" s="55"/>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c r="BZ636" s="41"/>
      <c r="CA636" s="7"/>
      <c r="CB636" s="7"/>
      <c r="CC636" s="7"/>
      <c r="CD636" s="7"/>
      <c r="CE636" s="7"/>
      <c r="CF636" s="7"/>
    </row>
    <row r="637">
      <c r="A637" s="7"/>
      <c r="B637" s="55"/>
      <c r="C637" s="7"/>
      <c r="D637" s="7"/>
      <c r="E637" s="7"/>
      <c r="F637" s="7"/>
      <c r="G637" s="55"/>
      <c r="H637" s="7"/>
      <c r="I637" s="7"/>
      <c r="J637" s="7"/>
      <c r="K637" s="7"/>
      <c r="L637" s="7"/>
      <c r="M637" s="7"/>
      <c r="N637" s="7"/>
      <c r="O637" s="7"/>
      <c r="P637" s="7"/>
      <c r="Q637" s="55"/>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c r="BZ637" s="41"/>
      <c r="CA637" s="7"/>
      <c r="CB637" s="7"/>
      <c r="CC637" s="7"/>
      <c r="CD637" s="7"/>
      <c r="CE637" s="7"/>
      <c r="CF637" s="7"/>
    </row>
    <row r="638">
      <c r="A638" s="7"/>
      <c r="B638" s="55"/>
      <c r="C638" s="7"/>
      <c r="D638" s="7"/>
      <c r="E638" s="7"/>
      <c r="F638" s="7"/>
      <c r="G638" s="55"/>
      <c r="H638" s="7"/>
      <c r="I638" s="7"/>
      <c r="J638" s="7"/>
      <c r="K638" s="7"/>
      <c r="L638" s="7"/>
      <c r="M638" s="7"/>
      <c r="N638" s="7"/>
      <c r="O638" s="7"/>
      <c r="P638" s="7"/>
      <c r="Q638" s="55"/>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c r="BX638" s="7"/>
      <c r="BY638" s="7"/>
      <c r="BZ638" s="41"/>
      <c r="CA638" s="7"/>
      <c r="CB638" s="7"/>
      <c r="CC638" s="7"/>
      <c r="CD638" s="7"/>
      <c r="CE638" s="7"/>
      <c r="CF638" s="7"/>
    </row>
    <row r="639">
      <c r="A639" s="7"/>
      <c r="B639" s="55"/>
      <c r="C639" s="7"/>
      <c r="D639" s="7"/>
      <c r="E639" s="7"/>
      <c r="F639" s="7"/>
      <c r="G639" s="55"/>
      <c r="H639" s="7"/>
      <c r="I639" s="7"/>
      <c r="J639" s="7"/>
      <c r="K639" s="7"/>
      <c r="L639" s="7"/>
      <c r="M639" s="7"/>
      <c r="N639" s="7"/>
      <c r="O639" s="7"/>
      <c r="P639" s="7"/>
      <c r="Q639" s="55"/>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41"/>
      <c r="CA639" s="7"/>
      <c r="CB639" s="7"/>
      <c r="CC639" s="7"/>
      <c r="CD639" s="7"/>
      <c r="CE639" s="7"/>
      <c r="CF639" s="7"/>
    </row>
    <row r="640">
      <c r="A640" s="7"/>
      <c r="B640" s="55"/>
      <c r="C640" s="7"/>
      <c r="D640" s="7"/>
      <c r="E640" s="7"/>
      <c r="F640" s="7"/>
      <c r="G640" s="55"/>
      <c r="H640" s="7"/>
      <c r="I640" s="7"/>
      <c r="J640" s="7"/>
      <c r="K640" s="7"/>
      <c r="L640" s="7"/>
      <c r="M640" s="7"/>
      <c r="N640" s="7"/>
      <c r="O640" s="7"/>
      <c r="P640" s="7"/>
      <c r="Q640" s="55"/>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c r="BZ640" s="41"/>
      <c r="CA640" s="7"/>
      <c r="CB640" s="7"/>
      <c r="CC640" s="7"/>
      <c r="CD640" s="7"/>
      <c r="CE640" s="7"/>
      <c r="CF640" s="7"/>
    </row>
    <row r="641">
      <c r="A641" s="7"/>
      <c r="B641" s="55"/>
      <c r="C641" s="7"/>
      <c r="D641" s="7"/>
      <c r="E641" s="7"/>
      <c r="F641" s="7"/>
      <c r="G641" s="55"/>
      <c r="H641" s="7"/>
      <c r="I641" s="7"/>
      <c r="J641" s="7"/>
      <c r="K641" s="7"/>
      <c r="L641" s="7"/>
      <c r="M641" s="7"/>
      <c r="N641" s="7"/>
      <c r="O641" s="7"/>
      <c r="P641" s="7"/>
      <c r="Q641" s="55"/>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41"/>
      <c r="CA641" s="7"/>
      <c r="CB641" s="7"/>
      <c r="CC641" s="7"/>
      <c r="CD641" s="7"/>
      <c r="CE641" s="7"/>
      <c r="CF641" s="7"/>
    </row>
    <row r="642">
      <c r="A642" s="7"/>
      <c r="B642" s="55"/>
      <c r="C642" s="7"/>
      <c r="D642" s="7"/>
      <c r="E642" s="7"/>
      <c r="F642" s="7"/>
      <c r="G642" s="55"/>
      <c r="H642" s="7"/>
      <c r="I642" s="7"/>
      <c r="J642" s="7"/>
      <c r="K642" s="7"/>
      <c r="L642" s="7"/>
      <c r="M642" s="7"/>
      <c r="N642" s="7"/>
      <c r="O642" s="7"/>
      <c r="P642" s="7"/>
      <c r="Q642" s="55"/>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c r="BX642" s="7"/>
      <c r="BY642" s="7"/>
      <c r="BZ642" s="41"/>
      <c r="CA642" s="7"/>
      <c r="CB642" s="7"/>
      <c r="CC642" s="7"/>
      <c r="CD642" s="7"/>
      <c r="CE642" s="7"/>
      <c r="CF642" s="7"/>
    </row>
    <row r="643">
      <c r="A643" s="7"/>
      <c r="B643" s="55"/>
      <c r="C643" s="7"/>
      <c r="D643" s="7"/>
      <c r="E643" s="7"/>
      <c r="F643" s="7"/>
      <c r="G643" s="55"/>
      <c r="H643" s="7"/>
      <c r="I643" s="7"/>
      <c r="J643" s="7"/>
      <c r="K643" s="7"/>
      <c r="L643" s="7"/>
      <c r="M643" s="7"/>
      <c r="N643" s="7"/>
      <c r="O643" s="7"/>
      <c r="P643" s="7"/>
      <c r="Q643" s="55"/>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c r="BX643" s="7"/>
      <c r="BY643" s="7"/>
      <c r="BZ643" s="41"/>
      <c r="CA643" s="7"/>
      <c r="CB643" s="7"/>
      <c r="CC643" s="7"/>
      <c r="CD643" s="7"/>
      <c r="CE643" s="7"/>
      <c r="CF643" s="7"/>
    </row>
    <row r="644">
      <c r="A644" s="7"/>
      <c r="B644" s="55"/>
      <c r="C644" s="7"/>
      <c r="D644" s="7"/>
      <c r="E644" s="7"/>
      <c r="F644" s="7"/>
      <c r="G644" s="55"/>
      <c r="H644" s="7"/>
      <c r="I644" s="7"/>
      <c r="J644" s="7"/>
      <c r="K644" s="7"/>
      <c r="L644" s="7"/>
      <c r="M644" s="7"/>
      <c r="N644" s="7"/>
      <c r="O644" s="7"/>
      <c r="P644" s="7"/>
      <c r="Q644" s="55"/>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c r="BX644" s="7"/>
      <c r="BY644" s="7"/>
      <c r="BZ644" s="41"/>
      <c r="CA644" s="7"/>
      <c r="CB644" s="7"/>
      <c r="CC644" s="7"/>
      <c r="CD644" s="7"/>
      <c r="CE644" s="7"/>
      <c r="CF644" s="7"/>
    </row>
    <row r="645">
      <c r="A645" s="7"/>
      <c r="B645" s="55"/>
      <c r="C645" s="7"/>
      <c r="D645" s="7"/>
      <c r="E645" s="7"/>
      <c r="F645" s="7"/>
      <c r="G645" s="55"/>
      <c r="H645" s="7"/>
      <c r="I645" s="7"/>
      <c r="J645" s="7"/>
      <c r="K645" s="7"/>
      <c r="L645" s="7"/>
      <c r="M645" s="7"/>
      <c r="N645" s="7"/>
      <c r="O645" s="7"/>
      <c r="P645" s="7"/>
      <c r="Q645" s="55"/>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41"/>
      <c r="CA645" s="7"/>
      <c r="CB645" s="7"/>
      <c r="CC645" s="7"/>
      <c r="CD645" s="7"/>
      <c r="CE645" s="7"/>
      <c r="CF645" s="7"/>
    </row>
    <row r="646">
      <c r="A646" s="7"/>
      <c r="B646" s="55"/>
      <c r="C646" s="7"/>
      <c r="D646" s="7"/>
      <c r="E646" s="7"/>
      <c r="F646" s="7"/>
      <c r="G646" s="55"/>
      <c r="H646" s="7"/>
      <c r="I646" s="7"/>
      <c r="J646" s="7"/>
      <c r="K646" s="7"/>
      <c r="L646" s="7"/>
      <c r="M646" s="7"/>
      <c r="N646" s="7"/>
      <c r="O646" s="7"/>
      <c r="P646" s="7"/>
      <c r="Q646" s="55"/>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c r="BZ646" s="41"/>
      <c r="CA646" s="7"/>
      <c r="CB646" s="7"/>
      <c r="CC646" s="7"/>
      <c r="CD646" s="7"/>
      <c r="CE646" s="7"/>
      <c r="CF646" s="7"/>
    </row>
    <row r="647">
      <c r="A647" s="7"/>
      <c r="B647" s="55"/>
      <c r="C647" s="7"/>
      <c r="D647" s="7"/>
      <c r="E647" s="7"/>
      <c r="F647" s="7"/>
      <c r="G647" s="55"/>
      <c r="H647" s="7"/>
      <c r="I647" s="7"/>
      <c r="J647" s="7"/>
      <c r="K647" s="7"/>
      <c r="L647" s="7"/>
      <c r="M647" s="7"/>
      <c r="N647" s="7"/>
      <c r="O647" s="7"/>
      <c r="P647" s="7"/>
      <c r="Q647" s="55"/>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41"/>
      <c r="CA647" s="7"/>
      <c r="CB647" s="7"/>
      <c r="CC647" s="7"/>
      <c r="CD647" s="7"/>
      <c r="CE647" s="7"/>
      <c r="CF647" s="7"/>
    </row>
    <row r="648">
      <c r="A648" s="7"/>
      <c r="B648" s="55"/>
      <c r="C648" s="7"/>
      <c r="D648" s="7"/>
      <c r="E648" s="7"/>
      <c r="F648" s="7"/>
      <c r="G648" s="55"/>
      <c r="H648" s="7"/>
      <c r="I648" s="7"/>
      <c r="J648" s="7"/>
      <c r="K648" s="7"/>
      <c r="L648" s="7"/>
      <c r="M648" s="7"/>
      <c r="N648" s="7"/>
      <c r="O648" s="7"/>
      <c r="P648" s="7"/>
      <c r="Q648" s="55"/>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c r="BZ648" s="41"/>
      <c r="CA648" s="7"/>
      <c r="CB648" s="7"/>
      <c r="CC648" s="7"/>
      <c r="CD648" s="7"/>
      <c r="CE648" s="7"/>
      <c r="CF648" s="7"/>
    </row>
    <row r="649">
      <c r="A649" s="7"/>
      <c r="B649" s="55"/>
      <c r="C649" s="7"/>
      <c r="D649" s="7"/>
      <c r="E649" s="7"/>
      <c r="F649" s="7"/>
      <c r="G649" s="55"/>
      <c r="H649" s="7"/>
      <c r="I649" s="7"/>
      <c r="J649" s="7"/>
      <c r="K649" s="7"/>
      <c r="L649" s="7"/>
      <c r="M649" s="7"/>
      <c r="N649" s="7"/>
      <c r="O649" s="7"/>
      <c r="P649" s="7"/>
      <c r="Q649" s="55"/>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41"/>
      <c r="CA649" s="7"/>
      <c r="CB649" s="7"/>
      <c r="CC649" s="7"/>
      <c r="CD649" s="7"/>
      <c r="CE649" s="7"/>
      <c r="CF649" s="7"/>
    </row>
    <row r="650">
      <c r="A650" s="7"/>
      <c r="B650" s="55"/>
      <c r="C650" s="7"/>
      <c r="D650" s="7"/>
      <c r="E650" s="7"/>
      <c r="F650" s="7"/>
      <c r="G650" s="55"/>
      <c r="H650" s="7"/>
      <c r="I650" s="7"/>
      <c r="J650" s="7"/>
      <c r="K650" s="7"/>
      <c r="L650" s="7"/>
      <c r="M650" s="7"/>
      <c r="N650" s="7"/>
      <c r="O650" s="7"/>
      <c r="P650" s="7"/>
      <c r="Q650" s="55"/>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41"/>
      <c r="CA650" s="7"/>
      <c r="CB650" s="7"/>
      <c r="CC650" s="7"/>
      <c r="CD650" s="7"/>
      <c r="CE650" s="7"/>
      <c r="CF650" s="7"/>
    </row>
    <row r="651">
      <c r="A651" s="7"/>
      <c r="B651" s="55"/>
      <c r="C651" s="7"/>
      <c r="D651" s="7"/>
      <c r="E651" s="7"/>
      <c r="F651" s="7"/>
      <c r="G651" s="55"/>
      <c r="H651" s="7"/>
      <c r="I651" s="7"/>
      <c r="J651" s="7"/>
      <c r="K651" s="7"/>
      <c r="L651" s="7"/>
      <c r="M651" s="7"/>
      <c r="N651" s="7"/>
      <c r="O651" s="7"/>
      <c r="P651" s="7"/>
      <c r="Q651" s="55"/>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41"/>
      <c r="CA651" s="7"/>
      <c r="CB651" s="7"/>
      <c r="CC651" s="7"/>
      <c r="CD651" s="7"/>
      <c r="CE651" s="7"/>
      <c r="CF651" s="7"/>
    </row>
    <row r="652">
      <c r="A652" s="7"/>
      <c r="B652" s="55"/>
      <c r="C652" s="7"/>
      <c r="D652" s="7"/>
      <c r="E652" s="7"/>
      <c r="F652" s="7"/>
      <c r="G652" s="55"/>
      <c r="H652" s="7"/>
      <c r="I652" s="7"/>
      <c r="J652" s="7"/>
      <c r="K652" s="7"/>
      <c r="L652" s="7"/>
      <c r="M652" s="7"/>
      <c r="N652" s="7"/>
      <c r="O652" s="7"/>
      <c r="P652" s="7"/>
      <c r="Q652" s="55"/>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c r="BZ652" s="41"/>
      <c r="CA652" s="7"/>
      <c r="CB652" s="7"/>
      <c r="CC652" s="7"/>
      <c r="CD652" s="7"/>
      <c r="CE652" s="7"/>
      <c r="CF652" s="7"/>
    </row>
    <row r="653">
      <c r="A653" s="7"/>
      <c r="B653" s="55"/>
      <c r="C653" s="7"/>
      <c r="D653" s="7"/>
      <c r="E653" s="7"/>
      <c r="F653" s="7"/>
      <c r="G653" s="55"/>
      <c r="H653" s="7"/>
      <c r="I653" s="7"/>
      <c r="J653" s="7"/>
      <c r="K653" s="7"/>
      <c r="L653" s="7"/>
      <c r="M653" s="7"/>
      <c r="N653" s="7"/>
      <c r="O653" s="7"/>
      <c r="P653" s="7"/>
      <c r="Q653" s="55"/>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c r="BZ653" s="41"/>
      <c r="CA653" s="7"/>
      <c r="CB653" s="7"/>
      <c r="CC653" s="7"/>
      <c r="CD653" s="7"/>
      <c r="CE653" s="7"/>
      <c r="CF653" s="7"/>
    </row>
    <row r="654">
      <c r="A654" s="7"/>
      <c r="B654" s="55"/>
      <c r="C654" s="7"/>
      <c r="D654" s="7"/>
      <c r="E654" s="7"/>
      <c r="F654" s="7"/>
      <c r="G654" s="55"/>
      <c r="H654" s="7"/>
      <c r="I654" s="7"/>
      <c r="J654" s="7"/>
      <c r="K654" s="7"/>
      <c r="L654" s="7"/>
      <c r="M654" s="7"/>
      <c r="N654" s="7"/>
      <c r="O654" s="7"/>
      <c r="P654" s="7"/>
      <c r="Q654" s="55"/>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c r="BZ654" s="41"/>
      <c r="CA654" s="7"/>
      <c r="CB654" s="7"/>
      <c r="CC654" s="7"/>
      <c r="CD654" s="7"/>
      <c r="CE654" s="7"/>
      <c r="CF654" s="7"/>
    </row>
    <row r="655">
      <c r="A655" s="7"/>
      <c r="B655" s="55"/>
      <c r="C655" s="7"/>
      <c r="D655" s="7"/>
      <c r="E655" s="7"/>
      <c r="F655" s="7"/>
      <c r="G655" s="55"/>
      <c r="H655" s="7"/>
      <c r="I655" s="7"/>
      <c r="J655" s="7"/>
      <c r="K655" s="7"/>
      <c r="L655" s="7"/>
      <c r="M655" s="7"/>
      <c r="N655" s="7"/>
      <c r="O655" s="7"/>
      <c r="P655" s="7"/>
      <c r="Q655" s="55"/>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41"/>
      <c r="CA655" s="7"/>
      <c r="CB655" s="7"/>
      <c r="CC655" s="7"/>
      <c r="CD655" s="7"/>
      <c r="CE655" s="7"/>
      <c r="CF655" s="7"/>
    </row>
    <row r="656">
      <c r="A656" s="7"/>
      <c r="B656" s="55"/>
      <c r="C656" s="7"/>
      <c r="D656" s="7"/>
      <c r="E656" s="7"/>
      <c r="F656" s="7"/>
      <c r="G656" s="55"/>
      <c r="H656" s="7"/>
      <c r="I656" s="7"/>
      <c r="J656" s="7"/>
      <c r="K656" s="7"/>
      <c r="L656" s="7"/>
      <c r="M656" s="7"/>
      <c r="N656" s="7"/>
      <c r="O656" s="7"/>
      <c r="P656" s="7"/>
      <c r="Q656" s="55"/>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c r="BZ656" s="41"/>
      <c r="CA656" s="7"/>
      <c r="CB656" s="7"/>
      <c r="CC656" s="7"/>
      <c r="CD656" s="7"/>
      <c r="CE656" s="7"/>
      <c r="CF656" s="7"/>
    </row>
    <row r="657">
      <c r="A657" s="7"/>
      <c r="B657" s="55"/>
      <c r="C657" s="7"/>
      <c r="D657" s="7"/>
      <c r="E657" s="7"/>
      <c r="F657" s="7"/>
      <c r="G657" s="55"/>
      <c r="H657" s="7"/>
      <c r="I657" s="7"/>
      <c r="J657" s="7"/>
      <c r="K657" s="7"/>
      <c r="L657" s="7"/>
      <c r="M657" s="7"/>
      <c r="N657" s="7"/>
      <c r="O657" s="7"/>
      <c r="P657" s="7"/>
      <c r="Q657" s="55"/>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c r="BZ657" s="41"/>
      <c r="CA657" s="7"/>
      <c r="CB657" s="7"/>
      <c r="CC657" s="7"/>
      <c r="CD657" s="7"/>
      <c r="CE657" s="7"/>
      <c r="CF657" s="7"/>
    </row>
    <row r="658">
      <c r="A658" s="7"/>
      <c r="B658" s="55"/>
      <c r="C658" s="7"/>
      <c r="D658" s="7"/>
      <c r="E658" s="7"/>
      <c r="F658" s="7"/>
      <c r="G658" s="55"/>
      <c r="H658" s="7"/>
      <c r="I658" s="7"/>
      <c r="J658" s="7"/>
      <c r="K658" s="7"/>
      <c r="L658" s="7"/>
      <c r="M658" s="7"/>
      <c r="N658" s="7"/>
      <c r="O658" s="7"/>
      <c r="P658" s="7"/>
      <c r="Q658" s="55"/>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c r="BZ658" s="41"/>
      <c r="CA658" s="7"/>
      <c r="CB658" s="7"/>
      <c r="CC658" s="7"/>
      <c r="CD658" s="7"/>
      <c r="CE658" s="7"/>
      <c r="CF658" s="7"/>
    </row>
    <row r="659">
      <c r="A659" s="7"/>
      <c r="B659" s="55"/>
      <c r="C659" s="7"/>
      <c r="D659" s="7"/>
      <c r="E659" s="7"/>
      <c r="F659" s="7"/>
      <c r="G659" s="55"/>
      <c r="H659" s="7"/>
      <c r="I659" s="7"/>
      <c r="J659" s="7"/>
      <c r="K659" s="7"/>
      <c r="L659" s="7"/>
      <c r="M659" s="7"/>
      <c r="N659" s="7"/>
      <c r="O659" s="7"/>
      <c r="P659" s="7"/>
      <c r="Q659" s="55"/>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c r="BZ659" s="41"/>
      <c r="CA659" s="7"/>
      <c r="CB659" s="7"/>
      <c r="CC659" s="7"/>
      <c r="CD659" s="7"/>
      <c r="CE659" s="7"/>
      <c r="CF659" s="7"/>
    </row>
    <row r="660">
      <c r="A660" s="7"/>
      <c r="B660" s="55"/>
      <c r="C660" s="7"/>
      <c r="D660" s="7"/>
      <c r="E660" s="7"/>
      <c r="F660" s="7"/>
      <c r="G660" s="55"/>
      <c r="H660" s="7"/>
      <c r="I660" s="7"/>
      <c r="J660" s="7"/>
      <c r="K660" s="7"/>
      <c r="L660" s="7"/>
      <c r="M660" s="7"/>
      <c r="N660" s="7"/>
      <c r="O660" s="7"/>
      <c r="P660" s="7"/>
      <c r="Q660" s="55"/>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c r="BZ660" s="41"/>
      <c r="CA660" s="7"/>
      <c r="CB660" s="7"/>
      <c r="CC660" s="7"/>
      <c r="CD660" s="7"/>
      <c r="CE660" s="7"/>
      <c r="CF660" s="7"/>
    </row>
    <row r="661">
      <c r="A661" s="7"/>
      <c r="B661" s="55"/>
      <c r="C661" s="7"/>
      <c r="D661" s="7"/>
      <c r="E661" s="7"/>
      <c r="F661" s="7"/>
      <c r="G661" s="55"/>
      <c r="H661" s="7"/>
      <c r="I661" s="7"/>
      <c r="J661" s="7"/>
      <c r="K661" s="7"/>
      <c r="L661" s="7"/>
      <c r="M661" s="7"/>
      <c r="N661" s="7"/>
      <c r="O661" s="7"/>
      <c r="P661" s="7"/>
      <c r="Q661" s="55"/>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c r="BZ661" s="41"/>
      <c r="CA661" s="7"/>
      <c r="CB661" s="7"/>
      <c r="CC661" s="7"/>
      <c r="CD661" s="7"/>
      <c r="CE661" s="7"/>
      <c r="CF661" s="7"/>
    </row>
    <row r="662">
      <c r="A662" s="7"/>
      <c r="B662" s="55"/>
      <c r="C662" s="7"/>
      <c r="D662" s="7"/>
      <c r="E662" s="7"/>
      <c r="F662" s="7"/>
      <c r="G662" s="55"/>
      <c r="H662" s="7"/>
      <c r="I662" s="7"/>
      <c r="J662" s="7"/>
      <c r="K662" s="7"/>
      <c r="L662" s="7"/>
      <c r="M662" s="7"/>
      <c r="N662" s="7"/>
      <c r="O662" s="7"/>
      <c r="P662" s="7"/>
      <c r="Q662" s="55"/>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c r="BX662" s="7"/>
      <c r="BY662" s="7"/>
      <c r="BZ662" s="41"/>
      <c r="CA662" s="7"/>
      <c r="CB662" s="7"/>
      <c r="CC662" s="7"/>
      <c r="CD662" s="7"/>
      <c r="CE662" s="7"/>
      <c r="CF662" s="7"/>
    </row>
    <row r="663">
      <c r="A663" s="7"/>
      <c r="B663" s="55"/>
      <c r="C663" s="7"/>
      <c r="D663" s="7"/>
      <c r="E663" s="7"/>
      <c r="F663" s="7"/>
      <c r="G663" s="55"/>
      <c r="H663" s="7"/>
      <c r="I663" s="7"/>
      <c r="J663" s="7"/>
      <c r="K663" s="7"/>
      <c r="L663" s="7"/>
      <c r="M663" s="7"/>
      <c r="N663" s="7"/>
      <c r="O663" s="7"/>
      <c r="P663" s="7"/>
      <c r="Q663" s="55"/>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41"/>
      <c r="CA663" s="7"/>
      <c r="CB663" s="7"/>
      <c r="CC663" s="7"/>
      <c r="CD663" s="7"/>
      <c r="CE663" s="7"/>
      <c r="CF663" s="7"/>
    </row>
    <row r="664">
      <c r="A664" s="7"/>
      <c r="B664" s="55"/>
      <c r="C664" s="7"/>
      <c r="D664" s="7"/>
      <c r="E664" s="7"/>
      <c r="F664" s="7"/>
      <c r="G664" s="55"/>
      <c r="H664" s="7"/>
      <c r="I664" s="7"/>
      <c r="J664" s="7"/>
      <c r="K664" s="7"/>
      <c r="L664" s="7"/>
      <c r="M664" s="7"/>
      <c r="N664" s="7"/>
      <c r="O664" s="7"/>
      <c r="P664" s="7"/>
      <c r="Q664" s="55"/>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c r="BZ664" s="41"/>
      <c r="CA664" s="7"/>
      <c r="CB664" s="7"/>
      <c r="CC664" s="7"/>
      <c r="CD664" s="7"/>
      <c r="CE664" s="7"/>
      <c r="CF664" s="7"/>
    </row>
    <row r="665">
      <c r="A665" s="7"/>
      <c r="B665" s="55"/>
      <c r="C665" s="7"/>
      <c r="D665" s="7"/>
      <c r="E665" s="7"/>
      <c r="F665" s="7"/>
      <c r="G665" s="55"/>
      <c r="H665" s="7"/>
      <c r="I665" s="7"/>
      <c r="J665" s="7"/>
      <c r="K665" s="7"/>
      <c r="L665" s="7"/>
      <c r="M665" s="7"/>
      <c r="N665" s="7"/>
      <c r="O665" s="7"/>
      <c r="P665" s="7"/>
      <c r="Q665" s="55"/>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41"/>
      <c r="CA665" s="7"/>
      <c r="CB665" s="7"/>
      <c r="CC665" s="7"/>
      <c r="CD665" s="7"/>
      <c r="CE665" s="7"/>
      <c r="CF665" s="7"/>
    </row>
    <row r="666">
      <c r="A666" s="7"/>
      <c r="B666" s="55"/>
      <c r="C666" s="7"/>
      <c r="D666" s="7"/>
      <c r="E666" s="7"/>
      <c r="F666" s="7"/>
      <c r="G666" s="55"/>
      <c r="H666" s="7"/>
      <c r="I666" s="7"/>
      <c r="J666" s="7"/>
      <c r="K666" s="7"/>
      <c r="L666" s="7"/>
      <c r="M666" s="7"/>
      <c r="N666" s="7"/>
      <c r="O666" s="7"/>
      <c r="P666" s="7"/>
      <c r="Q666" s="55"/>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c r="BX666" s="7"/>
      <c r="BY666" s="7"/>
      <c r="BZ666" s="41"/>
      <c r="CA666" s="7"/>
      <c r="CB666" s="7"/>
      <c r="CC666" s="7"/>
      <c r="CD666" s="7"/>
      <c r="CE666" s="7"/>
      <c r="CF666" s="7"/>
    </row>
    <row r="667">
      <c r="A667" s="7"/>
      <c r="B667" s="55"/>
      <c r="C667" s="7"/>
      <c r="D667" s="7"/>
      <c r="E667" s="7"/>
      <c r="F667" s="7"/>
      <c r="G667" s="55"/>
      <c r="H667" s="7"/>
      <c r="I667" s="7"/>
      <c r="J667" s="7"/>
      <c r="K667" s="7"/>
      <c r="L667" s="7"/>
      <c r="M667" s="7"/>
      <c r="N667" s="7"/>
      <c r="O667" s="7"/>
      <c r="P667" s="7"/>
      <c r="Q667" s="55"/>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c r="BZ667" s="41"/>
      <c r="CA667" s="7"/>
      <c r="CB667" s="7"/>
      <c r="CC667" s="7"/>
      <c r="CD667" s="7"/>
      <c r="CE667" s="7"/>
      <c r="CF667" s="7"/>
    </row>
    <row r="668">
      <c r="A668" s="7"/>
      <c r="B668" s="55"/>
      <c r="C668" s="7"/>
      <c r="D668" s="7"/>
      <c r="E668" s="7"/>
      <c r="F668" s="7"/>
      <c r="G668" s="55"/>
      <c r="H668" s="7"/>
      <c r="I668" s="7"/>
      <c r="J668" s="7"/>
      <c r="K668" s="7"/>
      <c r="L668" s="7"/>
      <c r="M668" s="7"/>
      <c r="N668" s="7"/>
      <c r="O668" s="7"/>
      <c r="P668" s="7"/>
      <c r="Q668" s="55"/>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c r="BX668" s="7"/>
      <c r="BY668" s="7"/>
      <c r="BZ668" s="41"/>
      <c r="CA668" s="7"/>
      <c r="CB668" s="7"/>
      <c r="CC668" s="7"/>
      <c r="CD668" s="7"/>
      <c r="CE668" s="7"/>
      <c r="CF668" s="7"/>
    </row>
    <row r="669">
      <c r="A669" s="7"/>
      <c r="B669" s="55"/>
      <c r="C669" s="7"/>
      <c r="D669" s="7"/>
      <c r="E669" s="7"/>
      <c r="F669" s="7"/>
      <c r="G669" s="55"/>
      <c r="H669" s="7"/>
      <c r="I669" s="7"/>
      <c r="J669" s="7"/>
      <c r="K669" s="7"/>
      <c r="L669" s="7"/>
      <c r="M669" s="7"/>
      <c r="N669" s="7"/>
      <c r="O669" s="7"/>
      <c r="P669" s="7"/>
      <c r="Q669" s="55"/>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41"/>
      <c r="CA669" s="7"/>
      <c r="CB669" s="7"/>
      <c r="CC669" s="7"/>
      <c r="CD669" s="7"/>
      <c r="CE669" s="7"/>
      <c r="CF669" s="7"/>
    </row>
    <row r="670">
      <c r="A670" s="7"/>
      <c r="B670" s="55"/>
      <c r="C670" s="7"/>
      <c r="D670" s="7"/>
      <c r="E670" s="7"/>
      <c r="F670" s="7"/>
      <c r="G670" s="55"/>
      <c r="H670" s="7"/>
      <c r="I670" s="7"/>
      <c r="J670" s="7"/>
      <c r="K670" s="7"/>
      <c r="L670" s="7"/>
      <c r="M670" s="7"/>
      <c r="N670" s="7"/>
      <c r="O670" s="7"/>
      <c r="P670" s="7"/>
      <c r="Q670" s="55"/>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c r="BZ670" s="41"/>
      <c r="CA670" s="7"/>
      <c r="CB670" s="7"/>
      <c r="CC670" s="7"/>
      <c r="CD670" s="7"/>
      <c r="CE670" s="7"/>
      <c r="CF670" s="7"/>
    </row>
    <row r="671">
      <c r="A671" s="7"/>
      <c r="B671" s="55"/>
      <c r="C671" s="7"/>
      <c r="D671" s="7"/>
      <c r="E671" s="7"/>
      <c r="F671" s="7"/>
      <c r="G671" s="55"/>
      <c r="H671" s="7"/>
      <c r="I671" s="7"/>
      <c r="J671" s="7"/>
      <c r="K671" s="7"/>
      <c r="L671" s="7"/>
      <c r="M671" s="7"/>
      <c r="N671" s="7"/>
      <c r="O671" s="7"/>
      <c r="P671" s="7"/>
      <c r="Q671" s="55"/>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41"/>
      <c r="CA671" s="7"/>
      <c r="CB671" s="7"/>
      <c r="CC671" s="7"/>
      <c r="CD671" s="7"/>
      <c r="CE671" s="7"/>
      <c r="CF671" s="7"/>
    </row>
    <row r="672">
      <c r="A672" s="7"/>
      <c r="B672" s="55"/>
      <c r="C672" s="7"/>
      <c r="D672" s="7"/>
      <c r="E672" s="7"/>
      <c r="F672" s="7"/>
      <c r="G672" s="55"/>
      <c r="H672" s="7"/>
      <c r="I672" s="7"/>
      <c r="J672" s="7"/>
      <c r="K672" s="7"/>
      <c r="L672" s="7"/>
      <c r="M672" s="7"/>
      <c r="N672" s="7"/>
      <c r="O672" s="7"/>
      <c r="P672" s="7"/>
      <c r="Q672" s="55"/>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c r="BZ672" s="41"/>
      <c r="CA672" s="7"/>
      <c r="CB672" s="7"/>
      <c r="CC672" s="7"/>
      <c r="CD672" s="7"/>
      <c r="CE672" s="7"/>
      <c r="CF672" s="7"/>
    </row>
    <row r="673">
      <c r="A673" s="7"/>
      <c r="B673" s="55"/>
      <c r="C673" s="7"/>
      <c r="D673" s="7"/>
      <c r="E673" s="7"/>
      <c r="F673" s="7"/>
      <c r="G673" s="55"/>
      <c r="H673" s="7"/>
      <c r="I673" s="7"/>
      <c r="J673" s="7"/>
      <c r="K673" s="7"/>
      <c r="L673" s="7"/>
      <c r="M673" s="7"/>
      <c r="N673" s="7"/>
      <c r="O673" s="7"/>
      <c r="P673" s="7"/>
      <c r="Q673" s="55"/>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41"/>
      <c r="CA673" s="7"/>
      <c r="CB673" s="7"/>
      <c r="CC673" s="7"/>
      <c r="CD673" s="7"/>
      <c r="CE673" s="7"/>
      <c r="CF673" s="7"/>
    </row>
    <row r="674">
      <c r="A674" s="7"/>
      <c r="B674" s="55"/>
      <c r="C674" s="7"/>
      <c r="D674" s="7"/>
      <c r="E674" s="7"/>
      <c r="F674" s="7"/>
      <c r="G674" s="55"/>
      <c r="H674" s="7"/>
      <c r="I674" s="7"/>
      <c r="J674" s="7"/>
      <c r="K674" s="7"/>
      <c r="L674" s="7"/>
      <c r="M674" s="7"/>
      <c r="N674" s="7"/>
      <c r="O674" s="7"/>
      <c r="P674" s="7"/>
      <c r="Q674" s="55"/>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c r="BZ674" s="41"/>
      <c r="CA674" s="7"/>
      <c r="CB674" s="7"/>
      <c r="CC674" s="7"/>
      <c r="CD674" s="7"/>
      <c r="CE674" s="7"/>
      <c r="CF674" s="7"/>
    </row>
    <row r="675">
      <c r="A675" s="7"/>
      <c r="B675" s="55"/>
      <c r="C675" s="7"/>
      <c r="D675" s="7"/>
      <c r="E675" s="7"/>
      <c r="F675" s="7"/>
      <c r="G675" s="55"/>
      <c r="H675" s="7"/>
      <c r="I675" s="7"/>
      <c r="J675" s="7"/>
      <c r="K675" s="7"/>
      <c r="L675" s="7"/>
      <c r="M675" s="7"/>
      <c r="N675" s="7"/>
      <c r="O675" s="7"/>
      <c r="P675" s="7"/>
      <c r="Q675" s="55"/>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41"/>
      <c r="CA675" s="7"/>
      <c r="CB675" s="7"/>
      <c r="CC675" s="7"/>
      <c r="CD675" s="7"/>
      <c r="CE675" s="7"/>
      <c r="CF675" s="7"/>
    </row>
    <row r="676">
      <c r="A676" s="7"/>
      <c r="B676" s="55"/>
      <c r="C676" s="7"/>
      <c r="D676" s="7"/>
      <c r="E676" s="7"/>
      <c r="F676" s="7"/>
      <c r="G676" s="55"/>
      <c r="H676" s="7"/>
      <c r="I676" s="7"/>
      <c r="J676" s="7"/>
      <c r="K676" s="7"/>
      <c r="L676" s="7"/>
      <c r="M676" s="7"/>
      <c r="N676" s="7"/>
      <c r="O676" s="7"/>
      <c r="P676" s="7"/>
      <c r="Q676" s="55"/>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c r="BZ676" s="41"/>
      <c r="CA676" s="7"/>
      <c r="CB676" s="7"/>
      <c r="CC676" s="7"/>
      <c r="CD676" s="7"/>
      <c r="CE676" s="7"/>
      <c r="CF676" s="7"/>
    </row>
    <row r="677">
      <c r="A677" s="7"/>
      <c r="B677" s="55"/>
      <c r="C677" s="7"/>
      <c r="D677" s="7"/>
      <c r="E677" s="7"/>
      <c r="F677" s="7"/>
      <c r="G677" s="55"/>
      <c r="H677" s="7"/>
      <c r="I677" s="7"/>
      <c r="J677" s="7"/>
      <c r="K677" s="7"/>
      <c r="L677" s="7"/>
      <c r="M677" s="7"/>
      <c r="N677" s="7"/>
      <c r="O677" s="7"/>
      <c r="P677" s="7"/>
      <c r="Q677" s="55"/>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c r="BZ677" s="41"/>
      <c r="CA677" s="7"/>
      <c r="CB677" s="7"/>
      <c r="CC677" s="7"/>
      <c r="CD677" s="7"/>
      <c r="CE677" s="7"/>
      <c r="CF677" s="7"/>
    </row>
    <row r="678">
      <c r="A678" s="7"/>
      <c r="B678" s="55"/>
      <c r="C678" s="7"/>
      <c r="D678" s="7"/>
      <c r="E678" s="7"/>
      <c r="F678" s="7"/>
      <c r="G678" s="55"/>
      <c r="H678" s="7"/>
      <c r="I678" s="7"/>
      <c r="J678" s="7"/>
      <c r="K678" s="7"/>
      <c r="L678" s="7"/>
      <c r="M678" s="7"/>
      <c r="N678" s="7"/>
      <c r="O678" s="7"/>
      <c r="P678" s="7"/>
      <c r="Q678" s="55"/>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c r="BX678" s="7"/>
      <c r="BY678" s="7"/>
      <c r="BZ678" s="41"/>
      <c r="CA678" s="7"/>
      <c r="CB678" s="7"/>
      <c r="CC678" s="7"/>
      <c r="CD678" s="7"/>
      <c r="CE678" s="7"/>
      <c r="CF678" s="7"/>
    </row>
    <row r="679">
      <c r="A679" s="7"/>
      <c r="B679" s="55"/>
      <c r="C679" s="7"/>
      <c r="D679" s="7"/>
      <c r="E679" s="7"/>
      <c r="F679" s="7"/>
      <c r="G679" s="55"/>
      <c r="H679" s="7"/>
      <c r="I679" s="7"/>
      <c r="J679" s="7"/>
      <c r="K679" s="7"/>
      <c r="L679" s="7"/>
      <c r="M679" s="7"/>
      <c r="N679" s="7"/>
      <c r="O679" s="7"/>
      <c r="P679" s="7"/>
      <c r="Q679" s="55"/>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41"/>
      <c r="CA679" s="7"/>
      <c r="CB679" s="7"/>
      <c r="CC679" s="7"/>
      <c r="CD679" s="7"/>
      <c r="CE679" s="7"/>
      <c r="CF679" s="7"/>
    </row>
    <row r="680">
      <c r="A680" s="7"/>
      <c r="B680" s="55"/>
      <c r="C680" s="7"/>
      <c r="D680" s="7"/>
      <c r="E680" s="7"/>
      <c r="F680" s="7"/>
      <c r="G680" s="55"/>
      <c r="H680" s="7"/>
      <c r="I680" s="7"/>
      <c r="J680" s="7"/>
      <c r="K680" s="7"/>
      <c r="L680" s="7"/>
      <c r="M680" s="7"/>
      <c r="N680" s="7"/>
      <c r="O680" s="7"/>
      <c r="P680" s="7"/>
      <c r="Q680" s="55"/>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c r="BZ680" s="41"/>
      <c r="CA680" s="7"/>
      <c r="CB680" s="7"/>
      <c r="CC680" s="7"/>
      <c r="CD680" s="7"/>
      <c r="CE680" s="7"/>
      <c r="CF680" s="7"/>
    </row>
    <row r="681">
      <c r="A681" s="7"/>
      <c r="B681" s="55"/>
      <c r="C681" s="7"/>
      <c r="D681" s="7"/>
      <c r="E681" s="7"/>
      <c r="F681" s="7"/>
      <c r="G681" s="55"/>
      <c r="H681" s="7"/>
      <c r="I681" s="7"/>
      <c r="J681" s="7"/>
      <c r="K681" s="7"/>
      <c r="L681" s="7"/>
      <c r="M681" s="7"/>
      <c r="N681" s="7"/>
      <c r="O681" s="7"/>
      <c r="P681" s="7"/>
      <c r="Q681" s="55"/>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41"/>
      <c r="CA681" s="7"/>
      <c r="CB681" s="7"/>
      <c r="CC681" s="7"/>
      <c r="CD681" s="7"/>
      <c r="CE681" s="7"/>
      <c r="CF681" s="7"/>
    </row>
    <row r="682">
      <c r="A682" s="7"/>
      <c r="B682" s="55"/>
      <c r="C682" s="7"/>
      <c r="D682" s="7"/>
      <c r="E682" s="7"/>
      <c r="F682" s="7"/>
      <c r="G682" s="55"/>
      <c r="H682" s="7"/>
      <c r="I682" s="7"/>
      <c r="J682" s="7"/>
      <c r="K682" s="7"/>
      <c r="L682" s="7"/>
      <c r="M682" s="7"/>
      <c r="N682" s="7"/>
      <c r="O682" s="7"/>
      <c r="P682" s="7"/>
      <c r="Q682" s="55"/>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c r="BZ682" s="41"/>
      <c r="CA682" s="7"/>
      <c r="CB682" s="7"/>
      <c r="CC682" s="7"/>
      <c r="CD682" s="7"/>
      <c r="CE682" s="7"/>
      <c r="CF682" s="7"/>
    </row>
    <row r="683">
      <c r="A683" s="7"/>
      <c r="B683" s="55"/>
      <c r="C683" s="7"/>
      <c r="D683" s="7"/>
      <c r="E683" s="7"/>
      <c r="F683" s="7"/>
      <c r="G683" s="55"/>
      <c r="H683" s="7"/>
      <c r="I683" s="7"/>
      <c r="J683" s="7"/>
      <c r="K683" s="7"/>
      <c r="L683" s="7"/>
      <c r="M683" s="7"/>
      <c r="N683" s="7"/>
      <c r="O683" s="7"/>
      <c r="P683" s="7"/>
      <c r="Q683" s="55"/>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c r="BZ683" s="41"/>
      <c r="CA683" s="7"/>
      <c r="CB683" s="7"/>
      <c r="CC683" s="7"/>
      <c r="CD683" s="7"/>
      <c r="CE683" s="7"/>
      <c r="CF683" s="7"/>
    </row>
    <row r="684">
      <c r="A684" s="7"/>
      <c r="B684" s="55"/>
      <c r="C684" s="7"/>
      <c r="D684" s="7"/>
      <c r="E684" s="7"/>
      <c r="F684" s="7"/>
      <c r="G684" s="55"/>
      <c r="H684" s="7"/>
      <c r="I684" s="7"/>
      <c r="J684" s="7"/>
      <c r="K684" s="7"/>
      <c r="L684" s="7"/>
      <c r="M684" s="7"/>
      <c r="N684" s="7"/>
      <c r="O684" s="7"/>
      <c r="P684" s="7"/>
      <c r="Q684" s="55"/>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c r="BZ684" s="41"/>
      <c r="CA684" s="7"/>
      <c r="CB684" s="7"/>
      <c r="CC684" s="7"/>
      <c r="CD684" s="7"/>
      <c r="CE684" s="7"/>
      <c r="CF684" s="7"/>
    </row>
    <row r="685">
      <c r="A685" s="7"/>
      <c r="B685" s="55"/>
      <c r="C685" s="7"/>
      <c r="D685" s="7"/>
      <c r="E685" s="7"/>
      <c r="F685" s="7"/>
      <c r="G685" s="55"/>
      <c r="H685" s="7"/>
      <c r="I685" s="7"/>
      <c r="J685" s="7"/>
      <c r="K685" s="7"/>
      <c r="L685" s="7"/>
      <c r="M685" s="7"/>
      <c r="N685" s="7"/>
      <c r="O685" s="7"/>
      <c r="P685" s="7"/>
      <c r="Q685" s="55"/>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c r="BZ685" s="41"/>
      <c r="CA685" s="7"/>
      <c r="CB685" s="7"/>
      <c r="CC685" s="7"/>
      <c r="CD685" s="7"/>
      <c r="CE685" s="7"/>
      <c r="CF685" s="7"/>
    </row>
    <row r="686">
      <c r="A686" s="7"/>
      <c r="B686" s="55"/>
      <c r="C686" s="7"/>
      <c r="D686" s="7"/>
      <c r="E686" s="7"/>
      <c r="F686" s="7"/>
      <c r="G686" s="55"/>
      <c r="H686" s="7"/>
      <c r="I686" s="7"/>
      <c r="J686" s="7"/>
      <c r="K686" s="7"/>
      <c r="L686" s="7"/>
      <c r="M686" s="7"/>
      <c r="N686" s="7"/>
      <c r="O686" s="7"/>
      <c r="P686" s="7"/>
      <c r="Q686" s="55"/>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c r="BZ686" s="41"/>
      <c r="CA686" s="7"/>
      <c r="CB686" s="7"/>
      <c r="CC686" s="7"/>
      <c r="CD686" s="7"/>
      <c r="CE686" s="7"/>
      <c r="CF686" s="7"/>
    </row>
    <row r="687">
      <c r="A687" s="7"/>
      <c r="B687" s="55"/>
      <c r="C687" s="7"/>
      <c r="D687" s="7"/>
      <c r="E687" s="7"/>
      <c r="F687" s="7"/>
      <c r="G687" s="55"/>
      <c r="H687" s="7"/>
      <c r="I687" s="7"/>
      <c r="J687" s="7"/>
      <c r="K687" s="7"/>
      <c r="L687" s="7"/>
      <c r="M687" s="7"/>
      <c r="N687" s="7"/>
      <c r="O687" s="7"/>
      <c r="P687" s="7"/>
      <c r="Q687" s="55"/>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41"/>
      <c r="CA687" s="7"/>
      <c r="CB687" s="7"/>
      <c r="CC687" s="7"/>
      <c r="CD687" s="7"/>
      <c r="CE687" s="7"/>
      <c r="CF687" s="7"/>
    </row>
    <row r="688">
      <c r="A688" s="7"/>
      <c r="B688" s="55"/>
      <c r="C688" s="7"/>
      <c r="D688" s="7"/>
      <c r="E688" s="7"/>
      <c r="F688" s="7"/>
      <c r="G688" s="55"/>
      <c r="H688" s="7"/>
      <c r="I688" s="7"/>
      <c r="J688" s="7"/>
      <c r="K688" s="7"/>
      <c r="L688" s="7"/>
      <c r="M688" s="7"/>
      <c r="N688" s="7"/>
      <c r="O688" s="7"/>
      <c r="P688" s="7"/>
      <c r="Q688" s="55"/>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c r="BZ688" s="41"/>
      <c r="CA688" s="7"/>
      <c r="CB688" s="7"/>
      <c r="CC688" s="7"/>
      <c r="CD688" s="7"/>
      <c r="CE688" s="7"/>
      <c r="CF688" s="7"/>
    </row>
    <row r="689">
      <c r="A689" s="7"/>
      <c r="B689" s="55"/>
      <c r="C689" s="7"/>
      <c r="D689" s="7"/>
      <c r="E689" s="7"/>
      <c r="F689" s="7"/>
      <c r="G689" s="55"/>
      <c r="H689" s="7"/>
      <c r="I689" s="7"/>
      <c r="J689" s="7"/>
      <c r="K689" s="7"/>
      <c r="L689" s="7"/>
      <c r="M689" s="7"/>
      <c r="N689" s="7"/>
      <c r="O689" s="7"/>
      <c r="P689" s="7"/>
      <c r="Q689" s="55"/>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41"/>
      <c r="CA689" s="7"/>
      <c r="CB689" s="7"/>
      <c r="CC689" s="7"/>
      <c r="CD689" s="7"/>
      <c r="CE689" s="7"/>
      <c r="CF689" s="7"/>
    </row>
    <row r="690">
      <c r="A690" s="7"/>
      <c r="B690" s="55"/>
      <c r="C690" s="7"/>
      <c r="D690" s="7"/>
      <c r="E690" s="7"/>
      <c r="F690" s="7"/>
      <c r="G690" s="55"/>
      <c r="H690" s="7"/>
      <c r="I690" s="7"/>
      <c r="J690" s="7"/>
      <c r="K690" s="7"/>
      <c r="L690" s="7"/>
      <c r="M690" s="7"/>
      <c r="N690" s="7"/>
      <c r="O690" s="7"/>
      <c r="P690" s="7"/>
      <c r="Q690" s="55"/>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c r="BX690" s="7"/>
      <c r="BY690" s="7"/>
      <c r="BZ690" s="41"/>
      <c r="CA690" s="7"/>
      <c r="CB690" s="7"/>
      <c r="CC690" s="7"/>
      <c r="CD690" s="7"/>
      <c r="CE690" s="7"/>
      <c r="CF690" s="7"/>
    </row>
    <row r="691">
      <c r="A691" s="7"/>
      <c r="B691" s="55"/>
      <c r="C691" s="7"/>
      <c r="D691" s="7"/>
      <c r="E691" s="7"/>
      <c r="F691" s="7"/>
      <c r="G691" s="55"/>
      <c r="H691" s="7"/>
      <c r="I691" s="7"/>
      <c r="J691" s="7"/>
      <c r="K691" s="7"/>
      <c r="L691" s="7"/>
      <c r="M691" s="7"/>
      <c r="N691" s="7"/>
      <c r="O691" s="7"/>
      <c r="P691" s="7"/>
      <c r="Q691" s="55"/>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c r="BZ691" s="41"/>
      <c r="CA691" s="7"/>
      <c r="CB691" s="7"/>
      <c r="CC691" s="7"/>
      <c r="CD691" s="7"/>
      <c r="CE691" s="7"/>
      <c r="CF691" s="7"/>
    </row>
    <row r="692">
      <c r="A692" s="7"/>
      <c r="B692" s="55"/>
      <c r="C692" s="7"/>
      <c r="D692" s="7"/>
      <c r="E692" s="7"/>
      <c r="F692" s="7"/>
      <c r="G692" s="55"/>
      <c r="H692" s="7"/>
      <c r="I692" s="7"/>
      <c r="J692" s="7"/>
      <c r="K692" s="7"/>
      <c r="L692" s="7"/>
      <c r="M692" s="7"/>
      <c r="N692" s="7"/>
      <c r="O692" s="7"/>
      <c r="P692" s="7"/>
      <c r="Q692" s="55"/>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c r="BX692" s="7"/>
      <c r="BY692" s="7"/>
      <c r="BZ692" s="41"/>
      <c r="CA692" s="7"/>
      <c r="CB692" s="7"/>
      <c r="CC692" s="7"/>
      <c r="CD692" s="7"/>
      <c r="CE692" s="7"/>
      <c r="CF692" s="7"/>
    </row>
    <row r="693">
      <c r="A693" s="7"/>
      <c r="B693" s="55"/>
      <c r="C693" s="7"/>
      <c r="D693" s="7"/>
      <c r="E693" s="7"/>
      <c r="F693" s="7"/>
      <c r="G693" s="55"/>
      <c r="H693" s="7"/>
      <c r="I693" s="7"/>
      <c r="J693" s="7"/>
      <c r="K693" s="7"/>
      <c r="L693" s="7"/>
      <c r="M693" s="7"/>
      <c r="N693" s="7"/>
      <c r="O693" s="7"/>
      <c r="P693" s="7"/>
      <c r="Q693" s="55"/>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c r="BZ693" s="41"/>
      <c r="CA693" s="7"/>
      <c r="CB693" s="7"/>
      <c r="CC693" s="7"/>
      <c r="CD693" s="7"/>
      <c r="CE693" s="7"/>
      <c r="CF693" s="7"/>
    </row>
    <row r="694">
      <c r="A694" s="7"/>
      <c r="B694" s="55"/>
      <c r="C694" s="7"/>
      <c r="D694" s="7"/>
      <c r="E694" s="7"/>
      <c r="F694" s="7"/>
      <c r="G694" s="55"/>
      <c r="H694" s="7"/>
      <c r="I694" s="7"/>
      <c r="J694" s="7"/>
      <c r="K694" s="7"/>
      <c r="L694" s="7"/>
      <c r="M694" s="7"/>
      <c r="N694" s="7"/>
      <c r="O694" s="7"/>
      <c r="P694" s="7"/>
      <c r="Q694" s="55"/>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c r="BX694" s="7"/>
      <c r="BY694" s="7"/>
      <c r="BZ694" s="41"/>
      <c r="CA694" s="7"/>
      <c r="CB694" s="7"/>
      <c r="CC694" s="7"/>
      <c r="CD694" s="7"/>
      <c r="CE694" s="7"/>
      <c r="CF694" s="7"/>
    </row>
    <row r="695">
      <c r="A695" s="7"/>
      <c r="B695" s="55"/>
      <c r="C695" s="7"/>
      <c r="D695" s="7"/>
      <c r="E695" s="7"/>
      <c r="F695" s="7"/>
      <c r="G695" s="55"/>
      <c r="H695" s="7"/>
      <c r="I695" s="7"/>
      <c r="J695" s="7"/>
      <c r="K695" s="7"/>
      <c r="L695" s="7"/>
      <c r="M695" s="7"/>
      <c r="N695" s="7"/>
      <c r="O695" s="7"/>
      <c r="P695" s="7"/>
      <c r="Q695" s="55"/>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c r="BZ695" s="41"/>
      <c r="CA695" s="7"/>
      <c r="CB695" s="7"/>
      <c r="CC695" s="7"/>
      <c r="CD695" s="7"/>
      <c r="CE695" s="7"/>
      <c r="CF695" s="7"/>
    </row>
    <row r="696">
      <c r="A696" s="7"/>
      <c r="B696" s="55"/>
      <c r="C696" s="7"/>
      <c r="D696" s="7"/>
      <c r="E696" s="7"/>
      <c r="F696" s="7"/>
      <c r="G696" s="55"/>
      <c r="H696" s="7"/>
      <c r="I696" s="7"/>
      <c r="J696" s="7"/>
      <c r="K696" s="7"/>
      <c r="L696" s="7"/>
      <c r="M696" s="7"/>
      <c r="N696" s="7"/>
      <c r="O696" s="7"/>
      <c r="P696" s="7"/>
      <c r="Q696" s="55"/>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c r="BZ696" s="41"/>
      <c r="CA696" s="7"/>
      <c r="CB696" s="7"/>
      <c r="CC696" s="7"/>
      <c r="CD696" s="7"/>
      <c r="CE696" s="7"/>
      <c r="CF696" s="7"/>
    </row>
    <row r="697">
      <c r="A697" s="7"/>
      <c r="B697" s="55"/>
      <c r="C697" s="7"/>
      <c r="D697" s="7"/>
      <c r="E697" s="7"/>
      <c r="F697" s="7"/>
      <c r="G697" s="55"/>
      <c r="H697" s="7"/>
      <c r="I697" s="7"/>
      <c r="J697" s="7"/>
      <c r="K697" s="7"/>
      <c r="L697" s="7"/>
      <c r="M697" s="7"/>
      <c r="N697" s="7"/>
      <c r="O697" s="7"/>
      <c r="P697" s="7"/>
      <c r="Q697" s="55"/>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c r="BZ697" s="41"/>
      <c r="CA697" s="7"/>
      <c r="CB697" s="7"/>
      <c r="CC697" s="7"/>
      <c r="CD697" s="7"/>
      <c r="CE697" s="7"/>
      <c r="CF697" s="7"/>
    </row>
    <row r="698">
      <c r="A698" s="7"/>
      <c r="B698" s="55"/>
      <c r="C698" s="7"/>
      <c r="D698" s="7"/>
      <c r="E698" s="7"/>
      <c r="F698" s="7"/>
      <c r="G698" s="55"/>
      <c r="H698" s="7"/>
      <c r="I698" s="7"/>
      <c r="J698" s="7"/>
      <c r="K698" s="7"/>
      <c r="L698" s="7"/>
      <c r="M698" s="7"/>
      <c r="N698" s="7"/>
      <c r="O698" s="7"/>
      <c r="P698" s="7"/>
      <c r="Q698" s="55"/>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c r="BX698" s="7"/>
      <c r="BY698" s="7"/>
      <c r="BZ698" s="41"/>
      <c r="CA698" s="7"/>
      <c r="CB698" s="7"/>
      <c r="CC698" s="7"/>
      <c r="CD698" s="7"/>
      <c r="CE698" s="7"/>
      <c r="CF698" s="7"/>
    </row>
    <row r="699">
      <c r="A699" s="7"/>
      <c r="B699" s="55"/>
      <c r="C699" s="7"/>
      <c r="D699" s="7"/>
      <c r="E699" s="7"/>
      <c r="F699" s="7"/>
      <c r="G699" s="55"/>
      <c r="H699" s="7"/>
      <c r="I699" s="7"/>
      <c r="J699" s="7"/>
      <c r="K699" s="7"/>
      <c r="L699" s="7"/>
      <c r="M699" s="7"/>
      <c r="N699" s="7"/>
      <c r="O699" s="7"/>
      <c r="P699" s="7"/>
      <c r="Q699" s="55"/>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41"/>
      <c r="CA699" s="7"/>
      <c r="CB699" s="7"/>
      <c r="CC699" s="7"/>
      <c r="CD699" s="7"/>
      <c r="CE699" s="7"/>
      <c r="CF699" s="7"/>
    </row>
    <row r="700">
      <c r="A700" s="7"/>
      <c r="B700" s="55"/>
      <c r="C700" s="7"/>
      <c r="D700" s="7"/>
      <c r="E700" s="7"/>
      <c r="F700" s="7"/>
      <c r="G700" s="55"/>
      <c r="H700" s="7"/>
      <c r="I700" s="7"/>
      <c r="J700" s="7"/>
      <c r="K700" s="7"/>
      <c r="L700" s="7"/>
      <c r="M700" s="7"/>
      <c r="N700" s="7"/>
      <c r="O700" s="7"/>
      <c r="P700" s="7"/>
      <c r="Q700" s="55"/>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c r="BZ700" s="41"/>
      <c r="CA700" s="7"/>
      <c r="CB700" s="7"/>
      <c r="CC700" s="7"/>
      <c r="CD700" s="7"/>
      <c r="CE700" s="7"/>
      <c r="CF700" s="7"/>
    </row>
    <row r="701">
      <c r="A701" s="7"/>
      <c r="B701" s="55"/>
      <c r="C701" s="7"/>
      <c r="D701" s="7"/>
      <c r="E701" s="7"/>
      <c r="F701" s="7"/>
      <c r="G701" s="55"/>
      <c r="H701" s="7"/>
      <c r="I701" s="7"/>
      <c r="J701" s="7"/>
      <c r="K701" s="7"/>
      <c r="L701" s="7"/>
      <c r="M701" s="7"/>
      <c r="N701" s="7"/>
      <c r="O701" s="7"/>
      <c r="P701" s="7"/>
      <c r="Q701" s="55"/>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c r="BZ701" s="41"/>
      <c r="CA701" s="7"/>
      <c r="CB701" s="7"/>
      <c r="CC701" s="7"/>
      <c r="CD701" s="7"/>
      <c r="CE701" s="7"/>
      <c r="CF701" s="7"/>
    </row>
    <row r="702">
      <c r="A702" s="7"/>
      <c r="B702" s="55"/>
      <c r="C702" s="7"/>
      <c r="D702" s="7"/>
      <c r="E702" s="7"/>
      <c r="F702" s="7"/>
      <c r="G702" s="55"/>
      <c r="H702" s="7"/>
      <c r="I702" s="7"/>
      <c r="J702" s="7"/>
      <c r="K702" s="7"/>
      <c r="L702" s="7"/>
      <c r="M702" s="7"/>
      <c r="N702" s="7"/>
      <c r="O702" s="7"/>
      <c r="P702" s="7"/>
      <c r="Q702" s="55"/>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c r="BX702" s="7"/>
      <c r="BY702" s="7"/>
      <c r="BZ702" s="41"/>
      <c r="CA702" s="7"/>
      <c r="CB702" s="7"/>
      <c r="CC702" s="7"/>
      <c r="CD702" s="7"/>
      <c r="CE702" s="7"/>
      <c r="CF702" s="7"/>
    </row>
    <row r="703">
      <c r="A703" s="7"/>
      <c r="B703" s="55"/>
      <c r="C703" s="7"/>
      <c r="D703" s="7"/>
      <c r="E703" s="7"/>
      <c r="F703" s="7"/>
      <c r="G703" s="55"/>
      <c r="H703" s="7"/>
      <c r="I703" s="7"/>
      <c r="J703" s="7"/>
      <c r="K703" s="7"/>
      <c r="L703" s="7"/>
      <c r="M703" s="7"/>
      <c r="N703" s="7"/>
      <c r="O703" s="7"/>
      <c r="P703" s="7"/>
      <c r="Q703" s="55"/>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c r="BZ703" s="41"/>
      <c r="CA703" s="7"/>
      <c r="CB703" s="7"/>
      <c r="CC703" s="7"/>
      <c r="CD703" s="7"/>
      <c r="CE703" s="7"/>
      <c r="CF703" s="7"/>
    </row>
    <row r="704">
      <c r="A704" s="7"/>
      <c r="B704" s="55"/>
      <c r="C704" s="7"/>
      <c r="D704" s="7"/>
      <c r="E704" s="7"/>
      <c r="F704" s="7"/>
      <c r="G704" s="55"/>
      <c r="H704" s="7"/>
      <c r="I704" s="7"/>
      <c r="J704" s="7"/>
      <c r="K704" s="7"/>
      <c r="L704" s="7"/>
      <c r="M704" s="7"/>
      <c r="N704" s="7"/>
      <c r="O704" s="7"/>
      <c r="P704" s="7"/>
      <c r="Q704" s="55"/>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c r="BZ704" s="41"/>
      <c r="CA704" s="7"/>
      <c r="CB704" s="7"/>
      <c r="CC704" s="7"/>
      <c r="CD704" s="7"/>
      <c r="CE704" s="7"/>
      <c r="CF704" s="7"/>
    </row>
    <row r="705">
      <c r="A705" s="7"/>
      <c r="B705" s="55"/>
      <c r="C705" s="7"/>
      <c r="D705" s="7"/>
      <c r="E705" s="7"/>
      <c r="F705" s="7"/>
      <c r="G705" s="55"/>
      <c r="H705" s="7"/>
      <c r="I705" s="7"/>
      <c r="J705" s="7"/>
      <c r="K705" s="7"/>
      <c r="L705" s="7"/>
      <c r="M705" s="7"/>
      <c r="N705" s="7"/>
      <c r="O705" s="7"/>
      <c r="P705" s="7"/>
      <c r="Q705" s="55"/>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41"/>
      <c r="CA705" s="7"/>
      <c r="CB705" s="7"/>
      <c r="CC705" s="7"/>
      <c r="CD705" s="7"/>
      <c r="CE705" s="7"/>
      <c r="CF705" s="7"/>
    </row>
    <row r="706">
      <c r="A706" s="7"/>
      <c r="B706" s="55"/>
      <c r="C706" s="7"/>
      <c r="D706" s="7"/>
      <c r="E706" s="7"/>
      <c r="F706" s="7"/>
      <c r="G706" s="55"/>
      <c r="H706" s="7"/>
      <c r="I706" s="7"/>
      <c r="J706" s="7"/>
      <c r="K706" s="7"/>
      <c r="L706" s="7"/>
      <c r="M706" s="7"/>
      <c r="N706" s="7"/>
      <c r="O706" s="7"/>
      <c r="P706" s="7"/>
      <c r="Q706" s="55"/>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c r="BZ706" s="41"/>
      <c r="CA706" s="7"/>
      <c r="CB706" s="7"/>
      <c r="CC706" s="7"/>
      <c r="CD706" s="7"/>
      <c r="CE706" s="7"/>
      <c r="CF706" s="7"/>
    </row>
    <row r="707">
      <c r="A707" s="7"/>
      <c r="B707" s="55"/>
      <c r="C707" s="7"/>
      <c r="D707" s="7"/>
      <c r="E707" s="7"/>
      <c r="F707" s="7"/>
      <c r="G707" s="55"/>
      <c r="H707" s="7"/>
      <c r="I707" s="7"/>
      <c r="J707" s="7"/>
      <c r="K707" s="7"/>
      <c r="L707" s="7"/>
      <c r="M707" s="7"/>
      <c r="N707" s="7"/>
      <c r="O707" s="7"/>
      <c r="P707" s="7"/>
      <c r="Q707" s="55"/>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41"/>
      <c r="CA707" s="7"/>
      <c r="CB707" s="7"/>
      <c r="CC707" s="7"/>
      <c r="CD707" s="7"/>
      <c r="CE707" s="7"/>
      <c r="CF707" s="7"/>
    </row>
    <row r="708">
      <c r="A708" s="7"/>
      <c r="B708" s="55"/>
      <c r="C708" s="7"/>
      <c r="D708" s="7"/>
      <c r="E708" s="7"/>
      <c r="F708" s="7"/>
      <c r="G708" s="55"/>
      <c r="H708" s="7"/>
      <c r="I708" s="7"/>
      <c r="J708" s="7"/>
      <c r="K708" s="7"/>
      <c r="L708" s="7"/>
      <c r="M708" s="7"/>
      <c r="N708" s="7"/>
      <c r="O708" s="7"/>
      <c r="P708" s="7"/>
      <c r="Q708" s="55"/>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c r="BX708" s="7"/>
      <c r="BY708" s="7"/>
      <c r="BZ708" s="41"/>
      <c r="CA708" s="7"/>
      <c r="CB708" s="7"/>
      <c r="CC708" s="7"/>
      <c r="CD708" s="7"/>
      <c r="CE708" s="7"/>
      <c r="CF708" s="7"/>
    </row>
    <row r="709">
      <c r="A709" s="7"/>
      <c r="B709" s="55"/>
      <c r="C709" s="7"/>
      <c r="D709" s="7"/>
      <c r="E709" s="7"/>
      <c r="F709" s="7"/>
      <c r="G709" s="55"/>
      <c r="H709" s="7"/>
      <c r="I709" s="7"/>
      <c r="J709" s="7"/>
      <c r="K709" s="7"/>
      <c r="L709" s="7"/>
      <c r="M709" s="7"/>
      <c r="N709" s="7"/>
      <c r="O709" s="7"/>
      <c r="P709" s="7"/>
      <c r="Q709" s="55"/>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41"/>
      <c r="CA709" s="7"/>
      <c r="CB709" s="7"/>
      <c r="CC709" s="7"/>
      <c r="CD709" s="7"/>
      <c r="CE709" s="7"/>
      <c r="CF709" s="7"/>
    </row>
    <row r="710">
      <c r="A710" s="7"/>
      <c r="B710" s="55"/>
      <c r="C710" s="7"/>
      <c r="D710" s="7"/>
      <c r="E710" s="7"/>
      <c r="F710" s="7"/>
      <c r="G710" s="55"/>
      <c r="H710" s="7"/>
      <c r="I710" s="7"/>
      <c r="J710" s="7"/>
      <c r="K710" s="7"/>
      <c r="L710" s="7"/>
      <c r="M710" s="7"/>
      <c r="N710" s="7"/>
      <c r="O710" s="7"/>
      <c r="P710" s="7"/>
      <c r="Q710" s="55"/>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c r="BZ710" s="41"/>
      <c r="CA710" s="7"/>
      <c r="CB710" s="7"/>
      <c r="CC710" s="7"/>
      <c r="CD710" s="7"/>
      <c r="CE710" s="7"/>
      <c r="CF710" s="7"/>
    </row>
    <row r="711">
      <c r="A711" s="7"/>
      <c r="B711" s="55"/>
      <c r="C711" s="7"/>
      <c r="D711" s="7"/>
      <c r="E711" s="7"/>
      <c r="F711" s="7"/>
      <c r="G711" s="55"/>
      <c r="H711" s="7"/>
      <c r="I711" s="7"/>
      <c r="J711" s="7"/>
      <c r="K711" s="7"/>
      <c r="L711" s="7"/>
      <c r="M711" s="7"/>
      <c r="N711" s="7"/>
      <c r="O711" s="7"/>
      <c r="P711" s="7"/>
      <c r="Q711" s="55"/>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41"/>
      <c r="CA711" s="7"/>
      <c r="CB711" s="7"/>
      <c r="CC711" s="7"/>
      <c r="CD711" s="7"/>
      <c r="CE711" s="7"/>
      <c r="CF711" s="7"/>
    </row>
    <row r="712">
      <c r="A712" s="7"/>
      <c r="B712" s="55"/>
      <c r="C712" s="7"/>
      <c r="D712" s="7"/>
      <c r="E712" s="7"/>
      <c r="F712" s="7"/>
      <c r="G712" s="55"/>
      <c r="H712" s="7"/>
      <c r="I712" s="7"/>
      <c r="J712" s="7"/>
      <c r="K712" s="7"/>
      <c r="L712" s="7"/>
      <c r="M712" s="7"/>
      <c r="N712" s="7"/>
      <c r="O712" s="7"/>
      <c r="P712" s="7"/>
      <c r="Q712" s="55"/>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c r="BZ712" s="41"/>
      <c r="CA712" s="7"/>
      <c r="CB712" s="7"/>
      <c r="CC712" s="7"/>
      <c r="CD712" s="7"/>
      <c r="CE712" s="7"/>
      <c r="CF712" s="7"/>
    </row>
    <row r="713">
      <c r="A713" s="7"/>
      <c r="B713" s="55"/>
      <c r="C713" s="7"/>
      <c r="D713" s="7"/>
      <c r="E713" s="7"/>
      <c r="F713" s="7"/>
      <c r="G713" s="55"/>
      <c r="H713" s="7"/>
      <c r="I713" s="7"/>
      <c r="J713" s="7"/>
      <c r="K713" s="7"/>
      <c r="L713" s="7"/>
      <c r="M713" s="7"/>
      <c r="N713" s="7"/>
      <c r="O713" s="7"/>
      <c r="P713" s="7"/>
      <c r="Q713" s="55"/>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41"/>
      <c r="CA713" s="7"/>
      <c r="CB713" s="7"/>
      <c r="CC713" s="7"/>
      <c r="CD713" s="7"/>
      <c r="CE713" s="7"/>
      <c r="CF713" s="7"/>
    </row>
    <row r="714">
      <c r="A714" s="7"/>
      <c r="B714" s="55"/>
      <c r="C714" s="7"/>
      <c r="D714" s="7"/>
      <c r="E714" s="7"/>
      <c r="F714" s="7"/>
      <c r="G714" s="55"/>
      <c r="H714" s="7"/>
      <c r="I714" s="7"/>
      <c r="J714" s="7"/>
      <c r="K714" s="7"/>
      <c r="L714" s="7"/>
      <c r="M714" s="7"/>
      <c r="N714" s="7"/>
      <c r="O714" s="7"/>
      <c r="P714" s="7"/>
      <c r="Q714" s="55"/>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c r="BZ714" s="41"/>
      <c r="CA714" s="7"/>
      <c r="CB714" s="7"/>
      <c r="CC714" s="7"/>
      <c r="CD714" s="7"/>
      <c r="CE714" s="7"/>
      <c r="CF714" s="7"/>
    </row>
    <row r="715">
      <c r="A715" s="7"/>
      <c r="B715" s="55"/>
      <c r="C715" s="7"/>
      <c r="D715" s="7"/>
      <c r="E715" s="7"/>
      <c r="F715" s="7"/>
      <c r="G715" s="55"/>
      <c r="H715" s="7"/>
      <c r="I715" s="7"/>
      <c r="J715" s="7"/>
      <c r="K715" s="7"/>
      <c r="L715" s="7"/>
      <c r="M715" s="7"/>
      <c r="N715" s="7"/>
      <c r="O715" s="7"/>
      <c r="P715" s="7"/>
      <c r="Q715" s="55"/>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41"/>
      <c r="CA715" s="7"/>
      <c r="CB715" s="7"/>
      <c r="CC715" s="7"/>
      <c r="CD715" s="7"/>
      <c r="CE715" s="7"/>
      <c r="CF715" s="7"/>
    </row>
    <row r="716">
      <c r="A716" s="7"/>
      <c r="B716" s="55"/>
      <c r="C716" s="7"/>
      <c r="D716" s="7"/>
      <c r="E716" s="7"/>
      <c r="F716" s="7"/>
      <c r="G716" s="55"/>
      <c r="H716" s="7"/>
      <c r="I716" s="7"/>
      <c r="J716" s="7"/>
      <c r="K716" s="7"/>
      <c r="L716" s="7"/>
      <c r="M716" s="7"/>
      <c r="N716" s="7"/>
      <c r="O716" s="7"/>
      <c r="P716" s="7"/>
      <c r="Q716" s="55"/>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c r="BZ716" s="41"/>
      <c r="CA716" s="7"/>
      <c r="CB716" s="7"/>
      <c r="CC716" s="7"/>
      <c r="CD716" s="7"/>
      <c r="CE716" s="7"/>
      <c r="CF716" s="7"/>
    </row>
    <row r="717">
      <c r="A717" s="7"/>
      <c r="B717" s="55"/>
      <c r="C717" s="7"/>
      <c r="D717" s="7"/>
      <c r="E717" s="7"/>
      <c r="F717" s="7"/>
      <c r="G717" s="55"/>
      <c r="H717" s="7"/>
      <c r="I717" s="7"/>
      <c r="J717" s="7"/>
      <c r="K717" s="7"/>
      <c r="L717" s="7"/>
      <c r="M717" s="7"/>
      <c r="N717" s="7"/>
      <c r="O717" s="7"/>
      <c r="P717" s="7"/>
      <c r="Q717" s="55"/>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41"/>
      <c r="CA717" s="7"/>
      <c r="CB717" s="7"/>
      <c r="CC717" s="7"/>
      <c r="CD717" s="7"/>
      <c r="CE717" s="7"/>
      <c r="CF717" s="7"/>
    </row>
    <row r="718">
      <c r="A718" s="7"/>
      <c r="B718" s="55"/>
      <c r="C718" s="7"/>
      <c r="D718" s="7"/>
      <c r="E718" s="7"/>
      <c r="F718" s="7"/>
      <c r="G718" s="55"/>
      <c r="H718" s="7"/>
      <c r="I718" s="7"/>
      <c r="J718" s="7"/>
      <c r="K718" s="7"/>
      <c r="L718" s="7"/>
      <c r="M718" s="7"/>
      <c r="N718" s="7"/>
      <c r="O718" s="7"/>
      <c r="P718" s="7"/>
      <c r="Q718" s="55"/>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c r="BZ718" s="41"/>
      <c r="CA718" s="7"/>
      <c r="CB718" s="7"/>
      <c r="CC718" s="7"/>
      <c r="CD718" s="7"/>
      <c r="CE718" s="7"/>
      <c r="CF718" s="7"/>
    </row>
    <row r="719">
      <c r="A719" s="7"/>
      <c r="B719" s="55"/>
      <c r="C719" s="7"/>
      <c r="D719" s="7"/>
      <c r="E719" s="7"/>
      <c r="F719" s="7"/>
      <c r="G719" s="55"/>
      <c r="H719" s="7"/>
      <c r="I719" s="7"/>
      <c r="J719" s="7"/>
      <c r="K719" s="7"/>
      <c r="L719" s="7"/>
      <c r="M719" s="7"/>
      <c r="N719" s="7"/>
      <c r="O719" s="7"/>
      <c r="P719" s="7"/>
      <c r="Q719" s="55"/>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41"/>
      <c r="CA719" s="7"/>
      <c r="CB719" s="7"/>
      <c r="CC719" s="7"/>
      <c r="CD719" s="7"/>
      <c r="CE719" s="7"/>
      <c r="CF719" s="7"/>
    </row>
    <row r="720">
      <c r="A720" s="7"/>
      <c r="B720" s="55"/>
      <c r="C720" s="7"/>
      <c r="D720" s="7"/>
      <c r="E720" s="7"/>
      <c r="F720" s="7"/>
      <c r="G720" s="55"/>
      <c r="H720" s="7"/>
      <c r="I720" s="7"/>
      <c r="J720" s="7"/>
      <c r="K720" s="7"/>
      <c r="L720" s="7"/>
      <c r="M720" s="7"/>
      <c r="N720" s="7"/>
      <c r="O720" s="7"/>
      <c r="P720" s="7"/>
      <c r="Q720" s="55"/>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c r="BZ720" s="41"/>
      <c r="CA720" s="7"/>
      <c r="CB720" s="7"/>
      <c r="CC720" s="7"/>
      <c r="CD720" s="7"/>
      <c r="CE720" s="7"/>
      <c r="CF720" s="7"/>
    </row>
    <row r="721">
      <c r="A721" s="7"/>
      <c r="B721" s="55"/>
      <c r="C721" s="7"/>
      <c r="D721" s="7"/>
      <c r="E721" s="7"/>
      <c r="F721" s="7"/>
      <c r="G721" s="55"/>
      <c r="H721" s="7"/>
      <c r="I721" s="7"/>
      <c r="J721" s="7"/>
      <c r="K721" s="7"/>
      <c r="L721" s="7"/>
      <c r="M721" s="7"/>
      <c r="N721" s="7"/>
      <c r="O721" s="7"/>
      <c r="P721" s="7"/>
      <c r="Q721" s="55"/>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41"/>
      <c r="CA721" s="7"/>
      <c r="CB721" s="7"/>
      <c r="CC721" s="7"/>
      <c r="CD721" s="7"/>
      <c r="CE721" s="7"/>
      <c r="CF721" s="7"/>
    </row>
    <row r="722">
      <c r="A722" s="7"/>
      <c r="B722" s="55"/>
      <c r="C722" s="7"/>
      <c r="D722" s="7"/>
      <c r="E722" s="7"/>
      <c r="F722" s="7"/>
      <c r="G722" s="55"/>
      <c r="H722" s="7"/>
      <c r="I722" s="7"/>
      <c r="J722" s="7"/>
      <c r="K722" s="7"/>
      <c r="L722" s="7"/>
      <c r="M722" s="7"/>
      <c r="N722" s="7"/>
      <c r="O722" s="7"/>
      <c r="P722" s="7"/>
      <c r="Q722" s="55"/>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c r="BX722" s="7"/>
      <c r="BY722" s="7"/>
      <c r="BZ722" s="41"/>
      <c r="CA722" s="7"/>
      <c r="CB722" s="7"/>
      <c r="CC722" s="7"/>
      <c r="CD722" s="7"/>
      <c r="CE722" s="7"/>
      <c r="CF722" s="7"/>
    </row>
    <row r="723">
      <c r="A723" s="7"/>
      <c r="B723" s="55"/>
      <c r="C723" s="7"/>
      <c r="D723" s="7"/>
      <c r="E723" s="7"/>
      <c r="F723" s="7"/>
      <c r="G723" s="55"/>
      <c r="H723" s="7"/>
      <c r="I723" s="7"/>
      <c r="J723" s="7"/>
      <c r="K723" s="7"/>
      <c r="L723" s="7"/>
      <c r="M723" s="7"/>
      <c r="N723" s="7"/>
      <c r="O723" s="7"/>
      <c r="P723" s="7"/>
      <c r="Q723" s="55"/>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41"/>
      <c r="CA723" s="7"/>
      <c r="CB723" s="7"/>
      <c r="CC723" s="7"/>
      <c r="CD723" s="7"/>
      <c r="CE723" s="7"/>
      <c r="CF723" s="7"/>
    </row>
    <row r="724">
      <c r="A724" s="7"/>
      <c r="B724" s="55"/>
      <c r="C724" s="7"/>
      <c r="D724" s="7"/>
      <c r="E724" s="7"/>
      <c r="F724" s="7"/>
      <c r="G724" s="55"/>
      <c r="H724" s="7"/>
      <c r="I724" s="7"/>
      <c r="J724" s="7"/>
      <c r="K724" s="7"/>
      <c r="L724" s="7"/>
      <c r="M724" s="7"/>
      <c r="N724" s="7"/>
      <c r="O724" s="7"/>
      <c r="P724" s="7"/>
      <c r="Q724" s="55"/>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c r="BZ724" s="41"/>
      <c r="CA724" s="7"/>
      <c r="CB724" s="7"/>
      <c r="CC724" s="7"/>
      <c r="CD724" s="7"/>
      <c r="CE724" s="7"/>
      <c r="CF724" s="7"/>
    </row>
    <row r="725">
      <c r="A725" s="7"/>
      <c r="B725" s="55"/>
      <c r="C725" s="7"/>
      <c r="D725" s="7"/>
      <c r="E725" s="7"/>
      <c r="F725" s="7"/>
      <c r="G725" s="55"/>
      <c r="H725" s="7"/>
      <c r="I725" s="7"/>
      <c r="J725" s="7"/>
      <c r="K725" s="7"/>
      <c r="L725" s="7"/>
      <c r="M725" s="7"/>
      <c r="N725" s="7"/>
      <c r="O725" s="7"/>
      <c r="P725" s="7"/>
      <c r="Q725" s="55"/>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41"/>
      <c r="CA725" s="7"/>
      <c r="CB725" s="7"/>
      <c r="CC725" s="7"/>
      <c r="CD725" s="7"/>
      <c r="CE725" s="7"/>
      <c r="CF725" s="7"/>
    </row>
    <row r="726">
      <c r="A726" s="7"/>
      <c r="B726" s="55"/>
      <c r="C726" s="7"/>
      <c r="D726" s="7"/>
      <c r="E726" s="7"/>
      <c r="F726" s="7"/>
      <c r="G726" s="55"/>
      <c r="H726" s="7"/>
      <c r="I726" s="7"/>
      <c r="J726" s="7"/>
      <c r="K726" s="7"/>
      <c r="L726" s="7"/>
      <c r="M726" s="7"/>
      <c r="N726" s="7"/>
      <c r="O726" s="7"/>
      <c r="P726" s="7"/>
      <c r="Q726" s="55"/>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c r="BX726" s="7"/>
      <c r="BY726" s="7"/>
      <c r="BZ726" s="41"/>
      <c r="CA726" s="7"/>
      <c r="CB726" s="7"/>
      <c r="CC726" s="7"/>
      <c r="CD726" s="7"/>
      <c r="CE726" s="7"/>
      <c r="CF726" s="7"/>
    </row>
    <row r="727">
      <c r="A727" s="7"/>
      <c r="B727" s="55"/>
      <c r="C727" s="7"/>
      <c r="D727" s="7"/>
      <c r="E727" s="7"/>
      <c r="F727" s="7"/>
      <c r="G727" s="55"/>
      <c r="H727" s="7"/>
      <c r="I727" s="7"/>
      <c r="J727" s="7"/>
      <c r="K727" s="7"/>
      <c r="L727" s="7"/>
      <c r="M727" s="7"/>
      <c r="N727" s="7"/>
      <c r="O727" s="7"/>
      <c r="P727" s="7"/>
      <c r="Q727" s="55"/>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41"/>
      <c r="CA727" s="7"/>
      <c r="CB727" s="7"/>
      <c r="CC727" s="7"/>
      <c r="CD727" s="7"/>
      <c r="CE727" s="7"/>
      <c r="CF727" s="7"/>
    </row>
    <row r="728">
      <c r="A728" s="7"/>
      <c r="B728" s="55"/>
      <c r="C728" s="7"/>
      <c r="D728" s="7"/>
      <c r="E728" s="7"/>
      <c r="F728" s="7"/>
      <c r="G728" s="55"/>
      <c r="H728" s="7"/>
      <c r="I728" s="7"/>
      <c r="J728" s="7"/>
      <c r="K728" s="7"/>
      <c r="L728" s="7"/>
      <c r="M728" s="7"/>
      <c r="N728" s="7"/>
      <c r="O728" s="7"/>
      <c r="P728" s="7"/>
      <c r="Q728" s="55"/>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c r="BX728" s="7"/>
      <c r="BY728" s="7"/>
      <c r="BZ728" s="41"/>
      <c r="CA728" s="7"/>
      <c r="CB728" s="7"/>
      <c r="CC728" s="7"/>
      <c r="CD728" s="7"/>
      <c r="CE728" s="7"/>
      <c r="CF728" s="7"/>
    </row>
    <row r="729">
      <c r="A729" s="7"/>
      <c r="B729" s="55"/>
      <c r="C729" s="7"/>
      <c r="D729" s="7"/>
      <c r="E729" s="7"/>
      <c r="F729" s="7"/>
      <c r="G729" s="55"/>
      <c r="H729" s="7"/>
      <c r="I729" s="7"/>
      <c r="J729" s="7"/>
      <c r="K729" s="7"/>
      <c r="L729" s="7"/>
      <c r="M729" s="7"/>
      <c r="N729" s="7"/>
      <c r="O729" s="7"/>
      <c r="P729" s="7"/>
      <c r="Q729" s="55"/>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41"/>
      <c r="CA729" s="7"/>
      <c r="CB729" s="7"/>
      <c r="CC729" s="7"/>
      <c r="CD729" s="7"/>
      <c r="CE729" s="7"/>
      <c r="CF729" s="7"/>
    </row>
    <row r="730">
      <c r="A730" s="7"/>
      <c r="B730" s="55"/>
      <c r="C730" s="7"/>
      <c r="D730" s="7"/>
      <c r="E730" s="7"/>
      <c r="F730" s="7"/>
      <c r="G730" s="55"/>
      <c r="H730" s="7"/>
      <c r="I730" s="7"/>
      <c r="J730" s="7"/>
      <c r="K730" s="7"/>
      <c r="L730" s="7"/>
      <c r="M730" s="7"/>
      <c r="N730" s="7"/>
      <c r="O730" s="7"/>
      <c r="P730" s="7"/>
      <c r="Q730" s="55"/>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c r="BX730" s="7"/>
      <c r="BY730" s="7"/>
      <c r="BZ730" s="41"/>
      <c r="CA730" s="7"/>
      <c r="CB730" s="7"/>
      <c r="CC730" s="7"/>
      <c r="CD730" s="7"/>
      <c r="CE730" s="7"/>
      <c r="CF730" s="7"/>
    </row>
    <row r="731">
      <c r="A731" s="7"/>
      <c r="B731" s="55"/>
      <c r="C731" s="7"/>
      <c r="D731" s="7"/>
      <c r="E731" s="7"/>
      <c r="F731" s="7"/>
      <c r="G731" s="55"/>
      <c r="H731" s="7"/>
      <c r="I731" s="7"/>
      <c r="J731" s="7"/>
      <c r="K731" s="7"/>
      <c r="L731" s="7"/>
      <c r="M731" s="7"/>
      <c r="N731" s="7"/>
      <c r="O731" s="7"/>
      <c r="P731" s="7"/>
      <c r="Q731" s="55"/>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41"/>
      <c r="CA731" s="7"/>
      <c r="CB731" s="7"/>
      <c r="CC731" s="7"/>
      <c r="CD731" s="7"/>
      <c r="CE731" s="7"/>
      <c r="CF731" s="7"/>
    </row>
    <row r="732">
      <c r="A732" s="7"/>
      <c r="B732" s="55"/>
      <c r="C732" s="7"/>
      <c r="D732" s="7"/>
      <c r="E732" s="7"/>
      <c r="F732" s="7"/>
      <c r="G732" s="55"/>
      <c r="H732" s="7"/>
      <c r="I732" s="7"/>
      <c r="J732" s="7"/>
      <c r="K732" s="7"/>
      <c r="L732" s="7"/>
      <c r="M732" s="7"/>
      <c r="N732" s="7"/>
      <c r="O732" s="7"/>
      <c r="P732" s="7"/>
      <c r="Q732" s="55"/>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c r="BX732" s="7"/>
      <c r="BY732" s="7"/>
      <c r="BZ732" s="41"/>
      <c r="CA732" s="7"/>
      <c r="CB732" s="7"/>
      <c r="CC732" s="7"/>
      <c r="CD732" s="7"/>
      <c r="CE732" s="7"/>
      <c r="CF732" s="7"/>
    </row>
    <row r="733">
      <c r="A733" s="7"/>
      <c r="B733" s="55"/>
      <c r="C733" s="7"/>
      <c r="D733" s="7"/>
      <c r="E733" s="7"/>
      <c r="F733" s="7"/>
      <c r="G733" s="55"/>
      <c r="H733" s="7"/>
      <c r="I733" s="7"/>
      <c r="J733" s="7"/>
      <c r="K733" s="7"/>
      <c r="L733" s="7"/>
      <c r="M733" s="7"/>
      <c r="N733" s="7"/>
      <c r="O733" s="7"/>
      <c r="P733" s="7"/>
      <c r="Q733" s="55"/>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41"/>
      <c r="CA733" s="7"/>
      <c r="CB733" s="7"/>
      <c r="CC733" s="7"/>
      <c r="CD733" s="7"/>
      <c r="CE733" s="7"/>
      <c r="CF733" s="7"/>
    </row>
    <row r="734">
      <c r="A734" s="7"/>
      <c r="B734" s="55"/>
      <c r="C734" s="7"/>
      <c r="D734" s="7"/>
      <c r="E734" s="7"/>
      <c r="F734" s="7"/>
      <c r="G734" s="55"/>
      <c r="H734" s="7"/>
      <c r="I734" s="7"/>
      <c r="J734" s="7"/>
      <c r="K734" s="7"/>
      <c r="L734" s="7"/>
      <c r="M734" s="7"/>
      <c r="N734" s="7"/>
      <c r="O734" s="7"/>
      <c r="P734" s="7"/>
      <c r="Q734" s="55"/>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41"/>
      <c r="CA734" s="7"/>
      <c r="CB734" s="7"/>
      <c r="CC734" s="7"/>
      <c r="CD734" s="7"/>
      <c r="CE734" s="7"/>
      <c r="CF734" s="7"/>
    </row>
    <row r="735">
      <c r="A735" s="7"/>
      <c r="B735" s="55"/>
      <c r="C735" s="7"/>
      <c r="D735" s="7"/>
      <c r="E735" s="7"/>
      <c r="F735" s="7"/>
      <c r="G735" s="55"/>
      <c r="H735" s="7"/>
      <c r="I735" s="7"/>
      <c r="J735" s="7"/>
      <c r="K735" s="7"/>
      <c r="L735" s="7"/>
      <c r="M735" s="7"/>
      <c r="N735" s="7"/>
      <c r="O735" s="7"/>
      <c r="P735" s="7"/>
      <c r="Q735" s="55"/>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41"/>
      <c r="CA735" s="7"/>
      <c r="CB735" s="7"/>
      <c r="CC735" s="7"/>
      <c r="CD735" s="7"/>
      <c r="CE735" s="7"/>
      <c r="CF735" s="7"/>
    </row>
    <row r="736">
      <c r="A736" s="7"/>
      <c r="B736" s="55"/>
      <c r="C736" s="7"/>
      <c r="D736" s="7"/>
      <c r="E736" s="7"/>
      <c r="F736" s="7"/>
      <c r="G736" s="55"/>
      <c r="H736" s="7"/>
      <c r="I736" s="7"/>
      <c r="J736" s="7"/>
      <c r="K736" s="7"/>
      <c r="L736" s="7"/>
      <c r="M736" s="7"/>
      <c r="N736" s="7"/>
      <c r="O736" s="7"/>
      <c r="P736" s="7"/>
      <c r="Q736" s="55"/>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c r="BX736" s="7"/>
      <c r="BY736" s="7"/>
      <c r="BZ736" s="41"/>
      <c r="CA736" s="7"/>
      <c r="CB736" s="7"/>
      <c r="CC736" s="7"/>
      <c r="CD736" s="7"/>
      <c r="CE736" s="7"/>
      <c r="CF736" s="7"/>
    </row>
    <row r="737">
      <c r="A737" s="7"/>
      <c r="B737" s="55"/>
      <c r="C737" s="7"/>
      <c r="D737" s="7"/>
      <c r="E737" s="7"/>
      <c r="F737" s="7"/>
      <c r="G737" s="55"/>
      <c r="H737" s="7"/>
      <c r="I737" s="7"/>
      <c r="J737" s="7"/>
      <c r="K737" s="7"/>
      <c r="L737" s="7"/>
      <c r="M737" s="7"/>
      <c r="N737" s="7"/>
      <c r="O737" s="7"/>
      <c r="P737" s="7"/>
      <c r="Q737" s="55"/>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41"/>
      <c r="CA737" s="7"/>
      <c r="CB737" s="7"/>
      <c r="CC737" s="7"/>
      <c r="CD737" s="7"/>
      <c r="CE737" s="7"/>
      <c r="CF737" s="7"/>
    </row>
    <row r="738">
      <c r="A738" s="7"/>
      <c r="B738" s="55"/>
      <c r="C738" s="7"/>
      <c r="D738" s="7"/>
      <c r="E738" s="7"/>
      <c r="F738" s="7"/>
      <c r="G738" s="55"/>
      <c r="H738" s="7"/>
      <c r="I738" s="7"/>
      <c r="J738" s="7"/>
      <c r="K738" s="7"/>
      <c r="L738" s="7"/>
      <c r="M738" s="7"/>
      <c r="N738" s="7"/>
      <c r="O738" s="7"/>
      <c r="P738" s="7"/>
      <c r="Q738" s="55"/>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c r="BZ738" s="41"/>
      <c r="CA738" s="7"/>
      <c r="CB738" s="7"/>
      <c r="CC738" s="7"/>
      <c r="CD738" s="7"/>
      <c r="CE738" s="7"/>
      <c r="CF738" s="7"/>
    </row>
    <row r="739">
      <c r="A739" s="7"/>
      <c r="B739" s="55"/>
      <c r="C739" s="7"/>
      <c r="D739" s="7"/>
      <c r="E739" s="7"/>
      <c r="F739" s="7"/>
      <c r="G739" s="55"/>
      <c r="H739" s="7"/>
      <c r="I739" s="7"/>
      <c r="J739" s="7"/>
      <c r="K739" s="7"/>
      <c r="L739" s="7"/>
      <c r="M739" s="7"/>
      <c r="N739" s="7"/>
      <c r="O739" s="7"/>
      <c r="P739" s="7"/>
      <c r="Q739" s="55"/>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41"/>
      <c r="CA739" s="7"/>
      <c r="CB739" s="7"/>
      <c r="CC739" s="7"/>
      <c r="CD739" s="7"/>
      <c r="CE739" s="7"/>
      <c r="CF739" s="7"/>
    </row>
    <row r="740">
      <c r="A740" s="7"/>
      <c r="B740" s="55"/>
      <c r="C740" s="7"/>
      <c r="D740" s="7"/>
      <c r="E740" s="7"/>
      <c r="F740" s="7"/>
      <c r="G740" s="55"/>
      <c r="H740" s="7"/>
      <c r="I740" s="7"/>
      <c r="J740" s="7"/>
      <c r="K740" s="7"/>
      <c r="L740" s="7"/>
      <c r="M740" s="7"/>
      <c r="N740" s="7"/>
      <c r="O740" s="7"/>
      <c r="P740" s="7"/>
      <c r="Q740" s="55"/>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c r="BZ740" s="41"/>
      <c r="CA740" s="7"/>
      <c r="CB740" s="7"/>
      <c r="CC740" s="7"/>
      <c r="CD740" s="7"/>
      <c r="CE740" s="7"/>
      <c r="CF740" s="7"/>
    </row>
    <row r="741">
      <c r="A741" s="7"/>
      <c r="B741" s="55"/>
      <c r="C741" s="7"/>
      <c r="D741" s="7"/>
      <c r="E741" s="7"/>
      <c r="F741" s="7"/>
      <c r="G741" s="55"/>
      <c r="H741" s="7"/>
      <c r="I741" s="7"/>
      <c r="J741" s="7"/>
      <c r="K741" s="7"/>
      <c r="L741" s="7"/>
      <c r="M741" s="7"/>
      <c r="N741" s="7"/>
      <c r="O741" s="7"/>
      <c r="P741" s="7"/>
      <c r="Q741" s="55"/>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41"/>
      <c r="CA741" s="7"/>
      <c r="CB741" s="7"/>
      <c r="CC741" s="7"/>
      <c r="CD741" s="7"/>
      <c r="CE741" s="7"/>
      <c r="CF741" s="7"/>
    </row>
    <row r="742">
      <c r="A742" s="7"/>
      <c r="B742" s="55"/>
      <c r="C742" s="7"/>
      <c r="D742" s="7"/>
      <c r="E742" s="7"/>
      <c r="F742" s="7"/>
      <c r="G742" s="55"/>
      <c r="H742" s="7"/>
      <c r="I742" s="7"/>
      <c r="J742" s="7"/>
      <c r="K742" s="7"/>
      <c r="L742" s="7"/>
      <c r="M742" s="7"/>
      <c r="N742" s="7"/>
      <c r="O742" s="7"/>
      <c r="P742" s="7"/>
      <c r="Q742" s="55"/>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c r="BZ742" s="41"/>
      <c r="CA742" s="7"/>
      <c r="CB742" s="7"/>
      <c r="CC742" s="7"/>
      <c r="CD742" s="7"/>
      <c r="CE742" s="7"/>
      <c r="CF742" s="7"/>
    </row>
    <row r="743">
      <c r="A743" s="7"/>
      <c r="B743" s="55"/>
      <c r="C743" s="7"/>
      <c r="D743" s="7"/>
      <c r="E743" s="7"/>
      <c r="F743" s="7"/>
      <c r="G743" s="55"/>
      <c r="H743" s="7"/>
      <c r="I743" s="7"/>
      <c r="J743" s="7"/>
      <c r="K743" s="7"/>
      <c r="L743" s="7"/>
      <c r="M743" s="7"/>
      <c r="N743" s="7"/>
      <c r="O743" s="7"/>
      <c r="P743" s="7"/>
      <c r="Q743" s="55"/>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41"/>
      <c r="CA743" s="7"/>
      <c r="CB743" s="7"/>
      <c r="CC743" s="7"/>
      <c r="CD743" s="7"/>
      <c r="CE743" s="7"/>
      <c r="CF743" s="7"/>
    </row>
    <row r="744">
      <c r="A744" s="7"/>
      <c r="B744" s="55"/>
      <c r="C744" s="7"/>
      <c r="D744" s="7"/>
      <c r="E744" s="7"/>
      <c r="F744" s="7"/>
      <c r="G744" s="55"/>
      <c r="H744" s="7"/>
      <c r="I744" s="7"/>
      <c r="J744" s="7"/>
      <c r="K744" s="7"/>
      <c r="L744" s="7"/>
      <c r="M744" s="7"/>
      <c r="N744" s="7"/>
      <c r="O744" s="7"/>
      <c r="P744" s="7"/>
      <c r="Q744" s="55"/>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c r="BX744" s="7"/>
      <c r="BY744" s="7"/>
      <c r="BZ744" s="41"/>
      <c r="CA744" s="7"/>
      <c r="CB744" s="7"/>
      <c r="CC744" s="7"/>
      <c r="CD744" s="7"/>
      <c r="CE744" s="7"/>
      <c r="CF744" s="7"/>
    </row>
    <row r="745">
      <c r="A745" s="7"/>
      <c r="B745" s="55"/>
      <c r="C745" s="7"/>
      <c r="D745" s="7"/>
      <c r="E745" s="7"/>
      <c r="F745" s="7"/>
      <c r="G745" s="55"/>
      <c r="H745" s="7"/>
      <c r="I745" s="7"/>
      <c r="J745" s="7"/>
      <c r="K745" s="7"/>
      <c r="L745" s="7"/>
      <c r="M745" s="7"/>
      <c r="N745" s="7"/>
      <c r="O745" s="7"/>
      <c r="P745" s="7"/>
      <c r="Q745" s="55"/>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41"/>
      <c r="CA745" s="7"/>
      <c r="CB745" s="7"/>
      <c r="CC745" s="7"/>
      <c r="CD745" s="7"/>
      <c r="CE745" s="7"/>
      <c r="CF745" s="7"/>
    </row>
    <row r="746">
      <c r="A746" s="7"/>
      <c r="B746" s="55"/>
      <c r="C746" s="7"/>
      <c r="D746" s="7"/>
      <c r="E746" s="7"/>
      <c r="F746" s="7"/>
      <c r="G746" s="55"/>
      <c r="H746" s="7"/>
      <c r="I746" s="7"/>
      <c r="J746" s="7"/>
      <c r="K746" s="7"/>
      <c r="L746" s="7"/>
      <c r="M746" s="7"/>
      <c r="N746" s="7"/>
      <c r="O746" s="7"/>
      <c r="P746" s="7"/>
      <c r="Q746" s="55"/>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c r="BX746" s="7"/>
      <c r="BY746" s="7"/>
      <c r="BZ746" s="41"/>
      <c r="CA746" s="7"/>
      <c r="CB746" s="7"/>
      <c r="CC746" s="7"/>
      <c r="CD746" s="7"/>
      <c r="CE746" s="7"/>
      <c r="CF746" s="7"/>
    </row>
    <row r="747">
      <c r="A747" s="7"/>
      <c r="B747" s="55"/>
      <c r="C747" s="7"/>
      <c r="D747" s="7"/>
      <c r="E747" s="7"/>
      <c r="F747" s="7"/>
      <c r="G747" s="55"/>
      <c r="H747" s="7"/>
      <c r="I747" s="7"/>
      <c r="J747" s="7"/>
      <c r="K747" s="7"/>
      <c r="L747" s="7"/>
      <c r="M747" s="7"/>
      <c r="N747" s="7"/>
      <c r="O747" s="7"/>
      <c r="P747" s="7"/>
      <c r="Q747" s="55"/>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41"/>
      <c r="CA747" s="7"/>
      <c r="CB747" s="7"/>
      <c r="CC747" s="7"/>
      <c r="CD747" s="7"/>
      <c r="CE747" s="7"/>
      <c r="CF747" s="7"/>
    </row>
    <row r="748">
      <c r="A748" s="7"/>
      <c r="B748" s="55"/>
      <c r="C748" s="7"/>
      <c r="D748" s="7"/>
      <c r="E748" s="7"/>
      <c r="F748" s="7"/>
      <c r="G748" s="55"/>
      <c r="H748" s="7"/>
      <c r="I748" s="7"/>
      <c r="J748" s="7"/>
      <c r="K748" s="7"/>
      <c r="L748" s="7"/>
      <c r="M748" s="7"/>
      <c r="N748" s="7"/>
      <c r="O748" s="7"/>
      <c r="P748" s="7"/>
      <c r="Q748" s="55"/>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c r="BZ748" s="41"/>
      <c r="CA748" s="7"/>
      <c r="CB748" s="7"/>
      <c r="CC748" s="7"/>
      <c r="CD748" s="7"/>
      <c r="CE748" s="7"/>
      <c r="CF748" s="7"/>
    </row>
    <row r="749">
      <c r="A749" s="7"/>
      <c r="B749" s="55"/>
      <c r="C749" s="7"/>
      <c r="D749" s="7"/>
      <c r="E749" s="7"/>
      <c r="F749" s="7"/>
      <c r="G749" s="55"/>
      <c r="H749" s="7"/>
      <c r="I749" s="7"/>
      <c r="J749" s="7"/>
      <c r="K749" s="7"/>
      <c r="L749" s="7"/>
      <c r="M749" s="7"/>
      <c r="N749" s="7"/>
      <c r="O749" s="7"/>
      <c r="P749" s="7"/>
      <c r="Q749" s="55"/>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c r="BZ749" s="41"/>
      <c r="CA749" s="7"/>
      <c r="CB749" s="7"/>
      <c r="CC749" s="7"/>
      <c r="CD749" s="7"/>
      <c r="CE749" s="7"/>
      <c r="CF749" s="7"/>
    </row>
    <row r="750">
      <c r="A750" s="7"/>
      <c r="B750" s="55"/>
      <c r="C750" s="7"/>
      <c r="D750" s="7"/>
      <c r="E750" s="7"/>
      <c r="F750" s="7"/>
      <c r="G750" s="55"/>
      <c r="H750" s="7"/>
      <c r="I750" s="7"/>
      <c r="J750" s="7"/>
      <c r="K750" s="7"/>
      <c r="L750" s="7"/>
      <c r="M750" s="7"/>
      <c r="N750" s="7"/>
      <c r="O750" s="7"/>
      <c r="P750" s="7"/>
      <c r="Q750" s="55"/>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c r="BN750" s="7"/>
      <c r="BO750" s="7"/>
      <c r="BP750" s="7"/>
      <c r="BQ750" s="7"/>
      <c r="BR750" s="7"/>
      <c r="BS750" s="7"/>
      <c r="BT750" s="7"/>
      <c r="BU750" s="7"/>
      <c r="BV750" s="7"/>
      <c r="BW750" s="7"/>
      <c r="BX750" s="7"/>
      <c r="BY750" s="7"/>
      <c r="BZ750" s="41"/>
      <c r="CA750" s="7"/>
      <c r="CB750" s="7"/>
      <c r="CC750" s="7"/>
      <c r="CD750" s="7"/>
      <c r="CE750" s="7"/>
      <c r="CF750" s="7"/>
    </row>
    <row r="751">
      <c r="A751" s="7"/>
      <c r="B751" s="55"/>
      <c r="C751" s="7"/>
      <c r="D751" s="7"/>
      <c r="E751" s="7"/>
      <c r="F751" s="7"/>
      <c r="G751" s="55"/>
      <c r="H751" s="7"/>
      <c r="I751" s="7"/>
      <c r="J751" s="7"/>
      <c r="K751" s="7"/>
      <c r="L751" s="7"/>
      <c r="M751" s="7"/>
      <c r="N751" s="7"/>
      <c r="O751" s="7"/>
      <c r="P751" s="7"/>
      <c r="Q751" s="55"/>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41"/>
      <c r="CA751" s="7"/>
      <c r="CB751" s="7"/>
      <c r="CC751" s="7"/>
      <c r="CD751" s="7"/>
      <c r="CE751" s="7"/>
      <c r="CF751" s="7"/>
    </row>
    <row r="752">
      <c r="A752" s="7"/>
      <c r="B752" s="55"/>
      <c r="C752" s="7"/>
      <c r="D752" s="7"/>
      <c r="E752" s="7"/>
      <c r="F752" s="7"/>
      <c r="G752" s="55"/>
      <c r="H752" s="7"/>
      <c r="I752" s="7"/>
      <c r="J752" s="7"/>
      <c r="K752" s="7"/>
      <c r="L752" s="7"/>
      <c r="M752" s="7"/>
      <c r="N752" s="7"/>
      <c r="O752" s="7"/>
      <c r="P752" s="7"/>
      <c r="Q752" s="55"/>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c r="BN752" s="7"/>
      <c r="BO752" s="7"/>
      <c r="BP752" s="7"/>
      <c r="BQ752" s="7"/>
      <c r="BR752" s="7"/>
      <c r="BS752" s="7"/>
      <c r="BT752" s="7"/>
      <c r="BU752" s="7"/>
      <c r="BV752" s="7"/>
      <c r="BW752" s="7"/>
      <c r="BX752" s="7"/>
      <c r="BY752" s="7"/>
      <c r="BZ752" s="41"/>
      <c r="CA752" s="7"/>
      <c r="CB752" s="7"/>
      <c r="CC752" s="7"/>
      <c r="CD752" s="7"/>
      <c r="CE752" s="7"/>
      <c r="CF752" s="7"/>
    </row>
    <row r="753">
      <c r="A753" s="7"/>
      <c r="B753" s="55"/>
      <c r="C753" s="7"/>
      <c r="D753" s="7"/>
      <c r="E753" s="7"/>
      <c r="F753" s="7"/>
      <c r="G753" s="55"/>
      <c r="H753" s="7"/>
      <c r="I753" s="7"/>
      <c r="J753" s="7"/>
      <c r="K753" s="7"/>
      <c r="L753" s="7"/>
      <c r="M753" s="7"/>
      <c r="N753" s="7"/>
      <c r="O753" s="7"/>
      <c r="P753" s="7"/>
      <c r="Q753" s="55"/>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c r="BZ753" s="41"/>
      <c r="CA753" s="7"/>
      <c r="CB753" s="7"/>
      <c r="CC753" s="7"/>
      <c r="CD753" s="7"/>
      <c r="CE753" s="7"/>
      <c r="CF753" s="7"/>
    </row>
    <row r="754">
      <c r="A754" s="7"/>
      <c r="B754" s="55"/>
      <c r="C754" s="7"/>
      <c r="D754" s="7"/>
      <c r="E754" s="7"/>
      <c r="F754" s="7"/>
      <c r="G754" s="55"/>
      <c r="H754" s="7"/>
      <c r="I754" s="7"/>
      <c r="J754" s="7"/>
      <c r="K754" s="7"/>
      <c r="L754" s="7"/>
      <c r="M754" s="7"/>
      <c r="N754" s="7"/>
      <c r="O754" s="7"/>
      <c r="P754" s="7"/>
      <c r="Q754" s="55"/>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c r="BX754" s="7"/>
      <c r="BY754" s="7"/>
      <c r="BZ754" s="41"/>
      <c r="CA754" s="7"/>
      <c r="CB754" s="7"/>
      <c r="CC754" s="7"/>
      <c r="CD754" s="7"/>
      <c r="CE754" s="7"/>
      <c r="CF754" s="7"/>
    </row>
    <row r="755">
      <c r="A755" s="7"/>
      <c r="B755" s="55"/>
      <c r="C755" s="7"/>
      <c r="D755" s="7"/>
      <c r="E755" s="7"/>
      <c r="F755" s="7"/>
      <c r="G755" s="55"/>
      <c r="H755" s="7"/>
      <c r="I755" s="7"/>
      <c r="J755" s="7"/>
      <c r="K755" s="7"/>
      <c r="L755" s="7"/>
      <c r="M755" s="7"/>
      <c r="N755" s="7"/>
      <c r="O755" s="7"/>
      <c r="P755" s="7"/>
      <c r="Q755" s="55"/>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41"/>
      <c r="CA755" s="7"/>
      <c r="CB755" s="7"/>
      <c r="CC755" s="7"/>
      <c r="CD755" s="7"/>
      <c r="CE755" s="7"/>
      <c r="CF755" s="7"/>
    </row>
    <row r="756">
      <c r="A756" s="7"/>
      <c r="B756" s="55"/>
      <c r="C756" s="7"/>
      <c r="D756" s="7"/>
      <c r="E756" s="7"/>
      <c r="F756" s="7"/>
      <c r="G756" s="55"/>
      <c r="H756" s="7"/>
      <c r="I756" s="7"/>
      <c r="J756" s="7"/>
      <c r="K756" s="7"/>
      <c r="L756" s="7"/>
      <c r="M756" s="7"/>
      <c r="N756" s="7"/>
      <c r="O756" s="7"/>
      <c r="P756" s="7"/>
      <c r="Q756" s="55"/>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c r="BX756" s="7"/>
      <c r="BY756" s="7"/>
      <c r="BZ756" s="41"/>
      <c r="CA756" s="7"/>
      <c r="CB756" s="7"/>
      <c r="CC756" s="7"/>
      <c r="CD756" s="7"/>
      <c r="CE756" s="7"/>
      <c r="CF756" s="7"/>
    </row>
    <row r="757">
      <c r="A757" s="7"/>
      <c r="B757" s="55"/>
      <c r="C757" s="7"/>
      <c r="D757" s="7"/>
      <c r="E757" s="7"/>
      <c r="F757" s="7"/>
      <c r="G757" s="55"/>
      <c r="H757" s="7"/>
      <c r="I757" s="7"/>
      <c r="J757" s="7"/>
      <c r="K757" s="7"/>
      <c r="L757" s="7"/>
      <c r="M757" s="7"/>
      <c r="N757" s="7"/>
      <c r="O757" s="7"/>
      <c r="P757" s="7"/>
      <c r="Q757" s="55"/>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41"/>
      <c r="CA757" s="7"/>
      <c r="CB757" s="7"/>
      <c r="CC757" s="7"/>
      <c r="CD757" s="7"/>
      <c r="CE757" s="7"/>
      <c r="CF757" s="7"/>
    </row>
    <row r="758">
      <c r="A758" s="7"/>
      <c r="B758" s="55"/>
      <c r="C758" s="7"/>
      <c r="D758" s="7"/>
      <c r="E758" s="7"/>
      <c r="F758" s="7"/>
      <c r="G758" s="55"/>
      <c r="H758" s="7"/>
      <c r="I758" s="7"/>
      <c r="J758" s="7"/>
      <c r="K758" s="7"/>
      <c r="L758" s="7"/>
      <c r="M758" s="7"/>
      <c r="N758" s="7"/>
      <c r="O758" s="7"/>
      <c r="P758" s="7"/>
      <c r="Q758" s="55"/>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c r="BX758" s="7"/>
      <c r="BY758" s="7"/>
      <c r="BZ758" s="41"/>
      <c r="CA758" s="7"/>
      <c r="CB758" s="7"/>
      <c r="CC758" s="7"/>
      <c r="CD758" s="7"/>
      <c r="CE758" s="7"/>
      <c r="CF758" s="7"/>
    </row>
    <row r="759">
      <c r="A759" s="7"/>
      <c r="B759" s="55"/>
      <c r="C759" s="7"/>
      <c r="D759" s="7"/>
      <c r="E759" s="7"/>
      <c r="F759" s="7"/>
      <c r="G759" s="55"/>
      <c r="H759" s="7"/>
      <c r="I759" s="7"/>
      <c r="J759" s="7"/>
      <c r="K759" s="7"/>
      <c r="L759" s="7"/>
      <c r="M759" s="7"/>
      <c r="N759" s="7"/>
      <c r="O759" s="7"/>
      <c r="P759" s="7"/>
      <c r="Q759" s="55"/>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41"/>
      <c r="CA759" s="7"/>
      <c r="CB759" s="7"/>
      <c r="CC759" s="7"/>
      <c r="CD759" s="7"/>
      <c r="CE759" s="7"/>
      <c r="CF759" s="7"/>
    </row>
    <row r="760">
      <c r="A760" s="7"/>
      <c r="B760" s="55"/>
      <c r="C760" s="7"/>
      <c r="D760" s="7"/>
      <c r="E760" s="7"/>
      <c r="F760" s="7"/>
      <c r="G760" s="55"/>
      <c r="H760" s="7"/>
      <c r="I760" s="7"/>
      <c r="J760" s="7"/>
      <c r="K760" s="7"/>
      <c r="L760" s="7"/>
      <c r="M760" s="7"/>
      <c r="N760" s="7"/>
      <c r="O760" s="7"/>
      <c r="P760" s="7"/>
      <c r="Q760" s="55"/>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c r="BN760" s="7"/>
      <c r="BO760" s="7"/>
      <c r="BP760" s="7"/>
      <c r="BQ760" s="7"/>
      <c r="BR760" s="7"/>
      <c r="BS760" s="7"/>
      <c r="BT760" s="7"/>
      <c r="BU760" s="7"/>
      <c r="BV760" s="7"/>
      <c r="BW760" s="7"/>
      <c r="BX760" s="7"/>
      <c r="BY760" s="7"/>
      <c r="BZ760" s="41"/>
      <c r="CA760" s="7"/>
      <c r="CB760" s="7"/>
      <c r="CC760" s="7"/>
      <c r="CD760" s="7"/>
      <c r="CE760" s="7"/>
      <c r="CF760" s="7"/>
    </row>
    <row r="761">
      <c r="A761" s="7"/>
      <c r="B761" s="55"/>
      <c r="C761" s="7"/>
      <c r="D761" s="7"/>
      <c r="E761" s="7"/>
      <c r="F761" s="7"/>
      <c r="G761" s="55"/>
      <c r="H761" s="7"/>
      <c r="I761" s="7"/>
      <c r="J761" s="7"/>
      <c r="K761" s="7"/>
      <c r="L761" s="7"/>
      <c r="M761" s="7"/>
      <c r="N761" s="7"/>
      <c r="O761" s="7"/>
      <c r="P761" s="7"/>
      <c r="Q761" s="55"/>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41"/>
      <c r="CA761" s="7"/>
      <c r="CB761" s="7"/>
      <c r="CC761" s="7"/>
      <c r="CD761" s="7"/>
      <c r="CE761" s="7"/>
      <c r="CF761" s="7"/>
    </row>
    <row r="762">
      <c r="A762" s="7"/>
      <c r="B762" s="55"/>
      <c r="C762" s="7"/>
      <c r="D762" s="7"/>
      <c r="E762" s="7"/>
      <c r="F762" s="7"/>
      <c r="G762" s="55"/>
      <c r="H762" s="7"/>
      <c r="I762" s="7"/>
      <c r="J762" s="7"/>
      <c r="K762" s="7"/>
      <c r="L762" s="7"/>
      <c r="M762" s="7"/>
      <c r="N762" s="7"/>
      <c r="O762" s="7"/>
      <c r="P762" s="7"/>
      <c r="Q762" s="55"/>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c r="BN762" s="7"/>
      <c r="BO762" s="7"/>
      <c r="BP762" s="7"/>
      <c r="BQ762" s="7"/>
      <c r="BR762" s="7"/>
      <c r="BS762" s="7"/>
      <c r="BT762" s="7"/>
      <c r="BU762" s="7"/>
      <c r="BV762" s="7"/>
      <c r="BW762" s="7"/>
      <c r="BX762" s="7"/>
      <c r="BY762" s="7"/>
      <c r="BZ762" s="41"/>
      <c r="CA762" s="7"/>
      <c r="CB762" s="7"/>
      <c r="CC762" s="7"/>
      <c r="CD762" s="7"/>
      <c r="CE762" s="7"/>
      <c r="CF762" s="7"/>
    </row>
    <row r="763">
      <c r="A763" s="7"/>
      <c r="B763" s="55"/>
      <c r="C763" s="7"/>
      <c r="D763" s="7"/>
      <c r="E763" s="7"/>
      <c r="F763" s="7"/>
      <c r="G763" s="55"/>
      <c r="H763" s="7"/>
      <c r="I763" s="7"/>
      <c r="J763" s="7"/>
      <c r="K763" s="7"/>
      <c r="L763" s="7"/>
      <c r="M763" s="7"/>
      <c r="N763" s="7"/>
      <c r="O763" s="7"/>
      <c r="P763" s="7"/>
      <c r="Q763" s="55"/>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41"/>
      <c r="CA763" s="7"/>
      <c r="CB763" s="7"/>
      <c r="CC763" s="7"/>
      <c r="CD763" s="7"/>
      <c r="CE763" s="7"/>
      <c r="CF763" s="7"/>
    </row>
    <row r="764">
      <c r="A764" s="7"/>
      <c r="B764" s="55"/>
      <c r="C764" s="7"/>
      <c r="D764" s="7"/>
      <c r="E764" s="7"/>
      <c r="F764" s="7"/>
      <c r="G764" s="55"/>
      <c r="H764" s="7"/>
      <c r="I764" s="7"/>
      <c r="J764" s="7"/>
      <c r="K764" s="7"/>
      <c r="L764" s="7"/>
      <c r="M764" s="7"/>
      <c r="N764" s="7"/>
      <c r="O764" s="7"/>
      <c r="P764" s="7"/>
      <c r="Q764" s="55"/>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c r="BX764" s="7"/>
      <c r="BY764" s="7"/>
      <c r="BZ764" s="41"/>
      <c r="CA764" s="7"/>
      <c r="CB764" s="7"/>
      <c r="CC764" s="7"/>
      <c r="CD764" s="7"/>
      <c r="CE764" s="7"/>
      <c r="CF764" s="7"/>
    </row>
    <row r="765">
      <c r="A765" s="7"/>
      <c r="B765" s="55"/>
      <c r="C765" s="7"/>
      <c r="D765" s="7"/>
      <c r="E765" s="7"/>
      <c r="F765" s="7"/>
      <c r="G765" s="55"/>
      <c r="H765" s="7"/>
      <c r="I765" s="7"/>
      <c r="J765" s="7"/>
      <c r="K765" s="7"/>
      <c r="L765" s="7"/>
      <c r="M765" s="7"/>
      <c r="N765" s="7"/>
      <c r="O765" s="7"/>
      <c r="P765" s="7"/>
      <c r="Q765" s="55"/>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41"/>
      <c r="CA765" s="7"/>
      <c r="CB765" s="7"/>
      <c r="CC765" s="7"/>
      <c r="CD765" s="7"/>
      <c r="CE765" s="7"/>
      <c r="CF765" s="7"/>
    </row>
    <row r="766">
      <c r="A766" s="7"/>
      <c r="B766" s="55"/>
      <c r="C766" s="7"/>
      <c r="D766" s="7"/>
      <c r="E766" s="7"/>
      <c r="F766" s="7"/>
      <c r="G766" s="55"/>
      <c r="H766" s="7"/>
      <c r="I766" s="7"/>
      <c r="J766" s="7"/>
      <c r="K766" s="7"/>
      <c r="L766" s="7"/>
      <c r="M766" s="7"/>
      <c r="N766" s="7"/>
      <c r="O766" s="7"/>
      <c r="P766" s="7"/>
      <c r="Q766" s="55"/>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c r="BN766" s="7"/>
      <c r="BO766" s="7"/>
      <c r="BP766" s="7"/>
      <c r="BQ766" s="7"/>
      <c r="BR766" s="7"/>
      <c r="BS766" s="7"/>
      <c r="BT766" s="7"/>
      <c r="BU766" s="7"/>
      <c r="BV766" s="7"/>
      <c r="BW766" s="7"/>
      <c r="BX766" s="7"/>
      <c r="BY766" s="7"/>
      <c r="BZ766" s="41"/>
      <c r="CA766" s="7"/>
      <c r="CB766" s="7"/>
      <c r="CC766" s="7"/>
      <c r="CD766" s="7"/>
      <c r="CE766" s="7"/>
      <c r="CF766" s="7"/>
    </row>
    <row r="767">
      <c r="A767" s="7"/>
      <c r="B767" s="55"/>
      <c r="C767" s="7"/>
      <c r="D767" s="7"/>
      <c r="E767" s="7"/>
      <c r="F767" s="7"/>
      <c r="G767" s="55"/>
      <c r="H767" s="7"/>
      <c r="I767" s="7"/>
      <c r="J767" s="7"/>
      <c r="K767" s="7"/>
      <c r="L767" s="7"/>
      <c r="M767" s="7"/>
      <c r="N767" s="7"/>
      <c r="O767" s="7"/>
      <c r="P767" s="7"/>
      <c r="Q767" s="55"/>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c r="BZ767" s="41"/>
      <c r="CA767" s="7"/>
      <c r="CB767" s="7"/>
      <c r="CC767" s="7"/>
      <c r="CD767" s="7"/>
      <c r="CE767" s="7"/>
      <c r="CF767" s="7"/>
    </row>
    <row r="768">
      <c r="A768" s="7"/>
      <c r="B768" s="55"/>
      <c r="C768" s="7"/>
      <c r="D768" s="7"/>
      <c r="E768" s="7"/>
      <c r="F768" s="7"/>
      <c r="G768" s="55"/>
      <c r="H768" s="7"/>
      <c r="I768" s="7"/>
      <c r="J768" s="7"/>
      <c r="K768" s="7"/>
      <c r="L768" s="7"/>
      <c r="M768" s="7"/>
      <c r="N768" s="7"/>
      <c r="O768" s="7"/>
      <c r="P768" s="7"/>
      <c r="Q768" s="55"/>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c r="BN768" s="7"/>
      <c r="BO768" s="7"/>
      <c r="BP768" s="7"/>
      <c r="BQ768" s="7"/>
      <c r="BR768" s="7"/>
      <c r="BS768" s="7"/>
      <c r="BT768" s="7"/>
      <c r="BU768" s="7"/>
      <c r="BV768" s="7"/>
      <c r="BW768" s="7"/>
      <c r="BX768" s="7"/>
      <c r="BY768" s="7"/>
      <c r="BZ768" s="41"/>
      <c r="CA768" s="7"/>
      <c r="CB768" s="7"/>
      <c r="CC768" s="7"/>
      <c r="CD768" s="7"/>
      <c r="CE768" s="7"/>
      <c r="CF768" s="7"/>
    </row>
    <row r="769">
      <c r="A769" s="7"/>
      <c r="B769" s="55"/>
      <c r="C769" s="7"/>
      <c r="D769" s="7"/>
      <c r="E769" s="7"/>
      <c r="F769" s="7"/>
      <c r="G769" s="55"/>
      <c r="H769" s="7"/>
      <c r="I769" s="7"/>
      <c r="J769" s="7"/>
      <c r="K769" s="7"/>
      <c r="L769" s="7"/>
      <c r="M769" s="7"/>
      <c r="N769" s="7"/>
      <c r="O769" s="7"/>
      <c r="P769" s="7"/>
      <c r="Q769" s="55"/>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41"/>
      <c r="CA769" s="7"/>
      <c r="CB769" s="7"/>
      <c r="CC769" s="7"/>
      <c r="CD769" s="7"/>
      <c r="CE769" s="7"/>
      <c r="CF769" s="7"/>
    </row>
    <row r="770">
      <c r="A770" s="7"/>
      <c r="B770" s="55"/>
      <c r="C770" s="7"/>
      <c r="D770" s="7"/>
      <c r="E770" s="7"/>
      <c r="F770" s="7"/>
      <c r="G770" s="55"/>
      <c r="H770" s="7"/>
      <c r="I770" s="7"/>
      <c r="J770" s="7"/>
      <c r="K770" s="7"/>
      <c r="L770" s="7"/>
      <c r="M770" s="7"/>
      <c r="N770" s="7"/>
      <c r="O770" s="7"/>
      <c r="P770" s="7"/>
      <c r="Q770" s="55"/>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c r="BN770" s="7"/>
      <c r="BO770" s="7"/>
      <c r="BP770" s="7"/>
      <c r="BQ770" s="7"/>
      <c r="BR770" s="7"/>
      <c r="BS770" s="7"/>
      <c r="BT770" s="7"/>
      <c r="BU770" s="7"/>
      <c r="BV770" s="7"/>
      <c r="BW770" s="7"/>
      <c r="BX770" s="7"/>
      <c r="BY770" s="7"/>
      <c r="BZ770" s="41"/>
      <c r="CA770" s="7"/>
      <c r="CB770" s="7"/>
      <c r="CC770" s="7"/>
      <c r="CD770" s="7"/>
      <c r="CE770" s="7"/>
      <c r="CF770" s="7"/>
    </row>
    <row r="771">
      <c r="A771" s="7"/>
      <c r="B771" s="55"/>
      <c r="C771" s="7"/>
      <c r="D771" s="7"/>
      <c r="E771" s="7"/>
      <c r="F771" s="7"/>
      <c r="G771" s="55"/>
      <c r="H771" s="7"/>
      <c r="I771" s="7"/>
      <c r="J771" s="7"/>
      <c r="K771" s="7"/>
      <c r="L771" s="7"/>
      <c r="M771" s="7"/>
      <c r="N771" s="7"/>
      <c r="O771" s="7"/>
      <c r="P771" s="7"/>
      <c r="Q771" s="55"/>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c r="BZ771" s="41"/>
      <c r="CA771" s="7"/>
      <c r="CB771" s="7"/>
      <c r="CC771" s="7"/>
      <c r="CD771" s="7"/>
      <c r="CE771" s="7"/>
      <c r="CF771" s="7"/>
    </row>
    <row r="772">
      <c r="A772" s="7"/>
      <c r="B772" s="55"/>
      <c r="C772" s="7"/>
      <c r="D772" s="7"/>
      <c r="E772" s="7"/>
      <c r="F772" s="7"/>
      <c r="G772" s="55"/>
      <c r="H772" s="7"/>
      <c r="I772" s="7"/>
      <c r="J772" s="7"/>
      <c r="K772" s="7"/>
      <c r="L772" s="7"/>
      <c r="M772" s="7"/>
      <c r="N772" s="7"/>
      <c r="O772" s="7"/>
      <c r="P772" s="7"/>
      <c r="Q772" s="55"/>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c r="BN772" s="7"/>
      <c r="BO772" s="7"/>
      <c r="BP772" s="7"/>
      <c r="BQ772" s="7"/>
      <c r="BR772" s="7"/>
      <c r="BS772" s="7"/>
      <c r="BT772" s="7"/>
      <c r="BU772" s="7"/>
      <c r="BV772" s="7"/>
      <c r="BW772" s="7"/>
      <c r="BX772" s="7"/>
      <c r="BY772" s="7"/>
      <c r="BZ772" s="41"/>
      <c r="CA772" s="7"/>
      <c r="CB772" s="7"/>
      <c r="CC772" s="7"/>
      <c r="CD772" s="7"/>
      <c r="CE772" s="7"/>
      <c r="CF772" s="7"/>
    </row>
    <row r="773">
      <c r="A773" s="7"/>
      <c r="B773" s="55"/>
      <c r="C773" s="7"/>
      <c r="D773" s="7"/>
      <c r="E773" s="7"/>
      <c r="F773" s="7"/>
      <c r="G773" s="55"/>
      <c r="H773" s="7"/>
      <c r="I773" s="7"/>
      <c r="J773" s="7"/>
      <c r="K773" s="7"/>
      <c r="L773" s="7"/>
      <c r="M773" s="7"/>
      <c r="N773" s="7"/>
      <c r="O773" s="7"/>
      <c r="P773" s="7"/>
      <c r="Q773" s="55"/>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c r="BZ773" s="41"/>
      <c r="CA773" s="7"/>
      <c r="CB773" s="7"/>
      <c r="CC773" s="7"/>
      <c r="CD773" s="7"/>
      <c r="CE773" s="7"/>
      <c r="CF773" s="7"/>
    </row>
    <row r="774">
      <c r="A774" s="7"/>
      <c r="B774" s="55"/>
      <c r="C774" s="7"/>
      <c r="D774" s="7"/>
      <c r="E774" s="7"/>
      <c r="F774" s="7"/>
      <c r="G774" s="55"/>
      <c r="H774" s="7"/>
      <c r="I774" s="7"/>
      <c r="J774" s="7"/>
      <c r="K774" s="7"/>
      <c r="L774" s="7"/>
      <c r="M774" s="7"/>
      <c r="N774" s="7"/>
      <c r="O774" s="7"/>
      <c r="P774" s="7"/>
      <c r="Q774" s="55"/>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c r="BX774" s="7"/>
      <c r="BY774" s="7"/>
      <c r="BZ774" s="41"/>
      <c r="CA774" s="7"/>
      <c r="CB774" s="7"/>
      <c r="CC774" s="7"/>
      <c r="CD774" s="7"/>
      <c r="CE774" s="7"/>
      <c r="CF774" s="7"/>
    </row>
    <row r="775">
      <c r="A775" s="7"/>
      <c r="B775" s="55"/>
      <c r="C775" s="7"/>
      <c r="D775" s="7"/>
      <c r="E775" s="7"/>
      <c r="F775" s="7"/>
      <c r="G775" s="55"/>
      <c r="H775" s="7"/>
      <c r="I775" s="7"/>
      <c r="J775" s="7"/>
      <c r="K775" s="7"/>
      <c r="L775" s="7"/>
      <c r="M775" s="7"/>
      <c r="N775" s="7"/>
      <c r="O775" s="7"/>
      <c r="P775" s="7"/>
      <c r="Q775" s="55"/>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41"/>
      <c r="CA775" s="7"/>
      <c r="CB775" s="7"/>
      <c r="CC775" s="7"/>
      <c r="CD775" s="7"/>
      <c r="CE775" s="7"/>
      <c r="CF775" s="7"/>
    </row>
    <row r="776">
      <c r="A776" s="7"/>
      <c r="B776" s="55"/>
      <c r="C776" s="7"/>
      <c r="D776" s="7"/>
      <c r="E776" s="7"/>
      <c r="F776" s="7"/>
      <c r="G776" s="55"/>
      <c r="H776" s="7"/>
      <c r="I776" s="7"/>
      <c r="J776" s="7"/>
      <c r="K776" s="7"/>
      <c r="L776" s="7"/>
      <c r="M776" s="7"/>
      <c r="N776" s="7"/>
      <c r="O776" s="7"/>
      <c r="P776" s="7"/>
      <c r="Q776" s="55"/>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c r="BX776" s="7"/>
      <c r="BY776" s="7"/>
      <c r="BZ776" s="41"/>
      <c r="CA776" s="7"/>
      <c r="CB776" s="7"/>
      <c r="CC776" s="7"/>
      <c r="CD776" s="7"/>
      <c r="CE776" s="7"/>
      <c r="CF776" s="7"/>
    </row>
    <row r="777">
      <c r="A777" s="7"/>
      <c r="B777" s="55"/>
      <c r="C777" s="7"/>
      <c r="D777" s="7"/>
      <c r="E777" s="7"/>
      <c r="F777" s="7"/>
      <c r="G777" s="55"/>
      <c r="H777" s="7"/>
      <c r="I777" s="7"/>
      <c r="J777" s="7"/>
      <c r="K777" s="7"/>
      <c r="L777" s="7"/>
      <c r="M777" s="7"/>
      <c r="N777" s="7"/>
      <c r="O777" s="7"/>
      <c r="P777" s="7"/>
      <c r="Q777" s="55"/>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41"/>
      <c r="CA777" s="7"/>
      <c r="CB777" s="7"/>
      <c r="CC777" s="7"/>
      <c r="CD777" s="7"/>
      <c r="CE777" s="7"/>
      <c r="CF777" s="7"/>
    </row>
    <row r="778">
      <c r="A778" s="7"/>
      <c r="B778" s="55"/>
      <c r="C778" s="7"/>
      <c r="D778" s="7"/>
      <c r="E778" s="7"/>
      <c r="F778" s="7"/>
      <c r="G778" s="55"/>
      <c r="H778" s="7"/>
      <c r="I778" s="7"/>
      <c r="J778" s="7"/>
      <c r="K778" s="7"/>
      <c r="L778" s="7"/>
      <c r="M778" s="7"/>
      <c r="N778" s="7"/>
      <c r="O778" s="7"/>
      <c r="P778" s="7"/>
      <c r="Q778" s="55"/>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c r="BX778" s="7"/>
      <c r="BY778" s="7"/>
      <c r="BZ778" s="41"/>
      <c r="CA778" s="7"/>
      <c r="CB778" s="7"/>
      <c r="CC778" s="7"/>
      <c r="CD778" s="7"/>
      <c r="CE778" s="7"/>
      <c r="CF778" s="7"/>
    </row>
    <row r="779">
      <c r="A779" s="7"/>
      <c r="B779" s="55"/>
      <c r="C779" s="7"/>
      <c r="D779" s="7"/>
      <c r="E779" s="7"/>
      <c r="F779" s="7"/>
      <c r="G779" s="55"/>
      <c r="H779" s="7"/>
      <c r="I779" s="7"/>
      <c r="J779" s="7"/>
      <c r="K779" s="7"/>
      <c r="L779" s="7"/>
      <c r="M779" s="7"/>
      <c r="N779" s="7"/>
      <c r="O779" s="7"/>
      <c r="P779" s="7"/>
      <c r="Q779" s="55"/>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c r="BZ779" s="41"/>
      <c r="CA779" s="7"/>
      <c r="CB779" s="7"/>
      <c r="CC779" s="7"/>
      <c r="CD779" s="7"/>
      <c r="CE779" s="7"/>
      <c r="CF779" s="7"/>
    </row>
    <row r="780">
      <c r="A780" s="7"/>
      <c r="B780" s="55"/>
      <c r="C780" s="7"/>
      <c r="D780" s="7"/>
      <c r="E780" s="7"/>
      <c r="F780" s="7"/>
      <c r="G780" s="55"/>
      <c r="H780" s="7"/>
      <c r="I780" s="7"/>
      <c r="J780" s="7"/>
      <c r="K780" s="7"/>
      <c r="L780" s="7"/>
      <c r="M780" s="7"/>
      <c r="N780" s="7"/>
      <c r="O780" s="7"/>
      <c r="P780" s="7"/>
      <c r="Q780" s="55"/>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c r="BN780" s="7"/>
      <c r="BO780" s="7"/>
      <c r="BP780" s="7"/>
      <c r="BQ780" s="7"/>
      <c r="BR780" s="7"/>
      <c r="BS780" s="7"/>
      <c r="BT780" s="7"/>
      <c r="BU780" s="7"/>
      <c r="BV780" s="7"/>
      <c r="BW780" s="7"/>
      <c r="BX780" s="7"/>
      <c r="BY780" s="7"/>
      <c r="BZ780" s="41"/>
      <c r="CA780" s="7"/>
      <c r="CB780" s="7"/>
      <c r="CC780" s="7"/>
      <c r="CD780" s="7"/>
      <c r="CE780" s="7"/>
      <c r="CF780" s="7"/>
    </row>
    <row r="781">
      <c r="A781" s="7"/>
      <c r="B781" s="55"/>
      <c r="C781" s="7"/>
      <c r="D781" s="7"/>
      <c r="E781" s="7"/>
      <c r="F781" s="7"/>
      <c r="G781" s="55"/>
      <c r="H781" s="7"/>
      <c r="I781" s="7"/>
      <c r="J781" s="7"/>
      <c r="K781" s="7"/>
      <c r="L781" s="7"/>
      <c r="M781" s="7"/>
      <c r="N781" s="7"/>
      <c r="O781" s="7"/>
      <c r="P781" s="7"/>
      <c r="Q781" s="55"/>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c r="BX781" s="7"/>
      <c r="BY781" s="7"/>
      <c r="BZ781" s="41"/>
      <c r="CA781" s="7"/>
      <c r="CB781" s="7"/>
      <c r="CC781" s="7"/>
      <c r="CD781" s="7"/>
      <c r="CE781" s="7"/>
      <c r="CF781" s="7"/>
    </row>
    <row r="782">
      <c r="A782" s="7"/>
      <c r="B782" s="55"/>
      <c r="C782" s="7"/>
      <c r="D782" s="7"/>
      <c r="E782" s="7"/>
      <c r="F782" s="7"/>
      <c r="G782" s="55"/>
      <c r="H782" s="7"/>
      <c r="I782" s="7"/>
      <c r="J782" s="7"/>
      <c r="K782" s="7"/>
      <c r="L782" s="7"/>
      <c r="M782" s="7"/>
      <c r="N782" s="7"/>
      <c r="O782" s="7"/>
      <c r="P782" s="7"/>
      <c r="Q782" s="55"/>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c r="BX782" s="7"/>
      <c r="BY782" s="7"/>
      <c r="BZ782" s="41"/>
      <c r="CA782" s="7"/>
      <c r="CB782" s="7"/>
      <c r="CC782" s="7"/>
      <c r="CD782" s="7"/>
      <c r="CE782" s="7"/>
      <c r="CF782" s="7"/>
    </row>
    <row r="783">
      <c r="A783" s="7"/>
      <c r="B783" s="55"/>
      <c r="C783" s="7"/>
      <c r="D783" s="7"/>
      <c r="E783" s="7"/>
      <c r="F783" s="7"/>
      <c r="G783" s="55"/>
      <c r="H783" s="7"/>
      <c r="I783" s="7"/>
      <c r="J783" s="7"/>
      <c r="K783" s="7"/>
      <c r="L783" s="7"/>
      <c r="M783" s="7"/>
      <c r="N783" s="7"/>
      <c r="O783" s="7"/>
      <c r="P783" s="7"/>
      <c r="Q783" s="55"/>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c r="BX783" s="7"/>
      <c r="BY783" s="7"/>
      <c r="BZ783" s="41"/>
      <c r="CA783" s="7"/>
      <c r="CB783" s="7"/>
      <c r="CC783" s="7"/>
      <c r="CD783" s="7"/>
      <c r="CE783" s="7"/>
      <c r="CF783" s="7"/>
    </row>
    <row r="784">
      <c r="A784" s="7"/>
      <c r="B784" s="55"/>
      <c r="C784" s="7"/>
      <c r="D784" s="7"/>
      <c r="E784" s="7"/>
      <c r="F784" s="7"/>
      <c r="G784" s="55"/>
      <c r="H784" s="7"/>
      <c r="I784" s="7"/>
      <c r="J784" s="7"/>
      <c r="K784" s="7"/>
      <c r="L784" s="7"/>
      <c r="M784" s="7"/>
      <c r="N784" s="7"/>
      <c r="O784" s="7"/>
      <c r="P784" s="7"/>
      <c r="Q784" s="55"/>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c r="BN784" s="7"/>
      <c r="BO784" s="7"/>
      <c r="BP784" s="7"/>
      <c r="BQ784" s="7"/>
      <c r="BR784" s="7"/>
      <c r="BS784" s="7"/>
      <c r="BT784" s="7"/>
      <c r="BU784" s="7"/>
      <c r="BV784" s="7"/>
      <c r="BW784" s="7"/>
      <c r="BX784" s="7"/>
      <c r="BY784" s="7"/>
      <c r="BZ784" s="41"/>
      <c r="CA784" s="7"/>
      <c r="CB784" s="7"/>
      <c r="CC784" s="7"/>
      <c r="CD784" s="7"/>
      <c r="CE784" s="7"/>
      <c r="CF784" s="7"/>
    </row>
    <row r="785">
      <c r="A785" s="7"/>
      <c r="B785" s="55"/>
      <c r="C785" s="7"/>
      <c r="D785" s="7"/>
      <c r="E785" s="7"/>
      <c r="F785" s="7"/>
      <c r="G785" s="55"/>
      <c r="H785" s="7"/>
      <c r="I785" s="7"/>
      <c r="J785" s="7"/>
      <c r="K785" s="7"/>
      <c r="L785" s="7"/>
      <c r="M785" s="7"/>
      <c r="N785" s="7"/>
      <c r="O785" s="7"/>
      <c r="P785" s="7"/>
      <c r="Q785" s="55"/>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c r="BZ785" s="41"/>
      <c r="CA785" s="7"/>
      <c r="CB785" s="7"/>
      <c r="CC785" s="7"/>
      <c r="CD785" s="7"/>
      <c r="CE785" s="7"/>
      <c r="CF785" s="7"/>
    </row>
    <row r="786">
      <c r="A786" s="7"/>
      <c r="B786" s="55"/>
      <c r="C786" s="7"/>
      <c r="D786" s="7"/>
      <c r="E786" s="7"/>
      <c r="F786" s="7"/>
      <c r="G786" s="55"/>
      <c r="H786" s="7"/>
      <c r="I786" s="7"/>
      <c r="J786" s="7"/>
      <c r="K786" s="7"/>
      <c r="L786" s="7"/>
      <c r="M786" s="7"/>
      <c r="N786" s="7"/>
      <c r="O786" s="7"/>
      <c r="P786" s="7"/>
      <c r="Q786" s="55"/>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c r="BN786" s="7"/>
      <c r="BO786" s="7"/>
      <c r="BP786" s="7"/>
      <c r="BQ786" s="7"/>
      <c r="BR786" s="7"/>
      <c r="BS786" s="7"/>
      <c r="BT786" s="7"/>
      <c r="BU786" s="7"/>
      <c r="BV786" s="7"/>
      <c r="BW786" s="7"/>
      <c r="BX786" s="7"/>
      <c r="BY786" s="7"/>
      <c r="BZ786" s="41"/>
      <c r="CA786" s="7"/>
      <c r="CB786" s="7"/>
      <c r="CC786" s="7"/>
      <c r="CD786" s="7"/>
      <c r="CE786" s="7"/>
      <c r="CF786" s="7"/>
    </row>
    <row r="787">
      <c r="A787" s="7"/>
      <c r="B787" s="55"/>
      <c r="C787" s="7"/>
      <c r="D787" s="7"/>
      <c r="E787" s="7"/>
      <c r="F787" s="7"/>
      <c r="G787" s="55"/>
      <c r="H787" s="7"/>
      <c r="I787" s="7"/>
      <c r="J787" s="7"/>
      <c r="K787" s="7"/>
      <c r="L787" s="7"/>
      <c r="M787" s="7"/>
      <c r="N787" s="7"/>
      <c r="O787" s="7"/>
      <c r="P787" s="7"/>
      <c r="Q787" s="55"/>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c r="BZ787" s="41"/>
      <c r="CA787" s="7"/>
      <c r="CB787" s="7"/>
      <c r="CC787" s="7"/>
      <c r="CD787" s="7"/>
      <c r="CE787" s="7"/>
      <c r="CF787" s="7"/>
    </row>
    <row r="788">
      <c r="A788" s="7"/>
      <c r="B788" s="55"/>
      <c r="C788" s="7"/>
      <c r="D788" s="7"/>
      <c r="E788" s="7"/>
      <c r="F788" s="7"/>
      <c r="G788" s="55"/>
      <c r="H788" s="7"/>
      <c r="I788" s="7"/>
      <c r="J788" s="7"/>
      <c r="K788" s="7"/>
      <c r="L788" s="7"/>
      <c r="M788" s="7"/>
      <c r="N788" s="7"/>
      <c r="O788" s="7"/>
      <c r="P788" s="7"/>
      <c r="Q788" s="55"/>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c r="BN788" s="7"/>
      <c r="BO788" s="7"/>
      <c r="BP788" s="7"/>
      <c r="BQ788" s="7"/>
      <c r="BR788" s="7"/>
      <c r="BS788" s="7"/>
      <c r="BT788" s="7"/>
      <c r="BU788" s="7"/>
      <c r="BV788" s="7"/>
      <c r="BW788" s="7"/>
      <c r="BX788" s="7"/>
      <c r="BY788" s="7"/>
      <c r="BZ788" s="41"/>
      <c r="CA788" s="7"/>
      <c r="CB788" s="7"/>
      <c r="CC788" s="7"/>
      <c r="CD788" s="7"/>
      <c r="CE788" s="7"/>
      <c r="CF788" s="7"/>
    </row>
    <row r="789">
      <c r="A789" s="7"/>
      <c r="B789" s="55"/>
      <c r="C789" s="7"/>
      <c r="D789" s="7"/>
      <c r="E789" s="7"/>
      <c r="F789" s="7"/>
      <c r="G789" s="55"/>
      <c r="H789" s="7"/>
      <c r="I789" s="7"/>
      <c r="J789" s="7"/>
      <c r="K789" s="7"/>
      <c r="L789" s="7"/>
      <c r="M789" s="7"/>
      <c r="N789" s="7"/>
      <c r="O789" s="7"/>
      <c r="P789" s="7"/>
      <c r="Q789" s="55"/>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c r="BZ789" s="41"/>
      <c r="CA789" s="7"/>
      <c r="CB789" s="7"/>
      <c r="CC789" s="7"/>
      <c r="CD789" s="7"/>
      <c r="CE789" s="7"/>
      <c r="CF789" s="7"/>
    </row>
    <row r="790">
      <c r="A790" s="7"/>
      <c r="B790" s="55"/>
      <c r="C790" s="7"/>
      <c r="D790" s="7"/>
      <c r="E790" s="7"/>
      <c r="F790" s="7"/>
      <c r="G790" s="55"/>
      <c r="H790" s="7"/>
      <c r="I790" s="7"/>
      <c r="J790" s="7"/>
      <c r="K790" s="7"/>
      <c r="L790" s="7"/>
      <c r="M790" s="7"/>
      <c r="N790" s="7"/>
      <c r="O790" s="7"/>
      <c r="P790" s="7"/>
      <c r="Q790" s="55"/>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c r="BN790" s="7"/>
      <c r="BO790" s="7"/>
      <c r="BP790" s="7"/>
      <c r="BQ790" s="7"/>
      <c r="BR790" s="7"/>
      <c r="BS790" s="7"/>
      <c r="BT790" s="7"/>
      <c r="BU790" s="7"/>
      <c r="BV790" s="7"/>
      <c r="BW790" s="7"/>
      <c r="BX790" s="7"/>
      <c r="BY790" s="7"/>
      <c r="BZ790" s="41"/>
      <c r="CA790" s="7"/>
      <c r="CB790" s="7"/>
      <c r="CC790" s="7"/>
      <c r="CD790" s="7"/>
      <c r="CE790" s="7"/>
      <c r="CF790" s="7"/>
    </row>
    <row r="791">
      <c r="A791" s="7"/>
      <c r="B791" s="55"/>
      <c r="C791" s="7"/>
      <c r="D791" s="7"/>
      <c r="E791" s="7"/>
      <c r="F791" s="7"/>
      <c r="G791" s="55"/>
      <c r="H791" s="7"/>
      <c r="I791" s="7"/>
      <c r="J791" s="7"/>
      <c r="K791" s="7"/>
      <c r="L791" s="7"/>
      <c r="M791" s="7"/>
      <c r="N791" s="7"/>
      <c r="O791" s="7"/>
      <c r="P791" s="7"/>
      <c r="Q791" s="55"/>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c r="BZ791" s="41"/>
      <c r="CA791" s="7"/>
      <c r="CB791" s="7"/>
      <c r="CC791" s="7"/>
      <c r="CD791" s="7"/>
      <c r="CE791" s="7"/>
      <c r="CF791" s="7"/>
    </row>
    <row r="792">
      <c r="A792" s="7"/>
      <c r="B792" s="55"/>
      <c r="C792" s="7"/>
      <c r="D792" s="7"/>
      <c r="E792" s="7"/>
      <c r="F792" s="7"/>
      <c r="G792" s="55"/>
      <c r="H792" s="7"/>
      <c r="I792" s="7"/>
      <c r="J792" s="7"/>
      <c r="K792" s="7"/>
      <c r="L792" s="7"/>
      <c r="M792" s="7"/>
      <c r="N792" s="7"/>
      <c r="O792" s="7"/>
      <c r="P792" s="7"/>
      <c r="Q792" s="55"/>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c r="BN792" s="7"/>
      <c r="BO792" s="7"/>
      <c r="BP792" s="7"/>
      <c r="BQ792" s="7"/>
      <c r="BR792" s="7"/>
      <c r="BS792" s="7"/>
      <c r="BT792" s="7"/>
      <c r="BU792" s="7"/>
      <c r="BV792" s="7"/>
      <c r="BW792" s="7"/>
      <c r="BX792" s="7"/>
      <c r="BY792" s="7"/>
      <c r="BZ792" s="41"/>
      <c r="CA792" s="7"/>
      <c r="CB792" s="7"/>
      <c r="CC792" s="7"/>
      <c r="CD792" s="7"/>
      <c r="CE792" s="7"/>
      <c r="CF792" s="7"/>
    </row>
    <row r="793">
      <c r="A793" s="7"/>
      <c r="B793" s="55"/>
      <c r="C793" s="7"/>
      <c r="D793" s="7"/>
      <c r="E793" s="7"/>
      <c r="F793" s="7"/>
      <c r="G793" s="55"/>
      <c r="H793" s="7"/>
      <c r="I793" s="7"/>
      <c r="J793" s="7"/>
      <c r="K793" s="7"/>
      <c r="L793" s="7"/>
      <c r="M793" s="7"/>
      <c r="N793" s="7"/>
      <c r="O793" s="7"/>
      <c r="P793" s="7"/>
      <c r="Q793" s="55"/>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41"/>
      <c r="CA793" s="7"/>
      <c r="CB793" s="7"/>
      <c r="CC793" s="7"/>
      <c r="CD793" s="7"/>
      <c r="CE793" s="7"/>
      <c r="CF793" s="7"/>
    </row>
    <row r="794">
      <c r="A794" s="7"/>
      <c r="B794" s="55"/>
      <c r="C794" s="7"/>
      <c r="D794" s="7"/>
      <c r="E794" s="7"/>
      <c r="F794" s="7"/>
      <c r="G794" s="55"/>
      <c r="H794" s="7"/>
      <c r="I794" s="7"/>
      <c r="J794" s="7"/>
      <c r="K794" s="7"/>
      <c r="L794" s="7"/>
      <c r="M794" s="7"/>
      <c r="N794" s="7"/>
      <c r="O794" s="7"/>
      <c r="P794" s="7"/>
      <c r="Q794" s="55"/>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c r="BN794" s="7"/>
      <c r="BO794" s="7"/>
      <c r="BP794" s="7"/>
      <c r="BQ794" s="7"/>
      <c r="BR794" s="7"/>
      <c r="BS794" s="7"/>
      <c r="BT794" s="7"/>
      <c r="BU794" s="7"/>
      <c r="BV794" s="7"/>
      <c r="BW794" s="7"/>
      <c r="BX794" s="7"/>
      <c r="BY794" s="7"/>
      <c r="BZ794" s="41"/>
      <c r="CA794" s="7"/>
      <c r="CB794" s="7"/>
      <c r="CC794" s="7"/>
      <c r="CD794" s="7"/>
      <c r="CE794" s="7"/>
      <c r="CF794" s="7"/>
    </row>
    <row r="795">
      <c r="A795" s="7"/>
      <c r="B795" s="55"/>
      <c r="C795" s="7"/>
      <c r="D795" s="7"/>
      <c r="E795" s="7"/>
      <c r="F795" s="7"/>
      <c r="G795" s="55"/>
      <c r="H795" s="7"/>
      <c r="I795" s="7"/>
      <c r="J795" s="7"/>
      <c r="K795" s="7"/>
      <c r="L795" s="7"/>
      <c r="M795" s="7"/>
      <c r="N795" s="7"/>
      <c r="O795" s="7"/>
      <c r="P795" s="7"/>
      <c r="Q795" s="55"/>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c r="BZ795" s="41"/>
      <c r="CA795" s="7"/>
      <c r="CB795" s="7"/>
      <c r="CC795" s="7"/>
      <c r="CD795" s="7"/>
      <c r="CE795" s="7"/>
      <c r="CF795" s="7"/>
    </row>
    <row r="796">
      <c r="A796" s="7"/>
      <c r="B796" s="55"/>
      <c r="C796" s="7"/>
      <c r="D796" s="7"/>
      <c r="E796" s="7"/>
      <c r="F796" s="7"/>
      <c r="G796" s="55"/>
      <c r="H796" s="7"/>
      <c r="I796" s="7"/>
      <c r="J796" s="7"/>
      <c r="K796" s="7"/>
      <c r="L796" s="7"/>
      <c r="M796" s="7"/>
      <c r="N796" s="7"/>
      <c r="O796" s="7"/>
      <c r="P796" s="7"/>
      <c r="Q796" s="55"/>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c r="BN796" s="7"/>
      <c r="BO796" s="7"/>
      <c r="BP796" s="7"/>
      <c r="BQ796" s="7"/>
      <c r="BR796" s="7"/>
      <c r="BS796" s="7"/>
      <c r="BT796" s="7"/>
      <c r="BU796" s="7"/>
      <c r="BV796" s="7"/>
      <c r="BW796" s="7"/>
      <c r="BX796" s="7"/>
      <c r="BY796" s="7"/>
      <c r="BZ796" s="41"/>
      <c r="CA796" s="7"/>
      <c r="CB796" s="7"/>
      <c r="CC796" s="7"/>
      <c r="CD796" s="7"/>
      <c r="CE796" s="7"/>
      <c r="CF796" s="7"/>
    </row>
    <row r="797">
      <c r="A797" s="7"/>
      <c r="B797" s="55"/>
      <c r="C797" s="7"/>
      <c r="D797" s="7"/>
      <c r="E797" s="7"/>
      <c r="F797" s="7"/>
      <c r="G797" s="55"/>
      <c r="H797" s="7"/>
      <c r="I797" s="7"/>
      <c r="J797" s="7"/>
      <c r="K797" s="7"/>
      <c r="L797" s="7"/>
      <c r="M797" s="7"/>
      <c r="N797" s="7"/>
      <c r="O797" s="7"/>
      <c r="P797" s="7"/>
      <c r="Q797" s="55"/>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c r="BX797" s="7"/>
      <c r="BY797" s="7"/>
      <c r="BZ797" s="41"/>
      <c r="CA797" s="7"/>
      <c r="CB797" s="7"/>
      <c r="CC797" s="7"/>
      <c r="CD797" s="7"/>
      <c r="CE797" s="7"/>
      <c r="CF797" s="7"/>
    </row>
    <row r="798">
      <c r="A798" s="7"/>
      <c r="B798" s="55"/>
      <c r="C798" s="7"/>
      <c r="D798" s="7"/>
      <c r="E798" s="7"/>
      <c r="F798" s="7"/>
      <c r="G798" s="55"/>
      <c r="H798" s="7"/>
      <c r="I798" s="7"/>
      <c r="J798" s="7"/>
      <c r="K798" s="7"/>
      <c r="L798" s="7"/>
      <c r="M798" s="7"/>
      <c r="N798" s="7"/>
      <c r="O798" s="7"/>
      <c r="P798" s="7"/>
      <c r="Q798" s="55"/>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c r="BN798" s="7"/>
      <c r="BO798" s="7"/>
      <c r="BP798" s="7"/>
      <c r="BQ798" s="7"/>
      <c r="BR798" s="7"/>
      <c r="BS798" s="7"/>
      <c r="BT798" s="7"/>
      <c r="BU798" s="7"/>
      <c r="BV798" s="7"/>
      <c r="BW798" s="7"/>
      <c r="BX798" s="7"/>
      <c r="BY798" s="7"/>
      <c r="BZ798" s="41"/>
      <c r="CA798" s="7"/>
      <c r="CB798" s="7"/>
      <c r="CC798" s="7"/>
      <c r="CD798" s="7"/>
      <c r="CE798" s="7"/>
      <c r="CF798" s="7"/>
    </row>
    <row r="799">
      <c r="A799" s="7"/>
      <c r="B799" s="55"/>
      <c r="C799" s="7"/>
      <c r="D799" s="7"/>
      <c r="E799" s="7"/>
      <c r="F799" s="7"/>
      <c r="G799" s="55"/>
      <c r="H799" s="7"/>
      <c r="I799" s="7"/>
      <c r="J799" s="7"/>
      <c r="K799" s="7"/>
      <c r="L799" s="7"/>
      <c r="M799" s="7"/>
      <c r="N799" s="7"/>
      <c r="O799" s="7"/>
      <c r="P799" s="7"/>
      <c r="Q799" s="55"/>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c r="BZ799" s="41"/>
      <c r="CA799" s="7"/>
      <c r="CB799" s="7"/>
      <c r="CC799" s="7"/>
      <c r="CD799" s="7"/>
      <c r="CE799" s="7"/>
      <c r="CF799" s="7"/>
    </row>
    <row r="800">
      <c r="A800" s="7"/>
      <c r="B800" s="55"/>
      <c r="C800" s="7"/>
      <c r="D800" s="7"/>
      <c r="E800" s="7"/>
      <c r="F800" s="7"/>
      <c r="G800" s="55"/>
      <c r="H800" s="7"/>
      <c r="I800" s="7"/>
      <c r="J800" s="7"/>
      <c r="K800" s="7"/>
      <c r="L800" s="7"/>
      <c r="M800" s="7"/>
      <c r="N800" s="7"/>
      <c r="O800" s="7"/>
      <c r="P800" s="7"/>
      <c r="Q800" s="55"/>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c r="BN800" s="7"/>
      <c r="BO800" s="7"/>
      <c r="BP800" s="7"/>
      <c r="BQ800" s="7"/>
      <c r="BR800" s="7"/>
      <c r="BS800" s="7"/>
      <c r="BT800" s="7"/>
      <c r="BU800" s="7"/>
      <c r="BV800" s="7"/>
      <c r="BW800" s="7"/>
      <c r="BX800" s="7"/>
      <c r="BY800" s="7"/>
      <c r="BZ800" s="41"/>
      <c r="CA800" s="7"/>
      <c r="CB800" s="7"/>
      <c r="CC800" s="7"/>
      <c r="CD800" s="7"/>
      <c r="CE800" s="7"/>
      <c r="CF800" s="7"/>
    </row>
    <row r="801">
      <c r="A801" s="7"/>
      <c r="B801" s="55"/>
      <c r="C801" s="7"/>
      <c r="D801" s="7"/>
      <c r="E801" s="7"/>
      <c r="F801" s="7"/>
      <c r="G801" s="55"/>
      <c r="H801" s="7"/>
      <c r="I801" s="7"/>
      <c r="J801" s="7"/>
      <c r="K801" s="7"/>
      <c r="L801" s="7"/>
      <c r="M801" s="7"/>
      <c r="N801" s="7"/>
      <c r="O801" s="7"/>
      <c r="P801" s="7"/>
      <c r="Q801" s="55"/>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c r="BZ801" s="41"/>
      <c r="CA801" s="7"/>
      <c r="CB801" s="7"/>
      <c r="CC801" s="7"/>
      <c r="CD801" s="7"/>
      <c r="CE801" s="7"/>
      <c r="CF801" s="7"/>
    </row>
    <row r="802">
      <c r="A802" s="7"/>
      <c r="B802" s="55"/>
      <c r="C802" s="7"/>
      <c r="D802" s="7"/>
      <c r="E802" s="7"/>
      <c r="F802" s="7"/>
      <c r="G802" s="55"/>
      <c r="H802" s="7"/>
      <c r="I802" s="7"/>
      <c r="J802" s="7"/>
      <c r="K802" s="7"/>
      <c r="L802" s="7"/>
      <c r="M802" s="7"/>
      <c r="N802" s="7"/>
      <c r="O802" s="7"/>
      <c r="P802" s="7"/>
      <c r="Q802" s="55"/>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c r="BN802" s="7"/>
      <c r="BO802" s="7"/>
      <c r="BP802" s="7"/>
      <c r="BQ802" s="7"/>
      <c r="BR802" s="7"/>
      <c r="BS802" s="7"/>
      <c r="BT802" s="7"/>
      <c r="BU802" s="7"/>
      <c r="BV802" s="7"/>
      <c r="BW802" s="7"/>
      <c r="BX802" s="7"/>
      <c r="BY802" s="7"/>
      <c r="BZ802" s="41"/>
      <c r="CA802" s="7"/>
      <c r="CB802" s="7"/>
      <c r="CC802" s="7"/>
      <c r="CD802" s="7"/>
      <c r="CE802" s="7"/>
      <c r="CF802" s="7"/>
    </row>
    <row r="803">
      <c r="A803" s="7"/>
      <c r="B803" s="55"/>
      <c r="C803" s="7"/>
      <c r="D803" s="7"/>
      <c r="E803" s="7"/>
      <c r="F803" s="7"/>
      <c r="G803" s="55"/>
      <c r="H803" s="7"/>
      <c r="I803" s="7"/>
      <c r="J803" s="7"/>
      <c r="K803" s="7"/>
      <c r="L803" s="7"/>
      <c r="M803" s="7"/>
      <c r="N803" s="7"/>
      <c r="O803" s="7"/>
      <c r="P803" s="7"/>
      <c r="Q803" s="55"/>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c r="BZ803" s="41"/>
      <c r="CA803" s="7"/>
      <c r="CB803" s="7"/>
      <c r="CC803" s="7"/>
      <c r="CD803" s="7"/>
      <c r="CE803" s="7"/>
      <c r="CF803" s="7"/>
    </row>
    <row r="804">
      <c r="A804" s="7"/>
      <c r="B804" s="55"/>
      <c r="C804" s="7"/>
      <c r="D804" s="7"/>
      <c r="E804" s="7"/>
      <c r="F804" s="7"/>
      <c r="G804" s="55"/>
      <c r="H804" s="7"/>
      <c r="I804" s="7"/>
      <c r="J804" s="7"/>
      <c r="K804" s="7"/>
      <c r="L804" s="7"/>
      <c r="M804" s="7"/>
      <c r="N804" s="7"/>
      <c r="O804" s="7"/>
      <c r="P804" s="7"/>
      <c r="Q804" s="55"/>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c r="BN804" s="7"/>
      <c r="BO804" s="7"/>
      <c r="BP804" s="7"/>
      <c r="BQ804" s="7"/>
      <c r="BR804" s="7"/>
      <c r="BS804" s="7"/>
      <c r="BT804" s="7"/>
      <c r="BU804" s="7"/>
      <c r="BV804" s="7"/>
      <c r="BW804" s="7"/>
      <c r="BX804" s="7"/>
      <c r="BY804" s="7"/>
      <c r="BZ804" s="41"/>
      <c r="CA804" s="7"/>
      <c r="CB804" s="7"/>
      <c r="CC804" s="7"/>
      <c r="CD804" s="7"/>
      <c r="CE804" s="7"/>
      <c r="CF804" s="7"/>
    </row>
    <row r="805">
      <c r="A805" s="7"/>
      <c r="B805" s="55"/>
      <c r="C805" s="7"/>
      <c r="D805" s="7"/>
      <c r="E805" s="7"/>
      <c r="F805" s="7"/>
      <c r="G805" s="55"/>
      <c r="H805" s="7"/>
      <c r="I805" s="7"/>
      <c r="J805" s="7"/>
      <c r="K805" s="7"/>
      <c r="L805" s="7"/>
      <c r="M805" s="7"/>
      <c r="N805" s="7"/>
      <c r="O805" s="7"/>
      <c r="P805" s="7"/>
      <c r="Q805" s="55"/>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c r="BZ805" s="41"/>
      <c r="CA805" s="7"/>
      <c r="CB805" s="7"/>
      <c r="CC805" s="7"/>
      <c r="CD805" s="7"/>
      <c r="CE805" s="7"/>
      <c r="CF805" s="7"/>
    </row>
    <row r="806">
      <c r="A806" s="7"/>
      <c r="B806" s="55"/>
      <c r="C806" s="7"/>
      <c r="D806" s="7"/>
      <c r="E806" s="7"/>
      <c r="F806" s="7"/>
      <c r="G806" s="55"/>
      <c r="H806" s="7"/>
      <c r="I806" s="7"/>
      <c r="J806" s="7"/>
      <c r="K806" s="7"/>
      <c r="L806" s="7"/>
      <c r="M806" s="7"/>
      <c r="N806" s="7"/>
      <c r="O806" s="7"/>
      <c r="P806" s="7"/>
      <c r="Q806" s="55"/>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c r="BN806" s="7"/>
      <c r="BO806" s="7"/>
      <c r="BP806" s="7"/>
      <c r="BQ806" s="7"/>
      <c r="BR806" s="7"/>
      <c r="BS806" s="7"/>
      <c r="BT806" s="7"/>
      <c r="BU806" s="7"/>
      <c r="BV806" s="7"/>
      <c r="BW806" s="7"/>
      <c r="BX806" s="7"/>
      <c r="BY806" s="7"/>
      <c r="BZ806" s="41"/>
      <c r="CA806" s="7"/>
      <c r="CB806" s="7"/>
      <c r="CC806" s="7"/>
      <c r="CD806" s="7"/>
      <c r="CE806" s="7"/>
      <c r="CF806" s="7"/>
    </row>
    <row r="807">
      <c r="A807" s="7"/>
      <c r="B807" s="55"/>
      <c r="C807" s="7"/>
      <c r="D807" s="7"/>
      <c r="E807" s="7"/>
      <c r="F807" s="7"/>
      <c r="G807" s="55"/>
      <c r="H807" s="7"/>
      <c r="I807" s="7"/>
      <c r="J807" s="7"/>
      <c r="K807" s="7"/>
      <c r="L807" s="7"/>
      <c r="M807" s="7"/>
      <c r="N807" s="7"/>
      <c r="O807" s="7"/>
      <c r="P807" s="7"/>
      <c r="Q807" s="55"/>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c r="BZ807" s="41"/>
      <c r="CA807" s="7"/>
      <c r="CB807" s="7"/>
      <c r="CC807" s="7"/>
      <c r="CD807" s="7"/>
      <c r="CE807" s="7"/>
      <c r="CF807" s="7"/>
    </row>
    <row r="808">
      <c r="A808" s="7"/>
      <c r="B808" s="55"/>
      <c r="C808" s="7"/>
      <c r="D808" s="7"/>
      <c r="E808" s="7"/>
      <c r="F808" s="7"/>
      <c r="G808" s="55"/>
      <c r="H808" s="7"/>
      <c r="I808" s="7"/>
      <c r="J808" s="7"/>
      <c r="K808" s="7"/>
      <c r="L808" s="7"/>
      <c r="M808" s="7"/>
      <c r="N808" s="7"/>
      <c r="O808" s="7"/>
      <c r="P808" s="7"/>
      <c r="Q808" s="55"/>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c r="BN808" s="7"/>
      <c r="BO808" s="7"/>
      <c r="BP808" s="7"/>
      <c r="BQ808" s="7"/>
      <c r="BR808" s="7"/>
      <c r="BS808" s="7"/>
      <c r="BT808" s="7"/>
      <c r="BU808" s="7"/>
      <c r="BV808" s="7"/>
      <c r="BW808" s="7"/>
      <c r="BX808" s="7"/>
      <c r="BY808" s="7"/>
      <c r="BZ808" s="41"/>
      <c r="CA808" s="7"/>
      <c r="CB808" s="7"/>
      <c r="CC808" s="7"/>
      <c r="CD808" s="7"/>
      <c r="CE808" s="7"/>
      <c r="CF808" s="7"/>
    </row>
    <row r="809">
      <c r="A809" s="7"/>
      <c r="B809" s="55"/>
      <c r="C809" s="7"/>
      <c r="D809" s="7"/>
      <c r="E809" s="7"/>
      <c r="F809" s="7"/>
      <c r="G809" s="55"/>
      <c r="H809" s="7"/>
      <c r="I809" s="7"/>
      <c r="J809" s="7"/>
      <c r="K809" s="7"/>
      <c r="L809" s="7"/>
      <c r="M809" s="7"/>
      <c r="N809" s="7"/>
      <c r="O809" s="7"/>
      <c r="P809" s="7"/>
      <c r="Q809" s="55"/>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c r="BX809" s="7"/>
      <c r="BY809" s="7"/>
      <c r="BZ809" s="41"/>
      <c r="CA809" s="7"/>
      <c r="CB809" s="7"/>
      <c r="CC809" s="7"/>
      <c r="CD809" s="7"/>
      <c r="CE809" s="7"/>
      <c r="CF809" s="7"/>
    </row>
    <row r="810">
      <c r="A810" s="7"/>
      <c r="B810" s="55"/>
      <c r="C810" s="7"/>
      <c r="D810" s="7"/>
      <c r="E810" s="7"/>
      <c r="F810" s="7"/>
      <c r="G810" s="55"/>
      <c r="H810" s="7"/>
      <c r="I810" s="7"/>
      <c r="J810" s="7"/>
      <c r="K810" s="7"/>
      <c r="L810" s="7"/>
      <c r="M810" s="7"/>
      <c r="N810" s="7"/>
      <c r="O810" s="7"/>
      <c r="P810" s="7"/>
      <c r="Q810" s="55"/>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c r="BN810" s="7"/>
      <c r="BO810" s="7"/>
      <c r="BP810" s="7"/>
      <c r="BQ810" s="7"/>
      <c r="BR810" s="7"/>
      <c r="BS810" s="7"/>
      <c r="BT810" s="7"/>
      <c r="BU810" s="7"/>
      <c r="BV810" s="7"/>
      <c r="BW810" s="7"/>
      <c r="BX810" s="7"/>
      <c r="BY810" s="7"/>
      <c r="BZ810" s="41"/>
      <c r="CA810" s="7"/>
      <c r="CB810" s="7"/>
      <c r="CC810" s="7"/>
      <c r="CD810" s="7"/>
      <c r="CE810" s="7"/>
      <c r="CF810" s="7"/>
    </row>
    <row r="811">
      <c r="A811" s="7"/>
      <c r="B811" s="55"/>
      <c r="C811" s="7"/>
      <c r="D811" s="7"/>
      <c r="E811" s="7"/>
      <c r="F811" s="7"/>
      <c r="G811" s="55"/>
      <c r="H811" s="7"/>
      <c r="I811" s="7"/>
      <c r="J811" s="7"/>
      <c r="K811" s="7"/>
      <c r="L811" s="7"/>
      <c r="M811" s="7"/>
      <c r="N811" s="7"/>
      <c r="O811" s="7"/>
      <c r="P811" s="7"/>
      <c r="Q811" s="55"/>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c r="BX811" s="7"/>
      <c r="BY811" s="7"/>
      <c r="BZ811" s="41"/>
      <c r="CA811" s="7"/>
      <c r="CB811" s="7"/>
      <c r="CC811" s="7"/>
      <c r="CD811" s="7"/>
      <c r="CE811" s="7"/>
      <c r="CF811" s="7"/>
    </row>
    <row r="812">
      <c r="A812" s="7"/>
      <c r="B812" s="55"/>
      <c r="C812" s="7"/>
      <c r="D812" s="7"/>
      <c r="E812" s="7"/>
      <c r="F812" s="7"/>
      <c r="G812" s="55"/>
      <c r="H812" s="7"/>
      <c r="I812" s="7"/>
      <c r="J812" s="7"/>
      <c r="K812" s="7"/>
      <c r="L812" s="7"/>
      <c r="M812" s="7"/>
      <c r="N812" s="7"/>
      <c r="O812" s="7"/>
      <c r="P812" s="7"/>
      <c r="Q812" s="55"/>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c r="BN812" s="7"/>
      <c r="BO812" s="7"/>
      <c r="BP812" s="7"/>
      <c r="BQ812" s="7"/>
      <c r="BR812" s="7"/>
      <c r="BS812" s="7"/>
      <c r="BT812" s="7"/>
      <c r="BU812" s="7"/>
      <c r="BV812" s="7"/>
      <c r="BW812" s="7"/>
      <c r="BX812" s="7"/>
      <c r="BY812" s="7"/>
      <c r="BZ812" s="41"/>
      <c r="CA812" s="7"/>
      <c r="CB812" s="7"/>
      <c r="CC812" s="7"/>
      <c r="CD812" s="7"/>
      <c r="CE812" s="7"/>
      <c r="CF812" s="7"/>
    </row>
    <row r="813">
      <c r="A813" s="7"/>
      <c r="B813" s="55"/>
      <c r="C813" s="7"/>
      <c r="D813" s="7"/>
      <c r="E813" s="7"/>
      <c r="F813" s="7"/>
      <c r="G813" s="55"/>
      <c r="H813" s="7"/>
      <c r="I813" s="7"/>
      <c r="J813" s="7"/>
      <c r="K813" s="7"/>
      <c r="L813" s="7"/>
      <c r="M813" s="7"/>
      <c r="N813" s="7"/>
      <c r="O813" s="7"/>
      <c r="P813" s="7"/>
      <c r="Q813" s="55"/>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c r="BX813" s="7"/>
      <c r="BY813" s="7"/>
      <c r="BZ813" s="41"/>
      <c r="CA813" s="7"/>
      <c r="CB813" s="7"/>
      <c r="CC813" s="7"/>
      <c r="CD813" s="7"/>
      <c r="CE813" s="7"/>
      <c r="CF813" s="7"/>
    </row>
    <row r="814">
      <c r="A814" s="7"/>
      <c r="B814" s="55"/>
      <c r="C814" s="7"/>
      <c r="D814" s="7"/>
      <c r="E814" s="7"/>
      <c r="F814" s="7"/>
      <c r="G814" s="55"/>
      <c r="H814" s="7"/>
      <c r="I814" s="7"/>
      <c r="J814" s="7"/>
      <c r="K814" s="7"/>
      <c r="L814" s="7"/>
      <c r="M814" s="7"/>
      <c r="N814" s="7"/>
      <c r="O814" s="7"/>
      <c r="P814" s="7"/>
      <c r="Q814" s="55"/>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c r="BN814" s="7"/>
      <c r="BO814" s="7"/>
      <c r="BP814" s="7"/>
      <c r="BQ814" s="7"/>
      <c r="BR814" s="7"/>
      <c r="BS814" s="7"/>
      <c r="BT814" s="7"/>
      <c r="BU814" s="7"/>
      <c r="BV814" s="7"/>
      <c r="BW814" s="7"/>
      <c r="BX814" s="7"/>
      <c r="BY814" s="7"/>
      <c r="BZ814" s="41"/>
      <c r="CA814" s="7"/>
      <c r="CB814" s="7"/>
      <c r="CC814" s="7"/>
      <c r="CD814" s="7"/>
      <c r="CE814" s="7"/>
      <c r="CF814" s="7"/>
    </row>
    <row r="815">
      <c r="A815" s="7"/>
      <c r="B815" s="55"/>
      <c r="C815" s="7"/>
      <c r="D815" s="7"/>
      <c r="E815" s="7"/>
      <c r="F815" s="7"/>
      <c r="G815" s="55"/>
      <c r="H815" s="7"/>
      <c r="I815" s="7"/>
      <c r="J815" s="7"/>
      <c r="K815" s="7"/>
      <c r="L815" s="7"/>
      <c r="M815" s="7"/>
      <c r="N815" s="7"/>
      <c r="O815" s="7"/>
      <c r="P815" s="7"/>
      <c r="Q815" s="55"/>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c r="BX815" s="7"/>
      <c r="BY815" s="7"/>
      <c r="BZ815" s="41"/>
      <c r="CA815" s="7"/>
      <c r="CB815" s="7"/>
      <c r="CC815" s="7"/>
      <c r="CD815" s="7"/>
      <c r="CE815" s="7"/>
      <c r="CF815" s="7"/>
    </row>
    <row r="816">
      <c r="A816" s="7"/>
      <c r="B816" s="55"/>
      <c r="C816" s="7"/>
      <c r="D816" s="7"/>
      <c r="E816" s="7"/>
      <c r="F816" s="7"/>
      <c r="G816" s="55"/>
      <c r="H816" s="7"/>
      <c r="I816" s="7"/>
      <c r="J816" s="7"/>
      <c r="K816" s="7"/>
      <c r="L816" s="7"/>
      <c r="M816" s="7"/>
      <c r="N816" s="7"/>
      <c r="O816" s="7"/>
      <c r="P816" s="7"/>
      <c r="Q816" s="55"/>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c r="BN816" s="7"/>
      <c r="BO816" s="7"/>
      <c r="BP816" s="7"/>
      <c r="BQ816" s="7"/>
      <c r="BR816" s="7"/>
      <c r="BS816" s="7"/>
      <c r="BT816" s="7"/>
      <c r="BU816" s="7"/>
      <c r="BV816" s="7"/>
      <c r="BW816" s="7"/>
      <c r="BX816" s="7"/>
      <c r="BY816" s="7"/>
      <c r="BZ816" s="41"/>
      <c r="CA816" s="7"/>
      <c r="CB816" s="7"/>
      <c r="CC816" s="7"/>
      <c r="CD816" s="7"/>
      <c r="CE816" s="7"/>
      <c r="CF816" s="7"/>
    </row>
    <row r="817">
      <c r="A817" s="7"/>
      <c r="B817" s="55"/>
      <c r="C817" s="7"/>
      <c r="D817" s="7"/>
      <c r="E817" s="7"/>
      <c r="F817" s="7"/>
      <c r="G817" s="55"/>
      <c r="H817" s="7"/>
      <c r="I817" s="7"/>
      <c r="J817" s="7"/>
      <c r="K817" s="7"/>
      <c r="L817" s="7"/>
      <c r="M817" s="7"/>
      <c r="N817" s="7"/>
      <c r="O817" s="7"/>
      <c r="P817" s="7"/>
      <c r="Q817" s="55"/>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c r="BX817" s="7"/>
      <c r="BY817" s="7"/>
      <c r="BZ817" s="41"/>
      <c r="CA817" s="7"/>
      <c r="CB817" s="7"/>
      <c r="CC817" s="7"/>
      <c r="CD817" s="7"/>
      <c r="CE817" s="7"/>
      <c r="CF817" s="7"/>
    </row>
    <row r="818">
      <c r="A818" s="7"/>
      <c r="B818" s="55"/>
      <c r="C818" s="7"/>
      <c r="D818" s="7"/>
      <c r="E818" s="7"/>
      <c r="F818" s="7"/>
      <c r="G818" s="55"/>
      <c r="H818" s="7"/>
      <c r="I818" s="7"/>
      <c r="J818" s="7"/>
      <c r="K818" s="7"/>
      <c r="L818" s="7"/>
      <c r="M818" s="7"/>
      <c r="N818" s="7"/>
      <c r="O818" s="7"/>
      <c r="P818" s="7"/>
      <c r="Q818" s="55"/>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c r="BN818" s="7"/>
      <c r="BO818" s="7"/>
      <c r="BP818" s="7"/>
      <c r="BQ818" s="7"/>
      <c r="BR818" s="7"/>
      <c r="BS818" s="7"/>
      <c r="BT818" s="7"/>
      <c r="BU818" s="7"/>
      <c r="BV818" s="7"/>
      <c r="BW818" s="7"/>
      <c r="BX818" s="7"/>
      <c r="BY818" s="7"/>
      <c r="BZ818" s="41"/>
      <c r="CA818" s="7"/>
      <c r="CB818" s="7"/>
      <c r="CC818" s="7"/>
      <c r="CD818" s="7"/>
      <c r="CE818" s="7"/>
      <c r="CF818" s="7"/>
    </row>
    <row r="819">
      <c r="A819" s="7"/>
      <c r="B819" s="55"/>
      <c r="C819" s="7"/>
      <c r="D819" s="7"/>
      <c r="E819" s="7"/>
      <c r="F819" s="7"/>
      <c r="G819" s="55"/>
      <c r="H819" s="7"/>
      <c r="I819" s="7"/>
      <c r="J819" s="7"/>
      <c r="K819" s="7"/>
      <c r="L819" s="7"/>
      <c r="M819" s="7"/>
      <c r="N819" s="7"/>
      <c r="O819" s="7"/>
      <c r="P819" s="7"/>
      <c r="Q819" s="55"/>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41"/>
      <c r="CA819" s="7"/>
      <c r="CB819" s="7"/>
      <c r="CC819" s="7"/>
      <c r="CD819" s="7"/>
      <c r="CE819" s="7"/>
      <c r="CF819" s="7"/>
    </row>
    <row r="820">
      <c r="A820" s="7"/>
      <c r="B820" s="55"/>
      <c r="C820" s="7"/>
      <c r="D820" s="7"/>
      <c r="E820" s="7"/>
      <c r="F820" s="7"/>
      <c r="G820" s="55"/>
      <c r="H820" s="7"/>
      <c r="I820" s="7"/>
      <c r="J820" s="7"/>
      <c r="K820" s="7"/>
      <c r="L820" s="7"/>
      <c r="M820" s="7"/>
      <c r="N820" s="7"/>
      <c r="O820" s="7"/>
      <c r="P820" s="7"/>
      <c r="Q820" s="55"/>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c r="BX820" s="7"/>
      <c r="BY820" s="7"/>
      <c r="BZ820" s="41"/>
      <c r="CA820" s="7"/>
      <c r="CB820" s="7"/>
      <c r="CC820" s="7"/>
      <c r="CD820" s="7"/>
      <c r="CE820" s="7"/>
      <c r="CF820" s="7"/>
    </row>
    <row r="821">
      <c r="A821" s="7"/>
      <c r="B821" s="55"/>
      <c r="C821" s="7"/>
      <c r="D821" s="7"/>
      <c r="E821" s="7"/>
      <c r="F821" s="7"/>
      <c r="G821" s="55"/>
      <c r="H821" s="7"/>
      <c r="I821" s="7"/>
      <c r="J821" s="7"/>
      <c r="K821" s="7"/>
      <c r="L821" s="7"/>
      <c r="M821" s="7"/>
      <c r="N821" s="7"/>
      <c r="O821" s="7"/>
      <c r="P821" s="7"/>
      <c r="Q821" s="55"/>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41"/>
      <c r="CA821" s="7"/>
      <c r="CB821" s="7"/>
      <c r="CC821" s="7"/>
      <c r="CD821" s="7"/>
      <c r="CE821" s="7"/>
      <c r="CF821" s="7"/>
    </row>
    <row r="822">
      <c r="A822" s="7"/>
      <c r="B822" s="55"/>
      <c r="C822" s="7"/>
      <c r="D822" s="7"/>
      <c r="E822" s="7"/>
      <c r="F822" s="7"/>
      <c r="G822" s="55"/>
      <c r="H822" s="7"/>
      <c r="I822" s="7"/>
      <c r="J822" s="7"/>
      <c r="K822" s="7"/>
      <c r="L822" s="7"/>
      <c r="M822" s="7"/>
      <c r="N822" s="7"/>
      <c r="O822" s="7"/>
      <c r="P822" s="7"/>
      <c r="Q822" s="55"/>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c r="BX822" s="7"/>
      <c r="BY822" s="7"/>
      <c r="BZ822" s="41"/>
      <c r="CA822" s="7"/>
      <c r="CB822" s="7"/>
      <c r="CC822" s="7"/>
      <c r="CD822" s="7"/>
      <c r="CE822" s="7"/>
      <c r="CF822" s="7"/>
    </row>
    <row r="823">
      <c r="A823" s="7"/>
      <c r="B823" s="55"/>
      <c r="C823" s="7"/>
      <c r="D823" s="7"/>
      <c r="E823" s="7"/>
      <c r="F823" s="7"/>
      <c r="G823" s="55"/>
      <c r="H823" s="7"/>
      <c r="I823" s="7"/>
      <c r="J823" s="7"/>
      <c r="K823" s="7"/>
      <c r="L823" s="7"/>
      <c r="M823" s="7"/>
      <c r="N823" s="7"/>
      <c r="O823" s="7"/>
      <c r="P823" s="7"/>
      <c r="Q823" s="55"/>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41"/>
      <c r="CA823" s="7"/>
      <c r="CB823" s="7"/>
      <c r="CC823" s="7"/>
      <c r="CD823" s="7"/>
      <c r="CE823" s="7"/>
      <c r="CF823" s="7"/>
    </row>
    <row r="824">
      <c r="A824" s="7"/>
      <c r="B824" s="55"/>
      <c r="C824" s="7"/>
      <c r="D824" s="7"/>
      <c r="E824" s="7"/>
      <c r="F824" s="7"/>
      <c r="G824" s="55"/>
      <c r="H824" s="7"/>
      <c r="I824" s="7"/>
      <c r="J824" s="7"/>
      <c r="K824" s="7"/>
      <c r="L824" s="7"/>
      <c r="M824" s="7"/>
      <c r="N824" s="7"/>
      <c r="O824" s="7"/>
      <c r="P824" s="7"/>
      <c r="Q824" s="55"/>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c r="BX824" s="7"/>
      <c r="BY824" s="7"/>
      <c r="BZ824" s="41"/>
      <c r="CA824" s="7"/>
      <c r="CB824" s="7"/>
      <c r="CC824" s="7"/>
      <c r="CD824" s="7"/>
      <c r="CE824" s="7"/>
      <c r="CF824" s="7"/>
    </row>
    <row r="825">
      <c r="A825" s="7"/>
      <c r="B825" s="55"/>
      <c r="C825" s="7"/>
      <c r="D825" s="7"/>
      <c r="E825" s="7"/>
      <c r="F825" s="7"/>
      <c r="G825" s="55"/>
      <c r="H825" s="7"/>
      <c r="I825" s="7"/>
      <c r="J825" s="7"/>
      <c r="K825" s="7"/>
      <c r="L825" s="7"/>
      <c r="M825" s="7"/>
      <c r="N825" s="7"/>
      <c r="O825" s="7"/>
      <c r="P825" s="7"/>
      <c r="Q825" s="55"/>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c r="BX825" s="7"/>
      <c r="BY825" s="7"/>
      <c r="BZ825" s="41"/>
      <c r="CA825" s="7"/>
      <c r="CB825" s="7"/>
      <c r="CC825" s="7"/>
      <c r="CD825" s="7"/>
      <c r="CE825" s="7"/>
      <c r="CF825" s="7"/>
    </row>
    <row r="826">
      <c r="A826" s="7"/>
      <c r="B826" s="55"/>
      <c r="C826" s="7"/>
      <c r="D826" s="7"/>
      <c r="E826" s="7"/>
      <c r="F826" s="7"/>
      <c r="G826" s="55"/>
      <c r="H826" s="7"/>
      <c r="I826" s="7"/>
      <c r="J826" s="7"/>
      <c r="K826" s="7"/>
      <c r="L826" s="7"/>
      <c r="M826" s="7"/>
      <c r="N826" s="7"/>
      <c r="O826" s="7"/>
      <c r="P826" s="7"/>
      <c r="Q826" s="55"/>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c r="BX826" s="7"/>
      <c r="BY826" s="7"/>
      <c r="BZ826" s="41"/>
      <c r="CA826" s="7"/>
      <c r="CB826" s="7"/>
      <c r="CC826" s="7"/>
      <c r="CD826" s="7"/>
      <c r="CE826" s="7"/>
      <c r="CF826" s="7"/>
    </row>
    <row r="827">
      <c r="A827" s="7"/>
      <c r="B827" s="55"/>
      <c r="C827" s="7"/>
      <c r="D827" s="7"/>
      <c r="E827" s="7"/>
      <c r="F827" s="7"/>
      <c r="G827" s="55"/>
      <c r="H827" s="7"/>
      <c r="I827" s="7"/>
      <c r="J827" s="7"/>
      <c r="K827" s="7"/>
      <c r="L827" s="7"/>
      <c r="M827" s="7"/>
      <c r="N827" s="7"/>
      <c r="O827" s="7"/>
      <c r="P827" s="7"/>
      <c r="Q827" s="55"/>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c r="BX827" s="7"/>
      <c r="BY827" s="7"/>
      <c r="BZ827" s="41"/>
      <c r="CA827" s="7"/>
      <c r="CB827" s="7"/>
      <c r="CC827" s="7"/>
      <c r="CD827" s="7"/>
      <c r="CE827" s="7"/>
      <c r="CF827" s="7"/>
    </row>
    <row r="828">
      <c r="A828" s="7"/>
      <c r="B828" s="55"/>
      <c r="C828" s="7"/>
      <c r="D828" s="7"/>
      <c r="E828" s="7"/>
      <c r="F828" s="7"/>
      <c r="G828" s="55"/>
      <c r="H828" s="7"/>
      <c r="I828" s="7"/>
      <c r="J828" s="7"/>
      <c r="K828" s="7"/>
      <c r="L828" s="7"/>
      <c r="M828" s="7"/>
      <c r="N828" s="7"/>
      <c r="O828" s="7"/>
      <c r="P828" s="7"/>
      <c r="Q828" s="55"/>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c r="BX828" s="7"/>
      <c r="BY828" s="7"/>
      <c r="BZ828" s="41"/>
      <c r="CA828" s="7"/>
      <c r="CB828" s="7"/>
      <c r="CC828" s="7"/>
      <c r="CD828" s="7"/>
      <c r="CE828" s="7"/>
      <c r="CF828" s="7"/>
    </row>
    <row r="829">
      <c r="A829" s="7"/>
      <c r="B829" s="55"/>
      <c r="C829" s="7"/>
      <c r="D829" s="7"/>
      <c r="E829" s="7"/>
      <c r="F829" s="7"/>
      <c r="G829" s="55"/>
      <c r="H829" s="7"/>
      <c r="I829" s="7"/>
      <c r="J829" s="7"/>
      <c r="K829" s="7"/>
      <c r="L829" s="7"/>
      <c r="M829" s="7"/>
      <c r="N829" s="7"/>
      <c r="O829" s="7"/>
      <c r="P829" s="7"/>
      <c r="Q829" s="55"/>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c r="BX829" s="7"/>
      <c r="BY829" s="7"/>
      <c r="BZ829" s="41"/>
      <c r="CA829" s="7"/>
      <c r="CB829" s="7"/>
      <c r="CC829" s="7"/>
      <c r="CD829" s="7"/>
      <c r="CE829" s="7"/>
      <c r="CF829" s="7"/>
    </row>
    <row r="830">
      <c r="A830" s="7"/>
      <c r="B830" s="55"/>
      <c r="C830" s="7"/>
      <c r="D830" s="7"/>
      <c r="E830" s="7"/>
      <c r="F830" s="7"/>
      <c r="G830" s="55"/>
      <c r="H830" s="7"/>
      <c r="I830" s="7"/>
      <c r="J830" s="7"/>
      <c r="K830" s="7"/>
      <c r="L830" s="7"/>
      <c r="M830" s="7"/>
      <c r="N830" s="7"/>
      <c r="O830" s="7"/>
      <c r="P830" s="7"/>
      <c r="Q830" s="55"/>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c r="BN830" s="7"/>
      <c r="BO830" s="7"/>
      <c r="BP830" s="7"/>
      <c r="BQ830" s="7"/>
      <c r="BR830" s="7"/>
      <c r="BS830" s="7"/>
      <c r="BT830" s="7"/>
      <c r="BU830" s="7"/>
      <c r="BV830" s="7"/>
      <c r="BW830" s="7"/>
      <c r="BX830" s="7"/>
      <c r="BY830" s="7"/>
      <c r="BZ830" s="41"/>
      <c r="CA830" s="7"/>
      <c r="CB830" s="7"/>
      <c r="CC830" s="7"/>
      <c r="CD830" s="7"/>
      <c r="CE830" s="7"/>
      <c r="CF830" s="7"/>
    </row>
    <row r="831">
      <c r="A831" s="7"/>
      <c r="B831" s="55"/>
      <c r="C831" s="7"/>
      <c r="D831" s="7"/>
      <c r="E831" s="7"/>
      <c r="F831" s="7"/>
      <c r="G831" s="55"/>
      <c r="H831" s="7"/>
      <c r="I831" s="7"/>
      <c r="J831" s="7"/>
      <c r="K831" s="7"/>
      <c r="L831" s="7"/>
      <c r="M831" s="7"/>
      <c r="N831" s="7"/>
      <c r="O831" s="7"/>
      <c r="P831" s="7"/>
      <c r="Q831" s="55"/>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c r="BX831" s="7"/>
      <c r="BY831" s="7"/>
      <c r="BZ831" s="41"/>
      <c r="CA831" s="7"/>
      <c r="CB831" s="7"/>
      <c r="CC831" s="7"/>
      <c r="CD831" s="7"/>
      <c r="CE831" s="7"/>
      <c r="CF831" s="7"/>
    </row>
    <row r="832">
      <c r="A832" s="7"/>
      <c r="B832" s="55"/>
      <c r="C832" s="7"/>
      <c r="D832" s="7"/>
      <c r="E832" s="7"/>
      <c r="F832" s="7"/>
      <c r="G832" s="55"/>
      <c r="H832" s="7"/>
      <c r="I832" s="7"/>
      <c r="J832" s="7"/>
      <c r="K832" s="7"/>
      <c r="L832" s="7"/>
      <c r="M832" s="7"/>
      <c r="N832" s="7"/>
      <c r="O832" s="7"/>
      <c r="P832" s="7"/>
      <c r="Q832" s="55"/>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c r="BN832" s="7"/>
      <c r="BO832" s="7"/>
      <c r="BP832" s="7"/>
      <c r="BQ832" s="7"/>
      <c r="BR832" s="7"/>
      <c r="BS832" s="7"/>
      <c r="BT832" s="7"/>
      <c r="BU832" s="7"/>
      <c r="BV832" s="7"/>
      <c r="BW832" s="7"/>
      <c r="BX832" s="7"/>
      <c r="BY832" s="7"/>
      <c r="BZ832" s="41"/>
      <c r="CA832" s="7"/>
      <c r="CB832" s="7"/>
      <c r="CC832" s="7"/>
      <c r="CD832" s="7"/>
      <c r="CE832" s="7"/>
      <c r="CF832" s="7"/>
    </row>
    <row r="833">
      <c r="A833" s="7"/>
      <c r="B833" s="55"/>
      <c r="C833" s="7"/>
      <c r="D833" s="7"/>
      <c r="E833" s="7"/>
      <c r="F833" s="7"/>
      <c r="G833" s="55"/>
      <c r="H833" s="7"/>
      <c r="I833" s="7"/>
      <c r="J833" s="7"/>
      <c r="K833" s="7"/>
      <c r="L833" s="7"/>
      <c r="M833" s="7"/>
      <c r="N833" s="7"/>
      <c r="O833" s="7"/>
      <c r="P833" s="7"/>
      <c r="Q833" s="55"/>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c r="BZ833" s="41"/>
      <c r="CA833" s="7"/>
      <c r="CB833" s="7"/>
      <c r="CC833" s="7"/>
      <c r="CD833" s="7"/>
      <c r="CE833" s="7"/>
      <c r="CF833" s="7"/>
    </row>
    <row r="834">
      <c r="A834" s="7"/>
      <c r="B834" s="55"/>
      <c r="C834" s="7"/>
      <c r="D834" s="7"/>
      <c r="E834" s="7"/>
      <c r="F834" s="7"/>
      <c r="G834" s="55"/>
      <c r="H834" s="7"/>
      <c r="I834" s="7"/>
      <c r="J834" s="7"/>
      <c r="K834" s="7"/>
      <c r="L834" s="7"/>
      <c r="M834" s="7"/>
      <c r="N834" s="7"/>
      <c r="O834" s="7"/>
      <c r="P834" s="7"/>
      <c r="Q834" s="55"/>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c r="BN834" s="7"/>
      <c r="BO834" s="7"/>
      <c r="BP834" s="7"/>
      <c r="BQ834" s="7"/>
      <c r="BR834" s="7"/>
      <c r="BS834" s="7"/>
      <c r="BT834" s="7"/>
      <c r="BU834" s="7"/>
      <c r="BV834" s="7"/>
      <c r="BW834" s="7"/>
      <c r="BX834" s="7"/>
      <c r="BY834" s="7"/>
      <c r="BZ834" s="41"/>
      <c r="CA834" s="7"/>
      <c r="CB834" s="7"/>
      <c r="CC834" s="7"/>
      <c r="CD834" s="7"/>
      <c r="CE834" s="7"/>
      <c r="CF834" s="7"/>
    </row>
    <row r="835">
      <c r="A835" s="7"/>
      <c r="B835" s="55"/>
      <c r="C835" s="7"/>
      <c r="D835" s="7"/>
      <c r="E835" s="7"/>
      <c r="F835" s="7"/>
      <c r="G835" s="55"/>
      <c r="H835" s="7"/>
      <c r="I835" s="7"/>
      <c r="J835" s="7"/>
      <c r="K835" s="7"/>
      <c r="L835" s="7"/>
      <c r="M835" s="7"/>
      <c r="N835" s="7"/>
      <c r="O835" s="7"/>
      <c r="P835" s="7"/>
      <c r="Q835" s="55"/>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41"/>
      <c r="CA835" s="7"/>
      <c r="CB835" s="7"/>
      <c r="CC835" s="7"/>
      <c r="CD835" s="7"/>
      <c r="CE835" s="7"/>
      <c r="CF835" s="7"/>
    </row>
    <row r="836">
      <c r="A836" s="7"/>
      <c r="B836" s="55"/>
      <c r="C836" s="7"/>
      <c r="D836" s="7"/>
      <c r="E836" s="7"/>
      <c r="F836" s="7"/>
      <c r="G836" s="55"/>
      <c r="H836" s="7"/>
      <c r="I836" s="7"/>
      <c r="J836" s="7"/>
      <c r="K836" s="7"/>
      <c r="L836" s="7"/>
      <c r="M836" s="7"/>
      <c r="N836" s="7"/>
      <c r="O836" s="7"/>
      <c r="P836" s="7"/>
      <c r="Q836" s="55"/>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c r="BN836" s="7"/>
      <c r="BO836" s="7"/>
      <c r="BP836" s="7"/>
      <c r="BQ836" s="7"/>
      <c r="BR836" s="7"/>
      <c r="BS836" s="7"/>
      <c r="BT836" s="7"/>
      <c r="BU836" s="7"/>
      <c r="BV836" s="7"/>
      <c r="BW836" s="7"/>
      <c r="BX836" s="7"/>
      <c r="BY836" s="7"/>
      <c r="BZ836" s="41"/>
      <c r="CA836" s="7"/>
      <c r="CB836" s="7"/>
      <c r="CC836" s="7"/>
      <c r="CD836" s="7"/>
      <c r="CE836" s="7"/>
      <c r="CF836" s="7"/>
    </row>
    <row r="837">
      <c r="A837" s="7"/>
      <c r="B837" s="55"/>
      <c r="C837" s="7"/>
      <c r="D837" s="7"/>
      <c r="E837" s="7"/>
      <c r="F837" s="7"/>
      <c r="G837" s="55"/>
      <c r="H837" s="7"/>
      <c r="I837" s="7"/>
      <c r="J837" s="7"/>
      <c r="K837" s="7"/>
      <c r="L837" s="7"/>
      <c r="M837" s="7"/>
      <c r="N837" s="7"/>
      <c r="O837" s="7"/>
      <c r="P837" s="7"/>
      <c r="Q837" s="55"/>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c r="BX837" s="7"/>
      <c r="BY837" s="7"/>
      <c r="BZ837" s="41"/>
      <c r="CA837" s="7"/>
      <c r="CB837" s="7"/>
      <c r="CC837" s="7"/>
      <c r="CD837" s="7"/>
      <c r="CE837" s="7"/>
      <c r="CF837" s="7"/>
    </row>
    <row r="838">
      <c r="A838" s="7"/>
      <c r="B838" s="55"/>
      <c r="C838" s="7"/>
      <c r="D838" s="7"/>
      <c r="E838" s="7"/>
      <c r="F838" s="7"/>
      <c r="G838" s="55"/>
      <c r="H838" s="7"/>
      <c r="I838" s="7"/>
      <c r="J838" s="7"/>
      <c r="K838" s="7"/>
      <c r="L838" s="7"/>
      <c r="M838" s="7"/>
      <c r="N838" s="7"/>
      <c r="O838" s="7"/>
      <c r="P838" s="7"/>
      <c r="Q838" s="55"/>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c r="BN838" s="7"/>
      <c r="BO838" s="7"/>
      <c r="BP838" s="7"/>
      <c r="BQ838" s="7"/>
      <c r="BR838" s="7"/>
      <c r="BS838" s="7"/>
      <c r="BT838" s="7"/>
      <c r="BU838" s="7"/>
      <c r="BV838" s="7"/>
      <c r="BW838" s="7"/>
      <c r="BX838" s="7"/>
      <c r="BY838" s="7"/>
      <c r="BZ838" s="41"/>
      <c r="CA838" s="7"/>
      <c r="CB838" s="7"/>
      <c r="CC838" s="7"/>
      <c r="CD838" s="7"/>
      <c r="CE838" s="7"/>
      <c r="CF838" s="7"/>
    </row>
    <row r="839">
      <c r="A839" s="7"/>
      <c r="B839" s="55"/>
      <c r="C839" s="7"/>
      <c r="D839" s="7"/>
      <c r="E839" s="7"/>
      <c r="F839" s="7"/>
      <c r="G839" s="55"/>
      <c r="H839" s="7"/>
      <c r="I839" s="7"/>
      <c r="J839" s="7"/>
      <c r="K839" s="7"/>
      <c r="L839" s="7"/>
      <c r="M839" s="7"/>
      <c r="N839" s="7"/>
      <c r="O839" s="7"/>
      <c r="P839" s="7"/>
      <c r="Q839" s="55"/>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c r="BZ839" s="41"/>
      <c r="CA839" s="7"/>
      <c r="CB839" s="7"/>
      <c r="CC839" s="7"/>
      <c r="CD839" s="7"/>
      <c r="CE839" s="7"/>
      <c r="CF839" s="7"/>
    </row>
    <row r="840">
      <c r="A840" s="7"/>
      <c r="B840" s="55"/>
      <c r="C840" s="7"/>
      <c r="D840" s="7"/>
      <c r="E840" s="7"/>
      <c r="F840" s="7"/>
      <c r="G840" s="55"/>
      <c r="H840" s="7"/>
      <c r="I840" s="7"/>
      <c r="J840" s="7"/>
      <c r="K840" s="7"/>
      <c r="L840" s="7"/>
      <c r="M840" s="7"/>
      <c r="N840" s="7"/>
      <c r="O840" s="7"/>
      <c r="P840" s="7"/>
      <c r="Q840" s="55"/>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c r="BN840" s="7"/>
      <c r="BO840" s="7"/>
      <c r="BP840" s="7"/>
      <c r="BQ840" s="7"/>
      <c r="BR840" s="7"/>
      <c r="BS840" s="7"/>
      <c r="BT840" s="7"/>
      <c r="BU840" s="7"/>
      <c r="BV840" s="7"/>
      <c r="BW840" s="7"/>
      <c r="BX840" s="7"/>
      <c r="BY840" s="7"/>
      <c r="BZ840" s="41"/>
      <c r="CA840" s="7"/>
      <c r="CB840" s="7"/>
      <c r="CC840" s="7"/>
      <c r="CD840" s="7"/>
      <c r="CE840" s="7"/>
      <c r="CF840" s="7"/>
    </row>
    <row r="841">
      <c r="A841" s="7"/>
      <c r="B841" s="55"/>
      <c r="C841" s="7"/>
      <c r="D841" s="7"/>
      <c r="E841" s="7"/>
      <c r="F841" s="7"/>
      <c r="G841" s="55"/>
      <c r="H841" s="7"/>
      <c r="I841" s="7"/>
      <c r="J841" s="7"/>
      <c r="K841" s="7"/>
      <c r="L841" s="7"/>
      <c r="M841" s="7"/>
      <c r="N841" s="7"/>
      <c r="O841" s="7"/>
      <c r="P841" s="7"/>
      <c r="Q841" s="55"/>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c r="BZ841" s="41"/>
      <c r="CA841" s="7"/>
      <c r="CB841" s="7"/>
      <c r="CC841" s="7"/>
      <c r="CD841" s="7"/>
      <c r="CE841" s="7"/>
      <c r="CF841" s="7"/>
    </row>
    <row r="842">
      <c r="A842" s="7"/>
      <c r="B842" s="55"/>
      <c r="C842" s="7"/>
      <c r="D842" s="7"/>
      <c r="E842" s="7"/>
      <c r="F842" s="7"/>
      <c r="G842" s="55"/>
      <c r="H842" s="7"/>
      <c r="I842" s="7"/>
      <c r="J842" s="7"/>
      <c r="K842" s="7"/>
      <c r="L842" s="7"/>
      <c r="M842" s="7"/>
      <c r="N842" s="7"/>
      <c r="O842" s="7"/>
      <c r="P842" s="7"/>
      <c r="Q842" s="55"/>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c r="BN842" s="7"/>
      <c r="BO842" s="7"/>
      <c r="BP842" s="7"/>
      <c r="BQ842" s="7"/>
      <c r="BR842" s="7"/>
      <c r="BS842" s="7"/>
      <c r="BT842" s="7"/>
      <c r="BU842" s="7"/>
      <c r="BV842" s="7"/>
      <c r="BW842" s="7"/>
      <c r="BX842" s="7"/>
      <c r="BY842" s="7"/>
      <c r="BZ842" s="41"/>
      <c r="CA842" s="7"/>
      <c r="CB842" s="7"/>
      <c r="CC842" s="7"/>
      <c r="CD842" s="7"/>
      <c r="CE842" s="7"/>
      <c r="CF842" s="7"/>
    </row>
    <row r="843">
      <c r="A843" s="7"/>
      <c r="B843" s="55"/>
      <c r="C843" s="7"/>
      <c r="D843" s="7"/>
      <c r="E843" s="7"/>
      <c r="F843" s="7"/>
      <c r="G843" s="55"/>
      <c r="H843" s="7"/>
      <c r="I843" s="7"/>
      <c r="J843" s="7"/>
      <c r="K843" s="7"/>
      <c r="L843" s="7"/>
      <c r="M843" s="7"/>
      <c r="N843" s="7"/>
      <c r="O843" s="7"/>
      <c r="P843" s="7"/>
      <c r="Q843" s="55"/>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c r="BZ843" s="41"/>
      <c r="CA843" s="7"/>
      <c r="CB843" s="7"/>
      <c r="CC843" s="7"/>
      <c r="CD843" s="7"/>
      <c r="CE843" s="7"/>
      <c r="CF843" s="7"/>
    </row>
    <row r="844">
      <c r="A844" s="7"/>
      <c r="B844" s="55"/>
      <c r="C844" s="7"/>
      <c r="D844" s="7"/>
      <c r="E844" s="7"/>
      <c r="F844" s="7"/>
      <c r="G844" s="55"/>
      <c r="H844" s="7"/>
      <c r="I844" s="7"/>
      <c r="J844" s="7"/>
      <c r="K844" s="7"/>
      <c r="L844" s="7"/>
      <c r="M844" s="7"/>
      <c r="N844" s="7"/>
      <c r="O844" s="7"/>
      <c r="P844" s="7"/>
      <c r="Q844" s="55"/>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c r="BN844" s="7"/>
      <c r="BO844" s="7"/>
      <c r="BP844" s="7"/>
      <c r="BQ844" s="7"/>
      <c r="BR844" s="7"/>
      <c r="BS844" s="7"/>
      <c r="BT844" s="7"/>
      <c r="BU844" s="7"/>
      <c r="BV844" s="7"/>
      <c r="BW844" s="7"/>
      <c r="BX844" s="7"/>
      <c r="BY844" s="7"/>
      <c r="BZ844" s="41"/>
      <c r="CA844" s="7"/>
      <c r="CB844" s="7"/>
      <c r="CC844" s="7"/>
      <c r="CD844" s="7"/>
      <c r="CE844" s="7"/>
      <c r="CF844" s="7"/>
    </row>
    <row r="845">
      <c r="A845" s="7"/>
      <c r="B845" s="55"/>
      <c r="C845" s="7"/>
      <c r="D845" s="7"/>
      <c r="E845" s="7"/>
      <c r="F845" s="7"/>
      <c r="G845" s="55"/>
      <c r="H845" s="7"/>
      <c r="I845" s="7"/>
      <c r="J845" s="7"/>
      <c r="K845" s="7"/>
      <c r="L845" s="7"/>
      <c r="M845" s="7"/>
      <c r="N845" s="7"/>
      <c r="O845" s="7"/>
      <c r="P845" s="7"/>
      <c r="Q845" s="55"/>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c r="BX845" s="7"/>
      <c r="BY845" s="7"/>
      <c r="BZ845" s="41"/>
      <c r="CA845" s="7"/>
      <c r="CB845" s="7"/>
      <c r="CC845" s="7"/>
      <c r="CD845" s="7"/>
      <c r="CE845" s="7"/>
      <c r="CF845" s="7"/>
    </row>
    <row r="846">
      <c r="A846" s="7"/>
      <c r="B846" s="55"/>
      <c r="C846" s="7"/>
      <c r="D846" s="7"/>
      <c r="E846" s="7"/>
      <c r="F846" s="7"/>
      <c r="G846" s="55"/>
      <c r="H846" s="7"/>
      <c r="I846" s="7"/>
      <c r="J846" s="7"/>
      <c r="K846" s="7"/>
      <c r="L846" s="7"/>
      <c r="M846" s="7"/>
      <c r="N846" s="7"/>
      <c r="O846" s="7"/>
      <c r="P846" s="7"/>
      <c r="Q846" s="55"/>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c r="BN846" s="7"/>
      <c r="BO846" s="7"/>
      <c r="BP846" s="7"/>
      <c r="BQ846" s="7"/>
      <c r="BR846" s="7"/>
      <c r="BS846" s="7"/>
      <c r="BT846" s="7"/>
      <c r="BU846" s="7"/>
      <c r="BV846" s="7"/>
      <c r="BW846" s="7"/>
      <c r="BX846" s="7"/>
      <c r="BY846" s="7"/>
      <c r="BZ846" s="41"/>
      <c r="CA846" s="7"/>
      <c r="CB846" s="7"/>
      <c r="CC846" s="7"/>
      <c r="CD846" s="7"/>
      <c r="CE846" s="7"/>
      <c r="CF846" s="7"/>
    </row>
    <row r="847">
      <c r="A847" s="7"/>
      <c r="B847" s="55"/>
      <c r="C847" s="7"/>
      <c r="D847" s="7"/>
      <c r="E847" s="7"/>
      <c r="F847" s="7"/>
      <c r="G847" s="55"/>
      <c r="H847" s="7"/>
      <c r="I847" s="7"/>
      <c r="J847" s="7"/>
      <c r="K847" s="7"/>
      <c r="L847" s="7"/>
      <c r="M847" s="7"/>
      <c r="N847" s="7"/>
      <c r="O847" s="7"/>
      <c r="P847" s="7"/>
      <c r="Q847" s="55"/>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c r="BZ847" s="41"/>
      <c r="CA847" s="7"/>
      <c r="CB847" s="7"/>
      <c r="CC847" s="7"/>
      <c r="CD847" s="7"/>
      <c r="CE847" s="7"/>
      <c r="CF847" s="7"/>
    </row>
    <row r="848">
      <c r="A848" s="7"/>
      <c r="B848" s="55"/>
      <c r="C848" s="7"/>
      <c r="D848" s="7"/>
      <c r="E848" s="7"/>
      <c r="F848" s="7"/>
      <c r="G848" s="55"/>
      <c r="H848" s="7"/>
      <c r="I848" s="7"/>
      <c r="J848" s="7"/>
      <c r="K848" s="7"/>
      <c r="L848" s="7"/>
      <c r="M848" s="7"/>
      <c r="N848" s="7"/>
      <c r="O848" s="7"/>
      <c r="P848" s="7"/>
      <c r="Q848" s="55"/>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c r="BX848" s="7"/>
      <c r="BY848" s="7"/>
      <c r="BZ848" s="41"/>
      <c r="CA848" s="7"/>
      <c r="CB848" s="7"/>
      <c r="CC848" s="7"/>
      <c r="CD848" s="7"/>
      <c r="CE848" s="7"/>
      <c r="CF848" s="7"/>
    </row>
    <row r="849">
      <c r="A849" s="7"/>
      <c r="B849" s="55"/>
      <c r="C849" s="7"/>
      <c r="D849" s="7"/>
      <c r="E849" s="7"/>
      <c r="F849" s="7"/>
      <c r="G849" s="55"/>
      <c r="H849" s="7"/>
      <c r="I849" s="7"/>
      <c r="J849" s="7"/>
      <c r="K849" s="7"/>
      <c r="L849" s="7"/>
      <c r="M849" s="7"/>
      <c r="N849" s="7"/>
      <c r="O849" s="7"/>
      <c r="P849" s="7"/>
      <c r="Q849" s="55"/>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c r="BZ849" s="41"/>
      <c r="CA849" s="7"/>
      <c r="CB849" s="7"/>
      <c r="CC849" s="7"/>
      <c r="CD849" s="7"/>
      <c r="CE849" s="7"/>
      <c r="CF849" s="7"/>
    </row>
    <row r="850">
      <c r="A850" s="7"/>
      <c r="B850" s="55"/>
      <c r="C850" s="7"/>
      <c r="D850" s="7"/>
      <c r="E850" s="7"/>
      <c r="F850" s="7"/>
      <c r="G850" s="55"/>
      <c r="H850" s="7"/>
      <c r="I850" s="7"/>
      <c r="J850" s="7"/>
      <c r="K850" s="7"/>
      <c r="L850" s="7"/>
      <c r="M850" s="7"/>
      <c r="N850" s="7"/>
      <c r="O850" s="7"/>
      <c r="P850" s="7"/>
      <c r="Q850" s="55"/>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c r="BN850" s="7"/>
      <c r="BO850" s="7"/>
      <c r="BP850" s="7"/>
      <c r="BQ850" s="7"/>
      <c r="BR850" s="7"/>
      <c r="BS850" s="7"/>
      <c r="BT850" s="7"/>
      <c r="BU850" s="7"/>
      <c r="BV850" s="7"/>
      <c r="BW850" s="7"/>
      <c r="BX850" s="7"/>
      <c r="BY850" s="7"/>
      <c r="BZ850" s="41"/>
      <c r="CA850" s="7"/>
      <c r="CB850" s="7"/>
      <c r="CC850" s="7"/>
      <c r="CD850" s="7"/>
      <c r="CE850" s="7"/>
      <c r="CF850" s="7"/>
    </row>
    <row r="851">
      <c r="A851" s="7"/>
      <c r="B851" s="55"/>
      <c r="C851" s="7"/>
      <c r="D851" s="7"/>
      <c r="E851" s="7"/>
      <c r="F851" s="7"/>
      <c r="G851" s="55"/>
      <c r="H851" s="7"/>
      <c r="I851" s="7"/>
      <c r="J851" s="7"/>
      <c r="K851" s="7"/>
      <c r="L851" s="7"/>
      <c r="M851" s="7"/>
      <c r="N851" s="7"/>
      <c r="O851" s="7"/>
      <c r="P851" s="7"/>
      <c r="Q851" s="55"/>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c r="BZ851" s="41"/>
      <c r="CA851" s="7"/>
      <c r="CB851" s="7"/>
      <c r="CC851" s="7"/>
      <c r="CD851" s="7"/>
      <c r="CE851" s="7"/>
      <c r="CF851" s="7"/>
    </row>
    <row r="852">
      <c r="A852" s="7"/>
      <c r="B852" s="55"/>
      <c r="C852" s="7"/>
      <c r="D852" s="7"/>
      <c r="E852" s="7"/>
      <c r="F852" s="7"/>
      <c r="G852" s="55"/>
      <c r="H852" s="7"/>
      <c r="I852" s="7"/>
      <c r="J852" s="7"/>
      <c r="K852" s="7"/>
      <c r="L852" s="7"/>
      <c r="M852" s="7"/>
      <c r="N852" s="7"/>
      <c r="O852" s="7"/>
      <c r="P852" s="7"/>
      <c r="Q852" s="55"/>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c r="BN852" s="7"/>
      <c r="BO852" s="7"/>
      <c r="BP852" s="7"/>
      <c r="BQ852" s="7"/>
      <c r="BR852" s="7"/>
      <c r="BS852" s="7"/>
      <c r="BT852" s="7"/>
      <c r="BU852" s="7"/>
      <c r="BV852" s="7"/>
      <c r="BW852" s="7"/>
      <c r="BX852" s="7"/>
      <c r="BY852" s="7"/>
      <c r="BZ852" s="41"/>
      <c r="CA852" s="7"/>
      <c r="CB852" s="7"/>
      <c r="CC852" s="7"/>
      <c r="CD852" s="7"/>
      <c r="CE852" s="7"/>
      <c r="CF852" s="7"/>
    </row>
    <row r="853">
      <c r="A853" s="7"/>
      <c r="B853" s="55"/>
      <c r="C853" s="7"/>
      <c r="D853" s="7"/>
      <c r="E853" s="7"/>
      <c r="F853" s="7"/>
      <c r="G853" s="55"/>
      <c r="H853" s="7"/>
      <c r="I853" s="7"/>
      <c r="J853" s="7"/>
      <c r="K853" s="7"/>
      <c r="L853" s="7"/>
      <c r="M853" s="7"/>
      <c r="N853" s="7"/>
      <c r="O853" s="7"/>
      <c r="P853" s="7"/>
      <c r="Q853" s="55"/>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c r="BZ853" s="41"/>
      <c r="CA853" s="7"/>
      <c r="CB853" s="7"/>
      <c r="CC853" s="7"/>
      <c r="CD853" s="7"/>
      <c r="CE853" s="7"/>
      <c r="CF853" s="7"/>
    </row>
    <row r="854">
      <c r="A854" s="7"/>
      <c r="B854" s="55"/>
      <c r="C854" s="7"/>
      <c r="D854" s="7"/>
      <c r="E854" s="7"/>
      <c r="F854" s="7"/>
      <c r="G854" s="55"/>
      <c r="H854" s="7"/>
      <c r="I854" s="7"/>
      <c r="J854" s="7"/>
      <c r="K854" s="7"/>
      <c r="L854" s="7"/>
      <c r="M854" s="7"/>
      <c r="N854" s="7"/>
      <c r="O854" s="7"/>
      <c r="P854" s="7"/>
      <c r="Q854" s="55"/>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c r="BN854" s="7"/>
      <c r="BO854" s="7"/>
      <c r="BP854" s="7"/>
      <c r="BQ854" s="7"/>
      <c r="BR854" s="7"/>
      <c r="BS854" s="7"/>
      <c r="BT854" s="7"/>
      <c r="BU854" s="7"/>
      <c r="BV854" s="7"/>
      <c r="BW854" s="7"/>
      <c r="BX854" s="7"/>
      <c r="BY854" s="7"/>
      <c r="BZ854" s="41"/>
      <c r="CA854" s="7"/>
      <c r="CB854" s="7"/>
      <c r="CC854" s="7"/>
      <c r="CD854" s="7"/>
      <c r="CE854" s="7"/>
      <c r="CF854" s="7"/>
    </row>
    <row r="855">
      <c r="A855" s="7"/>
      <c r="B855" s="55"/>
      <c r="C855" s="7"/>
      <c r="D855" s="7"/>
      <c r="E855" s="7"/>
      <c r="F855" s="7"/>
      <c r="G855" s="55"/>
      <c r="H855" s="7"/>
      <c r="I855" s="7"/>
      <c r="J855" s="7"/>
      <c r="K855" s="7"/>
      <c r="L855" s="7"/>
      <c r="M855" s="7"/>
      <c r="N855" s="7"/>
      <c r="O855" s="7"/>
      <c r="P855" s="7"/>
      <c r="Q855" s="55"/>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c r="BZ855" s="41"/>
      <c r="CA855" s="7"/>
      <c r="CB855" s="7"/>
      <c r="CC855" s="7"/>
      <c r="CD855" s="7"/>
      <c r="CE855" s="7"/>
      <c r="CF855" s="7"/>
    </row>
    <row r="856">
      <c r="A856" s="7"/>
      <c r="B856" s="55"/>
      <c r="C856" s="7"/>
      <c r="D856" s="7"/>
      <c r="E856" s="7"/>
      <c r="F856" s="7"/>
      <c r="G856" s="55"/>
      <c r="H856" s="7"/>
      <c r="I856" s="7"/>
      <c r="J856" s="7"/>
      <c r="K856" s="7"/>
      <c r="L856" s="7"/>
      <c r="M856" s="7"/>
      <c r="N856" s="7"/>
      <c r="O856" s="7"/>
      <c r="P856" s="7"/>
      <c r="Q856" s="55"/>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c r="BN856" s="7"/>
      <c r="BO856" s="7"/>
      <c r="BP856" s="7"/>
      <c r="BQ856" s="7"/>
      <c r="BR856" s="7"/>
      <c r="BS856" s="7"/>
      <c r="BT856" s="7"/>
      <c r="BU856" s="7"/>
      <c r="BV856" s="7"/>
      <c r="BW856" s="7"/>
      <c r="BX856" s="7"/>
      <c r="BY856" s="7"/>
      <c r="BZ856" s="41"/>
      <c r="CA856" s="7"/>
      <c r="CB856" s="7"/>
      <c r="CC856" s="7"/>
      <c r="CD856" s="7"/>
      <c r="CE856" s="7"/>
      <c r="CF856" s="7"/>
    </row>
    <row r="857">
      <c r="A857" s="7"/>
      <c r="B857" s="55"/>
      <c r="C857" s="7"/>
      <c r="D857" s="7"/>
      <c r="E857" s="7"/>
      <c r="F857" s="7"/>
      <c r="G857" s="55"/>
      <c r="H857" s="7"/>
      <c r="I857" s="7"/>
      <c r="J857" s="7"/>
      <c r="K857" s="7"/>
      <c r="L857" s="7"/>
      <c r="M857" s="7"/>
      <c r="N857" s="7"/>
      <c r="O857" s="7"/>
      <c r="P857" s="7"/>
      <c r="Q857" s="55"/>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c r="BZ857" s="41"/>
      <c r="CA857" s="7"/>
      <c r="CB857" s="7"/>
      <c r="CC857" s="7"/>
      <c r="CD857" s="7"/>
      <c r="CE857" s="7"/>
      <c r="CF857" s="7"/>
    </row>
    <row r="858">
      <c r="A858" s="7"/>
      <c r="B858" s="55"/>
      <c r="C858" s="7"/>
      <c r="D858" s="7"/>
      <c r="E858" s="7"/>
      <c r="F858" s="7"/>
      <c r="G858" s="55"/>
      <c r="H858" s="7"/>
      <c r="I858" s="7"/>
      <c r="J858" s="7"/>
      <c r="K858" s="7"/>
      <c r="L858" s="7"/>
      <c r="M858" s="7"/>
      <c r="N858" s="7"/>
      <c r="O858" s="7"/>
      <c r="P858" s="7"/>
      <c r="Q858" s="55"/>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c r="BN858" s="7"/>
      <c r="BO858" s="7"/>
      <c r="BP858" s="7"/>
      <c r="BQ858" s="7"/>
      <c r="BR858" s="7"/>
      <c r="BS858" s="7"/>
      <c r="BT858" s="7"/>
      <c r="BU858" s="7"/>
      <c r="BV858" s="7"/>
      <c r="BW858" s="7"/>
      <c r="BX858" s="7"/>
      <c r="BY858" s="7"/>
      <c r="BZ858" s="41"/>
      <c r="CA858" s="7"/>
      <c r="CB858" s="7"/>
      <c r="CC858" s="7"/>
      <c r="CD858" s="7"/>
      <c r="CE858" s="7"/>
      <c r="CF858" s="7"/>
    </row>
    <row r="859">
      <c r="A859" s="7"/>
      <c r="B859" s="55"/>
      <c r="C859" s="7"/>
      <c r="D859" s="7"/>
      <c r="E859" s="7"/>
      <c r="F859" s="7"/>
      <c r="G859" s="55"/>
      <c r="H859" s="7"/>
      <c r="I859" s="7"/>
      <c r="J859" s="7"/>
      <c r="K859" s="7"/>
      <c r="L859" s="7"/>
      <c r="M859" s="7"/>
      <c r="N859" s="7"/>
      <c r="O859" s="7"/>
      <c r="P859" s="7"/>
      <c r="Q859" s="55"/>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c r="BZ859" s="41"/>
      <c r="CA859" s="7"/>
      <c r="CB859" s="7"/>
      <c r="CC859" s="7"/>
      <c r="CD859" s="7"/>
      <c r="CE859" s="7"/>
      <c r="CF859" s="7"/>
    </row>
    <row r="860">
      <c r="A860" s="7"/>
      <c r="B860" s="55"/>
      <c r="C860" s="7"/>
      <c r="D860" s="7"/>
      <c r="E860" s="7"/>
      <c r="F860" s="7"/>
      <c r="G860" s="55"/>
      <c r="H860" s="7"/>
      <c r="I860" s="7"/>
      <c r="J860" s="7"/>
      <c r="K860" s="7"/>
      <c r="L860" s="7"/>
      <c r="M860" s="7"/>
      <c r="N860" s="7"/>
      <c r="O860" s="7"/>
      <c r="P860" s="7"/>
      <c r="Q860" s="55"/>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c r="BN860" s="7"/>
      <c r="BO860" s="7"/>
      <c r="BP860" s="7"/>
      <c r="BQ860" s="7"/>
      <c r="BR860" s="7"/>
      <c r="BS860" s="7"/>
      <c r="BT860" s="7"/>
      <c r="BU860" s="7"/>
      <c r="BV860" s="7"/>
      <c r="BW860" s="7"/>
      <c r="BX860" s="7"/>
      <c r="BY860" s="7"/>
      <c r="BZ860" s="41"/>
      <c r="CA860" s="7"/>
      <c r="CB860" s="7"/>
      <c r="CC860" s="7"/>
      <c r="CD860" s="7"/>
      <c r="CE860" s="7"/>
      <c r="CF860" s="7"/>
    </row>
    <row r="861">
      <c r="A861" s="7"/>
      <c r="B861" s="55"/>
      <c r="C861" s="7"/>
      <c r="D861" s="7"/>
      <c r="E861" s="7"/>
      <c r="F861" s="7"/>
      <c r="G861" s="55"/>
      <c r="H861" s="7"/>
      <c r="I861" s="7"/>
      <c r="J861" s="7"/>
      <c r="K861" s="7"/>
      <c r="L861" s="7"/>
      <c r="M861" s="7"/>
      <c r="N861" s="7"/>
      <c r="O861" s="7"/>
      <c r="P861" s="7"/>
      <c r="Q861" s="55"/>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c r="BX861" s="7"/>
      <c r="BY861" s="7"/>
      <c r="BZ861" s="41"/>
      <c r="CA861" s="7"/>
      <c r="CB861" s="7"/>
      <c r="CC861" s="7"/>
      <c r="CD861" s="7"/>
      <c r="CE861" s="7"/>
      <c r="CF861" s="7"/>
    </row>
    <row r="862">
      <c r="A862" s="7"/>
      <c r="B862" s="55"/>
      <c r="C862" s="7"/>
      <c r="D862" s="7"/>
      <c r="E862" s="7"/>
      <c r="F862" s="7"/>
      <c r="G862" s="55"/>
      <c r="H862" s="7"/>
      <c r="I862" s="7"/>
      <c r="J862" s="7"/>
      <c r="K862" s="7"/>
      <c r="L862" s="7"/>
      <c r="M862" s="7"/>
      <c r="N862" s="7"/>
      <c r="O862" s="7"/>
      <c r="P862" s="7"/>
      <c r="Q862" s="55"/>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c r="BN862" s="7"/>
      <c r="BO862" s="7"/>
      <c r="BP862" s="7"/>
      <c r="BQ862" s="7"/>
      <c r="BR862" s="7"/>
      <c r="BS862" s="7"/>
      <c r="BT862" s="7"/>
      <c r="BU862" s="7"/>
      <c r="BV862" s="7"/>
      <c r="BW862" s="7"/>
      <c r="BX862" s="7"/>
      <c r="BY862" s="7"/>
      <c r="BZ862" s="41"/>
      <c r="CA862" s="7"/>
      <c r="CB862" s="7"/>
      <c r="CC862" s="7"/>
      <c r="CD862" s="7"/>
      <c r="CE862" s="7"/>
      <c r="CF862" s="7"/>
    </row>
    <row r="863">
      <c r="A863" s="7"/>
      <c r="B863" s="55"/>
      <c r="C863" s="7"/>
      <c r="D863" s="7"/>
      <c r="E863" s="7"/>
      <c r="F863" s="7"/>
      <c r="G863" s="55"/>
      <c r="H863" s="7"/>
      <c r="I863" s="7"/>
      <c r="J863" s="7"/>
      <c r="K863" s="7"/>
      <c r="L863" s="7"/>
      <c r="M863" s="7"/>
      <c r="N863" s="7"/>
      <c r="O863" s="7"/>
      <c r="P863" s="7"/>
      <c r="Q863" s="55"/>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c r="BX863" s="7"/>
      <c r="BY863" s="7"/>
      <c r="BZ863" s="41"/>
      <c r="CA863" s="7"/>
      <c r="CB863" s="7"/>
      <c r="CC863" s="7"/>
      <c r="CD863" s="7"/>
      <c r="CE863" s="7"/>
      <c r="CF863" s="7"/>
    </row>
    <row r="864">
      <c r="A864" s="7"/>
      <c r="B864" s="55"/>
      <c r="C864" s="7"/>
      <c r="D864" s="7"/>
      <c r="E864" s="7"/>
      <c r="F864" s="7"/>
      <c r="G864" s="55"/>
      <c r="H864" s="7"/>
      <c r="I864" s="7"/>
      <c r="J864" s="7"/>
      <c r="K864" s="7"/>
      <c r="L864" s="7"/>
      <c r="M864" s="7"/>
      <c r="N864" s="7"/>
      <c r="O864" s="7"/>
      <c r="P864" s="7"/>
      <c r="Q864" s="55"/>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c r="BN864" s="7"/>
      <c r="BO864" s="7"/>
      <c r="BP864" s="7"/>
      <c r="BQ864" s="7"/>
      <c r="BR864" s="7"/>
      <c r="BS864" s="7"/>
      <c r="BT864" s="7"/>
      <c r="BU864" s="7"/>
      <c r="BV864" s="7"/>
      <c r="BW864" s="7"/>
      <c r="BX864" s="7"/>
      <c r="BY864" s="7"/>
      <c r="BZ864" s="41"/>
      <c r="CA864" s="7"/>
      <c r="CB864" s="7"/>
      <c r="CC864" s="7"/>
      <c r="CD864" s="7"/>
      <c r="CE864" s="7"/>
      <c r="CF864" s="7"/>
    </row>
    <row r="865">
      <c r="A865" s="7"/>
      <c r="B865" s="55"/>
      <c r="C865" s="7"/>
      <c r="D865" s="7"/>
      <c r="E865" s="7"/>
      <c r="F865" s="7"/>
      <c r="G865" s="55"/>
      <c r="H865" s="7"/>
      <c r="I865" s="7"/>
      <c r="J865" s="7"/>
      <c r="K865" s="7"/>
      <c r="L865" s="7"/>
      <c r="M865" s="7"/>
      <c r="N865" s="7"/>
      <c r="O865" s="7"/>
      <c r="P865" s="7"/>
      <c r="Q865" s="55"/>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c r="BX865" s="7"/>
      <c r="BY865" s="7"/>
      <c r="BZ865" s="41"/>
      <c r="CA865" s="7"/>
      <c r="CB865" s="7"/>
      <c r="CC865" s="7"/>
      <c r="CD865" s="7"/>
      <c r="CE865" s="7"/>
      <c r="CF865" s="7"/>
    </row>
    <row r="866">
      <c r="A866" s="7"/>
      <c r="B866" s="55"/>
      <c r="C866" s="7"/>
      <c r="D866" s="7"/>
      <c r="E866" s="7"/>
      <c r="F866" s="7"/>
      <c r="G866" s="55"/>
      <c r="H866" s="7"/>
      <c r="I866" s="7"/>
      <c r="J866" s="7"/>
      <c r="K866" s="7"/>
      <c r="L866" s="7"/>
      <c r="M866" s="7"/>
      <c r="N866" s="7"/>
      <c r="O866" s="7"/>
      <c r="P866" s="7"/>
      <c r="Q866" s="55"/>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c r="BN866" s="7"/>
      <c r="BO866" s="7"/>
      <c r="BP866" s="7"/>
      <c r="BQ866" s="7"/>
      <c r="BR866" s="7"/>
      <c r="BS866" s="7"/>
      <c r="BT866" s="7"/>
      <c r="BU866" s="7"/>
      <c r="BV866" s="7"/>
      <c r="BW866" s="7"/>
      <c r="BX866" s="7"/>
      <c r="BY866" s="7"/>
      <c r="BZ866" s="41"/>
      <c r="CA866" s="7"/>
      <c r="CB866" s="7"/>
      <c r="CC866" s="7"/>
      <c r="CD866" s="7"/>
      <c r="CE866" s="7"/>
      <c r="CF866" s="7"/>
    </row>
    <row r="867">
      <c r="A867" s="7"/>
      <c r="B867" s="55"/>
      <c r="C867" s="7"/>
      <c r="D867" s="7"/>
      <c r="E867" s="7"/>
      <c r="F867" s="7"/>
      <c r="G867" s="55"/>
      <c r="H867" s="7"/>
      <c r="I867" s="7"/>
      <c r="J867" s="7"/>
      <c r="K867" s="7"/>
      <c r="L867" s="7"/>
      <c r="M867" s="7"/>
      <c r="N867" s="7"/>
      <c r="O867" s="7"/>
      <c r="P867" s="7"/>
      <c r="Q867" s="55"/>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c r="BZ867" s="41"/>
      <c r="CA867" s="7"/>
      <c r="CB867" s="7"/>
      <c r="CC867" s="7"/>
      <c r="CD867" s="7"/>
      <c r="CE867" s="7"/>
      <c r="CF867" s="7"/>
    </row>
    <row r="868">
      <c r="A868" s="7"/>
      <c r="B868" s="55"/>
      <c r="C868" s="7"/>
      <c r="D868" s="7"/>
      <c r="E868" s="7"/>
      <c r="F868" s="7"/>
      <c r="G868" s="55"/>
      <c r="H868" s="7"/>
      <c r="I868" s="7"/>
      <c r="J868" s="7"/>
      <c r="K868" s="7"/>
      <c r="L868" s="7"/>
      <c r="M868" s="7"/>
      <c r="N868" s="7"/>
      <c r="O868" s="7"/>
      <c r="P868" s="7"/>
      <c r="Q868" s="55"/>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c r="BN868" s="7"/>
      <c r="BO868" s="7"/>
      <c r="BP868" s="7"/>
      <c r="BQ868" s="7"/>
      <c r="BR868" s="7"/>
      <c r="BS868" s="7"/>
      <c r="BT868" s="7"/>
      <c r="BU868" s="7"/>
      <c r="BV868" s="7"/>
      <c r="BW868" s="7"/>
      <c r="BX868" s="7"/>
      <c r="BY868" s="7"/>
      <c r="BZ868" s="41"/>
      <c r="CA868" s="7"/>
      <c r="CB868" s="7"/>
      <c r="CC868" s="7"/>
      <c r="CD868" s="7"/>
      <c r="CE868" s="7"/>
      <c r="CF868" s="7"/>
    </row>
    <row r="869">
      <c r="A869" s="7"/>
      <c r="B869" s="55"/>
      <c r="C869" s="7"/>
      <c r="D869" s="7"/>
      <c r="E869" s="7"/>
      <c r="F869" s="7"/>
      <c r="G869" s="55"/>
      <c r="H869" s="7"/>
      <c r="I869" s="7"/>
      <c r="J869" s="7"/>
      <c r="K869" s="7"/>
      <c r="L869" s="7"/>
      <c r="M869" s="7"/>
      <c r="N869" s="7"/>
      <c r="O869" s="7"/>
      <c r="P869" s="7"/>
      <c r="Q869" s="55"/>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c r="BZ869" s="41"/>
      <c r="CA869" s="7"/>
      <c r="CB869" s="7"/>
      <c r="CC869" s="7"/>
      <c r="CD869" s="7"/>
      <c r="CE869" s="7"/>
      <c r="CF869" s="7"/>
    </row>
    <row r="870">
      <c r="A870" s="7"/>
      <c r="B870" s="55"/>
      <c r="C870" s="7"/>
      <c r="D870" s="7"/>
      <c r="E870" s="7"/>
      <c r="F870" s="7"/>
      <c r="G870" s="55"/>
      <c r="H870" s="7"/>
      <c r="I870" s="7"/>
      <c r="J870" s="7"/>
      <c r="K870" s="7"/>
      <c r="L870" s="7"/>
      <c r="M870" s="7"/>
      <c r="N870" s="7"/>
      <c r="O870" s="7"/>
      <c r="P870" s="7"/>
      <c r="Q870" s="55"/>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c r="BN870" s="7"/>
      <c r="BO870" s="7"/>
      <c r="BP870" s="7"/>
      <c r="BQ870" s="7"/>
      <c r="BR870" s="7"/>
      <c r="BS870" s="7"/>
      <c r="BT870" s="7"/>
      <c r="BU870" s="7"/>
      <c r="BV870" s="7"/>
      <c r="BW870" s="7"/>
      <c r="BX870" s="7"/>
      <c r="BY870" s="7"/>
      <c r="BZ870" s="41"/>
      <c r="CA870" s="7"/>
      <c r="CB870" s="7"/>
      <c r="CC870" s="7"/>
      <c r="CD870" s="7"/>
      <c r="CE870" s="7"/>
      <c r="CF870" s="7"/>
    </row>
    <row r="871">
      <c r="A871" s="7"/>
      <c r="B871" s="55"/>
      <c r="C871" s="7"/>
      <c r="D871" s="7"/>
      <c r="E871" s="7"/>
      <c r="F871" s="7"/>
      <c r="G871" s="55"/>
      <c r="H871" s="7"/>
      <c r="I871" s="7"/>
      <c r="J871" s="7"/>
      <c r="K871" s="7"/>
      <c r="L871" s="7"/>
      <c r="M871" s="7"/>
      <c r="N871" s="7"/>
      <c r="O871" s="7"/>
      <c r="P871" s="7"/>
      <c r="Q871" s="55"/>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c r="BZ871" s="41"/>
      <c r="CA871" s="7"/>
      <c r="CB871" s="7"/>
      <c r="CC871" s="7"/>
      <c r="CD871" s="7"/>
      <c r="CE871" s="7"/>
      <c r="CF871" s="7"/>
    </row>
    <row r="872">
      <c r="A872" s="7"/>
      <c r="B872" s="55"/>
      <c r="C872" s="7"/>
      <c r="D872" s="7"/>
      <c r="E872" s="7"/>
      <c r="F872" s="7"/>
      <c r="G872" s="55"/>
      <c r="H872" s="7"/>
      <c r="I872" s="7"/>
      <c r="J872" s="7"/>
      <c r="K872" s="7"/>
      <c r="L872" s="7"/>
      <c r="M872" s="7"/>
      <c r="N872" s="7"/>
      <c r="O872" s="7"/>
      <c r="P872" s="7"/>
      <c r="Q872" s="55"/>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c r="BX872" s="7"/>
      <c r="BY872" s="7"/>
      <c r="BZ872" s="41"/>
      <c r="CA872" s="7"/>
      <c r="CB872" s="7"/>
      <c r="CC872" s="7"/>
      <c r="CD872" s="7"/>
      <c r="CE872" s="7"/>
      <c r="CF872" s="7"/>
    </row>
    <row r="873">
      <c r="A873" s="7"/>
      <c r="B873" s="55"/>
      <c r="C873" s="7"/>
      <c r="D873" s="7"/>
      <c r="E873" s="7"/>
      <c r="F873" s="7"/>
      <c r="G873" s="55"/>
      <c r="H873" s="7"/>
      <c r="I873" s="7"/>
      <c r="J873" s="7"/>
      <c r="K873" s="7"/>
      <c r="L873" s="7"/>
      <c r="M873" s="7"/>
      <c r="N873" s="7"/>
      <c r="O873" s="7"/>
      <c r="P873" s="7"/>
      <c r="Q873" s="55"/>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c r="BZ873" s="41"/>
      <c r="CA873" s="7"/>
      <c r="CB873" s="7"/>
      <c r="CC873" s="7"/>
      <c r="CD873" s="7"/>
      <c r="CE873" s="7"/>
      <c r="CF873" s="7"/>
    </row>
    <row r="874">
      <c r="A874" s="7"/>
      <c r="B874" s="55"/>
      <c r="C874" s="7"/>
      <c r="D874" s="7"/>
      <c r="E874" s="7"/>
      <c r="F874" s="7"/>
      <c r="G874" s="55"/>
      <c r="H874" s="7"/>
      <c r="I874" s="7"/>
      <c r="J874" s="7"/>
      <c r="K874" s="7"/>
      <c r="L874" s="7"/>
      <c r="M874" s="7"/>
      <c r="N874" s="7"/>
      <c r="O874" s="7"/>
      <c r="P874" s="7"/>
      <c r="Q874" s="55"/>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c r="BN874" s="7"/>
      <c r="BO874" s="7"/>
      <c r="BP874" s="7"/>
      <c r="BQ874" s="7"/>
      <c r="BR874" s="7"/>
      <c r="BS874" s="7"/>
      <c r="BT874" s="7"/>
      <c r="BU874" s="7"/>
      <c r="BV874" s="7"/>
      <c r="BW874" s="7"/>
      <c r="BX874" s="7"/>
      <c r="BY874" s="7"/>
      <c r="BZ874" s="41"/>
      <c r="CA874" s="7"/>
      <c r="CB874" s="7"/>
      <c r="CC874" s="7"/>
      <c r="CD874" s="7"/>
      <c r="CE874" s="7"/>
      <c r="CF874" s="7"/>
    </row>
    <row r="875">
      <c r="A875" s="7"/>
      <c r="B875" s="55"/>
      <c r="C875" s="7"/>
      <c r="D875" s="7"/>
      <c r="E875" s="7"/>
      <c r="F875" s="7"/>
      <c r="G875" s="55"/>
      <c r="H875" s="7"/>
      <c r="I875" s="7"/>
      <c r="J875" s="7"/>
      <c r="K875" s="7"/>
      <c r="L875" s="7"/>
      <c r="M875" s="7"/>
      <c r="N875" s="7"/>
      <c r="O875" s="7"/>
      <c r="P875" s="7"/>
      <c r="Q875" s="55"/>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c r="BZ875" s="41"/>
      <c r="CA875" s="7"/>
      <c r="CB875" s="7"/>
      <c r="CC875" s="7"/>
      <c r="CD875" s="7"/>
      <c r="CE875" s="7"/>
      <c r="CF875" s="7"/>
    </row>
    <row r="876">
      <c r="A876" s="7"/>
      <c r="B876" s="55"/>
      <c r="C876" s="7"/>
      <c r="D876" s="7"/>
      <c r="E876" s="7"/>
      <c r="F876" s="7"/>
      <c r="G876" s="55"/>
      <c r="H876" s="7"/>
      <c r="I876" s="7"/>
      <c r="J876" s="7"/>
      <c r="K876" s="7"/>
      <c r="L876" s="7"/>
      <c r="M876" s="7"/>
      <c r="N876" s="7"/>
      <c r="O876" s="7"/>
      <c r="P876" s="7"/>
      <c r="Q876" s="55"/>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c r="BN876" s="7"/>
      <c r="BO876" s="7"/>
      <c r="BP876" s="7"/>
      <c r="BQ876" s="7"/>
      <c r="BR876" s="7"/>
      <c r="BS876" s="7"/>
      <c r="BT876" s="7"/>
      <c r="BU876" s="7"/>
      <c r="BV876" s="7"/>
      <c r="BW876" s="7"/>
      <c r="BX876" s="7"/>
      <c r="BY876" s="7"/>
      <c r="BZ876" s="41"/>
      <c r="CA876" s="7"/>
      <c r="CB876" s="7"/>
      <c r="CC876" s="7"/>
      <c r="CD876" s="7"/>
      <c r="CE876" s="7"/>
      <c r="CF876" s="7"/>
    </row>
    <row r="877">
      <c r="A877" s="7"/>
      <c r="B877" s="55"/>
      <c r="C877" s="7"/>
      <c r="D877" s="7"/>
      <c r="E877" s="7"/>
      <c r="F877" s="7"/>
      <c r="G877" s="55"/>
      <c r="H877" s="7"/>
      <c r="I877" s="7"/>
      <c r="J877" s="7"/>
      <c r="K877" s="7"/>
      <c r="L877" s="7"/>
      <c r="M877" s="7"/>
      <c r="N877" s="7"/>
      <c r="O877" s="7"/>
      <c r="P877" s="7"/>
      <c r="Q877" s="55"/>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41"/>
      <c r="CA877" s="7"/>
      <c r="CB877" s="7"/>
      <c r="CC877" s="7"/>
      <c r="CD877" s="7"/>
      <c r="CE877" s="7"/>
      <c r="CF877" s="7"/>
    </row>
    <row r="878">
      <c r="A878" s="7"/>
      <c r="B878" s="55"/>
      <c r="C878" s="7"/>
      <c r="D878" s="7"/>
      <c r="E878" s="7"/>
      <c r="F878" s="7"/>
      <c r="G878" s="55"/>
      <c r="H878" s="7"/>
      <c r="I878" s="7"/>
      <c r="J878" s="7"/>
      <c r="K878" s="7"/>
      <c r="L878" s="7"/>
      <c r="M878" s="7"/>
      <c r="N878" s="7"/>
      <c r="O878" s="7"/>
      <c r="P878" s="7"/>
      <c r="Q878" s="55"/>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c r="BN878" s="7"/>
      <c r="BO878" s="7"/>
      <c r="BP878" s="7"/>
      <c r="BQ878" s="7"/>
      <c r="BR878" s="7"/>
      <c r="BS878" s="7"/>
      <c r="BT878" s="7"/>
      <c r="BU878" s="7"/>
      <c r="BV878" s="7"/>
      <c r="BW878" s="7"/>
      <c r="BX878" s="7"/>
      <c r="BY878" s="7"/>
      <c r="BZ878" s="41"/>
      <c r="CA878" s="7"/>
      <c r="CB878" s="7"/>
      <c r="CC878" s="7"/>
      <c r="CD878" s="7"/>
      <c r="CE878" s="7"/>
      <c r="CF878" s="7"/>
    </row>
    <row r="879">
      <c r="A879" s="7"/>
      <c r="B879" s="55"/>
      <c r="C879" s="7"/>
      <c r="D879" s="7"/>
      <c r="E879" s="7"/>
      <c r="F879" s="7"/>
      <c r="G879" s="55"/>
      <c r="H879" s="7"/>
      <c r="I879" s="7"/>
      <c r="J879" s="7"/>
      <c r="K879" s="7"/>
      <c r="L879" s="7"/>
      <c r="M879" s="7"/>
      <c r="N879" s="7"/>
      <c r="O879" s="7"/>
      <c r="P879" s="7"/>
      <c r="Q879" s="55"/>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c r="BZ879" s="41"/>
      <c r="CA879" s="7"/>
      <c r="CB879" s="7"/>
      <c r="CC879" s="7"/>
      <c r="CD879" s="7"/>
      <c r="CE879" s="7"/>
      <c r="CF879" s="7"/>
    </row>
    <row r="880">
      <c r="A880" s="7"/>
      <c r="B880" s="55"/>
      <c r="C880" s="7"/>
      <c r="D880" s="7"/>
      <c r="E880" s="7"/>
      <c r="F880" s="7"/>
      <c r="G880" s="55"/>
      <c r="H880" s="7"/>
      <c r="I880" s="7"/>
      <c r="J880" s="7"/>
      <c r="K880" s="7"/>
      <c r="L880" s="7"/>
      <c r="M880" s="7"/>
      <c r="N880" s="7"/>
      <c r="O880" s="7"/>
      <c r="P880" s="7"/>
      <c r="Q880" s="55"/>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c r="BN880" s="7"/>
      <c r="BO880" s="7"/>
      <c r="BP880" s="7"/>
      <c r="BQ880" s="7"/>
      <c r="BR880" s="7"/>
      <c r="BS880" s="7"/>
      <c r="BT880" s="7"/>
      <c r="BU880" s="7"/>
      <c r="BV880" s="7"/>
      <c r="BW880" s="7"/>
      <c r="BX880" s="7"/>
      <c r="BY880" s="7"/>
      <c r="BZ880" s="41"/>
      <c r="CA880" s="7"/>
      <c r="CB880" s="7"/>
      <c r="CC880" s="7"/>
      <c r="CD880" s="7"/>
      <c r="CE880" s="7"/>
      <c r="CF880" s="7"/>
    </row>
    <row r="881">
      <c r="A881" s="7"/>
      <c r="B881" s="55"/>
      <c r="C881" s="7"/>
      <c r="D881" s="7"/>
      <c r="E881" s="7"/>
      <c r="F881" s="7"/>
      <c r="G881" s="55"/>
      <c r="H881" s="7"/>
      <c r="I881" s="7"/>
      <c r="J881" s="7"/>
      <c r="K881" s="7"/>
      <c r="L881" s="7"/>
      <c r="M881" s="7"/>
      <c r="N881" s="7"/>
      <c r="O881" s="7"/>
      <c r="P881" s="7"/>
      <c r="Q881" s="55"/>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41"/>
      <c r="CA881" s="7"/>
      <c r="CB881" s="7"/>
      <c r="CC881" s="7"/>
      <c r="CD881" s="7"/>
      <c r="CE881" s="7"/>
      <c r="CF881" s="7"/>
    </row>
    <row r="882">
      <c r="A882" s="7"/>
      <c r="B882" s="55"/>
      <c r="C882" s="7"/>
      <c r="D882" s="7"/>
      <c r="E882" s="7"/>
      <c r="F882" s="7"/>
      <c r="G882" s="55"/>
      <c r="H882" s="7"/>
      <c r="I882" s="7"/>
      <c r="J882" s="7"/>
      <c r="K882" s="7"/>
      <c r="L882" s="7"/>
      <c r="M882" s="7"/>
      <c r="N882" s="7"/>
      <c r="O882" s="7"/>
      <c r="P882" s="7"/>
      <c r="Q882" s="55"/>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c r="BN882" s="7"/>
      <c r="BO882" s="7"/>
      <c r="BP882" s="7"/>
      <c r="BQ882" s="7"/>
      <c r="BR882" s="7"/>
      <c r="BS882" s="7"/>
      <c r="BT882" s="7"/>
      <c r="BU882" s="7"/>
      <c r="BV882" s="7"/>
      <c r="BW882" s="7"/>
      <c r="BX882" s="7"/>
      <c r="BY882" s="7"/>
      <c r="BZ882" s="41"/>
      <c r="CA882" s="7"/>
      <c r="CB882" s="7"/>
      <c r="CC882" s="7"/>
      <c r="CD882" s="7"/>
      <c r="CE882" s="7"/>
      <c r="CF882" s="7"/>
    </row>
    <row r="883">
      <c r="A883" s="7"/>
      <c r="B883" s="55"/>
      <c r="C883" s="7"/>
      <c r="D883" s="7"/>
      <c r="E883" s="7"/>
      <c r="F883" s="7"/>
      <c r="G883" s="55"/>
      <c r="H883" s="7"/>
      <c r="I883" s="7"/>
      <c r="J883" s="7"/>
      <c r="K883" s="7"/>
      <c r="L883" s="7"/>
      <c r="M883" s="7"/>
      <c r="N883" s="7"/>
      <c r="O883" s="7"/>
      <c r="P883" s="7"/>
      <c r="Q883" s="55"/>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c r="BZ883" s="41"/>
      <c r="CA883" s="7"/>
      <c r="CB883" s="7"/>
      <c r="CC883" s="7"/>
      <c r="CD883" s="7"/>
      <c r="CE883" s="7"/>
      <c r="CF883" s="7"/>
    </row>
    <row r="884">
      <c r="A884" s="7"/>
      <c r="B884" s="55"/>
      <c r="C884" s="7"/>
      <c r="D884" s="7"/>
      <c r="E884" s="7"/>
      <c r="F884" s="7"/>
      <c r="G884" s="55"/>
      <c r="H884" s="7"/>
      <c r="I884" s="7"/>
      <c r="J884" s="7"/>
      <c r="K884" s="7"/>
      <c r="L884" s="7"/>
      <c r="M884" s="7"/>
      <c r="N884" s="7"/>
      <c r="O884" s="7"/>
      <c r="P884" s="7"/>
      <c r="Q884" s="55"/>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c r="BN884" s="7"/>
      <c r="BO884" s="7"/>
      <c r="BP884" s="7"/>
      <c r="BQ884" s="7"/>
      <c r="BR884" s="7"/>
      <c r="BS884" s="7"/>
      <c r="BT884" s="7"/>
      <c r="BU884" s="7"/>
      <c r="BV884" s="7"/>
      <c r="BW884" s="7"/>
      <c r="BX884" s="7"/>
      <c r="BY884" s="7"/>
      <c r="BZ884" s="41"/>
      <c r="CA884" s="7"/>
      <c r="CB884" s="7"/>
      <c r="CC884" s="7"/>
      <c r="CD884" s="7"/>
      <c r="CE884" s="7"/>
      <c r="CF884" s="7"/>
    </row>
    <row r="885">
      <c r="A885" s="7"/>
      <c r="B885" s="55"/>
      <c r="C885" s="7"/>
      <c r="D885" s="7"/>
      <c r="E885" s="7"/>
      <c r="F885" s="7"/>
      <c r="G885" s="55"/>
      <c r="H885" s="7"/>
      <c r="I885" s="7"/>
      <c r="J885" s="7"/>
      <c r="K885" s="7"/>
      <c r="L885" s="7"/>
      <c r="M885" s="7"/>
      <c r="N885" s="7"/>
      <c r="O885" s="7"/>
      <c r="P885" s="7"/>
      <c r="Q885" s="55"/>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c r="BX885" s="7"/>
      <c r="BY885" s="7"/>
      <c r="BZ885" s="41"/>
      <c r="CA885" s="7"/>
      <c r="CB885" s="7"/>
      <c r="CC885" s="7"/>
      <c r="CD885" s="7"/>
      <c r="CE885" s="7"/>
      <c r="CF885" s="7"/>
    </row>
    <row r="886">
      <c r="A886" s="7"/>
      <c r="B886" s="55"/>
      <c r="C886" s="7"/>
      <c r="D886" s="7"/>
      <c r="E886" s="7"/>
      <c r="F886" s="7"/>
      <c r="G886" s="55"/>
      <c r="H886" s="7"/>
      <c r="I886" s="7"/>
      <c r="J886" s="7"/>
      <c r="K886" s="7"/>
      <c r="L886" s="7"/>
      <c r="M886" s="7"/>
      <c r="N886" s="7"/>
      <c r="O886" s="7"/>
      <c r="P886" s="7"/>
      <c r="Q886" s="55"/>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c r="BN886" s="7"/>
      <c r="BO886" s="7"/>
      <c r="BP886" s="7"/>
      <c r="BQ886" s="7"/>
      <c r="BR886" s="7"/>
      <c r="BS886" s="7"/>
      <c r="BT886" s="7"/>
      <c r="BU886" s="7"/>
      <c r="BV886" s="7"/>
      <c r="BW886" s="7"/>
      <c r="BX886" s="7"/>
      <c r="BY886" s="7"/>
      <c r="BZ886" s="41"/>
      <c r="CA886" s="7"/>
      <c r="CB886" s="7"/>
      <c r="CC886" s="7"/>
      <c r="CD886" s="7"/>
      <c r="CE886" s="7"/>
      <c r="CF886" s="7"/>
    </row>
    <row r="887">
      <c r="A887" s="7"/>
      <c r="B887" s="55"/>
      <c r="C887" s="7"/>
      <c r="D887" s="7"/>
      <c r="E887" s="7"/>
      <c r="F887" s="7"/>
      <c r="G887" s="55"/>
      <c r="H887" s="7"/>
      <c r="I887" s="7"/>
      <c r="J887" s="7"/>
      <c r="K887" s="7"/>
      <c r="L887" s="7"/>
      <c r="M887" s="7"/>
      <c r="N887" s="7"/>
      <c r="O887" s="7"/>
      <c r="P887" s="7"/>
      <c r="Q887" s="55"/>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c r="BZ887" s="41"/>
      <c r="CA887" s="7"/>
      <c r="CB887" s="7"/>
      <c r="CC887" s="7"/>
      <c r="CD887" s="7"/>
      <c r="CE887" s="7"/>
      <c r="CF887" s="7"/>
    </row>
    <row r="888">
      <c r="A888" s="7"/>
      <c r="B888" s="55"/>
      <c r="C888" s="7"/>
      <c r="D888" s="7"/>
      <c r="E888" s="7"/>
      <c r="F888" s="7"/>
      <c r="G888" s="55"/>
      <c r="H888" s="7"/>
      <c r="I888" s="7"/>
      <c r="J888" s="7"/>
      <c r="K888" s="7"/>
      <c r="L888" s="7"/>
      <c r="M888" s="7"/>
      <c r="N888" s="7"/>
      <c r="O888" s="7"/>
      <c r="P888" s="7"/>
      <c r="Q888" s="55"/>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c r="BN888" s="7"/>
      <c r="BO888" s="7"/>
      <c r="BP888" s="7"/>
      <c r="BQ888" s="7"/>
      <c r="BR888" s="7"/>
      <c r="BS888" s="7"/>
      <c r="BT888" s="7"/>
      <c r="BU888" s="7"/>
      <c r="BV888" s="7"/>
      <c r="BW888" s="7"/>
      <c r="BX888" s="7"/>
      <c r="BY888" s="7"/>
      <c r="BZ888" s="41"/>
      <c r="CA888" s="7"/>
      <c r="CB888" s="7"/>
      <c r="CC888" s="7"/>
      <c r="CD888" s="7"/>
      <c r="CE888" s="7"/>
      <c r="CF888" s="7"/>
    </row>
    <row r="889">
      <c r="A889" s="7"/>
      <c r="B889" s="55"/>
      <c r="C889" s="7"/>
      <c r="D889" s="7"/>
      <c r="E889" s="7"/>
      <c r="F889" s="7"/>
      <c r="G889" s="55"/>
      <c r="H889" s="7"/>
      <c r="I889" s="7"/>
      <c r="J889" s="7"/>
      <c r="K889" s="7"/>
      <c r="L889" s="7"/>
      <c r="M889" s="7"/>
      <c r="N889" s="7"/>
      <c r="O889" s="7"/>
      <c r="P889" s="7"/>
      <c r="Q889" s="55"/>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c r="BX889" s="7"/>
      <c r="BY889" s="7"/>
      <c r="BZ889" s="41"/>
      <c r="CA889" s="7"/>
      <c r="CB889" s="7"/>
      <c r="CC889" s="7"/>
      <c r="CD889" s="7"/>
      <c r="CE889" s="7"/>
      <c r="CF889" s="7"/>
    </row>
    <row r="890">
      <c r="A890" s="7"/>
      <c r="B890" s="55"/>
      <c r="C890" s="7"/>
      <c r="D890" s="7"/>
      <c r="E890" s="7"/>
      <c r="F890" s="7"/>
      <c r="G890" s="55"/>
      <c r="H890" s="7"/>
      <c r="I890" s="7"/>
      <c r="J890" s="7"/>
      <c r="K890" s="7"/>
      <c r="L890" s="7"/>
      <c r="M890" s="7"/>
      <c r="N890" s="7"/>
      <c r="O890" s="7"/>
      <c r="P890" s="7"/>
      <c r="Q890" s="55"/>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c r="BN890" s="7"/>
      <c r="BO890" s="7"/>
      <c r="BP890" s="7"/>
      <c r="BQ890" s="7"/>
      <c r="BR890" s="7"/>
      <c r="BS890" s="7"/>
      <c r="BT890" s="7"/>
      <c r="BU890" s="7"/>
      <c r="BV890" s="7"/>
      <c r="BW890" s="7"/>
      <c r="BX890" s="7"/>
      <c r="BY890" s="7"/>
      <c r="BZ890" s="41"/>
      <c r="CA890" s="7"/>
      <c r="CB890" s="7"/>
      <c r="CC890" s="7"/>
      <c r="CD890" s="7"/>
      <c r="CE890" s="7"/>
      <c r="CF890" s="7"/>
    </row>
    <row r="891">
      <c r="A891" s="7"/>
      <c r="B891" s="55"/>
      <c r="C891" s="7"/>
      <c r="D891" s="7"/>
      <c r="E891" s="7"/>
      <c r="F891" s="7"/>
      <c r="G891" s="55"/>
      <c r="H891" s="7"/>
      <c r="I891" s="7"/>
      <c r="J891" s="7"/>
      <c r="K891" s="7"/>
      <c r="L891" s="7"/>
      <c r="M891" s="7"/>
      <c r="N891" s="7"/>
      <c r="O891" s="7"/>
      <c r="P891" s="7"/>
      <c r="Q891" s="55"/>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c r="BX891" s="7"/>
      <c r="BY891" s="7"/>
      <c r="BZ891" s="41"/>
      <c r="CA891" s="7"/>
      <c r="CB891" s="7"/>
      <c r="CC891" s="7"/>
      <c r="CD891" s="7"/>
      <c r="CE891" s="7"/>
      <c r="CF891" s="7"/>
    </row>
    <row r="892">
      <c r="A892" s="7"/>
      <c r="B892" s="55"/>
      <c r="C892" s="7"/>
      <c r="D892" s="7"/>
      <c r="E892" s="7"/>
      <c r="F892" s="7"/>
      <c r="G892" s="55"/>
      <c r="H892" s="7"/>
      <c r="I892" s="7"/>
      <c r="J892" s="7"/>
      <c r="K892" s="7"/>
      <c r="L892" s="7"/>
      <c r="M892" s="7"/>
      <c r="N892" s="7"/>
      <c r="O892" s="7"/>
      <c r="P892" s="7"/>
      <c r="Q892" s="55"/>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c r="BN892" s="7"/>
      <c r="BO892" s="7"/>
      <c r="BP892" s="7"/>
      <c r="BQ892" s="7"/>
      <c r="BR892" s="7"/>
      <c r="BS892" s="7"/>
      <c r="BT892" s="7"/>
      <c r="BU892" s="7"/>
      <c r="BV892" s="7"/>
      <c r="BW892" s="7"/>
      <c r="BX892" s="7"/>
      <c r="BY892" s="7"/>
      <c r="BZ892" s="41"/>
      <c r="CA892" s="7"/>
      <c r="CB892" s="7"/>
      <c r="CC892" s="7"/>
      <c r="CD892" s="7"/>
      <c r="CE892" s="7"/>
      <c r="CF892" s="7"/>
    </row>
    <row r="893">
      <c r="A893" s="7"/>
      <c r="B893" s="55"/>
      <c r="C893" s="7"/>
      <c r="D893" s="7"/>
      <c r="E893" s="7"/>
      <c r="F893" s="7"/>
      <c r="G893" s="55"/>
      <c r="H893" s="7"/>
      <c r="I893" s="7"/>
      <c r="J893" s="7"/>
      <c r="K893" s="7"/>
      <c r="L893" s="7"/>
      <c r="M893" s="7"/>
      <c r="N893" s="7"/>
      <c r="O893" s="7"/>
      <c r="P893" s="7"/>
      <c r="Q893" s="55"/>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c r="BX893" s="7"/>
      <c r="BY893" s="7"/>
      <c r="BZ893" s="41"/>
      <c r="CA893" s="7"/>
      <c r="CB893" s="7"/>
      <c r="CC893" s="7"/>
      <c r="CD893" s="7"/>
      <c r="CE893" s="7"/>
      <c r="CF893" s="7"/>
    </row>
    <row r="894">
      <c r="A894" s="7"/>
      <c r="B894" s="55"/>
      <c r="C894" s="7"/>
      <c r="D894" s="7"/>
      <c r="E894" s="7"/>
      <c r="F894" s="7"/>
      <c r="G894" s="55"/>
      <c r="H894" s="7"/>
      <c r="I894" s="7"/>
      <c r="J894" s="7"/>
      <c r="K894" s="7"/>
      <c r="L894" s="7"/>
      <c r="M894" s="7"/>
      <c r="N894" s="7"/>
      <c r="O894" s="7"/>
      <c r="P894" s="7"/>
      <c r="Q894" s="55"/>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c r="BN894" s="7"/>
      <c r="BO894" s="7"/>
      <c r="BP894" s="7"/>
      <c r="BQ894" s="7"/>
      <c r="BR894" s="7"/>
      <c r="BS894" s="7"/>
      <c r="BT894" s="7"/>
      <c r="BU894" s="7"/>
      <c r="BV894" s="7"/>
      <c r="BW894" s="7"/>
      <c r="BX894" s="7"/>
      <c r="BY894" s="7"/>
      <c r="BZ894" s="41"/>
      <c r="CA894" s="7"/>
      <c r="CB894" s="7"/>
      <c r="CC894" s="7"/>
      <c r="CD894" s="7"/>
      <c r="CE894" s="7"/>
      <c r="CF894" s="7"/>
    </row>
    <row r="895">
      <c r="A895" s="7"/>
      <c r="B895" s="55"/>
      <c r="C895" s="7"/>
      <c r="D895" s="7"/>
      <c r="E895" s="7"/>
      <c r="F895" s="7"/>
      <c r="G895" s="55"/>
      <c r="H895" s="7"/>
      <c r="I895" s="7"/>
      <c r="J895" s="7"/>
      <c r="K895" s="7"/>
      <c r="L895" s="7"/>
      <c r="M895" s="7"/>
      <c r="N895" s="7"/>
      <c r="O895" s="7"/>
      <c r="P895" s="7"/>
      <c r="Q895" s="55"/>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c r="BX895" s="7"/>
      <c r="BY895" s="7"/>
      <c r="BZ895" s="41"/>
      <c r="CA895" s="7"/>
      <c r="CB895" s="7"/>
      <c r="CC895" s="7"/>
      <c r="CD895" s="7"/>
      <c r="CE895" s="7"/>
      <c r="CF895" s="7"/>
    </row>
    <row r="896">
      <c r="A896" s="7"/>
      <c r="B896" s="55"/>
      <c r="C896" s="7"/>
      <c r="D896" s="7"/>
      <c r="E896" s="7"/>
      <c r="F896" s="7"/>
      <c r="G896" s="55"/>
      <c r="H896" s="7"/>
      <c r="I896" s="7"/>
      <c r="J896" s="7"/>
      <c r="K896" s="7"/>
      <c r="L896" s="7"/>
      <c r="M896" s="7"/>
      <c r="N896" s="7"/>
      <c r="O896" s="7"/>
      <c r="P896" s="7"/>
      <c r="Q896" s="55"/>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c r="BN896" s="7"/>
      <c r="BO896" s="7"/>
      <c r="BP896" s="7"/>
      <c r="BQ896" s="7"/>
      <c r="BR896" s="7"/>
      <c r="BS896" s="7"/>
      <c r="BT896" s="7"/>
      <c r="BU896" s="7"/>
      <c r="BV896" s="7"/>
      <c r="BW896" s="7"/>
      <c r="BX896" s="7"/>
      <c r="BY896" s="7"/>
      <c r="BZ896" s="41"/>
      <c r="CA896" s="7"/>
      <c r="CB896" s="7"/>
      <c r="CC896" s="7"/>
      <c r="CD896" s="7"/>
      <c r="CE896" s="7"/>
      <c r="CF896" s="7"/>
    </row>
    <row r="897">
      <c r="A897" s="7"/>
      <c r="B897" s="55"/>
      <c r="C897" s="7"/>
      <c r="D897" s="7"/>
      <c r="E897" s="7"/>
      <c r="F897" s="7"/>
      <c r="G897" s="55"/>
      <c r="H897" s="7"/>
      <c r="I897" s="7"/>
      <c r="J897" s="7"/>
      <c r="K897" s="7"/>
      <c r="L897" s="7"/>
      <c r="M897" s="7"/>
      <c r="N897" s="7"/>
      <c r="O897" s="7"/>
      <c r="P897" s="7"/>
      <c r="Q897" s="55"/>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c r="BZ897" s="41"/>
      <c r="CA897" s="7"/>
      <c r="CB897" s="7"/>
      <c r="CC897" s="7"/>
      <c r="CD897" s="7"/>
      <c r="CE897" s="7"/>
      <c r="CF897" s="7"/>
    </row>
    <row r="898">
      <c r="A898" s="7"/>
      <c r="B898" s="55"/>
      <c r="C898" s="7"/>
      <c r="D898" s="7"/>
      <c r="E898" s="7"/>
      <c r="F898" s="7"/>
      <c r="G898" s="55"/>
      <c r="H898" s="7"/>
      <c r="I898" s="7"/>
      <c r="J898" s="7"/>
      <c r="K898" s="7"/>
      <c r="L898" s="7"/>
      <c r="M898" s="7"/>
      <c r="N898" s="7"/>
      <c r="O898" s="7"/>
      <c r="P898" s="7"/>
      <c r="Q898" s="55"/>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c r="BX898" s="7"/>
      <c r="BY898" s="7"/>
      <c r="BZ898" s="41"/>
      <c r="CA898" s="7"/>
      <c r="CB898" s="7"/>
      <c r="CC898" s="7"/>
      <c r="CD898" s="7"/>
      <c r="CE898" s="7"/>
      <c r="CF898" s="7"/>
    </row>
    <row r="899">
      <c r="A899" s="7"/>
      <c r="B899" s="55"/>
      <c r="C899" s="7"/>
      <c r="D899" s="7"/>
      <c r="E899" s="7"/>
      <c r="F899" s="7"/>
      <c r="G899" s="55"/>
      <c r="H899" s="7"/>
      <c r="I899" s="7"/>
      <c r="J899" s="7"/>
      <c r="K899" s="7"/>
      <c r="L899" s="7"/>
      <c r="M899" s="7"/>
      <c r="N899" s="7"/>
      <c r="O899" s="7"/>
      <c r="P899" s="7"/>
      <c r="Q899" s="55"/>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c r="BZ899" s="41"/>
      <c r="CA899" s="7"/>
      <c r="CB899" s="7"/>
      <c r="CC899" s="7"/>
      <c r="CD899" s="7"/>
      <c r="CE899" s="7"/>
      <c r="CF899" s="7"/>
    </row>
    <row r="900">
      <c r="A900" s="7"/>
      <c r="B900" s="55"/>
      <c r="C900" s="7"/>
      <c r="D900" s="7"/>
      <c r="E900" s="7"/>
      <c r="F900" s="7"/>
      <c r="G900" s="55"/>
      <c r="H900" s="7"/>
      <c r="I900" s="7"/>
      <c r="J900" s="7"/>
      <c r="K900" s="7"/>
      <c r="L900" s="7"/>
      <c r="M900" s="7"/>
      <c r="N900" s="7"/>
      <c r="O900" s="7"/>
      <c r="P900" s="7"/>
      <c r="Q900" s="55"/>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c r="BN900" s="7"/>
      <c r="BO900" s="7"/>
      <c r="BP900" s="7"/>
      <c r="BQ900" s="7"/>
      <c r="BR900" s="7"/>
      <c r="BS900" s="7"/>
      <c r="BT900" s="7"/>
      <c r="BU900" s="7"/>
      <c r="BV900" s="7"/>
      <c r="BW900" s="7"/>
      <c r="BX900" s="7"/>
      <c r="BY900" s="7"/>
      <c r="BZ900" s="41"/>
      <c r="CA900" s="7"/>
      <c r="CB900" s="7"/>
      <c r="CC900" s="7"/>
      <c r="CD900" s="7"/>
      <c r="CE900" s="7"/>
      <c r="CF900" s="7"/>
    </row>
    <row r="901">
      <c r="A901" s="7"/>
      <c r="B901" s="55"/>
      <c r="C901" s="7"/>
      <c r="D901" s="7"/>
      <c r="E901" s="7"/>
      <c r="F901" s="7"/>
      <c r="G901" s="55"/>
      <c r="H901" s="7"/>
      <c r="I901" s="7"/>
      <c r="J901" s="7"/>
      <c r="K901" s="7"/>
      <c r="L901" s="7"/>
      <c r="M901" s="7"/>
      <c r="N901" s="7"/>
      <c r="O901" s="7"/>
      <c r="P901" s="7"/>
      <c r="Q901" s="55"/>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c r="BZ901" s="41"/>
      <c r="CA901" s="7"/>
      <c r="CB901" s="7"/>
      <c r="CC901" s="7"/>
      <c r="CD901" s="7"/>
      <c r="CE901" s="7"/>
      <c r="CF901" s="7"/>
    </row>
    <row r="902">
      <c r="A902" s="7"/>
      <c r="B902" s="55"/>
      <c r="C902" s="7"/>
      <c r="D902" s="7"/>
      <c r="E902" s="7"/>
      <c r="F902" s="7"/>
      <c r="G902" s="55"/>
      <c r="H902" s="7"/>
      <c r="I902" s="7"/>
      <c r="J902" s="7"/>
      <c r="K902" s="7"/>
      <c r="L902" s="7"/>
      <c r="M902" s="7"/>
      <c r="N902" s="7"/>
      <c r="O902" s="7"/>
      <c r="P902" s="7"/>
      <c r="Q902" s="55"/>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c r="BN902" s="7"/>
      <c r="BO902" s="7"/>
      <c r="BP902" s="7"/>
      <c r="BQ902" s="7"/>
      <c r="BR902" s="7"/>
      <c r="BS902" s="7"/>
      <c r="BT902" s="7"/>
      <c r="BU902" s="7"/>
      <c r="BV902" s="7"/>
      <c r="BW902" s="7"/>
      <c r="BX902" s="7"/>
      <c r="BY902" s="7"/>
      <c r="BZ902" s="41"/>
      <c r="CA902" s="7"/>
      <c r="CB902" s="7"/>
      <c r="CC902" s="7"/>
      <c r="CD902" s="7"/>
      <c r="CE902" s="7"/>
      <c r="CF902" s="7"/>
    </row>
    <row r="903">
      <c r="A903" s="7"/>
      <c r="B903" s="55"/>
      <c r="C903" s="7"/>
      <c r="D903" s="7"/>
      <c r="E903" s="7"/>
      <c r="F903" s="7"/>
      <c r="G903" s="55"/>
      <c r="H903" s="7"/>
      <c r="I903" s="7"/>
      <c r="J903" s="7"/>
      <c r="K903" s="7"/>
      <c r="L903" s="7"/>
      <c r="M903" s="7"/>
      <c r="N903" s="7"/>
      <c r="O903" s="7"/>
      <c r="P903" s="7"/>
      <c r="Q903" s="55"/>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c r="BX903" s="7"/>
      <c r="BY903" s="7"/>
      <c r="BZ903" s="41"/>
      <c r="CA903" s="7"/>
      <c r="CB903" s="7"/>
      <c r="CC903" s="7"/>
      <c r="CD903" s="7"/>
      <c r="CE903" s="7"/>
      <c r="CF903" s="7"/>
    </row>
    <row r="904">
      <c r="A904" s="7"/>
      <c r="B904" s="55"/>
      <c r="C904" s="7"/>
      <c r="D904" s="7"/>
      <c r="E904" s="7"/>
      <c r="F904" s="7"/>
      <c r="G904" s="55"/>
      <c r="H904" s="7"/>
      <c r="I904" s="7"/>
      <c r="J904" s="7"/>
      <c r="K904" s="7"/>
      <c r="L904" s="7"/>
      <c r="M904" s="7"/>
      <c r="N904" s="7"/>
      <c r="O904" s="7"/>
      <c r="P904" s="7"/>
      <c r="Q904" s="55"/>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c r="BN904" s="7"/>
      <c r="BO904" s="7"/>
      <c r="BP904" s="7"/>
      <c r="BQ904" s="7"/>
      <c r="BR904" s="7"/>
      <c r="BS904" s="7"/>
      <c r="BT904" s="7"/>
      <c r="BU904" s="7"/>
      <c r="BV904" s="7"/>
      <c r="BW904" s="7"/>
      <c r="BX904" s="7"/>
      <c r="BY904" s="7"/>
      <c r="BZ904" s="41"/>
      <c r="CA904" s="7"/>
      <c r="CB904" s="7"/>
      <c r="CC904" s="7"/>
      <c r="CD904" s="7"/>
      <c r="CE904" s="7"/>
      <c r="CF904" s="7"/>
    </row>
    <row r="905">
      <c r="A905" s="7"/>
      <c r="B905" s="55"/>
      <c r="C905" s="7"/>
      <c r="D905" s="7"/>
      <c r="E905" s="7"/>
      <c r="F905" s="7"/>
      <c r="G905" s="55"/>
      <c r="H905" s="7"/>
      <c r="I905" s="7"/>
      <c r="J905" s="7"/>
      <c r="K905" s="7"/>
      <c r="L905" s="7"/>
      <c r="M905" s="7"/>
      <c r="N905" s="7"/>
      <c r="O905" s="7"/>
      <c r="P905" s="7"/>
      <c r="Q905" s="55"/>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c r="BZ905" s="41"/>
      <c r="CA905" s="7"/>
      <c r="CB905" s="7"/>
      <c r="CC905" s="7"/>
      <c r="CD905" s="7"/>
      <c r="CE905" s="7"/>
      <c r="CF905" s="7"/>
    </row>
    <row r="906">
      <c r="A906" s="7"/>
      <c r="B906" s="55"/>
      <c r="C906" s="7"/>
      <c r="D906" s="7"/>
      <c r="E906" s="7"/>
      <c r="F906" s="7"/>
      <c r="G906" s="55"/>
      <c r="H906" s="7"/>
      <c r="I906" s="7"/>
      <c r="J906" s="7"/>
      <c r="K906" s="7"/>
      <c r="L906" s="7"/>
      <c r="M906" s="7"/>
      <c r="N906" s="7"/>
      <c r="O906" s="7"/>
      <c r="P906" s="7"/>
      <c r="Q906" s="55"/>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c r="BN906" s="7"/>
      <c r="BO906" s="7"/>
      <c r="BP906" s="7"/>
      <c r="BQ906" s="7"/>
      <c r="BR906" s="7"/>
      <c r="BS906" s="7"/>
      <c r="BT906" s="7"/>
      <c r="BU906" s="7"/>
      <c r="BV906" s="7"/>
      <c r="BW906" s="7"/>
      <c r="BX906" s="7"/>
      <c r="BY906" s="7"/>
      <c r="BZ906" s="41"/>
      <c r="CA906" s="7"/>
      <c r="CB906" s="7"/>
      <c r="CC906" s="7"/>
      <c r="CD906" s="7"/>
      <c r="CE906" s="7"/>
      <c r="CF906" s="7"/>
    </row>
    <row r="907">
      <c r="A907" s="7"/>
      <c r="B907" s="55"/>
      <c r="C907" s="7"/>
      <c r="D907" s="7"/>
      <c r="E907" s="7"/>
      <c r="F907" s="7"/>
      <c r="G907" s="55"/>
      <c r="H907" s="7"/>
      <c r="I907" s="7"/>
      <c r="J907" s="7"/>
      <c r="K907" s="7"/>
      <c r="L907" s="7"/>
      <c r="M907" s="7"/>
      <c r="N907" s="7"/>
      <c r="O907" s="7"/>
      <c r="P907" s="7"/>
      <c r="Q907" s="55"/>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c r="BZ907" s="41"/>
      <c r="CA907" s="7"/>
      <c r="CB907" s="7"/>
      <c r="CC907" s="7"/>
      <c r="CD907" s="7"/>
      <c r="CE907" s="7"/>
      <c r="CF907" s="7"/>
    </row>
    <row r="908">
      <c r="A908" s="7"/>
      <c r="B908" s="55"/>
      <c r="C908" s="7"/>
      <c r="D908" s="7"/>
      <c r="E908" s="7"/>
      <c r="F908" s="7"/>
      <c r="G908" s="55"/>
      <c r="H908" s="7"/>
      <c r="I908" s="7"/>
      <c r="J908" s="7"/>
      <c r="K908" s="7"/>
      <c r="L908" s="7"/>
      <c r="M908" s="7"/>
      <c r="N908" s="7"/>
      <c r="O908" s="7"/>
      <c r="P908" s="7"/>
      <c r="Q908" s="55"/>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c r="BN908" s="7"/>
      <c r="BO908" s="7"/>
      <c r="BP908" s="7"/>
      <c r="BQ908" s="7"/>
      <c r="BR908" s="7"/>
      <c r="BS908" s="7"/>
      <c r="BT908" s="7"/>
      <c r="BU908" s="7"/>
      <c r="BV908" s="7"/>
      <c r="BW908" s="7"/>
      <c r="BX908" s="7"/>
      <c r="BY908" s="7"/>
      <c r="BZ908" s="41"/>
      <c r="CA908" s="7"/>
      <c r="CB908" s="7"/>
      <c r="CC908" s="7"/>
      <c r="CD908" s="7"/>
      <c r="CE908" s="7"/>
      <c r="CF908" s="7"/>
    </row>
    <row r="909">
      <c r="A909" s="7"/>
      <c r="B909" s="55"/>
      <c r="C909" s="7"/>
      <c r="D909" s="7"/>
      <c r="E909" s="7"/>
      <c r="F909" s="7"/>
      <c r="G909" s="55"/>
      <c r="H909" s="7"/>
      <c r="I909" s="7"/>
      <c r="J909" s="7"/>
      <c r="K909" s="7"/>
      <c r="L909" s="7"/>
      <c r="M909" s="7"/>
      <c r="N909" s="7"/>
      <c r="O909" s="7"/>
      <c r="P909" s="7"/>
      <c r="Q909" s="55"/>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c r="BZ909" s="41"/>
      <c r="CA909" s="7"/>
      <c r="CB909" s="7"/>
      <c r="CC909" s="7"/>
      <c r="CD909" s="7"/>
      <c r="CE909" s="7"/>
      <c r="CF909" s="7"/>
    </row>
    <row r="910">
      <c r="A910" s="7"/>
      <c r="B910" s="55"/>
      <c r="C910" s="7"/>
      <c r="D910" s="7"/>
      <c r="E910" s="7"/>
      <c r="F910" s="7"/>
      <c r="G910" s="55"/>
      <c r="H910" s="7"/>
      <c r="I910" s="7"/>
      <c r="J910" s="7"/>
      <c r="K910" s="7"/>
      <c r="L910" s="7"/>
      <c r="M910" s="7"/>
      <c r="N910" s="7"/>
      <c r="O910" s="7"/>
      <c r="P910" s="7"/>
      <c r="Q910" s="55"/>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c r="BN910" s="7"/>
      <c r="BO910" s="7"/>
      <c r="BP910" s="7"/>
      <c r="BQ910" s="7"/>
      <c r="BR910" s="7"/>
      <c r="BS910" s="7"/>
      <c r="BT910" s="7"/>
      <c r="BU910" s="7"/>
      <c r="BV910" s="7"/>
      <c r="BW910" s="7"/>
      <c r="BX910" s="7"/>
      <c r="BY910" s="7"/>
      <c r="BZ910" s="41"/>
      <c r="CA910" s="7"/>
      <c r="CB910" s="7"/>
      <c r="CC910" s="7"/>
      <c r="CD910" s="7"/>
      <c r="CE910" s="7"/>
      <c r="CF910" s="7"/>
    </row>
    <row r="911">
      <c r="A911" s="7"/>
      <c r="B911" s="55"/>
      <c r="C911" s="7"/>
      <c r="D911" s="7"/>
      <c r="E911" s="7"/>
      <c r="F911" s="7"/>
      <c r="G911" s="55"/>
      <c r="H911" s="7"/>
      <c r="I911" s="7"/>
      <c r="J911" s="7"/>
      <c r="K911" s="7"/>
      <c r="L911" s="7"/>
      <c r="M911" s="7"/>
      <c r="N911" s="7"/>
      <c r="O911" s="7"/>
      <c r="P911" s="7"/>
      <c r="Q911" s="55"/>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c r="BZ911" s="41"/>
      <c r="CA911" s="7"/>
      <c r="CB911" s="7"/>
      <c r="CC911" s="7"/>
      <c r="CD911" s="7"/>
      <c r="CE911" s="7"/>
      <c r="CF911" s="7"/>
    </row>
    <row r="912">
      <c r="A912" s="7"/>
      <c r="B912" s="55"/>
      <c r="C912" s="7"/>
      <c r="D912" s="7"/>
      <c r="E912" s="7"/>
      <c r="F912" s="7"/>
      <c r="G912" s="55"/>
      <c r="H912" s="7"/>
      <c r="I912" s="7"/>
      <c r="J912" s="7"/>
      <c r="K912" s="7"/>
      <c r="L912" s="7"/>
      <c r="M912" s="7"/>
      <c r="N912" s="7"/>
      <c r="O912" s="7"/>
      <c r="P912" s="7"/>
      <c r="Q912" s="55"/>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c r="BN912" s="7"/>
      <c r="BO912" s="7"/>
      <c r="BP912" s="7"/>
      <c r="BQ912" s="7"/>
      <c r="BR912" s="7"/>
      <c r="BS912" s="7"/>
      <c r="BT912" s="7"/>
      <c r="BU912" s="7"/>
      <c r="BV912" s="7"/>
      <c r="BW912" s="7"/>
      <c r="BX912" s="7"/>
      <c r="BY912" s="7"/>
      <c r="BZ912" s="41"/>
      <c r="CA912" s="7"/>
      <c r="CB912" s="7"/>
      <c r="CC912" s="7"/>
      <c r="CD912" s="7"/>
      <c r="CE912" s="7"/>
      <c r="CF912" s="7"/>
    </row>
    <row r="913">
      <c r="A913" s="7"/>
      <c r="B913" s="55"/>
      <c r="C913" s="7"/>
      <c r="D913" s="7"/>
      <c r="E913" s="7"/>
      <c r="F913" s="7"/>
      <c r="G913" s="55"/>
      <c r="H913" s="7"/>
      <c r="I913" s="7"/>
      <c r="J913" s="7"/>
      <c r="K913" s="7"/>
      <c r="L913" s="7"/>
      <c r="M913" s="7"/>
      <c r="N913" s="7"/>
      <c r="O913" s="7"/>
      <c r="P913" s="7"/>
      <c r="Q913" s="55"/>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c r="BX913" s="7"/>
      <c r="BY913" s="7"/>
      <c r="BZ913" s="41"/>
      <c r="CA913" s="7"/>
      <c r="CB913" s="7"/>
      <c r="CC913" s="7"/>
      <c r="CD913" s="7"/>
      <c r="CE913" s="7"/>
      <c r="CF913" s="7"/>
    </row>
    <row r="914">
      <c r="A914" s="7"/>
      <c r="B914" s="55"/>
      <c r="C914" s="7"/>
      <c r="D914" s="7"/>
      <c r="E914" s="7"/>
      <c r="F914" s="7"/>
      <c r="G914" s="55"/>
      <c r="H914" s="7"/>
      <c r="I914" s="7"/>
      <c r="J914" s="7"/>
      <c r="K914" s="7"/>
      <c r="L914" s="7"/>
      <c r="M914" s="7"/>
      <c r="N914" s="7"/>
      <c r="O914" s="7"/>
      <c r="P914" s="7"/>
      <c r="Q914" s="55"/>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c r="BN914" s="7"/>
      <c r="BO914" s="7"/>
      <c r="BP914" s="7"/>
      <c r="BQ914" s="7"/>
      <c r="BR914" s="7"/>
      <c r="BS914" s="7"/>
      <c r="BT914" s="7"/>
      <c r="BU914" s="7"/>
      <c r="BV914" s="7"/>
      <c r="BW914" s="7"/>
      <c r="BX914" s="7"/>
      <c r="BY914" s="7"/>
      <c r="BZ914" s="41"/>
      <c r="CA914" s="7"/>
      <c r="CB914" s="7"/>
      <c r="CC914" s="7"/>
      <c r="CD914" s="7"/>
      <c r="CE914" s="7"/>
      <c r="CF914" s="7"/>
    </row>
    <row r="915">
      <c r="A915" s="7"/>
      <c r="B915" s="55"/>
      <c r="C915" s="7"/>
      <c r="D915" s="7"/>
      <c r="E915" s="7"/>
      <c r="F915" s="7"/>
      <c r="G915" s="55"/>
      <c r="H915" s="7"/>
      <c r="I915" s="7"/>
      <c r="J915" s="7"/>
      <c r="K915" s="7"/>
      <c r="L915" s="7"/>
      <c r="M915" s="7"/>
      <c r="N915" s="7"/>
      <c r="O915" s="7"/>
      <c r="P915" s="7"/>
      <c r="Q915" s="55"/>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c r="BZ915" s="41"/>
      <c r="CA915" s="7"/>
      <c r="CB915" s="7"/>
      <c r="CC915" s="7"/>
      <c r="CD915" s="7"/>
      <c r="CE915" s="7"/>
      <c r="CF915" s="7"/>
    </row>
    <row r="916">
      <c r="A916" s="7"/>
      <c r="B916" s="55"/>
      <c r="C916" s="7"/>
      <c r="D916" s="7"/>
      <c r="E916" s="7"/>
      <c r="F916" s="7"/>
      <c r="G916" s="55"/>
      <c r="H916" s="7"/>
      <c r="I916" s="7"/>
      <c r="J916" s="7"/>
      <c r="K916" s="7"/>
      <c r="L916" s="7"/>
      <c r="M916" s="7"/>
      <c r="N916" s="7"/>
      <c r="O916" s="7"/>
      <c r="P916" s="7"/>
      <c r="Q916" s="55"/>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c r="BN916" s="7"/>
      <c r="BO916" s="7"/>
      <c r="BP916" s="7"/>
      <c r="BQ916" s="7"/>
      <c r="BR916" s="7"/>
      <c r="BS916" s="7"/>
      <c r="BT916" s="7"/>
      <c r="BU916" s="7"/>
      <c r="BV916" s="7"/>
      <c r="BW916" s="7"/>
      <c r="BX916" s="7"/>
      <c r="BY916" s="7"/>
      <c r="BZ916" s="41"/>
      <c r="CA916" s="7"/>
      <c r="CB916" s="7"/>
      <c r="CC916" s="7"/>
      <c r="CD916" s="7"/>
      <c r="CE916" s="7"/>
      <c r="CF916" s="7"/>
    </row>
    <row r="917">
      <c r="A917" s="7"/>
      <c r="B917" s="55"/>
      <c r="C917" s="7"/>
      <c r="D917" s="7"/>
      <c r="E917" s="7"/>
      <c r="F917" s="7"/>
      <c r="G917" s="55"/>
      <c r="H917" s="7"/>
      <c r="I917" s="7"/>
      <c r="J917" s="7"/>
      <c r="K917" s="7"/>
      <c r="L917" s="7"/>
      <c r="M917" s="7"/>
      <c r="N917" s="7"/>
      <c r="O917" s="7"/>
      <c r="P917" s="7"/>
      <c r="Q917" s="55"/>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c r="BZ917" s="41"/>
      <c r="CA917" s="7"/>
      <c r="CB917" s="7"/>
      <c r="CC917" s="7"/>
      <c r="CD917" s="7"/>
      <c r="CE917" s="7"/>
      <c r="CF917" s="7"/>
    </row>
    <row r="918">
      <c r="A918" s="7"/>
      <c r="B918" s="55"/>
      <c r="C918" s="7"/>
      <c r="D918" s="7"/>
      <c r="E918" s="7"/>
      <c r="F918" s="7"/>
      <c r="G918" s="55"/>
      <c r="H918" s="7"/>
      <c r="I918" s="7"/>
      <c r="J918" s="7"/>
      <c r="K918" s="7"/>
      <c r="L918" s="7"/>
      <c r="M918" s="7"/>
      <c r="N918" s="7"/>
      <c r="O918" s="7"/>
      <c r="P918" s="7"/>
      <c r="Q918" s="55"/>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c r="BN918" s="7"/>
      <c r="BO918" s="7"/>
      <c r="BP918" s="7"/>
      <c r="BQ918" s="7"/>
      <c r="BR918" s="7"/>
      <c r="BS918" s="7"/>
      <c r="BT918" s="7"/>
      <c r="BU918" s="7"/>
      <c r="BV918" s="7"/>
      <c r="BW918" s="7"/>
      <c r="BX918" s="7"/>
      <c r="BY918" s="7"/>
      <c r="BZ918" s="41"/>
      <c r="CA918" s="7"/>
      <c r="CB918" s="7"/>
      <c r="CC918" s="7"/>
      <c r="CD918" s="7"/>
      <c r="CE918" s="7"/>
      <c r="CF918" s="7"/>
    </row>
    <row r="919">
      <c r="A919" s="7"/>
      <c r="B919" s="55"/>
      <c r="C919" s="7"/>
      <c r="D919" s="7"/>
      <c r="E919" s="7"/>
      <c r="F919" s="7"/>
      <c r="G919" s="55"/>
      <c r="H919" s="7"/>
      <c r="I919" s="7"/>
      <c r="J919" s="7"/>
      <c r="K919" s="7"/>
      <c r="L919" s="7"/>
      <c r="M919" s="7"/>
      <c r="N919" s="7"/>
      <c r="O919" s="7"/>
      <c r="P919" s="7"/>
      <c r="Q919" s="55"/>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c r="BX919" s="7"/>
      <c r="BY919" s="7"/>
      <c r="BZ919" s="41"/>
      <c r="CA919" s="7"/>
      <c r="CB919" s="7"/>
      <c r="CC919" s="7"/>
      <c r="CD919" s="7"/>
      <c r="CE919" s="7"/>
      <c r="CF919" s="7"/>
    </row>
    <row r="920">
      <c r="A920" s="7"/>
      <c r="B920" s="55"/>
      <c r="C920" s="7"/>
      <c r="D920" s="7"/>
      <c r="E920" s="7"/>
      <c r="F920" s="7"/>
      <c r="G920" s="55"/>
      <c r="H920" s="7"/>
      <c r="I920" s="7"/>
      <c r="J920" s="7"/>
      <c r="K920" s="7"/>
      <c r="L920" s="7"/>
      <c r="M920" s="7"/>
      <c r="N920" s="7"/>
      <c r="O920" s="7"/>
      <c r="P920" s="7"/>
      <c r="Q920" s="55"/>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c r="BN920" s="7"/>
      <c r="BO920" s="7"/>
      <c r="BP920" s="7"/>
      <c r="BQ920" s="7"/>
      <c r="BR920" s="7"/>
      <c r="BS920" s="7"/>
      <c r="BT920" s="7"/>
      <c r="BU920" s="7"/>
      <c r="BV920" s="7"/>
      <c r="BW920" s="7"/>
      <c r="BX920" s="7"/>
      <c r="BY920" s="7"/>
      <c r="BZ920" s="41"/>
      <c r="CA920" s="7"/>
      <c r="CB920" s="7"/>
      <c r="CC920" s="7"/>
      <c r="CD920" s="7"/>
      <c r="CE920" s="7"/>
      <c r="CF920" s="7"/>
    </row>
    <row r="921">
      <c r="A921" s="7"/>
      <c r="B921" s="55"/>
      <c r="C921" s="7"/>
      <c r="D921" s="7"/>
      <c r="E921" s="7"/>
      <c r="F921" s="7"/>
      <c r="G921" s="55"/>
      <c r="H921" s="7"/>
      <c r="I921" s="7"/>
      <c r="J921" s="7"/>
      <c r="K921" s="7"/>
      <c r="L921" s="7"/>
      <c r="M921" s="7"/>
      <c r="N921" s="7"/>
      <c r="O921" s="7"/>
      <c r="P921" s="7"/>
      <c r="Q921" s="55"/>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c r="BX921" s="7"/>
      <c r="BY921" s="7"/>
      <c r="BZ921" s="41"/>
      <c r="CA921" s="7"/>
      <c r="CB921" s="7"/>
      <c r="CC921" s="7"/>
      <c r="CD921" s="7"/>
      <c r="CE921" s="7"/>
      <c r="CF921" s="7"/>
    </row>
    <row r="922">
      <c r="A922" s="7"/>
      <c r="B922" s="55"/>
      <c r="C922" s="7"/>
      <c r="D922" s="7"/>
      <c r="E922" s="7"/>
      <c r="F922" s="7"/>
      <c r="G922" s="55"/>
      <c r="H922" s="7"/>
      <c r="I922" s="7"/>
      <c r="J922" s="7"/>
      <c r="K922" s="7"/>
      <c r="L922" s="7"/>
      <c r="M922" s="7"/>
      <c r="N922" s="7"/>
      <c r="O922" s="7"/>
      <c r="P922" s="7"/>
      <c r="Q922" s="55"/>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c r="BN922" s="7"/>
      <c r="BO922" s="7"/>
      <c r="BP922" s="7"/>
      <c r="BQ922" s="7"/>
      <c r="BR922" s="7"/>
      <c r="BS922" s="7"/>
      <c r="BT922" s="7"/>
      <c r="BU922" s="7"/>
      <c r="BV922" s="7"/>
      <c r="BW922" s="7"/>
      <c r="BX922" s="7"/>
      <c r="BY922" s="7"/>
      <c r="BZ922" s="41"/>
      <c r="CA922" s="7"/>
      <c r="CB922" s="7"/>
      <c r="CC922" s="7"/>
      <c r="CD922" s="7"/>
      <c r="CE922" s="7"/>
      <c r="CF922" s="7"/>
    </row>
    <row r="923">
      <c r="A923" s="7"/>
      <c r="B923" s="55"/>
      <c r="C923" s="7"/>
      <c r="D923" s="7"/>
      <c r="E923" s="7"/>
      <c r="F923" s="7"/>
      <c r="G923" s="55"/>
      <c r="H923" s="7"/>
      <c r="I923" s="7"/>
      <c r="J923" s="7"/>
      <c r="K923" s="7"/>
      <c r="L923" s="7"/>
      <c r="M923" s="7"/>
      <c r="N923" s="7"/>
      <c r="O923" s="7"/>
      <c r="P923" s="7"/>
      <c r="Q923" s="55"/>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c r="BX923" s="7"/>
      <c r="BY923" s="7"/>
      <c r="BZ923" s="41"/>
      <c r="CA923" s="7"/>
      <c r="CB923" s="7"/>
      <c r="CC923" s="7"/>
      <c r="CD923" s="7"/>
      <c r="CE923" s="7"/>
      <c r="CF923" s="7"/>
    </row>
    <row r="924">
      <c r="A924" s="7"/>
      <c r="B924" s="55"/>
      <c r="C924" s="7"/>
      <c r="D924" s="7"/>
      <c r="E924" s="7"/>
      <c r="F924" s="7"/>
      <c r="G924" s="55"/>
      <c r="H924" s="7"/>
      <c r="I924" s="7"/>
      <c r="J924" s="7"/>
      <c r="K924" s="7"/>
      <c r="L924" s="7"/>
      <c r="M924" s="7"/>
      <c r="N924" s="7"/>
      <c r="O924" s="7"/>
      <c r="P924" s="7"/>
      <c r="Q924" s="55"/>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c r="BN924" s="7"/>
      <c r="BO924" s="7"/>
      <c r="BP924" s="7"/>
      <c r="BQ924" s="7"/>
      <c r="BR924" s="7"/>
      <c r="BS924" s="7"/>
      <c r="BT924" s="7"/>
      <c r="BU924" s="7"/>
      <c r="BV924" s="7"/>
      <c r="BW924" s="7"/>
      <c r="BX924" s="7"/>
      <c r="BY924" s="7"/>
      <c r="BZ924" s="41"/>
      <c r="CA924" s="7"/>
      <c r="CB924" s="7"/>
      <c r="CC924" s="7"/>
      <c r="CD924" s="7"/>
      <c r="CE924" s="7"/>
      <c r="CF924" s="7"/>
    </row>
    <row r="925">
      <c r="A925" s="7"/>
      <c r="B925" s="55"/>
      <c r="C925" s="7"/>
      <c r="D925" s="7"/>
      <c r="E925" s="7"/>
      <c r="F925" s="7"/>
      <c r="G925" s="55"/>
      <c r="H925" s="7"/>
      <c r="I925" s="7"/>
      <c r="J925" s="7"/>
      <c r="K925" s="7"/>
      <c r="L925" s="7"/>
      <c r="M925" s="7"/>
      <c r="N925" s="7"/>
      <c r="O925" s="7"/>
      <c r="P925" s="7"/>
      <c r="Q925" s="55"/>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41"/>
      <c r="CA925" s="7"/>
      <c r="CB925" s="7"/>
      <c r="CC925" s="7"/>
      <c r="CD925" s="7"/>
      <c r="CE925" s="7"/>
      <c r="CF925" s="7"/>
    </row>
    <row r="926">
      <c r="A926" s="7"/>
      <c r="B926" s="55"/>
      <c r="C926" s="7"/>
      <c r="D926" s="7"/>
      <c r="E926" s="7"/>
      <c r="F926" s="7"/>
      <c r="G926" s="55"/>
      <c r="H926" s="7"/>
      <c r="I926" s="7"/>
      <c r="J926" s="7"/>
      <c r="K926" s="7"/>
      <c r="L926" s="7"/>
      <c r="M926" s="7"/>
      <c r="N926" s="7"/>
      <c r="O926" s="7"/>
      <c r="P926" s="7"/>
      <c r="Q926" s="55"/>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c r="BX926" s="7"/>
      <c r="BY926" s="7"/>
      <c r="BZ926" s="41"/>
      <c r="CA926" s="7"/>
      <c r="CB926" s="7"/>
      <c r="CC926" s="7"/>
      <c r="CD926" s="7"/>
      <c r="CE926" s="7"/>
      <c r="CF926" s="7"/>
    </row>
    <row r="927">
      <c r="A927" s="7"/>
      <c r="B927" s="55"/>
      <c r="C927" s="7"/>
      <c r="D927" s="7"/>
      <c r="E927" s="7"/>
      <c r="F927" s="7"/>
      <c r="G927" s="55"/>
      <c r="H927" s="7"/>
      <c r="I927" s="7"/>
      <c r="J927" s="7"/>
      <c r="K927" s="7"/>
      <c r="L927" s="7"/>
      <c r="M927" s="7"/>
      <c r="N927" s="7"/>
      <c r="O927" s="7"/>
      <c r="P927" s="7"/>
      <c r="Q927" s="55"/>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c r="BZ927" s="41"/>
      <c r="CA927" s="7"/>
      <c r="CB927" s="7"/>
      <c r="CC927" s="7"/>
      <c r="CD927" s="7"/>
      <c r="CE927" s="7"/>
      <c r="CF927" s="7"/>
    </row>
    <row r="928">
      <c r="A928" s="7"/>
      <c r="B928" s="55"/>
      <c r="C928" s="7"/>
      <c r="D928" s="7"/>
      <c r="E928" s="7"/>
      <c r="F928" s="7"/>
      <c r="G928" s="55"/>
      <c r="H928" s="7"/>
      <c r="I928" s="7"/>
      <c r="J928" s="7"/>
      <c r="K928" s="7"/>
      <c r="L928" s="7"/>
      <c r="M928" s="7"/>
      <c r="N928" s="7"/>
      <c r="O928" s="7"/>
      <c r="P928" s="7"/>
      <c r="Q928" s="55"/>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c r="BN928" s="7"/>
      <c r="BO928" s="7"/>
      <c r="BP928" s="7"/>
      <c r="BQ928" s="7"/>
      <c r="BR928" s="7"/>
      <c r="BS928" s="7"/>
      <c r="BT928" s="7"/>
      <c r="BU928" s="7"/>
      <c r="BV928" s="7"/>
      <c r="BW928" s="7"/>
      <c r="BX928" s="7"/>
      <c r="BY928" s="7"/>
      <c r="BZ928" s="41"/>
      <c r="CA928" s="7"/>
      <c r="CB928" s="7"/>
      <c r="CC928" s="7"/>
      <c r="CD928" s="7"/>
      <c r="CE928" s="7"/>
      <c r="CF928" s="7"/>
    </row>
    <row r="929">
      <c r="A929" s="7"/>
      <c r="B929" s="55"/>
      <c r="C929" s="7"/>
      <c r="D929" s="7"/>
      <c r="E929" s="7"/>
      <c r="F929" s="7"/>
      <c r="G929" s="55"/>
      <c r="H929" s="7"/>
      <c r="I929" s="7"/>
      <c r="J929" s="7"/>
      <c r="K929" s="7"/>
      <c r="L929" s="7"/>
      <c r="M929" s="7"/>
      <c r="N929" s="7"/>
      <c r="O929" s="7"/>
      <c r="P929" s="7"/>
      <c r="Q929" s="55"/>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c r="BZ929" s="41"/>
      <c r="CA929" s="7"/>
      <c r="CB929" s="7"/>
      <c r="CC929" s="7"/>
      <c r="CD929" s="7"/>
      <c r="CE929" s="7"/>
      <c r="CF929" s="7"/>
    </row>
    <row r="930">
      <c r="A930" s="7"/>
      <c r="B930" s="55"/>
      <c r="C930" s="7"/>
      <c r="D930" s="7"/>
      <c r="E930" s="7"/>
      <c r="F930" s="7"/>
      <c r="G930" s="55"/>
      <c r="H930" s="7"/>
      <c r="I930" s="7"/>
      <c r="J930" s="7"/>
      <c r="K930" s="7"/>
      <c r="L930" s="7"/>
      <c r="M930" s="7"/>
      <c r="N930" s="7"/>
      <c r="O930" s="7"/>
      <c r="P930" s="7"/>
      <c r="Q930" s="55"/>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c r="BN930" s="7"/>
      <c r="BO930" s="7"/>
      <c r="BP930" s="7"/>
      <c r="BQ930" s="7"/>
      <c r="BR930" s="7"/>
      <c r="BS930" s="7"/>
      <c r="BT930" s="7"/>
      <c r="BU930" s="7"/>
      <c r="BV930" s="7"/>
      <c r="BW930" s="7"/>
      <c r="BX930" s="7"/>
      <c r="BY930" s="7"/>
      <c r="BZ930" s="41"/>
      <c r="CA930" s="7"/>
      <c r="CB930" s="7"/>
      <c r="CC930" s="7"/>
      <c r="CD930" s="7"/>
      <c r="CE930" s="7"/>
      <c r="CF930" s="7"/>
    </row>
    <row r="931">
      <c r="A931" s="7"/>
      <c r="B931" s="55"/>
      <c r="C931" s="7"/>
      <c r="D931" s="7"/>
      <c r="E931" s="7"/>
      <c r="F931" s="7"/>
      <c r="G931" s="55"/>
      <c r="H931" s="7"/>
      <c r="I931" s="7"/>
      <c r="J931" s="7"/>
      <c r="K931" s="7"/>
      <c r="L931" s="7"/>
      <c r="M931" s="7"/>
      <c r="N931" s="7"/>
      <c r="O931" s="7"/>
      <c r="P931" s="7"/>
      <c r="Q931" s="55"/>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c r="BZ931" s="41"/>
      <c r="CA931" s="7"/>
      <c r="CB931" s="7"/>
      <c r="CC931" s="7"/>
      <c r="CD931" s="7"/>
      <c r="CE931" s="7"/>
      <c r="CF931" s="7"/>
    </row>
    <row r="932">
      <c r="A932" s="7"/>
      <c r="B932" s="55"/>
      <c r="C932" s="7"/>
      <c r="D932" s="7"/>
      <c r="E932" s="7"/>
      <c r="F932" s="7"/>
      <c r="G932" s="55"/>
      <c r="H932" s="7"/>
      <c r="I932" s="7"/>
      <c r="J932" s="7"/>
      <c r="K932" s="7"/>
      <c r="L932" s="7"/>
      <c r="M932" s="7"/>
      <c r="N932" s="7"/>
      <c r="O932" s="7"/>
      <c r="P932" s="7"/>
      <c r="Q932" s="55"/>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c r="BN932" s="7"/>
      <c r="BO932" s="7"/>
      <c r="BP932" s="7"/>
      <c r="BQ932" s="7"/>
      <c r="BR932" s="7"/>
      <c r="BS932" s="7"/>
      <c r="BT932" s="7"/>
      <c r="BU932" s="7"/>
      <c r="BV932" s="7"/>
      <c r="BW932" s="7"/>
      <c r="BX932" s="7"/>
      <c r="BY932" s="7"/>
      <c r="BZ932" s="41"/>
      <c r="CA932" s="7"/>
      <c r="CB932" s="7"/>
      <c r="CC932" s="7"/>
      <c r="CD932" s="7"/>
      <c r="CE932" s="7"/>
      <c r="CF932" s="7"/>
    </row>
    <row r="933">
      <c r="A933" s="7"/>
      <c r="B933" s="55"/>
      <c r="C933" s="7"/>
      <c r="D933" s="7"/>
      <c r="E933" s="7"/>
      <c r="F933" s="7"/>
      <c r="G933" s="55"/>
      <c r="H933" s="7"/>
      <c r="I933" s="7"/>
      <c r="J933" s="7"/>
      <c r="K933" s="7"/>
      <c r="L933" s="7"/>
      <c r="M933" s="7"/>
      <c r="N933" s="7"/>
      <c r="O933" s="7"/>
      <c r="P933" s="7"/>
      <c r="Q933" s="55"/>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c r="BZ933" s="41"/>
      <c r="CA933" s="7"/>
      <c r="CB933" s="7"/>
      <c r="CC933" s="7"/>
      <c r="CD933" s="7"/>
      <c r="CE933" s="7"/>
      <c r="CF933" s="7"/>
    </row>
    <row r="934">
      <c r="A934" s="7"/>
      <c r="B934" s="55"/>
      <c r="C934" s="7"/>
      <c r="D934" s="7"/>
      <c r="E934" s="7"/>
      <c r="F934" s="7"/>
      <c r="G934" s="55"/>
      <c r="H934" s="7"/>
      <c r="I934" s="7"/>
      <c r="J934" s="7"/>
      <c r="K934" s="7"/>
      <c r="L934" s="7"/>
      <c r="M934" s="7"/>
      <c r="N934" s="7"/>
      <c r="O934" s="7"/>
      <c r="P934" s="7"/>
      <c r="Q934" s="55"/>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c r="BN934" s="7"/>
      <c r="BO934" s="7"/>
      <c r="BP934" s="7"/>
      <c r="BQ934" s="7"/>
      <c r="BR934" s="7"/>
      <c r="BS934" s="7"/>
      <c r="BT934" s="7"/>
      <c r="BU934" s="7"/>
      <c r="BV934" s="7"/>
      <c r="BW934" s="7"/>
      <c r="BX934" s="7"/>
      <c r="BY934" s="7"/>
      <c r="BZ934" s="41"/>
      <c r="CA934" s="7"/>
      <c r="CB934" s="7"/>
      <c r="CC934" s="7"/>
      <c r="CD934" s="7"/>
      <c r="CE934" s="7"/>
      <c r="CF934" s="7"/>
    </row>
    <row r="935">
      <c r="A935" s="7"/>
      <c r="B935" s="55"/>
      <c r="C935" s="7"/>
      <c r="D935" s="7"/>
      <c r="E935" s="7"/>
      <c r="F935" s="7"/>
      <c r="G935" s="55"/>
      <c r="H935" s="7"/>
      <c r="I935" s="7"/>
      <c r="J935" s="7"/>
      <c r="K935" s="7"/>
      <c r="L935" s="7"/>
      <c r="M935" s="7"/>
      <c r="N935" s="7"/>
      <c r="O935" s="7"/>
      <c r="P935" s="7"/>
      <c r="Q935" s="55"/>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c r="BX935" s="7"/>
      <c r="BY935" s="7"/>
      <c r="BZ935" s="41"/>
      <c r="CA935" s="7"/>
      <c r="CB935" s="7"/>
      <c r="CC935" s="7"/>
      <c r="CD935" s="7"/>
      <c r="CE935" s="7"/>
      <c r="CF935" s="7"/>
    </row>
    <row r="936">
      <c r="A936" s="7"/>
      <c r="B936" s="55"/>
      <c r="C936" s="7"/>
      <c r="D936" s="7"/>
      <c r="E936" s="7"/>
      <c r="F936" s="7"/>
      <c r="G936" s="55"/>
      <c r="H936" s="7"/>
      <c r="I936" s="7"/>
      <c r="J936" s="7"/>
      <c r="K936" s="7"/>
      <c r="L936" s="7"/>
      <c r="M936" s="7"/>
      <c r="N936" s="7"/>
      <c r="O936" s="7"/>
      <c r="P936" s="7"/>
      <c r="Q936" s="55"/>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c r="BN936" s="7"/>
      <c r="BO936" s="7"/>
      <c r="BP936" s="7"/>
      <c r="BQ936" s="7"/>
      <c r="BR936" s="7"/>
      <c r="BS936" s="7"/>
      <c r="BT936" s="7"/>
      <c r="BU936" s="7"/>
      <c r="BV936" s="7"/>
      <c r="BW936" s="7"/>
      <c r="BX936" s="7"/>
      <c r="BY936" s="7"/>
      <c r="BZ936" s="41"/>
      <c r="CA936" s="7"/>
      <c r="CB936" s="7"/>
      <c r="CC936" s="7"/>
      <c r="CD936" s="7"/>
      <c r="CE936" s="7"/>
      <c r="CF936" s="7"/>
    </row>
    <row r="937">
      <c r="A937" s="7"/>
      <c r="B937" s="55"/>
      <c r="C937" s="7"/>
      <c r="D937" s="7"/>
      <c r="E937" s="7"/>
      <c r="F937" s="7"/>
      <c r="G937" s="55"/>
      <c r="H937" s="7"/>
      <c r="I937" s="7"/>
      <c r="J937" s="7"/>
      <c r="K937" s="7"/>
      <c r="L937" s="7"/>
      <c r="M937" s="7"/>
      <c r="N937" s="7"/>
      <c r="O937" s="7"/>
      <c r="P937" s="7"/>
      <c r="Q937" s="55"/>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c r="BZ937" s="41"/>
      <c r="CA937" s="7"/>
      <c r="CB937" s="7"/>
      <c r="CC937" s="7"/>
      <c r="CD937" s="7"/>
      <c r="CE937" s="7"/>
      <c r="CF937" s="7"/>
    </row>
    <row r="938">
      <c r="A938" s="7"/>
      <c r="B938" s="55"/>
      <c r="C938" s="7"/>
      <c r="D938" s="7"/>
      <c r="E938" s="7"/>
      <c r="F938" s="7"/>
      <c r="G938" s="55"/>
      <c r="H938" s="7"/>
      <c r="I938" s="7"/>
      <c r="J938" s="7"/>
      <c r="K938" s="7"/>
      <c r="L938" s="7"/>
      <c r="M938" s="7"/>
      <c r="N938" s="7"/>
      <c r="O938" s="7"/>
      <c r="P938" s="7"/>
      <c r="Q938" s="55"/>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c r="BN938" s="7"/>
      <c r="BO938" s="7"/>
      <c r="BP938" s="7"/>
      <c r="BQ938" s="7"/>
      <c r="BR938" s="7"/>
      <c r="BS938" s="7"/>
      <c r="BT938" s="7"/>
      <c r="BU938" s="7"/>
      <c r="BV938" s="7"/>
      <c r="BW938" s="7"/>
      <c r="BX938" s="7"/>
      <c r="BY938" s="7"/>
      <c r="BZ938" s="41"/>
      <c r="CA938" s="7"/>
      <c r="CB938" s="7"/>
      <c r="CC938" s="7"/>
      <c r="CD938" s="7"/>
      <c r="CE938" s="7"/>
      <c r="CF938" s="7"/>
    </row>
    <row r="939">
      <c r="A939" s="7"/>
      <c r="B939" s="55"/>
      <c r="C939" s="7"/>
      <c r="D939" s="7"/>
      <c r="E939" s="7"/>
      <c r="F939" s="7"/>
      <c r="G939" s="55"/>
      <c r="H939" s="7"/>
      <c r="I939" s="7"/>
      <c r="J939" s="7"/>
      <c r="K939" s="7"/>
      <c r="L939" s="7"/>
      <c r="M939" s="7"/>
      <c r="N939" s="7"/>
      <c r="O939" s="7"/>
      <c r="P939" s="7"/>
      <c r="Q939" s="55"/>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c r="BX939" s="7"/>
      <c r="BY939" s="7"/>
      <c r="BZ939" s="41"/>
      <c r="CA939" s="7"/>
      <c r="CB939" s="7"/>
      <c r="CC939" s="7"/>
      <c r="CD939" s="7"/>
      <c r="CE939" s="7"/>
      <c r="CF939" s="7"/>
    </row>
    <row r="940">
      <c r="A940" s="7"/>
      <c r="B940" s="55"/>
      <c r="C940" s="7"/>
      <c r="D940" s="7"/>
      <c r="E940" s="7"/>
      <c r="F940" s="7"/>
      <c r="G940" s="55"/>
      <c r="H940" s="7"/>
      <c r="I940" s="7"/>
      <c r="J940" s="7"/>
      <c r="K940" s="7"/>
      <c r="L940" s="7"/>
      <c r="M940" s="7"/>
      <c r="N940" s="7"/>
      <c r="O940" s="7"/>
      <c r="P940" s="7"/>
      <c r="Q940" s="55"/>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c r="BN940" s="7"/>
      <c r="BO940" s="7"/>
      <c r="BP940" s="7"/>
      <c r="BQ940" s="7"/>
      <c r="BR940" s="7"/>
      <c r="BS940" s="7"/>
      <c r="BT940" s="7"/>
      <c r="BU940" s="7"/>
      <c r="BV940" s="7"/>
      <c r="BW940" s="7"/>
      <c r="BX940" s="7"/>
      <c r="BY940" s="7"/>
      <c r="BZ940" s="41"/>
      <c r="CA940" s="7"/>
      <c r="CB940" s="7"/>
      <c r="CC940" s="7"/>
      <c r="CD940" s="7"/>
      <c r="CE940" s="7"/>
      <c r="CF940" s="7"/>
    </row>
    <row r="941">
      <c r="A941" s="7"/>
      <c r="B941" s="55"/>
      <c r="C941" s="7"/>
      <c r="D941" s="7"/>
      <c r="E941" s="7"/>
      <c r="F941" s="7"/>
      <c r="G941" s="55"/>
      <c r="H941" s="7"/>
      <c r="I941" s="7"/>
      <c r="J941" s="7"/>
      <c r="K941" s="7"/>
      <c r="L941" s="7"/>
      <c r="M941" s="7"/>
      <c r="N941" s="7"/>
      <c r="O941" s="7"/>
      <c r="P941" s="7"/>
      <c r="Q941" s="55"/>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c r="BX941" s="7"/>
      <c r="BY941" s="7"/>
      <c r="BZ941" s="41"/>
      <c r="CA941" s="7"/>
      <c r="CB941" s="7"/>
      <c r="CC941" s="7"/>
      <c r="CD941" s="7"/>
      <c r="CE941" s="7"/>
      <c r="CF941" s="7"/>
    </row>
    <row r="942">
      <c r="A942" s="7"/>
      <c r="B942" s="55"/>
      <c r="C942" s="7"/>
      <c r="D942" s="7"/>
      <c r="E942" s="7"/>
      <c r="F942" s="7"/>
      <c r="G942" s="55"/>
      <c r="H942" s="7"/>
      <c r="I942" s="7"/>
      <c r="J942" s="7"/>
      <c r="K942" s="7"/>
      <c r="L942" s="7"/>
      <c r="M942" s="7"/>
      <c r="N942" s="7"/>
      <c r="O942" s="7"/>
      <c r="P942" s="7"/>
      <c r="Q942" s="55"/>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c r="BN942" s="7"/>
      <c r="BO942" s="7"/>
      <c r="BP942" s="7"/>
      <c r="BQ942" s="7"/>
      <c r="BR942" s="7"/>
      <c r="BS942" s="7"/>
      <c r="BT942" s="7"/>
      <c r="BU942" s="7"/>
      <c r="BV942" s="7"/>
      <c r="BW942" s="7"/>
      <c r="BX942" s="7"/>
      <c r="BY942" s="7"/>
      <c r="BZ942" s="41"/>
      <c r="CA942" s="7"/>
      <c r="CB942" s="7"/>
      <c r="CC942" s="7"/>
      <c r="CD942" s="7"/>
      <c r="CE942" s="7"/>
      <c r="CF942" s="7"/>
    </row>
    <row r="943">
      <c r="A943" s="7"/>
      <c r="B943" s="55"/>
      <c r="C943" s="7"/>
      <c r="D943" s="7"/>
      <c r="E943" s="7"/>
      <c r="F943" s="7"/>
      <c r="G943" s="55"/>
      <c r="H943" s="7"/>
      <c r="I943" s="7"/>
      <c r="J943" s="7"/>
      <c r="K943" s="7"/>
      <c r="L943" s="7"/>
      <c r="M943" s="7"/>
      <c r="N943" s="7"/>
      <c r="O943" s="7"/>
      <c r="P943" s="7"/>
      <c r="Q943" s="55"/>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c r="BX943" s="7"/>
      <c r="BY943" s="7"/>
      <c r="BZ943" s="41"/>
      <c r="CA943" s="7"/>
      <c r="CB943" s="7"/>
      <c r="CC943" s="7"/>
      <c r="CD943" s="7"/>
      <c r="CE943" s="7"/>
      <c r="CF943" s="7"/>
    </row>
    <row r="944">
      <c r="A944" s="7"/>
      <c r="B944" s="55"/>
      <c r="C944" s="7"/>
      <c r="D944" s="7"/>
      <c r="E944" s="7"/>
      <c r="F944" s="7"/>
      <c r="G944" s="55"/>
      <c r="H944" s="7"/>
      <c r="I944" s="7"/>
      <c r="J944" s="7"/>
      <c r="K944" s="7"/>
      <c r="L944" s="7"/>
      <c r="M944" s="7"/>
      <c r="N944" s="7"/>
      <c r="O944" s="7"/>
      <c r="P944" s="7"/>
      <c r="Q944" s="55"/>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c r="BN944" s="7"/>
      <c r="BO944" s="7"/>
      <c r="BP944" s="7"/>
      <c r="BQ944" s="7"/>
      <c r="BR944" s="7"/>
      <c r="BS944" s="7"/>
      <c r="BT944" s="7"/>
      <c r="BU944" s="7"/>
      <c r="BV944" s="7"/>
      <c r="BW944" s="7"/>
      <c r="BX944" s="7"/>
      <c r="BY944" s="7"/>
      <c r="BZ944" s="41"/>
      <c r="CA944" s="7"/>
      <c r="CB944" s="7"/>
      <c r="CC944" s="7"/>
      <c r="CD944" s="7"/>
      <c r="CE944" s="7"/>
      <c r="CF944" s="7"/>
    </row>
    <row r="945">
      <c r="A945" s="7"/>
      <c r="B945" s="55"/>
      <c r="C945" s="7"/>
      <c r="D945" s="7"/>
      <c r="E945" s="7"/>
      <c r="F945" s="7"/>
      <c r="G945" s="55"/>
      <c r="H945" s="7"/>
      <c r="I945" s="7"/>
      <c r="J945" s="7"/>
      <c r="K945" s="7"/>
      <c r="L945" s="7"/>
      <c r="M945" s="7"/>
      <c r="N945" s="7"/>
      <c r="O945" s="7"/>
      <c r="P945" s="7"/>
      <c r="Q945" s="55"/>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c r="BZ945" s="41"/>
      <c r="CA945" s="7"/>
      <c r="CB945" s="7"/>
      <c r="CC945" s="7"/>
      <c r="CD945" s="7"/>
      <c r="CE945" s="7"/>
      <c r="CF945" s="7"/>
    </row>
    <row r="946">
      <c r="A946" s="7"/>
      <c r="B946" s="55"/>
      <c r="C946" s="7"/>
      <c r="D946" s="7"/>
      <c r="E946" s="7"/>
      <c r="F946" s="7"/>
      <c r="G946" s="55"/>
      <c r="H946" s="7"/>
      <c r="I946" s="7"/>
      <c r="J946" s="7"/>
      <c r="K946" s="7"/>
      <c r="L946" s="7"/>
      <c r="M946" s="7"/>
      <c r="N946" s="7"/>
      <c r="O946" s="7"/>
      <c r="P946" s="7"/>
      <c r="Q946" s="55"/>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c r="BN946" s="7"/>
      <c r="BO946" s="7"/>
      <c r="BP946" s="7"/>
      <c r="BQ946" s="7"/>
      <c r="BR946" s="7"/>
      <c r="BS946" s="7"/>
      <c r="BT946" s="7"/>
      <c r="BU946" s="7"/>
      <c r="BV946" s="7"/>
      <c r="BW946" s="7"/>
      <c r="BX946" s="7"/>
      <c r="BY946" s="7"/>
      <c r="BZ946" s="41"/>
      <c r="CA946" s="7"/>
      <c r="CB946" s="7"/>
      <c r="CC946" s="7"/>
      <c r="CD946" s="7"/>
      <c r="CE946" s="7"/>
      <c r="CF946" s="7"/>
    </row>
    <row r="947">
      <c r="A947" s="7"/>
      <c r="B947" s="55"/>
      <c r="C947" s="7"/>
      <c r="D947" s="7"/>
      <c r="E947" s="7"/>
      <c r="F947" s="7"/>
      <c r="G947" s="55"/>
      <c r="H947" s="7"/>
      <c r="I947" s="7"/>
      <c r="J947" s="7"/>
      <c r="K947" s="7"/>
      <c r="L947" s="7"/>
      <c r="M947" s="7"/>
      <c r="N947" s="7"/>
      <c r="O947" s="7"/>
      <c r="P947" s="7"/>
      <c r="Q947" s="55"/>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c r="BZ947" s="41"/>
      <c r="CA947" s="7"/>
      <c r="CB947" s="7"/>
      <c r="CC947" s="7"/>
      <c r="CD947" s="7"/>
      <c r="CE947" s="7"/>
      <c r="CF947" s="7"/>
    </row>
    <row r="948">
      <c r="A948" s="7"/>
      <c r="B948" s="55"/>
      <c r="C948" s="7"/>
      <c r="D948" s="7"/>
      <c r="E948" s="7"/>
      <c r="F948" s="7"/>
      <c r="G948" s="55"/>
      <c r="H948" s="7"/>
      <c r="I948" s="7"/>
      <c r="J948" s="7"/>
      <c r="K948" s="7"/>
      <c r="L948" s="7"/>
      <c r="M948" s="7"/>
      <c r="N948" s="7"/>
      <c r="O948" s="7"/>
      <c r="P948" s="7"/>
      <c r="Q948" s="55"/>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c r="BN948" s="7"/>
      <c r="BO948" s="7"/>
      <c r="BP948" s="7"/>
      <c r="BQ948" s="7"/>
      <c r="BR948" s="7"/>
      <c r="BS948" s="7"/>
      <c r="BT948" s="7"/>
      <c r="BU948" s="7"/>
      <c r="BV948" s="7"/>
      <c r="BW948" s="7"/>
      <c r="BX948" s="7"/>
      <c r="BY948" s="7"/>
      <c r="BZ948" s="41"/>
      <c r="CA948" s="7"/>
      <c r="CB948" s="7"/>
      <c r="CC948" s="7"/>
      <c r="CD948" s="7"/>
      <c r="CE948" s="7"/>
      <c r="CF948" s="7"/>
    </row>
    <row r="949">
      <c r="A949" s="7"/>
      <c r="B949" s="55"/>
      <c r="C949" s="7"/>
      <c r="D949" s="7"/>
      <c r="E949" s="7"/>
      <c r="F949" s="7"/>
      <c r="G949" s="55"/>
      <c r="H949" s="7"/>
      <c r="I949" s="7"/>
      <c r="J949" s="7"/>
      <c r="K949" s="7"/>
      <c r="L949" s="7"/>
      <c r="M949" s="7"/>
      <c r="N949" s="7"/>
      <c r="O949" s="7"/>
      <c r="P949" s="7"/>
      <c r="Q949" s="55"/>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c r="BZ949" s="41"/>
      <c r="CA949" s="7"/>
      <c r="CB949" s="7"/>
      <c r="CC949" s="7"/>
      <c r="CD949" s="7"/>
      <c r="CE949" s="7"/>
      <c r="CF949" s="7"/>
    </row>
    <row r="950">
      <c r="A950" s="7"/>
      <c r="B950" s="55"/>
      <c r="C950" s="7"/>
      <c r="D950" s="7"/>
      <c r="E950" s="7"/>
      <c r="F950" s="7"/>
      <c r="G950" s="55"/>
      <c r="H950" s="7"/>
      <c r="I950" s="7"/>
      <c r="J950" s="7"/>
      <c r="K950" s="7"/>
      <c r="L950" s="7"/>
      <c r="M950" s="7"/>
      <c r="N950" s="7"/>
      <c r="O950" s="7"/>
      <c r="P950" s="7"/>
      <c r="Q950" s="55"/>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c r="BN950" s="7"/>
      <c r="BO950" s="7"/>
      <c r="BP950" s="7"/>
      <c r="BQ950" s="7"/>
      <c r="BR950" s="7"/>
      <c r="BS950" s="7"/>
      <c r="BT950" s="7"/>
      <c r="BU950" s="7"/>
      <c r="BV950" s="7"/>
      <c r="BW950" s="7"/>
      <c r="BX950" s="7"/>
      <c r="BY950" s="7"/>
      <c r="BZ950" s="41"/>
      <c r="CA950" s="7"/>
      <c r="CB950" s="7"/>
      <c r="CC950" s="7"/>
      <c r="CD950" s="7"/>
      <c r="CE950" s="7"/>
      <c r="CF950" s="7"/>
    </row>
    <row r="951">
      <c r="A951" s="7"/>
      <c r="B951" s="55"/>
      <c r="C951" s="7"/>
      <c r="D951" s="7"/>
      <c r="E951" s="7"/>
      <c r="F951" s="7"/>
      <c r="G951" s="55"/>
      <c r="H951" s="7"/>
      <c r="I951" s="7"/>
      <c r="J951" s="7"/>
      <c r="K951" s="7"/>
      <c r="L951" s="7"/>
      <c r="M951" s="7"/>
      <c r="N951" s="7"/>
      <c r="O951" s="7"/>
      <c r="P951" s="7"/>
      <c r="Q951" s="55"/>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c r="BZ951" s="41"/>
      <c r="CA951" s="7"/>
      <c r="CB951" s="7"/>
      <c r="CC951" s="7"/>
      <c r="CD951" s="7"/>
      <c r="CE951" s="7"/>
      <c r="CF951" s="7"/>
    </row>
    <row r="952">
      <c r="A952" s="7"/>
      <c r="B952" s="55"/>
      <c r="C952" s="7"/>
      <c r="D952" s="7"/>
      <c r="E952" s="7"/>
      <c r="F952" s="7"/>
      <c r="G952" s="55"/>
      <c r="H952" s="7"/>
      <c r="I952" s="7"/>
      <c r="J952" s="7"/>
      <c r="K952" s="7"/>
      <c r="L952" s="7"/>
      <c r="M952" s="7"/>
      <c r="N952" s="7"/>
      <c r="O952" s="7"/>
      <c r="P952" s="7"/>
      <c r="Q952" s="55"/>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c r="BN952" s="7"/>
      <c r="BO952" s="7"/>
      <c r="BP952" s="7"/>
      <c r="BQ952" s="7"/>
      <c r="BR952" s="7"/>
      <c r="BS952" s="7"/>
      <c r="BT952" s="7"/>
      <c r="BU952" s="7"/>
      <c r="BV952" s="7"/>
      <c r="BW952" s="7"/>
      <c r="BX952" s="7"/>
      <c r="BY952" s="7"/>
      <c r="BZ952" s="41"/>
      <c r="CA952" s="7"/>
      <c r="CB952" s="7"/>
      <c r="CC952" s="7"/>
      <c r="CD952" s="7"/>
      <c r="CE952" s="7"/>
      <c r="CF952" s="7"/>
    </row>
    <row r="953">
      <c r="A953" s="7"/>
      <c r="B953" s="55"/>
      <c r="C953" s="7"/>
      <c r="D953" s="7"/>
      <c r="E953" s="7"/>
      <c r="F953" s="7"/>
      <c r="G953" s="55"/>
      <c r="H953" s="7"/>
      <c r="I953" s="7"/>
      <c r="J953" s="7"/>
      <c r="K953" s="7"/>
      <c r="L953" s="7"/>
      <c r="M953" s="7"/>
      <c r="N953" s="7"/>
      <c r="O953" s="7"/>
      <c r="P953" s="7"/>
      <c r="Q953" s="55"/>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c r="BZ953" s="41"/>
      <c r="CA953" s="7"/>
      <c r="CB953" s="7"/>
      <c r="CC953" s="7"/>
      <c r="CD953" s="7"/>
      <c r="CE953" s="7"/>
      <c r="CF953" s="7"/>
    </row>
    <row r="954">
      <c r="A954" s="7"/>
      <c r="B954" s="55"/>
      <c r="C954" s="7"/>
      <c r="D954" s="7"/>
      <c r="E954" s="7"/>
      <c r="F954" s="7"/>
      <c r="G954" s="55"/>
      <c r="H954" s="7"/>
      <c r="I954" s="7"/>
      <c r="J954" s="7"/>
      <c r="K954" s="7"/>
      <c r="L954" s="7"/>
      <c r="M954" s="7"/>
      <c r="N954" s="7"/>
      <c r="O954" s="7"/>
      <c r="P954" s="7"/>
      <c r="Q954" s="55"/>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c r="BN954" s="7"/>
      <c r="BO954" s="7"/>
      <c r="BP954" s="7"/>
      <c r="BQ954" s="7"/>
      <c r="BR954" s="7"/>
      <c r="BS954" s="7"/>
      <c r="BT954" s="7"/>
      <c r="BU954" s="7"/>
      <c r="BV954" s="7"/>
      <c r="BW954" s="7"/>
      <c r="BX954" s="7"/>
      <c r="BY954" s="7"/>
      <c r="BZ954" s="41"/>
      <c r="CA954" s="7"/>
      <c r="CB954" s="7"/>
      <c r="CC954" s="7"/>
      <c r="CD954" s="7"/>
      <c r="CE954" s="7"/>
      <c r="CF954" s="7"/>
    </row>
    <row r="955">
      <c r="A955" s="7"/>
      <c r="B955" s="55"/>
      <c r="C955" s="7"/>
      <c r="D955" s="7"/>
      <c r="E955" s="7"/>
      <c r="F955" s="7"/>
      <c r="G955" s="55"/>
      <c r="H955" s="7"/>
      <c r="I955" s="7"/>
      <c r="J955" s="7"/>
      <c r="K955" s="7"/>
      <c r="L955" s="7"/>
      <c r="M955" s="7"/>
      <c r="N955" s="7"/>
      <c r="O955" s="7"/>
      <c r="P955" s="7"/>
      <c r="Q955" s="55"/>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c r="BZ955" s="41"/>
      <c r="CA955" s="7"/>
      <c r="CB955" s="7"/>
      <c r="CC955" s="7"/>
      <c r="CD955" s="7"/>
      <c r="CE955" s="7"/>
      <c r="CF955" s="7"/>
    </row>
    <row r="956">
      <c r="A956" s="7"/>
      <c r="B956" s="55"/>
      <c r="C956" s="7"/>
      <c r="D956" s="7"/>
      <c r="E956" s="7"/>
      <c r="F956" s="7"/>
      <c r="G956" s="55"/>
      <c r="H956" s="7"/>
      <c r="I956" s="7"/>
      <c r="J956" s="7"/>
      <c r="K956" s="7"/>
      <c r="L956" s="7"/>
      <c r="M956" s="7"/>
      <c r="N956" s="7"/>
      <c r="O956" s="7"/>
      <c r="P956" s="7"/>
      <c r="Q956" s="55"/>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c r="BN956" s="7"/>
      <c r="BO956" s="7"/>
      <c r="BP956" s="7"/>
      <c r="BQ956" s="7"/>
      <c r="BR956" s="7"/>
      <c r="BS956" s="7"/>
      <c r="BT956" s="7"/>
      <c r="BU956" s="7"/>
      <c r="BV956" s="7"/>
      <c r="BW956" s="7"/>
      <c r="BX956" s="7"/>
      <c r="BY956" s="7"/>
      <c r="BZ956" s="41"/>
      <c r="CA956" s="7"/>
      <c r="CB956" s="7"/>
      <c r="CC956" s="7"/>
      <c r="CD956" s="7"/>
      <c r="CE956" s="7"/>
      <c r="CF956" s="7"/>
    </row>
    <row r="957">
      <c r="A957" s="7"/>
      <c r="B957" s="55"/>
      <c r="C957" s="7"/>
      <c r="D957" s="7"/>
      <c r="E957" s="7"/>
      <c r="F957" s="7"/>
      <c r="G957" s="55"/>
      <c r="H957" s="7"/>
      <c r="I957" s="7"/>
      <c r="J957" s="7"/>
      <c r="K957" s="7"/>
      <c r="L957" s="7"/>
      <c r="M957" s="7"/>
      <c r="N957" s="7"/>
      <c r="O957" s="7"/>
      <c r="P957" s="7"/>
      <c r="Q957" s="55"/>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c r="BX957" s="7"/>
      <c r="BY957" s="7"/>
      <c r="BZ957" s="41"/>
      <c r="CA957" s="7"/>
      <c r="CB957" s="7"/>
      <c r="CC957" s="7"/>
      <c r="CD957" s="7"/>
      <c r="CE957" s="7"/>
      <c r="CF957" s="7"/>
    </row>
    <row r="958">
      <c r="A958" s="7"/>
      <c r="B958" s="55"/>
      <c r="C958" s="7"/>
      <c r="D958" s="7"/>
      <c r="E958" s="7"/>
      <c r="F958" s="7"/>
      <c r="G958" s="55"/>
      <c r="H958" s="7"/>
      <c r="I958" s="7"/>
      <c r="J958" s="7"/>
      <c r="K958" s="7"/>
      <c r="L958" s="7"/>
      <c r="M958" s="7"/>
      <c r="N958" s="7"/>
      <c r="O958" s="7"/>
      <c r="P958" s="7"/>
      <c r="Q958" s="55"/>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c r="BN958" s="7"/>
      <c r="BO958" s="7"/>
      <c r="BP958" s="7"/>
      <c r="BQ958" s="7"/>
      <c r="BR958" s="7"/>
      <c r="BS958" s="7"/>
      <c r="BT958" s="7"/>
      <c r="BU958" s="7"/>
      <c r="BV958" s="7"/>
      <c r="BW958" s="7"/>
      <c r="BX958" s="7"/>
      <c r="BY958" s="7"/>
      <c r="BZ958" s="41"/>
      <c r="CA958" s="7"/>
      <c r="CB958" s="7"/>
      <c r="CC958" s="7"/>
      <c r="CD958" s="7"/>
      <c r="CE958" s="7"/>
      <c r="CF958" s="7"/>
    </row>
    <row r="959">
      <c r="A959" s="7"/>
      <c r="B959" s="55"/>
      <c r="C959" s="7"/>
      <c r="D959" s="7"/>
      <c r="E959" s="7"/>
      <c r="F959" s="7"/>
      <c r="G959" s="55"/>
      <c r="H959" s="7"/>
      <c r="I959" s="7"/>
      <c r="J959" s="7"/>
      <c r="K959" s="7"/>
      <c r="L959" s="7"/>
      <c r="M959" s="7"/>
      <c r="N959" s="7"/>
      <c r="O959" s="7"/>
      <c r="P959" s="7"/>
      <c r="Q959" s="55"/>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c r="BZ959" s="41"/>
      <c r="CA959" s="7"/>
      <c r="CB959" s="7"/>
      <c r="CC959" s="7"/>
      <c r="CD959" s="7"/>
      <c r="CE959" s="7"/>
      <c r="CF959" s="7"/>
    </row>
    <row r="960">
      <c r="A960" s="7"/>
      <c r="B960" s="55"/>
      <c r="C960" s="7"/>
      <c r="D960" s="7"/>
      <c r="E960" s="7"/>
      <c r="F960" s="7"/>
      <c r="G960" s="55"/>
      <c r="H960" s="7"/>
      <c r="I960" s="7"/>
      <c r="J960" s="7"/>
      <c r="K960" s="7"/>
      <c r="L960" s="7"/>
      <c r="M960" s="7"/>
      <c r="N960" s="7"/>
      <c r="O960" s="7"/>
      <c r="P960" s="7"/>
      <c r="Q960" s="55"/>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c r="BX960" s="7"/>
      <c r="BY960" s="7"/>
      <c r="BZ960" s="41"/>
      <c r="CA960" s="7"/>
      <c r="CB960" s="7"/>
      <c r="CC960" s="7"/>
      <c r="CD960" s="7"/>
      <c r="CE960" s="7"/>
      <c r="CF960" s="7"/>
    </row>
    <row r="961">
      <c r="A961" s="7"/>
      <c r="B961" s="55"/>
      <c r="C961" s="7"/>
      <c r="D961" s="7"/>
      <c r="E961" s="7"/>
      <c r="F961" s="7"/>
      <c r="G961" s="55"/>
      <c r="H961" s="7"/>
      <c r="I961" s="7"/>
      <c r="J961" s="7"/>
      <c r="K961" s="7"/>
      <c r="L961" s="7"/>
      <c r="M961" s="7"/>
      <c r="N961" s="7"/>
      <c r="O961" s="7"/>
      <c r="P961" s="7"/>
      <c r="Q961" s="55"/>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c r="BX961" s="7"/>
      <c r="BY961" s="7"/>
      <c r="BZ961" s="41"/>
      <c r="CA961" s="7"/>
      <c r="CB961" s="7"/>
      <c r="CC961" s="7"/>
      <c r="CD961" s="7"/>
      <c r="CE961" s="7"/>
      <c r="CF961" s="7"/>
    </row>
    <row r="962">
      <c r="A962" s="7"/>
      <c r="B962" s="55"/>
      <c r="C962" s="7"/>
      <c r="D962" s="7"/>
      <c r="E962" s="7"/>
      <c r="F962" s="7"/>
      <c r="G962" s="55"/>
      <c r="H962" s="7"/>
      <c r="I962" s="7"/>
      <c r="J962" s="7"/>
      <c r="K962" s="7"/>
      <c r="L962" s="7"/>
      <c r="M962" s="7"/>
      <c r="N962" s="7"/>
      <c r="O962" s="7"/>
      <c r="P962" s="7"/>
      <c r="Q962" s="55"/>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c r="BN962" s="7"/>
      <c r="BO962" s="7"/>
      <c r="BP962" s="7"/>
      <c r="BQ962" s="7"/>
      <c r="BR962" s="7"/>
      <c r="BS962" s="7"/>
      <c r="BT962" s="7"/>
      <c r="BU962" s="7"/>
      <c r="BV962" s="7"/>
      <c r="BW962" s="7"/>
      <c r="BX962" s="7"/>
      <c r="BY962" s="7"/>
      <c r="BZ962" s="41"/>
      <c r="CA962" s="7"/>
      <c r="CB962" s="7"/>
      <c r="CC962" s="7"/>
      <c r="CD962" s="7"/>
      <c r="CE962" s="7"/>
      <c r="CF962" s="7"/>
    </row>
    <row r="963">
      <c r="A963" s="7"/>
      <c r="B963" s="55"/>
      <c r="C963" s="7"/>
      <c r="D963" s="7"/>
      <c r="E963" s="7"/>
      <c r="F963" s="7"/>
      <c r="G963" s="55"/>
      <c r="H963" s="7"/>
      <c r="I963" s="7"/>
      <c r="J963" s="7"/>
      <c r="K963" s="7"/>
      <c r="L963" s="7"/>
      <c r="M963" s="7"/>
      <c r="N963" s="7"/>
      <c r="O963" s="7"/>
      <c r="P963" s="7"/>
      <c r="Q963" s="55"/>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c r="BX963" s="7"/>
      <c r="BY963" s="7"/>
      <c r="BZ963" s="41"/>
      <c r="CA963" s="7"/>
      <c r="CB963" s="7"/>
      <c r="CC963" s="7"/>
      <c r="CD963" s="7"/>
      <c r="CE963" s="7"/>
      <c r="CF963" s="7"/>
    </row>
    <row r="964">
      <c r="A964" s="7"/>
      <c r="B964" s="55"/>
      <c r="C964" s="7"/>
      <c r="D964" s="7"/>
      <c r="E964" s="7"/>
      <c r="F964" s="7"/>
      <c r="G964" s="55"/>
      <c r="H964" s="7"/>
      <c r="I964" s="7"/>
      <c r="J964" s="7"/>
      <c r="K964" s="7"/>
      <c r="L964" s="7"/>
      <c r="M964" s="7"/>
      <c r="N964" s="7"/>
      <c r="O964" s="7"/>
      <c r="P964" s="7"/>
      <c r="Q964" s="55"/>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c r="BN964" s="7"/>
      <c r="BO964" s="7"/>
      <c r="BP964" s="7"/>
      <c r="BQ964" s="7"/>
      <c r="BR964" s="7"/>
      <c r="BS964" s="7"/>
      <c r="BT964" s="7"/>
      <c r="BU964" s="7"/>
      <c r="BV964" s="7"/>
      <c r="BW964" s="7"/>
      <c r="BX964" s="7"/>
      <c r="BY964" s="7"/>
      <c r="BZ964" s="41"/>
      <c r="CA964" s="7"/>
      <c r="CB964" s="7"/>
      <c r="CC964" s="7"/>
      <c r="CD964" s="7"/>
      <c r="CE964" s="7"/>
      <c r="CF964" s="7"/>
    </row>
    <row r="965">
      <c r="A965" s="7"/>
      <c r="B965" s="55"/>
      <c r="C965" s="7"/>
      <c r="D965" s="7"/>
      <c r="E965" s="7"/>
      <c r="F965" s="7"/>
      <c r="G965" s="55"/>
      <c r="H965" s="7"/>
      <c r="I965" s="7"/>
      <c r="J965" s="7"/>
      <c r="K965" s="7"/>
      <c r="L965" s="7"/>
      <c r="M965" s="7"/>
      <c r="N965" s="7"/>
      <c r="O965" s="7"/>
      <c r="P965" s="7"/>
      <c r="Q965" s="55"/>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c r="BZ965" s="41"/>
      <c r="CA965" s="7"/>
      <c r="CB965" s="7"/>
      <c r="CC965" s="7"/>
      <c r="CD965" s="7"/>
      <c r="CE965" s="7"/>
      <c r="CF965" s="7"/>
    </row>
    <row r="966">
      <c r="A966" s="7"/>
      <c r="B966" s="55"/>
      <c r="C966" s="7"/>
      <c r="D966" s="7"/>
      <c r="E966" s="7"/>
      <c r="F966" s="7"/>
      <c r="G966" s="55"/>
      <c r="H966" s="7"/>
      <c r="I966" s="7"/>
      <c r="J966" s="7"/>
      <c r="K966" s="7"/>
      <c r="L966" s="7"/>
      <c r="M966" s="7"/>
      <c r="N966" s="7"/>
      <c r="O966" s="7"/>
      <c r="P966" s="7"/>
      <c r="Q966" s="55"/>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c r="BN966" s="7"/>
      <c r="BO966" s="7"/>
      <c r="BP966" s="7"/>
      <c r="BQ966" s="7"/>
      <c r="BR966" s="7"/>
      <c r="BS966" s="7"/>
      <c r="BT966" s="7"/>
      <c r="BU966" s="7"/>
      <c r="BV966" s="7"/>
      <c r="BW966" s="7"/>
      <c r="BX966" s="7"/>
      <c r="BY966" s="7"/>
      <c r="BZ966" s="41"/>
      <c r="CA966" s="7"/>
      <c r="CB966" s="7"/>
      <c r="CC966" s="7"/>
      <c r="CD966" s="7"/>
      <c r="CE966" s="7"/>
      <c r="CF966" s="7"/>
    </row>
    <row r="967">
      <c r="A967" s="7"/>
      <c r="B967" s="55"/>
      <c r="C967" s="7"/>
      <c r="D967" s="7"/>
      <c r="E967" s="7"/>
      <c r="F967" s="7"/>
      <c r="G967" s="55"/>
      <c r="H967" s="7"/>
      <c r="I967" s="7"/>
      <c r="J967" s="7"/>
      <c r="K967" s="7"/>
      <c r="L967" s="7"/>
      <c r="M967" s="7"/>
      <c r="N967" s="7"/>
      <c r="O967" s="7"/>
      <c r="P967" s="7"/>
      <c r="Q967" s="55"/>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41"/>
      <c r="CA967" s="7"/>
      <c r="CB967" s="7"/>
      <c r="CC967" s="7"/>
      <c r="CD967" s="7"/>
      <c r="CE967" s="7"/>
      <c r="CF967" s="7"/>
    </row>
    <row r="968">
      <c r="A968" s="7"/>
      <c r="B968" s="55"/>
      <c r="C968" s="7"/>
      <c r="D968" s="7"/>
      <c r="E968" s="7"/>
      <c r="F968" s="7"/>
      <c r="G968" s="55"/>
      <c r="H968" s="7"/>
      <c r="I968" s="7"/>
      <c r="J968" s="7"/>
      <c r="K968" s="7"/>
      <c r="L968" s="7"/>
      <c r="M968" s="7"/>
      <c r="N968" s="7"/>
      <c r="O968" s="7"/>
      <c r="P968" s="7"/>
      <c r="Q968" s="55"/>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c r="BN968" s="7"/>
      <c r="BO968" s="7"/>
      <c r="BP968" s="7"/>
      <c r="BQ968" s="7"/>
      <c r="BR968" s="7"/>
      <c r="BS968" s="7"/>
      <c r="BT968" s="7"/>
      <c r="BU968" s="7"/>
      <c r="BV968" s="7"/>
      <c r="BW968" s="7"/>
      <c r="BX968" s="7"/>
      <c r="BY968" s="7"/>
      <c r="BZ968" s="41"/>
      <c r="CA968" s="7"/>
      <c r="CB968" s="7"/>
      <c r="CC968" s="7"/>
      <c r="CD968" s="7"/>
      <c r="CE968" s="7"/>
      <c r="CF968" s="7"/>
    </row>
    <row r="969">
      <c r="A969" s="7"/>
      <c r="B969" s="55"/>
      <c r="C969" s="7"/>
      <c r="D969" s="7"/>
      <c r="E969" s="7"/>
      <c r="F969" s="7"/>
      <c r="G969" s="55"/>
      <c r="H969" s="7"/>
      <c r="I969" s="7"/>
      <c r="J969" s="7"/>
      <c r="K969" s="7"/>
      <c r="L969" s="7"/>
      <c r="M969" s="7"/>
      <c r="N969" s="7"/>
      <c r="O969" s="7"/>
      <c r="P969" s="7"/>
      <c r="Q969" s="55"/>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c r="BZ969" s="41"/>
      <c r="CA969" s="7"/>
      <c r="CB969" s="7"/>
      <c r="CC969" s="7"/>
      <c r="CD969" s="7"/>
      <c r="CE969" s="7"/>
      <c r="CF969" s="7"/>
    </row>
    <row r="970">
      <c r="A970" s="7"/>
      <c r="B970" s="55"/>
      <c r="C970" s="7"/>
      <c r="D970" s="7"/>
      <c r="E970" s="7"/>
      <c r="F970" s="7"/>
      <c r="G970" s="55"/>
      <c r="H970" s="7"/>
      <c r="I970" s="7"/>
      <c r="J970" s="7"/>
      <c r="K970" s="7"/>
      <c r="L970" s="7"/>
      <c r="M970" s="7"/>
      <c r="N970" s="7"/>
      <c r="O970" s="7"/>
      <c r="P970" s="7"/>
      <c r="Q970" s="55"/>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c r="BX970" s="7"/>
      <c r="BY970" s="7"/>
      <c r="BZ970" s="41"/>
      <c r="CA970" s="7"/>
      <c r="CB970" s="7"/>
      <c r="CC970" s="7"/>
      <c r="CD970" s="7"/>
      <c r="CE970" s="7"/>
      <c r="CF970" s="7"/>
    </row>
    <row r="971">
      <c r="A971" s="7"/>
      <c r="B971" s="55"/>
      <c r="C971" s="7"/>
      <c r="D971" s="7"/>
      <c r="E971" s="7"/>
      <c r="F971" s="7"/>
      <c r="G971" s="55"/>
      <c r="H971" s="7"/>
      <c r="I971" s="7"/>
      <c r="J971" s="7"/>
      <c r="K971" s="7"/>
      <c r="L971" s="7"/>
      <c r="M971" s="7"/>
      <c r="N971" s="7"/>
      <c r="O971" s="7"/>
      <c r="P971" s="7"/>
      <c r="Q971" s="55"/>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c r="BZ971" s="41"/>
      <c r="CA971" s="7"/>
      <c r="CB971" s="7"/>
      <c r="CC971" s="7"/>
      <c r="CD971" s="7"/>
      <c r="CE971" s="7"/>
      <c r="CF971" s="7"/>
    </row>
    <row r="972">
      <c r="A972" s="7"/>
      <c r="B972" s="55"/>
      <c r="C972" s="7"/>
      <c r="D972" s="7"/>
      <c r="E972" s="7"/>
      <c r="F972" s="7"/>
      <c r="G972" s="55"/>
      <c r="H972" s="7"/>
      <c r="I972" s="7"/>
      <c r="J972" s="7"/>
      <c r="K972" s="7"/>
      <c r="L972" s="7"/>
      <c r="M972" s="7"/>
      <c r="N972" s="7"/>
      <c r="O972" s="7"/>
      <c r="P972" s="7"/>
      <c r="Q972" s="55"/>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c r="BN972" s="7"/>
      <c r="BO972" s="7"/>
      <c r="BP972" s="7"/>
      <c r="BQ972" s="7"/>
      <c r="BR972" s="7"/>
      <c r="BS972" s="7"/>
      <c r="BT972" s="7"/>
      <c r="BU972" s="7"/>
      <c r="BV972" s="7"/>
      <c r="BW972" s="7"/>
      <c r="BX972" s="7"/>
      <c r="BY972" s="7"/>
      <c r="BZ972" s="41"/>
      <c r="CA972" s="7"/>
      <c r="CB972" s="7"/>
      <c r="CC972" s="7"/>
      <c r="CD972" s="7"/>
      <c r="CE972" s="7"/>
      <c r="CF972" s="7"/>
    </row>
    <row r="973">
      <c r="A973" s="7"/>
      <c r="B973" s="55"/>
      <c r="C973" s="7"/>
      <c r="D973" s="7"/>
      <c r="E973" s="7"/>
      <c r="F973" s="7"/>
      <c r="G973" s="55"/>
      <c r="H973" s="7"/>
      <c r="I973" s="7"/>
      <c r="J973" s="7"/>
      <c r="K973" s="7"/>
      <c r="L973" s="7"/>
      <c r="M973" s="7"/>
      <c r="N973" s="7"/>
      <c r="O973" s="7"/>
      <c r="P973" s="7"/>
      <c r="Q973" s="55"/>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c r="BZ973" s="41"/>
      <c r="CA973" s="7"/>
      <c r="CB973" s="7"/>
      <c r="CC973" s="7"/>
      <c r="CD973" s="7"/>
      <c r="CE973" s="7"/>
      <c r="CF973" s="7"/>
    </row>
    <row r="974">
      <c r="A974" s="7"/>
      <c r="B974" s="55"/>
      <c r="C974" s="7"/>
      <c r="D974" s="7"/>
      <c r="E974" s="7"/>
      <c r="F974" s="7"/>
      <c r="G974" s="55"/>
      <c r="H974" s="7"/>
      <c r="I974" s="7"/>
      <c r="J974" s="7"/>
      <c r="K974" s="7"/>
      <c r="L974" s="7"/>
      <c r="M974" s="7"/>
      <c r="N974" s="7"/>
      <c r="O974" s="7"/>
      <c r="P974" s="7"/>
      <c r="Q974" s="55"/>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c r="BN974" s="7"/>
      <c r="BO974" s="7"/>
      <c r="BP974" s="7"/>
      <c r="BQ974" s="7"/>
      <c r="BR974" s="7"/>
      <c r="BS974" s="7"/>
      <c r="BT974" s="7"/>
      <c r="BU974" s="7"/>
      <c r="BV974" s="7"/>
      <c r="BW974" s="7"/>
      <c r="BX974" s="7"/>
      <c r="BY974" s="7"/>
      <c r="BZ974" s="41"/>
      <c r="CA974" s="7"/>
      <c r="CB974" s="7"/>
      <c r="CC974" s="7"/>
      <c r="CD974" s="7"/>
      <c r="CE974" s="7"/>
      <c r="CF974" s="7"/>
    </row>
    <row r="975">
      <c r="A975" s="7"/>
      <c r="B975" s="55"/>
      <c r="C975" s="7"/>
      <c r="D975" s="7"/>
      <c r="E975" s="7"/>
      <c r="F975" s="7"/>
      <c r="G975" s="55"/>
      <c r="H975" s="7"/>
      <c r="I975" s="7"/>
      <c r="J975" s="7"/>
      <c r="K975" s="7"/>
      <c r="L975" s="7"/>
      <c r="M975" s="7"/>
      <c r="N975" s="7"/>
      <c r="O975" s="7"/>
      <c r="P975" s="7"/>
      <c r="Q975" s="55"/>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c r="BX975" s="7"/>
      <c r="BY975" s="7"/>
      <c r="BZ975" s="41"/>
      <c r="CA975" s="7"/>
      <c r="CB975" s="7"/>
      <c r="CC975" s="7"/>
      <c r="CD975" s="7"/>
      <c r="CE975" s="7"/>
      <c r="CF975" s="7"/>
    </row>
    <row r="976">
      <c r="A976" s="7"/>
      <c r="B976" s="55"/>
      <c r="C976" s="7"/>
      <c r="D976" s="7"/>
      <c r="E976" s="7"/>
      <c r="F976" s="7"/>
      <c r="G976" s="55"/>
      <c r="H976" s="7"/>
      <c r="I976" s="7"/>
      <c r="J976" s="7"/>
      <c r="K976" s="7"/>
      <c r="L976" s="7"/>
      <c r="M976" s="7"/>
      <c r="N976" s="7"/>
      <c r="O976" s="7"/>
      <c r="P976" s="7"/>
      <c r="Q976" s="55"/>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c r="BN976" s="7"/>
      <c r="BO976" s="7"/>
      <c r="BP976" s="7"/>
      <c r="BQ976" s="7"/>
      <c r="BR976" s="7"/>
      <c r="BS976" s="7"/>
      <c r="BT976" s="7"/>
      <c r="BU976" s="7"/>
      <c r="BV976" s="7"/>
      <c r="BW976" s="7"/>
      <c r="BX976" s="7"/>
      <c r="BY976" s="7"/>
      <c r="BZ976" s="41"/>
      <c r="CA976" s="7"/>
      <c r="CB976" s="7"/>
      <c r="CC976" s="7"/>
      <c r="CD976" s="7"/>
      <c r="CE976" s="7"/>
      <c r="CF976" s="7"/>
    </row>
    <row r="977">
      <c r="A977" s="7"/>
      <c r="B977" s="55"/>
      <c r="C977" s="7"/>
      <c r="D977" s="7"/>
      <c r="E977" s="7"/>
      <c r="F977" s="7"/>
      <c r="G977" s="55"/>
      <c r="H977" s="7"/>
      <c r="I977" s="7"/>
      <c r="J977" s="7"/>
      <c r="K977" s="7"/>
      <c r="L977" s="7"/>
      <c r="M977" s="7"/>
      <c r="N977" s="7"/>
      <c r="O977" s="7"/>
      <c r="P977" s="7"/>
      <c r="Q977" s="55"/>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c r="BZ977" s="41"/>
      <c r="CA977" s="7"/>
      <c r="CB977" s="7"/>
      <c r="CC977" s="7"/>
      <c r="CD977" s="7"/>
      <c r="CE977" s="7"/>
      <c r="CF977" s="7"/>
    </row>
    <row r="978">
      <c r="A978" s="7"/>
      <c r="B978" s="55"/>
      <c r="C978" s="7"/>
      <c r="D978" s="7"/>
      <c r="E978" s="7"/>
      <c r="F978" s="7"/>
      <c r="G978" s="55"/>
      <c r="H978" s="7"/>
      <c r="I978" s="7"/>
      <c r="J978" s="7"/>
      <c r="K978" s="7"/>
      <c r="L978" s="7"/>
      <c r="M978" s="7"/>
      <c r="N978" s="7"/>
      <c r="O978" s="7"/>
      <c r="P978" s="7"/>
      <c r="Q978" s="55"/>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c r="BN978" s="7"/>
      <c r="BO978" s="7"/>
      <c r="BP978" s="7"/>
      <c r="BQ978" s="7"/>
      <c r="BR978" s="7"/>
      <c r="BS978" s="7"/>
      <c r="BT978" s="7"/>
      <c r="BU978" s="7"/>
      <c r="BV978" s="7"/>
      <c r="BW978" s="7"/>
      <c r="BX978" s="7"/>
      <c r="BY978" s="7"/>
      <c r="BZ978" s="41"/>
      <c r="CA978" s="7"/>
      <c r="CB978" s="7"/>
      <c r="CC978" s="7"/>
      <c r="CD978" s="7"/>
      <c r="CE978" s="7"/>
      <c r="CF978" s="7"/>
    </row>
    <row r="979">
      <c r="A979" s="7"/>
      <c r="B979" s="55"/>
      <c r="C979" s="7"/>
      <c r="D979" s="7"/>
      <c r="E979" s="7"/>
      <c r="F979" s="7"/>
      <c r="G979" s="55"/>
      <c r="H979" s="7"/>
      <c r="I979" s="7"/>
      <c r="J979" s="7"/>
      <c r="K979" s="7"/>
      <c r="L979" s="7"/>
      <c r="M979" s="7"/>
      <c r="N979" s="7"/>
      <c r="O979" s="7"/>
      <c r="P979" s="7"/>
      <c r="Q979" s="55"/>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41"/>
      <c r="CA979" s="7"/>
      <c r="CB979" s="7"/>
      <c r="CC979" s="7"/>
      <c r="CD979" s="7"/>
      <c r="CE979" s="7"/>
      <c r="CF979" s="7"/>
    </row>
    <row r="980">
      <c r="A980" s="7"/>
      <c r="B980" s="55"/>
      <c r="C980" s="7"/>
      <c r="D980" s="7"/>
      <c r="E980" s="7"/>
      <c r="F980" s="7"/>
      <c r="G980" s="55"/>
      <c r="H980" s="7"/>
      <c r="I980" s="7"/>
      <c r="J980" s="7"/>
      <c r="K980" s="7"/>
      <c r="L980" s="7"/>
      <c r="M980" s="7"/>
      <c r="N980" s="7"/>
      <c r="O980" s="7"/>
      <c r="P980" s="7"/>
      <c r="Q980" s="55"/>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c r="BN980" s="7"/>
      <c r="BO980" s="7"/>
      <c r="BP980" s="7"/>
      <c r="BQ980" s="7"/>
      <c r="BR980" s="7"/>
      <c r="BS980" s="7"/>
      <c r="BT980" s="7"/>
      <c r="BU980" s="7"/>
      <c r="BV980" s="7"/>
      <c r="BW980" s="7"/>
      <c r="BX980" s="7"/>
      <c r="BY980" s="7"/>
      <c r="BZ980" s="41"/>
      <c r="CA980" s="7"/>
      <c r="CB980" s="7"/>
      <c r="CC980" s="7"/>
      <c r="CD980" s="7"/>
      <c r="CE980" s="7"/>
      <c r="CF980" s="7"/>
    </row>
    <row r="981">
      <c r="A981" s="7"/>
      <c r="B981" s="55"/>
      <c r="C981" s="7"/>
      <c r="D981" s="7"/>
      <c r="E981" s="7"/>
      <c r="F981" s="7"/>
      <c r="G981" s="55"/>
      <c r="H981" s="7"/>
      <c r="I981" s="7"/>
      <c r="J981" s="7"/>
      <c r="K981" s="7"/>
      <c r="L981" s="7"/>
      <c r="M981" s="7"/>
      <c r="N981" s="7"/>
      <c r="O981" s="7"/>
      <c r="P981" s="7"/>
      <c r="Q981" s="55"/>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c r="BZ981" s="41"/>
      <c r="CA981" s="7"/>
      <c r="CB981" s="7"/>
      <c r="CC981" s="7"/>
      <c r="CD981" s="7"/>
      <c r="CE981" s="7"/>
      <c r="CF981" s="7"/>
    </row>
    <row r="982">
      <c r="A982" s="7"/>
      <c r="B982" s="55"/>
      <c r="C982" s="7"/>
      <c r="D982" s="7"/>
      <c r="E982" s="7"/>
      <c r="F982" s="7"/>
      <c r="G982" s="55"/>
      <c r="H982" s="7"/>
      <c r="I982" s="7"/>
      <c r="J982" s="7"/>
      <c r="K982" s="7"/>
      <c r="L982" s="7"/>
      <c r="M982" s="7"/>
      <c r="N982" s="7"/>
      <c r="O982" s="7"/>
      <c r="P982" s="7"/>
      <c r="Q982" s="55"/>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c r="BN982" s="7"/>
      <c r="BO982" s="7"/>
      <c r="BP982" s="7"/>
      <c r="BQ982" s="7"/>
      <c r="BR982" s="7"/>
      <c r="BS982" s="7"/>
      <c r="BT982" s="7"/>
      <c r="BU982" s="7"/>
      <c r="BV982" s="7"/>
      <c r="BW982" s="7"/>
      <c r="BX982" s="7"/>
      <c r="BY982" s="7"/>
      <c r="BZ982" s="41"/>
      <c r="CA982" s="7"/>
      <c r="CB982" s="7"/>
      <c r="CC982" s="7"/>
      <c r="CD982" s="7"/>
      <c r="CE982" s="7"/>
      <c r="CF982" s="7"/>
    </row>
    <row r="983">
      <c r="A983" s="7"/>
      <c r="B983" s="55"/>
      <c r="C983" s="7"/>
      <c r="D983" s="7"/>
      <c r="E983" s="7"/>
      <c r="F983" s="7"/>
      <c r="G983" s="55"/>
      <c r="H983" s="7"/>
      <c r="I983" s="7"/>
      <c r="J983" s="7"/>
      <c r="K983" s="7"/>
      <c r="L983" s="7"/>
      <c r="M983" s="7"/>
      <c r="N983" s="7"/>
      <c r="O983" s="7"/>
      <c r="P983" s="7"/>
      <c r="Q983" s="55"/>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c r="BZ983" s="41"/>
      <c r="CA983" s="7"/>
      <c r="CB983" s="7"/>
      <c r="CC983" s="7"/>
      <c r="CD983" s="7"/>
      <c r="CE983" s="7"/>
      <c r="CF983" s="7"/>
    </row>
    <row r="984">
      <c r="A984" s="7"/>
      <c r="B984" s="55"/>
      <c r="C984" s="7"/>
      <c r="D984" s="7"/>
      <c r="E984" s="7"/>
      <c r="F984" s="7"/>
      <c r="G984" s="55"/>
      <c r="H984" s="7"/>
      <c r="I984" s="7"/>
      <c r="J984" s="7"/>
      <c r="K984" s="7"/>
      <c r="L984" s="7"/>
      <c r="M984" s="7"/>
      <c r="N984" s="7"/>
      <c r="O984" s="7"/>
      <c r="P984" s="7"/>
      <c r="Q984" s="55"/>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c r="BX984" s="7"/>
      <c r="BY984" s="7"/>
      <c r="BZ984" s="41"/>
      <c r="CA984" s="7"/>
      <c r="CB984" s="7"/>
      <c r="CC984" s="7"/>
      <c r="CD984" s="7"/>
      <c r="CE984" s="7"/>
      <c r="CF984" s="7"/>
    </row>
    <row r="985">
      <c r="A985" s="7"/>
      <c r="B985" s="55"/>
      <c r="C985" s="7"/>
      <c r="D985" s="7"/>
      <c r="E985" s="7"/>
      <c r="F985" s="7"/>
      <c r="G985" s="55"/>
      <c r="H985" s="7"/>
      <c r="I985" s="7"/>
      <c r="J985" s="7"/>
      <c r="K985" s="7"/>
      <c r="L985" s="7"/>
      <c r="M985" s="7"/>
      <c r="N985" s="7"/>
      <c r="O985" s="7"/>
      <c r="P985" s="7"/>
      <c r="Q985" s="55"/>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c r="BX985" s="7"/>
      <c r="BY985" s="7"/>
      <c r="BZ985" s="41"/>
      <c r="CA985" s="7"/>
      <c r="CB985" s="7"/>
      <c r="CC985" s="7"/>
      <c r="CD985" s="7"/>
      <c r="CE985" s="7"/>
      <c r="CF985" s="7"/>
    </row>
    <row r="986">
      <c r="A986" s="7"/>
      <c r="B986" s="55"/>
      <c r="C986" s="7"/>
      <c r="D986" s="7"/>
      <c r="E986" s="7"/>
      <c r="F986" s="7"/>
      <c r="G986" s="55"/>
      <c r="H986" s="7"/>
      <c r="I986" s="7"/>
      <c r="J986" s="7"/>
      <c r="K986" s="7"/>
      <c r="L986" s="7"/>
      <c r="M986" s="7"/>
      <c r="N986" s="7"/>
      <c r="O986" s="7"/>
      <c r="P986" s="7"/>
      <c r="Q986" s="55"/>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c r="BX986" s="7"/>
      <c r="BY986" s="7"/>
      <c r="BZ986" s="41"/>
      <c r="CA986" s="7"/>
      <c r="CB986" s="7"/>
      <c r="CC986" s="7"/>
      <c r="CD986" s="7"/>
      <c r="CE986" s="7"/>
      <c r="CF986" s="7"/>
    </row>
    <row r="987">
      <c r="A987" s="7"/>
      <c r="B987" s="55"/>
      <c r="C987" s="7"/>
      <c r="D987" s="7"/>
      <c r="E987" s="7"/>
      <c r="F987" s="7"/>
      <c r="G987" s="55"/>
      <c r="H987" s="7"/>
      <c r="I987" s="7"/>
      <c r="J987" s="7"/>
      <c r="K987" s="7"/>
      <c r="L987" s="7"/>
      <c r="M987" s="7"/>
      <c r="N987" s="7"/>
      <c r="O987" s="7"/>
      <c r="P987" s="7"/>
      <c r="Q987" s="55"/>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c r="BZ987" s="41"/>
      <c r="CA987" s="7"/>
      <c r="CB987" s="7"/>
      <c r="CC987" s="7"/>
      <c r="CD987" s="7"/>
      <c r="CE987" s="7"/>
      <c r="CF987" s="7"/>
    </row>
    <row r="988">
      <c r="A988" s="7"/>
      <c r="B988" s="55"/>
      <c r="C988" s="7"/>
      <c r="D988" s="7"/>
      <c r="E988" s="7"/>
      <c r="F988" s="7"/>
      <c r="G988" s="55"/>
      <c r="H988" s="7"/>
      <c r="I988" s="7"/>
      <c r="J988" s="7"/>
      <c r="K988" s="7"/>
      <c r="L988" s="7"/>
      <c r="M988" s="7"/>
      <c r="N988" s="7"/>
      <c r="O988" s="7"/>
      <c r="P988" s="7"/>
      <c r="Q988" s="55"/>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c r="BN988" s="7"/>
      <c r="BO988" s="7"/>
      <c r="BP988" s="7"/>
      <c r="BQ988" s="7"/>
      <c r="BR988" s="7"/>
      <c r="BS988" s="7"/>
      <c r="BT988" s="7"/>
      <c r="BU988" s="7"/>
      <c r="BV988" s="7"/>
      <c r="BW988" s="7"/>
      <c r="BX988" s="7"/>
      <c r="BY988" s="7"/>
      <c r="BZ988" s="41"/>
      <c r="CA988" s="7"/>
      <c r="CB988" s="7"/>
      <c r="CC988" s="7"/>
      <c r="CD988" s="7"/>
      <c r="CE988" s="7"/>
      <c r="CF988" s="7"/>
    </row>
    <row r="989">
      <c r="A989" s="7"/>
      <c r="B989" s="55"/>
      <c r="C989" s="7"/>
      <c r="D989" s="7"/>
      <c r="E989" s="7"/>
      <c r="F989" s="7"/>
      <c r="G989" s="55"/>
      <c r="H989" s="7"/>
      <c r="I989" s="7"/>
      <c r="J989" s="7"/>
      <c r="K989" s="7"/>
      <c r="L989" s="7"/>
      <c r="M989" s="7"/>
      <c r="N989" s="7"/>
      <c r="O989" s="7"/>
      <c r="P989" s="7"/>
      <c r="Q989" s="55"/>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c r="BZ989" s="41"/>
      <c r="CA989" s="7"/>
      <c r="CB989" s="7"/>
      <c r="CC989" s="7"/>
      <c r="CD989" s="7"/>
      <c r="CE989" s="7"/>
      <c r="CF989" s="7"/>
    </row>
    <row r="990">
      <c r="A990" s="7"/>
      <c r="B990" s="55"/>
      <c r="C990" s="7"/>
      <c r="D990" s="7"/>
      <c r="E990" s="7"/>
      <c r="F990" s="7"/>
      <c r="G990" s="55"/>
      <c r="H990" s="7"/>
      <c r="I990" s="7"/>
      <c r="J990" s="7"/>
      <c r="K990" s="7"/>
      <c r="L990" s="7"/>
      <c r="M990" s="7"/>
      <c r="N990" s="7"/>
      <c r="O990" s="7"/>
      <c r="P990" s="7"/>
      <c r="Q990" s="55"/>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c r="BX990" s="7"/>
      <c r="BY990" s="7"/>
      <c r="BZ990" s="41"/>
      <c r="CA990" s="7"/>
      <c r="CB990" s="7"/>
      <c r="CC990" s="7"/>
      <c r="CD990" s="7"/>
      <c r="CE990" s="7"/>
      <c r="CF990" s="7"/>
    </row>
    <row r="991">
      <c r="A991" s="7"/>
      <c r="B991" s="55"/>
      <c r="C991" s="7"/>
      <c r="D991" s="7"/>
      <c r="E991" s="7"/>
      <c r="F991" s="7"/>
      <c r="G991" s="55"/>
      <c r="H991" s="7"/>
      <c r="I991" s="7"/>
      <c r="J991" s="7"/>
      <c r="K991" s="7"/>
      <c r="L991" s="7"/>
      <c r="M991" s="7"/>
      <c r="N991" s="7"/>
      <c r="O991" s="7"/>
      <c r="P991" s="7"/>
      <c r="Q991" s="55"/>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c r="BX991" s="7"/>
      <c r="BY991" s="7"/>
      <c r="BZ991" s="41"/>
      <c r="CA991" s="7"/>
      <c r="CB991" s="7"/>
      <c r="CC991" s="7"/>
      <c r="CD991" s="7"/>
      <c r="CE991" s="7"/>
      <c r="CF991" s="7"/>
    </row>
    <row r="992">
      <c r="A992" s="7"/>
      <c r="B992" s="55"/>
      <c r="C992" s="7"/>
      <c r="D992" s="7"/>
      <c r="E992" s="7"/>
      <c r="F992" s="7"/>
      <c r="G992" s="55"/>
      <c r="H992" s="7"/>
      <c r="I992" s="7"/>
      <c r="J992" s="7"/>
      <c r="K992" s="7"/>
      <c r="L992" s="7"/>
      <c r="M992" s="7"/>
      <c r="N992" s="7"/>
      <c r="O992" s="7"/>
      <c r="P992" s="7"/>
      <c r="Q992" s="55"/>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c r="BN992" s="7"/>
      <c r="BO992" s="7"/>
      <c r="BP992" s="7"/>
      <c r="BQ992" s="7"/>
      <c r="BR992" s="7"/>
      <c r="BS992" s="7"/>
      <c r="BT992" s="7"/>
      <c r="BU992" s="7"/>
      <c r="BV992" s="7"/>
      <c r="BW992" s="7"/>
      <c r="BX992" s="7"/>
      <c r="BY992" s="7"/>
      <c r="BZ992" s="41"/>
      <c r="CA992" s="7"/>
      <c r="CB992" s="7"/>
      <c r="CC992" s="7"/>
      <c r="CD992" s="7"/>
      <c r="CE992" s="7"/>
      <c r="CF992" s="7"/>
    </row>
    <row r="993">
      <c r="A993" s="7"/>
      <c r="B993" s="55"/>
      <c r="C993" s="7"/>
      <c r="D993" s="7"/>
      <c r="E993" s="7"/>
      <c r="F993" s="7"/>
      <c r="G993" s="55"/>
      <c r="H993" s="7"/>
      <c r="I993" s="7"/>
      <c r="J993" s="7"/>
      <c r="K993" s="7"/>
      <c r="L993" s="7"/>
      <c r="M993" s="7"/>
      <c r="N993" s="7"/>
      <c r="O993" s="7"/>
      <c r="P993" s="7"/>
      <c r="Q993" s="55"/>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c r="BZ993" s="41"/>
      <c r="CA993" s="7"/>
      <c r="CB993" s="7"/>
      <c r="CC993" s="7"/>
      <c r="CD993" s="7"/>
      <c r="CE993" s="7"/>
      <c r="CF993" s="7"/>
    </row>
    <row r="994">
      <c r="A994" s="7"/>
      <c r="B994" s="55"/>
      <c r="C994" s="7"/>
      <c r="D994" s="7"/>
      <c r="E994" s="7"/>
      <c r="F994" s="7"/>
      <c r="G994" s="55"/>
      <c r="H994" s="7"/>
      <c r="I994" s="7"/>
      <c r="J994" s="7"/>
      <c r="K994" s="7"/>
      <c r="L994" s="7"/>
      <c r="M994" s="7"/>
      <c r="N994" s="7"/>
      <c r="O994" s="7"/>
      <c r="P994" s="7"/>
      <c r="Q994" s="55"/>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c r="BN994" s="7"/>
      <c r="BO994" s="7"/>
      <c r="BP994" s="7"/>
      <c r="BQ994" s="7"/>
      <c r="BR994" s="7"/>
      <c r="BS994" s="7"/>
      <c r="BT994" s="7"/>
      <c r="BU994" s="7"/>
      <c r="BV994" s="7"/>
      <c r="BW994" s="7"/>
      <c r="BX994" s="7"/>
      <c r="BY994" s="7"/>
      <c r="BZ994" s="41"/>
      <c r="CA994" s="7"/>
      <c r="CB994" s="7"/>
      <c r="CC994" s="7"/>
      <c r="CD994" s="7"/>
      <c r="CE994" s="7"/>
      <c r="CF994" s="7"/>
    </row>
    <row r="995">
      <c r="A995" s="7"/>
      <c r="B995" s="55"/>
      <c r="C995" s="7"/>
      <c r="D995" s="7"/>
      <c r="E995" s="7"/>
      <c r="F995" s="7"/>
      <c r="G995" s="55"/>
      <c r="H995" s="7"/>
      <c r="I995" s="7"/>
      <c r="J995" s="7"/>
      <c r="K995" s="7"/>
      <c r="L995" s="7"/>
      <c r="M995" s="7"/>
      <c r="N995" s="7"/>
      <c r="O995" s="7"/>
      <c r="P995" s="7"/>
      <c r="Q995" s="55"/>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c r="BX995" s="7"/>
      <c r="BY995" s="7"/>
      <c r="BZ995" s="41"/>
      <c r="CA995" s="7"/>
      <c r="CB995" s="7"/>
      <c r="CC995" s="7"/>
      <c r="CD995" s="7"/>
      <c r="CE995" s="7"/>
      <c r="CF995" s="7"/>
    </row>
    <row r="996">
      <c r="A996" s="7"/>
      <c r="B996" s="55"/>
      <c r="C996" s="7"/>
      <c r="D996" s="7"/>
      <c r="E996" s="7"/>
      <c r="F996" s="7"/>
      <c r="G996" s="55"/>
      <c r="H996" s="7"/>
      <c r="I996" s="7"/>
      <c r="J996" s="7"/>
      <c r="K996" s="7"/>
      <c r="L996" s="7"/>
      <c r="M996" s="7"/>
      <c r="N996" s="7"/>
      <c r="O996" s="7"/>
      <c r="P996" s="7"/>
      <c r="Q996" s="55"/>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c r="BN996" s="7"/>
      <c r="BO996" s="7"/>
      <c r="BP996" s="7"/>
      <c r="BQ996" s="7"/>
      <c r="BR996" s="7"/>
      <c r="BS996" s="7"/>
      <c r="BT996" s="7"/>
      <c r="BU996" s="7"/>
      <c r="BV996" s="7"/>
      <c r="BW996" s="7"/>
      <c r="BX996" s="7"/>
      <c r="BY996" s="7"/>
      <c r="BZ996" s="41"/>
      <c r="CA996" s="7"/>
      <c r="CB996" s="7"/>
      <c r="CC996" s="7"/>
      <c r="CD996" s="7"/>
      <c r="CE996" s="7"/>
      <c r="CF996" s="7"/>
    </row>
    <row r="997">
      <c r="A997" s="7"/>
      <c r="B997" s="55"/>
      <c r="C997" s="7"/>
      <c r="D997" s="7"/>
      <c r="E997" s="7"/>
      <c r="F997" s="7"/>
      <c r="G997" s="55"/>
      <c r="H997" s="7"/>
      <c r="I997" s="7"/>
      <c r="J997" s="7"/>
      <c r="K997" s="7"/>
      <c r="L997" s="7"/>
      <c r="M997" s="7"/>
      <c r="N997" s="7"/>
      <c r="O997" s="7"/>
      <c r="P997" s="7"/>
      <c r="Q997" s="55"/>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c r="BZ997" s="41"/>
      <c r="CA997" s="7"/>
      <c r="CB997" s="7"/>
      <c r="CC997" s="7"/>
      <c r="CD997" s="7"/>
      <c r="CE997" s="7"/>
      <c r="CF997" s="7"/>
    </row>
    <row r="998">
      <c r="A998" s="7"/>
      <c r="B998" s="55"/>
      <c r="C998" s="7"/>
      <c r="D998" s="7"/>
      <c r="E998" s="7"/>
      <c r="F998" s="7"/>
      <c r="G998" s="55"/>
      <c r="H998" s="7"/>
      <c r="I998" s="7"/>
      <c r="J998" s="7"/>
      <c r="K998" s="7"/>
      <c r="L998" s="7"/>
      <c r="M998" s="7"/>
      <c r="N998" s="7"/>
      <c r="O998" s="7"/>
      <c r="P998" s="7"/>
      <c r="Q998" s="55"/>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c r="BN998" s="7"/>
      <c r="BO998" s="7"/>
      <c r="BP998" s="7"/>
      <c r="BQ998" s="7"/>
      <c r="BR998" s="7"/>
      <c r="BS998" s="7"/>
      <c r="BT998" s="7"/>
      <c r="BU998" s="7"/>
      <c r="BV998" s="7"/>
      <c r="BW998" s="7"/>
      <c r="BX998" s="7"/>
      <c r="BY998" s="7"/>
      <c r="BZ998" s="41"/>
      <c r="CA998" s="7"/>
      <c r="CB998" s="7"/>
      <c r="CC998" s="7"/>
      <c r="CD998" s="7"/>
      <c r="CE998" s="7"/>
      <c r="CF998" s="7"/>
    </row>
    <row r="999">
      <c r="A999" s="7"/>
      <c r="B999" s="55"/>
      <c r="C999" s="7"/>
      <c r="D999" s="7"/>
      <c r="E999" s="7"/>
      <c r="F999" s="7"/>
      <c r="G999" s="55"/>
      <c r="H999" s="7"/>
      <c r="I999" s="7"/>
      <c r="J999" s="7"/>
      <c r="K999" s="7"/>
      <c r="L999" s="7"/>
      <c r="M999" s="7"/>
      <c r="N999" s="7"/>
      <c r="O999" s="7"/>
      <c r="P999" s="7"/>
      <c r="Q999" s="55"/>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c r="BX999" s="7"/>
      <c r="BY999" s="7"/>
      <c r="BZ999" s="41"/>
      <c r="CA999" s="7"/>
      <c r="CB999" s="7"/>
      <c r="CC999" s="7"/>
      <c r="CD999" s="7"/>
      <c r="CE999" s="7"/>
      <c r="CF999" s="7"/>
    </row>
    <row r="1000">
      <c r="A1000" s="7"/>
      <c r="B1000" s="55"/>
      <c r="C1000" s="7"/>
      <c r="D1000" s="7"/>
      <c r="E1000" s="7"/>
      <c r="F1000" s="7"/>
      <c r="G1000" s="55"/>
      <c r="H1000" s="7"/>
      <c r="I1000" s="7"/>
      <c r="J1000" s="7"/>
      <c r="K1000" s="7"/>
      <c r="L1000" s="7"/>
      <c r="M1000" s="7"/>
      <c r="N1000" s="7"/>
      <c r="O1000" s="7"/>
      <c r="P1000" s="7"/>
      <c r="Q1000" s="55"/>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c r="BW1000" s="7"/>
      <c r="BX1000" s="7"/>
      <c r="BY1000" s="7"/>
      <c r="BZ1000" s="41"/>
      <c r="CA1000" s="7"/>
      <c r="CB1000" s="7"/>
      <c r="CC1000" s="7"/>
      <c r="CD1000" s="7"/>
      <c r="CE1000" s="7"/>
      <c r="CF1000" s="7"/>
    </row>
    <row r="1001">
      <c r="A1001" s="7"/>
      <c r="B1001" s="55"/>
      <c r="C1001" s="7"/>
      <c r="D1001" s="7"/>
      <c r="E1001" s="7"/>
      <c r="F1001" s="7"/>
      <c r="G1001" s="55"/>
      <c r="H1001" s="7"/>
      <c r="I1001" s="7"/>
      <c r="J1001" s="7"/>
      <c r="K1001" s="7"/>
      <c r="L1001" s="7"/>
      <c r="M1001" s="7"/>
      <c r="N1001" s="7"/>
      <c r="O1001" s="7"/>
      <c r="P1001" s="7"/>
      <c r="Q1001" s="55"/>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c r="BN1001" s="7"/>
      <c r="BO1001" s="7"/>
      <c r="BP1001" s="7"/>
      <c r="BQ1001" s="7"/>
      <c r="BR1001" s="7"/>
      <c r="BS1001" s="7"/>
      <c r="BT1001" s="7"/>
      <c r="BU1001" s="7"/>
      <c r="BV1001" s="7"/>
      <c r="BW1001" s="7"/>
      <c r="BX1001" s="7"/>
      <c r="BY1001" s="7"/>
      <c r="BZ1001" s="41"/>
      <c r="CA1001" s="7"/>
      <c r="CB1001" s="7"/>
      <c r="CC1001" s="7"/>
      <c r="CD1001" s="7"/>
      <c r="CE1001" s="7"/>
      <c r="CF1001" s="7"/>
    </row>
    <row r="1002">
      <c r="A1002" s="7"/>
      <c r="B1002" s="55"/>
      <c r="C1002" s="7"/>
      <c r="D1002" s="7"/>
      <c r="E1002" s="7"/>
      <c r="F1002" s="7"/>
      <c r="G1002" s="55"/>
      <c r="H1002" s="7"/>
      <c r="I1002" s="7"/>
      <c r="J1002" s="7"/>
      <c r="K1002" s="7"/>
      <c r="L1002" s="7"/>
      <c r="M1002" s="7"/>
      <c r="N1002" s="7"/>
      <c r="O1002" s="7"/>
      <c r="P1002" s="7"/>
      <c r="Q1002" s="55"/>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c r="BN1002" s="7"/>
      <c r="BO1002" s="7"/>
      <c r="BP1002" s="7"/>
      <c r="BQ1002" s="7"/>
      <c r="BR1002" s="7"/>
      <c r="BS1002" s="7"/>
      <c r="BT1002" s="7"/>
      <c r="BU1002" s="7"/>
      <c r="BV1002" s="7"/>
      <c r="BW1002" s="7"/>
      <c r="BX1002" s="7"/>
      <c r="BY1002" s="7"/>
      <c r="BZ1002" s="41"/>
      <c r="CA1002" s="7"/>
      <c r="CB1002" s="7"/>
      <c r="CC1002" s="7"/>
      <c r="CD1002" s="7"/>
      <c r="CE1002" s="7"/>
      <c r="CF1002" s="7"/>
    </row>
    <row r="1003">
      <c r="A1003" s="7"/>
      <c r="B1003" s="55"/>
      <c r="C1003" s="7"/>
      <c r="D1003" s="7"/>
      <c r="E1003" s="7"/>
      <c r="F1003" s="7"/>
      <c r="G1003" s="55"/>
      <c r="H1003" s="7"/>
      <c r="I1003" s="7"/>
      <c r="J1003" s="7"/>
      <c r="K1003" s="7"/>
      <c r="L1003" s="7"/>
      <c r="M1003" s="7"/>
      <c r="N1003" s="7"/>
      <c r="O1003" s="7"/>
      <c r="P1003" s="7"/>
      <c r="Q1003" s="55"/>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c r="BN1003" s="7"/>
      <c r="BO1003" s="7"/>
      <c r="BP1003" s="7"/>
      <c r="BQ1003" s="7"/>
      <c r="BR1003" s="7"/>
      <c r="BS1003" s="7"/>
      <c r="BT1003" s="7"/>
      <c r="BU1003" s="7"/>
      <c r="BV1003" s="7"/>
      <c r="BW1003" s="7"/>
      <c r="BX1003" s="7"/>
      <c r="BY1003" s="7"/>
      <c r="BZ1003" s="41"/>
      <c r="CA1003" s="7"/>
      <c r="CB1003" s="7"/>
      <c r="CC1003" s="7"/>
      <c r="CD1003" s="7"/>
      <c r="CE1003" s="7"/>
      <c r="CF1003" s="7"/>
    </row>
    <row r="1004">
      <c r="A1004" s="7"/>
      <c r="B1004" s="55"/>
      <c r="C1004" s="7"/>
      <c r="D1004" s="7"/>
      <c r="E1004" s="7"/>
      <c r="F1004" s="7"/>
      <c r="G1004" s="55"/>
      <c r="H1004" s="7"/>
      <c r="I1004" s="7"/>
      <c r="J1004" s="7"/>
      <c r="K1004" s="7"/>
      <c r="L1004" s="7"/>
      <c r="M1004" s="7"/>
      <c r="N1004" s="7"/>
      <c r="O1004" s="7"/>
      <c r="P1004" s="7"/>
      <c r="Q1004" s="55"/>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c r="BN1004" s="7"/>
      <c r="BO1004" s="7"/>
      <c r="BP1004" s="7"/>
      <c r="BQ1004" s="7"/>
      <c r="BR1004" s="7"/>
      <c r="BS1004" s="7"/>
      <c r="BT1004" s="7"/>
      <c r="BU1004" s="7"/>
      <c r="BV1004" s="7"/>
      <c r="BW1004" s="7"/>
      <c r="BX1004" s="7"/>
      <c r="BY1004" s="7"/>
      <c r="BZ1004" s="41"/>
      <c r="CA1004" s="7"/>
      <c r="CB1004" s="7"/>
      <c r="CC1004" s="7"/>
      <c r="CD1004" s="7"/>
      <c r="CE1004" s="7"/>
      <c r="CF1004" s="7"/>
    </row>
    <row r="1005">
      <c r="A1005" s="7"/>
      <c r="B1005" s="55"/>
      <c r="C1005" s="7"/>
      <c r="D1005" s="7"/>
      <c r="E1005" s="7"/>
      <c r="F1005" s="7"/>
      <c r="G1005" s="55"/>
      <c r="H1005" s="7"/>
      <c r="I1005" s="7"/>
      <c r="J1005" s="7"/>
      <c r="K1005" s="7"/>
      <c r="L1005" s="7"/>
      <c r="M1005" s="7"/>
      <c r="N1005" s="7"/>
      <c r="O1005" s="7"/>
      <c r="P1005" s="7"/>
      <c r="Q1005" s="55"/>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c r="BW1005" s="7"/>
      <c r="BX1005" s="7"/>
      <c r="BY1005" s="7"/>
      <c r="BZ1005" s="41"/>
      <c r="CA1005" s="7"/>
      <c r="CB1005" s="7"/>
      <c r="CC1005" s="7"/>
      <c r="CD1005" s="7"/>
      <c r="CE1005" s="7"/>
      <c r="CF1005" s="7"/>
    </row>
    <row r="1006">
      <c r="A1006" s="7"/>
      <c r="B1006" s="55"/>
      <c r="C1006" s="7"/>
      <c r="D1006" s="7"/>
      <c r="E1006" s="7"/>
      <c r="F1006" s="7"/>
      <c r="G1006" s="55"/>
      <c r="H1006" s="7"/>
      <c r="I1006" s="7"/>
      <c r="J1006" s="7"/>
      <c r="K1006" s="7"/>
      <c r="L1006" s="7"/>
      <c r="M1006" s="7"/>
      <c r="N1006" s="7"/>
      <c r="O1006" s="7"/>
      <c r="P1006" s="7"/>
      <c r="Q1006" s="55"/>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c r="BN1006" s="7"/>
      <c r="BO1006" s="7"/>
      <c r="BP1006" s="7"/>
      <c r="BQ1006" s="7"/>
      <c r="BR1006" s="7"/>
      <c r="BS1006" s="7"/>
      <c r="BT1006" s="7"/>
      <c r="BU1006" s="7"/>
      <c r="BV1006" s="7"/>
      <c r="BW1006" s="7"/>
      <c r="BX1006" s="7"/>
      <c r="BY1006" s="7"/>
      <c r="BZ1006" s="41"/>
      <c r="CA1006" s="7"/>
      <c r="CB1006" s="7"/>
      <c r="CC1006" s="7"/>
      <c r="CD1006" s="7"/>
      <c r="CE1006" s="7"/>
      <c r="CF1006" s="7"/>
    </row>
    <row r="1007">
      <c r="A1007" s="7"/>
      <c r="B1007" s="55"/>
      <c r="C1007" s="7"/>
      <c r="D1007" s="7"/>
      <c r="E1007" s="7"/>
      <c r="F1007" s="7"/>
      <c r="G1007" s="55"/>
      <c r="H1007" s="7"/>
      <c r="I1007" s="7"/>
      <c r="J1007" s="7"/>
      <c r="K1007" s="7"/>
      <c r="L1007" s="7"/>
      <c r="M1007" s="7"/>
      <c r="N1007" s="7"/>
      <c r="O1007" s="7"/>
      <c r="P1007" s="7"/>
      <c r="Q1007" s="55"/>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c r="BN1007" s="7"/>
      <c r="BO1007" s="7"/>
      <c r="BP1007" s="7"/>
      <c r="BQ1007" s="7"/>
      <c r="BR1007" s="7"/>
      <c r="BS1007" s="7"/>
      <c r="BT1007" s="7"/>
      <c r="BU1007" s="7"/>
      <c r="BV1007" s="7"/>
      <c r="BW1007" s="7"/>
      <c r="BX1007" s="7"/>
      <c r="BY1007" s="7"/>
      <c r="BZ1007" s="41"/>
      <c r="CA1007" s="7"/>
      <c r="CB1007" s="7"/>
      <c r="CC1007" s="7"/>
      <c r="CD1007" s="7"/>
      <c r="CE1007" s="7"/>
      <c r="CF1007" s="7"/>
    </row>
    <row r="1008">
      <c r="A1008" s="7"/>
      <c r="B1008" s="55"/>
      <c r="C1008" s="7"/>
      <c r="D1008" s="7"/>
      <c r="E1008" s="7"/>
      <c r="F1008" s="7"/>
      <c r="G1008" s="55"/>
      <c r="H1008" s="7"/>
      <c r="I1008" s="7"/>
      <c r="J1008" s="7"/>
      <c r="K1008" s="7"/>
      <c r="L1008" s="7"/>
      <c r="M1008" s="7"/>
      <c r="N1008" s="7"/>
      <c r="O1008" s="7"/>
      <c r="P1008" s="7"/>
      <c r="Q1008" s="55"/>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c r="BN1008" s="7"/>
      <c r="BO1008" s="7"/>
      <c r="BP1008" s="7"/>
      <c r="BQ1008" s="7"/>
      <c r="BR1008" s="7"/>
      <c r="BS1008" s="7"/>
      <c r="BT1008" s="7"/>
      <c r="BU1008" s="7"/>
      <c r="BV1008" s="7"/>
      <c r="BW1008" s="7"/>
      <c r="BX1008" s="7"/>
      <c r="BY1008" s="7"/>
      <c r="BZ1008" s="41"/>
      <c r="CA1008" s="7"/>
      <c r="CB1008" s="7"/>
      <c r="CC1008" s="7"/>
      <c r="CD1008" s="7"/>
      <c r="CE1008" s="7"/>
      <c r="CF1008" s="7"/>
    </row>
    <row r="1009">
      <c r="A1009" s="7"/>
      <c r="B1009" s="55"/>
      <c r="C1009" s="7"/>
      <c r="D1009" s="7"/>
      <c r="E1009" s="7"/>
      <c r="F1009" s="7"/>
      <c r="G1009" s="55"/>
      <c r="H1009" s="7"/>
      <c r="I1009" s="7"/>
      <c r="J1009" s="7"/>
      <c r="K1009" s="7"/>
      <c r="L1009" s="7"/>
      <c r="M1009" s="7"/>
      <c r="N1009" s="7"/>
      <c r="O1009" s="7"/>
      <c r="P1009" s="7"/>
      <c r="Q1009" s="55"/>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c r="BW1009" s="7"/>
      <c r="BX1009" s="7"/>
      <c r="BY1009" s="7"/>
      <c r="BZ1009" s="41"/>
      <c r="CA1009" s="7"/>
      <c r="CB1009" s="7"/>
      <c r="CC1009" s="7"/>
      <c r="CD1009" s="7"/>
      <c r="CE1009" s="7"/>
      <c r="CF1009" s="7"/>
    </row>
    <row r="1010">
      <c r="A1010" s="7"/>
      <c r="B1010" s="55"/>
      <c r="C1010" s="7"/>
      <c r="D1010" s="7"/>
      <c r="E1010" s="7"/>
      <c r="F1010" s="7"/>
      <c r="G1010" s="55"/>
      <c r="H1010" s="7"/>
      <c r="I1010" s="7"/>
      <c r="J1010" s="7"/>
      <c r="K1010" s="7"/>
      <c r="L1010" s="7"/>
      <c r="M1010" s="7"/>
      <c r="N1010" s="7"/>
      <c r="O1010" s="7"/>
      <c r="P1010" s="7"/>
      <c r="Q1010" s="55"/>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c r="BN1010" s="7"/>
      <c r="BO1010" s="7"/>
      <c r="BP1010" s="7"/>
      <c r="BQ1010" s="7"/>
      <c r="BR1010" s="7"/>
      <c r="BS1010" s="7"/>
      <c r="BT1010" s="7"/>
      <c r="BU1010" s="7"/>
      <c r="BV1010" s="7"/>
      <c r="BW1010" s="7"/>
      <c r="BX1010" s="7"/>
      <c r="BY1010" s="7"/>
      <c r="BZ1010" s="41"/>
      <c r="CA1010" s="7"/>
      <c r="CB1010" s="7"/>
      <c r="CC1010" s="7"/>
      <c r="CD1010" s="7"/>
      <c r="CE1010" s="7"/>
      <c r="CF1010" s="7"/>
    </row>
    <row r="1011">
      <c r="A1011" s="7"/>
      <c r="B1011" s="55"/>
      <c r="C1011" s="7"/>
      <c r="D1011" s="7"/>
      <c r="E1011" s="7"/>
      <c r="F1011" s="7"/>
      <c r="G1011" s="55"/>
      <c r="H1011" s="7"/>
      <c r="I1011" s="7"/>
      <c r="J1011" s="7"/>
      <c r="K1011" s="7"/>
      <c r="L1011" s="7"/>
      <c r="M1011" s="7"/>
      <c r="N1011" s="7"/>
      <c r="O1011" s="7"/>
      <c r="P1011" s="7"/>
      <c r="Q1011" s="55"/>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c r="BZ1011" s="41"/>
      <c r="CA1011" s="7"/>
      <c r="CB1011" s="7"/>
      <c r="CC1011" s="7"/>
      <c r="CD1011" s="7"/>
      <c r="CE1011" s="7"/>
      <c r="CF1011" s="7"/>
    </row>
    <row r="1012">
      <c r="A1012" s="7"/>
      <c r="B1012" s="55"/>
      <c r="C1012" s="7"/>
      <c r="D1012" s="7"/>
      <c r="E1012" s="7"/>
      <c r="F1012" s="7"/>
      <c r="G1012" s="55"/>
      <c r="H1012" s="7"/>
      <c r="I1012" s="7"/>
      <c r="J1012" s="7"/>
      <c r="K1012" s="7"/>
      <c r="L1012" s="7"/>
      <c r="M1012" s="7"/>
      <c r="N1012" s="7"/>
      <c r="O1012" s="7"/>
      <c r="P1012" s="7"/>
      <c r="Q1012" s="55"/>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c r="BN1012" s="7"/>
      <c r="BO1012" s="7"/>
      <c r="BP1012" s="7"/>
      <c r="BQ1012" s="7"/>
      <c r="BR1012" s="7"/>
      <c r="BS1012" s="7"/>
      <c r="BT1012" s="7"/>
      <c r="BU1012" s="7"/>
      <c r="BV1012" s="7"/>
      <c r="BW1012" s="7"/>
      <c r="BX1012" s="7"/>
      <c r="BY1012" s="7"/>
      <c r="BZ1012" s="41"/>
      <c r="CA1012" s="7"/>
      <c r="CB1012" s="7"/>
      <c r="CC1012" s="7"/>
      <c r="CD1012" s="7"/>
      <c r="CE1012" s="7"/>
      <c r="CF1012" s="7"/>
    </row>
    <row r="1013">
      <c r="A1013" s="7"/>
      <c r="B1013" s="55"/>
      <c r="C1013" s="7"/>
      <c r="D1013" s="7"/>
      <c r="E1013" s="7"/>
      <c r="F1013" s="7"/>
      <c r="G1013" s="55"/>
      <c r="H1013" s="7"/>
      <c r="I1013" s="7"/>
      <c r="J1013" s="7"/>
      <c r="K1013" s="7"/>
      <c r="L1013" s="7"/>
      <c r="M1013" s="7"/>
      <c r="N1013" s="7"/>
      <c r="O1013" s="7"/>
      <c r="P1013" s="7"/>
      <c r="Q1013" s="55"/>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c r="BW1013" s="7"/>
      <c r="BX1013" s="7"/>
      <c r="BY1013" s="7"/>
      <c r="BZ1013" s="41"/>
      <c r="CA1013" s="7"/>
      <c r="CB1013" s="7"/>
      <c r="CC1013" s="7"/>
      <c r="CD1013" s="7"/>
      <c r="CE1013" s="7"/>
      <c r="CF1013" s="7"/>
    </row>
    <row r="1014">
      <c r="A1014" s="7"/>
      <c r="B1014" s="55"/>
      <c r="C1014" s="7"/>
      <c r="D1014" s="7"/>
      <c r="E1014" s="7"/>
      <c r="F1014" s="7"/>
      <c r="G1014" s="55"/>
      <c r="H1014" s="7"/>
      <c r="I1014" s="7"/>
      <c r="J1014" s="7"/>
      <c r="K1014" s="7"/>
      <c r="L1014" s="7"/>
      <c r="M1014" s="7"/>
      <c r="N1014" s="7"/>
      <c r="O1014" s="7"/>
      <c r="P1014" s="7"/>
      <c r="Q1014" s="55"/>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c r="BL1014" s="7"/>
      <c r="BM1014" s="7"/>
      <c r="BN1014" s="7"/>
      <c r="BO1014" s="7"/>
      <c r="BP1014" s="7"/>
      <c r="BQ1014" s="7"/>
      <c r="BR1014" s="7"/>
      <c r="BS1014" s="7"/>
      <c r="BT1014" s="7"/>
      <c r="BU1014" s="7"/>
      <c r="BV1014" s="7"/>
      <c r="BW1014" s="7"/>
      <c r="BX1014" s="7"/>
      <c r="BY1014" s="7"/>
      <c r="BZ1014" s="41"/>
      <c r="CA1014" s="7"/>
      <c r="CB1014" s="7"/>
      <c r="CC1014" s="7"/>
      <c r="CD1014" s="7"/>
      <c r="CE1014" s="7"/>
      <c r="CF1014" s="7"/>
    </row>
    <row r="1015">
      <c r="A1015" s="7"/>
      <c r="B1015" s="55"/>
      <c r="C1015" s="7"/>
      <c r="D1015" s="7"/>
      <c r="E1015" s="7"/>
      <c r="F1015" s="7"/>
      <c r="G1015" s="55"/>
      <c r="H1015" s="7"/>
      <c r="I1015" s="7"/>
      <c r="J1015" s="7"/>
      <c r="K1015" s="7"/>
      <c r="L1015" s="7"/>
      <c r="M1015" s="7"/>
      <c r="N1015" s="7"/>
      <c r="O1015" s="7"/>
      <c r="P1015" s="7"/>
      <c r="Q1015" s="55"/>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c r="BX1015" s="7"/>
      <c r="BY1015" s="7"/>
      <c r="BZ1015" s="41"/>
      <c r="CA1015" s="7"/>
      <c r="CB1015" s="7"/>
      <c r="CC1015" s="7"/>
      <c r="CD1015" s="7"/>
      <c r="CE1015" s="7"/>
      <c r="CF1015" s="7"/>
    </row>
    <row r="1016">
      <c r="A1016" s="7"/>
      <c r="B1016" s="55"/>
      <c r="C1016" s="7"/>
      <c r="D1016" s="7"/>
      <c r="E1016" s="7"/>
      <c r="F1016" s="7"/>
      <c r="G1016" s="55"/>
      <c r="H1016" s="7"/>
      <c r="I1016" s="7"/>
      <c r="J1016" s="7"/>
      <c r="K1016" s="7"/>
      <c r="L1016" s="7"/>
      <c r="M1016" s="7"/>
      <c r="N1016" s="7"/>
      <c r="O1016" s="7"/>
      <c r="P1016" s="7"/>
      <c r="Q1016" s="55"/>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c r="BL1016" s="7"/>
      <c r="BM1016" s="7"/>
      <c r="BN1016" s="7"/>
      <c r="BO1016" s="7"/>
      <c r="BP1016" s="7"/>
      <c r="BQ1016" s="7"/>
      <c r="BR1016" s="7"/>
      <c r="BS1016" s="7"/>
      <c r="BT1016" s="7"/>
      <c r="BU1016" s="7"/>
      <c r="BV1016" s="7"/>
      <c r="BW1016" s="7"/>
      <c r="BX1016" s="7"/>
      <c r="BY1016" s="7"/>
      <c r="BZ1016" s="41"/>
      <c r="CA1016" s="7"/>
      <c r="CB1016" s="7"/>
      <c r="CC1016" s="7"/>
      <c r="CD1016" s="7"/>
      <c r="CE1016" s="7"/>
      <c r="CF1016" s="7"/>
    </row>
    <row r="1017">
      <c r="A1017" s="7"/>
      <c r="B1017" s="55"/>
      <c r="C1017" s="7"/>
      <c r="D1017" s="7"/>
      <c r="E1017" s="7"/>
      <c r="F1017" s="7"/>
      <c r="G1017" s="55"/>
      <c r="H1017" s="7"/>
      <c r="I1017" s="7"/>
      <c r="J1017" s="7"/>
      <c r="K1017" s="7"/>
      <c r="L1017" s="7"/>
      <c r="M1017" s="7"/>
      <c r="N1017" s="7"/>
      <c r="O1017" s="7"/>
      <c r="P1017" s="7"/>
      <c r="Q1017" s="55"/>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c r="BL1017" s="7"/>
      <c r="BM1017" s="7"/>
      <c r="BN1017" s="7"/>
      <c r="BO1017" s="7"/>
      <c r="BP1017" s="7"/>
      <c r="BQ1017" s="7"/>
      <c r="BR1017" s="7"/>
      <c r="BS1017" s="7"/>
      <c r="BT1017" s="7"/>
      <c r="BU1017" s="7"/>
      <c r="BV1017" s="7"/>
      <c r="BW1017" s="7"/>
      <c r="BX1017" s="7"/>
      <c r="BY1017" s="7"/>
      <c r="BZ1017" s="41"/>
      <c r="CA1017" s="7"/>
      <c r="CB1017" s="7"/>
      <c r="CC1017" s="7"/>
      <c r="CD1017" s="7"/>
      <c r="CE1017" s="7"/>
      <c r="CF1017" s="7"/>
    </row>
    <row r="1018">
      <c r="A1018" s="7"/>
      <c r="B1018" s="55"/>
      <c r="C1018" s="7"/>
      <c r="D1018" s="7"/>
      <c r="E1018" s="7"/>
      <c r="F1018" s="7"/>
      <c r="G1018" s="55"/>
      <c r="H1018" s="7"/>
      <c r="I1018" s="7"/>
      <c r="J1018" s="7"/>
      <c r="K1018" s="7"/>
      <c r="L1018" s="7"/>
      <c r="M1018" s="7"/>
      <c r="N1018" s="7"/>
      <c r="O1018" s="7"/>
      <c r="P1018" s="7"/>
      <c r="Q1018" s="55"/>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c r="BL1018" s="7"/>
      <c r="BM1018" s="7"/>
      <c r="BN1018" s="7"/>
      <c r="BO1018" s="7"/>
      <c r="BP1018" s="7"/>
      <c r="BQ1018" s="7"/>
      <c r="BR1018" s="7"/>
      <c r="BS1018" s="7"/>
      <c r="BT1018" s="7"/>
      <c r="BU1018" s="7"/>
      <c r="BV1018" s="7"/>
      <c r="BW1018" s="7"/>
      <c r="BX1018" s="7"/>
      <c r="BY1018" s="7"/>
      <c r="BZ1018" s="41"/>
      <c r="CA1018" s="7"/>
      <c r="CB1018" s="7"/>
      <c r="CC1018" s="7"/>
      <c r="CD1018" s="7"/>
      <c r="CE1018" s="7"/>
      <c r="CF1018" s="7"/>
    </row>
    <row r="1019">
      <c r="A1019" s="7"/>
      <c r="B1019" s="55"/>
      <c r="C1019" s="7"/>
      <c r="D1019" s="7"/>
      <c r="E1019" s="7"/>
      <c r="F1019" s="7"/>
      <c r="G1019" s="55"/>
      <c r="H1019" s="7"/>
      <c r="I1019" s="7"/>
      <c r="J1019" s="7"/>
      <c r="K1019" s="7"/>
      <c r="L1019" s="7"/>
      <c r="M1019" s="7"/>
      <c r="N1019" s="7"/>
      <c r="O1019" s="7"/>
      <c r="P1019" s="7"/>
      <c r="Q1019" s="55"/>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c r="BZ1019" s="41"/>
      <c r="CA1019" s="7"/>
      <c r="CB1019" s="7"/>
      <c r="CC1019" s="7"/>
      <c r="CD1019" s="7"/>
      <c r="CE1019" s="7"/>
      <c r="CF1019" s="7"/>
    </row>
    <row r="1020">
      <c r="A1020" s="7"/>
      <c r="B1020" s="55"/>
      <c r="C1020" s="7"/>
      <c r="D1020" s="7"/>
      <c r="E1020" s="7"/>
      <c r="F1020" s="7"/>
      <c r="G1020" s="55"/>
      <c r="H1020" s="7"/>
      <c r="I1020" s="7"/>
      <c r="J1020" s="7"/>
      <c r="K1020" s="7"/>
      <c r="L1020" s="7"/>
      <c r="M1020" s="7"/>
      <c r="N1020" s="7"/>
      <c r="O1020" s="7"/>
      <c r="P1020" s="7"/>
      <c r="Q1020" s="55"/>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c r="BL1020" s="7"/>
      <c r="BM1020" s="7"/>
      <c r="BN1020" s="7"/>
      <c r="BO1020" s="7"/>
      <c r="BP1020" s="7"/>
      <c r="BQ1020" s="7"/>
      <c r="BR1020" s="7"/>
      <c r="BS1020" s="7"/>
      <c r="BT1020" s="7"/>
      <c r="BU1020" s="7"/>
      <c r="BV1020" s="7"/>
      <c r="BW1020" s="7"/>
      <c r="BX1020" s="7"/>
      <c r="BY1020" s="7"/>
      <c r="BZ1020" s="41"/>
      <c r="CA1020" s="7"/>
      <c r="CB1020" s="7"/>
      <c r="CC1020" s="7"/>
      <c r="CD1020" s="7"/>
      <c r="CE1020" s="7"/>
      <c r="CF1020" s="7"/>
    </row>
    <row r="1021">
      <c r="A1021" s="7"/>
      <c r="B1021" s="55"/>
      <c r="C1021" s="7"/>
      <c r="D1021" s="7"/>
      <c r="E1021" s="7"/>
      <c r="F1021" s="7"/>
      <c r="G1021" s="55"/>
      <c r="H1021" s="7"/>
      <c r="I1021" s="7"/>
      <c r="J1021" s="7"/>
      <c r="K1021" s="7"/>
      <c r="L1021" s="7"/>
      <c r="M1021" s="7"/>
      <c r="N1021" s="7"/>
      <c r="O1021" s="7"/>
      <c r="P1021" s="7"/>
      <c r="Q1021" s="55"/>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c r="BL1021" s="7"/>
      <c r="BM1021" s="7"/>
      <c r="BN1021" s="7"/>
      <c r="BO1021" s="7"/>
      <c r="BP1021" s="7"/>
      <c r="BQ1021" s="7"/>
      <c r="BR1021" s="7"/>
      <c r="BS1021" s="7"/>
      <c r="BT1021" s="7"/>
      <c r="BU1021" s="7"/>
      <c r="BV1021" s="7"/>
      <c r="BW1021" s="7"/>
      <c r="BX1021" s="7"/>
      <c r="BY1021" s="7"/>
      <c r="BZ1021" s="41"/>
      <c r="CA1021" s="7"/>
      <c r="CB1021" s="7"/>
      <c r="CC1021" s="7"/>
      <c r="CD1021" s="7"/>
      <c r="CE1021" s="7"/>
      <c r="CF1021" s="7"/>
    </row>
    <row r="1022">
      <c r="A1022" s="7"/>
      <c r="B1022" s="55"/>
      <c r="C1022" s="7"/>
      <c r="D1022" s="7"/>
      <c r="E1022" s="7"/>
      <c r="F1022" s="7"/>
      <c r="G1022" s="55"/>
      <c r="H1022" s="7"/>
      <c r="I1022" s="7"/>
      <c r="J1022" s="7"/>
      <c r="K1022" s="7"/>
      <c r="L1022" s="7"/>
      <c r="M1022" s="7"/>
      <c r="N1022" s="7"/>
      <c r="O1022" s="7"/>
      <c r="P1022" s="7"/>
      <c r="Q1022" s="55"/>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c r="BL1022" s="7"/>
      <c r="BM1022" s="7"/>
      <c r="BN1022" s="7"/>
      <c r="BO1022" s="7"/>
      <c r="BP1022" s="7"/>
      <c r="BQ1022" s="7"/>
      <c r="BR1022" s="7"/>
      <c r="BS1022" s="7"/>
      <c r="BT1022" s="7"/>
      <c r="BU1022" s="7"/>
      <c r="BV1022" s="7"/>
      <c r="BW1022" s="7"/>
      <c r="BX1022" s="7"/>
      <c r="BY1022" s="7"/>
      <c r="BZ1022" s="41"/>
      <c r="CA1022" s="7"/>
      <c r="CB1022" s="7"/>
      <c r="CC1022" s="7"/>
      <c r="CD1022" s="7"/>
      <c r="CE1022" s="7"/>
      <c r="CF1022" s="7"/>
    </row>
    <row r="1023">
      <c r="A1023" s="7"/>
      <c r="B1023" s="55"/>
      <c r="C1023" s="7"/>
      <c r="D1023" s="7"/>
      <c r="E1023" s="7"/>
      <c r="F1023" s="7"/>
      <c r="G1023" s="55"/>
      <c r="H1023" s="7"/>
      <c r="I1023" s="7"/>
      <c r="J1023" s="7"/>
      <c r="K1023" s="7"/>
      <c r="L1023" s="7"/>
      <c r="M1023" s="7"/>
      <c r="N1023" s="7"/>
      <c r="O1023" s="7"/>
      <c r="P1023" s="7"/>
      <c r="Q1023" s="55"/>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c r="BL1023" s="7"/>
      <c r="BM1023" s="7"/>
      <c r="BN1023" s="7"/>
      <c r="BO1023" s="7"/>
      <c r="BP1023" s="7"/>
      <c r="BQ1023" s="7"/>
      <c r="BR1023" s="7"/>
      <c r="BS1023" s="7"/>
      <c r="BT1023" s="7"/>
      <c r="BU1023" s="7"/>
      <c r="BV1023" s="7"/>
      <c r="BW1023" s="7"/>
      <c r="BX1023" s="7"/>
      <c r="BY1023" s="7"/>
      <c r="BZ1023" s="41"/>
      <c r="CA1023" s="7"/>
      <c r="CB1023" s="7"/>
      <c r="CC1023" s="7"/>
      <c r="CD1023" s="7"/>
      <c r="CE1023" s="7"/>
      <c r="CF1023" s="7"/>
    </row>
    <row r="1024">
      <c r="A1024" s="7"/>
      <c r="B1024" s="55"/>
      <c r="C1024" s="7"/>
      <c r="D1024" s="7"/>
      <c r="E1024" s="7"/>
      <c r="F1024" s="7"/>
      <c r="G1024" s="55"/>
      <c r="H1024" s="7"/>
      <c r="I1024" s="7"/>
      <c r="J1024" s="7"/>
      <c r="K1024" s="7"/>
      <c r="L1024" s="7"/>
      <c r="M1024" s="7"/>
      <c r="N1024" s="7"/>
      <c r="O1024" s="7"/>
      <c r="P1024" s="7"/>
      <c r="Q1024" s="55"/>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c r="BL1024" s="7"/>
      <c r="BM1024" s="7"/>
      <c r="BN1024" s="7"/>
      <c r="BO1024" s="7"/>
      <c r="BP1024" s="7"/>
      <c r="BQ1024" s="7"/>
      <c r="BR1024" s="7"/>
      <c r="BS1024" s="7"/>
      <c r="BT1024" s="7"/>
      <c r="BU1024" s="7"/>
      <c r="BV1024" s="7"/>
      <c r="BW1024" s="7"/>
      <c r="BX1024" s="7"/>
      <c r="BY1024" s="7"/>
      <c r="BZ1024" s="41"/>
      <c r="CA1024" s="7"/>
      <c r="CB1024" s="7"/>
      <c r="CC1024" s="7"/>
      <c r="CD1024" s="7"/>
      <c r="CE1024" s="7"/>
      <c r="CF1024" s="7"/>
    </row>
    <row r="1025">
      <c r="A1025" s="7"/>
      <c r="B1025" s="55"/>
      <c r="C1025" s="7"/>
      <c r="D1025" s="7"/>
      <c r="E1025" s="7"/>
      <c r="F1025" s="7"/>
      <c r="G1025" s="55"/>
      <c r="H1025" s="7"/>
      <c r="I1025" s="7"/>
      <c r="J1025" s="7"/>
      <c r="K1025" s="7"/>
      <c r="L1025" s="7"/>
      <c r="M1025" s="7"/>
      <c r="N1025" s="7"/>
      <c r="O1025" s="7"/>
      <c r="P1025" s="7"/>
      <c r="Q1025" s="55"/>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c r="BN1025" s="7"/>
      <c r="BO1025" s="7"/>
      <c r="BP1025" s="7"/>
      <c r="BQ1025" s="7"/>
      <c r="BR1025" s="7"/>
      <c r="BS1025" s="7"/>
      <c r="BT1025" s="7"/>
      <c r="BU1025" s="7"/>
      <c r="BV1025" s="7"/>
      <c r="BW1025" s="7"/>
      <c r="BX1025" s="7"/>
      <c r="BY1025" s="7"/>
      <c r="BZ1025" s="41"/>
      <c r="CA1025" s="7"/>
      <c r="CB1025" s="7"/>
      <c r="CC1025" s="7"/>
      <c r="CD1025" s="7"/>
      <c r="CE1025" s="7"/>
      <c r="CF1025" s="7"/>
    </row>
    <row r="1026">
      <c r="A1026" s="7"/>
      <c r="B1026" s="55"/>
      <c r="C1026" s="7"/>
      <c r="D1026" s="7"/>
      <c r="E1026" s="7"/>
      <c r="F1026" s="7"/>
      <c r="G1026" s="55"/>
      <c r="H1026" s="7"/>
      <c r="I1026" s="7"/>
      <c r="J1026" s="7"/>
      <c r="K1026" s="7"/>
      <c r="L1026" s="7"/>
      <c r="M1026" s="7"/>
      <c r="N1026" s="7"/>
      <c r="O1026" s="7"/>
      <c r="P1026" s="7"/>
      <c r="Q1026" s="55"/>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c r="BL1026" s="7"/>
      <c r="BM1026" s="7"/>
      <c r="BN1026" s="7"/>
      <c r="BO1026" s="7"/>
      <c r="BP1026" s="7"/>
      <c r="BQ1026" s="7"/>
      <c r="BR1026" s="7"/>
      <c r="BS1026" s="7"/>
      <c r="BT1026" s="7"/>
      <c r="BU1026" s="7"/>
      <c r="BV1026" s="7"/>
      <c r="BW1026" s="7"/>
      <c r="BX1026" s="7"/>
      <c r="BY1026" s="7"/>
      <c r="BZ1026" s="41"/>
      <c r="CA1026" s="7"/>
      <c r="CB1026" s="7"/>
      <c r="CC1026" s="7"/>
      <c r="CD1026" s="7"/>
      <c r="CE1026" s="7"/>
      <c r="CF1026" s="7"/>
    </row>
    <row r="1027">
      <c r="A1027" s="7"/>
      <c r="B1027" s="55"/>
      <c r="C1027" s="7"/>
      <c r="D1027" s="7"/>
      <c r="E1027" s="7"/>
      <c r="F1027" s="7"/>
      <c r="G1027" s="55"/>
      <c r="H1027" s="7"/>
      <c r="I1027" s="7"/>
      <c r="J1027" s="7"/>
      <c r="K1027" s="7"/>
      <c r="L1027" s="7"/>
      <c r="M1027" s="7"/>
      <c r="N1027" s="7"/>
      <c r="O1027" s="7"/>
      <c r="P1027" s="7"/>
      <c r="Q1027" s="55"/>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c r="BL1027" s="7"/>
      <c r="BM1027" s="7"/>
      <c r="BN1027" s="7"/>
      <c r="BO1027" s="7"/>
      <c r="BP1027" s="7"/>
      <c r="BQ1027" s="7"/>
      <c r="BR1027" s="7"/>
      <c r="BS1027" s="7"/>
      <c r="BT1027" s="7"/>
      <c r="BU1027" s="7"/>
      <c r="BV1027" s="7"/>
      <c r="BW1027" s="7"/>
      <c r="BX1027" s="7"/>
      <c r="BY1027" s="7"/>
      <c r="BZ1027" s="41"/>
      <c r="CA1027" s="7"/>
      <c r="CB1027" s="7"/>
      <c r="CC1027" s="7"/>
      <c r="CD1027" s="7"/>
      <c r="CE1027" s="7"/>
      <c r="CF1027" s="7"/>
    </row>
    <row r="1028">
      <c r="A1028" s="7"/>
      <c r="B1028" s="55"/>
      <c r="C1028" s="7"/>
      <c r="D1028" s="7"/>
      <c r="E1028" s="7"/>
      <c r="F1028" s="7"/>
      <c r="G1028" s="55"/>
      <c r="H1028" s="7"/>
      <c r="I1028" s="7"/>
      <c r="J1028" s="7"/>
      <c r="K1028" s="7"/>
      <c r="L1028" s="7"/>
      <c r="M1028" s="7"/>
      <c r="N1028" s="7"/>
      <c r="O1028" s="7"/>
      <c r="P1028" s="7"/>
      <c r="Q1028" s="55"/>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c r="BL1028" s="7"/>
      <c r="BM1028" s="7"/>
      <c r="BN1028" s="7"/>
      <c r="BO1028" s="7"/>
      <c r="BP1028" s="7"/>
      <c r="BQ1028" s="7"/>
      <c r="BR1028" s="7"/>
      <c r="BS1028" s="7"/>
      <c r="BT1028" s="7"/>
      <c r="BU1028" s="7"/>
      <c r="BV1028" s="7"/>
      <c r="BW1028" s="7"/>
      <c r="BX1028" s="7"/>
      <c r="BY1028" s="7"/>
      <c r="BZ1028" s="41"/>
      <c r="CA1028" s="7"/>
      <c r="CB1028" s="7"/>
      <c r="CC1028" s="7"/>
      <c r="CD1028" s="7"/>
      <c r="CE1028" s="7"/>
      <c r="CF1028" s="7"/>
    </row>
    <row r="1029">
      <c r="A1029" s="7"/>
      <c r="B1029" s="55"/>
      <c r="C1029" s="7"/>
      <c r="D1029" s="7"/>
      <c r="E1029" s="7"/>
      <c r="F1029" s="7"/>
      <c r="G1029" s="55"/>
      <c r="H1029" s="7"/>
      <c r="I1029" s="7"/>
      <c r="J1029" s="7"/>
      <c r="K1029" s="7"/>
      <c r="L1029" s="7"/>
      <c r="M1029" s="7"/>
      <c r="N1029" s="7"/>
      <c r="O1029" s="7"/>
      <c r="P1029" s="7"/>
      <c r="Q1029" s="55"/>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c r="BN1029" s="7"/>
      <c r="BO1029" s="7"/>
      <c r="BP1029" s="7"/>
      <c r="BQ1029" s="7"/>
      <c r="BR1029" s="7"/>
      <c r="BS1029" s="7"/>
      <c r="BT1029" s="7"/>
      <c r="BU1029" s="7"/>
      <c r="BV1029" s="7"/>
      <c r="BW1029" s="7"/>
      <c r="BX1029" s="7"/>
      <c r="BY1029" s="7"/>
      <c r="BZ1029" s="41"/>
      <c r="CA1029" s="7"/>
      <c r="CB1029" s="7"/>
      <c r="CC1029" s="7"/>
      <c r="CD1029" s="7"/>
      <c r="CE1029" s="7"/>
      <c r="CF1029" s="7"/>
    </row>
    <row r="1030">
      <c r="A1030" s="7"/>
      <c r="B1030" s="55"/>
      <c r="C1030" s="7"/>
      <c r="D1030" s="7"/>
      <c r="E1030" s="7"/>
      <c r="F1030" s="7"/>
      <c r="G1030" s="55"/>
      <c r="H1030" s="7"/>
      <c r="I1030" s="7"/>
      <c r="J1030" s="7"/>
      <c r="K1030" s="7"/>
      <c r="L1030" s="7"/>
      <c r="M1030" s="7"/>
      <c r="N1030" s="7"/>
      <c r="O1030" s="7"/>
      <c r="P1030" s="7"/>
      <c r="Q1030" s="55"/>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c r="BL1030" s="7"/>
      <c r="BM1030" s="7"/>
      <c r="BN1030" s="7"/>
      <c r="BO1030" s="7"/>
      <c r="BP1030" s="7"/>
      <c r="BQ1030" s="7"/>
      <c r="BR1030" s="7"/>
      <c r="BS1030" s="7"/>
      <c r="BT1030" s="7"/>
      <c r="BU1030" s="7"/>
      <c r="BV1030" s="7"/>
      <c r="BW1030" s="7"/>
      <c r="BX1030" s="7"/>
      <c r="BY1030" s="7"/>
      <c r="BZ1030" s="41"/>
      <c r="CA1030" s="7"/>
      <c r="CB1030" s="7"/>
      <c r="CC1030" s="7"/>
      <c r="CD1030" s="7"/>
      <c r="CE1030" s="7"/>
      <c r="CF1030" s="7"/>
    </row>
    <row r="1031">
      <c r="A1031" s="7"/>
      <c r="B1031" s="55"/>
      <c r="C1031" s="7"/>
      <c r="D1031" s="7"/>
      <c r="E1031" s="7"/>
      <c r="F1031" s="7"/>
      <c r="G1031" s="55"/>
      <c r="H1031" s="7"/>
      <c r="I1031" s="7"/>
      <c r="J1031" s="7"/>
      <c r="K1031" s="7"/>
      <c r="L1031" s="7"/>
      <c r="M1031" s="7"/>
      <c r="N1031" s="7"/>
      <c r="O1031" s="7"/>
      <c r="P1031" s="7"/>
      <c r="Q1031" s="55"/>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c r="BZ1031" s="41"/>
      <c r="CA1031" s="7"/>
      <c r="CB1031" s="7"/>
      <c r="CC1031" s="7"/>
      <c r="CD1031" s="7"/>
      <c r="CE1031" s="7"/>
      <c r="CF1031" s="7"/>
    </row>
    <row r="1032">
      <c r="A1032" s="7"/>
      <c r="B1032" s="55"/>
      <c r="C1032" s="7"/>
      <c r="D1032" s="7"/>
      <c r="E1032" s="7"/>
      <c r="F1032" s="7"/>
      <c r="G1032" s="55"/>
      <c r="H1032" s="7"/>
      <c r="I1032" s="7"/>
      <c r="J1032" s="7"/>
      <c r="K1032" s="7"/>
      <c r="L1032" s="7"/>
      <c r="M1032" s="7"/>
      <c r="N1032" s="7"/>
      <c r="O1032" s="7"/>
      <c r="P1032" s="7"/>
      <c r="Q1032" s="55"/>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c r="BL1032" s="7"/>
      <c r="BM1032" s="7"/>
      <c r="BN1032" s="7"/>
      <c r="BO1032" s="7"/>
      <c r="BP1032" s="7"/>
      <c r="BQ1032" s="7"/>
      <c r="BR1032" s="7"/>
      <c r="BS1032" s="7"/>
      <c r="BT1032" s="7"/>
      <c r="BU1032" s="7"/>
      <c r="BV1032" s="7"/>
      <c r="BW1032" s="7"/>
      <c r="BX1032" s="7"/>
      <c r="BY1032" s="7"/>
      <c r="BZ1032" s="41"/>
      <c r="CA1032" s="7"/>
      <c r="CB1032" s="7"/>
      <c r="CC1032" s="7"/>
      <c r="CD1032" s="7"/>
      <c r="CE1032" s="7"/>
      <c r="CF1032" s="7"/>
    </row>
    <row r="1033">
      <c r="A1033" s="7"/>
      <c r="B1033" s="55"/>
      <c r="C1033" s="7"/>
      <c r="D1033" s="7"/>
      <c r="E1033" s="7"/>
      <c r="F1033" s="7"/>
      <c r="G1033" s="55"/>
      <c r="H1033" s="7"/>
      <c r="I1033" s="7"/>
      <c r="J1033" s="7"/>
      <c r="K1033" s="7"/>
      <c r="L1033" s="7"/>
      <c r="M1033" s="7"/>
      <c r="N1033" s="7"/>
      <c r="O1033" s="7"/>
      <c r="P1033" s="7"/>
      <c r="Q1033" s="55"/>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c r="BL1033" s="7"/>
      <c r="BM1033" s="7"/>
      <c r="BN1033" s="7"/>
      <c r="BO1033" s="7"/>
      <c r="BP1033" s="7"/>
      <c r="BQ1033" s="7"/>
      <c r="BR1033" s="7"/>
      <c r="BS1033" s="7"/>
      <c r="BT1033" s="7"/>
      <c r="BU1033" s="7"/>
      <c r="BV1033" s="7"/>
      <c r="BW1033" s="7"/>
      <c r="BX1033" s="7"/>
      <c r="BY1033" s="7"/>
      <c r="BZ1033" s="41"/>
      <c r="CA1033" s="7"/>
      <c r="CB1033" s="7"/>
      <c r="CC1033" s="7"/>
      <c r="CD1033" s="7"/>
      <c r="CE1033" s="7"/>
      <c r="CF1033" s="7"/>
    </row>
    <row r="1034">
      <c r="A1034" s="7"/>
      <c r="B1034" s="55"/>
      <c r="C1034" s="7"/>
      <c r="D1034" s="7"/>
      <c r="E1034" s="7"/>
      <c r="F1034" s="7"/>
      <c r="G1034" s="55"/>
      <c r="H1034" s="7"/>
      <c r="I1034" s="7"/>
      <c r="J1034" s="7"/>
      <c r="K1034" s="7"/>
      <c r="L1034" s="7"/>
      <c r="M1034" s="7"/>
      <c r="N1034" s="7"/>
      <c r="O1034" s="7"/>
      <c r="P1034" s="7"/>
      <c r="Q1034" s="55"/>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c r="BL1034" s="7"/>
      <c r="BM1034" s="7"/>
      <c r="BN1034" s="7"/>
      <c r="BO1034" s="7"/>
      <c r="BP1034" s="7"/>
      <c r="BQ1034" s="7"/>
      <c r="BR1034" s="7"/>
      <c r="BS1034" s="7"/>
      <c r="BT1034" s="7"/>
      <c r="BU1034" s="7"/>
      <c r="BV1034" s="7"/>
      <c r="BW1034" s="7"/>
      <c r="BX1034" s="7"/>
      <c r="BY1034" s="7"/>
      <c r="BZ1034" s="41"/>
      <c r="CA1034" s="7"/>
      <c r="CB1034" s="7"/>
      <c r="CC1034" s="7"/>
      <c r="CD1034" s="7"/>
      <c r="CE1034" s="7"/>
      <c r="CF1034" s="7"/>
    </row>
    <row r="1035">
      <c r="A1035" s="7"/>
      <c r="B1035" s="55"/>
      <c r="C1035" s="7"/>
      <c r="D1035" s="7"/>
      <c r="E1035" s="7"/>
      <c r="F1035" s="7"/>
      <c r="G1035" s="55"/>
      <c r="H1035" s="7"/>
      <c r="I1035" s="7"/>
      <c r="J1035" s="7"/>
      <c r="K1035" s="7"/>
      <c r="L1035" s="7"/>
      <c r="M1035" s="7"/>
      <c r="N1035" s="7"/>
      <c r="O1035" s="7"/>
      <c r="P1035" s="7"/>
      <c r="Q1035" s="55"/>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c r="BL1035" s="7"/>
      <c r="BM1035" s="7"/>
      <c r="BN1035" s="7"/>
      <c r="BO1035" s="7"/>
      <c r="BP1035" s="7"/>
      <c r="BQ1035" s="7"/>
      <c r="BR1035" s="7"/>
      <c r="BS1035" s="7"/>
      <c r="BT1035" s="7"/>
      <c r="BU1035" s="7"/>
      <c r="BV1035" s="7"/>
      <c r="BW1035" s="7"/>
      <c r="BX1035" s="7"/>
      <c r="BY1035" s="7"/>
      <c r="BZ1035" s="41"/>
      <c r="CA1035" s="7"/>
      <c r="CB1035" s="7"/>
      <c r="CC1035" s="7"/>
      <c r="CD1035" s="7"/>
      <c r="CE1035" s="7"/>
      <c r="CF1035" s="7"/>
    </row>
    <row r="1036">
      <c r="A1036" s="7"/>
      <c r="B1036" s="55"/>
      <c r="C1036" s="7"/>
      <c r="D1036" s="7"/>
      <c r="E1036" s="7"/>
      <c r="F1036" s="7"/>
      <c r="G1036" s="55"/>
      <c r="H1036" s="7"/>
      <c r="I1036" s="7"/>
      <c r="J1036" s="7"/>
      <c r="K1036" s="7"/>
      <c r="L1036" s="7"/>
      <c r="M1036" s="7"/>
      <c r="N1036" s="7"/>
      <c r="O1036" s="7"/>
      <c r="P1036" s="7"/>
      <c r="Q1036" s="55"/>
      <c r="R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c r="BE1036" s="7"/>
      <c r="BF1036" s="7"/>
      <c r="BG1036" s="7"/>
      <c r="BH1036" s="7"/>
      <c r="BI1036" s="7"/>
      <c r="BJ1036" s="7"/>
      <c r="BK1036" s="7"/>
      <c r="BL1036" s="7"/>
      <c r="BM1036" s="7"/>
      <c r="BN1036" s="7"/>
      <c r="BO1036" s="7"/>
      <c r="BP1036" s="7"/>
      <c r="BQ1036" s="7"/>
      <c r="BR1036" s="7"/>
      <c r="BS1036" s="7"/>
      <c r="BT1036" s="7"/>
      <c r="BU1036" s="7"/>
      <c r="BV1036" s="7"/>
      <c r="BW1036" s="7"/>
      <c r="BX1036" s="7"/>
      <c r="BY1036" s="7"/>
      <c r="BZ1036" s="41"/>
      <c r="CA1036" s="7"/>
      <c r="CB1036" s="7"/>
      <c r="CC1036" s="7"/>
      <c r="CD1036" s="7"/>
      <c r="CE1036" s="7"/>
      <c r="CF1036" s="7"/>
    </row>
    <row r="1037">
      <c r="A1037" s="7"/>
      <c r="B1037" s="55"/>
      <c r="C1037" s="7"/>
      <c r="D1037" s="7"/>
      <c r="E1037" s="7"/>
      <c r="F1037" s="7"/>
      <c r="G1037" s="55"/>
      <c r="H1037" s="7"/>
      <c r="I1037" s="7"/>
      <c r="J1037" s="7"/>
      <c r="K1037" s="7"/>
      <c r="L1037" s="7"/>
      <c r="M1037" s="7"/>
      <c r="N1037" s="7"/>
      <c r="O1037" s="7"/>
      <c r="P1037" s="7"/>
      <c r="Q1037" s="55"/>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c r="BW1037" s="7"/>
      <c r="BX1037" s="7"/>
      <c r="BY1037" s="7"/>
      <c r="BZ1037" s="41"/>
      <c r="CA1037" s="7"/>
      <c r="CB1037" s="7"/>
      <c r="CC1037" s="7"/>
      <c r="CD1037" s="7"/>
      <c r="CE1037" s="7"/>
      <c r="CF1037" s="7"/>
    </row>
    <row r="1038">
      <c r="A1038" s="7"/>
      <c r="B1038" s="55"/>
      <c r="C1038" s="7"/>
      <c r="D1038" s="7"/>
      <c r="E1038" s="7"/>
      <c r="F1038" s="7"/>
      <c r="G1038" s="55"/>
      <c r="H1038" s="7"/>
      <c r="I1038" s="7"/>
      <c r="J1038" s="7"/>
      <c r="K1038" s="7"/>
      <c r="L1038" s="7"/>
      <c r="M1038" s="7"/>
      <c r="N1038" s="7"/>
      <c r="O1038" s="7"/>
      <c r="P1038" s="7"/>
      <c r="Q1038" s="55"/>
      <c r="R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7"/>
      <c r="BB1038" s="7"/>
      <c r="BC1038" s="7"/>
      <c r="BD1038" s="7"/>
      <c r="BE1038" s="7"/>
      <c r="BF1038" s="7"/>
      <c r="BG1038" s="7"/>
      <c r="BH1038" s="7"/>
      <c r="BI1038" s="7"/>
      <c r="BJ1038" s="7"/>
      <c r="BK1038" s="7"/>
      <c r="BL1038" s="7"/>
      <c r="BM1038" s="7"/>
      <c r="BN1038" s="7"/>
      <c r="BO1038" s="7"/>
      <c r="BP1038" s="7"/>
      <c r="BQ1038" s="7"/>
      <c r="BR1038" s="7"/>
      <c r="BS1038" s="7"/>
      <c r="BT1038" s="7"/>
      <c r="BU1038" s="7"/>
      <c r="BV1038" s="7"/>
      <c r="BW1038" s="7"/>
      <c r="BX1038" s="7"/>
      <c r="BY1038" s="7"/>
      <c r="BZ1038" s="41"/>
      <c r="CA1038" s="7"/>
      <c r="CB1038" s="7"/>
      <c r="CC1038" s="7"/>
      <c r="CD1038" s="7"/>
      <c r="CE1038" s="7"/>
      <c r="CF1038" s="7"/>
    </row>
    <row r="1039">
      <c r="A1039" s="7"/>
      <c r="B1039" s="55"/>
      <c r="C1039" s="7"/>
      <c r="D1039" s="7"/>
      <c r="E1039" s="7"/>
      <c r="F1039" s="7"/>
      <c r="G1039" s="55"/>
      <c r="H1039" s="7"/>
      <c r="I1039" s="7"/>
      <c r="J1039" s="7"/>
      <c r="K1039" s="7"/>
      <c r="L1039" s="7"/>
      <c r="M1039" s="7"/>
      <c r="N1039" s="7"/>
      <c r="O1039" s="7"/>
      <c r="P1039" s="7"/>
      <c r="Q1039" s="55"/>
      <c r="R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c r="BL1039" s="7"/>
      <c r="BM1039" s="7"/>
      <c r="BN1039" s="7"/>
      <c r="BO1039" s="7"/>
      <c r="BP1039" s="7"/>
      <c r="BQ1039" s="7"/>
      <c r="BR1039" s="7"/>
      <c r="BS1039" s="7"/>
      <c r="BT1039" s="7"/>
      <c r="BU1039" s="7"/>
      <c r="BV1039" s="7"/>
      <c r="BW1039" s="7"/>
      <c r="BX1039" s="7"/>
      <c r="BY1039" s="7"/>
      <c r="BZ1039" s="41"/>
      <c r="CA1039" s="7"/>
      <c r="CB1039" s="7"/>
      <c r="CC1039" s="7"/>
      <c r="CD1039" s="7"/>
      <c r="CE1039" s="7"/>
      <c r="CF1039" s="7"/>
    </row>
    <row r="1040">
      <c r="A1040" s="7"/>
      <c r="B1040" s="55"/>
      <c r="C1040" s="7"/>
      <c r="D1040" s="7"/>
      <c r="E1040" s="7"/>
      <c r="F1040" s="7"/>
      <c r="G1040" s="55"/>
      <c r="H1040" s="7"/>
      <c r="I1040" s="7"/>
      <c r="J1040" s="7"/>
      <c r="K1040" s="7"/>
      <c r="L1040" s="7"/>
      <c r="M1040" s="7"/>
      <c r="N1040" s="7"/>
      <c r="O1040" s="7"/>
      <c r="P1040" s="7"/>
      <c r="Q1040" s="55"/>
      <c r="R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c r="BL1040" s="7"/>
      <c r="BM1040" s="7"/>
      <c r="BN1040" s="7"/>
      <c r="BO1040" s="7"/>
      <c r="BP1040" s="7"/>
      <c r="BQ1040" s="7"/>
      <c r="BR1040" s="7"/>
      <c r="BS1040" s="7"/>
      <c r="BT1040" s="7"/>
      <c r="BU1040" s="7"/>
      <c r="BV1040" s="7"/>
      <c r="BW1040" s="7"/>
      <c r="BX1040" s="7"/>
      <c r="BY1040" s="7"/>
      <c r="BZ1040" s="41"/>
      <c r="CA1040" s="7"/>
      <c r="CB1040" s="7"/>
      <c r="CC1040" s="7"/>
      <c r="CD1040" s="7"/>
      <c r="CE1040" s="7"/>
      <c r="CF1040" s="7"/>
    </row>
    <row r="1041">
      <c r="A1041" s="7"/>
      <c r="B1041" s="55"/>
      <c r="C1041" s="7"/>
      <c r="D1041" s="7"/>
      <c r="E1041" s="7"/>
      <c r="F1041" s="7"/>
      <c r="G1041" s="55"/>
      <c r="H1041" s="7"/>
      <c r="I1041" s="7"/>
      <c r="J1041" s="7"/>
      <c r="K1041" s="7"/>
      <c r="L1041" s="7"/>
      <c r="M1041" s="7"/>
      <c r="N1041" s="7"/>
      <c r="O1041" s="7"/>
      <c r="P1041" s="7"/>
      <c r="Q1041" s="55"/>
      <c r="R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c r="BL1041" s="7"/>
      <c r="BM1041" s="7"/>
      <c r="BN1041" s="7"/>
      <c r="BO1041" s="7"/>
      <c r="BP1041" s="7"/>
      <c r="BQ1041" s="7"/>
      <c r="BR1041" s="7"/>
      <c r="BS1041" s="7"/>
      <c r="BT1041" s="7"/>
      <c r="BU1041" s="7"/>
      <c r="BV1041" s="7"/>
      <c r="BW1041" s="7"/>
      <c r="BX1041" s="7"/>
      <c r="BY1041" s="7"/>
      <c r="BZ1041" s="41"/>
      <c r="CA1041" s="7"/>
      <c r="CB1041" s="7"/>
      <c r="CC1041" s="7"/>
      <c r="CD1041" s="7"/>
      <c r="CE1041" s="7"/>
      <c r="CF1041" s="7"/>
    </row>
    <row r="1042">
      <c r="A1042" s="7"/>
      <c r="B1042" s="55"/>
      <c r="C1042" s="7"/>
      <c r="D1042" s="7"/>
      <c r="E1042" s="7"/>
      <c r="F1042" s="7"/>
      <c r="G1042" s="55"/>
      <c r="H1042" s="7"/>
      <c r="I1042" s="7"/>
      <c r="J1042" s="7"/>
      <c r="K1042" s="7"/>
      <c r="L1042" s="7"/>
      <c r="M1042" s="7"/>
      <c r="N1042" s="7"/>
      <c r="O1042" s="7"/>
      <c r="P1042" s="7"/>
      <c r="Q1042" s="55"/>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7"/>
      <c r="AY1042" s="7"/>
      <c r="AZ1042" s="7"/>
      <c r="BA1042" s="7"/>
      <c r="BB1042" s="7"/>
      <c r="BC1042" s="7"/>
      <c r="BD1042" s="7"/>
      <c r="BE1042" s="7"/>
      <c r="BF1042" s="7"/>
      <c r="BG1042" s="7"/>
      <c r="BH1042" s="7"/>
      <c r="BI1042" s="7"/>
      <c r="BJ1042" s="7"/>
      <c r="BK1042" s="7"/>
      <c r="BL1042" s="7"/>
      <c r="BM1042" s="7"/>
      <c r="BN1042" s="7"/>
      <c r="BO1042" s="7"/>
      <c r="BP1042" s="7"/>
      <c r="BQ1042" s="7"/>
      <c r="BR1042" s="7"/>
      <c r="BS1042" s="7"/>
      <c r="BT1042" s="7"/>
      <c r="BU1042" s="7"/>
      <c r="BV1042" s="7"/>
      <c r="BW1042" s="7"/>
      <c r="BX1042" s="7"/>
      <c r="BY1042" s="7"/>
      <c r="BZ1042" s="41"/>
      <c r="CA1042" s="7"/>
      <c r="CB1042" s="7"/>
      <c r="CC1042" s="7"/>
      <c r="CD1042" s="7"/>
      <c r="CE1042" s="7"/>
      <c r="CF1042" s="7"/>
    </row>
    <row r="1043">
      <c r="A1043" s="7"/>
      <c r="B1043" s="55"/>
      <c r="C1043" s="7"/>
      <c r="D1043" s="7"/>
      <c r="E1043" s="7"/>
      <c r="F1043" s="7"/>
      <c r="G1043" s="55"/>
      <c r="H1043" s="7"/>
      <c r="I1043" s="7"/>
      <c r="J1043" s="7"/>
      <c r="K1043" s="7"/>
      <c r="L1043" s="7"/>
      <c r="M1043" s="7"/>
      <c r="N1043" s="7"/>
      <c r="O1043" s="7"/>
      <c r="P1043" s="7"/>
      <c r="Q1043" s="55"/>
      <c r="R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c r="BL1043" s="7"/>
      <c r="BM1043" s="7"/>
      <c r="BN1043" s="7"/>
      <c r="BO1043" s="7"/>
      <c r="BP1043" s="7"/>
      <c r="BQ1043" s="7"/>
      <c r="BR1043" s="7"/>
      <c r="BS1043" s="7"/>
      <c r="BT1043" s="7"/>
      <c r="BU1043" s="7"/>
      <c r="BV1043" s="7"/>
      <c r="BW1043" s="7"/>
      <c r="BX1043" s="7"/>
      <c r="BY1043" s="7"/>
      <c r="BZ1043" s="41"/>
      <c r="CA1043" s="7"/>
      <c r="CB1043" s="7"/>
      <c r="CC1043" s="7"/>
      <c r="CD1043" s="7"/>
      <c r="CE1043" s="7"/>
      <c r="CF1043" s="7"/>
    </row>
    <row r="1044">
      <c r="A1044" s="7"/>
      <c r="B1044" s="55"/>
      <c r="C1044" s="7"/>
      <c r="D1044" s="7"/>
      <c r="E1044" s="7"/>
      <c r="F1044" s="7"/>
      <c r="G1044" s="55"/>
      <c r="H1044" s="7"/>
      <c r="I1044" s="7"/>
      <c r="J1044" s="7"/>
      <c r="K1044" s="7"/>
      <c r="L1044" s="7"/>
      <c r="M1044" s="7"/>
      <c r="N1044" s="7"/>
      <c r="O1044" s="7"/>
      <c r="P1044" s="7"/>
      <c r="Q1044" s="55"/>
      <c r="R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c r="BE1044" s="7"/>
      <c r="BF1044" s="7"/>
      <c r="BG1044" s="7"/>
      <c r="BH1044" s="7"/>
      <c r="BI1044" s="7"/>
      <c r="BJ1044" s="7"/>
      <c r="BK1044" s="7"/>
      <c r="BL1044" s="7"/>
      <c r="BM1044" s="7"/>
      <c r="BN1044" s="7"/>
      <c r="BO1044" s="7"/>
      <c r="BP1044" s="7"/>
      <c r="BQ1044" s="7"/>
      <c r="BR1044" s="7"/>
      <c r="BS1044" s="7"/>
      <c r="BT1044" s="7"/>
      <c r="BU1044" s="7"/>
      <c r="BV1044" s="7"/>
      <c r="BW1044" s="7"/>
      <c r="BX1044" s="7"/>
      <c r="BY1044" s="7"/>
      <c r="BZ1044" s="41"/>
      <c r="CA1044" s="7"/>
      <c r="CB1044" s="7"/>
      <c r="CC1044" s="7"/>
      <c r="CD1044" s="7"/>
      <c r="CE1044" s="7"/>
      <c r="CF1044" s="7"/>
    </row>
    <row r="1045">
      <c r="A1045" s="7"/>
      <c r="B1045" s="55"/>
      <c r="C1045" s="7"/>
      <c r="D1045" s="7"/>
      <c r="E1045" s="7"/>
      <c r="F1045" s="7"/>
      <c r="G1045" s="55"/>
      <c r="H1045" s="7"/>
      <c r="I1045" s="7"/>
      <c r="J1045" s="7"/>
      <c r="K1045" s="7"/>
      <c r="L1045" s="7"/>
      <c r="M1045" s="7"/>
      <c r="N1045" s="7"/>
      <c r="O1045" s="7"/>
      <c r="P1045" s="7"/>
      <c r="Q1045" s="55"/>
      <c r="R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c r="BL1045" s="7"/>
      <c r="BM1045" s="7"/>
      <c r="BN1045" s="7"/>
      <c r="BO1045" s="7"/>
      <c r="BP1045" s="7"/>
      <c r="BQ1045" s="7"/>
      <c r="BR1045" s="7"/>
      <c r="BS1045" s="7"/>
      <c r="BT1045" s="7"/>
      <c r="BU1045" s="7"/>
      <c r="BV1045" s="7"/>
      <c r="BW1045" s="7"/>
      <c r="BX1045" s="7"/>
      <c r="BY1045" s="7"/>
      <c r="BZ1045" s="41"/>
      <c r="CA1045" s="7"/>
      <c r="CB1045" s="7"/>
      <c r="CC1045" s="7"/>
      <c r="CD1045" s="7"/>
      <c r="CE1045" s="7"/>
      <c r="CF1045" s="7"/>
    </row>
    <row r="1046">
      <c r="A1046" s="7"/>
      <c r="B1046" s="55"/>
      <c r="C1046" s="7"/>
      <c r="D1046" s="7"/>
      <c r="E1046" s="7"/>
      <c r="F1046" s="7"/>
      <c r="G1046" s="55"/>
      <c r="H1046" s="7"/>
      <c r="I1046" s="7"/>
      <c r="J1046" s="7"/>
      <c r="K1046" s="7"/>
      <c r="L1046" s="7"/>
      <c r="M1046" s="7"/>
      <c r="N1046" s="7"/>
      <c r="O1046" s="7"/>
      <c r="P1046" s="7"/>
      <c r="Q1046" s="55"/>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c r="BL1046" s="7"/>
      <c r="BM1046" s="7"/>
      <c r="BN1046" s="7"/>
      <c r="BO1046" s="7"/>
      <c r="BP1046" s="7"/>
      <c r="BQ1046" s="7"/>
      <c r="BR1046" s="7"/>
      <c r="BS1046" s="7"/>
      <c r="BT1046" s="7"/>
      <c r="BU1046" s="7"/>
      <c r="BV1046" s="7"/>
      <c r="BW1046" s="7"/>
      <c r="BX1046" s="7"/>
      <c r="BY1046" s="7"/>
      <c r="BZ1046" s="41"/>
      <c r="CA1046" s="7"/>
      <c r="CB1046" s="7"/>
      <c r="CC1046" s="7"/>
      <c r="CD1046" s="7"/>
      <c r="CE1046" s="7"/>
      <c r="CF1046" s="7"/>
    </row>
    <row r="1047">
      <c r="A1047" s="7"/>
      <c r="B1047" s="55"/>
      <c r="C1047" s="7"/>
      <c r="D1047" s="7"/>
      <c r="E1047" s="7"/>
      <c r="F1047" s="7"/>
      <c r="G1047" s="55"/>
      <c r="H1047" s="7"/>
      <c r="I1047" s="7"/>
      <c r="J1047" s="7"/>
      <c r="K1047" s="7"/>
      <c r="L1047" s="7"/>
      <c r="M1047" s="7"/>
      <c r="N1047" s="7"/>
      <c r="O1047" s="7"/>
      <c r="P1047" s="7"/>
      <c r="Q1047" s="55"/>
      <c r="R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c r="BL1047" s="7"/>
      <c r="BM1047" s="7"/>
      <c r="BN1047" s="7"/>
      <c r="BO1047" s="7"/>
      <c r="BP1047" s="7"/>
      <c r="BQ1047" s="7"/>
      <c r="BR1047" s="7"/>
      <c r="BS1047" s="7"/>
      <c r="BT1047" s="7"/>
      <c r="BU1047" s="7"/>
      <c r="BV1047" s="7"/>
      <c r="BW1047" s="7"/>
      <c r="BX1047" s="7"/>
      <c r="BY1047" s="7"/>
      <c r="BZ1047" s="41"/>
      <c r="CA1047" s="7"/>
      <c r="CB1047" s="7"/>
      <c r="CC1047" s="7"/>
      <c r="CD1047" s="7"/>
      <c r="CE1047" s="7"/>
      <c r="CF1047" s="7"/>
    </row>
    <row r="1048">
      <c r="A1048" s="7"/>
      <c r="B1048" s="55"/>
      <c r="C1048" s="7"/>
      <c r="D1048" s="7"/>
      <c r="E1048" s="7"/>
      <c r="F1048" s="7"/>
      <c r="G1048" s="55"/>
      <c r="H1048" s="7"/>
      <c r="I1048" s="7"/>
      <c r="J1048" s="7"/>
      <c r="K1048" s="7"/>
      <c r="L1048" s="7"/>
      <c r="M1048" s="7"/>
      <c r="N1048" s="7"/>
      <c r="O1048" s="7"/>
      <c r="P1048" s="7"/>
      <c r="Q1048" s="55"/>
      <c r="R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c r="BL1048" s="7"/>
      <c r="BM1048" s="7"/>
      <c r="BN1048" s="7"/>
      <c r="BO1048" s="7"/>
      <c r="BP1048" s="7"/>
      <c r="BQ1048" s="7"/>
      <c r="BR1048" s="7"/>
      <c r="BS1048" s="7"/>
      <c r="BT1048" s="7"/>
      <c r="BU1048" s="7"/>
      <c r="BV1048" s="7"/>
      <c r="BW1048" s="7"/>
      <c r="BX1048" s="7"/>
      <c r="BY1048" s="7"/>
      <c r="BZ1048" s="41"/>
      <c r="CA1048" s="7"/>
      <c r="CB1048" s="7"/>
      <c r="CC1048" s="7"/>
      <c r="CD1048" s="7"/>
      <c r="CE1048" s="7"/>
      <c r="CF1048" s="7"/>
    </row>
    <row r="1049">
      <c r="A1049" s="7"/>
      <c r="B1049" s="55"/>
      <c r="C1049" s="7"/>
      <c r="D1049" s="7"/>
      <c r="E1049" s="7"/>
      <c r="F1049" s="7"/>
      <c r="G1049" s="55"/>
      <c r="H1049" s="7"/>
      <c r="I1049" s="7"/>
      <c r="J1049" s="7"/>
      <c r="K1049" s="7"/>
      <c r="L1049" s="7"/>
      <c r="M1049" s="7"/>
      <c r="N1049" s="7"/>
      <c r="O1049" s="7"/>
      <c r="P1049" s="7"/>
      <c r="Q1049" s="55"/>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c r="BW1049" s="7"/>
      <c r="BX1049" s="7"/>
      <c r="BY1049" s="7"/>
      <c r="BZ1049" s="41"/>
      <c r="CA1049" s="7"/>
      <c r="CB1049" s="7"/>
      <c r="CC1049" s="7"/>
      <c r="CD1049" s="7"/>
      <c r="CE1049" s="7"/>
      <c r="CF1049" s="7"/>
    </row>
    <row r="1050">
      <c r="A1050" s="7"/>
      <c r="B1050" s="55"/>
      <c r="C1050" s="7"/>
      <c r="D1050" s="7"/>
      <c r="E1050" s="7"/>
      <c r="F1050" s="7"/>
      <c r="G1050" s="55"/>
      <c r="H1050" s="7"/>
      <c r="I1050" s="7"/>
      <c r="J1050" s="7"/>
      <c r="K1050" s="7"/>
      <c r="L1050" s="7"/>
      <c r="M1050" s="7"/>
      <c r="N1050" s="7"/>
      <c r="O1050" s="7"/>
      <c r="P1050" s="7"/>
      <c r="Q1050" s="55"/>
      <c r="R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c r="AX1050" s="7"/>
      <c r="AY1050" s="7"/>
      <c r="AZ1050" s="7"/>
      <c r="BA1050" s="7"/>
      <c r="BB1050" s="7"/>
      <c r="BC1050" s="7"/>
      <c r="BD1050" s="7"/>
      <c r="BE1050" s="7"/>
      <c r="BF1050" s="7"/>
      <c r="BG1050" s="7"/>
      <c r="BH1050" s="7"/>
      <c r="BI1050" s="7"/>
      <c r="BJ1050" s="7"/>
      <c r="BK1050" s="7"/>
      <c r="BL1050" s="7"/>
      <c r="BM1050" s="7"/>
      <c r="BN1050" s="7"/>
      <c r="BO1050" s="7"/>
      <c r="BP1050" s="7"/>
      <c r="BQ1050" s="7"/>
      <c r="BR1050" s="7"/>
      <c r="BS1050" s="7"/>
      <c r="BT1050" s="7"/>
      <c r="BU1050" s="7"/>
      <c r="BV1050" s="7"/>
      <c r="BW1050" s="7"/>
      <c r="BX1050" s="7"/>
      <c r="BY1050" s="7"/>
      <c r="BZ1050" s="41"/>
      <c r="CA1050" s="7"/>
      <c r="CB1050" s="7"/>
      <c r="CC1050" s="7"/>
      <c r="CD1050" s="7"/>
      <c r="CE1050" s="7"/>
      <c r="CF1050" s="7"/>
    </row>
    <row r="1051">
      <c r="A1051" s="7"/>
      <c r="B1051" s="55"/>
      <c r="C1051" s="7"/>
      <c r="D1051" s="7"/>
      <c r="E1051" s="7"/>
      <c r="F1051" s="7"/>
      <c r="G1051" s="55"/>
      <c r="H1051" s="7"/>
      <c r="I1051" s="7"/>
      <c r="J1051" s="7"/>
      <c r="K1051" s="7"/>
      <c r="L1051" s="7"/>
      <c r="M1051" s="7"/>
      <c r="N1051" s="7"/>
      <c r="O1051" s="7"/>
      <c r="P1051" s="7"/>
      <c r="Q1051" s="55"/>
      <c r="R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c r="BL1051" s="7"/>
      <c r="BM1051" s="7"/>
      <c r="BN1051" s="7"/>
      <c r="BO1051" s="7"/>
      <c r="BP1051" s="7"/>
      <c r="BQ1051" s="7"/>
      <c r="BR1051" s="7"/>
      <c r="BS1051" s="7"/>
      <c r="BT1051" s="7"/>
      <c r="BU1051" s="7"/>
      <c r="BV1051" s="7"/>
      <c r="BW1051" s="7"/>
      <c r="BX1051" s="7"/>
      <c r="BY1051" s="7"/>
      <c r="BZ1051" s="41"/>
      <c r="CA1051" s="7"/>
      <c r="CB1051" s="7"/>
      <c r="CC1051" s="7"/>
      <c r="CD1051" s="7"/>
      <c r="CE1051" s="7"/>
      <c r="CF1051" s="7"/>
    </row>
    <row r="1052">
      <c r="A1052" s="7"/>
      <c r="B1052" s="55"/>
      <c r="C1052" s="7"/>
      <c r="D1052" s="7"/>
      <c r="E1052" s="7"/>
      <c r="F1052" s="7"/>
      <c r="G1052" s="55"/>
      <c r="H1052" s="7"/>
      <c r="I1052" s="7"/>
      <c r="J1052" s="7"/>
      <c r="K1052" s="7"/>
      <c r="L1052" s="7"/>
      <c r="M1052" s="7"/>
      <c r="N1052" s="7"/>
      <c r="O1052" s="7"/>
      <c r="P1052" s="7"/>
      <c r="Q1052" s="55"/>
      <c r="R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c r="BL1052" s="7"/>
      <c r="BM1052" s="7"/>
      <c r="BN1052" s="7"/>
      <c r="BO1052" s="7"/>
      <c r="BP1052" s="7"/>
      <c r="BQ1052" s="7"/>
      <c r="BR1052" s="7"/>
      <c r="BS1052" s="7"/>
      <c r="BT1052" s="7"/>
      <c r="BU1052" s="7"/>
      <c r="BV1052" s="7"/>
      <c r="BW1052" s="7"/>
      <c r="BX1052" s="7"/>
      <c r="BY1052" s="7"/>
      <c r="BZ1052" s="41"/>
      <c r="CA1052" s="7"/>
      <c r="CB1052" s="7"/>
      <c r="CC1052" s="7"/>
      <c r="CD1052" s="7"/>
      <c r="CE1052" s="7"/>
      <c r="CF1052" s="7"/>
    </row>
    <row r="1053">
      <c r="A1053" s="7"/>
      <c r="B1053" s="55"/>
      <c r="C1053" s="7"/>
      <c r="D1053" s="7"/>
      <c r="E1053" s="7"/>
      <c r="F1053" s="7"/>
      <c r="G1053" s="55"/>
      <c r="H1053" s="7"/>
      <c r="I1053" s="7"/>
      <c r="J1053" s="7"/>
      <c r="K1053" s="7"/>
      <c r="L1053" s="7"/>
      <c r="M1053" s="7"/>
      <c r="N1053" s="7"/>
      <c r="O1053" s="7"/>
      <c r="P1053" s="7"/>
      <c r="Q1053" s="55"/>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c r="BZ1053" s="41"/>
      <c r="CA1053" s="7"/>
      <c r="CB1053" s="7"/>
      <c r="CC1053" s="7"/>
      <c r="CD1053" s="7"/>
      <c r="CE1053" s="7"/>
      <c r="CF1053" s="7"/>
    </row>
    <row r="1054">
      <c r="A1054" s="7"/>
      <c r="B1054" s="55"/>
      <c r="C1054" s="7"/>
      <c r="D1054" s="7"/>
      <c r="E1054" s="7"/>
      <c r="F1054" s="7"/>
      <c r="G1054" s="55"/>
      <c r="H1054" s="7"/>
      <c r="I1054" s="7"/>
      <c r="J1054" s="7"/>
      <c r="K1054" s="7"/>
      <c r="L1054" s="7"/>
      <c r="M1054" s="7"/>
      <c r="N1054" s="7"/>
      <c r="O1054" s="7"/>
      <c r="P1054" s="7"/>
      <c r="Q1054" s="55"/>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c r="BL1054" s="7"/>
      <c r="BM1054" s="7"/>
      <c r="BN1054" s="7"/>
      <c r="BO1054" s="7"/>
      <c r="BP1054" s="7"/>
      <c r="BQ1054" s="7"/>
      <c r="BR1054" s="7"/>
      <c r="BS1054" s="7"/>
      <c r="BT1054" s="7"/>
      <c r="BU1054" s="7"/>
      <c r="BV1054" s="7"/>
      <c r="BW1054" s="7"/>
      <c r="BX1054" s="7"/>
      <c r="BY1054" s="7"/>
      <c r="BZ1054" s="41"/>
      <c r="CA1054" s="7"/>
      <c r="CB1054" s="7"/>
      <c r="CC1054" s="7"/>
      <c r="CD1054" s="7"/>
      <c r="CE1054" s="7"/>
      <c r="CF1054" s="7"/>
    </row>
    <row r="1055">
      <c r="A1055" s="7"/>
      <c r="B1055" s="55"/>
      <c r="C1055" s="7"/>
      <c r="D1055" s="7"/>
      <c r="E1055" s="7"/>
      <c r="F1055" s="7"/>
      <c r="G1055" s="55"/>
      <c r="H1055" s="7"/>
      <c r="I1055" s="7"/>
      <c r="J1055" s="7"/>
      <c r="K1055" s="7"/>
      <c r="L1055" s="7"/>
      <c r="M1055" s="7"/>
      <c r="N1055" s="7"/>
      <c r="O1055" s="7"/>
      <c r="P1055" s="7"/>
      <c r="Q1055" s="55"/>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41"/>
      <c r="CA1055" s="7"/>
      <c r="CB1055" s="7"/>
      <c r="CC1055" s="7"/>
      <c r="CD1055" s="7"/>
      <c r="CE1055" s="7"/>
      <c r="CF1055" s="7"/>
    </row>
    <row r="1056">
      <c r="A1056" s="7"/>
      <c r="B1056" s="55"/>
      <c r="C1056" s="7"/>
      <c r="D1056" s="7"/>
      <c r="E1056" s="7"/>
      <c r="F1056" s="7"/>
      <c r="G1056" s="55"/>
      <c r="H1056" s="7"/>
      <c r="I1056" s="7"/>
      <c r="J1056" s="7"/>
      <c r="K1056" s="7"/>
      <c r="L1056" s="7"/>
      <c r="M1056" s="7"/>
      <c r="N1056" s="7"/>
      <c r="O1056" s="7"/>
      <c r="P1056" s="7"/>
      <c r="Q1056" s="55"/>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c r="BY1056" s="7"/>
      <c r="BZ1056" s="41"/>
      <c r="CA1056" s="7"/>
      <c r="CB1056" s="7"/>
      <c r="CC1056" s="7"/>
      <c r="CD1056" s="7"/>
      <c r="CE1056" s="7"/>
      <c r="CF1056" s="7"/>
    </row>
    <row r="1057">
      <c r="A1057" s="7"/>
      <c r="B1057" s="55"/>
      <c r="C1057" s="7"/>
      <c r="D1057" s="7"/>
      <c r="E1057" s="7"/>
      <c r="F1057" s="7"/>
      <c r="G1057" s="55"/>
      <c r="H1057" s="7"/>
      <c r="I1057" s="7"/>
      <c r="J1057" s="7"/>
      <c r="K1057" s="7"/>
      <c r="L1057" s="7"/>
      <c r="M1057" s="7"/>
      <c r="N1057" s="7"/>
      <c r="O1057" s="7"/>
      <c r="P1057" s="7"/>
      <c r="Q1057" s="55"/>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41"/>
      <c r="CA1057" s="7"/>
      <c r="CB1057" s="7"/>
      <c r="CC1057" s="7"/>
      <c r="CD1057" s="7"/>
      <c r="CE1057" s="7"/>
      <c r="CF1057" s="7"/>
    </row>
    <row r="1058">
      <c r="A1058" s="7"/>
      <c r="B1058" s="55"/>
      <c r="C1058" s="7"/>
      <c r="D1058" s="7"/>
      <c r="E1058" s="7"/>
      <c r="F1058" s="7"/>
      <c r="G1058" s="55"/>
      <c r="H1058" s="7"/>
      <c r="I1058" s="7"/>
      <c r="J1058" s="7"/>
      <c r="K1058" s="7"/>
      <c r="L1058" s="7"/>
      <c r="M1058" s="7"/>
      <c r="N1058" s="7"/>
      <c r="O1058" s="7"/>
      <c r="P1058" s="7"/>
      <c r="Q1058" s="55"/>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c r="BN1058" s="7"/>
      <c r="BO1058" s="7"/>
      <c r="BP1058" s="7"/>
      <c r="BQ1058" s="7"/>
      <c r="BR1058" s="7"/>
      <c r="BS1058" s="7"/>
      <c r="BT1058" s="7"/>
      <c r="BU1058" s="7"/>
      <c r="BV1058" s="7"/>
      <c r="BW1058" s="7"/>
      <c r="BX1058" s="7"/>
      <c r="BY1058" s="7"/>
      <c r="BZ1058" s="41"/>
      <c r="CA1058" s="7"/>
      <c r="CB1058" s="7"/>
      <c r="CC1058" s="7"/>
      <c r="CD1058" s="7"/>
      <c r="CE1058" s="7"/>
      <c r="CF1058" s="7"/>
    </row>
    <row r="1059">
      <c r="A1059" s="7"/>
      <c r="B1059" s="55"/>
      <c r="C1059" s="7"/>
      <c r="D1059" s="7"/>
      <c r="E1059" s="7"/>
      <c r="F1059" s="7"/>
      <c r="G1059" s="55"/>
      <c r="H1059" s="7"/>
      <c r="I1059" s="7"/>
      <c r="J1059" s="7"/>
      <c r="K1059" s="7"/>
      <c r="L1059" s="7"/>
      <c r="M1059" s="7"/>
      <c r="N1059" s="7"/>
      <c r="O1059" s="7"/>
      <c r="P1059" s="7"/>
      <c r="Q1059" s="55"/>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c r="BZ1059" s="41"/>
      <c r="CA1059" s="7"/>
      <c r="CB1059" s="7"/>
      <c r="CC1059" s="7"/>
      <c r="CD1059" s="7"/>
      <c r="CE1059" s="7"/>
      <c r="CF1059" s="7"/>
    </row>
    <row r="1060">
      <c r="A1060" s="7"/>
      <c r="B1060" s="55"/>
      <c r="C1060" s="7"/>
      <c r="D1060" s="7"/>
      <c r="E1060" s="7"/>
      <c r="F1060" s="7"/>
      <c r="G1060" s="55"/>
      <c r="H1060" s="7"/>
      <c r="I1060" s="7"/>
      <c r="J1060" s="7"/>
      <c r="K1060" s="7"/>
      <c r="L1060" s="7"/>
      <c r="M1060" s="7"/>
      <c r="N1060" s="7"/>
      <c r="O1060" s="7"/>
      <c r="P1060" s="7"/>
      <c r="Q1060" s="55"/>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c r="BL1060" s="7"/>
      <c r="BM1060" s="7"/>
      <c r="BN1060" s="7"/>
      <c r="BO1060" s="7"/>
      <c r="BP1060" s="7"/>
      <c r="BQ1060" s="7"/>
      <c r="BR1060" s="7"/>
      <c r="BS1060" s="7"/>
      <c r="BT1060" s="7"/>
      <c r="BU1060" s="7"/>
      <c r="BV1060" s="7"/>
      <c r="BW1060" s="7"/>
      <c r="BX1060" s="7"/>
      <c r="BY1060" s="7"/>
      <c r="BZ1060" s="41"/>
      <c r="CA1060" s="7"/>
      <c r="CB1060" s="7"/>
      <c r="CC1060" s="7"/>
      <c r="CD1060" s="7"/>
      <c r="CE1060" s="7"/>
      <c r="CF1060" s="7"/>
    </row>
    <row r="1061">
      <c r="A1061" s="7"/>
      <c r="B1061" s="55"/>
      <c r="C1061" s="7"/>
      <c r="D1061" s="7"/>
      <c r="E1061" s="7"/>
      <c r="F1061" s="7"/>
      <c r="G1061" s="55"/>
      <c r="H1061" s="7"/>
      <c r="I1061" s="7"/>
      <c r="J1061" s="7"/>
      <c r="K1061" s="7"/>
      <c r="L1061" s="7"/>
      <c r="M1061" s="7"/>
      <c r="N1061" s="7"/>
      <c r="O1061" s="7"/>
      <c r="P1061" s="7"/>
      <c r="Q1061" s="55"/>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c r="BZ1061" s="41"/>
      <c r="CA1061" s="7"/>
      <c r="CB1061" s="7"/>
      <c r="CC1061" s="7"/>
      <c r="CD1061" s="7"/>
      <c r="CE1061" s="7"/>
      <c r="CF1061" s="7"/>
    </row>
    <row r="1062">
      <c r="A1062" s="7"/>
      <c r="B1062" s="55"/>
      <c r="C1062" s="7"/>
      <c r="D1062" s="7"/>
      <c r="E1062" s="7"/>
      <c r="F1062" s="7"/>
      <c r="G1062" s="55"/>
      <c r="H1062" s="7"/>
      <c r="I1062" s="7"/>
      <c r="J1062" s="7"/>
      <c r="K1062" s="7"/>
      <c r="L1062" s="7"/>
      <c r="M1062" s="7"/>
      <c r="N1062" s="7"/>
      <c r="O1062" s="7"/>
      <c r="P1062" s="7"/>
      <c r="Q1062" s="55"/>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c r="BL1062" s="7"/>
      <c r="BM1062" s="7"/>
      <c r="BN1062" s="7"/>
      <c r="BO1062" s="7"/>
      <c r="BP1062" s="7"/>
      <c r="BQ1062" s="7"/>
      <c r="BR1062" s="7"/>
      <c r="BS1062" s="7"/>
      <c r="BT1062" s="7"/>
      <c r="BU1062" s="7"/>
      <c r="BV1062" s="7"/>
      <c r="BW1062" s="7"/>
      <c r="BX1062" s="7"/>
      <c r="BY1062" s="7"/>
      <c r="BZ1062" s="41"/>
      <c r="CA1062" s="7"/>
      <c r="CB1062" s="7"/>
      <c r="CC1062" s="7"/>
      <c r="CD1062" s="7"/>
      <c r="CE1062" s="7"/>
      <c r="CF1062" s="7"/>
    </row>
    <row r="1063">
      <c r="A1063" s="7"/>
      <c r="B1063" s="55"/>
      <c r="C1063" s="7"/>
      <c r="D1063" s="7"/>
      <c r="E1063" s="7"/>
      <c r="F1063" s="7"/>
      <c r="G1063" s="55"/>
      <c r="H1063" s="7"/>
      <c r="I1063" s="7"/>
      <c r="J1063" s="7"/>
      <c r="K1063" s="7"/>
      <c r="L1063" s="7"/>
      <c r="M1063" s="7"/>
      <c r="N1063" s="7"/>
      <c r="O1063" s="7"/>
      <c r="P1063" s="7"/>
      <c r="Q1063" s="55"/>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c r="BZ1063" s="41"/>
      <c r="CA1063" s="7"/>
      <c r="CB1063" s="7"/>
      <c r="CC1063" s="7"/>
      <c r="CD1063" s="7"/>
      <c r="CE1063" s="7"/>
      <c r="CF1063" s="7"/>
    </row>
    <row r="1064">
      <c r="A1064" s="7"/>
      <c r="B1064" s="55"/>
      <c r="C1064" s="7"/>
      <c r="D1064" s="7"/>
      <c r="E1064" s="7"/>
      <c r="F1064" s="7"/>
      <c r="G1064" s="55"/>
      <c r="H1064" s="7"/>
      <c r="I1064" s="7"/>
      <c r="J1064" s="7"/>
      <c r="K1064" s="7"/>
      <c r="L1064" s="7"/>
      <c r="M1064" s="7"/>
      <c r="N1064" s="7"/>
      <c r="O1064" s="7"/>
      <c r="P1064" s="7"/>
      <c r="Q1064" s="55"/>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c r="BL1064" s="7"/>
      <c r="BM1064" s="7"/>
      <c r="BN1064" s="7"/>
      <c r="BO1064" s="7"/>
      <c r="BP1064" s="7"/>
      <c r="BQ1064" s="7"/>
      <c r="BR1064" s="7"/>
      <c r="BS1064" s="7"/>
      <c r="BT1064" s="7"/>
      <c r="BU1064" s="7"/>
      <c r="BV1064" s="7"/>
      <c r="BW1064" s="7"/>
      <c r="BX1064" s="7"/>
      <c r="BY1064" s="7"/>
      <c r="BZ1064" s="41"/>
      <c r="CA1064" s="7"/>
      <c r="CB1064" s="7"/>
      <c r="CC1064" s="7"/>
      <c r="CD1064" s="7"/>
      <c r="CE1064" s="7"/>
      <c r="CF1064" s="7"/>
    </row>
    <row r="1065">
      <c r="A1065" s="7"/>
      <c r="B1065" s="55"/>
      <c r="C1065" s="7"/>
      <c r="D1065" s="7"/>
      <c r="E1065" s="7"/>
      <c r="F1065" s="7"/>
      <c r="G1065" s="55"/>
      <c r="H1065" s="7"/>
      <c r="I1065" s="7"/>
      <c r="J1065" s="7"/>
      <c r="K1065" s="7"/>
      <c r="L1065" s="7"/>
      <c r="M1065" s="7"/>
      <c r="N1065" s="7"/>
      <c r="O1065" s="7"/>
      <c r="P1065" s="7"/>
      <c r="Q1065" s="55"/>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41"/>
      <c r="CA1065" s="7"/>
      <c r="CB1065" s="7"/>
      <c r="CC1065" s="7"/>
      <c r="CD1065" s="7"/>
      <c r="CE1065" s="7"/>
      <c r="CF1065" s="7"/>
    </row>
    <row r="1066">
      <c r="A1066" s="7"/>
      <c r="B1066" s="55"/>
      <c r="C1066" s="7"/>
      <c r="D1066" s="7"/>
      <c r="E1066" s="7"/>
      <c r="F1066" s="7"/>
      <c r="G1066" s="55"/>
      <c r="H1066" s="7"/>
      <c r="I1066" s="7"/>
      <c r="J1066" s="7"/>
      <c r="K1066" s="7"/>
      <c r="L1066" s="7"/>
      <c r="M1066" s="7"/>
      <c r="N1066" s="7"/>
      <c r="O1066" s="7"/>
      <c r="P1066" s="7"/>
      <c r="Q1066" s="55"/>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c r="BL1066" s="7"/>
      <c r="BM1066" s="7"/>
      <c r="BN1066" s="7"/>
      <c r="BO1066" s="7"/>
      <c r="BP1066" s="7"/>
      <c r="BQ1066" s="7"/>
      <c r="BR1066" s="7"/>
      <c r="BS1066" s="7"/>
      <c r="BT1066" s="7"/>
      <c r="BU1066" s="7"/>
      <c r="BV1066" s="7"/>
      <c r="BW1066" s="7"/>
      <c r="BX1066" s="7"/>
      <c r="BY1066" s="7"/>
      <c r="BZ1066" s="41"/>
      <c r="CA1066" s="7"/>
      <c r="CB1066" s="7"/>
      <c r="CC1066" s="7"/>
      <c r="CD1066" s="7"/>
      <c r="CE1066" s="7"/>
      <c r="CF1066" s="7"/>
    </row>
    <row r="1067">
      <c r="A1067" s="7"/>
      <c r="B1067" s="55"/>
      <c r="C1067" s="7"/>
      <c r="D1067" s="7"/>
      <c r="E1067" s="7"/>
      <c r="F1067" s="7"/>
      <c r="G1067" s="55"/>
      <c r="H1067" s="7"/>
      <c r="I1067" s="7"/>
      <c r="J1067" s="7"/>
      <c r="K1067" s="7"/>
      <c r="L1067" s="7"/>
      <c r="M1067" s="7"/>
      <c r="N1067" s="7"/>
      <c r="O1067" s="7"/>
      <c r="P1067" s="7"/>
      <c r="Q1067" s="55"/>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c r="BW1067" s="7"/>
      <c r="BX1067" s="7"/>
      <c r="BY1067" s="7"/>
      <c r="BZ1067" s="41"/>
      <c r="CA1067" s="7"/>
      <c r="CB1067" s="7"/>
      <c r="CC1067" s="7"/>
      <c r="CD1067" s="7"/>
      <c r="CE1067" s="7"/>
      <c r="CF1067" s="7"/>
    </row>
    <row r="1068">
      <c r="A1068" s="7"/>
      <c r="B1068" s="55"/>
      <c r="C1068" s="7"/>
      <c r="D1068" s="7"/>
      <c r="E1068" s="7"/>
      <c r="F1068" s="7"/>
      <c r="G1068" s="55"/>
      <c r="H1068" s="7"/>
      <c r="I1068" s="7"/>
      <c r="J1068" s="7"/>
      <c r="K1068" s="7"/>
      <c r="L1068" s="7"/>
      <c r="M1068" s="7"/>
      <c r="N1068" s="7"/>
      <c r="O1068" s="7"/>
      <c r="P1068" s="7"/>
      <c r="Q1068" s="55"/>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c r="BW1068" s="7"/>
      <c r="BX1068" s="7"/>
      <c r="BY1068" s="7"/>
      <c r="BZ1068" s="41"/>
      <c r="CA1068" s="7"/>
      <c r="CB1068" s="7"/>
      <c r="CC1068" s="7"/>
      <c r="CD1068" s="7"/>
      <c r="CE1068" s="7"/>
      <c r="CF1068" s="7"/>
    </row>
    <row r="1069">
      <c r="A1069" s="7"/>
      <c r="B1069" s="55"/>
      <c r="C1069" s="7"/>
      <c r="D1069" s="7"/>
      <c r="E1069" s="7"/>
      <c r="F1069" s="7"/>
      <c r="G1069" s="55"/>
      <c r="H1069" s="7"/>
      <c r="I1069" s="7"/>
      <c r="J1069" s="7"/>
      <c r="K1069" s="7"/>
      <c r="L1069" s="7"/>
      <c r="M1069" s="7"/>
      <c r="N1069" s="7"/>
      <c r="O1069" s="7"/>
      <c r="P1069" s="7"/>
      <c r="Q1069" s="55"/>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c r="BW1069" s="7"/>
      <c r="BX1069" s="7"/>
      <c r="BY1069" s="7"/>
      <c r="BZ1069" s="41"/>
      <c r="CA1069" s="7"/>
      <c r="CB1069" s="7"/>
      <c r="CC1069" s="7"/>
      <c r="CD1069" s="7"/>
      <c r="CE1069" s="7"/>
      <c r="CF1069" s="7"/>
    </row>
    <row r="1070">
      <c r="A1070" s="7"/>
      <c r="B1070" s="55"/>
      <c r="C1070" s="7"/>
      <c r="D1070" s="7"/>
      <c r="E1070" s="7"/>
      <c r="F1070" s="7"/>
      <c r="G1070" s="55"/>
      <c r="H1070" s="7"/>
      <c r="I1070" s="7"/>
      <c r="J1070" s="7"/>
      <c r="K1070" s="7"/>
      <c r="L1070" s="7"/>
      <c r="M1070" s="7"/>
      <c r="N1070" s="7"/>
      <c r="O1070" s="7"/>
      <c r="P1070" s="7"/>
      <c r="Q1070" s="55"/>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c r="BL1070" s="7"/>
      <c r="BM1070" s="7"/>
      <c r="BN1070" s="7"/>
      <c r="BO1070" s="7"/>
      <c r="BP1070" s="7"/>
      <c r="BQ1070" s="7"/>
      <c r="BR1070" s="7"/>
      <c r="BS1070" s="7"/>
      <c r="BT1070" s="7"/>
      <c r="BU1070" s="7"/>
      <c r="BV1070" s="7"/>
      <c r="BW1070" s="7"/>
      <c r="BX1070" s="7"/>
      <c r="BY1070" s="7"/>
      <c r="BZ1070" s="41"/>
      <c r="CA1070" s="7"/>
      <c r="CB1070" s="7"/>
      <c r="CC1070" s="7"/>
      <c r="CD1070" s="7"/>
      <c r="CE1070" s="7"/>
      <c r="CF1070" s="7"/>
    </row>
    <row r="1071">
      <c r="A1071" s="7"/>
      <c r="B1071" s="55"/>
      <c r="C1071" s="7"/>
      <c r="D1071" s="7"/>
      <c r="E1071" s="7"/>
      <c r="F1071" s="7"/>
      <c r="G1071" s="55"/>
      <c r="H1071" s="7"/>
      <c r="I1071" s="7"/>
      <c r="J1071" s="7"/>
      <c r="K1071" s="7"/>
      <c r="L1071" s="7"/>
      <c r="M1071" s="7"/>
      <c r="N1071" s="7"/>
      <c r="O1071" s="7"/>
      <c r="P1071" s="7"/>
      <c r="Q1071" s="55"/>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c r="BY1071" s="7"/>
      <c r="BZ1071" s="41"/>
      <c r="CA1071" s="7"/>
      <c r="CB1071" s="7"/>
      <c r="CC1071" s="7"/>
      <c r="CD1071" s="7"/>
      <c r="CE1071" s="7"/>
      <c r="CF1071" s="7"/>
    </row>
    <row r="1072">
      <c r="A1072" s="7"/>
      <c r="B1072" s="55"/>
      <c r="C1072" s="7"/>
      <c r="D1072" s="7"/>
      <c r="E1072" s="7"/>
      <c r="F1072" s="7"/>
      <c r="G1072" s="55"/>
      <c r="H1072" s="7"/>
      <c r="I1072" s="7"/>
      <c r="J1072" s="7"/>
      <c r="K1072" s="7"/>
      <c r="L1072" s="7"/>
      <c r="M1072" s="7"/>
      <c r="N1072" s="7"/>
      <c r="O1072" s="7"/>
      <c r="P1072" s="7"/>
      <c r="Q1072" s="55"/>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c r="BZ1072" s="41"/>
      <c r="CA1072" s="7"/>
      <c r="CB1072" s="7"/>
      <c r="CC1072" s="7"/>
      <c r="CD1072" s="7"/>
      <c r="CE1072" s="7"/>
      <c r="CF1072" s="7"/>
    </row>
    <row r="1073">
      <c r="A1073" s="7"/>
      <c r="B1073" s="55"/>
      <c r="C1073" s="7"/>
      <c r="D1073" s="7"/>
      <c r="E1073" s="7"/>
      <c r="F1073" s="7"/>
      <c r="G1073" s="55"/>
      <c r="H1073" s="7"/>
      <c r="I1073" s="7"/>
      <c r="J1073" s="7"/>
      <c r="K1073" s="7"/>
      <c r="L1073" s="7"/>
      <c r="M1073" s="7"/>
      <c r="N1073" s="7"/>
      <c r="O1073" s="7"/>
      <c r="P1073" s="7"/>
      <c r="Q1073" s="55"/>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c r="BZ1073" s="41"/>
      <c r="CA1073" s="7"/>
      <c r="CB1073" s="7"/>
      <c r="CC1073" s="7"/>
      <c r="CD1073" s="7"/>
      <c r="CE1073" s="7"/>
      <c r="CF1073" s="7"/>
    </row>
    <row r="1074">
      <c r="A1074" s="7"/>
      <c r="B1074" s="55"/>
      <c r="C1074" s="7"/>
      <c r="D1074" s="7"/>
      <c r="E1074" s="7"/>
      <c r="F1074" s="7"/>
      <c r="G1074" s="55"/>
      <c r="H1074" s="7"/>
      <c r="I1074" s="7"/>
      <c r="J1074" s="7"/>
      <c r="K1074" s="7"/>
      <c r="L1074" s="7"/>
      <c r="M1074" s="7"/>
      <c r="N1074" s="7"/>
      <c r="O1074" s="7"/>
      <c r="P1074" s="7"/>
      <c r="Q1074" s="55"/>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c r="BW1074" s="7"/>
      <c r="BX1074" s="7"/>
      <c r="BY1074" s="7"/>
      <c r="BZ1074" s="41"/>
      <c r="CA1074" s="7"/>
      <c r="CB1074" s="7"/>
      <c r="CC1074" s="7"/>
      <c r="CD1074" s="7"/>
      <c r="CE1074" s="7"/>
      <c r="CF1074" s="7"/>
    </row>
    <row r="1075">
      <c r="A1075" s="7"/>
      <c r="B1075" s="55"/>
      <c r="C1075" s="7"/>
      <c r="D1075" s="7"/>
      <c r="E1075" s="7"/>
      <c r="F1075" s="7"/>
      <c r="G1075" s="55"/>
      <c r="H1075" s="7"/>
      <c r="I1075" s="7"/>
      <c r="J1075" s="7"/>
      <c r="K1075" s="7"/>
      <c r="L1075" s="7"/>
      <c r="M1075" s="7"/>
      <c r="N1075" s="7"/>
      <c r="O1075" s="7"/>
      <c r="P1075" s="7"/>
      <c r="Q1075" s="55"/>
      <c r="R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c r="BL1075" s="7"/>
      <c r="BM1075" s="7"/>
      <c r="BN1075" s="7"/>
      <c r="BO1075" s="7"/>
      <c r="BP1075" s="7"/>
      <c r="BQ1075" s="7"/>
      <c r="BR1075" s="7"/>
      <c r="BS1075" s="7"/>
      <c r="BT1075" s="7"/>
      <c r="BU1075" s="7"/>
      <c r="BV1075" s="7"/>
      <c r="BW1075" s="7"/>
      <c r="BX1075" s="7"/>
      <c r="BY1075" s="7"/>
      <c r="BZ1075" s="41"/>
      <c r="CA1075" s="7"/>
      <c r="CB1075" s="7"/>
      <c r="CC1075" s="7"/>
      <c r="CD1075" s="7"/>
      <c r="CE1075" s="7"/>
      <c r="CF1075" s="7"/>
    </row>
    <row r="1076">
      <c r="A1076" s="7"/>
      <c r="B1076" s="55"/>
      <c r="C1076" s="7"/>
      <c r="D1076" s="7"/>
      <c r="E1076" s="7"/>
      <c r="F1076" s="7"/>
      <c r="G1076" s="55"/>
      <c r="H1076" s="7"/>
      <c r="I1076" s="7"/>
      <c r="J1076" s="7"/>
      <c r="K1076" s="7"/>
      <c r="L1076" s="7"/>
      <c r="M1076" s="7"/>
      <c r="N1076" s="7"/>
      <c r="O1076" s="7"/>
      <c r="P1076" s="7"/>
      <c r="Q1076" s="55"/>
      <c r="R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c r="AU1076" s="7"/>
      <c r="AV1076" s="7"/>
      <c r="AW1076" s="7"/>
      <c r="AX1076" s="7"/>
      <c r="AY1076" s="7"/>
      <c r="AZ1076" s="7"/>
      <c r="BA1076" s="7"/>
      <c r="BB1076" s="7"/>
      <c r="BC1076" s="7"/>
      <c r="BD1076" s="7"/>
      <c r="BE1076" s="7"/>
      <c r="BF1076" s="7"/>
      <c r="BG1076" s="7"/>
      <c r="BH1076" s="7"/>
      <c r="BI1076" s="7"/>
      <c r="BJ1076" s="7"/>
      <c r="BK1076" s="7"/>
      <c r="BL1076" s="7"/>
      <c r="BM1076" s="7"/>
      <c r="BN1076" s="7"/>
      <c r="BO1076" s="7"/>
      <c r="BP1076" s="7"/>
      <c r="BQ1076" s="7"/>
      <c r="BR1076" s="7"/>
      <c r="BS1076" s="7"/>
      <c r="BT1076" s="7"/>
      <c r="BU1076" s="7"/>
      <c r="BV1076" s="7"/>
      <c r="BW1076" s="7"/>
      <c r="BX1076" s="7"/>
      <c r="BY1076" s="7"/>
      <c r="BZ1076" s="41"/>
      <c r="CA1076" s="7"/>
      <c r="CB1076" s="7"/>
      <c r="CC1076" s="7"/>
      <c r="CD1076" s="7"/>
      <c r="CE1076" s="7"/>
      <c r="CF1076" s="7"/>
    </row>
    <row r="1077">
      <c r="A1077" s="7"/>
      <c r="B1077" s="55"/>
      <c r="C1077" s="7"/>
      <c r="D1077" s="7"/>
      <c r="E1077" s="7"/>
      <c r="F1077" s="7"/>
      <c r="G1077" s="55"/>
      <c r="H1077" s="7"/>
      <c r="I1077" s="7"/>
      <c r="J1077" s="7"/>
      <c r="K1077" s="7"/>
      <c r="L1077" s="7"/>
      <c r="M1077" s="7"/>
      <c r="N1077" s="7"/>
      <c r="O1077" s="7"/>
      <c r="P1077" s="7"/>
      <c r="Q1077" s="55"/>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c r="BW1077" s="7"/>
      <c r="BX1077" s="7"/>
      <c r="BY1077" s="7"/>
      <c r="BZ1077" s="41"/>
      <c r="CA1077" s="7"/>
      <c r="CB1077" s="7"/>
      <c r="CC1077" s="7"/>
      <c r="CD1077" s="7"/>
      <c r="CE1077" s="7"/>
      <c r="CF1077" s="7"/>
    </row>
    <row r="1078">
      <c r="A1078" s="7"/>
      <c r="B1078" s="55"/>
      <c r="C1078" s="7"/>
      <c r="D1078" s="7"/>
      <c r="E1078" s="7"/>
      <c r="F1078" s="7"/>
      <c r="G1078" s="55"/>
      <c r="H1078" s="7"/>
      <c r="I1078" s="7"/>
      <c r="J1078" s="7"/>
      <c r="K1078" s="7"/>
      <c r="L1078" s="7"/>
      <c r="M1078" s="7"/>
      <c r="N1078" s="7"/>
      <c r="O1078" s="7"/>
      <c r="P1078" s="7"/>
      <c r="Q1078" s="55"/>
      <c r="R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c r="BL1078" s="7"/>
      <c r="BM1078" s="7"/>
      <c r="BN1078" s="7"/>
      <c r="BO1078" s="7"/>
      <c r="BP1078" s="7"/>
      <c r="BQ1078" s="7"/>
      <c r="BR1078" s="7"/>
      <c r="BS1078" s="7"/>
      <c r="BT1078" s="7"/>
      <c r="BU1078" s="7"/>
      <c r="BV1078" s="7"/>
      <c r="BW1078" s="7"/>
      <c r="BX1078" s="7"/>
      <c r="BY1078" s="7"/>
      <c r="BZ1078" s="41"/>
      <c r="CA1078" s="7"/>
      <c r="CB1078" s="7"/>
      <c r="CC1078" s="7"/>
      <c r="CD1078" s="7"/>
      <c r="CE1078" s="7"/>
      <c r="CF1078" s="7"/>
    </row>
    <row r="1079">
      <c r="A1079" s="7"/>
      <c r="B1079" s="55"/>
      <c r="C1079" s="7"/>
      <c r="D1079" s="7"/>
      <c r="E1079" s="7"/>
      <c r="F1079" s="7"/>
      <c r="G1079" s="55"/>
      <c r="H1079" s="7"/>
      <c r="I1079" s="7"/>
      <c r="J1079" s="7"/>
      <c r="K1079" s="7"/>
      <c r="L1079" s="7"/>
      <c r="M1079" s="7"/>
      <c r="N1079" s="7"/>
      <c r="O1079" s="7"/>
      <c r="P1079" s="7"/>
      <c r="Q1079" s="55"/>
      <c r="R1079" s="7"/>
      <c r="S1079" s="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c r="BL1079" s="7"/>
      <c r="BM1079" s="7"/>
      <c r="BN1079" s="7"/>
      <c r="BO1079" s="7"/>
      <c r="BP1079" s="7"/>
      <c r="BQ1079" s="7"/>
      <c r="BR1079" s="7"/>
      <c r="BS1079" s="7"/>
      <c r="BT1079" s="7"/>
      <c r="BU1079" s="7"/>
      <c r="BV1079" s="7"/>
      <c r="BW1079" s="7"/>
      <c r="BX1079" s="7"/>
      <c r="BY1079" s="7"/>
      <c r="BZ1079" s="41"/>
      <c r="CA1079" s="7"/>
      <c r="CB1079" s="7"/>
      <c r="CC1079" s="7"/>
      <c r="CD1079" s="7"/>
      <c r="CE1079" s="7"/>
      <c r="CF1079" s="7"/>
    </row>
    <row r="1080">
      <c r="A1080" s="7"/>
      <c r="B1080" s="55"/>
      <c r="C1080" s="7"/>
      <c r="D1080" s="7"/>
      <c r="E1080" s="7"/>
      <c r="F1080" s="7"/>
      <c r="G1080" s="55"/>
      <c r="H1080" s="7"/>
      <c r="I1080" s="7"/>
      <c r="J1080" s="7"/>
      <c r="K1080" s="7"/>
      <c r="L1080" s="7"/>
      <c r="M1080" s="7"/>
      <c r="N1080" s="7"/>
      <c r="O1080" s="7"/>
      <c r="P1080" s="7"/>
      <c r="Q1080" s="55"/>
      <c r="R1080" s="7"/>
      <c r="S1080" s="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c r="BL1080" s="7"/>
      <c r="BM1080" s="7"/>
      <c r="BN1080" s="7"/>
      <c r="BO1080" s="7"/>
      <c r="BP1080" s="7"/>
      <c r="BQ1080" s="7"/>
      <c r="BR1080" s="7"/>
      <c r="BS1080" s="7"/>
      <c r="BT1080" s="7"/>
      <c r="BU1080" s="7"/>
      <c r="BV1080" s="7"/>
      <c r="BW1080" s="7"/>
      <c r="BX1080" s="7"/>
      <c r="BY1080" s="7"/>
      <c r="BZ1080" s="41"/>
      <c r="CA1080" s="7"/>
      <c r="CB1080" s="7"/>
      <c r="CC1080" s="7"/>
      <c r="CD1080" s="7"/>
      <c r="CE1080" s="7"/>
      <c r="CF1080" s="7"/>
    </row>
    <row r="1081">
      <c r="A1081" s="7"/>
      <c r="B1081" s="55"/>
      <c r="C1081" s="7"/>
      <c r="D1081" s="7"/>
      <c r="E1081" s="7"/>
      <c r="F1081" s="7"/>
      <c r="G1081" s="55"/>
      <c r="H1081" s="7"/>
      <c r="I1081" s="7"/>
      <c r="J1081" s="7"/>
      <c r="K1081" s="7"/>
      <c r="L1081" s="7"/>
      <c r="M1081" s="7"/>
      <c r="N1081" s="7"/>
      <c r="O1081" s="7"/>
      <c r="P1081" s="7"/>
      <c r="Q1081" s="55"/>
      <c r="R1081" s="7"/>
      <c r="S1081" s="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c r="BW1081" s="7"/>
      <c r="BX1081" s="7"/>
      <c r="BY1081" s="7"/>
      <c r="BZ1081" s="41"/>
      <c r="CA1081" s="7"/>
      <c r="CB1081" s="7"/>
      <c r="CC1081" s="7"/>
      <c r="CD1081" s="7"/>
      <c r="CE1081" s="7"/>
      <c r="CF1081" s="7"/>
    </row>
    <row r="1082">
      <c r="A1082" s="7"/>
      <c r="B1082" s="55"/>
      <c r="C1082" s="7"/>
      <c r="D1082" s="7"/>
      <c r="E1082" s="7"/>
      <c r="F1082" s="7"/>
      <c r="G1082" s="55"/>
      <c r="H1082" s="7"/>
      <c r="I1082" s="7"/>
      <c r="J1082" s="7"/>
      <c r="K1082" s="7"/>
      <c r="L1082" s="7"/>
      <c r="M1082" s="7"/>
      <c r="N1082" s="7"/>
      <c r="O1082" s="7"/>
      <c r="P1082" s="7"/>
      <c r="Q1082" s="55"/>
      <c r="R1082" s="7"/>
      <c r="S1082" s="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c r="BL1082" s="7"/>
      <c r="BM1082" s="7"/>
      <c r="BN1082" s="7"/>
      <c r="BO1082" s="7"/>
      <c r="BP1082" s="7"/>
      <c r="BQ1082" s="7"/>
      <c r="BR1082" s="7"/>
      <c r="BS1082" s="7"/>
      <c r="BT1082" s="7"/>
      <c r="BU1082" s="7"/>
      <c r="BV1082" s="7"/>
      <c r="BW1082" s="7"/>
      <c r="BX1082" s="7"/>
      <c r="BY1082" s="7"/>
      <c r="BZ1082" s="41"/>
      <c r="CA1082" s="7"/>
      <c r="CB1082" s="7"/>
      <c r="CC1082" s="7"/>
      <c r="CD1082" s="7"/>
      <c r="CE1082" s="7"/>
      <c r="CF1082" s="7"/>
    </row>
    <row r="1083">
      <c r="A1083" s="7"/>
      <c r="B1083" s="55"/>
      <c r="C1083" s="7"/>
      <c r="D1083" s="7"/>
      <c r="E1083" s="7"/>
      <c r="F1083" s="7"/>
      <c r="G1083" s="55"/>
      <c r="H1083" s="7"/>
      <c r="I1083" s="7"/>
      <c r="J1083" s="7"/>
      <c r="K1083" s="7"/>
      <c r="L1083" s="7"/>
      <c r="M1083" s="7"/>
      <c r="N1083" s="7"/>
      <c r="O1083" s="7"/>
      <c r="P1083" s="7"/>
      <c r="Q1083" s="55"/>
      <c r="R1083" s="7"/>
      <c r="S1083" s="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c r="BL1083" s="7"/>
      <c r="BM1083" s="7"/>
      <c r="BN1083" s="7"/>
      <c r="BO1083" s="7"/>
      <c r="BP1083" s="7"/>
      <c r="BQ1083" s="7"/>
      <c r="BR1083" s="7"/>
      <c r="BS1083" s="7"/>
      <c r="BT1083" s="7"/>
      <c r="BU1083" s="7"/>
      <c r="BV1083" s="7"/>
      <c r="BW1083" s="7"/>
      <c r="BX1083" s="7"/>
      <c r="BY1083" s="7"/>
      <c r="BZ1083" s="41"/>
      <c r="CA1083" s="7"/>
      <c r="CB1083" s="7"/>
      <c r="CC1083" s="7"/>
      <c r="CD1083" s="7"/>
      <c r="CE1083" s="7"/>
      <c r="CF1083" s="7"/>
    </row>
    <row r="1084">
      <c r="A1084" s="7"/>
      <c r="B1084" s="55"/>
      <c r="C1084" s="7"/>
      <c r="D1084" s="7"/>
      <c r="E1084" s="7"/>
      <c r="F1084" s="7"/>
      <c r="G1084" s="55"/>
      <c r="H1084" s="7"/>
      <c r="I1084" s="7"/>
      <c r="J1084" s="7"/>
      <c r="K1084" s="7"/>
      <c r="L1084" s="7"/>
      <c r="M1084" s="7"/>
      <c r="N1084" s="7"/>
      <c r="O1084" s="7"/>
      <c r="P1084" s="7"/>
      <c r="Q1084" s="55"/>
      <c r="R1084" s="7"/>
      <c r="S1084" s="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c r="BE1084" s="7"/>
      <c r="BF1084" s="7"/>
      <c r="BG1084" s="7"/>
      <c r="BH1084" s="7"/>
      <c r="BI1084" s="7"/>
      <c r="BJ1084" s="7"/>
      <c r="BK1084" s="7"/>
      <c r="BL1084" s="7"/>
      <c r="BM1084" s="7"/>
      <c r="BN1084" s="7"/>
      <c r="BO1084" s="7"/>
      <c r="BP1084" s="7"/>
      <c r="BQ1084" s="7"/>
      <c r="BR1084" s="7"/>
      <c r="BS1084" s="7"/>
      <c r="BT1084" s="7"/>
      <c r="BU1084" s="7"/>
      <c r="BV1084" s="7"/>
      <c r="BW1084" s="7"/>
      <c r="BX1084" s="7"/>
      <c r="BY1084" s="7"/>
      <c r="BZ1084" s="41"/>
      <c r="CA1084" s="7"/>
      <c r="CB1084" s="7"/>
      <c r="CC1084" s="7"/>
      <c r="CD1084" s="7"/>
      <c r="CE1084" s="7"/>
      <c r="CF1084" s="7"/>
    </row>
    <row r="1085">
      <c r="A1085" s="7"/>
      <c r="B1085" s="55"/>
      <c r="C1085" s="7"/>
      <c r="D1085" s="7"/>
      <c r="E1085" s="7"/>
      <c r="F1085" s="7"/>
      <c r="G1085" s="55"/>
      <c r="H1085" s="7"/>
      <c r="I1085" s="7"/>
      <c r="J1085" s="7"/>
      <c r="K1085" s="7"/>
      <c r="L1085" s="7"/>
      <c r="M1085" s="7"/>
      <c r="N1085" s="7"/>
      <c r="O1085" s="7"/>
      <c r="P1085" s="7"/>
      <c r="Q1085" s="55"/>
      <c r="R1085" s="7"/>
      <c r="S1085" s="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c r="BL1085" s="7"/>
      <c r="BM1085" s="7"/>
      <c r="BN1085" s="7"/>
      <c r="BO1085" s="7"/>
      <c r="BP1085" s="7"/>
      <c r="BQ1085" s="7"/>
      <c r="BR1085" s="7"/>
      <c r="BS1085" s="7"/>
      <c r="BT1085" s="7"/>
      <c r="BU1085" s="7"/>
      <c r="BV1085" s="7"/>
      <c r="BW1085" s="7"/>
      <c r="BX1085" s="7"/>
      <c r="BY1085" s="7"/>
      <c r="BZ1085" s="41"/>
      <c r="CA1085" s="7"/>
      <c r="CB1085" s="7"/>
      <c r="CC1085" s="7"/>
      <c r="CD1085" s="7"/>
      <c r="CE1085" s="7"/>
      <c r="CF1085" s="7"/>
    </row>
    <row r="1086">
      <c r="A1086" s="7"/>
      <c r="B1086" s="55"/>
      <c r="C1086" s="7"/>
      <c r="D1086" s="7"/>
      <c r="E1086" s="7"/>
      <c r="F1086" s="7"/>
      <c r="G1086" s="55"/>
      <c r="H1086" s="7"/>
      <c r="I1086" s="7"/>
      <c r="J1086" s="7"/>
      <c r="K1086" s="7"/>
      <c r="L1086" s="7"/>
      <c r="M1086" s="7"/>
      <c r="N1086" s="7"/>
      <c r="O1086" s="7"/>
      <c r="P1086" s="7"/>
      <c r="Q1086" s="55"/>
      <c r="R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c r="BE1086" s="7"/>
      <c r="BF1086" s="7"/>
      <c r="BG1086" s="7"/>
      <c r="BH1086" s="7"/>
      <c r="BI1086" s="7"/>
      <c r="BJ1086" s="7"/>
      <c r="BK1086" s="7"/>
      <c r="BL1086" s="7"/>
      <c r="BM1086" s="7"/>
      <c r="BN1086" s="7"/>
      <c r="BO1086" s="7"/>
      <c r="BP1086" s="7"/>
      <c r="BQ1086" s="7"/>
      <c r="BR1086" s="7"/>
      <c r="BS1086" s="7"/>
      <c r="BT1086" s="7"/>
      <c r="BU1086" s="7"/>
      <c r="BV1086" s="7"/>
      <c r="BW1086" s="7"/>
      <c r="BX1086" s="7"/>
      <c r="BY1086" s="7"/>
      <c r="BZ1086" s="41"/>
      <c r="CA1086" s="7"/>
      <c r="CB1086" s="7"/>
      <c r="CC1086" s="7"/>
      <c r="CD1086" s="7"/>
      <c r="CE1086" s="7"/>
      <c r="CF1086" s="7"/>
    </row>
    <row r="1087">
      <c r="A1087" s="7"/>
      <c r="B1087" s="55"/>
      <c r="C1087" s="7"/>
      <c r="D1087" s="7"/>
      <c r="E1087" s="7"/>
      <c r="F1087" s="7"/>
      <c r="G1087" s="55"/>
      <c r="H1087" s="7"/>
      <c r="I1087" s="7"/>
      <c r="J1087" s="7"/>
      <c r="K1087" s="7"/>
      <c r="L1087" s="7"/>
      <c r="M1087" s="7"/>
      <c r="N1087" s="7"/>
      <c r="O1087" s="7"/>
      <c r="P1087" s="7"/>
      <c r="Q1087" s="55"/>
      <c r="R1087" s="7"/>
      <c r="S1087" s="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c r="BL1087" s="7"/>
      <c r="BM1087" s="7"/>
      <c r="BN1087" s="7"/>
      <c r="BO1087" s="7"/>
      <c r="BP1087" s="7"/>
      <c r="BQ1087" s="7"/>
      <c r="BR1087" s="7"/>
      <c r="BS1087" s="7"/>
      <c r="BT1087" s="7"/>
      <c r="BU1087" s="7"/>
      <c r="BV1087" s="7"/>
      <c r="BW1087" s="7"/>
      <c r="BX1087" s="7"/>
      <c r="BY1087" s="7"/>
      <c r="BZ1087" s="41"/>
      <c r="CA1087" s="7"/>
      <c r="CB1087" s="7"/>
      <c r="CC1087" s="7"/>
      <c r="CD1087" s="7"/>
      <c r="CE1087" s="7"/>
      <c r="CF1087" s="7"/>
    </row>
    <row r="1088">
      <c r="A1088" s="7"/>
      <c r="B1088" s="55"/>
      <c r="C1088" s="7"/>
      <c r="D1088" s="7"/>
      <c r="E1088" s="7"/>
      <c r="F1088" s="7"/>
      <c r="G1088" s="55"/>
      <c r="H1088" s="7"/>
      <c r="I1088" s="7"/>
      <c r="J1088" s="7"/>
      <c r="K1088" s="7"/>
      <c r="L1088" s="7"/>
      <c r="M1088" s="7"/>
      <c r="N1088" s="7"/>
      <c r="O1088" s="7"/>
      <c r="P1088" s="7"/>
      <c r="Q1088" s="55"/>
      <c r="R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c r="BL1088" s="7"/>
      <c r="BM1088" s="7"/>
      <c r="BN1088" s="7"/>
      <c r="BO1088" s="7"/>
      <c r="BP1088" s="7"/>
      <c r="BQ1088" s="7"/>
      <c r="BR1088" s="7"/>
      <c r="BS1088" s="7"/>
      <c r="BT1088" s="7"/>
      <c r="BU1088" s="7"/>
      <c r="BV1088" s="7"/>
      <c r="BW1088" s="7"/>
      <c r="BX1088" s="7"/>
      <c r="BY1088" s="7"/>
      <c r="BZ1088" s="41"/>
      <c r="CA1088" s="7"/>
      <c r="CB1088" s="7"/>
      <c r="CC1088" s="7"/>
      <c r="CD1088" s="7"/>
      <c r="CE1088" s="7"/>
      <c r="CF1088" s="7"/>
    </row>
    <row r="1089">
      <c r="A1089" s="7"/>
      <c r="B1089" s="55"/>
      <c r="C1089" s="7"/>
      <c r="D1089" s="7"/>
      <c r="E1089" s="7"/>
      <c r="F1089" s="7"/>
      <c r="G1089" s="55"/>
      <c r="H1089" s="7"/>
      <c r="I1089" s="7"/>
      <c r="J1089" s="7"/>
      <c r="K1089" s="7"/>
      <c r="L1089" s="7"/>
      <c r="M1089" s="7"/>
      <c r="N1089" s="7"/>
      <c r="O1089" s="7"/>
      <c r="P1089" s="7"/>
      <c r="Q1089" s="55"/>
      <c r="R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c r="BW1089" s="7"/>
      <c r="BX1089" s="7"/>
      <c r="BY1089" s="7"/>
      <c r="BZ1089" s="41"/>
      <c r="CA1089" s="7"/>
      <c r="CB1089" s="7"/>
      <c r="CC1089" s="7"/>
      <c r="CD1089" s="7"/>
      <c r="CE1089" s="7"/>
      <c r="CF1089" s="7"/>
    </row>
    <row r="1090">
      <c r="A1090" s="7"/>
      <c r="B1090" s="55"/>
      <c r="C1090" s="7"/>
      <c r="D1090" s="7"/>
      <c r="E1090" s="7"/>
      <c r="F1090" s="7"/>
      <c r="G1090" s="55"/>
      <c r="H1090" s="7"/>
      <c r="I1090" s="7"/>
      <c r="J1090" s="7"/>
      <c r="K1090" s="7"/>
      <c r="L1090" s="7"/>
      <c r="M1090" s="7"/>
      <c r="N1090" s="7"/>
      <c r="O1090" s="7"/>
      <c r="P1090" s="7"/>
      <c r="Q1090" s="55"/>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c r="BL1090" s="7"/>
      <c r="BM1090" s="7"/>
      <c r="BN1090" s="7"/>
      <c r="BO1090" s="7"/>
      <c r="BP1090" s="7"/>
      <c r="BQ1090" s="7"/>
      <c r="BR1090" s="7"/>
      <c r="BS1090" s="7"/>
      <c r="BT1090" s="7"/>
      <c r="BU1090" s="7"/>
      <c r="BV1090" s="7"/>
      <c r="BW1090" s="7"/>
      <c r="BX1090" s="7"/>
      <c r="BY1090" s="7"/>
      <c r="BZ1090" s="41"/>
      <c r="CA1090" s="7"/>
      <c r="CB1090" s="7"/>
      <c r="CC1090" s="7"/>
      <c r="CD1090" s="7"/>
      <c r="CE1090" s="7"/>
      <c r="CF1090" s="7"/>
    </row>
    <row r="1091">
      <c r="A1091" s="7"/>
      <c r="B1091" s="55"/>
      <c r="C1091" s="7"/>
      <c r="D1091" s="7"/>
      <c r="E1091" s="7"/>
      <c r="F1091" s="7"/>
      <c r="G1091" s="55"/>
      <c r="H1091" s="7"/>
      <c r="I1091" s="7"/>
      <c r="J1091" s="7"/>
      <c r="K1091" s="7"/>
      <c r="L1091" s="7"/>
      <c r="M1091" s="7"/>
      <c r="N1091" s="7"/>
      <c r="O1091" s="7"/>
      <c r="P1091" s="7"/>
      <c r="Q1091" s="55"/>
      <c r="R1091" s="7"/>
      <c r="S1091" s="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c r="BW1091" s="7"/>
      <c r="BX1091" s="7"/>
      <c r="BY1091" s="7"/>
      <c r="BZ1091" s="41"/>
      <c r="CA1091" s="7"/>
      <c r="CB1091" s="7"/>
      <c r="CC1091" s="7"/>
      <c r="CD1091" s="7"/>
      <c r="CE1091" s="7"/>
      <c r="CF1091" s="7"/>
    </row>
    <row r="1092">
      <c r="A1092" s="7"/>
      <c r="B1092" s="55"/>
      <c r="C1092" s="7"/>
      <c r="D1092" s="7"/>
      <c r="E1092" s="7"/>
      <c r="F1092" s="7"/>
      <c r="G1092" s="55"/>
      <c r="H1092" s="7"/>
      <c r="I1092" s="7"/>
      <c r="J1092" s="7"/>
      <c r="K1092" s="7"/>
      <c r="L1092" s="7"/>
      <c r="M1092" s="7"/>
      <c r="N1092" s="7"/>
      <c r="O1092" s="7"/>
      <c r="P1092" s="7"/>
      <c r="Q1092" s="55"/>
      <c r="R1092" s="7"/>
      <c r="S1092" s="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c r="BL1092" s="7"/>
      <c r="BM1092" s="7"/>
      <c r="BN1092" s="7"/>
      <c r="BO1092" s="7"/>
      <c r="BP1092" s="7"/>
      <c r="BQ1092" s="7"/>
      <c r="BR1092" s="7"/>
      <c r="BS1092" s="7"/>
      <c r="BT1092" s="7"/>
      <c r="BU1092" s="7"/>
      <c r="BV1092" s="7"/>
      <c r="BW1092" s="7"/>
      <c r="BX1092" s="7"/>
      <c r="BY1092" s="7"/>
      <c r="BZ1092" s="41"/>
      <c r="CA1092" s="7"/>
      <c r="CB1092" s="7"/>
      <c r="CC1092" s="7"/>
      <c r="CD1092" s="7"/>
      <c r="CE1092" s="7"/>
      <c r="CF1092" s="7"/>
    </row>
    <row r="1093">
      <c r="A1093" s="7"/>
      <c r="B1093" s="55"/>
      <c r="C1093" s="7"/>
      <c r="D1093" s="7"/>
      <c r="E1093" s="7"/>
      <c r="F1093" s="7"/>
      <c r="G1093" s="55"/>
      <c r="H1093" s="7"/>
      <c r="I1093" s="7"/>
      <c r="J1093" s="7"/>
      <c r="K1093" s="7"/>
      <c r="L1093" s="7"/>
      <c r="M1093" s="7"/>
      <c r="N1093" s="7"/>
      <c r="O1093" s="7"/>
      <c r="P1093" s="7"/>
      <c r="Q1093" s="55"/>
      <c r="R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c r="BZ1093" s="41"/>
      <c r="CA1093" s="7"/>
      <c r="CB1093" s="7"/>
      <c r="CC1093" s="7"/>
      <c r="CD1093" s="7"/>
      <c r="CE1093" s="7"/>
      <c r="CF1093" s="7"/>
    </row>
    <row r="1094">
      <c r="A1094" s="7"/>
      <c r="B1094" s="55"/>
      <c r="C1094" s="7"/>
      <c r="D1094" s="7"/>
      <c r="E1094" s="7"/>
      <c r="F1094" s="7"/>
      <c r="G1094" s="55"/>
      <c r="H1094" s="7"/>
      <c r="I1094" s="7"/>
      <c r="J1094" s="7"/>
      <c r="K1094" s="7"/>
      <c r="L1094" s="7"/>
      <c r="M1094" s="7"/>
      <c r="N1094" s="7"/>
      <c r="O1094" s="7"/>
      <c r="P1094" s="7"/>
      <c r="Q1094" s="55"/>
      <c r="R1094" s="7"/>
      <c r="S1094" s="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c r="BL1094" s="7"/>
      <c r="BM1094" s="7"/>
      <c r="BN1094" s="7"/>
      <c r="BO1094" s="7"/>
      <c r="BP1094" s="7"/>
      <c r="BQ1094" s="7"/>
      <c r="BR1094" s="7"/>
      <c r="BS1094" s="7"/>
      <c r="BT1094" s="7"/>
      <c r="BU1094" s="7"/>
      <c r="BV1094" s="7"/>
      <c r="BW1094" s="7"/>
      <c r="BX1094" s="7"/>
      <c r="BY1094" s="7"/>
      <c r="BZ1094" s="41"/>
      <c r="CA1094" s="7"/>
      <c r="CB1094" s="7"/>
      <c r="CC1094" s="7"/>
      <c r="CD1094" s="7"/>
      <c r="CE1094" s="7"/>
      <c r="CF1094" s="7"/>
    </row>
    <row r="1095">
      <c r="A1095" s="7"/>
      <c r="B1095" s="55"/>
      <c r="C1095" s="7"/>
      <c r="D1095" s="7"/>
      <c r="E1095" s="7"/>
      <c r="F1095" s="7"/>
      <c r="G1095" s="55"/>
      <c r="H1095" s="7"/>
      <c r="I1095" s="7"/>
      <c r="J1095" s="7"/>
      <c r="K1095" s="7"/>
      <c r="L1095" s="7"/>
      <c r="M1095" s="7"/>
      <c r="N1095" s="7"/>
      <c r="O1095" s="7"/>
      <c r="P1095" s="7"/>
      <c r="Q1095" s="55"/>
      <c r="R1095" s="7"/>
      <c r="S1095" s="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c r="BW1095" s="7"/>
      <c r="BX1095" s="7"/>
      <c r="BY1095" s="7"/>
      <c r="BZ1095" s="41"/>
      <c r="CA1095" s="7"/>
      <c r="CB1095" s="7"/>
      <c r="CC1095" s="7"/>
      <c r="CD1095" s="7"/>
      <c r="CE1095" s="7"/>
      <c r="CF1095" s="7"/>
    </row>
    <row r="1096">
      <c r="A1096" s="7"/>
      <c r="B1096" s="55"/>
      <c r="C1096" s="7"/>
      <c r="D1096" s="7"/>
      <c r="E1096" s="7"/>
      <c r="F1096" s="7"/>
      <c r="G1096" s="55"/>
      <c r="H1096" s="7"/>
      <c r="I1096" s="7"/>
      <c r="J1096" s="7"/>
      <c r="K1096" s="7"/>
      <c r="L1096" s="7"/>
      <c r="M1096" s="7"/>
      <c r="N1096" s="7"/>
      <c r="O1096" s="7"/>
      <c r="P1096" s="7"/>
      <c r="Q1096" s="55"/>
      <c r="R1096" s="7"/>
      <c r="S1096" s="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c r="BL1096" s="7"/>
      <c r="BM1096" s="7"/>
      <c r="BN1096" s="7"/>
      <c r="BO1096" s="7"/>
      <c r="BP1096" s="7"/>
      <c r="BQ1096" s="7"/>
      <c r="BR1096" s="7"/>
      <c r="BS1096" s="7"/>
      <c r="BT1096" s="7"/>
      <c r="BU1096" s="7"/>
      <c r="BV1096" s="7"/>
      <c r="BW1096" s="7"/>
      <c r="BX1096" s="7"/>
      <c r="BY1096" s="7"/>
      <c r="BZ1096" s="41"/>
      <c r="CA1096" s="7"/>
      <c r="CB1096" s="7"/>
      <c r="CC1096" s="7"/>
      <c r="CD1096" s="7"/>
      <c r="CE1096" s="7"/>
      <c r="CF1096" s="7"/>
    </row>
    <row r="1097">
      <c r="A1097" s="7"/>
      <c r="B1097" s="55"/>
      <c r="C1097" s="7"/>
      <c r="D1097" s="7"/>
      <c r="E1097" s="7"/>
      <c r="F1097" s="7"/>
      <c r="G1097" s="55"/>
      <c r="H1097" s="7"/>
      <c r="I1097" s="7"/>
      <c r="J1097" s="7"/>
      <c r="K1097" s="7"/>
      <c r="L1097" s="7"/>
      <c r="M1097" s="7"/>
      <c r="N1097" s="7"/>
      <c r="O1097" s="7"/>
      <c r="P1097" s="7"/>
      <c r="Q1097" s="55"/>
      <c r="R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c r="BY1097" s="7"/>
      <c r="BZ1097" s="41"/>
      <c r="CA1097" s="7"/>
      <c r="CB1097" s="7"/>
      <c r="CC1097" s="7"/>
      <c r="CD1097" s="7"/>
      <c r="CE1097" s="7"/>
      <c r="CF1097" s="7"/>
    </row>
    <row r="1098">
      <c r="A1098" s="7"/>
      <c r="B1098" s="55"/>
      <c r="C1098" s="7"/>
      <c r="D1098" s="7"/>
      <c r="E1098" s="7"/>
      <c r="F1098" s="7"/>
      <c r="G1098" s="55"/>
      <c r="H1098" s="7"/>
      <c r="I1098" s="7"/>
      <c r="J1098" s="7"/>
      <c r="K1098" s="7"/>
      <c r="L1098" s="7"/>
      <c r="M1098" s="7"/>
      <c r="N1098" s="7"/>
      <c r="O1098" s="7"/>
      <c r="P1098" s="7"/>
      <c r="Q1098" s="55"/>
      <c r="R1098" s="7"/>
      <c r="S1098" s="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c r="BL1098" s="7"/>
      <c r="BM1098" s="7"/>
      <c r="BN1098" s="7"/>
      <c r="BO1098" s="7"/>
      <c r="BP1098" s="7"/>
      <c r="BQ1098" s="7"/>
      <c r="BR1098" s="7"/>
      <c r="BS1098" s="7"/>
      <c r="BT1098" s="7"/>
      <c r="BU1098" s="7"/>
      <c r="BV1098" s="7"/>
      <c r="BW1098" s="7"/>
      <c r="BX1098" s="7"/>
      <c r="BY1098" s="7"/>
      <c r="BZ1098" s="41"/>
      <c r="CA1098" s="7"/>
      <c r="CB1098" s="7"/>
      <c r="CC1098" s="7"/>
      <c r="CD1098" s="7"/>
      <c r="CE1098" s="7"/>
      <c r="CF1098" s="7"/>
    </row>
    <row r="1099">
      <c r="A1099" s="7"/>
      <c r="B1099" s="55"/>
      <c r="C1099" s="7"/>
      <c r="D1099" s="7"/>
      <c r="E1099" s="7"/>
      <c r="F1099" s="7"/>
      <c r="G1099" s="55"/>
      <c r="H1099" s="7"/>
      <c r="I1099" s="7"/>
      <c r="J1099" s="7"/>
      <c r="K1099" s="7"/>
      <c r="L1099" s="7"/>
      <c r="M1099" s="7"/>
      <c r="N1099" s="7"/>
      <c r="O1099" s="7"/>
      <c r="P1099" s="7"/>
      <c r="Q1099" s="55"/>
      <c r="R1099" s="7"/>
      <c r="S1099" s="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c r="BL1099" s="7"/>
      <c r="BM1099" s="7"/>
      <c r="BN1099" s="7"/>
      <c r="BO1099" s="7"/>
      <c r="BP1099" s="7"/>
      <c r="BQ1099" s="7"/>
      <c r="BR1099" s="7"/>
      <c r="BS1099" s="7"/>
      <c r="BT1099" s="7"/>
      <c r="BU1099" s="7"/>
      <c r="BV1099" s="7"/>
      <c r="BW1099" s="7"/>
      <c r="BX1099" s="7"/>
      <c r="BY1099" s="7"/>
      <c r="BZ1099" s="41"/>
      <c r="CA1099" s="7"/>
      <c r="CB1099" s="7"/>
      <c r="CC1099" s="7"/>
      <c r="CD1099" s="7"/>
      <c r="CE1099" s="7"/>
      <c r="CF1099" s="7"/>
    </row>
    <row r="1100">
      <c r="A1100" s="7"/>
      <c r="B1100" s="55"/>
      <c r="C1100" s="7"/>
      <c r="D1100" s="7"/>
      <c r="E1100" s="7"/>
      <c r="F1100" s="7"/>
      <c r="G1100" s="55"/>
      <c r="H1100" s="7"/>
      <c r="I1100" s="7"/>
      <c r="J1100" s="7"/>
      <c r="K1100" s="7"/>
      <c r="L1100" s="7"/>
      <c r="M1100" s="7"/>
      <c r="N1100" s="7"/>
      <c r="O1100" s="7"/>
      <c r="P1100" s="7"/>
      <c r="Q1100" s="55"/>
      <c r="R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c r="BW1100" s="7"/>
      <c r="BX1100" s="7"/>
      <c r="BY1100" s="7"/>
      <c r="BZ1100" s="41"/>
      <c r="CA1100" s="7"/>
      <c r="CB1100" s="7"/>
      <c r="CC1100" s="7"/>
      <c r="CD1100" s="7"/>
      <c r="CE1100" s="7"/>
      <c r="CF1100" s="7"/>
    </row>
    <row r="1101">
      <c r="A1101" s="7"/>
      <c r="B1101" s="55"/>
      <c r="C1101" s="7"/>
      <c r="D1101" s="7"/>
      <c r="E1101" s="7"/>
      <c r="F1101" s="7"/>
      <c r="G1101" s="55"/>
      <c r="H1101" s="7"/>
      <c r="I1101" s="7"/>
      <c r="J1101" s="7"/>
      <c r="K1101" s="7"/>
      <c r="L1101" s="7"/>
      <c r="M1101" s="7"/>
      <c r="N1101" s="7"/>
      <c r="O1101" s="7"/>
      <c r="P1101" s="7"/>
      <c r="Q1101" s="55"/>
      <c r="R1101" s="7"/>
      <c r="S1101" s="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c r="BL1101" s="7"/>
      <c r="BM1101" s="7"/>
      <c r="BN1101" s="7"/>
      <c r="BO1101" s="7"/>
      <c r="BP1101" s="7"/>
      <c r="BQ1101" s="7"/>
      <c r="BR1101" s="7"/>
      <c r="BS1101" s="7"/>
      <c r="BT1101" s="7"/>
      <c r="BU1101" s="7"/>
      <c r="BV1101" s="7"/>
      <c r="BW1101" s="7"/>
      <c r="BX1101" s="7"/>
      <c r="BY1101" s="7"/>
      <c r="BZ1101" s="41"/>
      <c r="CA1101" s="7"/>
      <c r="CB1101" s="7"/>
      <c r="CC1101" s="7"/>
      <c r="CD1101" s="7"/>
      <c r="CE1101" s="7"/>
      <c r="CF1101" s="7"/>
    </row>
    <row r="1102">
      <c r="A1102" s="7"/>
      <c r="B1102" s="55"/>
      <c r="C1102" s="7"/>
      <c r="D1102" s="7"/>
      <c r="E1102" s="7"/>
      <c r="F1102" s="7"/>
      <c r="G1102" s="55"/>
      <c r="H1102" s="7"/>
      <c r="I1102" s="7"/>
      <c r="J1102" s="7"/>
      <c r="K1102" s="7"/>
      <c r="L1102" s="7"/>
      <c r="M1102" s="7"/>
      <c r="N1102" s="7"/>
      <c r="O1102" s="7"/>
      <c r="P1102" s="7"/>
      <c r="Q1102" s="55"/>
      <c r="R1102" s="7"/>
      <c r="S1102" s="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c r="BL1102" s="7"/>
      <c r="BM1102" s="7"/>
      <c r="BN1102" s="7"/>
      <c r="BO1102" s="7"/>
      <c r="BP1102" s="7"/>
      <c r="BQ1102" s="7"/>
      <c r="BR1102" s="7"/>
      <c r="BS1102" s="7"/>
      <c r="BT1102" s="7"/>
      <c r="BU1102" s="7"/>
      <c r="BV1102" s="7"/>
      <c r="BW1102" s="7"/>
      <c r="BX1102" s="7"/>
      <c r="BY1102" s="7"/>
      <c r="BZ1102" s="41"/>
      <c r="CA1102" s="7"/>
      <c r="CB1102" s="7"/>
      <c r="CC1102" s="7"/>
      <c r="CD1102" s="7"/>
      <c r="CE1102" s="7"/>
      <c r="CF1102" s="7"/>
    </row>
    <row r="1103">
      <c r="A1103" s="7"/>
      <c r="B1103" s="55"/>
      <c r="C1103" s="7"/>
      <c r="D1103" s="7"/>
      <c r="E1103" s="7"/>
      <c r="F1103" s="7"/>
      <c r="G1103" s="55"/>
      <c r="H1103" s="7"/>
      <c r="I1103" s="7"/>
      <c r="J1103" s="7"/>
      <c r="K1103" s="7"/>
      <c r="L1103" s="7"/>
      <c r="M1103" s="7"/>
      <c r="N1103" s="7"/>
      <c r="O1103" s="7"/>
      <c r="P1103" s="7"/>
      <c r="Q1103" s="55"/>
      <c r="R1103" s="7"/>
      <c r="S1103" s="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c r="BL1103" s="7"/>
      <c r="BM1103" s="7"/>
      <c r="BN1103" s="7"/>
      <c r="BO1103" s="7"/>
      <c r="BP1103" s="7"/>
      <c r="BQ1103" s="7"/>
      <c r="BR1103" s="7"/>
      <c r="BS1103" s="7"/>
      <c r="BT1103" s="7"/>
      <c r="BU1103" s="7"/>
      <c r="BV1103" s="7"/>
      <c r="BW1103" s="7"/>
      <c r="BX1103" s="7"/>
      <c r="BY1103" s="7"/>
      <c r="BZ1103" s="41"/>
      <c r="CA1103" s="7"/>
      <c r="CB1103" s="7"/>
      <c r="CC1103" s="7"/>
      <c r="CD1103" s="7"/>
      <c r="CE1103" s="7"/>
      <c r="CF1103" s="7"/>
    </row>
    <row r="1104">
      <c r="A1104" s="7"/>
      <c r="B1104" s="55"/>
      <c r="C1104" s="7"/>
      <c r="D1104" s="7"/>
      <c r="E1104" s="7"/>
      <c r="F1104" s="7"/>
      <c r="G1104" s="55"/>
      <c r="H1104" s="7"/>
      <c r="I1104" s="7"/>
      <c r="J1104" s="7"/>
      <c r="K1104" s="7"/>
      <c r="L1104" s="7"/>
      <c r="M1104" s="7"/>
      <c r="N1104" s="7"/>
      <c r="O1104" s="7"/>
      <c r="P1104" s="7"/>
      <c r="Q1104" s="55"/>
      <c r="R1104" s="7"/>
      <c r="S1104" s="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c r="BL1104" s="7"/>
      <c r="BM1104" s="7"/>
      <c r="BN1104" s="7"/>
      <c r="BO1104" s="7"/>
      <c r="BP1104" s="7"/>
      <c r="BQ1104" s="7"/>
      <c r="BR1104" s="7"/>
      <c r="BS1104" s="7"/>
      <c r="BT1104" s="7"/>
      <c r="BU1104" s="7"/>
      <c r="BV1104" s="7"/>
      <c r="BW1104" s="7"/>
      <c r="BX1104" s="7"/>
      <c r="BY1104" s="7"/>
      <c r="BZ1104" s="41"/>
      <c r="CA1104" s="7"/>
      <c r="CB1104" s="7"/>
      <c r="CC1104" s="7"/>
      <c r="CD1104" s="7"/>
      <c r="CE1104" s="7"/>
      <c r="CF1104" s="7"/>
    </row>
    <row r="1105">
      <c r="A1105" s="7"/>
      <c r="B1105" s="55"/>
      <c r="C1105" s="7"/>
      <c r="D1105" s="7"/>
      <c r="E1105" s="7"/>
      <c r="F1105" s="7"/>
      <c r="G1105" s="55"/>
      <c r="H1105" s="7"/>
      <c r="I1105" s="7"/>
      <c r="J1105" s="7"/>
      <c r="K1105" s="7"/>
      <c r="L1105" s="7"/>
      <c r="M1105" s="7"/>
      <c r="N1105" s="7"/>
      <c r="O1105" s="7"/>
      <c r="P1105" s="7"/>
      <c r="Q1105" s="55"/>
      <c r="R1105" s="7"/>
      <c r="S1105" s="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c r="BY1105" s="7"/>
      <c r="BZ1105" s="41"/>
      <c r="CA1105" s="7"/>
      <c r="CB1105" s="7"/>
      <c r="CC1105" s="7"/>
      <c r="CD1105" s="7"/>
      <c r="CE1105" s="7"/>
      <c r="CF1105" s="7"/>
    </row>
    <row r="1106">
      <c r="A1106" s="7"/>
      <c r="B1106" s="55"/>
      <c r="C1106" s="7"/>
      <c r="D1106" s="7"/>
      <c r="E1106" s="7"/>
      <c r="F1106" s="7"/>
      <c r="G1106" s="55"/>
      <c r="H1106" s="7"/>
      <c r="I1106" s="7"/>
      <c r="J1106" s="7"/>
      <c r="K1106" s="7"/>
      <c r="L1106" s="7"/>
      <c r="M1106" s="7"/>
      <c r="N1106" s="7"/>
      <c r="O1106" s="7"/>
      <c r="P1106" s="7"/>
      <c r="Q1106" s="55"/>
      <c r="R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c r="BL1106" s="7"/>
      <c r="BM1106" s="7"/>
      <c r="BN1106" s="7"/>
      <c r="BO1106" s="7"/>
      <c r="BP1106" s="7"/>
      <c r="BQ1106" s="7"/>
      <c r="BR1106" s="7"/>
      <c r="BS1106" s="7"/>
      <c r="BT1106" s="7"/>
      <c r="BU1106" s="7"/>
      <c r="BV1106" s="7"/>
      <c r="BW1106" s="7"/>
      <c r="BX1106" s="7"/>
      <c r="BY1106" s="7"/>
      <c r="BZ1106" s="41"/>
      <c r="CA1106" s="7"/>
      <c r="CB1106" s="7"/>
      <c r="CC1106" s="7"/>
      <c r="CD1106" s="7"/>
      <c r="CE1106" s="7"/>
      <c r="CF1106" s="7"/>
    </row>
    <row r="1107">
      <c r="A1107" s="7"/>
      <c r="B1107" s="55"/>
      <c r="C1107" s="7"/>
      <c r="D1107" s="7"/>
      <c r="E1107" s="7"/>
      <c r="F1107" s="7"/>
      <c r="G1107" s="55"/>
      <c r="H1107" s="7"/>
      <c r="I1107" s="7"/>
      <c r="J1107" s="7"/>
      <c r="K1107" s="7"/>
      <c r="L1107" s="7"/>
      <c r="M1107" s="7"/>
      <c r="N1107" s="7"/>
      <c r="O1107" s="7"/>
      <c r="P1107" s="7"/>
      <c r="Q1107" s="55"/>
      <c r="R1107" s="7"/>
      <c r="S1107" s="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c r="BL1107" s="7"/>
      <c r="BM1107" s="7"/>
      <c r="BN1107" s="7"/>
      <c r="BO1107" s="7"/>
      <c r="BP1107" s="7"/>
      <c r="BQ1107" s="7"/>
      <c r="BR1107" s="7"/>
      <c r="BS1107" s="7"/>
      <c r="BT1107" s="7"/>
      <c r="BU1107" s="7"/>
      <c r="BV1107" s="7"/>
      <c r="BW1107" s="7"/>
      <c r="BX1107" s="7"/>
      <c r="BY1107" s="7"/>
      <c r="BZ1107" s="41"/>
      <c r="CA1107" s="7"/>
      <c r="CB1107" s="7"/>
      <c r="CC1107" s="7"/>
      <c r="CD1107" s="7"/>
      <c r="CE1107" s="7"/>
      <c r="CF1107" s="7"/>
    </row>
    <row r="1108">
      <c r="A1108" s="7"/>
      <c r="B1108" s="55"/>
      <c r="C1108" s="7"/>
      <c r="D1108" s="7"/>
      <c r="E1108" s="7"/>
      <c r="F1108" s="7"/>
      <c r="G1108" s="55"/>
      <c r="H1108" s="7"/>
      <c r="I1108" s="7"/>
      <c r="J1108" s="7"/>
      <c r="K1108" s="7"/>
      <c r="L1108" s="7"/>
      <c r="M1108" s="7"/>
      <c r="N1108" s="7"/>
      <c r="O1108" s="7"/>
      <c r="P1108" s="7"/>
      <c r="Q1108" s="55"/>
      <c r="R1108" s="7"/>
      <c r="S1108" s="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c r="BL1108" s="7"/>
      <c r="BM1108" s="7"/>
      <c r="BN1108" s="7"/>
      <c r="BO1108" s="7"/>
      <c r="BP1108" s="7"/>
      <c r="BQ1108" s="7"/>
      <c r="BR1108" s="7"/>
      <c r="BS1108" s="7"/>
      <c r="BT1108" s="7"/>
      <c r="BU1108" s="7"/>
      <c r="BV1108" s="7"/>
      <c r="BW1108" s="7"/>
      <c r="BX1108" s="7"/>
      <c r="BY1108" s="7"/>
      <c r="BZ1108" s="41"/>
      <c r="CA1108" s="7"/>
      <c r="CB1108" s="7"/>
      <c r="CC1108" s="7"/>
      <c r="CD1108" s="7"/>
      <c r="CE1108" s="7"/>
      <c r="CF1108" s="7"/>
    </row>
    <row r="1109">
      <c r="A1109" s="7"/>
      <c r="B1109" s="55"/>
      <c r="C1109" s="7"/>
      <c r="D1109" s="7"/>
      <c r="E1109" s="7"/>
      <c r="F1109" s="7"/>
      <c r="G1109" s="55"/>
      <c r="H1109" s="7"/>
      <c r="I1109" s="7"/>
      <c r="J1109" s="7"/>
      <c r="K1109" s="7"/>
      <c r="L1109" s="7"/>
      <c r="M1109" s="7"/>
      <c r="N1109" s="7"/>
      <c r="O1109" s="7"/>
      <c r="P1109" s="7"/>
      <c r="Q1109" s="55"/>
      <c r="R1109" s="7"/>
      <c r="S1109" s="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c r="BL1109" s="7"/>
      <c r="BM1109" s="7"/>
      <c r="BN1109" s="7"/>
      <c r="BO1109" s="7"/>
      <c r="BP1109" s="7"/>
      <c r="BQ1109" s="7"/>
      <c r="BR1109" s="7"/>
      <c r="BS1109" s="7"/>
      <c r="BT1109" s="7"/>
      <c r="BU1109" s="7"/>
      <c r="BV1109" s="7"/>
      <c r="BW1109" s="7"/>
      <c r="BX1109" s="7"/>
      <c r="BY1109" s="7"/>
      <c r="BZ1109" s="41"/>
      <c r="CA1109" s="7"/>
      <c r="CB1109" s="7"/>
      <c r="CC1109" s="7"/>
      <c r="CD1109" s="7"/>
      <c r="CE1109" s="7"/>
      <c r="CF1109" s="7"/>
    </row>
    <row r="1110">
      <c r="A1110" s="7"/>
      <c r="B1110" s="55"/>
      <c r="C1110" s="7"/>
      <c r="D1110" s="7"/>
      <c r="E1110" s="7"/>
      <c r="F1110" s="7"/>
      <c r="G1110" s="55"/>
      <c r="H1110" s="7"/>
      <c r="I1110" s="7"/>
      <c r="J1110" s="7"/>
      <c r="K1110" s="7"/>
      <c r="L1110" s="7"/>
      <c r="M1110" s="7"/>
      <c r="N1110" s="7"/>
      <c r="O1110" s="7"/>
      <c r="P1110" s="7"/>
      <c r="Q1110" s="55"/>
      <c r="R1110" s="7"/>
      <c r="S1110" s="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c r="BE1110" s="7"/>
      <c r="BF1110" s="7"/>
      <c r="BG1110" s="7"/>
      <c r="BH1110" s="7"/>
      <c r="BI1110" s="7"/>
      <c r="BJ1110" s="7"/>
      <c r="BK1110" s="7"/>
      <c r="BL1110" s="7"/>
      <c r="BM1110" s="7"/>
      <c r="BN1110" s="7"/>
      <c r="BO1110" s="7"/>
      <c r="BP1110" s="7"/>
      <c r="BQ1110" s="7"/>
      <c r="BR1110" s="7"/>
      <c r="BS1110" s="7"/>
      <c r="BT1110" s="7"/>
      <c r="BU1110" s="7"/>
      <c r="BV1110" s="7"/>
      <c r="BW1110" s="7"/>
      <c r="BX1110" s="7"/>
      <c r="BY1110" s="7"/>
      <c r="BZ1110" s="41"/>
      <c r="CA1110" s="7"/>
      <c r="CB1110" s="7"/>
      <c r="CC1110" s="7"/>
      <c r="CD1110" s="7"/>
      <c r="CE1110" s="7"/>
      <c r="CF1110" s="7"/>
    </row>
    <row r="1111">
      <c r="A1111" s="7"/>
      <c r="B1111" s="55"/>
      <c r="C1111" s="7"/>
      <c r="D1111" s="7"/>
      <c r="E1111" s="7"/>
      <c r="F1111" s="7"/>
      <c r="G1111" s="55"/>
      <c r="H1111" s="7"/>
      <c r="I1111" s="7"/>
      <c r="J1111" s="7"/>
      <c r="K1111" s="7"/>
      <c r="L1111" s="7"/>
      <c r="M1111" s="7"/>
      <c r="N1111" s="7"/>
      <c r="O1111" s="7"/>
      <c r="P1111" s="7"/>
      <c r="Q1111" s="55"/>
      <c r="R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c r="BW1111" s="7"/>
      <c r="BX1111" s="7"/>
      <c r="BY1111" s="7"/>
      <c r="BZ1111" s="41"/>
      <c r="CA1111" s="7"/>
      <c r="CB1111" s="7"/>
      <c r="CC1111" s="7"/>
      <c r="CD1111" s="7"/>
      <c r="CE1111" s="7"/>
      <c r="CF1111" s="7"/>
    </row>
    <row r="1112">
      <c r="A1112" s="7"/>
      <c r="B1112" s="55"/>
      <c r="C1112" s="7"/>
      <c r="D1112" s="7"/>
      <c r="E1112" s="7"/>
      <c r="F1112" s="7"/>
      <c r="G1112" s="55"/>
      <c r="H1112" s="7"/>
      <c r="I1112" s="7"/>
      <c r="J1112" s="7"/>
      <c r="K1112" s="7"/>
      <c r="L1112" s="7"/>
      <c r="M1112" s="7"/>
      <c r="N1112" s="7"/>
      <c r="O1112" s="7"/>
      <c r="P1112" s="7"/>
      <c r="Q1112" s="55"/>
      <c r="R1112" s="7"/>
      <c r="S1112" s="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c r="BL1112" s="7"/>
      <c r="BM1112" s="7"/>
      <c r="BN1112" s="7"/>
      <c r="BO1112" s="7"/>
      <c r="BP1112" s="7"/>
      <c r="BQ1112" s="7"/>
      <c r="BR1112" s="7"/>
      <c r="BS1112" s="7"/>
      <c r="BT1112" s="7"/>
      <c r="BU1112" s="7"/>
      <c r="BV1112" s="7"/>
      <c r="BW1112" s="7"/>
      <c r="BX1112" s="7"/>
      <c r="BY1112" s="7"/>
      <c r="BZ1112" s="41"/>
      <c r="CA1112" s="7"/>
      <c r="CB1112" s="7"/>
      <c r="CC1112" s="7"/>
      <c r="CD1112" s="7"/>
      <c r="CE1112" s="7"/>
      <c r="CF1112" s="7"/>
    </row>
    <row r="1113">
      <c r="A1113" s="7"/>
      <c r="B1113" s="55"/>
      <c r="C1113" s="7"/>
      <c r="D1113" s="7"/>
      <c r="E1113" s="7"/>
      <c r="F1113" s="7"/>
      <c r="G1113" s="55"/>
      <c r="H1113" s="7"/>
      <c r="I1113" s="7"/>
      <c r="J1113" s="7"/>
      <c r="K1113" s="7"/>
      <c r="L1113" s="7"/>
      <c r="M1113" s="7"/>
      <c r="N1113" s="7"/>
      <c r="O1113" s="7"/>
      <c r="P1113" s="7"/>
      <c r="Q1113" s="55"/>
      <c r="R1113" s="7"/>
      <c r="S1113" s="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c r="BW1113" s="7"/>
      <c r="BX1113" s="7"/>
      <c r="BY1113" s="7"/>
      <c r="BZ1113" s="41"/>
      <c r="CA1113" s="7"/>
      <c r="CB1113" s="7"/>
      <c r="CC1113" s="7"/>
      <c r="CD1113" s="7"/>
      <c r="CE1113" s="7"/>
      <c r="CF1113" s="7"/>
    </row>
    <row r="1114">
      <c r="A1114" s="7"/>
      <c r="B1114" s="55"/>
      <c r="C1114" s="7"/>
      <c r="D1114" s="7"/>
      <c r="E1114" s="7"/>
      <c r="F1114" s="7"/>
      <c r="G1114" s="55"/>
      <c r="H1114" s="7"/>
      <c r="I1114" s="7"/>
      <c r="J1114" s="7"/>
      <c r="K1114" s="7"/>
      <c r="L1114" s="7"/>
      <c r="M1114" s="7"/>
      <c r="N1114" s="7"/>
      <c r="O1114" s="7"/>
      <c r="P1114" s="7"/>
      <c r="Q1114" s="55"/>
      <c r="R1114" s="7"/>
      <c r="S1114" s="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c r="BE1114" s="7"/>
      <c r="BF1114" s="7"/>
      <c r="BG1114" s="7"/>
      <c r="BH1114" s="7"/>
      <c r="BI1114" s="7"/>
      <c r="BJ1114" s="7"/>
      <c r="BK1114" s="7"/>
      <c r="BL1114" s="7"/>
      <c r="BM1114" s="7"/>
      <c r="BN1114" s="7"/>
      <c r="BO1114" s="7"/>
      <c r="BP1114" s="7"/>
      <c r="BQ1114" s="7"/>
      <c r="BR1114" s="7"/>
      <c r="BS1114" s="7"/>
      <c r="BT1114" s="7"/>
      <c r="BU1114" s="7"/>
      <c r="BV1114" s="7"/>
      <c r="BW1114" s="7"/>
      <c r="BX1114" s="7"/>
      <c r="BY1114" s="7"/>
      <c r="BZ1114" s="41"/>
      <c r="CA1114" s="7"/>
      <c r="CB1114" s="7"/>
      <c r="CC1114" s="7"/>
      <c r="CD1114" s="7"/>
      <c r="CE1114" s="7"/>
      <c r="CF1114" s="7"/>
    </row>
    <row r="1115">
      <c r="A1115" s="7"/>
      <c r="B1115" s="55"/>
      <c r="C1115" s="7"/>
      <c r="D1115" s="7"/>
      <c r="E1115" s="7"/>
      <c r="F1115" s="7"/>
      <c r="G1115" s="55"/>
      <c r="H1115" s="7"/>
      <c r="I1115" s="7"/>
      <c r="J1115" s="7"/>
      <c r="K1115" s="7"/>
      <c r="L1115" s="7"/>
      <c r="M1115" s="7"/>
      <c r="N1115" s="7"/>
      <c r="O1115" s="7"/>
      <c r="P1115" s="7"/>
      <c r="Q1115" s="55"/>
      <c r="R1115" s="7"/>
      <c r="S1115" s="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c r="BL1115" s="7"/>
      <c r="BM1115" s="7"/>
      <c r="BN1115" s="7"/>
      <c r="BO1115" s="7"/>
      <c r="BP1115" s="7"/>
      <c r="BQ1115" s="7"/>
      <c r="BR1115" s="7"/>
      <c r="BS1115" s="7"/>
      <c r="BT1115" s="7"/>
      <c r="BU1115" s="7"/>
      <c r="BV1115" s="7"/>
      <c r="BW1115" s="7"/>
      <c r="BX1115" s="7"/>
      <c r="BY1115" s="7"/>
      <c r="BZ1115" s="41"/>
      <c r="CA1115" s="7"/>
      <c r="CB1115" s="7"/>
      <c r="CC1115" s="7"/>
      <c r="CD1115" s="7"/>
      <c r="CE1115" s="7"/>
      <c r="CF1115" s="7"/>
    </row>
    <row r="1116">
      <c r="A1116" s="7"/>
      <c r="B1116" s="55"/>
      <c r="C1116" s="7"/>
      <c r="D1116" s="7"/>
      <c r="E1116" s="7"/>
      <c r="F1116" s="7"/>
      <c r="G1116" s="55"/>
      <c r="H1116" s="7"/>
      <c r="I1116" s="7"/>
      <c r="J1116" s="7"/>
      <c r="K1116" s="7"/>
      <c r="L1116" s="7"/>
      <c r="M1116" s="7"/>
      <c r="N1116" s="7"/>
      <c r="O1116" s="7"/>
      <c r="P1116" s="7"/>
      <c r="Q1116" s="55"/>
      <c r="R1116" s="7"/>
      <c r="S1116" s="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c r="BE1116" s="7"/>
      <c r="BF1116" s="7"/>
      <c r="BG1116" s="7"/>
      <c r="BH1116" s="7"/>
      <c r="BI1116" s="7"/>
      <c r="BJ1116" s="7"/>
      <c r="BK1116" s="7"/>
      <c r="BL1116" s="7"/>
      <c r="BM1116" s="7"/>
      <c r="BN1116" s="7"/>
      <c r="BO1116" s="7"/>
      <c r="BP1116" s="7"/>
      <c r="BQ1116" s="7"/>
      <c r="BR1116" s="7"/>
      <c r="BS1116" s="7"/>
      <c r="BT1116" s="7"/>
      <c r="BU1116" s="7"/>
      <c r="BV1116" s="7"/>
      <c r="BW1116" s="7"/>
      <c r="BX1116" s="7"/>
      <c r="BY1116" s="7"/>
      <c r="BZ1116" s="41"/>
      <c r="CA1116" s="7"/>
      <c r="CB1116" s="7"/>
      <c r="CC1116" s="7"/>
      <c r="CD1116" s="7"/>
      <c r="CE1116" s="7"/>
      <c r="CF1116" s="7"/>
    </row>
    <row r="1117">
      <c r="A1117" s="7"/>
      <c r="B1117" s="55"/>
      <c r="C1117" s="7"/>
      <c r="D1117" s="7"/>
      <c r="E1117" s="7"/>
      <c r="F1117" s="7"/>
      <c r="G1117" s="55"/>
      <c r="H1117" s="7"/>
      <c r="I1117" s="7"/>
      <c r="J1117" s="7"/>
      <c r="K1117" s="7"/>
      <c r="L1117" s="7"/>
      <c r="M1117" s="7"/>
      <c r="N1117" s="7"/>
      <c r="O1117" s="7"/>
      <c r="P1117" s="7"/>
      <c r="Q1117" s="55"/>
      <c r="R1117" s="7"/>
      <c r="S1117" s="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c r="BL1117" s="7"/>
      <c r="BM1117" s="7"/>
      <c r="BN1117" s="7"/>
      <c r="BO1117" s="7"/>
      <c r="BP1117" s="7"/>
      <c r="BQ1117" s="7"/>
      <c r="BR1117" s="7"/>
      <c r="BS1117" s="7"/>
      <c r="BT1117" s="7"/>
      <c r="BU1117" s="7"/>
      <c r="BV1117" s="7"/>
      <c r="BW1117" s="7"/>
      <c r="BX1117" s="7"/>
      <c r="BY1117" s="7"/>
      <c r="BZ1117" s="41"/>
      <c r="CA1117" s="7"/>
      <c r="CB1117" s="7"/>
      <c r="CC1117" s="7"/>
      <c r="CD1117" s="7"/>
      <c r="CE1117" s="7"/>
      <c r="CF1117" s="7"/>
    </row>
    <row r="1118">
      <c r="A1118" s="7"/>
      <c r="B1118" s="55"/>
      <c r="C1118" s="7"/>
      <c r="D1118" s="7"/>
      <c r="E1118" s="7"/>
      <c r="F1118" s="7"/>
      <c r="G1118" s="55"/>
      <c r="H1118" s="7"/>
      <c r="I1118" s="7"/>
      <c r="J1118" s="7"/>
      <c r="K1118" s="7"/>
      <c r="L1118" s="7"/>
      <c r="M1118" s="7"/>
      <c r="N1118" s="7"/>
      <c r="O1118" s="7"/>
      <c r="P1118" s="7"/>
      <c r="Q1118" s="55"/>
      <c r="R1118" s="7"/>
      <c r="S1118" s="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c r="BE1118" s="7"/>
      <c r="BF1118" s="7"/>
      <c r="BG1118" s="7"/>
      <c r="BH1118" s="7"/>
      <c r="BI1118" s="7"/>
      <c r="BJ1118" s="7"/>
      <c r="BK1118" s="7"/>
      <c r="BL1118" s="7"/>
      <c r="BM1118" s="7"/>
      <c r="BN1118" s="7"/>
      <c r="BO1118" s="7"/>
      <c r="BP1118" s="7"/>
      <c r="BQ1118" s="7"/>
      <c r="BR1118" s="7"/>
      <c r="BS1118" s="7"/>
      <c r="BT1118" s="7"/>
      <c r="BU1118" s="7"/>
      <c r="BV1118" s="7"/>
      <c r="BW1118" s="7"/>
      <c r="BX1118" s="7"/>
      <c r="BY1118" s="7"/>
      <c r="BZ1118" s="41"/>
      <c r="CA1118" s="7"/>
      <c r="CB1118" s="7"/>
      <c r="CC1118" s="7"/>
      <c r="CD1118" s="7"/>
      <c r="CE1118" s="7"/>
      <c r="CF1118" s="7"/>
    </row>
    <row r="1119">
      <c r="A1119" s="7"/>
      <c r="B1119" s="55"/>
      <c r="C1119" s="7"/>
      <c r="D1119" s="7"/>
      <c r="E1119" s="7"/>
      <c r="F1119" s="7"/>
      <c r="G1119" s="55"/>
      <c r="H1119" s="7"/>
      <c r="I1119" s="7"/>
      <c r="J1119" s="7"/>
      <c r="K1119" s="7"/>
      <c r="L1119" s="7"/>
      <c r="M1119" s="7"/>
      <c r="N1119" s="7"/>
      <c r="O1119" s="7"/>
      <c r="P1119" s="7"/>
      <c r="Q1119" s="55"/>
      <c r="R1119" s="7"/>
      <c r="S1119" s="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c r="BL1119" s="7"/>
      <c r="BM1119" s="7"/>
      <c r="BN1119" s="7"/>
      <c r="BO1119" s="7"/>
      <c r="BP1119" s="7"/>
      <c r="BQ1119" s="7"/>
      <c r="BR1119" s="7"/>
      <c r="BS1119" s="7"/>
      <c r="BT1119" s="7"/>
      <c r="BU1119" s="7"/>
      <c r="BV1119" s="7"/>
      <c r="BW1119" s="7"/>
      <c r="BX1119" s="7"/>
      <c r="BY1119" s="7"/>
      <c r="BZ1119" s="41"/>
      <c r="CA1119" s="7"/>
      <c r="CB1119" s="7"/>
      <c r="CC1119" s="7"/>
      <c r="CD1119" s="7"/>
      <c r="CE1119" s="7"/>
      <c r="CF1119" s="7"/>
    </row>
    <row r="1120">
      <c r="A1120" s="7"/>
      <c r="B1120" s="55"/>
      <c r="C1120" s="7"/>
      <c r="D1120" s="7"/>
      <c r="E1120" s="7"/>
      <c r="F1120" s="7"/>
      <c r="G1120" s="55"/>
      <c r="H1120" s="7"/>
      <c r="I1120" s="7"/>
      <c r="J1120" s="7"/>
      <c r="K1120" s="7"/>
      <c r="L1120" s="7"/>
      <c r="M1120" s="7"/>
      <c r="N1120" s="7"/>
      <c r="O1120" s="7"/>
      <c r="P1120" s="7"/>
      <c r="Q1120" s="55"/>
      <c r="R1120" s="7"/>
      <c r="S1120" s="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c r="BL1120" s="7"/>
      <c r="BM1120" s="7"/>
      <c r="BN1120" s="7"/>
      <c r="BO1120" s="7"/>
      <c r="BP1120" s="7"/>
      <c r="BQ1120" s="7"/>
      <c r="BR1120" s="7"/>
      <c r="BS1120" s="7"/>
      <c r="BT1120" s="7"/>
      <c r="BU1120" s="7"/>
      <c r="BV1120" s="7"/>
      <c r="BW1120" s="7"/>
      <c r="BX1120" s="7"/>
      <c r="BY1120" s="7"/>
      <c r="BZ1120" s="41"/>
      <c r="CA1120" s="7"/>
      <c r="CB1120" s="7"/>
      <c r="CC1120" s="7"/>
      <c r="CD1120" s="7"/>
      <c r="CE1120" s="7"/>
      <c r="CF1120" s="7"/>
    </row>
    <row r="1121">
      <c r="A1121" s="7"/>
      <c r="B1121" s="55"/>
      <c r="C1121" s="7"/>
      <c r="D1121" s="7"/>
      <c r="E1121" s="7"/>
      <c r="F1121" s="7"/>
      <c r="G1121" s="55"/>
      <c r="H1121" s="7"/>
      <c r="I1121" s="7"/>
      <c r="J1121" s="7"/>
      <c r="K1121" s="7"/>
      <c r="L1121" s="7"/>
      <c r="M1121" s="7"/>
      <c r="N1121" s="7"/>
      <c r="O1121" s="7"/>
      <c r="P1121" s="7"/>
      <c r="Q1121" s="55"/>
      <c r="R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c r="BW1121" s="7"/>
      <c r="BX1121" s="7"/>
      <c r="BY1121" s="7"/>
      <c r="BZ1121" s="41"/>
      <c r="CA1121" s="7"/>
      <c r="CB1121" s="7"/>
      <c r="CC1121" s="7"/>
      <c r="CD1121" s="7"/>
      <c r="CE1121" s="7"/>
      <c r="CF1121" s="7"/>
    </row>
    <row r="1122">
      <c r="A1122" s="7"/>
      <c r="B1122" s="55"/>
      <c r="C1122" s="7"/>
      <c r="D1122" s="7"/>
      <c r="E1122" s="7"/>
      <c r="F1122" s="7"/>
      <c r="G1122" s="55"/>
      <c r="H1122" s="7"/>
      <c r="I1122" s="7"/>
      <c r="J1122" s="7"/>
      <c r="K1122" s="7"/>
      <c r="L1122" s="7"/>
      <c r="M1122" s="7"/>
      <c r="N1122" s="7"/>
      <c r="O1122" s="7"/>
      <c r="P1122" s="7"/>
      <c r="Q1122" s="55"/>
      <c r="R1122" s="7"/>
      <c r="S1122" s="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c r="BL1122" s="7"/>
      <c r="BM1122" s="7"/>
      <c r="BN1122" s="7"/>
      <c r="BO1122" s="7"/>
      <c r="BP1122" s="7"/>
      <c r="BQ1122" s="7"/>
      <c r="BR1122" s="7"/>
      <c r="BS1122" s="7"/>
      <c r="BT1122" s="7"/>
      <c r="BU1122" s="7"/>
      <c r="BV1122" s="7"/>
      <c r="BW1122" s="7"/>
      <c r="BX1122" s="7"/>
      <c r="BY1122" s="7"/>
      <c r="BZ1122" s="41"/>
      <c r="CA1122" s="7"/>
      <c r="CB1122" s="7"/>
      <c r="CC1122" s="7"/>
      <c r="CD1122" s="7"/>
      <c r="CE1122" s="7"/>
      <c r="CF1122" s="7"/>
    </row>
    <row r="1123">
      <c r="A1123" s="7"/>
      <c r="B1123" s="55"/>
      <c r="C1123" s="7"/>
      <c r="D1123" s="7"/>
      <c r="E1123" s="7"/>
      <c r="F1123" s="7"/>
      <c r="G1123" s="55"/>
      <c r="H1123" s="7"/>
      <c r="I1123" s="7"/>
      <c r="J1123" s="7"/>
      <c r="K1123" s="7"/>
      <c r="L1123" s="7"/>
      <c r="M1123" s="7"/>
      <c r="N1123" s="7"/>
      <c r="O1123" s="7"/>
      <c r="P1123" s="7"/>
      <c r="Q1123" s="55"/>
      <c r="R1123" s="7"/>
      <c r="S1123" s="7"/>
      <c r="T1123" s="7"/>
      <c r="U1123" s="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c r="BL1123" s="7"/>
      <c r="BM1123" s="7"/>
      <c r="BN1123" s="7"/>
      <c r="BO1123" s="7"/>
      <c r="BP1123" s="7"/>
      <c r="BQ1123" s="7"/>
      <c r="BR1123" s="7"/>
      <c r="BS1123" s="7"/>
      <c r="BT1123" s="7"/>
      <c r="BU1123" s="7"/>
      <c r="BV1123" s="7"/>
      <c r="BW1123" s="7"/>
      <c r="BX1123" s="7"/>
      <c r="BY1123" s="7"/>
      <c r="BZ1123" s="41"/>
      <c r="CA1123" s="7"/>
      <c r="CB1123" s="7"/>
      <c r="CC1123" s="7"/>
      <c r="CD1123" s="7"/>
      <c r="CE1123" s="7"/>
      <c r="CF1123" s="7"/>
    </row>
    <row r="1124">
      <c r="A1124" s="7"/>
      <c r="B1124" s="55"/>
      <c r="C1124" s="7"/>
      <c r="D1124" s="7"/>
      <c r="E1124" s="7"/>
      <c r="F1124" s="7"/>
      <c r="G1124" s="55"/>
      <c r="H1124" s="7"/>
      <c r="I1124" s="7"/>
      <c r="J1124" s="7"/>
      <c r="K1124" s="7"/>
      <c r="L1124" s="7"/>
      <c r="M1124" s="7"/>
      <c r="N1124" s="7"/>
      <c r="O1124" s="7"/>
      <c r="P1124" s="7"/>
      <c r="Q1124" s="55"/>
      <c r="R1124" s="7"/>
      <c r="S1124" s="7"/>
      <c r="T1124" s="7"/>
      <c r="U1124" s="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c r="BL1124" s="7"/>
      <c r="BM1124" s="7"/>
      <c r="BN1124" s="7"/>
      <c r="BO1124" s="7"/>
      <c r="BP1124" s="7"/>
      <c r="BQ1124" s="7"/>
      <c r="BR1124" s="7"/>
      <c r="BS1124" s="7"/>
      <c r="BT1124" s="7"/>
      <c r="BU1124" s="7"/>
      <c r="BV1124" s="7"/>
      <c r="BW1124" s="7"/>
      <c r="BX1124" s="7"/>
      <c r="BY1124" s="7"/>
      <c r="BZ1124" s="41"/>
      <c r="CA1124" s="7"/>
      <c r="CB1124" s="7"/>
      <c r="CC1124" s="7"/>
      <c r="CD1124" s="7"/>
      <c r="CE1124" s="7"/>
      <c r="CF1124" s="7"/>
    </row>
    <row r="1125">
      <c r="A1125" s="7"/>
      <c r="B1125" s="55"/>
      <c r="C1125" s="7"/>
      <c r="D1125" s="7"/>
      <c r="E1125" s="7"/>
      <c r="F1125" s="7"/>
      <c r="G1125" s="55"/>
      <c r="H1125" s="7"/>
      <c r="I1125" s="7"/>
      <c r="J1125" s="7"/>
      <c r="K1125" s="7"/>
      <c r="L1125" s="7"/>
      <c r="M1125" s="7"/>
      <c r="N1125" s="7"/>
      <c r="O1125" s="7"/>
      <c r="P1125" s="7"/>
      <c r="Q1125" s="55"/>
      <c r="R1125" s="7"/>
      <c r="S1125" s="7"/>
      <c r="T1125" s="7"/>
      <c r="U1125" s="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c r="BL1125" s="7"/>
      <c r="BM1125" s="7"/>
      <c r="BN1125" s="7"/>
      <c r="BO1125" s="7"/>
      <c r="BP1125" s="7"/>
      <c r="BQ1125" s="7"/>
      <c r="BR1125" s="7"/>
      <c r="BS1125" s="7"/>
      <c r="BT1125" s="7"/>
      <c r="BU1125" s="7"/>
      <c r="BV1125" s="7"/>
      <c r="BW1125" s="7"/>
      <c r="BX1125" s="7"/>
      <c r="BY1125" s="7"/>
      <c r="BZ1125" s="41"/>
      <c r="CA1125" s="7"/>
      <c r="CB1125" s="7"/>
      <c r="CC1125" s="7"/>
      <c r="CD1125" s="7"/>
      <c r="CE1125" s="7"/>
      <c r="CF1125" s="7"/>
    </row>
    <row r="1126">
      <c r="A1126" s="7"/>
      <c r="B1126" s="55"/>
      <c r="C1126" s="7"/>
      <c r="D1126" s="7"/>
      <c r="E1126" s="7"/>
      <c r="F1126" s="7"/>
      <c r="G1126" s="55"/>
      <c r="H1126" s="7"/>
      <c r="I1126" s="7"/>
      <c r="J1126" s="7"/>
      <c r="K1126" s="7"/>
      <c r="L1126" s="7"/>
      <c r="M1126" s="7"/>
      <c r="N1126" s="7"/>
      <c r="O1126" s="7"/>
      <c r="P1126" s="7"/>
      <c r="Q1126" s="55"/>
      <c r="R1126" s="7"/>
      <c r="S1126" s="7"/>
      <c r="T1126" s="7"/>
      <c r="U1126" s="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c r="AS1126" s="7"/>
      <c r="AT1126" s="7"/>
      <c r="AU1126" s="7"/>
      <c r="AV1126" s="7"/>
      <c r="AW1126" s="7"/>
      <c r="AX1126" s="7"/>
      <c r="AY1126" s="7"/>
      <c r="AZ1126" s="7"/>
      <c r="BA1126" s="7"/>
      <c r="BB1126" s="7"/>
      <c r="BC1126" s="7"/>
      <c r="BD1126" s="7"/>
      <c r="BE1126" s="7"/>
      <c r="BF1126" s="7"/>
      <c r="BG1126" s="7"/>
      <c r="BH1126" s="7"/>
      <c r="BI1126" s="7"/>
      <c r="BJ1126" s="7"/>
      <c r="BK1126" s="7"/>
      <c r="BL1126" s="7"/>
      <c r="BM1126" s="7"/>
      <c r="BN1126" s="7"/>
      <c r="BO1126" s="7"/>
      <c r="BP1126" s="7"/>
      <c r="BQ1126" s="7"/>
      <c r="BR1126" s="7"/>
      <c r="BS1126" s="7"/>
      <c r="BT1126" s="7"/>
      <c r="BU1126" s="7"/>
      <c r="BV1126" s="7"/>
      <c r="BW1126" s="7"/>
      <c r="BX1126" s="7"/>
      <c r="BY1126" s="7"/>
      <c r="BZ1126" s="41"/>
      <c r="CA1126" s="7"/>
      <c r="CB1126" s="7"/>
      <c r="CC1126" s="7"/>
      <c r="CD1126" s="7"/>
      <c r="CE1126" s="7"/>
      <c r="CF1126" s="7"/>
    </row>
    <row r="1127">
      <c r="A1127" s="7"/>
      <c r="B1127" s="55"/>
      <c r="C1127" s="7"/>
      <c r="D1127" s="7"/>
      <c r="E1127" s="7"/>
      <c r="F1127" s="7"/>
      <c r="G1127" s="55"/>
      <c r="H1127" s="7"/>
      <c r="I1127" s="7"/>
      <c r="J1127" s="7"/>
      <c r="K1127" s="7"/>
      <c r="L1127" s="7"/>
      <c r="M1127" s="7"/>
      <c r="N1127" s="7"/>
      <c r="O1127" s="7"/>
      <c r="P1127" s="7"/>
      <c r="Q1127" s="55"/>
      <c r="R1127" s="7"/>
      <c r="S1127" s="7"/>
      <c r="T1127" s="7"/>
      <c r="U1127" s="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c r="BL1127" s="7"/>
      <c r="BM1127" s="7"/>
      <c r="BN1127" s="7"/>
      <c r="BO1127" s="7"/>
      <c r="BP1127" s="7"/>
      <c r="BQ1127" s="7"/>
      <c r="BR1127" s="7"/>
      <c r="BS1127" s="7"/>
      <c r="BT1127" s="7"/>
      <c r="BU1127" s="7"/>
      <c r="BV1127" s="7"/>
      <c r="BW1127" s="7"/>
      <c r="BX1127" s="7"/>
      <c r="BY1127" s="7"/>
      <c r="BZ1127" s="41"/>
      <c r="CA1127" s="7"/>
      <c r="CB1127" s="7"/>
      <c r="CC1127" s="7"/>
      <c r="CD1127" s="7"/>
      <c r="CE1127" s="7"/>
      <c r="CF1127" s="7"/>
    </row>
    <row r="1128">
      <c r="A1128" s="7"/>
      <c r="B1128" s="55"/>
      <c r="C1128" s="7"/>
      <c r="D1128" s="7"/>
      <c r="E1128" s="7"/>
      <c r="F1128" s="7"/>
      <c r="G1128" s="55"/>
      <c r="H1128" s="7"/>
      <c r="I1128" s="7"/>
      <c r="J1128" s="7"/>
      <c r="K1128" s="7"/>
      <c r="L1128" s="7"/>
      <c r="M1128" s="7"/>
      <c r="N1128" s="7"/>
      <c r="O1128" s="7"/>
      <c r="P1128" s="7"/>
      <c r="Q1128" s="55"/>
      <c r="R1128" s="7"/>
      <c r="S1128" s="7"/>
      <c r="T1128" s="7"/>
      <c r="U1128" s="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c r="BL1128" s="7"/>
      <c r="BM1128" s="7"/>
      <c r="BN1128" s="7"/>
      <c r="BO1128" s="7"/>
      <c r="BP1128" s="7"/>
      <c r="BQ1128" s="7"/>
      <c r="BR1128" s="7"/>
      <c r="BS1128" s="7"/>
      <c r="BT1128" s="7"/>
      <c r="BU1128" s="7"/>
      <c r="BV1128" s="7"/>
      <c r="BW1128" s="7"/>
      <c r="BX1128" s="7"/>
      <c r="BY1128" s="7"/>
      <c r="BZ1128" s="41"/>
      <c r="CA1128" s="7"/>
      <c r="CB1128" s="7"/>
      <c r="CC1128" s="7"/>
      <c r="CD1128" s="7"/>
      <c r="CE1128" s="7"/>
      <c r="CF1128" s="7"/>
    </row>
    <row r="1129">
      <c r="A1129" s="7"/>
      <c r="B1129" s="55"/>
      <c r="C1129" s="7"/>
      <c r="D1129" s="7"/>
      <c r="E1129" s="7"/>
      <c r="F1129" s="7"/>
      <c r="G1129" s="55"/>
      <c r="H1129" s="7"/>
      <c r="I1129" s="7"/>
      <c r="J1129" s="7"/>
      <c r="K1129" s="7"/>
      <c r="L1129" s="7"/>
      <c r="M1129" s="7"/>
      <c r="N1129" s="7"/>
      <c r="O1129" s="7"/>
      <c r="P1129" s="7"/>
      <c r="Q1129" s="55"/>
      <c r="R1129" s="7"/>
      <c r="S1129" s="7"/>
      <c r="T1129" s="7"/>
      <c r="U1129" s="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c r="BE1129" s="7"/>
      <c r="BF1129" s="7"/>
      <c r="BG1129" s="7"/>
      <c r="BH1129" s="7"/>
      <c r="BI1129" s="7"/>
      <c r="BJ1129" s="7"/>
      <c r="BK1129" s="7"/>
      <c r="BL1129" s="7"/>
      <c r="BM1129" s="7"/>
      <c r="BN1129" s="7"/>
      <c r="BO1129" s="7"/>
      <c r="BP1129" s="7"/>
      <c r="BQ1129" s="7"/>
      <c r="BR1129" s="7"/>
      <c r="BS1129" s="7"/>
      <c r="BT1129" s="7"/>
      <c r="BU1129" s="7"/>
      <c r="BV1129" s="7"/>
      <c r="BW1129" s="7"/>
      <c r="BX1129" s="7"/>
      <c r="BY1129" s="7"/>
      <c r="BZ1129" s="41"/>
      <c r="CA1129" s="7"/>
      <c r="CB1129" s="7"/>
      <c r="CC1129" s="7"/>
      <c r="CD1129" s="7"/>
      <c r="CE1129" s="7"/>
      <c r="CF1129" s="7"/>
    </row>
    <row r="1130">
      <c r="A1130" s="7"/>
      <c r="B1130" s="55"/>
      <c r="C1130" s="7"/>
      <c r="D1130" s="7"/>
      <c r="E1130" s="7"/>
      <c r="F1130" s="7"/>
      <c r="G1130" s="55"/>
      <c r="H1130" s="7"/>
      <c r="I1130" s="7"/>
      <c r="J1130" s="7"/>
      <c r="K1130" s="7"/>
      <c r="L1130" s="7"/>
      <c r="M1130" s="7"/>
      <c r="N1130" s="7"/>
      <c r="O1130" s="7"/>
      <c r="P1130" s="7"/>
      <c r="Q1130" s="55"/>
      <c r="R1130" s="7"/>
      <c r="S1130" s="7"/>
      <c r="T1130" s="7"/>
      <c r="U1130" s="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c r="BE1130" s="7"/>
      <c r="BF1130" s="7"/>
      <c r="BG1130" s="7"/>
      <c r="BH1130" s="7"/>
      <c r="BI1130" s="7"/>
      <c r="BJ1130" s="7"/>
      <c r="BK1130" s="7"/>
      <c r="BL1130" s="7"/>
      <c r="BM1130" s="7"/>
      <c r="BN1130" s="7"/>
      <c r="BO1130" s="7"/>
      <c r="BP1130" s="7"/>
      <c r="BQ1130" s="7"/>
      <c r="BR1130" s="7"/>
      <c r="BS1130" s="7"/>
      <c r="BT1130" s="7"/>
      <c r="BU1130" s="7"/>
      <c r="BV1130" s="7"/>
      <c r="BW1130" s="7"/>
      <c r="BX1130" s="7"/>
      <c r="BY1130" s="7"/>
      <c r="BZ1130" s="41"/>
      <c r="CA1130" s="7"/>
      <c r="CB1130" s="7"/>
      <c r="CC1130" s="7"/>
      <c r="CD1130" s="7"/>
      <c r="CE1130" s="7"/>
      <c r="CF1130" s="7"/>
    </row>
    <row r="1131">
      <c r="A1131" s="7"/>
      <c r="B1131" s="55"/>
      <c r="C1131" s="7"/>
      <c r="D1131" s="7"/>
      <c r="E1131" s="7"/>
      <c r="F1131" s="7"/>
      <c r="G1131" s="55"/>
      <c r="H1131" s="7"/>
      <c r="I1131" s="7"/>
      <c r="J1131" s="7"/>
      <c r="K1131" s="7"/>
      <c r="L1131" s="7"/>
      <c r="M1131" s="7"/>
      <c r="N1131" s="7"/>
      <c r="O1131" s="7"/>
      <c r="P1131" s="7"/>
      <c r="Q1131" s="55"/>
      <c r="R1131" s="7"/>
      <c r="S1131" s="7"/>
      <c r="T1131" s="7"/>
      <c r="U1131" s="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c r="BL1131" s="7"/>
      <c r="BM1131" s="7"/>
      <c r="BN1131" s="7"/>
      <c r="BO1131" s="7"/>
      <c r="BP1131" s="7"/>
      <c r="BQ1131" s="7"/>
      <c r="BR1131" s="7"/>
      <c r="BS1131" s="7"/>
      <c r="BT1131" s="7"/>
      <c r="BU1131" s="7"/>
      <c r="BV1131" s="7"/>
      <c r="BW1131" s="7"/>
      <c r="BX1131" s="7"/>
      <c r="BY1131" s="7"/>
      <c r="BZ1131" s="41"/>
      <c r="CA1131" s="7"/>
      <c r="CB1131" s="7"/>
      <c r="CC1131" s="7"/>
      <c r="CD1131" s="7"/>
      <c r="CE1131" s="7"/>
      <c r="CF1131" s="7"/>
    </row>
    <row r="1132">
      <c r="A1132" s="7"/>
      <c r="B1132" s="55"/>
      <c r="C1132" s="7"/>
      <c r="D1132" s="7"/>
      <c r="E1132" s="7"/>
      <c r="F1132" s="7"/>
      <c r="G1132" s="55"/>
      <c r="H1132" s="7"/>
      <c r="I1132" s="7"/>
      <c r="J1132" s="7"/>
      <c r="K1132" s="7"/>
      <c r="L1132" s="7"/>
      <c r="M1132" s="7"/>
      <c r="N1132" s="7"/>
      <c r="O1132" s="7"/>
      <c r="P1132" s="7"/>
      <c r="Q1132" s="55"/>
      <c r="R1132" s="7"/>
      <c r="S1132" s="7"/>
      <c r="T1132" s="7"/>
      <c r="U1132" s="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c r="BL1132" s="7"/>
      <c r="BM1132" s="7"/>
      <c r="BN1132" s="7"/>
      <c r="BO1132" s="7"/>
      <c r="BP1132" s="7"/>
      <c r="BQ1132" s="7"/>
      <c r="BR1132" s="7"/>
      <c r="BS1132" s="7"/>
      <c r="BT1132" s="7"/>
      <c r="BU1132" s="7"/>
      <c r="BV1132" s="7"/>
      <c r="BW1132" s="7"/>
      <c r="BX1132" s="7"/>
      <c r="BY1132" s="7"/>
      <c r="BZ1132" s="41"/>
      <c r="CA1132" s="7"/>
      <c r="CB1132" s="7"/>
      <c r="CC1132" s="7"/>
      <c r="CD1132" s="7"/>
      <c r="CE1132" s="7"/>
      <c r="CF1132" s="7"/>
    </row>
    <row r="1133">
      <c r="A1133" s="7"/>
      <c r="B1133" s="55"/>
      <c r="C1133" s="7"/>
      <c r="D1133" s="7"/>
      <c r="E1133" s="7"/>
      <c r="F1133" s="7"/>
      <c r="G1133" s="55"/>
      <c r="H1133" s="7"/>
      <c r="I1133" s="7"/>
      <c r="J1133" s="7"/>
      <c r="K1133" s="7"/>
      <c r="L1133" s="7"/>
      <c r="M1133" s="7"/>
      <c r="N1133" s="7"/>
      <c r="O1133" s="7"/>
      <c r="P1133" s="7"/>
      <c r="Q1133" s="55"/>
      <c r="R1133" s="7"/>
      <c r="S1133" s="7"/>
      <c r="T1133" s="7"/>
      <c r="U1133" s="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c r="BL1133" s="7"/>
      <c r="BM1133" s="7"/>
      <c r="BN1133" s="7"/>
      <c r="BO1133" s="7"/>
      <c r="BP1133" s="7"/>
      <c r="BQ1133" s="7"/>
      <c r="BR1133" s="7"/>
      <c r="BS1133" s="7"/>
      <c r="BT1133" s="7"/>
      <c r="BU1133" s="7"/>
      <c r="BV1133" s="7"/>
      <c r="BW1133" s="7"/>
      <c r="BX1133" s="7"/>
      <c r="BY1133" s="7"/>
      <c r="BZ1133" s="41"/>
      <c r="CA1133" s="7"/>
      <c r="CB1133" s="7"/>
      <c r="CC1133" s="7"/>
      <c r="CD1133" s="7"/>
      <c r="CE1133" s="7"/>
      <c r="CF1133" s="7"/>
    </row>
    <row r="1134">
      <c r="A1134" s="7"/>
      <c r="B1134" s="55"/>
      <c r="C1134" s="7"/>
      <c r="D1134" s="7"/>
      <c r="E1134" s="7"/>
      <c r="F1134" s="7"/>
      <c r="G1134" s="55"/>
      <c r="H1134" s="7"/>
      <c r="I1134" s="7"/>
      <c r="J1134" s="7"/>
      <c r="K1134" s="7"/>
      <c r="L1134" s="7"/>
      <c r="M1134" s="7"/>
      <c r="N1134" s="7"/>
      <c r="O1134" s="7"/>
      <c r="P1134" s="7"/>
      <c r="Q1134" s="55"/>
      <c r="R1134" s="7"/>
      <c r="S1134" s="7"/>
      <c r="T1134" s="7"/>
      <c r="U1134" s="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c r="BE1134" s="7"/>
      <c r="BF1134" s="7"/>
      <c r="BG1134" s="7"/>
      <c r="BH1134" s="7"/>
      <c r="BI1134" s="7"/>
      <c r="BJ1134" s="7"/>
      <c r="BK1134" s="7"/>
      <c r="BL1134" s="7"/>
      <c r="BM1134" s="7"/>
      <c r="BN1134" s="7"/>
      <c r="BO1134" s="7"/>
      <c r="BP1134" s="7"/>
      <c r="BQ1134" s="7"/>
      <c r="BR1134" s="7"/>
      <c r="BS1134" s="7"/>
      <c r="BT1134" s="7"/>
      <c r="BU1134" s="7"/>
      <c r="BV1134" s="7"/>
      <c r="BW1134" s="7"/>
      <c r="BX1134" s="7"/>
      <c r="BY1134" s="7"/>
      <c r="BZ1134" s="41"/>
      <c r="CA1134" s="7"/>
      <c r="CB1134" s="7"/>
      <c r="CC1134" s="7"/>
      <c r="CD1134" s="7"/>
      <c r="CE1134" s="7"/>
      <c r="CF1134" s="7"/>
    </row>
    <row r="1135">
      <c r="A1135" s="7"/>
      <c r="B1135" s="55"/>
      <c r="C1135" s="7"/>
      <c r="D1135" s="7"/>
      <c r="E1135" s="7"/>
      <c r="F1135" s="7"/>
      <c r="G1135" s="55"/>
      <c r="H1135" s="7"/>
      <c r="I1135" s="7"/>
      <c r="J1135" s="7"/>
      <c r="K1135" s="7"/>
      <c r="L1135" s="7"/>
      <c r="M1135" s="7"/>
      <c r="N1135" s="7"/>
      <c r="O1135" s="7"/>
      <c r="P1135" s="7"/>
      <c r="Q1135" s="55"/>
      <c r="R1135" s="7"/>
      <c r="S1135" s="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c r="BL1135" s="7"/>
      <c r="BM1135" s="7"/>
      <c r="BN1135" s="7"/>
      <c r="BO1135" s="7"/>
      <c r="BP1135" s="7"/>
      <c r="BQ1135" s="7"/>
      <c r="BR1135" s="7"/>
      <c r="BS1135" s="7"/>
      <c r="BT1135" s="7"/>
      <c r="BU1135" s="7"/>
      <c r="BV1135" s="7"/>
      <c r="BW1135" s="7"/>
      <c r="BX1135" s="7"/>
      <c r="BY1135" s="7"/>
      <c r="BZ1135" s="41"/>
      <c r="CA1135" s="7"/>
      <c r="CB1135" s="7"/>
      <c r="CC1135" s="7"/>
      <c r="CD1135" s="7"/>
      <c r="CE1135" s="7"/>
      <c r="CF1135" s="7"/>
    </row>
    <row r="1136">
      <c r="A1136" s="7"/>
      <c r="B1136" s="55"/>
      <c r="C1136" s="7"/>
      <c r="D1136" s="7"/>
      <c r="E1136" s="7"/>
      <c r="F1136" s="7"/>
      <c r="G1136" s="55"/>
      <c r="H1136" s="7"/>
      <c r="I1136" s="7"/>
      <c r="J1136" s="7"/>
      <c r="K1136" s="7"/>
      <c r="L1136" s="7"/>
      <c r="M1136" s="7"/>
      <c r="N1136" s="7"/>
      <c r="O1136" s="7"/>
      <c r="P1136" s="7"/>
      <c r="Q1136" s="55"/>
      <c r="R1136" s="7"/>
      <c r="S1136" s="7"/>
      <c r="T1136" s="7"/>
      <c r="U1136" s="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c r="BE1136" s="7"/>
      <c r="BF1136" s="7"/>
      <c r="BG1136" s="7"/>
      <c r="BH1136" s="7"/>
      <c r="BI1136" s="7"/>
      <c r="BJ1136" s="7"/>
      <c r="BK1136" s="7"/>
      <c r="BL1136" s="7"/>
      <c r="BM1136" s="7"/>
      <c r="BN1136" s="7"/>
      <c r="BO1136" s="7"/>
      <c r="BP1136" s="7"/>
      <c r="BQ1136" s="7"/>
      <c r="BR1136" s="7"/>
      <c r="BS1136" s="7"/>
      <c r="BT1136" s="7"/>
      <c r="BU1136" s="7"/>
      <c r="BV1136" s="7"/>
      <c r="BW1136" s="7"/>
      <c r="BX1136" s="7"/>
      <c r="BY1136" s="7"/>
      <c r="BZ1136" s="41"/>
      <c r="CA1136" s="7"/>
      <c r="CB1136" s="7"/>
      <c r="CC1136" s="7"/>
      <c r="CD1136" s="7"/>
      <c r="CE1136" s="7"/>
      <c r="CF1136" s="7"/>
    </row>
    <row r="1137">
      <c r="A1137" s="7"/>
      <c r="B1137" s="55"/>
      <c r="C1137" s="7"/>
      <c r="D1137" s="7"/>
      <c r="E1137" s="7"/>
      <c r="F1137" s="7"/>
      <c r="G1137" s="55"/>
      <c r="H1137" s="7"/>
      <c r="I1137" s="7"/>
      <c r="J1137" s="7"/>
      <c r="K1137" s="7"/>
      <c r="L1137" s="7"/>
      <c r="M1137" s="7"/>
      <c r="N1137" s="7"/>
      <c r="O1137" s="7"/>
      <c r="P1137" s="7"/>
      <c r="Q1137" s="55"/>
      <c r="R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c r="BL1137" s="7"/>
      <c r="BM1137" s="7"/>
      <c r="BN1137" s="7"/>
      <c r="BO1137" s="7"/>
      <c r="BP1137" s="7"/>
      <c r="BQ1137" s="7"/>
      <c r="BR1137" s="7"/>
      <c r="BS1137" s="7"/>
      <c r="BT1137" s="7"/>
      <c r="BU1137" s="7"/>
      <c r="BV1137" s="7"/>
      <c r="BW1137" s="7"/>
      <c r="BX1137" s="7"/>
      <c r="BY1137" s="7"/>
      <c r="BZ1137" s="41"/>
      <c r="CA1137" s="7"/>
      <c r="CB1137" s="7"/>
      <c r="CC1137" s="7"/>
      <c r="CD1137" s="7"/>
      <c r="CE1137" s="7"/>
      <c r="CF1137" s="7"/>
    </row>
    <row r="1138">
      <c r="A1138" s="7"/>
      <c r="B1138" s="55"/>
      <c r="C1138" s="7"/>
      <c r="D1138" s="7"/>
      <c r="E1138" s="7"/>
      <c r="F1138" s="7"/>
      <c r="G1138" s="55"/>
      <c r="H1138" s="7"/>
      <c r="I1138" s="7"/>
      <c r="J1138" s="7"/>
      <c r="K1138" s="7"/>
      <c r="L1138" s="7"/>
      <c r="M1138" s="7"/>
      <c r="N1138" s="7"/>
      <c r="O1138" s="7"/>
      <c r="P1138" s="7"/>
      <c r="Q1138" s="55"/>
      <c r="R1138" s="7"/>
      <c r="S1138" s="7"/>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c r="BL1138" s="7"/>
      <c r="BM1138" s="7"/>
      <c r="BN1138" s="7"/>
      <c r="BO1138" s="7"/>
      <c r="BP1138" s="7"/>
      <c r="BQ1138" s="7"/>
      <c r="BR1138" s="7"/>
      <c r="BS1138" s="7"/>
      <c r="BT1138" s="7"/>
      <c r="BU1138" s="7"/>
      <c r="BV1138" s="7"/>
      <c r="BW1138" s="7"/>
      <c r="BX1138" s="7"/>
      <c r="BY1138" s="7"/>
      <c r="BZ1138" s="41"/>
      <c r="CA1138" s="7"/>
      <c r="CB1138" s="7"/>
      <c r="CC1138" s="7"/>
      <c r="CD1138" s="7"/>
      <c r="CE1138" s="7"/>
      <c r="CF1138" s="7"/>
    </row>
    <row r="1139">
      <c r="A1139" s="7"/>
      <c r="B1139" s="55"/>
      <c r="C1139" s="7"/>
      <c r="D1139" s="7"/>
      <c r="E1139" s="7"/>
      <c r="F1139" s="7"/>
      <c r="G1139" s="55"/>
      <c r="H1139" s="7"/>
      <c r="I1139" s="7"/>
      <c r="J1139" s="7"/>
      <c r="K1139" s="7"/>
      <c r="L1139" s="7"/>
      <c r="M1139" s="7"/>
      <c r="N1139" s="7"/>
      <c r="O1139" s="7"/>
      <c r="P1139" s="7"/>
      <c r="Q1139" s="55"/>
      <c r="R1139" s="7"/>
      <c r="S1139" s="7"/>
      <c r="T1139" s="7"/>
      <c r="U1139" s="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c r="BL1139" s="7"/>
      <c r="BM1139" s="7"/>
      <c r="BN1139" s="7"/>
      <c r="BO1139" s="7"/>
      <c r="BP1139" s="7"/>
      <c r="BQ1139" s="7"/>
      <c r="BR1139" s="7"/>
      <c r="BS1139" s="7"/>
      <c r="BT1139" s="7"/>
      <c r="BU1139" s="7"/>
      <c r="BV1139" s="7"/>
      <c r="BW1139" s="7"/>
      <c r="BX1139" s="7"/>
      <c r="BY1139" s="7"/>
      <c r="BZ1139" s="41"/>
      <c r="CA1139" s="7"/>
      <c r="CB1139" s="7"/>
      <c r="CC1139" s="7"/>
      <c r="CD1139" s="7"/>
      <c r="CE1139" s="7"/>
      <c r="CF1139" s="7"/>
    </row>
    <row r="1140">
      <c r="A1140" s="7"/>
      <c r="B1140" s="55"/>
      <c r="C1140" s="7"/>
      <c r="D1140" s="7"/>
      <c r="E1140" s="7"/>
      <c r="F1140" s="7"/>
      <c r="G1140" s="55"/>
      <c r="H1140" s="7"/>
      <c r="I1140" s="7"/>
      <c r="J1140" s="7"/>
      <c r="K1140" s="7"/>
      <c r="L1140" s="7"/>
      <c r="M1140" s="7"/>
      <c r="N1140" s="7"/>
      <c r="O1140" s="7"/>
      <c r="P1140" s="7"/>
      <c r="Q1140" s="55"/>
      <c r="R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c r="BL1140" s="7"/>
      <c r="BM1140" s="7"/>
      <c r="BN1140" s="7"/>
      <c r="BO1140" s="7"/>
      <c r="BP1140" s="7"/>
      <c r="BQ1140" s="7"/>
      <c r="BR1140" s="7"/>
      <c r="BS1140" s="7"/>
      <c r="BT1140" s="7"/>
      <c r="BU1140" s="7"/>
      <c r="BV1140" s="7"/>
      <c r="BW1140" s="7"/>
      <c r="BX1140" s="7"/>
      <c r="BY1140" s="7"/>
      <c r="BZ1140" s="41"/>
      <c r="CA1140" s="7"/>
      <c r="CB1140" s="7"/>
      <c r="CC1140" s="7"/>
      <c r="CD1140" s="7"/>
      <c r="CE1140" s="7"/>
      <c r="CF1140" s="7"/>
    </row>
    <row r="1141">
      <c r="A1141" s="7"/>
      <c r="B1141" s="55"/>
      <c r="C1141" s="7"/>
      <c r="D1141" s="7"/>
      <c r="E1141" s="7"/>
      <c r="F1141" s="7"/>
      <c r="G1141" s="55"/>
      <c r="H1141" s="7"/>
      <c r="I1141" s="7"/>
      <c r="J1141" s="7"/>
      <c r="K1141" s="7"/>
      <c r="L1141" s="7"/>
      <c r="M1141" s="7"/>
      <c r="N1141" s="7"/>
      <c r="O1141" s="7"/>
      <c r="P1141" s="7"/>
      <c r="Q1141" s="55"/>
      <c r="R1141" s="7"/>
      <c r="S1141" s="7"/>
      <c r="T1141" s="7"/>
      <c r="U1141" s="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c r="BL1141" s="7"/>
      <c r="BM1141" s="7"/>
      <c r="BN1141" s="7"/>
      <c r="BO1141" s="7"/>
      <c r="BP1141" s="7"/>
      <c r="BQ1141" s="7"/>
      <c r="BR1141" s="7"/>
      <c r="BS1141" s="7"/>
      <c r="BT1141" s="7"/>
      <c r="BU1141" s="7"/>
      <c r="BV1141" s="7"/>
      <c r="BW1141" s="7"/>
      <c r="BX1141" s="7"/>
      <c r="BY1141" s="7"/>
      <c r="BZ1141" s="41"/>
      <c r="CA1141" s="7"/>
      <c r="CB1141" s="7"/>
      <c r="CC1141" s="7"/>
      <c r="CD1141" s="7"/>
      <c r="CE1141" s="7"/>
      <c r="CF1141" s="7"/>
    </row>
    <row r="1142">
      <c r="A1142" s="7"/>
      <c r="B1142" s="55"/>
      <c r="C1142" s="7"/>
      <c r="D1142" s="7"/>
      <c r="E1142" s="7"/>
      <c r="F1142" s="7"/>
      <c r="G1142" s="55"/>
      <c r="H1142" s="7"/>
      <c r="I1142" s="7"/>
      <c r="J1142" s="7"/>
      <c r="K1142" s="7"/>
      <c r="L1142" s="7"/>
      <c r="M1142" s="7"/>
      <c r="N1142" s="7"/>
      <c r="O1142" s="7"/>
      <c r="P1142" s="7"/>
      <c r="Q1142" s="55"/>
      <c r="R1142" s="7"/>
      <c r="S1142" s="7"/>
      <c r="T1142" s="7"/>
      <c r="U1142" s="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c r="BL1142" s="7"/>
      <c r="BM1142" s="7"/>
      <c r="BN1142" s="7"/>
      <c r="BO1142" s="7"/>
      <c r="BP1142" s="7"/>
      <c r="BQ1142" s="7"/>
      <c r="BR1142" s="7"/>
      <c r="BS1142" s="7"/>
      <c r="BT1142" s="7"/>
      <c r="BU1142" s="7"/>
      <c r="BV1142" s="7"/>
      <c r="BW1142" s="7"/>
      <c r="BX1142" s="7"/>
      <c r="BY1142" s="7"/>
      <c r="BZ1142" s="41"/>
      <c r="CA1142" s="7"/>
      <c r="CB1142" s="7"/>
      <c r="CC1142" s="7"/>
      <c r="CD1142" s="7"/>
      <c r="CE1142" s="7"/>
      <c r="CF1142" s="7"/>
    </row>
    <row r="1143">
      <c r="A1143" s="7"/>
      <c r="B1143" s="55"/>
      <c r="C1143" s="7"/>
      <c r="D1143" s="7"/>
      <c r="E1143" s="7"/>
      <c r="F1143" s="7"/>
      <c r="G1143" s="55"/>
      <c r="H1143" s="7"/>
      <c r="I1143" s="7"/>
      <c r="J1143" s="7"/>
      <c r="K1143" s="7"/>
      <c r="L1143" s="7"/>
      <c r="M1143" s="7"/>
      <c r="N1143" s="7"/>
      <c r="O1143" s="7"/>
      <c r="P1143" s="7"/>
      <c r="Q1143" s="55"/>
      <c r="R1143" s="7"/>
      <c r="S1143" s="7"/>
      <c r="T1143" s="7"/>
      <c r="U1143" s="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c r="BL1143" s="7"/>
      <c r="BM1143" s="7"/>
      <c r="BN1143" s="7"/>
      <c r="BO1143" s="7"/>
      <c r="BP1143" s="7"/>
      <c r="BQ1143" s="7"/>
      <c r="BR1143" s="7"/>
      <c r="BS1143" s="7"/>
      <c r="BT1143" s="7"/>
      <c r="BU1143" s="7"/>
      <c r="BV1143" s="7"/>
      <c r="BW1143" s="7"/>
      <c r="BX1143" s="7"/>
      <c r="BY1143" s="7"/>
      <c r="BZ1143" s="41"/>
      <c r="CA1143" s="7"/>
      <c r="CB1143" s="7"/>
      <c r="CC1143" s="7"/>
      <c r="CD1143" s="7"/>
      <c r="CE1143" s="7"/>
      <c r="CF1143" s="7"/>
    </row>
    <row r="1144">
      <c r="A1144" s="7"/>
      <c r="B1144" s="55"/>
      <c r="C1144" s="7"/>
      <c r="D1144" s="7"/>
      <c r="E1144" s="7"/>
      <c r="F1144" s="7"/>
      <c r="G1144" s="55"/>
      <c r="H1144" s="7"/>
      <c r="I1144" s="7"/>
      <c r="J1144" s="7"/>
      <c r="K1144" s="7"/>
      <c r="L1144" s="7"/>
      <c r="M1144" s="7"/>
      <c r="N1144" s="7"/>
      <c r="O1144" s="7"/>
      <c r="P1144" s="7"/>
      <c r="Q1144" s="55"/>
      <c r="R1144" s="7"/>
      <c r="S1144" s="7"/>
      <c r="T1144" s="7"/>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c r="BE1144" s="7"/>
      <c r="BF1144" s="7"/>
      <c r="BG1144" s="7"/>
      <c r="BH1144" s="7"/>
      <c r="BI1144" s="7"/>
      <c r="BJ1144" s="7"/>
      <c r="BK1144" s="7"/>
      <c r="BL1144" s="7"/>
      <c r="BM1144" s="7"/>
      <c r="BN1144" s="7"/>
      <c r="BO1144" s="7"/>
      <c r="BP1144" s="7"/>
      <c r="BQ1144" s="7"/>
      <c r="BR1144" s="7"/>
      <c r="BS1144" s="7"/>
      <c r="BT1144" s="7"/>
      <c r="BU1144" s="7"/>
      <c r="BV1144" s="7"/>
      <c r="BW1144" s="7"/>
      <c r="BX1144" s="7"/>
      <c r="BY1144" s="7"/>
      <c r="BZ1144" s="41"/>
      <c r="CA1144" s="7"/>
      <c r="CB1144" s="7"/>
      <c r="CC1144" s="7"/>
      <c r="CD1144" s="7"/>
      <c r="CE1144" s="7"/>
      <c r="CF1144" s="7"/>
    </row>
    <row r="1145">
      <c r="A1145" s="7"/>
      <c r="B1145" s="55"/>
      <c r="C1145" s="7"/>
      <c r="D1145" s="7"/>
      <c r="E1145" s="7"/>
      <c r="F1145" s="7"/>
      <c r="G1145" s="55"/>
      <c r="H1145" s="7"/>
      <c r="I1145" s="7"/>
      <c r="J1145" s="7"/>
      <c r="K1145" s="7"/>
      <c r="L1145" s="7"/>
      <c r="M1145" s="7"/>
      <c r="N1145" s="7"/>
      <c r="O1145" s="7"/>
      <c r="P1145" s="7"/>
      <c r="Q1145" s="55"/>
      <c r="R1145" s="7"/>
      <c r="S1145" s="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c r="BL1145" s="7"/>
      <c r="BM1145" s="7"/>
      <c r="BN1145" s="7"/>
      <c r="BO1145" s="7"/>
      <c r="BP1145" s="7"/>
      <c r="BQ1145" s="7"/>
      <c r="BR1145" s="7"/>
      <c r="BS1145" s="7"/>
      <c r="BT1145" s="7"/>
      <c r="BU1145" s="7"/>
      <c r="BV1145" s="7"/>
      <c r="BW1145" s="7"/>
      <c r="BX1145" s="7"/>
      <c r="BY1145" s="7"/>
      <c r="BZ1145" s="41"/>
      <c r="CA1145" s="7"/>
      <c r="CB1145" s="7"/>
      <c r="CC1145" s="7"/>
      <c r="CD1145" s="7"/>
      <c r="CE1145" s="7"/>
      <c r="CF1145" s="7"/>
    </row>
    <row r="1146">
      <c r="A1146" s="7"/>
      <c r="B1146" s="55"/>
      <c r="C1146" s="7"/>
      <c r="D1146" s="7"/>
      <c r="E1146" s="7"/>
      <c r="F1146" s="7"/>
      <c r="G1146" s="55"/>
      <c r="H1146" s="7"/>
      <c r="I1146" s="7"/>
      <c r="J1146" s="7"/>
      <c r="K1146" s="7"/>
      <c r="L1146" s="7"/>
      <c r="M1146" s="7"/>
      <c r="N1146" s="7"/>
      <c r="O1146" s="7"/>
      <c r="P1146" s="7"/>
      <c r="Q1146" s="55"/>
      <c r="R1146" s="7"/>
      <c r="S1146" s="7"/>
      <c r="T1146" s="7"/>
      <c r="U1146" s="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c r="BE1146" s="7"/>
      <c r="BF1146" s="7"/>
      <c r="BG1146" s="7"/>
      <c r="BH1146" s="7"/>
      <c r="BI1146" s="7"/>
      <c r="BJ1146" s="7"/>
      <c r="BK1146" s="7"/>
      <c r="BL1146" s="7"/>
      <c r="BM1146" s="7"/>
      <c r="BN1146" s="7"/>
      <c r="BO1146" s="7"/>
      <c r="BP1146" s="7"/>
      <c r="BQ1146" s="7"/>
      <c r="BR1146" s="7"/>
      <c r="BS1146" s="7"/>
      <c r="BT1146" s="7"/>
      <c r="BU1146" s="7"/>
      <c r="BV1146" s="7"/>
      <c r="BW1146" s="7"/>
      <c r="BX1146" s="7"/>
      <c r="BY1146" s="7"/>
      <c r="BZ1146" s="41"/>
      <c r="CA1146" s="7"/>
      <c r="CB1146" s="7"/>
      <c r="CC1146" s="7"/>
      <c r="CD1146" s="7"/>
      <c r="CE1146" s="7"/>
      <c r="CF1146" s="7"/>
    </row>
    <row r="1147">
      <c r="A1147" s="7"/>
      <c r="B1147" s="55"/>
      <c r="C1147" s="7"/>
      <c r="D1147" s="7"/>
      <c r="E1147" s="7"/>
      <c r="F1147" s="7"/>
      <c r="G1147" s="55"/>
      <c r="H1147" s="7"/>
      <c r="I1147" s="7"/>
      <c r="J1147" s="7"/>
      <c r="K1147" s="7"/>
      <c r="L1147" s="7"/>
      <c r="M1147" s="7"/>
      <c r="N1147" s="7"/>
      <c r="O1147" s="7"/>
      <c r="P1147" s="7"/>
      <c r="Q1147" s="55"/>
      <c r="R1147" s="7"/>
      <c r="S1147" s="7"/>
      <c r="T1147" s="7"/>
      <c r="U1147" s="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c r="BL1147" s="7"/>
      <c r="BM1147" s="7"/>
      <c r="BN1147" s="7"/>
      <c r="BO1147" s="7"/>
      <c r="BP1147" s="7"/>
      <c r="BQ1147" s="7"/>
      <c r="BR1147" s="7"/>
      <c r="BS1147" s="7"/>
      <c r="BT1147" s="7"/>
      <c r="BU1147" s="7"/>
      <c r="BV1147" s="7"/>
      <c r="BW1147" s="7"/>
      <c r="BX1147" s="7"/>
      <c r="BY1147" s="7"/>
      <c r="BZ1147" s="41"/>
      <c r="CA1147" s="7"/>
      <c r="CB1147" s="7"/>
      <c r="CC1147" s="7"/>
      <c r="CD1147" s="7"/>
      <c r="CE1147" s="7"/>
      <c r="CF1147" s="7"/>
    </row>
    <row r="1148">
      <c r="A1148" s="7"/>
      <c r="B1148" s="55"/>
      <c r="C1148" s="7"/>
      <c r="D1148" s="7"/>
      <c r="E1148" s="7"/>
      <c r="F1148" s="7"/>
      <c r="G1148" s="55"/>
      <c r="H1148" s="7"/>
      <c r="I1148" s="7"/>
      <c r="J1148" s="7"/>
      <c r="K1148" s="7"/>
      <c r="L1148" s="7"/>
      <c r="M1148" s="7"/>
      <c r="N1148" s="7"/>
      <c r="O1148" s="7"/>
      <c r="P1148" s="7"/>
      <c r="Q1148" s="55"/>
      <c r="R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c r="BL1148" s="7"/>
      <c r="BM1148" s="7"/>
      <c r="BN1148" s="7"/>
      <c r="BO1148" s="7"/>
      <c r="BP1148" s="7"/>
      <c r="BQ1148" s="7"/>
      <c r="BR1148" s="7"/>
      <c r="BS1148" s="7"/>
      <c r="BT1148" s="7"/>
      <c r="BU1148" s="7"/>
      <c r="BV1148" s="7"/>
      <c r="BW1148" s="7"/>
      <c r="BX1148" s="7"/>
      <c r="BY1148" s="7"/>
      <c r="BZ1148" s="41"/>
      <c r="CA1148" s="7"/>
      <c r="CB1148" s="7"/>
      <c r="CC1148" s="7"/>
      <c r="CD1148" s="7"/>
      <c r="CE1148" s="7"/>
      <c r="CF1148" s="7"/>
    </row>
    <row r="1149">
      <c r="A1149" s="7"/>
      <c r="B1149" s="55"/>
      <c r="C1149" s="7"/>
      <c r="D1149" s="7"/>
      <c r="E1149" s="7"/>
      <c r="F1149" s="7"/>
      <c r="G1149" s="55"/>
      <c r="H1149" s="7"/>
      <c r="I1149" s="7"/>
      <c r="J1149" s="7"/>
      <c r="K1149" s="7"/>
      <c r="L1149" s="7"/>
      <c r="M1149" s="7"/>
      <c r="N1149" s="7"/>
      <c r="O1149" s="7"/>
      <c r="P1149" s="7"/>
      <c r="Q1149" s="55"/>
      <c r="R1149" s="7"/>
      <c r="S1149" s="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c r="BL1149" s="7"/>
      <c r="BM1149" s="7"/>
      <c r="BN1149" s="7"/>
      <c r="BO1149" s="7"/>
      <c r="BP1149" s="7"/>
      <c r="BQ1149" s="7"/>
      <c r="BR1149" s="7"/>
      <c r="BS1149" s="7"/>
      <c r="BT1149" s="7"/>
      <c r="BU1149" s="7"/>
      <c r="BV1149" s="7"/>
      <c r="BW1149" s="7"/>
      <c r="BX1149" s="7"/>
      <c r="BY1149" s="7"/>
      <c r="BZ1149" s="41"/>
      <c r="CA1149" s="7"/>
      <c r="CB1149" s="7"/>
      <c r="CC1149" s="7"/>
      <c r="CD1149" s="7"/>
      <c r="CE1149" s="7"/>
      <c r="CF1149" s="7"/>
    </row>
    <row r="1150">
      <c r="A1150" s="7"/>
      <c r="B1150" s="55"/>
      <c r="C1150" s="7"/>
      <c r="D1150" s="7"/>
      <c r="E1150" s="7"/>
      <c r="F1150" s="7"/>
      <c r="G1150" s="55"/>
      <c r="H1150" s="7"/>
      <c r="I1150" s="7"/>
      <c r="J1150" s="7"/>
      <c r="K1150" s="7"/>
      <c r="L1150" s="7"/>
      <c r="M1150" s="7"/>
      <c r="N1150" s="7"/>
      <c r="O1150" s="7"/>
      <c r="P1150" s="7"/>
      <c r="Q1150" s="55"/>
      <c r="R1150" s="7"/>
      <c r="S1150" s="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c r="BL1150" s="7"/>
      <c r="BM1150" s="7"/>
      <c r="BN1150" s="7"/>
      <c r="BO1150" s="7"/>
      <c r="BP1150" s="7"/>
      <c r="BQ1150" s="7"/>
      <c r="BR1150" s="7"/>
      <c r="BS1150" s="7"/>
      <c r="BT1150" s="7"/>
      <c r="BU1150" s="7"/>
      <c r="BV1150" s="7"/>
      <c r="BW1150" s="7"/>
      <c r="BX1150" s="7"/>
      <c r="BY1150" s="7"/>
      <c r="BZ1150" s="41"/>
      <c r="CA1150" s="7"/>
      <c r="CB1150" s="7"/>
      <c r="CC1150" s="7"/>
      <c r="CD1150" s="7"/>
      <c r="CE1150" s="7"/>
      <c r="CF1150" s="7"/>
    </row>
    <row r="1151">
      <c r="A1151" s="7"/>
      <c r="B1151" s="55"/>
      <c r="C1151" s="7"/>
      <c r="D1151" s="7"/>
      <c r="E1151" s="7"/>
      <c r="F1151" s="7"/>
      <c r="G1151" s="55"/>
      <c r="H1151" s="7"/>
      <c r="I1151" s="7"/>
      <c r="J1151" s="7"/>
      <c r="K1151" s="7"/>
      <c r="L1151" s="7"/>
      <c r="M1151" s="7"/>
      <c r="N1151" s="7"/>
      <c r="O1151" s="7"/>
      <c r="P1151" s="7"/>
      <c r="Q1151" s="55"/>
      <c r="R1151" s="7"/>
      <c r="S1151" s="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c r="BL1151" s="7"/>
      <c r="BM1151" s="7"/>
      <c r="BN1151" s="7"/>
      <c r="BO1151" s="7"/>
      <c r="BP1151" s="7"/>
      <c r="BQ1151" s="7"/>
      <c r="BR1151" s="7"/>
      <c r="BS1151" s="7"/>
      <c r="BT1151" s="7"/>
      <c r="BU1151" s="7"/>
      <c r="BV1151" s="7"/>
      <c r="BW1151" s="7"/>
      <c r="BX1151" s="7"/>
      <c r="BY1151" s="7"/>
      <c r="BZ1151" s="41"/>
      <c r="CA1151" s="7"/>
      <c r="CB1151" s="7"/>
      <c r="CC1151" s="7"/>
      <c r="CD1151" s="7"/>
      <c r="CE1151" s="7"/>
      <c r="CF1151" s="7"/>
    </row>
    <row r="1152">
      <c r="A1152" s="7"/>
      <c r="B1152" s="55"/>
      <c r="C1152" s="7"/>
      <c r="D1152" s="7"/>
      <c r="E1152" s="7"/>
      <c r="F1152" s="7"/>
      <c r="G1152" s="55"/>
      <c r="H1152" s="7"/>
      <c r="I1152" s="7"/>
      <c r="J1152" s="7"/>
      <c r="K1152" s="7"/>
      <c r="L1152" s="7"/>
      <c r="M1152" s="7"/>
      <c r="N1152" s="7"/>
      <c r="O1152" s="7"/>
      <c r="P1152" s="7"/>
      <c r="Q1152" s="55"/>
      <c r="R1152" s="7"/>
      <c r="S1152" s="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c r="BL1152" s="7"/>
      <c r="BM1152" s="7"/>
      <c r="BN1152" s="7"/>
      <c r="BO1152" s="7"/>
      <c r="BP1152" s="7"/>
      <c r="BQ1152" s="7"/>
      <c r="BR1152" s="7"/>
      <c r="BS1152" s="7"/>
      <c r="BT1152" s="7"/>
      <c r="BU1152" s="7"/>
      <c r="BV1152" s="7"/>
      <c r="BW1152" s="7"/>
      <c r="BX1152" s="7"/>
      <c r="BY1152" s="7"/>
      <c r="BZ1152" s="41"/>
      <c r="CA1152" s="7"/>
      <c r="CB1152" s="7"/>
      <c r="CC1152" s="7"/>
      <c r="CD1152" s="7"/>
      <c r="CE1152" s="7"/>
      <c r="CF1152" s="7"/>
    </row>
    <row r="1153">
      <c r="A1153" s="7"/>
      <c r="B1153" s="55"/>
      <c r="C1153" s="7"/>
      <c r="D1153" s="7"/>
      <c r="E1153" s="7"/>
      <c r="F1153" s="7"/>
      <c r="G1153" s="55"/>
      <c r="H1153" s="7"/>
      <c r="I1153" s="7"/>
      <c r="J1153" s="7"/>
      <c r="K1153" s="7"/>
      <c r="L1153" s="7"/>
      <c r="M1153" s="7"/>
      <c r="N1153" s="7"/>
      <c r="O1153" s="7"/>
      <c r="P1153" s="7"/>
      <c r="Q1153" s="55"/>
      <c r="R1153" s="7"/>
      <c r="S1153" s="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c r="BL1153" s="7"/>
      <c r="BM1153" s="7"/>
      <c r="BN1153" s="7"/>
      <c r="BO1153" s="7"/>
      <c r="BP1153" s="7"/>
      <c r="BQ1153" s="7"/>
      <c r="BR1153" s="7"/>
      <c r="BS1153" s="7"/>
      <c r="BT1153" s="7"/>
      <c r="BU1153" s="7"/>
      <c r="BV1153" s="7"/>
      <c r="BW1153" s="7"/>
      <c r="BX1153" s="7"/>
      <c r="BY1153" s="7"/>
      <c r="BZ1153" s="41"/>
      <c r="CA1153" s="7"/>
      <c r="CB1153" s="7"/>
      <c r="CC1153" s="7"/>
      <c r="CD1153" s="7"/>
      <c r="CE1153" s="7"/>
      <c r="CF1153" s="7"/>
    </row>
    <row r="1154">
      <c r="A1154" s="7"/>
      <c r="B1154" s="55"/>
      <c r="C1154" s="7"/>
      <c r="D1154" s="7"/>
      <c r="E1154" s="7"/>
      <c r="F1154" s="7"/>
      <c r="G1154" s="55"/>
      <c r="H1154" s="7"/>
      <c r="I1154" s="7"/>
      <c r="J1154" s="7"/>
      <c r="K1154" s="7"/>
      <c r="L1154" s="7"/>
      <c r="M1154" s="7"/>
      <c r="N1154" s="7"/>
      <c r="O1154" s="7"/>
      <c r="P1154" s="7"/>
      <c r="Q1154" s="55"/>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c r="BL1154" s="7"/>
      <c r="BM1154" s="7"/>
      <c r="BN1154" s="7"/>
      <c r="BO1154" s="7"/>
      <c r="BP1154" s="7"/>
      <c r="BQ1154" s="7"/>
      <c r="BR1154" s="7"/>
      <c r="BS1154" s="7"/>
      <c r="BT1154" s="7"/>
      <c r="BU1154" s="7"/>
      <c r="BV1154" s="7"/>
      <c r="BW1154" s="7"/>
      <c r="BX1154" s="7"/>
      <c r="BY1154" s="7"/>
      <c r="BZ1154" s="41"/>
      <c r="CA1154" s="7"/>
      <c r="CB1154" s="7"/>
      <c r="CC1154" s="7"/>
      <c r="CD1154" s="7"/>
      <c r="CE1154" s="7"/>
      <c r="CF1154" s="7"/>
    </row>
    <row r="1155">
      <c r="A1155" s="7"/>
      <c r="B1155" s="55"/>
      <c r="C1155" s="7"/>
      <c r="D1155" s="7"/>
      <c r="E1155" s="7"/>
      <c r="F1155" s="7"/>
      <c r="G1155" s="55"/>
      <c r="H1155" s="7"/>
      <c r="I1155" s="7"/>
      <c r="J1155" s="7"/>
      <c r="K1155" s="7"/>
      <c r="L1155" s="7"/>
      <c r="M1155" s="7"/>
      <c r="N1155" s="7"/>
      <c r="O1155" s="7"/>
      <c r="P1155" s="7"/>
      <c r="Q1155" s="55"/>
      <c r="R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c r="BN1155" s="7"/>
      <c r="BO1155" s="7"/>
      <c r="BP1155" s="7"/>
      <c r="BQ1155" s="7"/>
      <c r="BR1155" s="7"/>
      <c r="BS1155" s="7"/>
      <c r="BT1155" s="7"/>
      <c r="BU1155" s="7"/>
      <c r="BV1155" s="7"/>
      <c r="BW1155" s="7"/>
      <c r="BX1155" s="7"/>
      <c r="BY1155" s="7"/>
      <c r="BZ1155" s="41"/>
      <c r="CA1155" s="7"/>
      <c r="CB1155" s="7"/>
      <c r="CC1155" s="7"/>
      <c r="CD1155" s="7"/>
      <c r="CE1155" s="7"/>
      <c r="CF1155" s="7"/>
    </row>
    <row r="1156">
      <c r="A1156" s="7"/>
      <c r="B1156" s="55"/>
      <c r="C1156" s="7"/>
      <c r="D1156" s="7"/>
      <c r="E1156" s="7"/>
      <c r="F1156" s="7"/>
      <c r="G1156" s="55"/>
      <c r="H1156" s="7"/>
      <c r="I1156" s="7"/>
      <c r="J1156" s="7"/>
      <c r="K1156" s="7"/>
      <c r="L1156" s="7"/>
      <c r="M1156" s="7"/>
      <c r="N1156" s="7"/>
      <c r="O1156" s="7"/>
      <c r="P1156" s="7"/>
      <c r="Q1156" s="55"/>
      <c r="R1156" s="7"/>
      <c r="S1156" s="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c r="BL1156" s="7"/>
      <c r="BM1156" s="7"/>
      <c r="BN1156" s="7"/>
      <c r="BO1156" s="7"/>
      <c r="BP1156" s="7"/>
      <c r="BQ1156" s="7"/>
      <c r="BR1156" s="7"/>
      <c r="BS1156" s="7"/>
      <c r="BT1156" s="7"/>
      <c r="BU1156" s="7"/>
      <c r="BV1156" s="7"/>
      <c r="BW1156" s="7"/>
      <c r="BX1156" s="7"/>
      <c r="BY1156" s="7"/>
      <c r="BZ1156" s="41"/>
      <c r="CA1156" s="7"/>
      <c r="CB1156" s="7"/>
      <c r="CC1156" s="7"/>
      <c r="CD1156" s="7"/>
      <c r="CE1156" s="7"/>
      <c r="CF1156" s="7"/>
    </row>
    <row r="1157">
      <c r="A1157" s="7"/>
      <c r="B1157" s="55"/>
      <c r="C1157" s="7"/>
      <c r="D1157" s="7"/>
      <c r="E1157" s="7"/>
      <c r="F1157" s="7"/>
      <c r="G1157" s="55"/>
      <c r="H1157" s="7"/>
      <c r="I1157" s="7"/>
      <c r="J1157" s="7"/>
      <c r="K1157" s="7"/>
      <c r="L1157" s="7"/>
      <c r="M1157" s="7"/>
      <c r="N1157" s="7"/>
      <c r="O1157" s="7"/>
      <c r="P1157" s="7"/>
      <c r="Q1157" s="55"/>
      <c r="R1157" s="7"/>
      <c r="S1157" s="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c r="BL1157" s="7"/>
      <c r="BM1157" s="7"/>
      <c r="BN1157" s="7"/>
      <c r="BO1157" s="7"/>
      <c r="BP1157" s="7"/>
      <c r="BQ1157" s="7"/>
      <c r="BR1157" s="7"/>
      <c r="BS1157" s="7"/>
      <c r="BT1157" s="7"/>
      <c r="BU1157" s="7"/>
      <c r="BV1157" s="7"/>
      <c r="BW1157" s="7"/>
      <c r="BX1157" s="7"/>
      <c r="BY1157" s="7"/>
      <c r="BZ1157" s="41"/>
      <c r="CA1157" s="7"/>
      <c r="CB1157" s="7"/>
      <c r="CC1157" s="7"/>
      <c r="CD1157" s="7"/>
      <c r="CE1157" s="7"/>
      <c r="CF1157" s="7"/>
    </row>
    <row r="1158">
      <c r="A1158" s="7"/>
      <c r="B1158" s="55"/>
      <c r="C1158" s="7"/>
      <c r="D1158" s="7"/>
      <c r="E1158" s="7"/>
      <c r="F1158" s="7"/>
      <c r="G1158" s="55"/>
      <c r="H1158" s="7"/>
      <c r="I1158" s="7"/>
      <c r="J1158" s="7"/>
      <c r="K1158" s="7"/>
      <c r="L1158" s="7"/>
      <c r="M1158" s="7"/>
      <c r="N1158" s="7"/>
      <c r="O1158" s="7"/>
      <c r="P1158" s="7"/>
      <c r="Q1158" s="55"/>
      <c r="R1158" s="7"/>
      <c r="S1158" s="7"/>
      <c r="T1158" s="7"/>
      <c r="U1158" s="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c r="BE1158" s="7"/>
      <c r="BF1158" s="7"/>
      <c r="BG1158" s="7"/>
      <c r="BH1158" s="7"/>
      <c r="BI1158" s="7"/>
      <c r="BJ1158" s="7"/>
      <c r="BK1158" s="7"/>
      <c r="BL1158" s="7"/>
      <c r="BM1158" s="7"/>
      <c r="BN1158" s="7"/>
      <c r="BO1158" s="7"/>
      <c r="BP1158" s="7"/>
      <c r="BQ1158" s="7"/>
      <c r="BR1158" s="7"/>
      <c r="BS1158" s="7"/>
      <c r="BT1158" s="7"/>
      <c r="BU1158" s="7"/>
      <c r="BV1158" s="7"/>
      <c r="BW1158" s="7"/>
      <c r="BX1158" s="7"/>
      <c r="BY1158" s="7"/>
      <c r="BZ1158" s="41"/>
      <c r="CA1158" s="7"/>
      <c r="CB1158" s="7"/>
      <c r="CC1158" s="7"/>
      <c r="CD1158" s="7"/>
      <c r="CE1158" s="7"/>
      <c r="CF1158" s="7"/>
    </row>
    <row r="1159">
      <c r="A1159" s="7"/>
      <c r="B1159" s="55"/>
      <c r="C1159" s="7"/>
      <c r="D1159" s="7"/>
      <c r="E1159" s="7"/>
      <c r="F1159" s="7"/>
      <c r="G1159" s="55"/>
      <c r="H1159" s="7"/>
      <c r="I1159" s="7"/>
      <c r="J1159" s="7"/>
      <c r="K1159" s="7"/>
      <c r="L1159" s="7"/>
      <c r="M1159" s="7"/>
      <c r="N1159" s="7"/>
      <c r="O1159" s="7"/>
      <c r="P1159" s="7"/>
      <c r="Q1159" s="55"/>
      <c r="R1159" s="7"/>
      <c r="S1159" s="7"/>
      <c r="T1159" s="7"/>
      <c r="U1159" s="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c r="AY1159" s="7"/>
      <c r="AZ1159" s="7"/>
      <c r="BA1159" s="7"/>
      <c r="BB1159" s="7"/>
      <c r="BC1159" s="7"/>
      <c r="BD1159" s="7"/>
      <c r="BE1159" s="7"/>
      <c r="BF1159" s="7"/>
      <c r="BG1159" s="7"/>
      <c r="BH1159" s="7"/>
      <c r="BI1159" s="7"/>
      <c r="BJ1159" s="7"/>
      <c r="BK1159" s="7"/>
      <c r="BL1159" s="7"/>
      <c r="BM1159" s="7"/>
      <c r="BN1159" s="7"/>
      <c r="BO1159" s="7"/>
      <c r="BP1159" s="7"/>
      <c r="BQ1159" s="7"/>
      <c r="BR1159" s="7"/>
      <c r="BS1159" s="7"/>
      <c r="BT1159" s="7"/>
      <c r="BU1159" s="7"/>
      <c r="BV1159" s="7"/>
      <c r="BW1159" s="7"/>
      <c r="BX1159" s="7"/>
      <c r="BY1159" s="7"/>
      <c r="BZ1159" s="41"/>
      <c r="CA1159" s="7"/>
      <c r="CB1159" s="7"/>
      <c r="CC1159" s="7"/>
      <c r="CD1159" s="7"/>
      <c r="CE1159" s="7"/>
      <c r="CF1159" s="7"/>
    </row>
    <row r="1160">
      <c r="A1160" s="7"/>
      <c r="B1160" s="55"/>
      <c r="C1160" s="7"/>
      <c r="D1160" s="7"/>
      <c r="E1160" s="7"/>
      <c r="F1160" s="7"/>
      <c r="G1160" s="55"/>
      <c r="H1160" s="7"/>
      <c r="I1160" s="7"/>
      <c r="J1160" s="7"/>
      <c r="K1160" s="7"/>
      <c r="L1160" s="7"/>
      <c r="M1160" s="7"/>
      <c r="N1160" s="7"/>
      <c r="O1160" s="7"/>
      <c r="P1160" s="7"/>
      <c r="Q1160" s="55"/>
      <c r="R1160" s="7"/>
      <c r="S1160" s="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c r="BE1160" s="7"/>
      <c r="BF1160" s="7"/>
      <c r="BG1160" s="7"/>
      <c r="BH1160" s="7"/>
      <c r="BI1160" s="7"/>
      <c r="BJ1160" s="7"/>
      <c r="BK1160" s="7"/>
      <c r="BL1160" s="7"/>
      <c r="BM1160" s="7"/>
      <c r="BN1160" s="7"/>
      <c r="BO1160" s="7"/>
      <c r="BP1160" s="7"/>
      <c r="BQ1160" s="7"/>
      <c r="BR1160" s="7"/>
      <c r="BS1160" s="7"/>
      <c r="BT1160" s="7"/>
      <c r="BU1160" s="7"/>
      <c r="BV1160" s="7"/>
      <c r="BW1160" s="7"/>
      <c r="BX1160" s="7"/>
      <c r="BY1160" s="7"/>
      <c r="BZ1160" s="41"/>
      <c r="CA1160" s="7"/>
      <c r="CB1160" s="7"/>
      <c r="CC1160" s="7"/>
      <c r="CD1160" s="7"/>
      <c r="CE1160" s="7"/>
      <c r="CF1160" s="7"/>
    </row>
    <row r="1161">
      <c r="A1161" s="7"/>
      <c r="B1161" s="55"/>
      <c r="C1161" s="7"/>
      <c r="D1161" s="7"/>
      <c r="E1161" s="7"/>
      <c r="F1161" s="7"/>
      <c r="G1161" s="55"/>
      <c r="H1161" s="7"/>
      <c r="I1161" s="7"/>
      <c r="J1161" s="7"/>
      <c r="K1161" s="7"/>
      <c r="L1161" s="7"/>
      <c r="M1161" s="7"/>
      <c r="N1161" s="7"/>
      <c r="O1161" s="7"/>
      <c r="P1161" s="7"/>
      <c r="Q1161" s="55"/>
      <c r="R1161" s="7"/>
      <c r="S1161" s="7"/>
      <c r="T1161" s="7"/>
      <c r="U1161" s="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c r="BL1161" s="7"/>
      <c r="BM1161" s="7"/>
      <c r="BN1161" s="7"/>
      <c r="BO1161" s="7"/>
      <c r="BP1161" s="7"/>
      <c r="BQ1161" s="7"/>
      <c r="BR1161" s="7"/>
      <c r="BS1161" s="7"/>
      <c r="BT1161" s="7"/>
      <c r="BU1161" s="7"/>
      <c r="BV1161" s="7"/>
      <c r="BW1161" s="7"/>
      <c r="BX1161" s="7"/>
      <c r="BY1161" s="7"/>
      <c r="BZ1161" s="41"/>
      <c r="CA1161" s="7"/>
      <c r="CB1161" s="7"/>
      <c r="CC1161" s="7"/>
      <c r="CD1161" s="7"/>
      <c r="CE1161" s="7"/>
      <c r="CF1161" s="7"/>
    </row>
    <row r="1162">
      <c r="A1162" s="7"/>
      <c r="B1162" s="55"/>
      <c r="C1162" s="7"/>
      <c r="D1162" s="7"/>
      <c r="E1162" s="7"/>
      <c r="F1162" s="7"/>
      <c r="G1162" s="55"/>
      <c r="H1162" s="7"/>
      <c r="I1162" s="7"/>
      <c r="J1162" s="7"/>
      <c r="K1162" s="7"/>
      <c r="L1162" s="7"/>
      <c r="M1162" s="7"/>
      <c r="N1162" s="7"/>
      <c r="O1162" s="7"/>
      <c r="P1162" s="7"/>
      <c r="Q1162" s="55"/>
      <c r="R1162" s="7"/>
      <c r="S1162" s="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c r="BL1162" s="7"/>
      <c r="BM1162" s="7"/>
      <c r="BN1162" s="7"/>
      <c r="BO1162" s="7"/>
      <c r="BP1162" s="7"/>
      <c r="BQ1162" s="7"/>
      <c r="BR1162" s="7"/>
      <c r="BS1162" s="7"/>
      <c r="BT1162" s="7"/>
      <c r="BU1162" s="7"/>
      <c r="BV1162" s="7"/>
      <c r="BW1162" s="7"/>
      <c r="BX1162" s="7"/>
      <c r="BY1162" s="7"/>
      <c r="BZ1162" s="41"/>
      <c r="CA1162" s="7"/>
      <c r="CB1162" s="7"/>
      <c r="CC1162" s="7"/>
      <c r="CD1162" s="7"/>
      <c r="CE1162" s="7"/>
      <c r="CF1162" s="7"/>
    </row>
    <row r="1163">
      <c r="A1163" s="7"/>
      <c r="B1163" s="55"/>
      <c r="C1163" s="7"/>
      <c r="D1163" s="7"/>
      <c r="E1163" s="7"/>
      <c r="F1163" s="7"/>
      <c r="G1163" s="55"/>
      <c r="H1163" s="7"/>
      <c r="I1163" s="7"/>
      <c r="J1163" s="7"/>
      <c r="K1163" s="7"/>
      <c r="L1163" s="7"/>
      <c r="M1163" s="7"/>
      <c r="N1163" s="7"/>
      <c r="O1163" s="7"/>
      <c r="P1163" s="7"/>
      <c r="Q1163" s="55"/>
      <c r="R1163" s="7"/>
      <c r="S1163" s="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c r="BL1163" s="7"/>
      <c r="BM1163" s="7"/>
      <c r="BN1163" s="7"/>
      <c r="BO1163" s="7"/>
      <c r="BP1163" s="7"/>
      <c r="BQ1163" s="7"/>
      <c r="BR1163" s="7"/>
      <c r="BS1163" s="7"/>
      <c r="BT1163" s="7"/>
      <c r="BU1163" s="7"/>
      <c r="BV1163" s="7"/>
      <c r="BW1163" s="7"/>
      <c r="BX1163" s="7"/>
      <c r="BY1163" s="7"/>
      <c r="BZ1163" s="41"/>
      <c r="CA1163" s="7"/>
      <c r="CB1163" s="7"/>
      <c r="CC1163" s="7"/>
      <c r="CD1163" s="7"/>
      <c r="CE1163" s="7"/>
      <c r="CF1163" s="7"/>
    </row>
    <row r="1164">
      <c r="A1164" s="7"/>
      <c r="B1164" s="55"/>
      <c r="C1164" s="7"/>
      <c r="D1164" s="7"/>
      <c r="E1164" s="7"/>
      <c r="F1164" s="7"/>
      <c r="G1164" s="55"/>
      <c r="H1164" s="7"/>
      <c r="I1164" s="7"/>
      <c r="J1164" s="7"/>
      <c r="K1164" s="7"/>
      <c r="L1164" s="7"/>
      <c r="M1164" s="7"/>
      <c r="N1164" s="7"/>
      <c r="O1164" s="7"/>
      <c r="P1164" s="7"/>
      <c r="Q1164" s="55"/>
      <c r="R1164" s="7"/>
      <c r="S1164" s="7"/>
      <c r="T1164" s="7"/>
      <c r="U1164" s="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c r="AY1164" s="7"/>
      <c r="AZ1164" s="7"/>
      <c r="BA1164" s="7"/>
      <c r="BB1164" s="7"/>
      <c r="BC1164" s="7"/>
      <c r="BD1164" s="7"/>
      <c r="BE1164" s="7"/>
      <c r="BF1164" s="7"/>
      <c r="BG1164" s="7"/>
      <c r="BH1164" s="7"/>
      <c r="BI1164" s="7"/>
      <c r="BJ1164" s="7"/>
      <c r="BK1164" s="7"/>
      <c r="BL1164" s="7"/>
      <c r="BM1164" s="7"/>
      <c r="BN1164" s="7"/>
      <c r="BO1164" s="7"/>
      <c r="BP1164" s="7"/>
      <c r="BQ1164" s="7"/>
      <c r="BR1164" s="7"/>
      <c r="BS1164" s="7"/>
      <c r="BT1164" s="7"/>
      <c r="BU1164" s="7"/>
      <c r="BV1164" s="7"/>
      <c r="BW1164" s="7"/>
      <c r="BX1164" s="7"/>
      <c r="BY1164" s="7"/>
      <c r="BZ1164" s="41"/>
      <c r="CA1164" s="7"/>
      <c r="CB1164" s="7"/>
      <c r="CC1164" s="7"/>
      <c r="CD1164" s="7"/>
      <c r="CE1164" s="7"/>
      <c r="CF1164" s="7"/>
    </row>
    <row r="1165">
      <c r="A1165" s="7"/>
      <c r="B1165" s="55"/>
      <c r="C1165" s="7"/>
      <c r="D1165" s="7"/>
      <c r="E1165" s="7"/>
      <c r="F1165" s="7"/>
      <c r="G1165" s="55"/>
      <c r="H1165" s="7"/>
      <c r="I1165" s="7"/>
      <c r="J1165" s="7"/>
      <c r="K1165" s="7"/>
      <c r="L1165" s="7"/>
      <c r="M1165" s="7"/>
      <c r="N1165" s="7"/>
      <c r="O1165" s="7"/>
      <c r="P1165" s="7"/>
      <c r="Q1165" s="55"/>
      <c r="R1165" s="7"/>
      <c r="S1165" s="7"/>
      <c r="T1165" s="7"/>
      <c r="U1165" s="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c r="BL1165" s="7"/>
      <c r="BM1165" s="7"/>
      <c r="BN1165" s="7"/>
      <c r="BO1165" s="7"/>
      <c r="BP1165" s="7"/>
      <c r="BQ1165" s="7"/>
      <c r="BR1165" s="7"/>
      <c r="BS1165" s="7"/>
      <c r="BT1165" s="7"/>
      <c r="BU1165" s="7"/>
      <c r="BV1165" s="7"/>
      <c r="BW1165" s="7"/>
      <c r="BX1165" s="7"/>
      <c r="BY1165" s="7"/>
      <c r="BZ1165" s="41"/>
      <c r="CA1165" s="7"/>
      <c r="CB1165" s="7"/>
      <c r="CC1165" s="7"/>
      <c r="CD1165" s="7"/>
      <c r="CE1165" s="7"/>
      <c r="CF1165" s="7"/>
    </row>
    <row r="1166">
      <c r="A1166" s="7"/>
      <c r="B1166" s="55"/>
      <c r="C1166" s="7"/>
      <c r="D1166" s="7"/>
      <c r="E1166" s="7"/>
      <c r="F1166" s="7"/>
      <c r="G1166" s="55"/>
      <c r="H1166" s="7"/>
      <c r="I1166" s="7"/>
      <c r="J1166" s="7"/>
      <c r="K1166" s="7"/>
      <c r="L1166" s="7"/>
      <c r="M1166" s="7"/>
      <c r="N1166" s="7"/>
      <c r="O1166" s="7"/>
      <c r="P1166" s="7"/>
      <c r="Q1166" s="55"/>
      <c r="R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c r="BL1166" s="7"/>
      <c r="BM1166" s="7"/>
      <c r="BN1166" s="7"/>
      <c r="BO1166" s="7"/>
      <c r="BP1166" s="7"/>
      <c r="BQ1166" s="7"/>
      <c r="BR1166" s="7"/>
      <c r="BS1166" s="7"/>
      <c r="BT1166" s="7"/>
      <c r="BU1166" s="7"/>
      <c r="BV1166" s="7"/>
      <c r="BW1166" s="7"/>
      <c r="BX1166" s="7"/>
      <c r="BY1166" s="7"/>
      <c r="BZ1166" s="41"/>
      <c r="CA1166" s="7"/>
      <c r="CB1166" s="7"/>
      <c r="CC1166" s="7"/>
      <c r="CD1166" s="7"/>
      <c r="CE1166" s="7"/>
      <c r="CF1166" s="7"/>
    </row>
    <row r="1167">
      <c r="A1167" s="7"/>
      <c r="B1167" s="55"/>
      <c r="C1167" s="7"/>
      <c r="D1167" s="7"/>
      <c r="E1167" s="7"/>
      <c r="F1167" s="7"/>
      <c r="G1167" s="55"/>
      <c r="H1167" s="7"/>
      <c r="I1167" s="7"/>
      <c r="J1167" s="7"/>
      <c r="K1167" s="7"/>
      <c r="L1167" s="7"/>
      <c r="M1167" s="7"/>
      <c r="N1167" s="7"/>
      <c r="O1167" s="7"/>
      <c r="P1167" s="7"/>
      <c r="Q1167" s="55"/>
      <c r="R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c r="BN1167" s="7"/>
      <c r="BO1167" s="7"/>
      <c r="BP1167" s="7"/>
      <c r="BQ1167" s="7"/>
      <c r="BR1167" s="7"/>
      <c r="BS1167" s="7"/>
      <c r="BT1167" s="7"/>
      <c r="BU1167" s="7"/>
      <c r="BV1167" s="7"/>
      <c r="BW1167" s="7"/>
      <c r="BX1167" s="7"/>
      <c r="BY1167" s="7"/>
      <c r="BZ1167" s="41"/>
      <c r="CA1167" s="7"/>
      <c r="CB1167" s="7"/>
      <c r="CC1167" s="7"/>
      <c r="CD1167" s="7"/>
      <c r="CE1167" s="7"/>
      <c r="CF1167" s="7"/>
    </row>
    <row r="1168">
      <c r="A1168" s="7"/>
      <c r="B1168" s="55"/>
      <c r="C1168" s="7"/>
      <c r="D1168" s="7"/>
      <c r="E1168" s="7"/>
      <c r="F1168" s="7"/>
      <c r="G1168" s="55"/>
      <c r="H1168" s="7"/>
      <c r="I1168" s="7"/>
      <c r="J1168" s="7"/>
      <c r="K1168" s="7"/>
      <c r="L1168" s="7"/>
      <c r="M1168" s="7"/>
      <c r="N1168" s="7"/>
      <c r="O1168" s="7"/>
      <c r="P1168" s="7"/>
      <c r="Q1168" s="55"/>
      <c r="R1168" s="7"/>
      <c r="S1168" s="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c r="BL1168" s="7"/>
      <c r="BM1168" s="7"/>
      <c r="BN1168" s="7"/>
      <c r="BO1168" s="7"/>
      <c r="BP1168" s="7"/>
      <c r="BQ1168" s="7"/>
      <c r="BR1168" s="7"/>
      <c r="BS1168" s="7"/>
      <c r="BT1168" s="7"/>
      <c r="BU1168" s="7"/>
      <c r="BV1168" s="7"/>
      <c r="BW1168" s="7"/>
      <c r="BX1168" s="7"/>
      <c r="BY1168" s="7"/>
      <c r="BZ1168" s="41"/>
      <c r="CA1168" s="7"/>
      <c r="CB1168" s="7"/>
      <c r="CC1168" s="7"/>
      <c r="CD1168" s="7"/>
      <c r="CE1168" s="7"/>
      <c r="CF1168" s="7"/>
    </row>
    <row r="1169">
      <c r="A1169" s="7"/>
      <c r="B1169" s="55"/>
      <c r="C1169" s="7"/>
      <c r="D1169" s="7"/>
      <c r="E1169" s="7"/>
      <c r="F1169" s="7"/>
      <c r="G1169" s="55"/>
      <c r="H1169" s="7"/>
      <c r="I1169" s="7"/>
      <c r="J1169" s="7"/>
      <c r="K1169" s="7"/>
      <c r="L1169" s="7"/>
      <c r="M1169" s="7"/>
      <c r="N1169" s="7"/>
      <c r="O1169" s="7"/>
      <c r="P1169" s="7"/>
      <c r="Q1169" s="55"/>
      <c r="R1169" s="7"/>
      <c r="S1169" s="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c r="BN1169" s="7"/>
      <c r="BO1169" s="7"/>
      <c r="BP1169" s="7"/>
      <c r="BQ1169" s="7"/>
      <c r="BR1169" s="7"/>
      <c r="BS1169" s="7"/>
      <c r="BT1169" s="7"/>
      <c r="BU1169" s="7"/>
      <c r="BV1169" s="7"/>
      <c r="BW1169" s="7"/>
      <c r="BX1169" s="7"/>
      <c r="BY1169" s="7"/>
      <c r="BZ1169" s="41"/>
      <c r="CA1169" s="7"/>
      <c r="CB1169" s="7"/>
      <c r="CC1169" s="7"/>
      <c r="CD1169" s="7"/>
      <c r="CE1169" s="7"/>
      <c r="CF1169" s="7"/>
    </row>
    <row r="1170">
      <c r="A1170" s="7"/>
      <c r="B1170" s="55"/>
      <c r="C1170" s="7"/>
      <c r="D1170" s="7"/>
      <c r="E1170" s="7"/>
      <c r="F1170" s="7"/>
      <c r="G1170" s="55"/>
      <c r="H1170" s="7"/>
      <c r="I1170" s="7"/>
      <c r="J1170" s="7"/>
      <c r="K1170" s="7"/>
      <c r="L1170" s="7"/>
      <c r="M1170" s="7"/>
      <c r="N1170" s="7"/>
      <c r="O1170" s="7"/>
      <c r="P1170" s="7"/>
      <c r="Q1170" s="55"/>
      <c r="R1170" s="7"/>
      <c r="S1170" s="7"/>
      <c r="T1170" s="7"/>
      <c r="U1170" s="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c r="BL1170" s="7"/>
      <c r="BM1170" s="7"/>
      <c r="BN1170" s="7"/>
      <c r="BO1170" s="7"/>
      <c r="BP1170" s="7"/>
      <c r="BQ1170" s="7"/>
      <c r="BR1170" s="7"/>
      <c r="BS1170" s="7"/>
      <c r="BT1170" s="7"/>
      <c r="BU1170" s="7"/>
      <c r="BV1170" s="7"/>
      <c r="BW1170" s="7"/>
      <c r="BX1170" s="7"/>
      <c r="BY1170" s="7"/>
      <c r="BZ1170" s="41"/>
      <c r="CA1170" s="7"/>
      <c r="CB1170" s="7"/>
      <c r="CC1170" s="7"/>
      <c r="CD1170" s="7"/>
      <c r="CE1170" s="7"/>
      <c r="CF1170" s="7"/>
    </row>
    <row r="1171">
      <c r="A1171" s="7"/>
      <c r="B1171" s="55"/>
      <c r="C1171" s="7"/>
      <c r="D1171" s="7"/>
      <c r="E1171" s="7"/>
      <c r="F1171" s="7"/>
      <c r="G1171" s="55"/>
      <c r="H1171" s="7"/>
      <c r="I1171" s="7"/>
      <c r="J1171" s="7"/>
      <c r="K1171" s="7"/>
      <c r="L1171" s="7"/>
      <c r="M1171" s="7"/>
      <c r="N1171" s="7"/>
      <c r="O1171" s="7"/>
      <c r="P1171" s="7"/>
      <c r="Q1171" s="55"/>
      <c r="R1171" s="7"/>
      <c r="S1171" s="7"/>
      <c r="T1171" s="7"/>
      <c r="U1171" s="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c r="BL1171" s="7"/>
      <c r="BM1171" s="7"/>
      <c r="BN1171" s="7"/>
      <c r="BO1171" s="7"/>
      <c r="BP1171" s="7"/>
      <c r="BQ1171" s="7"/>
      <c r="BR1171" s="7"/>
      <c r="BS1171" s="7"/>
      <c r="BT1171" s="7"/>
      <c r="BU1171" s="7"/>
      <c r="BV1171" s="7"/>
      <c r="BW1171" s="7"/>
      <c r="BX1171" s="7"/>
      <c r="BY1171" s="7"/>
      <c r="BZ1171" s="41"/>
      <c r="CA1171" s="7"/>
      <c r="CB1171" s="7"/>
      <c r="CC1171" s="7"/>
      <c r="CD1171" s="7"/>
      <c r="CE1171" s="7"/>
      <c r="CF1171" s="7"/>
    </row>
    <row r="1172">
      <c r="A1172" s="7"/>
      <c r="B1172" s="55"/>
      <c r="C1172" s="7"/>
      <c r="D1172" s="7"/>
      <c r="E1172" s="7"/>
      <c r="F1172" s="7"/>
      <c r="G1172" s="55"/>
      <c r="H1172" s="7"/>
      <c r="I1172" s="7"/>
      <c r="J1172" s="7"/>
      <c r="K1172" s="7"/>
      <c r="L1172" s="7"/>
      <c r="M1172" s="7"/>
      <c r="N1172" s="7"/>
      <c r="O1172" s="7"/>
      <c r="P1172" s="7"/>
      <c r="Q1172" s="55"/>
      <c r="R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c r="BL1172" s="7"/>
      <c r="BM1172" s="7"/>
      <c r="BN1172" s="7"/>
      <c r="BO1172" s="7"/>
      <c r="BP1172" s="7"/>
      <c r="BQ1172" s="7"/>
      <c r="BR1172" s="7"/>
      <c r="BS1172" s="7"/>
      <c r="BT1172" s="7"/>
      <c r="BU1172" s="7"/>
      <c r="BV1172" s="7"/>
      <c r="BW1172" s="7"/>
      <c r="BX1172" s="7"/>
      <c r="BY1172" s="7"/>
      <c r="BZ1172" s="41"/>
      <c r="CA1172" s="7"/>
      <c r="CB1172" s="7"/>
      <c r="CC1172" s="7"/>
      <c r="CD1172" s="7"/>
      <c r="CE1172" s="7"/>
      <c r="CF1172" s="7"/>
    </row>
    <row r="1173">
      <c r="A1173" s="7"/>
      <c r="B1173" s="55"/>
      <c r="C1173" s="7"/>
      <c r="D1173" s="7"/>
      <c r="E1173" s="7"/>
      <c r="F1173" s="7"/>
      <c r="G1173" s="55"/>
      <c r="H1173" s="7"/>
      <c r="I1173" s="7"/>
      <c r="J1173" s="7"/>
      <c r="K1173" s="7"/>
      <c r="L1173" s="7"/>
      <c r="M1173" s="7"/>
      <c r="N1173" s="7"/>
      <c r="O1173" s="7"/>
      <c r="P1173" s="7"/>
      <c r="Q1173" s="55"/>
      <c r="R1173" s="7"/>
      <c r="S1173" s="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c r="BL1173" s="7"/>
      <c r="BM1173" s="7"/>
      <c r="BN1173" s="7"/>
      <c r="BO1173" s="7"/>
      <c r="BP1173" s="7"/>
      <c r="BQ1173" s="7"/>
      <c r="BR1173" s="7"/>
      <c r="BS1173" s="7"/>
      <c r="BT1173" s="7"/>
      <c r="BU1173" s="7"/>
      <c r="BV1173" s="7"/>
      <c r="BW1173" s="7"/>
      <c r="BX1173" s="7"/>
      <c r="BY1173" s="7"/>
      <c r="BZ1173" s="41"/>
      <c r="CA1173" s="7"/>
      <c r="CB1173" s="7"/>
      <c r="CC1173" s="7"/>
      <c r="CD1173" s="7"/>
      <c r="CE1173" s="7"/>
      <c r="CF1173" s="7"/>
    </row>
    <row r="1174">
      <c r="A1174" s="7"/>
      <c r="B1174" s="55"/>
      <c r="C1174" s="7"/>
      <c r="D1174" s="7"/>
      <c r="E1174" s="7"/>
      <c r="F1174" s="7"/>
      <c r="G1174" s="55"/>
      <c r="H1174" s="7"/>
      <c r="I1174" s="7"/>
      <c r="J1174" s="7"/>
      <c r="K1174" s="7"/>
      <c r="L1174" s="7"/>
      <c r="M1174" s="7"/>
      <c r="N1174" s="7"/>
      <c r="O1174" s="7"/>
      <c r="P1174" s="7"/>
      <c r="Q1174" s="55"/>
      <c r="R1174" s="7"/>
      <c r="S1174" s="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c r="BL1174" s="7"/>
      <c r="BM1174" s="7"/>
      <c r="BN1174" s="7"/>
      <c r="BO1174" s="7"/>
      <c r="BP1174" s="7"/>
      <c r="BQ1174" s="7"/>
      <c r="BR1174" s="7"/>
      <c r="BS1174" s="7"/>
      <c r="BT1174" s="7"/>
      <c r="BU1174" s="7"/>
      <c r="BV1174" s="7"/>
      <c r="BW1174" s="7"/>
      <c r="BX1174" s="7"/>
      <c r="BY1174" s="7"/>
      <c r="BZ1174" s="41"/>
      <c r="CA1174" s="7"/>
      <c r="CB1174" s="7"/>
      <c r="CC1174" s="7"/>
      <c r="CD1174" s="7"/>
      <c r="CE1174" s="7"/>
      <c r="CF1174" s="7"/>
    </row>
    <row r="1175">
      <c r="A1175" s="7"/>
      <c r="B1175" s="55"/>
      <c r="C1175" s="7"/>
      <c r="D1175" s="7"/>
      <c r="E1175" s="7"/>
      <c r="F1175" s="7"/>
      <c r="G1175" s="55"/>
      <c r="H1175" s="7"/>
      <c r="I1175" s="7"/>
      <c r="J1175" s="7"/>
      <c r="K1175" s="7"/>
      <c r="L1175" s="7"/>
      <c r="M1175" s="7"/>
      <c r="N1175" s="7"/>
      <c r="O1175" s="7"/>
      <c r="P1175" s="7"/>
      <c r="Q1175" s="55"/>
      <c r="R1175" s="7"/>
      <c r="S1175" s="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c r="BL1175" s="7"/>
      <c r="BM1175" s="7"/>
      <c r="BN1175" s="7"/>
      <c r="BO1175" s="7"/>
      <c r="BP1175" s="7"/>
      <c r="BQ1175" s="7"/>
      <c r="BR1175" s="7"/>
      <c r="BS1175" s="7"/>
      <c r="BT1175" s="7"/>
      <c r="BU1175" s="7"/>
      <c r="BV1175" s="7"/>
      <c r="BW1175" s="7"/>
      <c r="BX1175" s="7"/>
      <c r="BY1175" s="7"/>
      <c r="BZ1175" s="41"/>
      <c r="CA1175" s="7"/>
      <c r="CB1175" s="7"/>
      <c r="CC1175" s="7"/>
      <c r="CD1175" s="7"/>
      <c r="CE1175" s="7"/>
      <c r="CF1175" s="7"/>
    </row>
    <row r="1176">
      <c r="A1176" s="7"/>
      <c r="B1176" s="55"/>
      <c r="C1176" s="7"/>
      <c r="D1176" s="7"/>
      <c r="E1176" s="7"/>
      <c r="F1176" s="7"/>
      <c r="G1176" s="55"/>
      <c r="H1176" s="7"/>
      <c r="I1176" s="7"/>
      <c r="J1176" s="7"/>
      <c r="K1176" s="7"/>
      <c r="L1176" s="7"/>
      <c r="M1176" s="7"/>
      <c r="N1176" s="7"/>
      <c r="O1176" s="7"/>
      <c r="P1176" s="7"/>
      <c r="Q1176" s="55"/>
      <c r="R1176" s="7"/>
      <c r="S1176" s="7"/>
      <c r="T1176" s="7"/>
      <c r="U1176" s="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c r="BL1176" s="7"/>
      <c r="BM1176" s="7"/>
      <c r="BN1176" s="7"/>
      <c r="BO1176" s="7"/>
      <c r="BP1176" s="7"/>
      <c r="BQ1176" s="7"/>
      <c r="BR1176" s="7"/>
      <c r="BS1176" s="7"/>
      <c r="BT1176" s="7"/>
      <c r="BU1176" s="7"/>
      <c r="BV1176" s="7"/>
      <c r="BW1176" s="7"/>
      <c r="BX1176" s="7"/>
      <c r="BY1176" s="7"/>
      <c r="BZ1176" s="41"/>
      <c r="CA1176" s="7"/>
      <c r="CB1176" s="7"/>
      <c r="CC1176" s="7"/>
      <c r="CD1176" s="7"/>
      <c r="CE1176" s="7"/>
      <c r="CF1176" s="7"/>
    </row>
    <row r="1177">
      <c r="A1177" s="7"/>
      <c r="B1177" s="55"/>
      <c r="C1177" s="7"/>
      <c r="D1177" s="7"/>
      <c r="E1177" s="7"/>
      <c r="F1177" s="7"/>
      <c r="G1177" s="55"/>
      <c r="H1177" s="7"/>
      <c r="I1177" s="7"/>
      <c r="J1177" s="7"/>
      <c r="K1177" s="7"/>
      <c r="L1177" s="7"/>
      <c r="M1177" s="7"/>
      <c r="N1177" s="7"/>
      <c r="O1177" s="7"/>
      <c r="P1177" s="7"/>
      <c r="Q1177" s="55"/>
      <c r="R1177" s="7"/>
      <c r="S1177" s="7"/>
      <c r="T1177" s="7"/>
      <c r="U1177" s="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c r="BL1177" s="7"/>
      <c r="BM1177" s="7"/>
      <c r="BN1177" s="7"/>
      <c r="BO1177" s="7"/>
      <c r="BP1177" s="7"/>
      <c r="BQ1177" s="7"/>
      <c r="BR1177" s="7"/>
      <c r="BS1177" s="7"/>
      <c r="BT1177" s="7"/>
      <c r="BU1177" s="7"/>
      <c r="BV1177" s="7"/>
      <c r="BW1177" s="7"/>
      <c r="BX1177" s="7"/>
      <c r="BY1177" s="7"/>
      <c r="BZ1177" s="41"/>
      <c r="CA1177" s="7"/>
      <c r="CB1177" s="7"/>
      <c r="CC1177" s="7"/>
      <c r="CD1177" s="7"/>
      <c r="CE1177" s="7"/>
      <c r="CF1177" s="7"/>
    </row>
    <row r="1178">
      <c r="A1178" s="7"/>
      <c r="B1178" s="55"/>
      <c r="C1178" s="7"/>
      <c r="D1178" s="7"/>
      <c r="E1178" s="7"/>
      <c r="F1178" s="7"/>
      <c r="G1178" s="55"/>
      <c r="H1178" s="7"/>
      <c r="I1178" s="7"/>
      <c r="J1178" s="7"/>
      <c r="K1178" s="7"/>
      <c r="L1178" s="7"/>
      <c r="M1178" s="7"/>
      <c r="N1178" s="7"/>
      <c r="O1178" s="7"/>
      <c r="P1178" s="7"/>
      <c r="Q1178" s="55"/>
      <c r="R1178" s="7"/>
      <c r="S1178" s="7"/>
      <c r="T1178" s="7"/>
      <c r="U1178" s="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c r="BE1178" s="7"/>
      <c r="BF1178" s="7"/>
      <c r="BG1178" s="7"/>
      <c r="BH1178" s="7"/>
      <c r="BI1178" s="7"/>
      <c r="BJ1178" s="7"/>
      <c r="BK1178" s="7"/>
      <c r="BL1178" s="7"/>
      <c r="BM1178" s="7"/>
      <c r="BN1178" s="7"/>
      <c r="BO1178" s="7"/>
      <c r="BP1178" s="7"/>
      <c r="BQ1178" s="7"/>
      <c r="BR1178" s="7"/>
      <c r="BS1178" s="7"/>
      <c r="BT1178" s="7"/>
      <c r="BU1178" s="7"/>
      <c r="BV1178" s="7"/>
      <c r="BW1178" s="7"/>
      <c r="BX1178" s="7"/>
      <c r="BY1178" s="7"/>
      <c r="BZ1178" s="41"/>
      <c r="CA1178" s="7"/>
      <c r="CB1178" s="7"/>
      <c r="CC1178" s="7"/>
      <c r="CD1178" s="7"/>
      <c r="CE1178" s="7"/>
      <c r="CF1178" s="7"/>
    </row>
    <row r="1179">
      <c r="A1179" s="7"/>
      <c r="B1179" s="55"/>
      <c r="C1179" s="7"/>
      <c r="D1179" s="7"/>
      <c r="E1179" s="7"/>
      <c r="F1179" s="7"/>
      <c r="G1179" s="55"/>
      <c r="H1179" s="7"/>
      <c r="I1179" s="7"/>
      <c r="J1179" s="7"/>
      <c r="K1179" s="7"/>
      <c r="L1179" s="7"/>
      <c r="M1179" s="7"/>
      <c r="N1179" s="7"/>
      <c r="O1179" s="7"/>
      <c r="P1179" s="7"/>
      <c r="Q1179" s="55"/>
      <c r="R1179" s="7"/>
      <c r="S1179" s="7"/>
      <c r="T1179" s="7"/>
      <c r="U1179" s="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c r="BL1179" s="7"/>
      <c r="BM1179" s="7"/>
      <c r="BN1179" s="7"/>
      <c r="BO1179" s="7"/>
      <c r="BP1179" s="7"/>
      <c r="BQ1179" s="7"/>
      <c r="BR1179" s="7"/>
      <c r="BS1179" s="7"/>
      <c r="BT1179" s="7"/>
      <c r="BU1179" s="7"/>
      <c r="BV1179" s="7"/>
      <c r="BW1179" s="7"/>
      <c r="BX1179" s="7"/>
      <c r="BY1179" s="7"/>
      <c r="BZ1179" s="41"/>
      <c r="CA1179" s="7"/>
      <c r="CB1179" s="7"/>
      <c r="CC1179" s="7"/>
      <c r="CD1179" s="7"/>
      <c r="CE1179" s="7"/>
      <c r="CF1179" s="7"/>
    </row>
    <row r="1180">
      <c r="A1180" s="7"/>
      <c r="B1180" s="55"/>
      <c r="C1180" s="7"/>
      <c r="D1180" s="7"/>
      <c r="E1180" s="7"/>
      <c r="F1180" s="7"/>
      <c r="G1180" s="55"/>
      <c r="H1180" s="7"/>
      <c r="I1180" s="7"/>
      <c r="J1180" s="7"/>
      <c r="K1180" s="7"/>
      <c r="L1180" s="7"/>
      <c r="M1180" s="7"/>
      <c r="N1180" s="7"/>
      <c r="O1180" s="7"/>
      <c r="P1180" s="7"/>
      <c r="Q1180" s="55"/>
      <c r="R1180" s="7"/>
      <c r="S1180" s="7"/>
      <c r="T1180" s="7"/>
      <c r="U1180" s="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c r="BL1180" s="7"/>
      <c r="BM1180" s="7"/>
      <c r="BN1180" s="7"/>
      <c r="BO1180" s="7"/>
      <c r="BP1180" s="7"/>
      <c r="BQ1180" s="7"/>
      <c r="BR1180" s="7"/>
      <c r="BS1180" s="7"/>
      <c r="BT1180" s="7"/>
      <c r="BU1180" s="7"/>
      <c r="BV1180" s="7"/>
      <c r="BW1180" s="7"/>
      <c r="BX1180" s="7"/>
      <c r="BY1180" s="7"/>
      <c r="BZ1180" s="41"/>
      <c r="CA1180" s="7"/>
      <c r="CB1180" s="7"/>
      <c r="CC1180" s="7"/>
      <c r="CD1180" s="7"/>
      <c r="CE1180" s="7"/>
      <c r="CF1180" s="7"/>
    </row>
    <row r="1181">
      <c r="A1181" s="7"/>
      <c r="B1181" s="55"/>
      <c r="C1181" s="7"/>
      <c r="D1181" s="7"/>
      <c r="E1181" s="7"/>
      <c r="F1181" s="7"/>
      <c r="G1181" s="55"/>
      <c r="H1181" s="7"/>
      <c r="I1181" s="7"/>
      <c r="J1181" s="7"/>
      <c r="K1181" s="7"/>
      <c r="L1181" s="7"/>
      <c r="M1181" s="7"/>
      <c r="N1181" s="7"/>
      <c r="O1181" s="7"/>
      <c r="P1181" s="7"/>
      <c r="Q1181" s="55"/>
      <c r="R1181" s="7"/>
      <c r="S1181" s="7"/>
      <c r="T1181" s="7"/>
      <c r="U1181" s="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c r="BL1181" s="7"/>
      <c r="BM1181" s="7"/>
      <c r="BN1181" s="7"/>
      <c r="BO1181" s="7"/>
      <c r="BP1181" s="7"/>
      <c r="BQ1181" s="7"/>
      <c r="BR1181" s="7"/>
      <c r="BS1181" s="7"/>
      <c r="BT1181" s="7"/>
      <c r="BU1181" s="7"/>
      <c r="BV1181" s="7"/>
      <c r="BW1181" s="7"/>
      <c r="BX1181" s="7"/>
      <c r="BY1181" s="7"/>
      <c r="BZ1181" s="41"/>
      <c r="CA1181" s="7"/>
      <c r="CB1181" s="7"/>
      <c r="CC1181" s="7"/>
      <c r="CD1181" s="7"/>
      <c r="CE1181" s="7"/>
      <c r="CF1181" s="7"/>
    </row>
    <row r="1182">
      <c r="A1182" s="7"/>
      <c r="B1182" s="55"/>
      <c r="C1182" s="7"/>
      <c r="D1182" s="7"/>
      <c r="E1182" s="7"/>
      <c r="F1182" s="7"/>
      <c r="G1182" s="55"/>
      <c r="H1182" s="7"/>
      <c r="I1182" s="7"/>
      <c r="J1182" s="7"/>
      <c r="K1182" s="7"/>
      <c r="L1182" s="7"/>
      <c r="M1182" s="7"/>
      <c r="N1182" s="7"/>
      <c r="O1182" s="7"/>
      <c r="P1182" s="7"/>
      <c r="Q1182" s="55"/>
      <c r="R1182" s="7"/>
      <c r="S1182" s="7"/>
      <c r="T1182" s="7"/>
      <c r="U1182" s="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c r="AS1182" s="7"/>
      <c r="AT1182" s="7"/>
      <c r="AU1182" s="7"/>
      <c r="AV1182" s="7"/>
      <c r="AW1182" s="7"/>
      <c r="AX1182" s="7"/>
      <c r="AY1182" s="7"/>
      <c r="AZ1182" s="7"/>
      <c r="BA1182" s="7"/>
      <c r="BB1182" s="7"/>
      <c r="BC1182" s="7"/>
      <c r="BD1182" s="7"/>
      <c r="BE1182" s="7"/>
      <c r="BF1182" s="7"/>
      <c r="BG1182" s="7"/>
      <c r="BH1182" s="7"/>
      <c r="BI1182" s="7"/>
      <c r="BJ1182" s="7"/>
      <c r="BK1182" s="7"/>
      <c r="BL1182" s="7"/>
      <c r="BM1182" s="7"/>
      <c r="BN1182" s="7"/>
      <c r="BO1182" s="7"/>
      <c r="BP1182" s="7"/>
      <c r="BQ1182" s="7"/>
      <c r="BR1182" s="7"/>
      <c r="BS1182" s="7"/>
      <c r="BT1182" s="7"/>
      <c r="BU1182" s="7"/>
      <c r="BV1182" s="7"/>
      <c r="BW1182" s="7"/>
      <c r="BX1182" s="7"/>
      <c r="BY1182" s="7"/>
      <c r="BZ1182" s="41"/>
      <c r="CA1182" s="7"/>
      <c r="CB1182" s="7"/>
      <c r="CC1182" s="7"/>
      <c r="CD1182" s="7"/>
      <c r="CE1182" s="7"/>
      <c r="CF1182" s="7"/>
    </row>
    <row r="1183">
      <c r="A1183" s="7"/>
      <c r="B1183" s="55"/>
      <c r="C1183" s="7"/>
      <c r="D1183" s="7"/>
      <c r="E1183" s="7"/>
      <c r="F1183" s="7"/>
      <c r="G1183" s="55"/>
      <c r="H1183" s="7"/>
      <c r="I1183" s="7"/>
      <c r="J1183" s="7"/>
      <c r="K1183" s="7"/>
      <c r="L1183" s="7"/>
      <c r="M1183" s="7"/>
      <c r="N1183" s="7"/>
      <c r="O1183" s="7"/>
      <c r="P1183" s="7"/>
      <c r="Q1183" s="55"/>
      <c r="R1183" s="7"/>
      <c r="S1183" s="7"/>
      <c r="T1183" s="7"/>
      <c r="U1183" s="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c r="BL1183" s="7"/>
      <c r="BM1183" s="7"/>
      <c r="BN1183" s="7"/>
      <c r="BO1183" s="7"/>
      <c r="BP1183" s="7"/>
      <c r="BQ1183" s="7"/>
      <c r="BR1183" s="7"/>
      <c r="BS1183" s="7"/>
      <c r="BT1183" s="7"/>
      <c r="BU1183" s="7"/>
      <c r="BV1183" s="7"/>
      <c r="BW1183" s="7"/>
      <c r="BX1183" s="7"/>
      <c r="BY1183" s="7"/>
      <c r="BZ1183" s="41"/>
      <c r="CA1183" s="7"/>
      <c r="CB1183" s="7"/>
      <c r="CC1183" s="7"/>
      <c r="CD1183" s="7"/>
      <c r="CE1183" s="7"/>
      <c r="CF1183" s="7"/>
    </row>
    <row r="1184">
      <c r="A1184" s="7"/>
      <c r="B1184" s="55"/>
      <c r="C1184" s="7"/>
      <c r="D1184" s="7"/>
      <c r="E1184" s="7"/>
      <c r="F1184" s="7"/>
      <c r="G1184" s="55"/>
      <c r="H1184" s="7"/>
      <c r="I1184" s="7"/>
      <c r="J1184" s="7"/>
      <c r="K1184" s="7"/>
      <c r="L1184" s="7"/>
      <c r="M1184" s="7"/>
      <c r="N1184" s="7"/>
      <c r="O1184" s="7"/>
      <c r="P1184" s="7"/>
      <c r="Q1184" s="55"/>
      <c r="R1184" s="7"/>
      <c r="S1184" s="7"/>
      <c r="T1184" s="7"/>
      <c r="U1184" s="7"/>
      <c r="V1184" s="7"/>
      <c r="W1184" s="7"/>
      <c r="X1184" s="7"/>
      <c r="Y1184" s="7"/>
      <c r="Z1184" s="7"/>
      <c r="AA1184" s="7"/>
      <c r="AB1184" s="7"/>
      <c r="AC1184" s="7"/>
      <c r="AD1184" s="7"/>
      <c r="AE1184" s="7"/>
      <c r="AF1184" s="7"/>
      <c r="AG1184" s="7"/>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c r="BL1184" s="7"/>
      <c r="BM1184" s="7"/>
      <c r="BN1184" s="7"/>
      <c r="BO1184" s="7"/>
      <c r="BP1184" s="7"/>
      <c r="BQ1184" s="7"/>
      <c r="BR1184" s="7"/>
      <c r="BS1184" s="7"/>
      <c r="BT1184" s="7"/>
      <c r="BU1184" s="7"/>
      <c r="BV1184" s="7"/>
      <c r="BW1184" s="7"/>
      <c r="BX1184" s="7"/>
      <c r="BY1184" s="7"/>
      <c r="BZ1184" s="41"/>
      <c r="CA1184" s="7"/>
      <c r="CB1184" s="7"/>
      <c r="CC1184" s="7"/>
      <c r="CD1184" s="7"/>
      <c r="CE1184" s="7"/>
      <c r="CF1184" s="7"/>
    </row>
    <row r="1185">
      <c r="A1185" s="7"/>
      <c r="B1185" s="55"/>
      <c r="C1185" s="7"/>
      <c r="D1185" s="7"/>
      <c r="E1185" s="7"/>
      <c r="F1185" s="7"/>
      <c r="G1185" s="55"/>
      <c r="H1185" s="7"/>
      <c r="I1185" s="7"/>
      <c r="J1185" s="7"/>
      <c r="K1185" s="7"/>
      <c r="L1185" s="7"/>
      <c r="M1185" s="7"/>
      <c r="N1185" s="7"/>
      <c r="O1185" s="7"/>
      <c r="P1185" s="7"/>
      <c r="Q1185" s="55"/>
      <c r="R1185" s="7"/>
      <c r="S1185" s="7"/>
      <c r="T1185" s="7"/>
      <c r="U1185" s="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c r="BW1185" s="7"/>
      <c r="BX1185" s="7"/>
      <c r="BY1185" s="7"/>
      <c r="BZ1185" s="41"/>
      <c r="CA1185" s="7"/>
      <c r="CB1185" s="7"/>
      <c r="CC1185" s="7"/>
      <c r="CD1185" s="7"/>
      <c r="CE1185" s="7"/>
      <c r="CF1185" s="7"/>
    </row>
    <row r="1186">
      <c r="A1186" s="7"/>
      <c r="B1186" s="55"/>
      <c r="C1186" s="7"/>
      <c r="D1186" s="7"/>
      <c r="E1186" s="7"/>
      <c r="F1186" s="7"/>
      <c r="G1186" s="55"/>
      <c r="H1186" s="7"/>
      <c r="I1186" s="7"/>
      <c r="J1186" s="7"/>
      <c r="K1186" s="7"/>
      <c r="L1186" s="7"/>
      <c r="M1186" s="7"/>
      <c r="N1186" s="7"/>
      <c r="O1186" s="7"/>
      <c r="P1186" s="7"/>
      <c r="Q1186" s="55"/>
      <c r="R1186" s="7"/>
      <c r="S1186" s="7"/>
      <c r="T1186" s="7"/>
      <c r="U1186" s="7"/>
      <c r="V1186" s="7"/>
      <c r="W1186" s="7"/>
      <c r="X1186" s="7"/>
      <c r="Y1186" s="7"/>
      <c r="Z1186" s="7"/>
      <c r="AA1186" s="7"/>
      <c r="AB1186" s="7"/>
      <c r="AC1186" s="7"/>
      <c r="AD1186" s="7"/>
      <c r="AE1186" s="7"/>
      <c r="AF1186" s="7"/>
      <c r="AG1186" s="7"/>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c r="BL1186" s="7"/>
      <c r="BM1186" s="7"/>
      <c r="BN1186" s="7"/>
      <c r="BO1186" s="7"/>
      <c r="BP1186" s="7"/>
      <c r="BQ1186" s="7"/>
      <c r="BR1186" s="7"/>
      <c r="BS1186" s="7"/>
      <c r="BT1186" s="7"/>
      <c r="BU1186" s="7"/>
      <c r="BV1186" s="7"/>
      <c r="BW1186" s="7"/>
      <c r="BX1186" s="7"/>
      <c r="BY1186" s="7"/>
      <c r="BZ1186" s="41"/>
      <c r="CA1186" s="7"/>
      <c r="CB1186" s="7"/>
      <c r="CC1186" s="7"/>
      <c r="CD1186" s="7"/>
      <c r="CE1186" s="7"/>
      <c r="CF1186" s="7"/>
    </row>
    <row r="1187">
      <c r="A1187" s="7"/>
      <c r="B1187" s="55"/>
      <c r="C1187" s="7"/>
      <c r="D1187" s="7"/>
      <c r="E1187" s="7"/>
      <c r="F1187" s="7"/>
      <c r="G1187" s="55"/>
      <c r="H1187" s="7"/>
      <c r="I1187" s="7"/>
      <c r="J1187" s="7"/>
      <c r="K1187" s="7"/>
      <c r="L1187" s="7"/>
      <c r="M1187" s="7"/>
      <c r="N1187" s="7"/>
      <c r="O1187" s="7"/>
      <c r="P1187" s="7"/>
      <c r="Q1187" s="55"/>
      <c r="R1187" s="7"/>
      <c r="S1187" s="7"/>
      <c r="T1187" s="7"/>
      <c r="U1187" s="7"/>
      <c r="V1187" s="7"/>
      <c r="W1187" s="7"/>
      <c r="X1187" s="7"/>
      <c r="Y1187" s="7"/>
      <c r="Z1187" s="7"/>
      <c r="AA1187" s="7"/>
      <c r="AB1187" s="7"/>
      <c r="AC1187" s="7"/>
      <c r="AD1187" s="7"/>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c r="BE1187" s="7"/>
      <c r="BF1187" s="7"/>
      <c r="BG1187" s="7"/>
      <c r="BH1187" s="7"/>
      <c r="BI1187" s="7"/>
      <c r="BJ1187" s="7"/>
      <c r="BK1187" s="7"/>
      <c r="BL1187" s="7"/>
      <c r="BM1187" s="7"/>
      <c r="BN1187" s="7"/>
      <c r="BO1187" s="7"/>
      <c r="BP1187" s="7"/>
      <c r="BQ1187" s="7"/>
      <c r="BR1187" s="7"/>
      <c r="BS1187" s="7"/>
      <c r="BT1187" s="7"/>
      <c r="BU1187" s="7"/>
      <c r="BV1187" s="7"/>
      <c r="BW1187" s="7"/>
      <c r="BX1187" s="7"/>
      <c r="BY1187" s="7"/>
      <c r="BZ1187" s="41"/>
      <c r="CA1187" s="7"/>
      <c r="CB1187" s="7"/>
      <c r="CC1187" s="7"/>
      <c r="CD1187" s="7"/>
      <c r="CE1187" s="7"/>
      <c r="CF1187" s="7"/>
    </row>
    <row r="1188">
      <c r="A1188" s="7"/>
      <c r="B1188" s="55"/>
      <c r="C1188" s="7"/>
      <c r="D1188" s="7"/>
      <c r="E1188" s="7"/>
      <c r="F1188" s="7"/>
      <c r="G1188" s="55"/>
      <c r="H1188" s="7"/>
      <c r="I1188" s="7"/>
      <c r="J1188" s="7"/>
      <c r="K1188" s="7"/>
      <c r="L1188" s="7"/>
      <c r="M1188" s="7"/>
      <c r="N1188" s="7"/>
      <c r="O1188" s="7"/>
      <c r="P1188" s="7"/>
      <c r="Q1188" s="55"/>
      <c r="R1188" s="7"/>
      <c r="S1188" s="7"/>
      <c r="T1188" s="7"/>
      <c r="U1188" s="7"/>
      <c r="V1188" s="7"/>
      <c r="W1188" s="7"/>
      <c r="X1188" s="7"/>
      <c r="Y1188" s="7"/>
      <c r="Z1188" s="7"/>
      <c r="AA1188" s="7"/>
      <c r="AB1188" s="7"/>
      <c r="AC1188" s="7"/>
      <c r="AD1188" s="7"/>
      <c r="AE1188" s="7"/>
      <c r="AF1188" s="7"/>
      <c r="AG1188" s="7"/>
      <c r="AH1188" s="7"/>
      <c r="AI1188" s="7"/>
      <c r="AJ1188" s="7"/>
      <c r="AK1188" s="7"/>
      <c r="AL1188" s="7"/>
      <c r="AM1188" s="7"/>
      <c r="AN1188" s="7"/>
      <c r="AO1188" s="7"/>
      <c r="AP1188" s="7"/>
      <c r="AQ1188" s="7"/>
      <c r="AR1188" s="7"/>
      <c r="AS1188" s="7"/>
      <c r="AT1188" s="7"/>
      <c r="AU1188" s="7"/>
      <c r="AV1188" s="7"/>
      <c r="AW1188" s="7"/>
      <c r="AX1188" s="7"/>
      <c r="AY1188" s="7"/>
      <c r="AZ1188" s="7"/>
      <c r="BA1188" s="7"/>
      <c r="BB1188" s="7"/>
      <c r="BC1188" s="7"/>
      <c r="BD1188" s="7"/>
      <c r="BE1188" s="7"/>
      <c r="BF1188" s="7"/>
      <c r="BG1188" s="7"/>
      <c r="BH1188" s="7"/>
      <c r="BI1188" s="7"/>
      <c r="BJ1188" s="7"/>
      <c r="BK1188" s="7"/>
      <c r="BL1188" s="7"/>
      <c r="BM1188" s="7"/>
      <c r="BN1188" s="7"/>
      <c r="BO1188" s="7"/>
      <c r="BP1188" s="7"/>
      <c r="BQ1188" s="7"/>
      <c r="BR1188" s="7"/>
      <c r="BS1188" s="7"/>
      <c r="BT1188" s="7"/>
      <c r="BU1188" s="7"/>
      <c r="BV1188" s="7"/>
      <c r="BW1188" s="7"/>
      <c r="BX1188" s="7"/>
      <c r="BY1188" s="7"/>
      <c r="BZ1188" s="41"/>
      <c r="CA1188" s="7"/>
      <c r="CB1188" s="7"/>
      <c r="CC1188" s="7"/>
      <c r="CD1188" s="7"/>
      <c r="CE1188" s="7"/>
      <c r="CF1188" s="7"/>
    </row>
    <row r="1189">
      <c r="A1189" s="7"/>
      <c r="B1189" s="55"/>
      <c r="C1189" s="7"/>
      <c r="D1189" s="7"/>
      <c r="E1189" s="7"/>
      <c r="F1189" s="7"/>
      <c r="G1189" s="55"/>
      <c r="H1189" s="7"/>
      <c r="I1189" s="7"/>
      <c r="J1189" s="7"/>
      <c r="K1189" s="7"/>
      <c r="L1189" s="7"/>
      <c r="M1189" s="7"/>
      <c r="N1189" s="7"/>
      <c r="O1189" s="7"/>
      <c r="P1189" s="7"/>
      <c r="Q1189" s="55"/>
      <c r="R1189" s="7"/>
      <c r="S1189" s="7"/>
      <c r="T1189" s="7"/>
      <c r="U1189" s="7"/>
      <c r="V1189" s="7"/>
      <c r="W1189" s="7"/>
      <c r="X1189" s="7"/>
      <c r="Y1189" s="7"/>
      <c r="Z1189" s="7"/>
      <c r="AA1189" s="7"/>
      <c r="AB1189" s="7"/>
      <c r="AC1189" s="7"/>
      <c r="AD1189" s="7"/>
      <c r="AE1189" s="7"/>
      <c r="AF1189" s="7"/>
      <c r="AG1189" s="7"/>
      <c r="AH1189" s="7"/>
      <c r="AI1189" s="7"/>
      <c r="AJ1189" s="7"/>
      <c r="AK1189" s="7"/>
      <c r="AL1189" s="7"/>
      <c r="AM1189" s="7"/>
      <c r="AN1189" s="7"/>
      <c r="AO1189" s="7"/>
      <c r="AP1189" s="7"/>
      <c r="AQ1189" s="7"/>
      <c r="AR1189" s="7"/>
      <c r="AS1189" s="7"/>
      <c r="AT1189" s="7"/>
      <c r="AU1189" s="7"/>
      <c r="AV1189" s="7"/>
      <c r="AW1189" s="7"/>
      <c r="AX1189" s="7"/>
      <c r="AY1189" s="7"/>
      <c r="AZ1189" s="7"/>
      <c r="BA1189" s="7"/>
      <c r="BB1189" s="7"/>
      <c r="BC1189" s="7"/>
      <c r="BD1189" s="7"/>
      <c r="BE1189" s="7"/>
      <c r="BF1189" s="7"/>
      <c r="BG1189" s="7"/>
      <c r="BH1189" s="7"/>
      <c r="BI1189" s="7"/>
      <c r="BJ1189" s="7"/>
      <c r="BK1189" s="7"/>
      <c r="BL1189" s="7"/>
      <c r="BM1189" s="7"/>
      <c r="BN1189" s="7"/>
      <c r="BO1189" s="7"/>
      <c r="BP1189" s="7"/>
      <c r="BQ1189" s="7"/>
      <c r="BR1189" s="7"/>
      <c r="BS1189" s="7"/>
      <c r="BT1189" s="7"/>
      <c r="BU1189" s="7"/>
      <c r="BV1189" s="7"/>
      <c r="BW1189" s="7"/>
      <c r="BX1189" s="7"/>
      <c r="BY1189" s="7"/>
      <c r="BZ1189" s="41"/>
      <c r="CA1189" s="7"/>
      <c r="CB1189" s="7"/>
      <c r="CC1189" s="7"/>
      <c r="CD1189" s="7"/>
      <c r="CE1189" s="7"/>
      <c r="CF1189" s="7"/>
    </row>
    <row r="1190">
      <c r="A1190" s="7"/>
      <c r="B1190" s="55"/>
      <c r="C1190" s="7"/>
      <c r="D1190" s="7"/>
      <c r="E1190" s="7"/>
      <c r="F1190" s="7"/>
      <c r="G1190" s="55"/>
      <c r="H1190" s="7"/>
      <c r="I1190" s="7"/>
      <c r="J1190" s="7"/>
      <c r="K1190" s="7"/>
      <c r="L1190" s="7"/>
      <c r="M1190" s="7"/>
      <c r="N1190" s="7"/>
      <c r="O1190" s="7"/>
      <c r="P1190" s="7"/>
      <c r="Q1190" s="55"/>
      <c r="R1190" s="7"/>
      <c r="S1190" s="7"/>
      <c r="T1190" s="7"/>
      <c r="U1190" s="7"/>
      <c r="V1190" s="7"/>
      <c r="W1190" s="7"/>
      <c r="X1190" s="7"/>
      <c r="Y1190" s="7"/>
      <c r="Z1190" s="7"/>
      <c r="AA1190" s="7"/>
      <c r="AB1190" s="7"/>
      <c r="AC1190" s="7"/>
      <c r="AD1190" s="7"/>
      <c r="AE1190" s="7"/>
      <c r="AF1190" s="7"/>
      <c r="AG1190" s="7"/>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c r="BE1190" s="7"/>
      <c r="BF1190" s="7"/>
      <c r="BG1190" s="7"/>
      <c r="BH1190" s="7"/>
      <c r="BI1190" s="7"/>
      <c r="BJ1190" s="7"/>
      <c r="BK1190" s="7"/>
      <c r="BL1190" s="7"/>
      <c r="BM1190" s="7"/>
      <c r="BN1190" s="7"/>
      <c r="BO1190" s="7"/>
      <c r="BP1190" s="7"/>
      <c r="BQ1190" s="7"/>
      <c r="BR1190" s="7"/>
      <c r="BS1190" s="7"/>
      <c r="BT1190" s="7"/>
      <c r="BU1190" s="7"/>
      <c r="BV1190" s="7"/>
      <c r="BW1190" s="7"/>
      <c r="BX1190" s="7"/>
      <c r="BY1190" s="7"/>
      <c r="BZ1190" s="41"/>
      <c r="CA1190" s="7"/>
      <c r="CB1190" s="7"/>
      <c r="CC1190" s="7"/>
      <c r="CD1190" s="7"/>
      <c r="CE1190" s="7"/>
      <c r="CF1190" s="7"/>
    </row>
    <row r="1191">
      <c r="A1191" s="7"/>
      <c r="B1191" s="55"/>
      <c r="C1191" s="7"/>
      <c r="D1191" s="7"/>
      <c r="E1191" s="7"/>
      <c r="F1191" s="7"/>
      <c r="G1191" s="55"/>
      <c r="H1191" s="7"/>
      <c r="I1191" s="7"/>
      <c r="J1191" s="7"/>
      <c r="K1191" s="7"/>
      <c r="L1191" s="7"/>
      <c r="M1191" s="7"/>
      <c r="N1191" s="7"/>
      <c r="O1191" s="7"/>
      <c r="P1191" s="7"/>
      <c r="Q1191" s="55"/>
      <c r="R1191" s="7"/>
      <c r="S1191" s="7"/>
      <c r="T1191" s="7"/>
      <c r="U1191" s="7"/>
      <c r="V1191" s="7"/>
      <c r="W1191" s="7"/>
      <c r="X1191" s="7"/>
      <c r="Y1191" s="7"/>
      <c r="Z1191" s="7"/>
      <c r="AA1191" s="7"/>
      <c r="AB1191" s="7"/>
      <c r="AC1191" s="7"/>
      <c r="AD1191" s="7"/>
      <c r="AE1191" s="7"/>
      <c r="AF1191" s="7"/>
      <c r="AG1191" s="7"/>
      <c r="AH1191" s="7"/>
      <c r="AI1191" s="7"/>
      <c r="AJ1191" s="7"/>
      <c r="AK1191" s="7"/>
      <c r="AL1191" s="7"/>
      <c r="AM1191" s="7"/>
      <c r="AN1191" s="7"/>
      <c r="AO1191" s="7"/>
      <c r="AP1191" s="7"/>
      <c r="AQ1191" s="7"/>
      <c r="AR1191" s="7"/>
      <c r="AS1191" s="7"/>
      <c r="AT1191" s="7"/>
      <c r="AU1191" s="7"/>
      <c r="AV1191" s="7"/>
      <c r="AW1191" s="7"/>
      <c r="AX1191" s="7"/>
      <c r="AY1191" s="7"/>
      <c r="AZ1191" s="7"/>
      <c r="BA1191" s="7"/>
      <c r="BB1191" s="7"/>
      <c r="BC1191" s="7"/>
      <c r="BD1191" s="7"/>
      <c r="BE1191" s="7"/>
      <c r="BF1191" s="7"/>
      <c r="BG1191" s="7"/>
      <c r="BH1191" s="7"/>
      <c r="BI1191" s="7"/>
      <c r="BJ1191" s="7"/>
      <c r="BK1191" s="7"/>
      <c r="BL1191" s="7"/>
      <c r="BM1191" s="7"/>
      <c r="BN1191" s="7"/>
      <c r="BO1191" s="7"/>
      <c r="BP1191" s="7"/>
      <c r="BQ1191" s="7"/>
      <c r="BR1191" s="7"/>
      <c r="BS1191" s="7"/>
      <c r="BT1191" s="7"/>
      <c r="BU1191" s="7"/>
      <c r="BV1191" s="7"/>
      <c r="BW1191" s="7"/>
      <c r="BX1191" s="7"/>
      <c r="BY1191" s="7"/>
      <c r="BZ1191" s="41"/>
      <c r="CA1191" s="7"/>
      <c r="CB1191" s="7"/>
      <c r="CC1191" s="7"/>
      <c r="CD1191" s="7"/>
      <c r="CE1191" s="7"/>
      <c r="CF1191" s="7"/>
    </row>
    <row r="1192">
      <c r="A1192" s="7"/>
      <c r="B1192" s="55"/>
      <c r="C1192" s="7"/>
      <c r="D1192" s="7"/>
      <c r="E1192" s="7"/>
      <c r="F1192" s="7"/>
      <c r="G1192" s="55"/>
      <c r="H1192" s="7"/>
      <c r="I1192" s="7"/>
      <c r="J1192" s="7"/>
      <c r="K1192" s="7"/>
      <c r="L1192" s="7"/>
      <c r="M1192" s="7"/>
      <c r="N1192" s="7"/>
      <c r="O1192" s="7"/>
      <c r="P1192" s="7"/>
      <c r="Q1192" s="55"/>
      <c r="R1192" s="7"/>
      <c r="S1192" s="7"/>
      <c r="T1192" s="7"/>
      <c r="U1192" s="7"/>
      <c r="V1192" s="7"/>
      <c r="W1192" s="7"/>
      <c r="X1192" s="7"/>
      <c r="Y1192" s="7"/>
      <c r="Z1192" s="7"/>
      <c r="AA1192" s="7"/>
      <c r="AB1192" s="7"/>
      <c r="AC1192" s="7"/>
      <c r="AD1192" s="7"/>
      <c r="AE1192" s="7"/>
      <c r="AF1192" s="7"/>
      <c r="AG1192" s="7"/>
      <c r="AH1192" s="7"/>
      <c r="AI1192" s="7"/>
      <c r="AJ1192" s="7"/>
      <c r="AK1192" s="7"/>
      <c r="AL1192" s="7"/>
      <c r="AM1192" s="7"/>
      <c r="AN1192" s="7"/>
      <c r="AO1192" s="7"/>
      <c r="AP1192" s="7"/>
      <c r="AQ1192" s="7"/>
      <c r="AR1192" s="7"/>
      <c r="AS1192" s="7"/>
      <c r="AT1192" s="7"/>
      <c r="AU1192" s="7"/>
      <c r="AV1192" s="7"/>
      <c r="AW1192" s="7"/>
      <c r="AX1192" s="7"/>
      <c r="AY1192" s="7"/>
      <c r="AZ1192" s="7"/>
      <c r="BA1192" s="7"/>
      <c r="BB1192" s="7"/>
      <c r="BC1192" s="7"/>
      <c r="BD1192" s="7"/>
      <c r="BE1192" s="7"/>
      <c r="BF1192" s="7"/>
      <c r="BG1192" s="7"/>
      <c r="BH1192" s="7"/>
      <c r="BI1192" s="7"/>
      <c r="BJ1192" s="7"/>
      <c r="BK1192" s="7"/>
      <c r="BL1192" s="7"/>
      <c r="BM1192" s="7"/>
      <c r="BN1192" s="7"/>
      <c r="BO1192" s="7"/>
      <c r="BP1192" s="7"/>
      <c r="BQ1192" s="7"/>
      <c r="BR1192" s="7"/>
      <c r="BS1192" s="7"/>
      <c r="BT1192" s="7"/>
      <c r="BU1192" s="7"/>
      <c r="BV1192" s="7"/>
      <c r="BW1192" s="7"/>
      <c r="BX1192" s="7"/>
      <c r="BY1192" s="7"/>
      <c r="BZ1192" s="41"/>
      <c r="CA1192" s="7"/>
      <c r="CB1192" s="7"/>
      <c r="CC1192" s="7"/>
      <c r="CD1192" s="7"/>
      <c r="CE1192" s="7"/>
      <c r="CF1192" s="7"/>
    </row>
    <row r="1193">
      <c r="A1193" s="7"/>
      <c r="B1193" s="55"/>
      <c r="C1193" s="7"/>
      <c r="D1193" s="7"/>
      <c r="E1193" s="7"/>
      <c r="F1193" s="7"/>
      <c r="G1193" s="55"/>
      <c r="H1193" s="7"/>
      <c r="I1193" s="7"/>
      <c r="J1193" s="7"/>
      <c r="K1193" s="7"/>
      <c r="L1193" s="7"/>
      <c r="M1193" s="7"/>
      <c r="N1193" s="7"/>
      <c r="O1193" s="7"/>
      <c r="P1193" s="7"/>
      <c r="Q1193" s="55"/>
      <c r="R1193" s="7"/>
      <c r="S1193" s="7"/>
      <c r="T1193" s="7"/>
      <c r="U1193" s="7"/>
      <c r="V1193" s="7"/>
      <c r="W1193" s="7"/>
      <c r="X1193" s="7"/>
      <c r="Y1193" s="7"/>
      <c r="Z1193" s="7"/>
      <c r="AA1193" s="7"/>
      <c r="AB1193" s="7"/>
      <c r="AC1193" s="7"/>
      <c r="AD1193" s="7"/>
      <c r="AE1193" s="7"/>
      <c r="AF1193" s="7"/>
      <c r="AG1193" s="7"/>
      <c r="AH1193" s="7"/>
      <c r="AI1193" s="7"/>
      <c r="AJ1193" s="7"/>
      <c r="AK1193" s="7"/>
      <c r="AL1193" s="7"/>
      <c r="AM1193" s="7"/>
      <c r="AN1193" s="7"/>
      <c r="AO1193" s="7"/>
      <c r="AP1193" s="7"/>
      <c r="AQ1193" s="7"/>
      <c r="AR1193" s="7"/>
      <c r="AS1193" s="7"/>
      <c r="AT1193" s="7"/>
      <c r="AU1193" s="7"/>
      <c r="AV1193" s="7"/>
      <c r="AW1193" s="7"/>
      <c r="AX1193" s="7"/>
      <c r="AY1193" s="7"/>
      <c r="AZ1193" s="7"/>
      <c r="BA1193" s="7"/>
      <c r="BB1193" s="7"/>
      <c r="BC1193" s="7"/>
      <c r="BD1193" s="7"/>
      <c r="BE1193" s="7"/>
      <c r="BF1193" s="7"/>
      <c r="BG1193" s="7"/>
      <c r="BH1193" s="7"/>
      <c r="BI1193" s="7"/>
      <c r="BJ1193" s="7"/>
      <c r="BK1193" s="7"/>
      <c r="BL1193" s="7"/>
      <c r="BM1193" s="7"/>
      <c r="BN1193" s="7"/>
      <c r="BO1193" s="7"/>
      <c r="BP1193" s="7"/>
      <c r="BQ1193" s="7"/>
      <c r="BR1193" s="7"/>
      <c r="BS1193" s="7"/>
      <c r="BT1193" s="7"/>
      <c r="BU1193" s="7"/>
      <c r="BV1193" s="7"/>
      <c r="BW1193" s="7"/>
      <c r="BX1193" s="7"/>
      <c r="BY1193" s="7"/>
      <c r="BZ1193" s="41"/>
      <c r="CA1193" s="7"/>
      <c r="CB1193" s="7"/>
      <c r="CC1193" s="7"/>
      <c r="CD1193" s="7"/>
      <c r="CE1193" s="7"/>
      <c r="CF1193" s="7"/>
    </row>
    <row r="1194">
      <c r="A1194" s="7"/>
      <c r="B1194" s="55"/>
      <c r="C1194" s="7"/>
      <c r="D1194" s="7"/>
      <c r="E1194" s="7"/>
      <c r="F1194" s="7"/>
      <c r="G1194" s="55"/>
      <c r="H1194" s="7"/>
      <c r="I1194" s="7"/>
      <c r="J1194" s="7"/>
      <c r="K1194" s="7"/>
      <c r="L1194" s="7"/>
      <c r="M1194" s="7"/>
      <c r="N1194" s="7"/>
      <c r="O1194" s="7"/>
      <c r="P1194" s="7"/>
      <c r="Q1194" s="55"/>
      <c r="R1194" s="7"/>
      <c r="S1194" s="7"/>
      <c r="T1194" s="7"/>
      <c r="U1194" s="7"/>
      <c r="V1194" s="7"/>
      <c r="W1194" s="7"/>
      <c r="X1194" s="7"/>
      <c r="Y1194" s="7"/>
      <c r="Z1194" s="7"/>
      <c r="AA1194" s="7"/>
      <c r="AB1194" s="7"/>
      <c r="AC1194" s="7"/>
      <c r="AD1194" s="7"/>
      <c r="AE1194" s="7"/>
      <c r="AF1194" s="7"/>
      <c r="AG1194" s="7"/>
      <c r="AH1194" s="7"/>
      <c r="AI1194" s="7"/>
      <c r="AJ1194" s="7"/>
      <c r="AK1194" s="7"/>
      <c r="AL1194" s="7"/>
      <c r="AM1194" s="7"/>
      <c r="AN1194" s="7"/>
      <c r="AO1194" s="7"/>
      <c r="AP1194" s="7"/>
      <c r="AQ1194" s="7"/>
      <c r="AR1194" s="7"/>
      <c r="AS1194" s="7"/>
      <c r="AT1194" s="7"/>
      <c r="AU1194" s="7"/>
      <c r="AV1194" s="7"/>
      <c r="AW1194" s="7"/>
      <c r="AX1194" s="7"/>
      <c r="AY1194" s="7"/>
      <c r="AZ1194" s="7"/>
      <c r="BA1194" s="7"/>
      <c r="BB1194" s="7"/>
      <c r="BC1194" s="7"/>
      <c r="BD1194" s="7"/>
      <c r="BE1194" s="7"/>
      <c r="BF1194" s="7"/>
      <c r="BG1194" s="7"/>
      <c r="BH1194" s="7"/>
      <c r="BI1194" s="7"/>
      <c r="BJ1194" s="7"/>
      <c r="BK1194" s="7"/>
      <c r="BL1194" s="7"/>
      <c r="BM1194" s="7"/>
      <c r="BN1194" s="7"/>
      <c r="BO1194" s="7"/>
      <c r="BP1194" s="7"/>
      <c r="BQ1194" s="7"/>
      <c r="BR1194" s="7"/>
      <c r="BS1194" s="7"/>
      <c r="BT1194" s="7"/>
      <c r="BU1194" s="7"/>
      <c r="BV1194" s="7"/>
      <c r="BW1194" s="7"/>
      <c r="BX1194" s="7"/>
      <c r="BY1194" s="7"/>
      <c r="BZ1194" s="41"/>
      <c r="CA1194" s="7"/>
      <c r="CB1194" s="7"/>
      <c r="CC1194" s="7"/>
      <c r="CD1194" s="7"/>
      <c r="CE1194" s="7"/>
      <c r="CF1194" s="7"/>
    </row>
    <row r="1195">
      <c r="A1195" s="7"/>
      <c r="B1195" s="55"/>
      <c r="C1195" s="7"/>
      <c r="D1195" s="7"/>
      <c r="E1195" s="7"/>
      <c r="F1195" s="7"/>
      <c r="G1195" s="55"/>
      <c r="H1195" s="7"/>
      <c r="I1195" s="7"/>
      <c r="J1195" s="7"/>
      <c r="K1195" s="7"/>
      <c r="L1195" s="7"/>
      <c r="M1195" s="7"/>
      <c r="N1195" s="7"/>
      <c r="O1195" s="7"/>
      <c r="P1195" s="7"/>
      <c r="Q1195" s="55"/>
      <c r="R1195" s="7"/>
      <c r="S1195" s="7"/>
      <c r="T1195" s="7"/>
      <c r="U1195" s="7"/>
      <c r="V1195" s="7"/>
      <c r="W1195" s="7"/>
      <c r="X1195" s="7"/>
      <c r="Y1195" s="7"/>
      <c r="Z1195" s="7"/>
      <c r="AA1195" s="7"/>
      <c r="AB1195" s="7"/>
      <c r="AC1195" s="7"/>
      <c r="AD1195" s="7"/>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c r="BL1195" s="7"/>
      <c r="BM1195" s="7"/>
      <c r="BN1195" s="7"/>
      <c r="BO1195" s="7"/>
      <c r="BP1195" s="7"/>
      <c r="BQ1195" s="7"/>
      <c r="BR1195" s="7"/>
      <c r="BS1195" s="7"/>
      <c r="BT1195" s="7"/>
      <c r="BU1195" s="7"/>
      <c r="BV1195" s="7"/>
      <c r="BW1195" s="7"/>
      <c r="BX1195" s="7"/>
      <c r="BY1195" s="7"/>
      <c r="BZ1195" s="41"/>
      <c r="CA1195" s="7"/>
      <c r="CB1195" s="7"/>
      <c r="CC1195" s="7"/>
      <c r="CD1195" s="7"/>
      <c r="CE1195" s="7"/>
      <c r="CF1195" s="7"/>
    </row>
    <row r="1196">
      <c r="A1196" s="7"/>
      <c r="B1196" s="55"/>
      <c r="C1196" s="7"/>
      <c r="D1196" s="7"/>
      <c r="E1196" s="7"/>
      <c r="F1196" s="7"/>
      <c r="G1196" s="55"/>
      <c r="H1196" s="7"/>
      <c r="I1196" s="7"/>
      <c r="J1196" s="7"/>
      <c r="K1196" s="7"/>
      <c r="L1196" s="7"/>
      <c r="M1196" s="7"/>
      <c r="N1196" s="7"/>
      <c r="O1196" s="7"/>
      <c r="P1196" s="7"/>
      <c r="Q1196" s="55"/>
      <c r="R1196" s="7"/>
      <c r="S1196" s="7"/>
      <c r="T1196" s="7"/>
      <c r="U1196" s="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c r="BL1196" s="7"/>
      <c r="BM1196" s="7"/>
      <c r="BN1196" s="7"/>
      <c r="BO1196" s="7"/>
      <c r="BP1196" s="7"/>
      <c r="BQ1196" s="7"/>
      <c r="BR1196" s="7"/>
      <c r="BS1196" s="7"/>
      <c r="BT1196" s="7"/>
      <c r="BU1196" s="7"/>
      <c r="BV1196" s="7"/>
      <c r="BW1196" s="7"/>
      <c r="BX1196" s="7"/>
      <c r="BY1196" s="7"/>
      <c r="BZ1196" s="41"/>
      <c r="CA1196" s="7"/>
      <c r="CB1196" s="7"/>
      <c r="CC1196" s="7"/>
      <c r="CD1196" s="7"/>
      <c r="CE1196" s="7"/>
      <c r="CF1196" s="7"/>
    </row>
    <row r="1197">
      <c r="A1197" s="7"/>
      <c r="B1197" s="55"/>
      <c r="C1197" s="7"/>
      <c r="D1197" s="7"/>
      <c r="E1197" s="7"/>
      <c r="F1197" s="7"/>
      <c r="G1197" s="55"/>
      <c r="H1197" s="7"/>
      <c r="I1197" s="7"/>
      <c r="J1197" s="7"/>
      <c r="K1197" s="7"/>
      <c r="L1197" s="7"/>
      <c r="M1197" s="7"/>
      <c r="N1197" s="7"/>
      <c r="O1197" s="7"/>
      <c r="P1197" s="7"/>
      <c r="Q1197" s="55"/>
      <c r="R1197" s="7"/>
      <c r="S1197" s="7"/>
      <c r="T1197" s="7"/>
      <c r="U1197" s="7"/>
      <c r="V1197" s="7"/>
      <c r="W1197" s="7"/>
      <c r="X1197" s="7"/>
      <c r="Y1197" s="7"/>
      <c r="Z1197" s="7"/>
      <c r="AA1197" s="7"/>
      <c r="AB1197" s="7"/>
      <c r="AC1197" s="7"/>
      <c r="AD1197" s="7"/>
      <c r="AE1197" s="7"/>
      <c r="AF1197" s="7"/>
      <c r="AG1197" s="7"/>
      <c r="AH1197" s="7"/>
      <c r="AI1197" s="7"/>
      <c r="AJ1197" s="7"/>
      <c r="AK1197" s="7"/>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c r="BL1197" s="7"/>
      <c r="BM1197" s="7"/>
      <c r="BN1197" s="7"/>
      <c r="BO1197" s="7"/>
      <c r="BP1197" s="7"/>
      <c r="BQ1197" s="7"/>
      <c r="BR1197" s="7"/>
      <c r="BS1197" s="7"/>
      <c r="BT1197" s="7"/>
      <c r="BU1197" s="7"/>
      <c r="BV1197" s="7"/>
      <c r="BW1197" s="7"/>
      <c r="BX1197" s="7"/>
      <c r="BY1197" s="7"/>
      <c r="BZ1197" s="41"/>
      <c r="CA1197" s="7"/>
      <c r="CB1197" s="7"/>
      <c r="CC1197" s="7"/>
      <c r="CD1197" s="7"/>
      <c r="CE1197" s="7"/>
      <c r="CF1197" s="7"/>
    </row>
    <row r="1198">
      <c r="A1198" s="7"/>
      <c r="B1198" s="55"/>
      <c r="C1198" s="7"/>
      <c r="D1198" s="7"/>
      <c r="E1198" s="7"/>
      <c r="F1198" s="7"/>
      <c r="G1198" s="55"/>
      <c r="H1198" s="7"/>
      <c r="I1198" s="7"/>
      <c r="J1198" s="7"/>
      <c r="K1198" s="7"/>
      <c r="L1198" s="7"/>
      <c r="M1198" s="7"/>
      <c r="N1198" s="7"/>
      <c r="O1198" s="7"/>
      <c r="P1198" s="7"/>
      <c r="Q1198" s="55"/>
      <c r="R1198" s="7"/>
      <c r="S1198" s="7"/>
      <c r="T1198" s="7"/>
      <c r="U1198" s="7"/>
      <c r="V1198" s="7"/>
      <c r="W1198" s="7"/>
      <c r="X1198" s="7"/>
      <c r="Y1198" s="7"/>
      <c r="Z1198" s="7"/>
      <c r="AA1198" s="7"/>
      <c r="AB1198" s="7"/>
      <c r="AC1198" s="7"/>
      <c r="AD1198" s="7"/>
      <c r="AE1198" s="7"/>
      <c r="AF1198" s="7"/>
      <c r="AG1198" s="7"/>
      <c r="AH1198" s="7"/>
      <c r="AI1198" s="7"/>
      <c r="AJ1198" s="7"/>
      <c r="AK1198" s="7"/>
      <c r="AL1198" s="7"/>
      <c r="AM1198" s="7"/>
      <c r="AN1198" s="7"/>
      <c r="AO1198" s="7"/>
      <c r="AP1198" s="7"/>
      <c r="AQ1198" s="7"/>
      <c r="AR1198" s="7"/>
      <c r="AS1198" s="7"/>
      <c r="AT1198" s="7"/>
      <c r="AU1198" s="7"/>
      <c r="AV1198" s="7"/>
      <c r="AW1198" s="7"/>
      <c r="AX1198" s="7"/>
      <c r="AY1198" s="7"/>
      <c r="AZ1198" s="7"/>
      <c r="BA1198" s="7"/>
      <c r="BB1198" s="7"/>
      <c r="BC1198" s="7"/>
      <c r="BD1198" s="7"/>
      <c r="BE1198" s="7"/>
      <c r="BF1198" s="7"/>
      <c r="BG1198" s="7"/>
      <c r="BH1198" s="7"/>
      <c r="BI1198" s="7"/>
      <c r="BJ1198" s="7"/>
      <c r="BK1198" s="7"/>
      <c r="BL1198" s="7"/>
      <c r="BM1198" s="7"/>
      <c r="BN1198" s="7"/>
      <c r="BO1198" s="7"/>
      <c r="BP1198" s="7"/>
      <c r="BQ1198" s="7"/>
      <c r="BR1198" s="7"/>
      <c r="BS1198" s="7"/>
      <c r="BT1198" s="7"/>
      <c r="BU1198" s="7"/>
      <c r="BV1198" s="7"/>
      <c r="BW1198" s="7"/>
      <c r="BX1198" s="7"/>
      <c r="BY1198" s="7"/>
      <c r="BZ1198" s="41"/>
      <c r="CA1198" s="7"/>
      <c r="CB1198" s="7"/>
      <c r="CC1198" s="7"/>
      <c r="CD1198" s="7"/>
      <c r="CE1198" s="7"/>
      <c r="CF1198" s="7"/>
    </row>
    <row r="1199">
      <c r="A1199" s="7"/>
      <c r="B1199" s="55"/>
      <c r="C1199" s="7"/>
      <c r="D1199" s="7"/>
      <c r="E1199" s="7"/>
      <c r="F1199" s="7"/>
      <c r="G1199" s="55"/>
      <c r="H1199" s="7"/>
      <c r="I1199" s="7"/>
      <c r="J1199" s="7"/>
      <c r="K1199" s="7"/>
      <c r="L1199" s="7"/>
      <c r="M1199" s="7"/>
      <c r="N1199" s="7"/>
      <c r="O1199" s="7"/>
      <c r="P1199" s="7"/>
      <c r="Q1199" s="55"/>
      <c r="R1199" s="7"/>
      <c r="S1199" s="7"/>
      <c r="T1199" s="7"/>
      <c r="U1199" s="7"/>
      <c r="V1199" s="7"/>
      <c r="W1199" s="7"/>
      <c r="X1199" s="7"/>
      <c r="Y1199" s="7"/>
      <c r="Z1199" s="7"/>
      <c r="AA1199" s="7"/>
      <c r="AB1199" s="7"/>
      <c r="AC1199" s="7"/>
      <c r="AD1199" s="7"/>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c r="BE1199" s="7"/>
      <c r="BF1199" s="7"/>
      <c r="BG1199" s="7"/>
      <c r="BH1199" s="7"/>
      <c r="BI1199" s="7"/>
      <c r="BJ1199" s="7"/>
      <c r="BK1199" s="7"/>
      <c r="BL1199" s="7"/>
      <c r="BM1199" s="7"/>
      <c r="BN1199" s="7"/>
      <c r="BO1199" s="7"/>
      <c r="BP1199" s="7"/>
      <c r="BQ1199" s="7"/>
      <c r="BR1199" s="7"/>
      <c r="BS1199" s="7"/>
      <c r="BT1199" s="7"/>
      <c r="BU1199" s="7"/>
      <c r="BV1199" s="7"/>
      <c r="BW1199" s="7"/>
      <c r="BX1199" s="7"/>
      <c r="BY1199" s="7"/>
      <c r="BZ1199" s="41"/>
      <c r="CA1199" s="7"/>
      <c r="CB1199" s="7"/>
      <c r="CC1199" s="7"/>
      <c r="CD1199" s="7"/>
      <c r="CE1199" s="7"/>
      <c r="CF1199" s="7"/>
    </row>
    <row r="1200">
      <c r="A1200" s="7"/>
      <c r="B1200" s="55"/>
      <c r="C1200" s="7"/>
      <c r="D1200" s="7"/>
      <c r="E1200" s="7"/>
      <c r="F1200" s="7"/>
      <c r="G1200" s="55"/>
      <c r="H1200" s="7"/>
      <c r="I1200" s="7"/>
      <c r="J1200" s="7"/>
      <c r="K1200" s="7"/>
      <c r="L1200" s="7"/>
      <c r="M1200" s="7"/>
      <c r="N1200" s="7"/>
      <c r="O1200" s="7"/>
      <c r="P1200" s="7"/>
      <c r="Q1200" s="55"/>
      <c r="R1200" s="7"/>
      <c r="S1200" s="7"/>
      <c r="T1200" s="7"/>
      <c r="U1200" s="7"/>
      <c r="V1200" s="7"/>
      <c r="W1200" s="7"/>
      <c r="X1200" s="7"/>
      <c r="Y1200" s="7"/>
      <c r="Z1200" s="7"/>
      <c r="AA1200" s="7"/>
      <c r="AB1200" s="7"/>
      <c r="AC1200" s="7"/>
      <c r="AD1200" s="7"/>
      <c r="AE1200" s="7"/>
      <c r="AF1200" s="7"/>
      <c r="AG1200" s="7"/>
      <c r="AH1200" s="7"/>
      <c r="AI1200" s="7"/>
      <c r="AJ1200" s="7"/>
      <c r="AK1200" s="7"/>
      <c r="AL1200" s="7"/>
      <c r="AM1200" s="7"/>
      <c r="AN1200" s="7"/>
      <c r="AO1200" s="7"/>
      <c r="AP1200" s="7"/>
      <c r="AQ1200" s="7"/>
      <c r="AR1200" s="7"/>
      <c r="AS1200" s="7"/>
      <c r="AT1200" s="7"/>
      <c r="AU1200" s="7"/>
      <c r="AV1200" s="7"/>
      <c r="AW1200" s="7"/>
      <c r="AX1200" s="7"/>
      <c r="AY1200" s="7"/>
      <c r="AZ1200" s="7"/>
      <c r="BA1200" s="7"/>
      <c r="BB1200" s="7"/>
      <c r="BC1200" s="7"/>
      <c r="BD1200" s="7"/>
      <c r="BE1200" s="7"/>
      <c r="BF1200" s="7"/>
      <c r="BG1200" s="7"/>
      <c r="BH1200" s="7"/>
      <c r="BI1200" s="7"/>
      <c r="BJ1200" s="7"/>
      <c r="BK1200" s="7"/>
      <c r="BL1200" s="7"/>
      <c r="BM1200" s="7"/>
      <c r="BN1200" s="7"/>
      <c r="BO1200" s="7"/>
      <c r="BP1200" s="7"/>
      <c r="BQ1200" s="7"/>
      <c r="BR1200" s="7"/>
      <c r="BS1200" s="7"/>
      <c r="BT1200" s="7"/>
      <c r="BU1200" s="7"/>
      <c r="BV1200" s="7"/>
      <c r="BW1200" s="7"/>
      <c r="BX1200" s="7"/>
      <c r="BY1200" s="7"/>
      <c r="BZ1200" s="41"/>
      <c r="CA1200" s="7"/>
      <c r="CB1200" s="7"/>
      <c r="CC1200" s="7"/>
      <c r="CD1200" s="7"/>
      <c r="CE1200" s="7"/>
      <c r="CF1200" s="7"/>
    </row>
    <row r="1201">
      <c r="A1201" s="7"/>
      <c r="B1201" s="55"/>
      <c r="C1201" s="7"/>
      <c r="D1201" s="7"/>
      <c r="E1201" s="7"/>
      <c r="F1201" s="7"/>
      <c r="G1201" s="55"/>
      <c r="H1201" s="7"/>
      <c r="I1201" s="7"/>
      <c r="J1201" s="7"/>
      <c r="K1201" s="7"/>
      <c r="L1201" s="7"/>
      <c r="M1201" s="7"/>
      <c r="N1201" s="7"/>
      <c r="O1201" s="7"/>
      <c r="P1201" s="7"/>
      <c r="Q1201" s="55"/>
      <c r="R1201" s="7"/>
      <c r="S1201" s="7"/>
      <c r="T1201" s="7"/>
      <c r="U1201" s="7"/>
      <c r="V1201" s="7"/>
      <c r="W1201" s="7"/>
      <c r="X1201" s="7"/>
      <c r="Y1201" s="7"/>
      <c r="Z1201" s="7"/>
      <c r="AA1201" s="7"/>
      <c r="AB1201" s="7"/>
      <c r="AC1201" s="7"/>
      <c r="AD1201" s="7"/>
      <c r="AE1201" s="7"/>
      <c r="AF1201" s="7"/>
      <c r="AG1201" s="7"/>
      <c r="AH1201" s="7"/>
      <c r="AI1201" s="7"/>
      <c r="AJ1201" s="7"/>
      <c r="AK1201" s="7"/>
      <c r="AL1201" s="7"/>
      <c r="AM1201" s="7"/>
      <c r="AN1201" s="7"/>
      <c r="AO1201" s="7"/>
      <c r="AP1201" s="7"/>
      <c r="AQ1201" s="7"/>
      <c r="AR1201" s="7"/>
      <c r="AS1201" s="7"/>
      <c r="AT1201" s="7"/>
      <c r="AU1201" s="7"/>
      <c r="AV1201" s="7"/>
      <c r="AW1201" s="7"/>
      <c r="AX1201" s="7"/>
      <c r="AY1201" s="7"/>
      <c r="AZ1201" s="7"/>
      <c r="BA1201" s="7"/>
      <c r="BB1201" s="7"/>
      <c r="BC1201" s="7"/>
      <c r="BD1201" s="7"/>
      <c r="BE1201" s="7"/>
      <c r="BF1201" s="7"/>
      <c r="BG1201" s="7"/>
      <c r="BH1201" s="7"/>
      <c r="BI1201" s="7"/>
      <c r="BJ1201" s="7"/>
      <c r="BK1201" s="7"/>
      <c r="BL1201" s="7"/>
      <c r="BM1201" s="7"/>
      <c r="BN1201" s="7"/>
      <c r="BO1201" s="7"/>
      <c r="BP1201" s="7"/>
      <c r="BQ1201" s="7"/>
      <c r="BR1201" s="7"/>
      <c r="BS1201" s="7"/>
      <c r="BT1201" s="7"/>
      <c r="BU1201" s="7"/>
      <c r="BV1201" s="7"/>
      <c r="BW1201" s="7"/>
      <c r="BX1201" s="7"/>
      <c r="BY1201" s="7"/>
      <c r="BZ1201" s="41"/>
      <c r="CA1201" s="7"/>
      <c r="CB1201" s="7"/>
      <c r="CC1201" s="7"/>
      <c r="CD1201" s="7"/>
      <c r="CE1201" s="7"/>
      <c r="CF1201" s="7"/>
    </row>
    <row r="1202">
      <c r="A1202" s="7"/>
      <c r="B1202" s="55"/>
      <c r="C1202" s="7"/>
      <c r="D1202" s="7"/>
      <c r="E1202" s="7"/>
      <c r="F1202" s="7"/>
      <c r="G1202" s="55"/>
      <c r="H1202" s="7"/>
      <c r="I1202" s="7"/>
      <c r="J1202" s="7"/>
      <c r="K1202" s="7"/>
      <c r="L1202" s="7"/>
      <c r="M1202" s="7"/>
      <c r="N1202" s="7"/>
      <c r="O1202" s="7"/>
      <c r="P1202" s="7"/>
      <c r="Q1202" s="55"/>
      <c r="R1202" s="7"/>
      <c r="S1202" s="7"/>
      <c r="T1202" s="7"/>
      <c r="U1202" s="7"/>
      <c r="V1202" s="7"/>
      <c r="W1202" s="7"/>
      <c r="X1202" s="7"/>
      <c r="Y1202" s="7"/>
      <c r="Z1202" s="7"/>
      <c r="AA1202" s="7"/>
      <c r="AB1202" s="7"/>
      <c r="AC1202" s="7"/>
      <c r="AD1202" s="7"/>
      <c r="AE1202" s="7"/>
      <c r="AF1202" s="7"/>
      <c r="AG1202" s="7"/>
      <c r="AH1202" s="7"/>
      <c r="AI1202" s="7"/>
      <c r="AJ1202" s="7"/>
      <c r="AK1202" s="7"/>
      <c r="AL1202" s="7"/>
      <c r="AM1202" s="7"/>
      <c r="AN1202" s="7"/>
      <c r="AO1202" s="7"/>
      <c r="AP1202" s="7"/>
      <c r="AQ1202" s="7"/>
      <c r="AR1202" s="7"/>
      <c r="AS1202" s="7"/>
      <c r="AT1202" s="7"/>
      <c r="AU1202" s="7"/>
      <c r="AV1202" s="7"/>
      <c r="AW1202" s="7"/>
      <c r="AX1202" s="7"/>
      <c r="AY1202" s="7"/>
      <c r="AZ1202" s="7"/>
      <c r="BA1202" s="7"/>
      <c r="BB1202" s="7"/>
      <c r="BC1202" s="7"/>
      <c r="BD1202" s="7"/>
      <c r="BE1202" s="7"/>
      <c r="BF1202" s="7"/>
      <c r="BG1202" s="7"/>
      <c r="BH1202" s="7"/>
      <c r="BI1202" s="7"/>
      <c r="BJ1202" s="7"/>
      <c r="BK1202" s="7"/>
      <c r="BL1202" s="7"/>
      <c r="BM1202" s="7"/>
      <c r="BN1202" s="7"/>
      <c r="BO1202" s="7"/>
      <c r="BP1202" s="7"/>
      <c r="BQ1202" s="7"/>
      <c r="BR1202" s="7"/>
      <c r="BS1202" s="7"/>
      <c r="BT1202" s="7"/>
      <c r="BU1202" s="7"/>
      <c r="BV1202" s="7"/>
      <c r="BW1202" s="7"/>
      <c r="BX1202" s="7"/>
      <c r="BY1202" s="7"/>
      <c r="BZ1202" s="41"/>
      <c r="CA1202" s="7"/>
      <c r="CB1202" s="7"/>
      <c r="CC1202" s="7"/>
      <c r="CD1202" s="7"/>
      <c r="CE1202" s="7"/>
      <c r="CF1202" s="7"/>
    </row>
    <row r="1203">
      <c r="A1203" s="7"/>
      <c r="B1203" s="55"/>
      <c r="C1203" s="7"/>
      <c r="D1203" s="7"/>
      <c r="E1203" s="7"/>
      <c r="F1203" s="7"/>
      <c r="G1203" s="55"/>
      <c r="H1203" s="7"/>
      <c r="I1203" s="7"/>
      <c r="J1203" s="7"/>
      <c r="K1203" s="7"/>
      <c r="L1203" s="7"/>
      <c r="M1203" s="7"/>
      <c r="N1203" s="7"/>
      <c r="O1203" s="7"/>
      <c r="P1203" s="7"/>
      <c r="Q1203" s="55"/>
      <c r="R1203" s="7"/>
      <c r="S1203" s="7"/>
      <c r="T1203" s="7"/>
      <c r="U1203" s="7"/>
      <c r="V1203" s="7"/>
      <c r="W1203" s="7"/>
      <c r="X1203" s="7"/>
      <c r="Y1203" s="7"/>
      <c r="Z1203" s="7"/>
      <c r="AA1203" s="7"/>
      <c r="AB1203" s="7"/>
      <c r="AC1203" s="7"/>
      <c r="AD1203" s="7"/>
      <c r="AE1203" s="7"/>
      <c r="AF1203" s="7"/>
      <c r="AG1203" s="7"/>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c r="BL1203" s="7"/>
      <c r="BM1203" s="7"/>
      <c r="BN1203" s="7"/>
      <c r="BO1203" s="7"/>
      <c r="BP1203" s="7"/>
      <c r="BQ1203" s="7"/>
      <c r="BR1203" s="7"/>
      <c r="BS1203" s="7"/>
      <c r="BT1203" s="7"/>
      <c r="BU1203" s="7"/>
      <c r="BV1203" s="7"/>
      <c r="BW1203" s="7"/>
      <c r="BX1203" s="7"/>
      <c r="BY1203" s="7"/>
      <c r="BZ1203" s="41"/>
      <c r="CA1203" s="7"/>
      <c r="CB1203" s="7"/>
      <c r="CC1203" s="7"/>
      <c r="CD1203" s="7"/>
      <c r="CE1203" s="7"/>
      <c r="CF1203" s="7"/>
    </row>
    <row r="1204">
      <c r="A1204" s="7"/>
      <c r="B1204" s="55"/>
      <c r="C1204" s="7"/>
      <c r="D1204" s="7"/>
      <c r="E1204" s="7"/>
      <c r="F1204" s="7"/>
      <c r="G1204" s="55"/>
      <c r="H1204" s="7"/>
      <c r="I1204" s="7"/>
      <c r="J1204" s="7"/>
      <c r="K1204" s="7"/>
      <c r="L1204" s="7"/>
      <c r="M1204" s="7"/>
      <c r="N1204" s="7"/>
      <c r="O1204" s="7"/>
      <c r="P1204" s="7"/>
      <c r="Q1204" s="55"/>
      <c r="R1204" s="7"/>
      <c r="S1204" s="7"/>
      <c r="T1204" s="7"/>
      <c r="U1204" s="7"/>
      <c r="V1204" s="7"/>
      <c r="W1204" s="7"/>
      <c r="X1204" s="7"/>
      <c r="Y1204" s="7"/>
      <c r="Z1204" s="7"/>
      <c r="AA1204" s="7"/>
      <c r="AB1204" s="7"/>
      <c r="AC1204" s="7"/>
      <c r="AD1204" s="7"/>
      <c r="AE1204" s="7"/>
      <c r="AF1204" s="7"/>
      <c r="AG1204" s="7"/>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c r="BE1204" s="7"/>
      <c r="BF1204" s="7"/>
      <c r="BG1204" s="7"/>
      <c r="BH1204" s="7"/>
      <c r="BI1204" s="7"/>
      <c r="BJ1204" s="7"/>
      <c r="BK1204" s="7"/>
      <c r="BL1204" s="7"/>
      <c r="BM1204" s="7"/>
      <c r="BN1204" s="7"/>
      <c r="BO1204" s="7"/>
      <c r="BP1204" s="7"/>
      <c r="BQ1204" s="7"/>
      <c r="BR1204" s="7"/>
      <c r="BS1204" s="7"/>
      <c r="BT1204" s="7"/>
      <c r="BU1204" s="7"/>
      <c r="BV1204" s="7"/>
      <c r="BW1204" s="7"/>
      <c r="BX1204" s="7"/>
      <c r="BY1204" s="7"/>
      <c r="BZ1204" s="41"/>
      <c r="CA1204" s="7"/>
      <c r="CB1204" s="7"/>
      <c r="CC1204" s="7"/>
      <c r="CD1204" s="7"/>
      <c r="CE1204" s="7"/>
      <c r="CF1204" s="7"/>
    </row>
    <row r="1205">
      <c r="A1205" s="7"/>
      <c r="B1205" s="55"/>
      <c r="C1205" s="7"/>
      <c r="D1205" s="7"/>
      <c r="E1205" s="7"/>
      <c r="F1205" s="7"/>
      <c r="G1205" s="55"/>
      <c r="H1205" s="7"/>
      <c r="I1205" s="7"/>
      <c r="J1205" s="7"/>
      <c r="K1205" s="7"/>
      <c r="L1205" s="7"/>
      <c r="M1205" s="7"/>
      <c r="N1205" s="7"/>
      <c r="O1205" s="7"/>
      <c r="P1205" s="7"/>
      <c r="Q1205" s="55"/>
      <c r="R1205" s="7"/>
      <c r="S1205" s="7"/>
      <c r="T1205" s="7"/>
      <c r="U1205" s="7"/>
      <c r="V1205" s="7"/>
      <c r="W1205" s="7"/>
      <c r="X1205" s="7"/>
      <c r="Y1205" s="7"/>
      <c r="Z1205" s="7"/>
      <c r="AA1205" s="7"/>
      <c r="AB1205" s="7"/>
      <c r="AC1205" s="7"/>
      <c r="AD1205" s="7"/>
      <c r="AE1205" s="7"/>
      <c r="AF1205" s="7"/>
      <c r="AG1205" s="7"/>
      <c r="AH1205" s="7"/>
      <c r="AI1205" s="7"/>
      <c r="AJ1205" s="7"/>
      <c r="AK1205" s="7"/>
      <c r="AL1205" s="7"/>
      <c r="AM1205" s="7"/>
      <c r="AN1205" s="7"/>
      <c r="AO1205" s="7"/>
      <c r="AP1205" s="7"/>
      <c r="AQ1205" s="7"/>
      <c r="AR1205" s="7"/>
      <c r="AS1205" s="7"/>
      <c r="AT1205" s="7"/>
      <c r="AU1205" s="7"/>
      <c r="AV1205" s="7"/>
      <c r="AW1205" s="7"/>
      <c r="AX1205" s="7"/>
      <c r="AY1205" s="7"/>
      <c r="AZ1205" s="7"/>
      <c r="BA1205" s="7"/>
      <c r="BB1205" s="7"/>
      <c r="BC1205" s="7"/>
      <c r="BD1205" s="7"/>
      <c r="BE1205" s="7"/>
      <c r="BF1205" s="7"/>
      <c r="BG1205" s="7"/>
      <c r="BH1205" s="7"/>
      <c r="BI1205" s="7"/>
      <c r="BJ1205" s="7"/>
      <c r="BK1205" s="7"/>
      <c r="BL1205" s="7"/>
      <c r="BM1205" s="7"/>
      <c r="BN1205" s="7"/>
      <c r="BO1205" s="7"/>
      <c r="BP1205" s="7"/>
      <c r="BQ1205" s="7"/>
      <c r="BR1205" s="7"/>
      <c r="BS1205" s="7"/>
      <c r="BT1205" s="7"/>
      <c r="BU1205" s="7"/>
      <c r="BV1205" s="7"/>
      <c r="BW1205" s="7"/>
      <c r="BX1205" s="7"/>
      <c r="BY1205" s="7"/>
      <c r="BZ1205" s="41"/>
      <c r="CA1205" s="7"/>
      <c r="CB1205" s="7"/>
      <c r="CC1205" s="7"/>
      <c r="CD1205" s="7"/>
      <c r="CE1205" s="7"/>
      <c r="CF1205" s="7"/>
    </row>
    <row r="1206">
      <c r="A1206" s="7"/>
      <c r="B1206" s="55"/>
      <c r="C1206" s="7"/>
      <c r="D1206" s="7"/>
      <c r="E1206" s="7"/>
      <c r="F1206" s="7"/>
      <c r="G1206" s="55"/>
      <c r="H1206" s="7"/>
      <c r="I1206" s="7"/>
      <c r="J1206" s="7"/>
      <c r="K1206" s="7"/>
      <c r="L1206" s="7"/>
      <c r="M1206" s="7"/>
      <c r="N1206" s="7"/>
      <c r="O1206" s="7"/>
      <c r="P1206" s="7"/>
      <c r="Q1206" s="55"/>
      <c r="R1206" s="7"/>
      <c r="S1206" s="7"/>
      <c r="T1206" s="7"/>
      <c r="U1206" s="7"/>
      <c r="V1206" s="7"/>
      <c r="W1206" s="7"/>
      <c r="X1206" s="7"/>
      <c r="Y1206" s="7"/>
      <c r="Z1206" s="7"/>
      <c r="AA1206" s="7"/>
      <c r="AB1206" s="7"/>
      <c r="AC1206" s="7"/>
      <c r="AD1206" s="7"/>
      <c r="AE1206" s="7"/>
      <c r="AF1206" s="7"/>
      <c r="AG1206" s="7"/>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c r="BE1206" s="7"/>
      <c r="BF1206" s="7"/>
      <c r="BG1206" s="7"/>
      <c r="BH1206" s="7"/>
      <c r="BI1206" s="7"/>
      <c r="BJ1206" s="7"/>
      <c r="BK1206" s="7"/>
      <c r="BL1206" s="7"/>
      <c r="BM1206" s="7"/>
      <c r="BN1206" s="7"/>
      <c r="BO1206" s="7"/>
      <c r="BP1206" s="7"/>
      <c r="BQ1206" s="7"/>
      <c r="BR1206" s="7"/>
      <c r="BS1206" s="7"/>
      <c r="BT1206" s="7"/>
      <c r="BU1206" s="7"/>
      <c r="BV1206" s="7"/>
      <c r="BW1206" s="7"/>
      <c r="BX1206" s="7"/>
      <c r="BY1206" s="7"/>
      <c r="BZ1206" s="41"/>
      <c r="CA1206" s="7"/>
      <c r="CB1206" s="7"/>
      <c r="CC1206" s="7"/>
      <c r="CD1206" s="7"/>
      <c r="CE1206" s="7"/>
      <c r="CF1206" s="7"/>
    </row>
    <row r="1207">
      <c r="A1207" s="7"/>
      <c r="B1207" s="55"/>
      <c r="C1207" s="7"/>
      <c r="D1207" s="7"/>
      <c r="E1207" s="7"/>
      <c r="F1207" s="7"/>
      <c r="G1207" s="55"/>
      <c r="H1207" s="7"/>
      <c r="I1207" s="7"/>
      <c r="J1207" s="7"/>
      <c r="K1207" s="7"/>
      <c r="L1207" s="7"/>
      <c r="M1207" s="7"/>
      <c r="N1207" s="7"/>
      <c r="O1207" s="7"/>
      <c r="P1207" s="7"/>
      <c r="Q1207" s="55"/>
      <c r="R1207" s="7"/>
      <c r="S1207" s="7"/>
      <c r="T1207" s="7"/>
      <c r="U1207" s="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c r="BL1207" s="7"/>
      <c r="BM1207" s="7"/>
      <c r="BN1207" s="7"/>
      <c r="BO1207" s="7"/>
      <c r="BP1207" s="7"/>
      <c r="BQ1207" s="7"/>
      <c r="BR1207" s="7"/>
      <c r="BS1207" s="7"/>
      <c r="BT1207" s="7"/>
      <c r="BU1207" s="7"/>
      <c r="BV1207" s="7"/>
      <c r="BW1207" s="7"/>
      <c r="BX1207" s="7"/>
      <c r="BY1207" s="7"/>
      <c r="BZ1207" s="41"/>
      <c r="CA1207" s="7"/>
      <c r="CB1207" s="7"/>
      <c r="CC1207" s="7"/>
      <c r="CD1207" s="7"/>
      <c r="CE1207" s="7"/>
      <c r="CF1207" s="7"/>
    </row>
    <row r="1208">
      <c r="A1208" s="7"/>
      <c r="B1208" s="55"/>
      <c r="C1208" s="7"/>
      <c r="D1208" s="7"/>
      <c r="E1208" s="7"/>
      <c r="F1208" s="7"/>
      <c r="G1208" s="55"/>
      <c r="H1208" s="7"/>
      <c r="I1208" s="7"/>
      <c r="J1208" s="7"/>
      <c r="K1208" s="7"/>
      <c r="L1208" s="7"/>
      <c r="M1208" s="7"/>
      <c r="N1208" s="7"/>
      <c r="O1208" s="7"/>
      <c r="P1208" s="7"/>
      <c r="Q1208" s="55"/>
      <c r="R1208" s="7"/>
      <c r="S1208" s="7"/>
      <c r="T1208" s="7"/>
      <c r="U1208" s="7"/>
      <c r="V1208" s="7"/>
      <c r="W1208" s="7"/>
      <c r="X1208" s="7"/>
      <c r="Y1208" s="7"/>
      <c r="Z1208" s="7"/>
      <c r="AA1208" s="7"/>
      <c r="AB1208" s="7"/>
      <c r="AC1208" s="7"/>
      <c r="AD1208" s="7"/>
      <c r="AE1208" s="7"/>
      <c r="AF1208" s="7"/>
      <c r="AG1208" s="7"/>
      <c r="AH1208" s="7"/>
      <c r="AI1208" s="7"/>
      <c r="AJ1208" s="7"/>
      <c r="AK1208" s="7"/>
      <c r="AL1208" s="7"/>
      <c r="AM1208" s="7"/>
      <c r="AN1208" s="7"/>
      <c r="AO1208" s="7"/>
      <c r="AP1208" s="7"/>
      <c r="AQ1208" s="7"/>
      <c r="AR1208" s="7"/>
      <c r="AS1208" s="7"/>
      <c r="AT1208" s="7"/>
      <c r="AU1208" s="7"/>
      <c r="AV1208" s="7"/>
      <c r="AW1208" s="7"/>
      <c r="AX1208" s="7"/>
      <c r="AY1208" s="7"/>
      <c r="AZ1208" s="7"/>
      <c r="BA1208" s="7"/>
      <c r="BB1208" s="7"/>
      <c r="BC1208" s="7"/>
      <c r="BD1208" s="7"/>
      <c r="BE1208" s="7"/>
      <c r="BF1208" s="7"/>
      <c r="BG1208" s="7"/>
      <c r="BH1208" s="7"/>
      <c r="BI1208" s="7"/>
      <c r="BJ1208" s="7"/>
      <c r="BK1208" s="7"/>
      <c r="BL1208" s="7"/>
      <c r="BM1208" s="7"/>
      <c r="BN1208" s="7"/>
      <c r="BO1208" s="7"/>
      <c r="BP1208" s="7"/>
      <c r="BQ1208" s="7"/>
      <c r="BR1208" s="7"/>
      <c r="BS1208" s="7"/>
      <c r="BT1208" s="7"/>
      <c r="BU1208" s="7"/>
      <c r="BV1208" s="7"/>
      <c r="BW1208" s="7"/>
      <c r="BX1208" s="7"/>
      <c r="BY1208" s="7"/>
      <c r="BZ1208" s="41"/>
      <c r="CA1208" s="7"/>
      <c r="CB1208" s="7"/>
      <c r="CC1208" s="7"/>
      <c r="CD1208" s="7"/>
      <c r="CE1208" s="7"/>
      <c r="CF1208" s="7"/>
    </row>
    <row r="1209">
      <c r="A1209" s="7"/>
      <c r="B1209" s="55"/>
      <c r="C1209" s="7"/>
      <c r="D1209" s="7"/>
      <c r="E1209" s="7"/>
      <c r="F1209" s="7"/>
      <c r="G1209" s="55"/>
      <c r="H1209" s="7"/>
      <c r="I1209" s="7"/>
      <c r="J1209" s="7"/>
      <c r="K1209" s="7"/>
      <c r="L1209" s="7"/>
      <c r="M1209" s="7"/>
      <c r="N1209" s="7"/>
      <c r="O1209" s="7"/>
      <c r="P1209" s="7"/>
      <c r="Q1209" s="55"/>
      <c r="R1209" s="7"/>
      <c r="S1209" s="7"/>
      <c r="T1209" s="7"/>
      <c r="U1209" s="7"/>
      <c r="V1209" s="7"/>
      <c r="W1209" s="7"/>
      <c r="X1209" s="7"/>
      <c r="Y1209" s="7"/>
      <c r="Z1209" s="7"/>
      <c r="AA1209" s="7"/>
      <c r="AB1209" s="7"/>
      <c r="AC1209" s="7"/>
      <c r="AD1209" s="7"/>
      <c r="AE1209" s="7"/>
      <c r="AF1209" s="7"/>
      <c r="AG1209" s="7"/>
      <c r="AH1209" s="7"/>
      <c r="AI1209" s="7"/>
      <c r="AJ1209" s="7"/>
      <c r="AK1209" s="7"/>
      <c r="AL1209" s="7"/>
      <c r="AM1209" s="7"/>
      <c r="AN1209" s="7"/>
      <c r="AO1209" s="7"/>
      <c r="AP1209" s="7"/>
      <c r="AQ1209" s="7"/>
      <c r="AR1209" s="7"/>
      <c r="AS1209" s="7"/>
      <c r="AT1209" s="7"/>
      <c r="AU1209" s="7"/>
      <c r="AV1209" s="7"/>
      <c r="AW1209" s="7"/>
      <c r="AX1209" s="7"/>
      <c r="AY1209" s="7"/>
      <c r="AZ1209" s="7"/>
      <c r="BA1209" s="7"/>
      <c r="BB1209" s="7"/>
      <c r="BC1209" s="7"/>
      <c r="BD1209" s="7"/>
      <c r="BE1209" s="7"/>
      <c r="BF1209" s="7"/>
      <c r="BG1209" s="7"/>
      <c r="BH1209" s="7"/>
      <c r="BI1209" s="7"/>
      <c r="BJ1209" s="7"/>
      <c r="BK1209" s="7"/>
      <c r="BL1209" s="7"/>
      <c r="BM1209" s="7"/>
      <c r="BN1209" s="7"/>
      <c r="BO1209" s="7"/>
      <c r="BP1209" s="7"/>
      <c r="BQ1209" s="7"/>
      <c r="BR1209" s="7"/>
      <c r="BS1209" s="7"/>
      <c r="BT1209" s="7"/>
      <c r="BU1209" s="7"/>
      <c r="BV1209" s="7"/>
      <c r="BW1209" s="7"/>
      <c r="BX1209" s="7"/>
      <c r="BY1209" s="7"/>
      <c r="BZ1209" s="41"/>
      <c r="CA1209" s="7"/>
      <c r="CB1209" s="7"/>
      <c r="CC1209" s="7"/>
      <c r="CD1209" s="7"/>
      <c r="CE1209" s="7"/>
      <c r="CF1209" s="7"/>
    </row>
    <row r="1210">
      <c r="A1210" s="7"/>
      <c r="B1210" s="55"/>
      <c r="C1210" s="7"/>
      <c r="D1210" s="7"/>
      <c r="E1210" s="7"/>
      <c r="F1210" s="7"/>
      <c r="G1210" s="55"/>
      <c r="H1210" s="7"/>
      <c r="I1210" s="7"/>
      <c r="J1210" s="7"/>
      <c r="K1210" s="7"/>
      <c r="L1210" s="7"/>
      <c r="M1210" s="7"/>
      <c r="N1210" s="7"/>
      <c r="O1210" s="7"/>
      <c r="P1210" s="7"/>
      <c r="Q1210" s="55"/>
      <c r="R1210" s="7"/>
      <c r="S1210" s="7"/>
      <c r="T1210" s="7"/>
      <c r="U1210" s="7"/>
      <c r="V1210" s="7"/>
      <c r="W1210" s="7"/>
      <c r="X1210" s="7"/>
      <c r="Y1210" s="7"/>
      <c r="Z1210" s="7"/>
      <c r="AA1210" s="7"/>
      <c r="AB1210" s="7"/>
      <c r="AC1210" s="7"/>
      <c r="AD1210" s="7"/>
      <c r="AE1210" s="7"/>
      <c r="AF1210" s="7"/>
      <c r="AG1210" s="7"/>
      <c r="AH1210" s="7"/>
      <c r="AI1210" s="7"/>
      <c r="AJ1210" s="7"/>
      <c r="AK1210" s="7"/>
      <c r="AL1210" s="7"/>
      <c r="AM1210" s="7"/>
      <c r="AN1210" s="7"/>
      <c r="AO1210" s="7"/>
      <c r="AP1210" s="7"/>
      <c r="AQ1210" s="7"/>
      <c r="AR1210" s="7"/>
      <c r="AS1210" s="7"/>
      <c r="AT1210" s="7"/>
      <c r="AU1210" s="7"/>
      <c r="AV1210" s="7"/>
      <c r="AW1210" s="7"/>
      <c r="AX1210" s="7"/>
      <c r="AY1210" s="7"/>
      <c r="AZ1210" s="7"/>
      <c r="BA1210" s="7"/>
      <c r="BB1210" s="7"/>
      <c r="BC1210" s="7"/>
      <c r="BD1210" s="7"/>
      <c r="BE1210" s="7"/>
      <c r="BF1210" s="7"/>
      <c r="BG1210" s="7"/>
      <c r="BH1210" s="7"/>
      <c r="BI1210" s="7"/>
      <c r="BJ1210" s="7"/>
      <c r="BK1210" s="7"/>
      <c r="BL1210" s="7"/>
      <c r="BM1210" s="7"/>
      <c r="BN1210" s="7"/>
      <c r="BO1210" s="7"/>
      <c r="BP1210" s="7"/>
      <c r="BQ1210" s="7"/>
      <c r="BR1210" s="7"/>
      <c r="BS1210" s="7"/>
      <c r="BT1210" s="7"/>
      <c r="BU1210" s="7"/>
      <c r="BV1210" s="7"/>
      <c r="BW1210" s="7"/>
      <c r="BX1210" s="7"/>
      <c r="BY1210" s="7"/>
      <c r="BZ1210" s="41"/>
      <c r="CA1210" s="7"/>
      <c r="CB1210" s="7"/>
      <c r="CC1210" s="7"/>
      <c r="CD1210" s="7"/>
      <c r="CE1210" s="7"/>
      <c r="CF1210" s="7"/>
    </row>
    <row r="1211">
      <c r="A1211" s="7"/>
      <c r="B1211" s="55"/>
      <c r="C1211" s="7"/>
      <c r="D1211" s="7"/>
      <c r="E1211" s="7"/>
      <c r="F1211" s="7"/>
      <c r="G1211" s="55"/>
      <c r="H1211" s="7"/>
      <c r="I1211" s="7"/>
      <c r="J1211" s="7"/>
      <c r="K1211" s="7"/>
      <c r="L1211" s="7"/>
      <c r="M1211" s="7"/>
      <c r="N1211" s="7"/>
      <c r="O1211" s="7"/>
      <c r="P1211" s="7"/>
      <c r="Q1211" s="55"/>
      <c r="R1211" s="7"/>
      <c r="S1211" s="7"/>
      <c r="T1211" s="7"/>
      <c r="U1211" s="7"/>
      <c r="V1211" s="7"/>
      <c r="W1211" s="7"/>
      <c r="X1211" s="7"/>
      <c r="Y1211" s="7"/>
      <c r="Z1211" s="7"/>
      <c r="AA1211" s="7"/>
      <c r="AB1211" s="7"/>
      <c r="AC1211" s="7"/>
      <c r="AD1211" s="7"/>
      <c r="AE1211" s="7"/>
      <c r="AF1211" s="7"/>
      <c r="AG1211" s="7"/>
      <c r="AH1211" s="7"/>
      <c r="AI1211" s="7"/>
      <c r="AJ1211" s="7"/>
      <c r="AK1211" s="7"/>
      <c r="AL1211" s="7"/>
      <c r="AM1211" s="7"/>
      <c r="AN1211" s="7"/>
      <c r="AO1211" s="7"/>
      <c r="AP1211" s="7"/>
      <c r="AQ1211" s="7"/>
      <c r="AR1211" s="7"/>
      <c r="AS1211" s="7"/>
      <c r="AT1211" s="7"/>
      <c r="AU1211" s="7"/>
      <c r="AV1211" s="7"/>
      <c r="AW1211" s="7"/>
      <c r="AX1211" s="7"/>
      <c r="AY1211" s="7"/>
      <c r="AZ1211" s="7"/>
      <c r="BA1211" s="7"/>
      <c r="BB1211" s="7"/>
      <c r="BC1211" s="7"/>
      <c r="BD1211" s="7"/>
      <c r="BE1211" s="7"/>
      <c r="BF1211" s="7"/>
      <c r="BG1211" s="7"/>
      <c r="BH1211" s="7"/>
      <c r="BI1211" s="7"/>
      <c r="BJ1211" s="7"/>
      <c r="BK1211" s="7"/>
      <c r="BL1211" s="7"/>
      <c r="BM1211" s="7"/>
      <c r="BN1211" s="7"/>
      <c r="BO1211" s="7"/>
      <c r="BP1211" s="7"/>
      <c r="BQ1211" s="7"/>
      <c r="BR1211" s="7"/>
      <c r="BS1211" s="7"/>
      <c r="BT1211" s="7"/>
      <c r="BU1211" s="7"/>
      <c r="BV1211" s="7"/>
      <c r="BW1211" s="7"/>
      <c r="BX1211" s="7"/>
      <c r="BY1211" s="7"/>
      <c r="BZ1211" s="41"/>
      <c r="CA1211" s="7"/>
      <c r="CB1211" s="7"/>
      <c r="CC1211" s="7"/>
      <c r="CD1211" s="7"/>
      <c r="CE1211" s="7"/>
      <c r="CF1211" s="7"/>
    </row>
    <row r="1212">
      <c r="A1212" s="7"/>
      <c r="B1212" s="55"/>
      <c r="C1212" s="7"/>
      <c r="D1212" s="7"/>
      <c r="E1212" s="7"/>
      <c r="F1212" s="7"/>
      <c r="G1212" s="55"/>
      <c r="H1212" s="7"/>
      <c r="I1212" s="7"/>
      <c r="J1212" s="7"/>
      <c r="K1212" s="7"/>
      <c r="L1212" s="7"/>
      <c r="M1212" s="7"/>
      <c r="N1212" s="7"/>
      <c r="O1212" s="7"/>
      <c r="P1212" s="7"/>
      <c r="Q1212" s="55"/>
      <c r="R1212" s="7"/>
      <c r="S1212" s="7"/>
      <c r="T1212" s="7"/>
      <c r="U1212" s="7"/>
      <c r="V1212" s="7"/>
      <c r="W1212" s="7"/>
      <c r="X1212" s="7"/>
      <c r="Y1212" s="7"/>
      <c r="Z1212" s="7"/>
      <c r="AA1212" s="7"/>
      <c r="AB1212" s="7"/>
      <c r="AC1212" s="7"/>
      <c r="AD1212" s="7"/>
      <c r="AE1212" s="7"/>
      <c r="AF1212" s="7"/>
      <c r="AG1212" s="7"/>
      <c r="AH1212" s="7"/>
      <c r="AI1212" s="7"/>
      <c r="AJ1212" s="7"/>
      <c r="AK1212" s="7"/>
      <c r="AL1212" s="7"/>
      <c r="AM1212" s="7"/>
      <c r="AN1212" s="7"/>
      <c r="AO1212" s="7"/>
      <c r="AP1212" s="7"/>
      <c r="AQ1212" s="7"/>
      <c r="AR1212" s="7"/>
      <c r="AS1212" s="7"/>
      <c r="AT1212" s="7"/>
      <c r="AU1212" s="7"/>
      <c r="AV1212" s="7"/>
      <c r="AW1212" s="7"/>
      <c r="AX1212" s="7"/>
      <c r="AY1212" s="7"/>
      <c r="AZ1212" s="7"/>
      <c r="BA1212" s="7"/>
      <c r="BB1212" s="7"/>
      <c r="BC1212" s="7"/>
      <c r="BD1212" s="7"/>
      <c r="BE1212" s="7"/>
      <c r="BF1212" s="7"/>
      <c r="BG1212" s="7"/>
      <c r="BH1212" s="7"/>
      <c r="BI1212" s="7"/>
      <c r="BJ1212" s="7"/>
      <c r="BK1212" s="7"/>
      <c r="BL1212" s="7"/>
      <c r="BM1212" s="7"/>
      <c r="BN1212" s="7"/>
      <c r="BO1212" s="7"/>
      <c r="BP1212" s="7"/>
      <c r="BQ1212" s="7"/>
      <c r="BR1212" s="7"/>
      <c r="BS1212" s="7"/>
      <c r="BT1212" s="7"/>
      <c r="BU1212" s="7"/>
      <c r="BV1212" s="7"/>
      <c r="BW1212" s="7"/>
      <c r="BX1212" s="7"/>
      <c r="BY1212" s="7"/>
      <c r="BZ1212" s="41"/>
      <c r="CA1212" s="7"/>
      <c r="CB1212" s="7"/>
      <c r="CC1212" s="7"/>
      <c r="CD1212" s="7"/>
      <c r="CE1212" s="7"/>
      <c r="CF1212" s="7"/>
    </row>
    <row r="1213">
      <c r="A1213" s="7"/>
      <c r="B1213" s="55"/>
      <c r="C1213" s="7"/>
      <c r="D1213" s="7"/>
      <c r="E1213" s="7"/>
      <c r="F1213" s="7"/>
      <c r="G1213" s="55"/>
      <c r="H1213" s="7"/>
      <c r="I1213" s="7"/>
      <c r="J1213" s="7"/>
      <c r="K1213" s="7"/>
      <c r="L1213" s="7"/>
      <c r="M1213" s="7"/>
      <c r="N1213" s="7"/>
      <c r="O1213" s="7"/>
      <c r="P1213" s="7"/>
      <c r="Q1213" s="55"/>
      <c r="R1213" s="7"/>
      <c r="S1213" s="7"/>
      <c r="T1213" s="7"/>
      <c r="U1213" s="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c r="BL1213" s="7"/>
      <c r="BM1213" s="7"/>
      <c r="BN1213" s="7"/>
      <c r="BO1213" s="7"/>
      <c r="BP1213" s="7"/>
      <c r="BQ1213" s="7"/>
      <c r="BR1213" s="7"/>
      <c r="BS1213" s="7"/>
      <c r="BT1213" s="7"/>
      <c r="BU1213" s="7"/>
      <c r="BV1213" s="7"/>
      <c r="BW1213" s="7"/>
      <c r="BX1213" s="7"/>
      <c r="BY1213" s="7"/>
      <c r="BZ1213" s="41"/>
      <c r="CA1213" s="7"/>
      <c r="CB1213" s="7"/>
      <c r="CC1213" s="7"/>
      <c r="CD1213" s="7"/>
      <c r="CE1213" s="7"/>
      <c r="CF1213" s="7"/>
    </row>
    <row r="1214">
      <c r="A1214" s="7"/>
      <c r="B1214" s="55"/>
      <c r="C1214" s="7"/>
      <c r="D1214" s="7"/>
      <c r="E1214" s="7"/>
      <c r="F1214" s="7"/>
      <c r="G1214" s="55"/>
      <c r="H1214" s="7"/>
      <c r="I1214" s="7"/>
      <c r="J1214" s="7"/>
      <c r="K1214" s="7"/>
      <c r="L1214" s="7"/>
      <c r="M1214" s="7"/>
      <c r="N1214" s="7"/>
      <c r="O1214" s="7"/>
      <c r="P1214" s="7"/>
      <c r="Q1214" s="55"/>
      <c r="R1214" s="7"/>
      <c r="S1214" s="7"/>
      <c r="T1214" s="7"/>
      <c r="U1214" s="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c r="BE1214" s="7"/>
      <c r="BF1214" s="7"/>
      <c r="BG1214" s="7"/>
      <c r="BH1214" s="7"/>
      <c r="BI1214" s="7"/>
      <c r="BJ1214" s="7"/>
      <c r="BK1214" s="7"/>
      <c r="BL1214" s="7"/>
      <c r="BM1214" s="7"/>
      <c r="BN1214" s="7"/>
      <c r="BO1214" s="7"/>
      <c r="BP1214" s="7"/>
      <c r="BQ1214" s="7"/>
      <c r="BR1214" s="7"/>
      <c r="BS1214" s="7"/>
      <c r="BT1214" s="7"/>
      <c r="BU1214" s="7"/>
      <c r="BV1214" s="7"/>
      <c r="BW1214" s="7"/>
      <c r="BX1214" s="7"/>
      <c r="BY1214" s="7"/>
      <c r="BZ1214" s="41"/>
      <c r="CA1214" s="7"/>
      <c r="CB1214" s="7"/>
      <c r="CC1214" s="7"/>
      <c r="CD1214" s="7"/>
      <c r="CE1214" s="7"/>
      <c r="CF1214" s="7"/>
    </row>
    <row r="1215">
      <c r="A1215" s="7"/>
      <c r="B1215" s="55"/>
      <c r="C1215" s="7"/>
      <c r="D1215" s="7"/>
      <c r="E1215" s="7"/>
      <c r="F1215" s="7"/>
      <c r="G1215" s="55"/>
      <c r="H1215" s="7"/>
      <c r="I1215" s="7"/>
      <c r="J1215" s="7"/>
      <c r="K1215" s="7"/>
      <c r="L1215" s="7"/>
      <c r="M1215" s="7"/>
      <c r="N1215" s="7"/>
      <c r="O1215" s="7"/>
      <c r="P1215" s="7"/>
      <c r="Q1215" s="55"/>
      <c r="R1215" s="7"/>
      <c r="S1215" s="7"/>
      <c r="T1215" s="7"/>
      <c r="U1215" s="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c r="AS1215" s="7"/>
      <c r="AT1215" s="7"/>
      <c r="AU1215" s="7"/>
      <c r="AV1215" s="7"/>
      <c r="AW1215" s="7"/>
      <c r="AX1215" s="7"/>
      <c r="AY1215" s="7"/>
      <c r="AZ1215" s="7"/>
      <c r="BA1215" s="7"/>
      <c r="BB1215" s="7"/>
      <c r="BC1215" s="7"/>
      <c r="BD1215" s="7"/>
      <c r="BE1215" s="7"/>
      <c r="BF1215" s="7"/>
      <c r="BG1215" s="7"/>
      <c r="BH1215" s="7"/>
      <c r="BI1215" s="7"/>
      <c r="BJ1215" s="7"/>
      <c r="BK1215" s="7"/>
      <c r="BL1215" s="7"/>
      <c r="BM1215" s="7"/>
      <c r="BN1215" s="7"/>
      <c r="BO1215" s="7"/>
      <c r="BP1215" s="7"/>
      <c r="BQ1215" s="7"/>
      <c r="BR1215" s="7"/>
      <c r="BS1215" s="7"/>
      <c r="BT1215" s="7"/>
      <c r="BU1215" s="7"/>
      <c r="BV1215" s="7"/>
      <c r="BW1215" s="7"/>
      <c r="BX1215" s="7"/>
      <c r="BY1215" s="7"/>
      <c r="BZ1215" s="41"/>
      <c r="CA1215" s="7"/>
      <c r="CB1215" s="7"/>
      <c r="CC1215" s="7"/>
      <c r="CD1215" s="7"/>
      <c r="CE1215" s="7"/>
      <c r="CF1215" s="7"/>
    </row>
    <row r="1216">
      <c r="A1216" s="7"/>
      <c r="B1216" s="55"/>
      <c r="C1216" s="7"/>
      <c r="D1216" s="7"/>
      <c r="E1216" s="7"/>
      <c r="F1216" s="7"/>
      <c r="G1216" s="55"/>
      <c r="H1216" s="7"/>
      <c r="I1216" s="7"/>
      <c r="J1216" s="7"/>
      <c r="K1216" s="7"/>
      <c r="L1216" s="7"/>
      <c r="M1216" s="7"/>
      <c r="N1216" s="7"/>
      <c r="O1216" s="7"/>
      <c r="P1216" s="7"/>
      <c r="Q1216" s="55"/>
      <c r="R1216" s="7"/>
      <c r="S1216" s="7"/>
      <c r="T1216" s="7"/>
      <c r="U1216" s="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c r="AS1216" s="7"/>
      <c r="AT1216" s="7"/>
      <c r="AU1216" s="7"/>
      <c r="AV1216" s="7"/>
      <c r="AW1216" s="7"/>
      <c r="AX1216" s="7"/>
      <c r="AY1216" s="7"/>
      <c r="AZ1216" s="7"/>
      <c r="BA1216" s="7"/>
      <c r="BB1216" s="7"/>
      <c r="BC1216" s="7"/>
      <c r="BD1216" s="7"/>
      <c r="BE1216" s="7"/>
      <c r="BF1216" s="7"/>
      <c r="BG1216" s="7"/>
      <c r="BH1216" s="7"/>
      <c r="BI1216" s="7"/>
      <c r="BJ1216" s="7"/>
      <c r="BK1216" s="7"/>
      <c r="BL1216" s="7"/>
      <c r="BM1216" s="7"/>
      <c r="BN1216" s="7"/>
      <c r="BO1216" s="7"/>
      <c r="BP1216" s="7"/>
      <c r="BQ1216" s="7"/>
      <c r="BR1216" s="7"/>
      <c r="BS1216" s="7"/>
      <c r="BT1216" s="7"/>
      <c r="BU1216" s="7"/>
      <c r="BV1216" s="7"/>
      <c r="BW1216" s="7"/>
      <c r="BX1216" s="7"/>
      <c r="BY1216" s="7"/>
      <c r="BZ1216" s="41"/>
      <c r="CA1216" s="7"/>
      <c r="CB1216" s="7"/>
      <c r="CC1216" s="7"/>
      <c r="CD1216" s="7"/>
      <c r="CE1216" s="7"/>
      <c r="CF1216" s="7"/>
    </row>
    <row r="1217">
      <c r="A1217" s="7"/>
      <c r="B1217" s="55"/>
      <c r="C1217" s="7"/>
      <c r="D1217" s="7"/>
      <c r="E1217" s="7"/>
      <c r="F1217" s="7"/>
      <c r="G1217" s="55"/>
      <c r="H1217" s="7"/>
      <c r="I1217" s="7"/>
      <c r="J1217" s="7"/>
      <c r="K1217" s="7"/>
      <c r="L1217" s="7"/>
      <c r="M1217" s="7"/>
      <c r="N1217" s="7"/>
      <c r="O1217" s="7"/>
      <c r="P1217" s="7"/>
      <c r="Q1217" s="55"/>
      <c r="R1217" s="7"/>
      <c r="S1217" s="7"/>
      <c r="T1217" s="7"/>
      <c r="U1217" s="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c r="AS1217" s="7"/>
      <c r="AT1217" s="7"/>
      <c r="AU1217" s="7"/>
      <c r="AV1217" s="7"/>
      <c r="AW1217" s="7"/>
      <c r="AX1217" s="7"/>
      <c r="AY1217" s="7"/>
      <c r="AZ1217" s="7"/>
      <c r="BA1217" s="7"/>
      <c r="BB1217" s="7"/>
      <c r="BC1217" s="7"/>
      <c r="BD1217" s="7"/>
      <c r="BE1217" s="7"/>
      <c r="BF1217" s="7"/>
      <c r="BG1217" s="7"/>
      <c r="BH1217" s="7"/>
      <c r="BI1217" s="7"/>
      <c r="BJ1217" s="7"/>
      <c r="BK1217" s="7"/>
      <c r="BL1217" s="7"/>
      <c r="BM1217" s="7"/>
      <c r="BN1217" s="7"/>
      <c r="BO1217" s="7"/>
      <c r="BP1217" s="7"/>
      <c r="BQ1217" s="7"/>
      <c r="BR1217" s="7"/>
      <c r="BS1217" s="7"/>
      <c r="BT1217" s="7"/>
      <c r="BU1217" s="7"/>
      <c r="BV1217" s="7"/>
      <c r="BW1217" s="7"/>
      <c r="BX1217" s="7"/>
      <c r="BY1217" s="7"/>
      <c r="BZ1217" s="41"/>
      <c r="CA1217" s="7"/>
      <c r="CB1217" s="7"/>
      <c r="CC1217" s="7"/>
      <c r="CD1217" s="7"/>
      <c r="CE1217" s="7"/>
      <c r="CF1217" s="7"/>
    </row>
    <row r="1218">
      <c r="A1218" s="7"/>
      <c r="B1218" s="55"/>
      <c r="C1218" s="7"/>
      <c r="D1218" s="7"/>
      <c r="E1218" s="7"/>
      <c r="F1218" s="7"/>
      <c r="G1218" s="55"/>
      <c r="H1218" s="7"/>
      <c r="I1218" s="7"/>
      <c r="J1218" s="7"/>
      <c r="K1218" s="7"/>
      <c r="L1218" s="7"/>
      <c r="M1218" s="7"/>
      <c r="N1218" s="7"/>
      <c r="O1218" s="7"/>
      <c r="P1218" s="7"/>
      <c r="Q1218" s="55"/>
      <c r="R1218" s="7"/>
      <c r="S1218" s="7"/>
      <c r="T1218" s="7"/>
      <c r="U1218" s="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c r="AS1218" s="7"/>
      <c r="AT1218" s="7"/>
      <c r="AU1218" s="7"/>
      <c r="AV1218" s="7"/>
      <c r="AW1218" s="7"/>
      <c r="AX1218" s="7"/>
      <c r="AY1218" s="7"/>
      <c r="AZ1218" s="7"/>
      <c r="BA1218" s="7"/>
      <c r="BB1218" s="7"/>
      <c r="BC1218" s="7"/>
      <c r="BD1218" s="7"/>
      <c r="BE1218" s="7"/>
      <c r="BF1218" s="7"/>
      <c r="BG1218" s="7"/>
      <c r="BH1218" s="7"/>
      <c r="BI1218" s="7"/>
      <c r="BJ1218" s="7"/>
      <c r="BK1218" s="7"/>
      <c r="BL1218" s="7"/>
      <c r="BM1218" s="7"/>
      <c r="BN1218" s="7"/>
      <c r="BO1218" s="7"/>
      <c r="BP1218" s="7"/>
      <c r="BQ1218" s="7"/>
      <c r="BR1218" s="7"/>
      <c r="BS1218" s="7"/>
      <c r="BT1218" s="7"/>
      <c r="BU1218" s="7"/>
      <c r="BV1218" s="7"/>
      <c r="BW1218" s="7"/>
      <c r="BX1218" s="7"/>
      <c r="BY1218" s="7"/>
      <c r="BZ1218" s="41"/>
      <c r="CA1218" s="7"/>
      <c r="CB1218" s="7"/>
      <c r="CC1218" s="7"/>
      <c r="CD1218" s="7"/>
      <c r="CE1218" s="7"/>
      <c r="CF1218" s="7"/>
    </row>
    <row r="1219">
      <c r="A1219" s="7"/>
      <c r="B1219" s="55"/>
      <c r="C1219" s="7"/>
      <c r="D1219" s="7"/>
      <c r="E1219" s="7"/>
      <c r="F1219" s="7"/>
      <c r="G1219" s="55"/>
      <c r="H1219" s="7"/>
      <c r="I1219" s="7"/>
      <c r="J1219" s="7"/>
      <c r="K1219" s="7"/>
      <c r="L1219" s="7"/>
      <c r="M1219" s="7"/>
      <c r="N1219" s="7"/>
      <c r="O1219" s="7"/>
      <c r="P1219" s="7"/>
      <c r="Q1219" s="55"/>
      <c r="R1219" s="7"/>
      <c r="S1219" s="7"/>
      <c r="T1219" s="7"/>
      <c r="U1219" s="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c r="BL1219" s="7"/>
      <c r="BM1219" s="7"/>
      <c r="BN1219" s="7"/>
      <c r="BO1219" s="7"/>
      <c r="BP1219" s="7"/>
      <c r="BQ1219" s="7"/>
      <c r="BR1219" s="7"/>
      <c r="BS1219" s="7"/>
      <c r="BT1219" s="7"/>
      <c r="BU1219" s="7"/>
      <c r="BV1219" s="7"/>
      <c r="BW1219" s="7"/>
      <c r="BX1219" s="7"/>
      <c r="BY1219" s="7"/>
      <c r="BZ1219" s="41"/>
      <c r="CA1219" s="7"/>
      <c r="CB1219" s="7"/>
      <c r="CC1219" s="7"/>
      <c r="CD1219" s="7"/>
      <c r="CE1219" s="7"/>
      <c r="CF1219" s="7"/>
    </row>
    <row r="1220">
      <c r="A1220" s="7"/>
      <c r="B1220" s="55"/>
      <c r="C1220" s="7"/>
      <c r="D1220" s="7"/>
      <c r="E1220" s="7"/>
      <c r="F1220" s="7"/>
      <c r="G1220" s="55"/>
      <c r="H1220" s="7"/>
      <c r="I1220" s="7"/>
      <c r="J1220" s="7"/>
      <c r="K1220" s="7"/>
      <c r="L1220" s="7"/>
      <c r="M1220" s="7"/>
      <c r="N1220" s="7"/>
      <c r="O1220" s="7"/>
      <c r="P1220" s="7"/>
      <c r="Q1220" s="55"/>
      <c r="R1220" s="7"/>
      <c r="S1220" s="7"/>
      <c r="T1220" s="7"/>
      <c r="U1220" s="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c r="BE1220" s="7"/>
      <c r="BF1220" s="7"/>
      <c r="BG1220" s="7"/>
      <c r="BH1220" s="7"/>
      <c r="BI1220" s="7"/>
      <c r="BJ1220" s="7"/>
      <c r="BK1220" s="7"/>
      <c r="BL1220" s="7"/>
      <c r="BM1220" s="7"/>
      <c r="BN1220" s="7"/>
      <c r="BO1220" s="7"/>
      <c r="BP1220" s="7"/>
      <c r="BQ1220" s="7"/>
      <c r="BR1220" s="7"/>
      <c r="BS1220" s="7"/>
      <c r="BT1220" s="7"/>
      <c r="BU1220" s="7"/>
      <c r="BV1220" s="7"/>
      <c r="BW1220" s="7"/>
      <c r="BX1220" s="7"/>
      <c r="BY1220" s="7"/>
      <c r="BZ1220" s="41"/>
      <c r="CA1220" s="7"/>
      <c r="CB1220" s="7"/>
      <c r="CC1220" s="7"/>
      <c r="CD1220" s="7"/>
      <c r="CE1220" s="7"/>
      <c r="CF1220" s="7"/>
    </row>
    <row r="1221">
      <c r="A1221" s="7"/>
      <c r="B1221" s="55"/>
      <c r="C1221" s="7"/>
      <c r="D1221" s="7"/>
      <c r="E1221" s="7"/>
      <c r="F1221" s="7"/>
      <c r="G1221" s="55"/>
      <c r="H1221" s="7"/>
      <c r="I1221" s="7"/>
      <c r="J1221" s="7"/>
      <c r="K1221" s="7"/>
      <c r="L1221" s="7"/>
      <c r="M1221" s="7"/>
      <c r="N1221" s="7"/>
      <c r="O1221" s="7"/>
      <c r="P1221" s="7"/>
      <c r="Q1221" s="55"/>
      <c r="R1221" s="7"/>
      <c r="S1221" s="7"/>
      <c r="T1221" s="7"/>
      <c r="U1221" s="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c r="BL1221" s="7"/>
      <c r="BM1221" s="7"/>
      <c r="BN1221" s="7"/>
      <c r="BO1221" s="7"/>
      <c r="BP1221" s="7"/>
      <c r="BQ1221" s="7"/>
      <c r="BR1221" s="7"/>
      <c r="BS1221" s="7"/>
      <c r="BT1221" s="7"/>
      <c r="BU1221" s="7"/>
      <c r="BV1221" s="7"/>
      <c r="BW1221" s="7"/>
      <c r="BX1221" s="7"/>
      <c r="BY1221" s="7"/>
      <c r="BZ1221" s="41"/>
      <c r="CA1221" s="7"/>
      <c r="CB1221" s="7"/>
      <c r="CC1221" s="7"/>
      <c r="CD1221" s="7"/>
      <c r="CE1221" s="7"/>
      <c r="CF1221" s="7"/>
    </row>
    <row r="1222">
      <c r="A1222" s="7"/>
      <c r="B1222" s="55"/>
      <c r="C1222" s="7"/>
      <c r="D1222" s="7"/>
      <c r="E1222" s="7"/>
      <c r="F1222" s="7"/>
      <c r="G1222" s="55"/>
      <c r="H1222" s="7"/>
      <c r="I1222" s="7"/>
      <c r="J1222" s="7"/>
      <c r="K1222" s="7"/>
      <c r="L1222" s="7"/>
      <c r="M1222" s="7"/>
      <c r="N1222" s="7"/>
      <c r="O1222" s="7"/>
      <c r="P1222" s="7"/>
      <c r="Q1222" s="55"/>
      <c r="R1222" s="7"/>
      <c r="S1222" s="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c r="BE1222" s="7"/>
      <c r="BF1222" s="7"/>
      <c r="BG1222" s="7"/>
      <c r="BH1222" s="7"/>
      <c r="BI1222" s="7"/>
      <c r="BJ1222" s="7"/>
      <c r="BK1222" s="7"/>
      <c r="BL1222" s="7"/>
      <c r="BM1222" s="7"/>
      <c r="BN1222" s="7"/>
      <c r="BO1222" s="7"/>
      <c r="BP1222" s="7"/>
      <c r="BQ1222" s="7"/>
      <c r="BR1222" s="7"/>
      <c r="BS1222" s="7"/>
      <c r="BT1222" s="7"/>
      <c r="BU1222" s="7"/>
      <c r="BV1222" s="7"/>
      <c r="BW1222" s="7"/>
      <c r="BX1222" s="7"/>
      <c r="BY1222" s="7"/>
      <c r="BZ1222" s="41"/>
      <c r="CA1222" s="7"/>
      <c r="CB1222" s="7"/>
      <c r="CC1222" s="7"/>
      <c r="CD1222" s="7"/>
      <c r="CE1222" s="7"/>
      <c r="CF1222" s="7"/>
    </row>
    <row r="1223">
      <c r="A1223" s="7"/>
      <c r="B1223" s="55"/>
      <c r="C1223" s="7"/>
      <c r="D1223" s="7"/>
      <c r="E1223" s="7"/>
      <c r="F1223" s="7"/>
      <c r="G1223" s="55"/>
      <c r="H1223" s="7"/>
      <c r="I1223" s="7"/>
      <c r="J1223" s="7"/>
      <c r="K1223" s="7"/>
      <c r="L1223" s="7"/>
      <c r="M1223" s="7"/>
      <c r="N1223" s="7"/>
      <c r="O1223" s="7"/>
      <c r="P1223" s="7"/>
      <c r="Q1223" s="55"/>
      <c r="R1223" s="7"/>
      <c r="S1223" s="7"/>
      <c r="T1223" s="7"/>
      <c r="U1223" s="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c r="AS1223" s="7"/>
      <c r="AT1223" s="7"/>
      <c r="AU1223" s="7"/>
      <c r="AV1223" s="7"/>
      <c r="AW1223" s="7"/>
      <c r="AX1223" s="7"/>
      <c r="AY1223" s="7"/>
      <c r="AZ1223" s="7"/>
      <c r="BA1223" s="7"/>
      <c r="BB1223" s="7"/>
      <c r="BC1223" s="7"/>
      <c r="BD1223" s="7"/>
      <c r="BE1223" s="7"/>
      <c r="BF1223" s="7"/>
      <c r="BG1223" s="7"/>
      <c r="BH1223" s="7"/>
      <c r="BI1223" s="7"/>
      <c r="BJ1223" s="7"/>
      <c r="BK1223" s="7"/>
      <c r="BL1223" s="7"/>
      <c r="BM1223" s="7"/>
      <c r="BN1223" s="7"/>
      <c r="BO1223" s="7"/>
      <c r="BP1223" s="7"/>
      <c r="BQ1223" s="7"/>
      <c r="BR1223" s="7"/>
      <c r="BS1223" s="7"/>
      <c r="BT1223" s="7"/>
      <c r="BU1223" s="7"/>
      <c r="BV1223" s="7"/>
      <c r="BW1223" s="7"/>
      <c r="BX1223" s="7"/>
      <c r="BY1223" s="7"/>
      <c r="BZ1223" s="41"/>
      <c r="CA1223" s="7"/>
      <c r="CB1223" s="7"/>
      <c r="CC1223" s="7"/>
      <c r="CD1223" s="7"/>
      <c r="CE1223" s="7"/>
      <c r="CF1223" s="7"/>
    </row>
    <row r="1224">
      <c r="A1224" s="7"/>
      <c r="B1224" s="55"/>
      <c r="C1224" s="7"/>
      <c r="D1224" s="7"/>
      <c r="E1224" s="7"/>
      <c r="F1224" s="7"/>
      <c r="G1224" s="55"/>
      <c r="H1224" s="7"/>
      <c r="I1224" s="7"/>
      <c r="J1224" s="7"/>
      <c r="K1224" s="7"/>
      <c r="L1224" s="7"/>
      <c r="M1224" s="7"/>
      <c r="N1224" s="7"/>
      <c r="O1224" s="7"/>
      <c r="P1224" s="7"/>
      <c r="Q1224" s="55"/>
      <c r="R1224" s="7"/>
      <c r="S1224" s="7"/>
      <c r="T1224" s="7"/>
      <c r="U1224" s="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c r="AS1224" s="7"/>
      <c r="AT1224" s="7"/>
      <c r="AU1224" s="7"/>
      <c r="AV1224" s="7"/>
      <c r="AW1224" s="7"/>
      <c r="AX1224" s="7"/>
      <c r="AY1224" s="7"/>
      <c r="AZ1224" s="7"/>
      <c r="BA1224" s="7"/>
      <c r="BB1224" s="7"/>
      <c r="BC1224" s="7"/>
      <c r="BD1224" s="7"/>
      <c r="BE1224" s="7"/>
      <c r="BF1224" s="7"/>
      <c r="BG1224" s="7"/>
      <c r="BH1224" s="7"/>
      <c r="BI1224" s="7"/>
      <c r="BJ1224" s="7"/>
      <c r="BK1224" s="7"/>
      <c r="BL1224" s="7"/>
      <c r="BM1224" s="7"/>
      <c r="BN1224" s="7"/>
      <c r="BO1224" s="7"/>
      <c r="BP1224" s="7"/>
      <c r="BQ1224" s="7"/>
      <c r="BR1224" s="7"/>
      <c r="BS1224" s="7"/>
      <c r="BT1224" s="7"/>
      <c r="BU1224" s="7"/>
      <c r="BV1224" s="7"/>
      <c r="BW1224" s="7"/>
      <c r="BX1224" s="7"/>
      <c r="BY1224" s="7"/>
      <c r="BZ1224" s="41"/>
      <c r="CA1224" s="7"/>
      <c r="CB1224" s="7"/>
      <c r="CC1224" s="7"/>
      <c r="CD1224" s="7"/>
      <c r="CE1224" s="7"/>
      <c r="CF1224" s="7"/>
    </row>
    <row r="1225">
      <c r="A1225" s="7"/>
      <c r="B1225" s="55"/>
      <c r="C1225" s="7"/>
      <c r="D1225" s="7"/>
      <c r="E1225" s="7"/>
      <c r="F1225" s="7"/>
      <c r="G1225" s="55"/>
      <c r="H1225" s="7"/>
      <c r="I1225" s="7"/>
      <c r="J1225" s="7"/>
      <c r="K1225" s="7"/>
      <c r="L1225" s="7"/>
      <c r="M1225" s="7"/>
      <c r="N1225" s="7"/>
      <c r="O1225" s="7"/>
      <c r="P1225" s="7"/>
      <c r="Q1225" s="55"/>
      <c r="R1225" s="7"/>
      <c r="S1225" s="7"/>
      <c r="T1225" s="7"/>
      <c r="U1225" s="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c r="AS1225" s="7"/>
      <c r="AT1225" s="7"/>
      <c r="AU1225" s="7"/>
      <c r="AV1225" s="7"/>
      <c r="AW1225" s="7"/>
      <c r="AX1225" s="7"/>
      <c r="AY1225" s="7"/>
      <c r="AZ1225" s="7"/>
      <c r="BA1225" s="7"/>
      <c r="BB1225" s="7"/>
      <c r="BC1225" s="7"/>
      <c r="BD1225" s="7"/>
      <c r="BE1225" s="7"/>
      <c r="BF1225" s="7"/>
      <c r="BG1225" s="7"/>
      <c r="BH1225" s="7"/>
      <c r="BI1225" s="7"/>
      <c r="BJ1225" s="7"/>
      <c r="BK1225" s="7"/>
      <c r="BL1225" s="7"/>
      <c r="BM1225" s="7"/>
      <c r="BN1225" s="7"/>
      <c r="BO1225" s="7"/>
      <c r="BP1225" s="7"/>
      <c r="BQ1225" s="7"/>
      <c r="BR1225" s="7"/>
      <c r="BS1225" s="7"/>
      <c r="BT1225" s="7"/>
      <c r="BU1225" s="7"/>
      <c r="BV1225" s="7"/>
      <c r="BW1225" s="7"/>
      <c r="BX1225" s="7"/>
      <c r="BY1225" s="7"/>
      <c r="BZ1225" s="41"/>
      <c r="CA1225" s="7"/>
      <c r="CB1225" s="7"/>
      <c r="CC1225" s="7"/>
      <c r="CD1225" s="7"/>
      <c r="CE1225" s="7"/>
      <c r="CF1225" s="7"/>
    </row>
    <row r="1226">
      <c r="A1226" s="7"/>
      <c r="B1226" s="55"/>
      <c r="C1226" s="7"/>
      <c r="D1226" s="7"/>
      <c r="E1226" s="7"/>
      <c r="F1226" s="7"/>
      <c r="G1226" s="55"/>
      <c r="H1226" s="7"/>
      <c r="I1226" s="7"/>
      <c r="J1226" s="7"/>
      <c r="K1226" s="7"/>
      <c r="L1226" s="7"/>
      <c r="M1226" s="7"/>
      <c r="N1226" s="7"/>
      <c r="O1226" s="7"/>
      <c r="P1226" s="7"/>
      <c r="Q1226" s="55"/>
      <c r="R1226" s="7"/>
      <c r="S1226" s="7"/>
      <c r="T1226" s="7"/>
      <c r="U1226" s="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c r="AY1226" s="7"/>
      <c r="AZ1226" s="7"/>
      <c r="BA1226" s="7"/>
      <c r="BB1226" s="7"/>
      <c r="BC1226" s="7"/>
      <c r="BD1226" s="7"/>
      <c r="BE1226" s="7"/>
      <c r="BF1226" s="7"/>
      <c r="BG1226" s="7"/>
      <c r="BH1226" s="7"/>
      <c r="BI1226" s="7"/>
      <c r="BJ1226" s="7"/>
      <c r="BK1226" s="7"/>
      <c r="BL1226" s="7"/>
      <c r="BM1226" s="7"/>
      <c r="BN1226" s="7"/>
      <c r="BO1226" s="7"/>
      <c r="BP1226" s="7"/>
      <c r="BQ1226" s="7"/>
      <c r="BR1226" s="7"/>
      <c r="BS1226" s="7"/>
      <c r="BT1226" s="7"/>
      <c r="BU1226" s="7"/>
      <c r="BV1226" s="7"/>
      <c r="BW1226" s="7"/>
      <c r="BX1226" s="7"/>
      <c r="BY1226" s="7"/>
      <c r="BZ1226" s="41"/>
      <c r="CA1226" s="7"/>
      <c r="CB1226" s="7"/>
      <c r="CC1226" s="7"/>
      <c r="CD1226" s="7"/>
      <c r="CE1226" s="7"/>
      <c r="CF1226" s="7"/>
    </row>
    <row r="1227">
      <c r="A1227" s="7"/>
      <c r="B1227" s="55"/>
      <c r="C1227" s="7"/>
      <c r="D1227" s="7"/>
      <c r="E1227" s="7"/>
      <c r="F1227" s="7"/>
      <c r="G1227" s="55"/>
      <c r="H1227" s="7"/>
      <c r="I1227" s="7"/>
      <c r="J1227" s="7"/>
      <c r="K1227" s="7"/>
      <c r="L1227" s="7"/>
      <c r="M1227" s="7"/>
      <c r="N1227" s="7"/>
      <c r="O1227" s="7"/>
      <c r="P1227" s="7"/>
      <c r="Q1227" s="55"/>
      <c r="R1227" s="7"/>
      <c r="S1227" s="7"/>
      <c r="T1227" s="7"/>
      <c r="U1227" s="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c r="BL1227" s="7"/>
      <c r="BM1227" s="7"/>
      <c r="BN1227" s="7"/>
      <c r="BO1227" s="7"/>
      <c r="BP1227" s="7"/>
      <c r="BQ1227" s="7"/>
      <c r="BR1227" s="7"/>
      <c r="BS1227" s="7"/>
      <c r="BT1227" s="7"/>
      <c r="BU1227" s="7"/>
      <c r="BV1227" s="7"/>
      <c r="BW1227" s="7"/>
      <c r="BX1227" s="7"/>
      <c r="BY1227" s="7"/>
      <c r="BZ1227" s="41"/>
      <c r="CA1227" s="7"/>
      <c r="CB1227" s="7"/>
      <c r="CC1227" s="7"/>
      <c r="CD1227" s="7"/>
      <c r="CE1227" s="7"/>
      <c r="CF1227" s="7"/>
    </row>
    <row r="1228">
      <c r="A1228" s="7"/>
      <c r="B1228" s="55"/>
      <c r="C1228" s="7"/>
      <c r="D1228" s="7"/>
      <c r="E1228" s="7"/>
      <c r="F1228" s="7"/>
      <c r="G1228" s="55"/>
      <c r="H1228" s="7"/>
      <c r="I1228" s="7"/>
      <c r="J1228" s="7"/>
      <c r="K1228" s="7"/>
      <c r="L1228" s="7"/>
      <c r="M1228" s="7"/>
      <c r="N1228" s="7"/>
      <c r="O1228" s="7"/>
      <c r="P1228" s="7"/>
      <c r="Q1228" s="55"/>
      <c r="R1228" s="7"/>
      <c r="S1228" s="7"/>
      <c r="T1228" s="7"/>
      <c r="U1228" s="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c r="BE1228" s="7"/>
      <c r="BF1228" s="7"/>
      <c r="BG1228" s="7"/>
      <c r="BH1228" s="7"/>
      <c r="BI1228" s="7"/>
      <c r="BJ1228" s="7"/>
      <c r="BK1228" s="7"/>
      <c r="BL1228" s="7"/>
      <c r="BM1228" s="7"/>
      <c r="BN1228" s="7"/>
      <c r="BO1228" s="7"/>
      <c r="BP1228" s="7"/>
      <c r="BQ1228" s="7"/>
      <c r="BR1228" s="7"/>
      <c r="BS1228" s="7"/>
      <c r="BT1228" s="7"/>
      <c r="BU1228" s="7"/>
      <c r="BV1228" s="7"/>
      <c r="BW1228" s="7"/>
      <c r="BX1228" s="7"/>
      <c r="BY1228" s="7"/>
      <c r="BZ1228" s="41"/>
      <c r="CA1228" s="7"/>
      <c r="CB1228" s="7"/>
      <c r="CC1228" s="7"/>
      <c r="CD1228" s="7"/>
      <c r="CE1228" s="7"/>
      <c r="CF1228" s="7"/>
    </row>
    <row r="1229">
      <c r="A1229" s="7"/>
      <c r="B1229" s="55"/>
      <c r="C1229" s="7"/>
      <c r="D1229" s="7"/>
      <c r="E1229" s="7"/>
      <c r="F1229" s="7"/>
      <c r="G1229" s="55"/>
      <c r="H1229" s="7"/>
      <c r="I1229" s="7"/>
      <c r="J1229" s="7"/>
      <c r="K1229" s="7"/>
      <c r="L1229" s="7"/>
      <c r="M1229" s="7"/>
      <c r="N1229" s="7"/>
      <c r="O1229" s="7"/>
      <c r="P1229" s="7"/>
      <c r="Q1229" s="55"/>
      <c r="R1229" s="7"/>
      <c r="S1229" s="7"/>
      <c r="T1229" s="7"/>
      <c r="U1229" s="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c r="BL1229" s="7"/>
      <c r="BM1229" s="7"/>
      <c r="BN1229" s="7"/>
      <c r="BO1229" s="7"/>
      <c r="BP1229" s="7"/>
      <c r="BQ1229" s="7"/>
      <c r="BR1229" s="7"/>
      <c r="BS1229" s="7"/>
      <c r="BT1229" s="7"/>
      <c r="BU1229" s="7"/>
      <c r="BV1229" s="7"/>
      <c r="BW1229" s="7"/>
      <c r="BX1229" s="7"/>
      <c r="BY1229" s="7"/>
      <c r="BZ1229" s="41"/>
      <c r="CA1229" s="7"/>
      <c r="CB1229" s="7"/>
      <c r="CC1229" s="7"/>
      <c r="CD1229" s="7"/>
      <c r="CE1229" s="7"/>
      <c r="CF1229" s="7"/>
    </row>
    <row r="1230">
      <c r="A1230" s="7"/>
      <c r="B1230" s="55"/>
      <c r="C1230" s="7"/>
      <c r="D1230" s="7"/>
      <c r="E1230" s="7"/>
      <c r="F1230" s="7"/>
      <c r="G1230" s="55"/>
      <c r="H1230" s="7"/>
      <c r="I1230" s="7"/>
      <c r="J1230" s="7"/>
      <c r="K1230" s="7"/>
      <c r="L1230" s="7"/>
      <c r="M1230" s="7"/>
      <c r="N1230" s="7"/>
      <c r="O1230" s="7"/>
      <c r="P1230" s="7"/>
      <c r="Q1230" s="55"/>
      <c r="R1230" s="7"/>
      <c r="S1230" s="7"/>
      <c r="T1230" s="7"/>
      <c r="U1230" s="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c r="BE1230" s="7"/>
      <c r="BF1230" s="7"/>
      <c r="BG1230" s="7"/>
      <c r="BH1230" s="7"/>
      <c r="BI1230" s="7"/>
      <c r="BJ1230" s="7"/>
      <c r="BK1230" s="7"/>
      <c r="BL1230" s="7"/>
      <c r="BM1230" s="7"/>
      <c r="BN1230" s="7"/>
      <c r="BO1230" s="7"/>
      <c r="BP1230" s="7"/>
      <c r="BQ1230" s="7"/>
      <c r="BR1230" s="7"/>
      <c r="BS1230" s="7"/>
      <c r="BT1230" s="7"/>
      <c r="BU1230" s="7"/>
      <c r="BV1230" s="7"/>
      <c r="BW1230" s="7"/>
      <c r="BX1230" s="7"/>
      <c r="BY1230" s="7"/>
      <c r="BZ1230" s="41"/>
      <c r="CA1230" s="7"/>
      <c r="CB1230" s="7"/>
      <c r="CC1230" s="7"/>
      <c r="CD1230" s="7"/>
      <c r="CE1230" s="7"/>
      <c r="CF1230" s="7"/>
    </row>
    <row r="1231">
      <c r="A1231" s="7"/>
      <c r="B1231" s="55"/>
      <c r="C1231" s="7"/>
      <c r="D1231" s="7"/>
      <c r="E1231" s="7"/>
      <c r="F1231" s="7"/>
      <c r="G1231" s="55"/>
      <c r="H1231" s="7"/>
      <c r="I1231" s="7"/>
      <c r="J1231" s="7"/>
      <c r="K1231" s="7"/>
      <c r="L1231" s="7"/>
      <c r="M1231" s="7"/>
      <c r="N1231" s="7"/>
      <c r="O1231" s="7"/>
      <c r="P1231" s="7"/>
      <c r="Q1231" s="55"/>
      <c r="R1231" s="7"/>
      <c r="S1231" s="7"/>
      <c r="T1231" s="7"/>
      <c r="U1231" s="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c r="BE1231" s="7"/>
      <c r="BF1231" s="7"/>
      <c r="BG1231" s="7"/>
      <c r="BH1231" s="7"/>
      <c r="BI1231" s="7"/>
      <c r="BJ1231" s="7"/>
      <c r="BK1231" s="7"/>
      <c r="BL1231" s="7"/>
      <c r="BM1231" s="7"/>
      <c r="BN1231" s="7"/>
      <c r="BO1231" s="7"/>
      <c r="BP1231" s="7"/>
      <c r="BQ1231" s="7"/>
      <c r="BR1231" s="7"/>
      <c r="BS1231" s="7"/>
      <c r="BT1231" s="7"/>
      <c r="BU1231" s="7"/>
      <c r="BV1231" s="7"/>
      <c r="BW1231" s="7"/>
      <c r="BX1231" s="7"/>
      <c r="BY1231" s="7"/>
      <c r="BZ1231" s="41"/>
      <c r="CA1231" s="7"/>
      <c r="CB1231" s="7"/>
      <c r="CC1231" s="7"/>
      <c r="CD1231" s="7"/>
      <c r="CE1231" s="7"/>
      <c r="CF1231" s="7"/>
    </row>
    <row r="1232">
      <c r="A1232" s="7"/>
      <c r="B1232" s="55"/>
      <c r="C1232" s="7"/>
      <c r="D1232" s="7"/>
      <c r="E1232" s="7"/>
      <c r="F1232" s="7"/>
      <c r="G1232" s="55"/>
      <c r="H1232" s="7"/>
      <c r="I1232" s="7"/>
      <c r="J1232" s="7"/>
      <c r="K1232" s="7"/>
      <c r="L1232" s="7"/>
      <c r="M1232" s="7"/>
      <c r="N1232" s="7"/>
      <c r="O1232" s="7"/>
      <c r="P1232" s="7"/>
      <c r="Q1232" s="55"/>
      <c r="R1232" s="7"/>
      <c r="S1232" s="7"/>
      <c r="T1232" s="7"/>
      <c r="U1232" s="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c r="BL1232" s="7"/>
      <c r="BM1232" s="7"/>
      <c r="BN1232" s="7"/>
      <c r="BO1232" s="7"/>
      <c r="BP1232" s="7"/>
      <c r="BQ1232" s="7"/>
      <c r="BR1232" s="7"/>
      <c r="BS1232" s="7"/>
      <c r="BT1232" s="7"/>
      <c r="BU1232" s="7"/>
      <c r="BV1232" s="7"/>
      <c r="BW1232" s="7"/>
      <c r="BX1232" s="7"/>
      <c r="BY1232" s="7"/>
      <c r="BZ1232" s="41"/>
      <c r="CA1232" s="7"/>
      <c r="CB1232" s="7"/>
      <c r="CC1232" s="7"/>
      <c r="CD1232" s="7"/>
      <c r="CE1232" s="7"/>
      <c r="CF1232" s="7"/>
    </row>
    <row r="1233">
      <c r="A1233" s="7"/>
      <c r="B1233" s="55"/>
      <c r="C1233" s="7"/>
      <c r="D1233" s="7"/>
      <c r="E1233" s="7"/>
      <c r="F1233" s="7"/>
      <c r="G1233" s="55"/>
      <c r="H1233" s="7"/>
      <c r="I1233" s="7"/>
      <c r="J1233" s="7"/>
      <c r="K1233" s="7"/>
      <c r="L1233" s="7"/>
      <c r="M1233" s="7"/>
      <c r="N1233" s="7"/>
      <c r="O1233" s="7"/>
      <c r="P1233" s="7"/>
      <c r="Q1233" s="55"/>
      <c r="R1233" s="7"/>
      <c r="S1233" s="7"/>
      <c r="T1233" s="7"/>
      <c r="U1233" s="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c r="AS1233" s="7"/>
      <c r="AT1233" s="7"/>
      <c r="AU1233" s="7"/>
      <c r="AV1233" s="7"/>
      <c r="AW1233" s="7"/>
      <c r="AX1233" s="7"/>
      <c r="AY1233" s="7"/>
      <c r="AZ1233" s="7"/>
      <c r="BA1233" s="7"/>
      <c r="BB1233" s="7"/>
      <c r="BC1233" s="7"/>
      <c r="BD1233" s="7"/>
      <c r="BE1233" s="7"/>
      <c r="BF1233" s="7"/>
      <c r="BG1233" s="7"/>
      <c r="BH1233" s="7"/>
      <c r="BI1233" s="7"/>
      <c r="BJ1233" s="7"/>
      <c r="BK1233" s="7"/>
      <c r="BL1233" s="7"/>
      <c r="BM1233" s="7"/>
      <c r="BN1233" s="7"/>
      <c r="BO1233" s="7"/>
      <c r="BP1233" s="7"/>
      <c r="BQ1233" s="7"/>
      <c r="BR1233" s="7"/>
      <c r="BS1233" s="7"/>
      <c r="BT1233" s="7"/>
      <c r="BU1233" s="7"/>
      <c r="BV1233" s="7"/>
      <c r="BW1233" s="7"/>
      <c r="BX1233" s="7"/>
      <c r="BY1233" s="7"/>
      <c r="BZ1233" s="41"/>
      <c r="CA1233" s="7"/>
      <c r="CB1233" s="7"/>
      <c r="CC1233" s="7"/>
      <c r="CD1233" s="7"/>
      <c r="CE1233" s="7"/>
      <c r="CF1233" s="7"/>
    </row>
    <row r="1234">
      <c r="A1234" s="7"/>
      <c r="B1234" s="55"/>
      <c r="C1234" s="7"/>
      <c r="D1234" s="7"/>
      <c r="E1234" s="7"/>
      <c r="F1234" s="7"/>
      <c r="G1234" s="55"/>
      <c r="H1234" s="7"/>
      <c r="I1234" s="7"/>
      <c r="J1234" s="7"/>
      <c r="K1234" s="7"/>
      <c r="L1234" s="7"/>
      <c r="M1234" s="7"/>
      <c r="N1234" s="7"/>
      <c r="O1234" s="7"/>
      <c r="P1234" s="7"/>
      <c r="Q1234" s="55"/>
      <c r="R1234" s="7"/>
      <c r="S1234" s="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c r="BE1234" s="7"/>
      <c r="BF1234" s="7"/>
      <c r="BG1234" s="7"/>
      <c r="BH1234" s="7"/>
      <c r="BI1234" s="7"/>
      <c r="BJ1234" s="7"/>
      <c r="BK1234" s="7"/>
      <c r="BL1234" s="7"/>
      <c r="BM1234" s="7"/>
      <c r="BN1234" s="7"/>
      <c r="BO1234" s="7"/>
      <c r="BP1234" s="7"/>
      <c r="BQ1234" s="7"/>
      <c r="BR1234" s="7"/>
      <c r="BS1234" s="7"/>
      <c r="BT1234" s="7"/>
      <c r="BU1234" s="7"/>
      <c r="BV1234" s="7"/>
      <c r="BW1234" s="7"/>
      <c r="BX1234" s="7"/>
      <c r="BY1234" s="7"/>
      <c r="BZ1234" s="41"/>
      <c r="CA1234" s="7"/>
      <c r="CB1234" s="7"/>
      <c r="CC1234" s="7"/>
      <c r="CD1234" s="7"/>
      <c r="CE1234" s="7"/>
      <c r="CF1234" s="7"/>
    </row>
    <row r="1235">
      <c r="A1235" s="7"/>
      <c r="B1235" s="55"/>
      <c r="C1235" s="7"/>
      <c r="D1235" s="7"/>
      <c r="E1235" s="7"/>
      <c r="F1235" s="7"/>
      <c r="G1235" s="55"/>
      <c r="H1235" s="7"/>
      <c r="I1235" s="7"/>
      <c r="J1235" s="7"/>
      <c r="K1235" s="7"/>
      <c r="L1235" s="7"/>
      <c r="M1235" s="7"/>
      <c r="N1235" s="7"/>
      <c r="O1235" s="7"/>
      <c r="P1235" s="7"/>
      <c r="Q1235" s="55"/>
      <c r="R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c r="BL1235" s="7"/>
      <c r="BM1235" s="7"/>
      <c r="BN1235" s="7"/>
      <c r="BO1235" s="7"/>
      <c r="BP1235" s="7"/>
      <c r="BQ1235" s="7"/>
      <c r="BR1235" s="7"/>
      <c r="BS1235" s="7"/>
      <c r="BT1235" s="7"/>
      <c r="BU1235" s="7"/>
      <c r="BV1235" s="7"/>
      <c r="BW1235" s="7"/>
      <c r="BX1235" s="7"/>
      <c r="BY1235" s="7"/>
      <c r="BZ1235" s="41"/>
      <c r="CA1235" s="7"/>
      <c r="CB1235" s="7"/>
      <c r="CC1235" s="7"/>
      <c r="CD1235" s="7"/>
      <c r="CE1235" s="7"/>
      <c r="CF1235" s="7"/>
    </row>
    <row r="1236">
      <c r="A1236" s="7"/>
      <c r="B1236" s="55"/>
      <c r="C1236" s="7"/>
      <c r="D1236" s="7"/>
      <c r="E1236" s="7"/>
      <c r="F1236" s="7"/>
      <c r="G1236" s="55"/>
      <c r="H1236" s="7"/>
      <c r="I1236" s="7"/>
      <c r="J1236" s="7"/>
      <c r="K1236" s="7"/>
      <c r="L1236" s="7"/>
      <c r="M1236" s="7"/>
      <c r="N1236" s="7"/>
      <c r="O1236" s="7"/>
      <c r="P1236" s="7"/>
      <c r="Q1236" s="55"/>
      <c r="R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c r="BL1236" s="7"/>
      <c r="BM1236" s="7"/>
      <c r="BN1236" s="7"/>
      <c r="BO1236" s="7"/>
      <c r="BP1236" s="7"/>
      <c r="BQ1236" s="7"/>
      <c r="BR1236" s="7"/>
      <c r="BS1236" s="7"/>
      <c r="BT1236" s="7"/>
      <c r="BU1236" s="7"/>
      <c r="BV1236" s="7"/>
      <c r="BW1236" s="7"/>
      <c r="BX1236" s="7"/>
      <c r="BY1236" s="7"/>
      <c r="BZ1236" s="41"/>
      <c r="CA1236" s="7"/>
      <c r="CB1236" s="7"/>
      <c r="CC1236" s="7"/>
      <c r="CD1236" s="7"/>
      <c r="CE1236" s="7"/>
      <c r="CF1236" s="7"/>
    </row>
    <row r="1237">
      <c r="A1237" s="7"/>
      <c r="B1237" s="55"/>
      <c r="C1237" s="7"/>
      <c r="D1237" s="7"/>
      <c r="E1237" s="7"/>
      <c r="F1237" s="7"/>
      <c r="G1237" s="55"/>
      <c r="H1237" s="7"/>
      <c r="I1237" s="7"/>
      <c r="J1237" s="7"/>
      <c r="K1237" s="7"/>
      <c r="L1237" s="7"/>
      <c r="M1237" s="7"/>
      <c r="N1237" s="7"/>
      <c r="O1237" s="7"/>
      <c r="P1237" s="7"/>
      <c r="Q1237" s="55"/>
      <c r="R1237" s="7"/>
      <c r="S1237" s="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c r="BL1237" s="7"/>
      <c r="BM1237" s="7"/>
      <c r="BN1237" s="7"/>
      <c r="BO1237" s="7"/>
      <c r="BP1237" s="7"/>
      <c r="BQ1237" s="7"/>
      <c r="BR1237" s="7"/>
      <c r="BS1237" s="7"/>
      <c r="BT1237" s="7"/>
      <c r="BU1237" s="7"/>
      <c r="BV1237" s="7"/>
      <c r="BW1237" s="7"/>
      <c r="BX1237" s="7"/>
      <c r="BY1237" s="7"/>
      <c r="BZ1237" s="41"/>
      <c r="CA1237" s="7"/>
      <c r="CB1237" s="7"/>
      <c r="CC1237" s="7"/>
      <c r="CD1237" s="7"/>
      <c r="CE1237" s="7"/>
      <c r="CF1237" s="7"/>
    </row>
    <row r="1238">
      <c r="A1238" s="7"/>
      <c r="B1238" s="55"/>
      <c r="C1238" s="7"/>
      <c r="D1238" s="7"/>
      <c r="E1238" s="7"/>
      <c r="F1238" s="7"/>
      <c r="G1238" s="55"/>
      <c r="H1238" s="7"/>
      <c r="I1238" s="7"/>
      <c r="J1238" s="7"/>
      <c r="K1238" s="7"/>
      <c r="L1238" s="7"/>
      <c r="M1238" s="7"/>
      <c r="N1238" s="7"/>
      <c r="O1238" s="7"/>
      <c r="P1238" s="7"/>
      <c r="Q1238" s="55"/>
      <c r="R1238" s="7"/>
      <c r="S1238" s="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c r="BE1238" s="7"/>
      <c r="BF1238" s="7"/>
      <c r="BG1238" s="7"/>
      <c r="BH1238" s="7"/>
      <c r="BI1238" s="7"/>
      <c r="BJ1238" s="7"/>
      <c r="BK1238" s="7"/>
      <c r="BL1238" s="7"/>
      <c r="BM1238" s="7"/>
      <c r="BN1238" s="7"/>
      <c r="BO1238" s="7"/>
      <c r="BP1238" s="7"/>
      <c r="BQ1238" s="7"/>
      <c r="BR1238" s="7"/>
      <c r="BS1238" s="7"/>
      <c r="BT1238" s="7"/>
      <c r="BU1238" s="7"/>
      <c r="BV1238" s="7"/>
      <c r="BW1238" s="7"/>
      <c r="BX1238" s="7"/>
      <c r="BY1238" s="7"/>
      <c r="BZ1238" s="41"/>
      <c r="CA1238" s="7"/>
      <c r="CB1238" s="7"/>
      <c r="CC1238" s="7"/>
      <c r="CD1238" s="7"/>
      <c r="CE1238" s="7"/>
      <c r="CF1238" s="7"/>
    </row>
    <row r="1239">
      <c r="A1239" s="7"/>
      <c r="B1239" s="55"/>
      <c r="C1239" s="7"/>
      <c r="D1239" s="7"/>
      <c r="E1239" s="7"/>
      <c r="F1239" s="7"/>
      <c r="G1239" s="55"/>
      <c r="H1239" s="7"/>
      <c r="I1239" s="7"/>
      <c r="J1239" s="7"/>
      <c r="K1239" s="7"/>
      <c r="L1239" s="7"/>
      <c r="M1239" s="7"/>
      <c r="N1239" s="7"/>
      <c r="O1239" s="7"/>
      <c r="P1239" s="7"/>
      <c r="Q1239" s="55"/>
      <c r="R1239" s="7"/>
      <c r="S1239" s="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c r="BL1239" s="7"/>
      <c r="BM1239" s="7"/>
      <c r="BN1239" s="7"/>
      <c r="BO1239" s="7"/>
      <c r="BP1239" s="7"/>
      <c r="BQ1239" s="7"/>
      <c r="BR1239" s="7"/>
      <c r="BS1239" s="7"/>
      <c r="BT1239" s="7"/>
      <c r="BU1239" s="7"/>
      <c r="BV1239" s="7"/>
      <c r="BW1239" s="7"/>
      <c r="BX1239" s="7"/>
      <c r="BY1239" s="7"/>
      <c r="BZ1239" s="41"/>
      <c r="CA1239" s="7"/>
      <c r="CB1239" s="7"/>
      <c r="CC1239" s="7"/>
      <c r="CD1239" s="7"/>
      <c r="CE1239" s="7"/>
      <c r="CF1239" s="7"/>
    </row>
    <row r="1240">
      <c r="A1240" s="7"/>
      <c r="B1240" s="55"/>
      <c r="C1240" s="7"/>
      <c r="D1240" s="7"/>
      <c r="E1240" s="7"/>
      <c r="F1240" s="7"/>
      <c r="G1240" s="55"/>
      <c r="H1240" s="7"/>
      <c r="I1240" s="7"/>
      <c r="J1240" s="7"/>
      <c r="K1240" s="7"/>
      <c r="L1240" s="7"/>
      <c r="M1240" s="7"/>
      <c r="N1240" s="7"/>
      <c r="O1240" s="7"/>
      <c r="P1240" s="7"/>
      <c r="Q1240" s="55"/>
      <c r="R1240" s="7"/>
      <c r="S1240" s="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S1240" s="7"/>
      <c r="AT1240" s="7"/>
      <c r="AU1240" s="7"/>
      <c r="AV1240" s="7"/>
      <c r="AW1240" s="7"/>
      <c r="AX1240" s="7"/>
      <c r="AY1240" s="7"/>
      <c r="AZ1240" s="7"/>
      <c r="BA1240" s="7"/>
      <c r="BB1240" s="7"/>
      <c r="BC1240" s="7"/>
      <c r="BD1240" s="7"/>
      <c r="BE1240" s="7"/>
      <c r="BF1240" s="7"/>
      <c r="BG1240" s="7"/>
      <c r="BH1240" s="7"/>
      <c r="BI1240" s="7"/>
      <c r="BJ1240" s="7"/>
      <c r="BK1240" s="7"/>
      <c r="BL1240" s="7"/>
      <c r="BM1240" s="7"/>
      <c r="BN1240" s="7"/>
      <c r="BO1240" s="7"/>
      <c r="BP1240" s="7"/>
      <c r="BQ1240" s="7"/>
      <c r="BR1240" s="7"/>
      <c r="BS1240" s="7"/>
      <c r="BT1240" s="7"/>
      <c r="BU1240" s="7"/>
      <c r="BV1240" s="7"/>
      <c r="BW1240" s="7"/>
      <c r="BX1240" s="7"/>
      <c r="BY1240" s="7"/>
      <c r="BZ1240" s="41"/>
      <c r="CA1240" s="7"/>
      <c r="CB1240" s="7"/>
      <c r="CC1240" s="7"/>
      <c r="CD1240" s="7"/>
      <c r="CE1240" s="7"/>
      <c r="CF1240" s="7"/>
    </row>
    <row r="1241">
      <c r="A1241" s="7"/>
      <c r="B1241" s="55"/>
      <c r="C1241" s="7"/>
      <c r="D1241" s="7"/>
      <c r="E1241" s="7"/>
      <c r="F1241" s="7"/>
      <c r="G1241" s="55"/>
      <c r="H1241" s="7"/>
      <c r="I1241" s="7"/>
      <c r="J1241" s="7"/>
      <c r="K1241" s="7"/>
      <c r="L1241" s="7"/>
      <c r="M1241" s="7"/>
      <c r="N1241" s="7"/>
      <c r="O1241" s="7"/>
      <c r="P1241" s="7"/>
      <c r="Q1241" s="55"/>
      <c r="R1241" s="7"/>
      <c r="S1241" s="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c r="BE1241" s="7"/>
      <c r="BF1241" s="7"/>
      <c r="BG1241" s="7"/>
      <c r="BH1241" s="7"/>
      <c r="BI1241" s="7"/>
      <c r="BJ1241" s="7"/>
      <c r="BK1241" s="7"/>
      <c r="BL1241" s="7"/>
      <c r="BM1241" s="7"/>
      <c r="BN1241" s="7"/>
      <c r="BO1241" s="7"/>
      <c r="BP1241" s="7"/>
      <c r="BQ1241" s="7"/>
      <c r="BR1241" s="7"/>
      <c r="BS1241" s="7"/>
      <c r="BT1241" s="7"/>
      <c r="BU1241" s="7"/>
      <c r="BV1241" s="7"/>
      <c r="BW1241" s="7"/>
      <c r="BX1241" s="7"/>
      <c r="BY1241" s="7"/>
      <c r="BZ1241" s="41"/>
      <c r="CA1241" s="7"/>
      <c r="CB1241" s="7"/>
      <c r="CC1241" s="7"/>
      <c r="CD1241" s="7"/>
      <c r="CE1241" s="7"/>
      <c r="CF1241" s="7"/>
    </row>
    <row r="1242">
      <c r="A1242" s="7"/>
      <c r="B1242" s="55"/>
      <c r="C1242" s="7"/>
      <c r="D1242" s="7"/>
      <c r="E1242" s="7"/>
      <c r="F1242" s="7"/>
      <c r="G1242" s="55"/>
      <c r="H1242" s="7"/>
      <c r="I1242" s="7"/>
      <c r="J1242" s="7"/>
      <c r="K1242" s="7"/>
      <c r="L1242" s="7"/>
      <c r="M1242" s="7"/>
      <c r="N1242" s="7"/>
      <c r="O1242" s="7"/>
      <c r="P1242" s="7"/>
      <c r="Q1242" s="55"/>
      <c r="R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c r="BL1242" s="7"/>
      <c r="BM1242" s="7"/>
      <c r="BN1242" s="7"/>
      <c r="BO1242" s="7"/>
      <c r="BP1242" s="7"/>
      <c r="BQ1242" s="7"/>
      <c r="BR1242" s="7"/>
      <c r="BS1242" s="7"/>
      <c r="BT1242" s="7"/>
      <c r="BU1242" s="7"/>
      <c r="BV1242" s="7"/>
      <c r="BW1242" s="7"/>
      <c r="BX1242" s="7"/>
      <c r="BY1242" s="7"/>
      <c r="BZ1242" s="41"/>
      <c r="CA1242" s="7"/>
      <c r="CB1242" s="7"/>
      <c r="CC1242" s="7"/>
      <c r="CD1242" s="7"/>
      <c r="CE1242" s="7"/>
      <c r="CF1242" s="7"/>
    </row>
    <row r="1243">
      <c r="A1243" s="7"/>
      <c r="B1243" s="55"/>
      <c r="C1243" s="7"/>
      <c r="D1243" s="7"/>
      <c r="E1243" s="7"/>
      <c r="F1243" s="7"/>
      <c r="G1243" s="55"/>
      <c r="H1243" s="7"/>
      <c r="I1243" s="7"/>
      <c r="J1243" s="7"/>
      <c r="K1243" s="7"/>
      <c r="L1243" s="7"/>
      <c r="M1243" s="7"/>
      <c r="N1243" s="7"/>
      <c r="O1243" s="7"/>
      <c r="P1243" s="7"/>
      <c r="Q1243" s="55"/>
      <c r="R1243" s="7"/>
      <c r="S1243" s="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c r="AY1243" s="7"/>
      <c r="AZ1243" s="7"/>
      <c r="BA1243" s="7"/>
      <c r="BB1243" s="7"/>
      <c r="BC1243" s="7"/>
      <c r="BD1243" s="7"/>
      <c r="BE1243" s="7"/>
      <c r="BF1243" s="7"/>
      <c r="BG1243" s="7"/>
      <c r="BH1243" s="7"/>
      <c r="BI1243" s="7"/>
      <c r="BJ1243" s="7"/>
      <c r="BK1243" s="7"/>
      <c r="BL1243" s="7"/>
      <c r="BM1243" s="7"/>
      <c r="BN1243" s="7"/>
      <c r="BO1243" s="7"/>
      <c r="BP1243" s="7"/>
      <c r="BQ1243" s="7"/>
      <c r="BR1243" s="7"/>
      <c r="BS1243" s="7"/>
      <c r="BT1243" s="7"/>
      <c r="BU1243" s="7"/>
      <c r="BV1243" s="7"/>
      <c r="BW1243" s="7"/>
      <c r="BX1243" s="7"/>
      <c r="BY1243" s="7"/>
      <c r="BZ1243" s="41"/>
      <c r="CA1243" s="7"/>
      <c r="CB1243" s="7"/>
      <c r="CC1243" s="7"/>
      <c r="CD1243" s="7"/>
      <c r="CE1243" s="7"/>
      <c r="CF1243" s="7"/>
    </row>
    <row r="1244">
      <c r="A1244" s="7"/>
      <c r="B1244" s="55"/>
      <c r="C1244" s="7"/>
      <c r="D1244" s="7"/>
      <c r="E1244" s="7"/>
      <c r="F1244" s="7"/>
      <c r="G1244" s="55"/>
      <c r="H1244" s="7"/>
      <c r="I1244" s="7"/>
      <c r="J1244" s="7"/>
      <c r="K1244" s="7"/>
      <c r="L1244" s="7"/>
      <c r="M1244" s="7"/>
      <c r="N1244" s="7"/>
      <c r="O1244" s="7"/>
      <c r="P1244" s="7"/>
      <c r="Q1244" s="55"/>
      <c r="R1244" s="7"/>
      <c r="S1244" s="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c r="BL1244" s="7"/>
      <c r="BM1244" s="7"/>
      <c r="BN1244" s="7"/>
      <c r="BO1244" s="7"/>
      <c r="BP1244" s="7"/>
      <c r="BQ1244" s="7"/>
      <c r="BR1244" s="7"/>
      <c r="BS1244" s="7"/>
      <c r="BT1244" s="7"/>
      <c r="BU1244" s="7"/>
      <c r="BV1244" s="7"/>
      <c r="BW1244" s="7"/>
      <c r="BX1244" s="7"/>
      <c r="BY1244" s="7"/>
      <c r="BZ1244" s="41"/>
      <c r="CA1244" s="7"/>
      <c r="CB1244" s="7"/>
      <c r="CC1244" s="7"/>
      <c r="CD1244" s="7"/>
      <c r="CE1244" s="7"/>
      <c r="CF1244" s="7"/>
    </row>
    <row r="1245">
      <c r="A1245" s="7"/>
      <c r="B1245" s="55"/>
      <c r="C1245" s="7"/>
      <c r="D1245" s="7"/>
      <c r="E1245" s="7"/>
      <c r="F1245" s="7"/>
      <c r="G1245" s="55"/>
      <c r="H1245" s="7"/>
      <c r="I1245" s="7"/>
      <c r="J1245" s="7"/>
      <c r="K1245" s="7"/>
      <c r="L1245" s="7"/>
      <c r="M1245" s="7"/>
      <c r="N1245" s="7"/>
      <c r="O1245" s="7"/>
      <c r="P1245" s="7"/>
      <c r="Q1245" s="55"/>
      <c r="R1245" s="7"/>
      <c r="S1245" s="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c r="BE1245" s="7"/>
      <c r="BF1245" s="7"/>
      <c r="BG1245" s="7"/>
      <c r="BH1245" s="7"/>
      <c r="BI1245" s="7"/>
      <c r="BJ1245" s="7"/>
      <c r="BK1245" s="7"/>
      <c r="BL1245" s="7"/>
      <c r="BM1245" s="7"/>
      <c r="BN1245" s="7"/>
      <c r="BO1245" s="7"/>
      <c r="BP1245" s="7"/>
      <c r="BQ1245" s="7"/>
      <c r="BR1245" s="7"/>
      <c r="BS1245" s="7"/>
      <c r="BT1245" s="7"/>
      <c r="BU1245" s="7"/>
      <c r="BV1245" s="7"/>
      <c r="BW1245" s="7"/>
      <c r="BX1245" s="7"/>
      <c r="BY1245" s="7"/>
      <c r="BZ1245" s="41"/>
      <c r="CA1245" s="7"/>
      <c r="CB1245" s="7"/>
      <c r="CC1245" s="7"/>
      <c r="CD1245" s="7"/>
      <c r="CE1245" s="7"/>
      <c r="CF1245" s="7"/>
    </row>
    <row r="1246">
      <c r="A1246" s="7"/>
      <c r="B1246" s="55"/>
      <c r="C1246" s="7"/>
      <c r="D1246" s="7"/>
      <c r="E1246" s="7"/>
      <c r="F1246" s="7"/>
      <c r="G1246" s="55"/>
      <c r="H1246" s="7"/>
      <c r="I1246" s="7"/>
      <c r="J1246" s="7"/>
      <c r="K1246" s="7"/>
      <c r="L1246" s="7"/>
      <c r="M1246" s="7"/>
      <c r="N1246" s="7"/>
      <c r="O1246" s="7"/>
      <c r="P1246" s="7"/>
      <c r="Q1246" s="55"/>
      <c r="R1246" s="7"/>
      <c r="S1246" s="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c r="BL1246" s="7"/>
      <c r="BM1246" s="7"/>
      <c r="BN1246" s="7"/>
      <c r="BO1246" s="7"/>
      <c r="BP1246" s="7"/>
      <c r="BQ1246" s="7"/>
      <c r="BR1246" s="7"/>
      <c r="BS1246" s="7"/>
      <c r="BT1246" s="7"/>
      <c r="BU1246" s="7"/>
      <c r="BV1246" s="7"/>
      <c r="BW1246" s="7"/>
      <c r="BX1246" s="7"/>
      <c r="BY1246" s="7"/>
      <c r="BZ1246" s="41"/>
      <c r="CA1246" s="7"/>
      <c r="CB1246" s="7"/>
      <c r="CC1246" s="7"/>
      <c r="CD1246" s="7"/>
      <c r="CE1246" s="7"/>
      <c r="CF1246" s="7"/>
    </row>
    <row r="1247">
      <c r="A1247" s="7"/>
      <c r="B1247" s="55"/>
      <c r="C1247" s="7"/>
      <c r="D1247" s="7"/>
      <c r="E1247" s="7"/>
      <c r="F1247" s="7"/>
      <c r="G1247" s="55"/>
      <c r="H1247" s="7"/>
      <c r="I1247" s="7"/>
      <c r="J1247" s="7"/>
      <c r="K1247" s="7"/>
      <c r="L1247" s="7"/>
      <c r="M1247" s="7"/>
      <c r="N1247" s="7"/>
      <c r="O1247" s="7"/>
      <c r="P1247" s="7"/>
      <c r="Q1247" s="55"/>
      <c r="R1247" s="7"/>
      <c r="S1247" s="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c r="BL1247" s="7"/>
      <c r="BM1247" s="7"/>
      <c r="BN1247" s="7"/>
      <c r="BO1247" s="7"/>
      <c r="BP1247" s="7"/>
      <c r="BQ1247" s="7"/>
      <c r="BR1247" s="7"/>
      <c r="BS1247" s="7"/>
      <c r="BT1247" s="7"/>
      <c r="BU1247" s="7"/>
      <c r="BV1247" s="7"/>
      <c r="BW1247" s="7"/>
      <c r="BX1247" s="7"/>
      <c r="BY1247" s="7"/>
      <c r="BZ1247" s="41"/>
      <c r="CA1247" s="7"/>
      <c r="CB1247" s="7"/>
      <c r="CC1247" s="7"/>
      <c r="CD1247" s="7"/>
      <c r="CE1247" s="7"/>
      <c r="CF1247" s="7"/>
    </row>
    <row r="1248">
      <c r="A1248" s="7"/>
      <c r="B1248" s="55"/>
      <c r="C1248" s="7"/>
      <c r="D1248" s="7"/>
      <c r="E1248" s="7"/>
      <c r="F1248" s="7"/>
      <c r="G1248" s="55"/>
      <c r="H1248" s="7"/>
      <c r="I1248" s="7"/>
      <c r="J1248" s="7"/>
      <c r="K1248" s="7"/>
      <c r="L1248" s="7"/>
      <c r="M1248" s="7"/>
      <c r="N1248" s="7"/>
      <c r="O1248" s="7"/>
      <c r="P1248" s="7"/>
      <c r="Q1248" s="55"/>
      <c r="R1248" s="7"/>
      <c r="S1248" s="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c r="BE1248" s="7"/>
      <c r="BF1248" s="7"/>
      <c r="BG1248" s="7"/>
      <c r="BH1248" s="7"/>
      <c r="BI1248" s="7"/>
      <c r="BJ1248" s="7"/>
      <c r="BK1248" s="7"/>
      <c r="BL1248" s="7"/>
      <c r="BM1248" s="7"/>
      <c r="BN1248" s="7"/>
      <c r="BO1248" s="7"/>
      <c r="BP1248" s="7"/>
      <c r="BQ1248" s="7"/>
      <c r="BR1248" s="7"/>
      <c r="BS1248" s="7"/>
      <c r="BT1248" s="7"/>
      <c r="BU1248" s="7"/>
      <c r="BV1248" s="7"/>
      <c r="BW1248" s="7"/>
      <c r="BX1248" s="7"/>
      <c r="BY1248" s="7"/>
      <c r="BZ1248" s="41"/>
      <c r="CA1248" s="7"/>
      <c r="CB1248" s="7"/>
      <c r="CC1248" s="7"/>
      <c r="CD1248" s="7"/>
      <c r="CE1248" s="7"/>
      <c r="CF1248" s="7"/>
    </row>
    <row r="1249">
      <c r="A1249" s="7"/>
      <c r="B1249" s="55"/>
      <c r="C1249" s="7"/>
      <c r="D1249" s="7"/>
      <c r="E1249" s="7"/>
      <c r="F1249" s="7"/>
      <c r="G1249" s="55"/>
      <c r="H1249" s="7"/>
      <c r="I1249" s="7"/>
      <c r="J1249" s="7"/>
      <c r="K1249" s="7"/>
      <c r="L1249" s="7"/>
      <c r="M1249" s="7"/>
      <c r="N1249" s="7"/>
      <c r="O1249" s="7"/>
      <c r="P1249" s="7"/>
      <c r="Q1249" s="55"/>
      <c r="R1249" s="7"/>
      <c r="S1249" s="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c r="BL1249" s="7"/>
      <c r="BM1249" s="7"/>
      <c r="BN1249" s="7"/>
      <c r="BO1249" s="7"/>
      <c r="BP1249" s="7"/>
      <c r="BQ1249" s="7"/>
      <c r="BR1249" s="7"/>
      <c r="BS1249" s="7"/>
      <c r="BT1249" s="7"/>
      <c r="BU1249" s="7"/>
      <c r="BV1249" s="7"/>
      <c r="BW1249" s="7"/>
      <c r="BX1249" s="7"/>
      <c r="BY1249" s="7"/>
      <c r="BZ1249" s="41"/>
      <c r="CA1249" s="7"/>
      <c r="CB1249" s="7"/>
      <c r="CC1249" s="7"/>
      <c r="CD1249" s="7"/>
      <c r="CE1249" s="7"/>
      <c r="CF1249" s="7"/>
    </row>
    <row r="1250">
      <c r="A1250" s="7"/>
      <c r="B1250" s="55"/>
      <c r="C1250" s="7"/>
      <c r="D1250" s="7"/>
      <c r="E1250" s="7"/>
      <c r="F1250" s="7"/>
      <c r="G1250" s="55"/>
      <c r="H1250" s="7"/>
      <c r="I1250" s="7"/>
      <c r="J1250" s="7"/>
      <c r="K1250" s="7"/>
      <c r="L1250" s="7"/>
      <c r="M1250" s="7"/>
      <c r="N1250" s="7"/>
      <c r="O1250" s="7"/>
      <c r="P1250" s="7"/>
      <c r="Q1250" s="55"/>
      <c r="R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c r="BL1250" s="7"/>
      <c r="BM1250" s="7"/>
      <c r="BN1250" s="7"/>
      <c r="BO1250" s="7"/>
      <c r="BP1250" s="7"/>
      <c r="BQ1250" s="7"/>
      <c r="BR1250" s="7"/>
      <c r="BS1250" s="7"/>
      <c r="BT1250" s="7"/>
      <c r="BU1250" s="7"/>
      <c r="BV1250" s="7"/>
      <c r="BW1250" s="7"/>
      <c r="BX1250" s="7"/>
      <c r="BY1250" s="7"/>
      <c r="BZ1250" s="41"/>
      <c r="CA1250" s="7"/>
      <c r="CB1250" s="7"/>
      <c r="CC1250" s="7"/>
      <c r="CD1250" s="7"/>
      <c r="CE1250" s="7"/>
      <c r="CF1250" s="7"/>
    </row>
    <row r="1251">
      <c r="A1251" s="7"/>
      <c r="B1251" s="55"/>
      <c r="C1251" s="7"/>
      <c r="D1251" s="7"/>
      <c r="E1251" s="7"/>
      <c r="F1251" s="7"/>
      <c r="G1251" s="55"/>
      <c r="H1251" s="7"/>
      <c r="I1251" s="7"/>
      <c r="J1251" s="7"/>
      <c r="K1251" s="7"/>
      <c r="L1251" s="7"/>
      <c r="M1251" s="7"/>
      <c r="N1251" s="7"/>
      <c r="O1251" s="7"/>
      <c r="P1251" s="7"/>
      <c r="Q1251" s="55"/>
      <c r="R1251" s="7"/>
      <c r="S1251" s="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c r="BE1251" s="7"/>
      <c r="BF1251" s="7"/>
      <c r="BG1251" s="7"/>
      <c r="BH1251" s="7"/>
      <c r="BI1251" s="7"/>
      <c r="BJ1251" s="7"/>
      <c r="BK1251" s="7"/>
      <c r="BL1251" s="7"/>
      <c r="BM1251" s="7"/>
      <c r="BN1251" s="7"/>
      <c r="BO1251" s="7"/>
      <c r="BP1251" s="7"/>
      <c r="BQ1251" s="7"/>
      <c r="BR1251" s="7"/>
      <c r="BS1251" s="7"/>
      <c r="BT1251" s="7"/>
      <c r="BU1251" s="7"/>
      <c r="BV1251" s="7"/>
      <c r="BW1251" s="7"/>
      <c r="BX1251" s="7"/>
      <c r="BY1251" s="7"/>
      <c r="BZ1251" s="41"/>
      <c r="CA1251" s="7"/>
      <c r="CB1251" s="7"/>
      <c r="CC1251" s="7"/>
      <c r="CD1251" s="7"/>
      <c r="CE1251" s="7"/>
      <c r="CF1251" s="7"/>
    </row>
    <row r="1252">
      <c r="A1252" s="7"/>
      <c r="B1252" s="55"/>
      <c r="C1252" s="7"/>
      <c r="D1252" s="7"/>
      <c r="E1252" s="7"/>
      <c r="F1252" s="7"/>
      <c r="G1252" s="55"/>
      <c r="H1252" s="7"/>
      <c r="I1252" s="7"/>
      <c r="J1252" s="7"/>
      <c r="K1252" s="7"/>
      <c r="L1252" s="7"/>
      <c r="M1252" s="7"/>
      <c r="N1252" s="7"/>
      <c r="O1252" s="7"/>
      <c r="P1252" s="7"/>
      <c r="Q1252" s="55"/>
      <c r="R1252" s="7"/>
      <c r="S1252" s="7"/>
      <c r="T1252" s="7"/>
      <c r="U1252" s="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c r="BL1252" s="7"/>
      <c r="BM1252" s="7"/>
      <c r="BN1252" s="7"/>
      <c r="BO1252" s="7"/>
      <c r="BP1252" s="7"/>
      <c r="BQ1252" s="7"/>
      <c r="BR1252" s="7"/>
      <c r="BS1252" s="7"/>
      <c r="BT1252" s="7"/>
      <c r="BU1252" s="7"/>
      <c r="BV1252" s="7"/>
      <c r="BW1252" s="7"/>
      <c r="BX1252" s="7"/>
      <c r="BY1252" s="7"/>
      <c r="BZ1252" s="41"/>
      <c r="CA1252" s="7"/>
      <c r="CB1252" s="7"/>
      <c r="CC1252" s="7"/>
      <c r="CD1252" s="7"/>
      <c r="CE1252" s="7"/>
      <c r="CF1252" s="7"/>
    </row>
    <row r="1253">
      <c r="A1253" s="7"/>
      <c r="B1253" s="55"/>
      <c r="C1253" s="7"/>
      <c r="D1253" s="7"/>
      <c r="E1253" s="7"/>
      <c r="F1253" s="7"/>
      <c r="G1253" s="55"/>
      <c r="H1253" s="7"/>
      <c r="I1253" s="7"/>
      <c r="J1253" s="7"/>
      <c r="K1253" s="7"/>
      <c r="L1253" s="7"/>
      <c r="M1253" s="7"/>
      <c r="N1253" s="7"/>
      <c r="O1253" s="7"/>
      <c r="P1253" s="7"/>
      <c r="Q1253" s="55"/>
      <c r="R1253" s="7"/>
      <c r="S1253" s="7"/>
      <c r="T1253" s="7"/>
      <c r="U1253" s="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c r="BL1253" s="7"/>
      <c r="BM1253" s="7"/>
      <c r="BN1253" s="7"/>
      <c r="BO1253" s="7"/>
      <c r="BP1253" s="7"/>
      <c r="BQ1253" s="7"/>
      <c r="BR1253" s="7"/>
      <c r="BS1253" s="7"/>
      <c r="BT1253" s="7"/>
      <c r="BU1253" s="7"/>
      <c r="BV1253" s="7"/>
      <c r="BW1253" s="7"/>
      <c r="BX1253" s="7"/>
      <c r="BY1253" s="7"/>
      <c r="BZ1253" s="41"/>
      <c r="CA1253" s="7"/>
      <c r="CB1253" s="7"/>
      <c r="CC1253" s="7"/>
      <c r="CD1253" s="7"/>
      <c r="CE1253" s="7"/>
      <c r="CF1253" s="7"/>
    </row>
    <row r="1254">
      <c r="A1254" s="7"/>
      <c r="B1254" s="55"/>
      <c r="C1254" s="7"/>
      <c r="D1254" s="7"/>
      <c r="E1254" s="7"/>
      <c r="F1254" s="7"/>
      <c r="G1254" s="55"/>
      <c r="H1254" s="7"/>
      <c r="I1254" s="7"/>
      <c r="J1254" s="7"/>
      <c r="K1254" s="7"/>
      <c r="L1254" s="7"/>
      <c r="M1254" s="7"/>
      <c r="N1254" s="7"/>
      <c r="O1254" s="7"/>
      <c r="P1254" s="7"/>
      <c r="Q1254" s="55"/>
      <c r="R1254" s="7"/>
      <c r="S1254" s="7"/>
      <c r="T1254" s="7"/>
      <c r="U1254" s="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c r="BE1254" s="7"/>
      <c r="BF1254" s="7"/>
      <c r="BG1254" s="7"/>
      <c r="BH1254" s="7"/>
      <c r="BI1254" s="7"/>
      <c r="BJ1254" s="7"/>
      <c r="BK1254" s="7"/>
      <c r="BL1254" s="7"/>
      <c r="BM1254" s="7"/>
      <c r="BN1254" s="7"/>
      <c r="BO1254" s="7"/>
      <c r="BP1254" s="7"/>
      <c r="BQ1254" s="7"/>
      <c r="BR1254" s="7"/>
      <c r="BS1254" s="7"/>
      <c r="BT1254" s="7"/>
      <c r="BU1254" s="7"/>
      <c r="BV1254" s="7"/>
      <c r="BW1254" s="7"/>
      <c r="BX1254" s="7"/>
      <c r="BY1254" s="7"/>
      <c r="BZ1254" s="41"/>
      <c r="CA1254" s="7"/>
      <c r="CB1254" s="7"/>
      <c r="CC1254" s="7"/>
      <c r="CD1254" s="7"/>
      <c r="CE1254" s="7"/>
      <c r="CF1254" s="7"/>
    </row>
    <row r="1255">
      <c r="A1255" s="7"/>
      <c r="B1255" s="55"/>
      <c r="C1255" s="7"/>
      <c r="D1255" s="7"/>
      <c r="E1255" s="7"/>
      <c r="F1255" s="7"/>
      <c r="G1255" s="55"/>
      <c r="H1255" s="7"/>
      <c r="I1255" s="7"/>
      <c r="J1255" s="7"/>
      <c r="K1255" s="7"/>
      <c r="L1255" s="7"/>
      <c r="M1255" s="7"/>
      <c r="N1255" s="7"/>
      <c r="O1255" s="7"/>
      <c r="P1255" s="7"/>
      <c r="Q1255" s="55"/>
      <c r="R1255" s="7"/>
      <c r="S1255" s="7"/>
      <c r="T1255" s="7"/>
      <c r="U1255" s="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c r="BL1255" s="7"/>
      <c r="BM1255" s="7"/>
      <c r="BN1255" s="7"/>
      <c r="BO1255" s="7"/>
      <c r="BP1255" s="7"/>
      <c r="BQ1255" s="7"/>
      <c r="BR1255" s="7"/>
      <c r="BS1255" s="7"/>
      <c r="BT1255" s="7"/>
      <c r="BU1255" s="7"/>
      <c r="BV1255" s="7"/>
      <c r="BW1255" s="7"/>
      <c r="BX1255" s="7"/>
      <c r="BY1255" s="7"/>
      <c r="BZ1255" s="41"/>
      <c r="CA1255" s="7"/>
      <c r="CB1255" s="7"/>
      <c r="CC1255" s="7"/>
      <c r="CD1255" s="7"/>
      <c r="CE1255" s="7"/>
      <c r="CF1255" s="7"/>
    </row>
    <row r="1256">
      <c r="A1256" s="7"/>
      <c r="B1256" s="55"/>
      <c r="C1256" s="7"/>
      <c r="D1256" s="7"/>
      <c r="E1256" s="7"/>
      <c r="F1256" s="7"/>
      <c r="G1256" s="55"/>
      <c r="H1256" s="7"/>
      <c r="I1256" s="7"/>
      <c r="J1256" s="7"/>
      <c r="K1256" s="7"/>
      <c r="L1256" s="7"/>
      <c r="M1256" s="7"/>
      <c r="N1256" s="7"/>
      <c r="O1256" s="7"/>
      <c r="P1256" s="7"/>
      <c r="Q1256" s="55"/>
      <c r="R1256" s="7"/>
      <c r="S1256" s="7"/>
      <c r="T1256" s="7"/>
      <c r="U1256" s="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c r="BE1256" s="7"/>
      <c r="BF1256" s="7"/>
      <c r="BG1256" s="7"/>
      <c r="BH1256" s="7"/>
      <c r="BI1256" s="7"/>
      <c r="BJ1256" s="7"/>
      <c r="BK1256" s="7"/>
      <c r="BL1256" s="7"/>
      <c r="BM1256" s="7"/>
      <c r="BN1256" s="7"/>
      <c r="BO1256" s="7"/>
      <c r="BP1256" s="7"/>
      <c r="BQ1256" s="7"/>
      <c r="BR1256" s="7"/>
      <c r="BS1256" s="7"/>
      <c r="BT1256" s="7"/>
      <c r="BU1256" s="7"/>
      <c r="BV1256" s="7"/>
      <c r="BW1256" s="7"/>
      <c r="BX1256" s="7"/>
      <c r="BY1256" s="7"/>
      <c r="BZ1256" s="41"/>
      <c r="CA1256" s="7"/>
      <c r="CB1256" s="7"/>
      <c r="CC1256" s="7"/>
      <c r="CD1256" s="7"/>
      <c r="CE1256" s="7"/>
      <c r="CF1256" s="7"/>
    </row>
    <row r="1257">
      <c r="A1257" s="7"/>
      <c r="B1257" s="55"/>
      <c r="C1257" s="7"/>
      <c r="D1257" s="7"/>
      <c r="E1257" s="7"/>
      <c r="F1257" s="7"/>
      <c r="G1257" s="55"/>
      <c r="H1257" s="7"/>
      <c r="I1257" s="7"/>
      <c r="J1257" s="7"/>
      <c r="K1257" s="7"/>
      <c r="L1257" s="7"/>
      <c r="M1257" s="7"/>
      <c r="N1257" s="7"/>
      <c r="O1257" s="7"/>
      <c r="P1257" s="7"/>
      <c r="Q1257" s="55"/>
      <c r="R1257" s="7"/>
      <c r="S1257" s="7"/>
      <c r="T1257" s="7"/>
      <c r="U1257" s="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c r="BL1257" s="7"/>
      <c r="BM1257" s="7"/>
      <c r="BN1257" s="7"/>
      <c r="BO1257" s="7"/>
      <c r="BP1257" s="7"/>
      <c r="BQ1257" s="7"/>
      <c r="BR1257" s="7"/>
      <c r="BS1257" s="7"/>
      <c r="BT1257" s="7"/>
      <c r="BU1257" s="7"/>
      <c r="BV1257" s="7"/>
      <c r="BW1257" s="7"/>
      <c r="BX1257" s="7"/>
      <c r="BY1257" s="7"/>
      <c r="BZ1257" s="41"/>
      <c r="CA1257" s="7"/>
      <c r="CB1257" s="7"/>
      <c r="CC1257" s="7"/>
      <c r="CD1257" s="7"/>
      <c r="CE1257" s="7"/>
      <c r="CF1257" s="7"/>
    </row>
    <row r="1258">
      <c r="A1258" s="7"/>
      <c r="B1258" s="55"/>
      <c r="C1258" s="7"/>
      <c r="D1258" s="7"/>
      <c r="E1258" s="7"/>
      <c r="F1258" s="7"/>
      <c r="G1258" s="55"/>
      <c r="H1258" s="7"/>
      <c r="I1258" s="7"/>
      <c r="J1258" s="7"/>
      <c r="K1258" s="7"/>
      <c r="L1258" s="7"/>
      <c r="M1258" s="7"/>
      <c r="N1258" s="7"/>
      <c r="O1258" s="7"/>
      <c r="P1258" s="7"/>
      <c r="Q1258" s="55"/>
      <c r="R1258" s="7"/>
      <c r="S1258" s="7"/>
      <c r="T1258" s="7"/>
      <c r="U1258" s="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c r="AS1258" s="7"/>
      <c r="AT1258" s="7"/>
      <c r="AU1258" s="7"/>
      <c r="AV1258" s="7"/>
      <c r="AW1258" s="7"/>
      <c r="AX1258" s="7"/>
      <c r="AY1258" s="7"/>
      <c r="AZ1258" s="7"/>
      <c r="BA1258" s="7"/>
      <c r="BB1258" s="7"/>
      <c r="BC1258" s="7"/>
      <c r="BD1258" s="7"/>
      <c r="BE1258" s="7"/>
      <c r="BF1258" s="7"/>
      <c r="BG1258" s="7"/>
      <c r="BH1258" s="7"/>
      <c r="BI1258" s="7"/>
      <c r="BJ1258" s="7"/>
      <c r="BK1258" s="7"/>
      <c r="BL1258" s="7"/>
      <c r="BM1258" s="7"/>
      <c r="BN1258" s="7"/>
      <c r="BO1258" s="7"/>
      <c r="BP1258" s="7"/>
      <c r="BQ1258" s="7"/>
      <c r="BR1258" s="7"/>
      <c r="BS1258" s="7"/>
      <c r="BT1258" s="7"/>
      <c r="BU1258" s="7"/>
      <c r="BV1258" s="7"/>
      <c r="BW1258" s="7"/>
      <c r="BX1258" s="7"/>
      <c r="BY1258" s="7"/>
      <c r="BZ1258" s="41"/>
      <c r="CA1258" s="7"/>
      <c r="CB1258" s="7"/>
      <c r="CC1258" s="7"/>
      <c r="CD1258" s="7"/>
      <c r="CE1258" s="7"/>
      <c r="CF1258" s="7"/>
    </row>
    <row r="1259">
      <c r="A1259" s="7"/>
      <c r="B1259" s="55"/>
      <c r="C1259" s="7"/>
      <c r="D1259" s="7"/>
      <c r="E1259" s="7"/>
      <c r="F1259" s="7"/>
      <c r="G1259" s="55"/>
      <c r="H1259" s="7"/>
      <c r="I1259" s="7"/>
      <c r="J1259" s="7"/>
      <c r="K1259" s="7"/>
      <c r="L1259" s="7"/>
      <c r="M1259" s="7"/>
      <c r="N1259" s="7"/>
      <c r="O1259" s="7"/>
      <c r="P1259" s="7"/>
      <c r="Q1259" s="55"/>
      <c r="R1259" s="7"/>
      <c r="S1259" s="7"/>
      <c r="T1259" s="7"/>
      <c r="U1259" s="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c r="BL1259" s="7"/>
      <c r="BM1259" s="7"/>
      <c r="BN1259" s="7"/>
      <c r="BO1259" s="7"/>
      <c r="BP1259" s="7"/>
      <c r="BQ1259" s="7"/>
      <c r="BR1259" s="7"/>
      <c r="BS1259" s="7"/>
      <c r="BT1259" s="7"/>
      <c r="BU1259" s="7"/>
      <c r="BV1259" s="7"/>
      <c r="BW1259" s="7"/>
      <c r="BX1259" s="7"/>
      <c r="BY1259" s="7"/>
      <c r="BZ1259" s="41"/>
      <c r="CA1259" s="7"/>
      <c r="CB1259" s="7"/>
      <c r="CC1259" s="7"/>
      <c r="CD1259" s="7"/>
      <c r="CE1259" s="7"/>
      <c r="CF1259" s="7"/>
    </row>
    <row r="1260">
      <c r="A1260" s="7"/>
      <c r="B1260" s="55"/>
      <c r="C1260" s="7"/>
      <c r="D1260" s="7"/>
      <c r="E1260" s="7"/>
      <c r="F1260" s="7"/>
      <c r="G1260" s="55"/>
      <c r="H1260" s="7"/>
      <c r="I1260" s="7"/>
      <c r="J1260" s="7"/>
      <c r="K1260" s="7"/>
      <c r="L1260" s="7"/>
      <c r="M1260" s="7"/>
      <c r="N1260" s="7"/>
      <c r="O1260" s="7"/>
      <c r="P1260" s="7"/>
      <c r="Q1260" s="55"/>
      <c r="R1260" s="7"/>
      <c r="S1260" s="7"/>
      <c r="T1260" s="7"/>
      <c r="U1260" s="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c r="BE1260" s="7"/>
      <c r="BF1260" s="7"/>
      <c r="BG1260" s="7"/>
      <c r="BH1260" s="7"/>
      <c r="BI1260" s="7"/>
      <c r="BJ1260" s="7"/>
      <c r="BK1260" s="7"/>
      <c r="BL1260" s="7"/>
      <c r="BM1260" s="7"/>
      <c r="BN1260" s="7"/>
      <c r="BO1260" s="7"/>
      <c r="BP1260" s="7"/>
      <c r="BQ1260" s="7"/>
      <c r="BR1260" s="7"/>
      <c r="BS1260" s="7"/>
      <c r="BT1260" s="7"/>
      <c r="BU1260" s="7"/>
      <c r="BV1260" s="7"/>
      <c r="BW1260" s="7"/>
      <c r="BX1260" s="7"/>
      <c r="BY1260" s="7"/>
      <c r="BZ1260" s="41"/>
      <c r="CA1260" s="7"/>
      <c r="CB1260" s="7"/>
      <c r="CC1260" s="7"/>
      <c r="CD1260" s="7"/>
      <c r="CE1260" s="7"/>
      <c r="CF1260" s="7"/>
    </row>
    <row r="1261">
      <c r="A1261" s="7"/>
      <c r="B1261" s="55"/>
      <c r="C1261" s="7"/>
      <c r="D1261" s="7"/>
      <c r="E1261" s="7"/>
      <c r="F1261" s="7"/>
      <c r="G1261" s="55"/>
      <c r="H1261" s="7"/>
      <c r="I1261" s="7"/>
      <c r="J1261" s="7"/>
      <c r="K1261" s="7"/>
      <c r="L1261" s="7"/>
      <c r="M1261" s="7"/>
      <c r="N1261" s="7"/>
      <c r="O1261" s="7"/>
      <c r="P1261" s="7"/>
      <c r="Q1261" s="55"/>
      <c r="R1261" s="7"/>
      <c r="S1261" s="7"/>
      <c r="T1261" s="7"/>
      <c r="U1261" s="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c r="BL1261" s="7"/>
      <c r="BM1261" s="7"/>
      <c r="BN1261" s="7"/>
      <c r="BO1261" s="7"/>
      <c r="BP1261" s="7"/>
      <c r="BQ1261" s="7"/>
      <c r="BR1261" s="7"/>
      <c r="BS1261" s="7"/>
      <c r="BT1261" s="7"/>
      <c r="BU1261" s="7"/>
      <c r="BV1261" s="7"/>
      <c r="BW1261" s="7"/>
      <c r="BX1261" s="7"/>
      <c r="BY1261" s="7"/>
      <c r="BZ1261" s="41"/>
      <c r="CA1261" s="7"/>
      <c r="CB1261" s="7"/>
      <c r="CC1261" s="7"/>
      <c r="CD1261" s="7"/>
      <c r="CE1261" s="7"/>
      <c r="CF1261" s="7"/>
    </row>
    <row r="1262">
      <c r="A1262" s="7"/>
      <c r="B1262" s="55"/>
      <c r="C1262" s="7"/>
      <c r="D1262" s="7"/>
      <c r="E1262" s="7"/>
      <c r="F1262" s="7"/>
      <c r="G1262" s="55"/>
      <c r="H1262" s="7"/>
      <c r="I1262" s="7"/>
      <c r="J1262" s="7"/>
      <c r="K1262" s="7"/>
      <c r="L1262" s="7"/>
      <c r="M1262" s="7"/>
      <c r="N1262" s="7"/>
      <c r="O1262" s="7"/>
      <c r="P1262" s="7"/>
      <c r="Q1262" s="55"/>
      <c r="R1262" s="7"/>
      <c r="S1262" s="7"/>
      <c r="T1262" s="7"/>
      <c r="U1262" s="7"/>
      <c r="V1262" s="7"/>
      <c r="W1262" s="7"/>
      <c r="X1262" s="7"/>
      <c r="Y1262" s="7"/>
      <c r="Z1262" s="7"/>
      <c r="AA1262" s="7"/>
      <c r="AB1262" s="7"/>
      <c r="AC1262" s="7"/>
      <c r="AD1262" s="7"/>
      <c r="AE1262" s="7"/>
      <c r="AF1262" s="7"/>
      <c r="AG1262" s="7"/>
      <c r="AH1262" s="7"/>
      <c r="AI1262" s="7"/>
      <c r="AJ1262" s="7"/>
      <c r="AK1262" s="7"/>
      <c r="AL1262" s="7"/>
      <c r="AM1262" s="7"/>
      <c r="AN1262" s="7"/>
      <c r="AO1262" s="7"/>
      <c r="AP1262" s="7"/>
      <c r="AQ1262" s="7"/>
      <c r="AR1262" s="7"/>
      <c r="AS1262" s="7"/>
      <c r="AT1262" s="7"/>
      <c r="AU1262" s="7"/>
      <c r="AV1262" s="7"/>
      <c r="AW1262" s="7"/>
      <c r="AX1262" s="7"/>
      <c r="AY1262" s="7"/>
      <c r="AZ1262" s="7"/>
      <c r="BA1262" s="7"/>
      <c r="BB1262" s="7"/>
      <c r="BC1262" s="7"/>
      <c r="BD1262" s="7"/>
      <c r="BE1262" s="7"/>
      <c r="BF1262" s="7"/>
      <c r="BG1262" s="7"/>
      <c r="BH1262" s="7"/>
      <c r="BI1262" s="7"/>
      <c r="BJ1262" s="7"/>
      <c r="BK1262" s="7"/>
      <c r="BL1262" s="7"/>
      <c r="BM1262" s="7"/>
      <c r="BN1262" s="7"/>
      <c r="BO1262" s="7"/>
      <c r="BP1262" s="7"/>
      <c r="BQ1262" s="7"/>
      <c r="BR1262" s="7"/>
      <c r="BS1262" s="7"/>
      <c r="BT1262" s="7"/>
      <c r="BU1262" s="7"/>
      <c r="BV1262" s="7"/>
      <c r="BW1262" s="7"/>
      <c r="BX1262" s="7"/>
      <c r="BY1262" s="7"/>
      <c r="BZ1262" s="41"/>
      <c r="CA1262" s="7"/>
      <c r="CB1262" s="7"/>
      <c r="CC1262" s="7"/>
      <c r="CD1262" s="7"/>
      <c r="CE1262" s="7"/>
      <c r="CF1262" s="7"/>
    </row>
    <row r="1263">
      <c r="A1263" s="7"/>
      <c r="B1263" s="55"/>
      <c r="C1263" s="7"/>
      <c r="D1263" s="7"/>
      <c r="E1263" s="7"/>
      <c r="F1263" s="7"/>
      <c r="G1263" s="55"/>
      <c r="H1263" s="7"/>
      <c r="I1263" s="7"/>
      <c r="J1263" s="7"/>
      <c r="K1263" s="7"/>
      <c r="L1263" s="7"/>
      <c r="M1263" s="7"/>
      <c r="N1263" s="7"/>
      <c r="O1263" s="7"/>
      <c r="P1263" s="7"/>
      <c r="Q1263" s="55"/>
      <c r="R1263" s="7"/>
      <c r="S1263" s="7"/>
      <c r="T1263" s="7"/>
      <c r="U1263" s="7"/>
      <c r="V1263" s="7"/>
      <c r="W1263" s="7"/>
      <c r="X1263" s="7"/>
      <c r="Y1263" s="7"/>
      <c r="Z1263" s="7"/>
      <c r="AA1263" s="7"/>
      <c r="AB1263" s="7"/>
      <c r="AC1263" s="7"/>
      <c r="AD1263" s="7"/>
      <c r="AE1263" s="7"/>
      <c r="AF1263" s="7"/>
      <c r="AG1263" s="7"/>
      <c r="AH1263" s="7"/>
      <c r="AI1263" s="7"/>
      <c r="AJ1263" s="7"/>
      <c r="AK1263" s="7"/>
      <c r="AL1263" s="7"/>
      <c r="AM1263" s="7"/>
      <c r="AN1263" s="7"/>
      <c r="AO1263" s="7"/>
      <c r="AP1263" s="7"/>
      <c r="AQ1263" s="7"/>
      <c r="AR1263" s="7"/>
      <c r="AS1263" s="7"/>
      <c r="AT1263" s="7"/>
      <c r="AU1263" s="7"/>
      <c r="AV1263" s="7"/>
      <c r="AW1263" s="7"/>
      <c r="AX1263" s="7"/>
      <c r="AY1263" s="7"/>
      <c r="AZ1263" s="7"/>
      <c r="BA1263" s="7"/>
      <c r="BB1263" s="7"/>
      <c r="BC1263" s="7"/>
      <c r="BD1263" s="7"/>
      <c r="BE1263" s="7"/>
      <c r="BF1263" s="7"/>
      <c r="BG1263" s="7"/>
      <c r="BH1263" s="7"/>
      <c r="BI1263" s="7"/>
      <c r="BJ1263" s="7"/>
      <c r="BK1263" s="7"/>
      <c r="BL1263" s="7"/>
      <c r="BM1263" s="7"/>
      <c r="BN1263" s="7"/>
      <c r="BO1263" s="7"/>
      <c r="BP1263" s="7"/>
      <c r="BQ1263" s="7"/>
      <c r="BR1263" s="7"/>
      <c r="BS1263" s="7"/>
      <c r="BT1263" s="7"/>
      <c r="BU1263" s="7"/>
      <c r="BV1263" s="7"/>
      <c r="BW1263" s="7"/>
      <c r="BX1263" s="7"/>
      <c r="BY1263" s="7"/>
      <c r="BZ1263" s="41"/>
      <c r="CA1263" s="7"/>
      <c r="CB1263" s="7"/>
      <c r="CC1263" s="7"/>
      <c r="CD1263" s="7"/>
      <c r="CE1263" s="7"/>
      <c r="CF1263" s="7"/>
    </row>
    <row r="1264">
      <c r="A1264" s="7"/>
      <c r="B1264" s="55"/>
      <c r="C1264" s="7"/>
      <c r="D1264" s="7"/>
      <c r="E1264" s="7"/>
      <c r="F1264" s="7"/>
      <c r="G1264" s="55"/>
      <c r="H1264" s="7"/>
      <c r="I1264" s="7"/>
      <c r="J1264" s="7"/>
      <c r="K1264" s="7"/>
      <c r="L1264" s="7"/>
      <c r="M1264" s="7"/>
      <c r="N1264" s="7"/>
      <c r="O1264" s="7"/>
      <c r="P1264" s="7"/>
      <c r="Q1264" s="55"/>
      <c r="R1264" s="7"/>
      <c r="S1264" s="7"/>
      <c r="T1264" s="7"/>
      <c r="U1264" s="7"/>
      <c r="V1264" s="7"/>
      <c r="W1264" s="7"/>
      <c r="X1264" s="7"/>
      <c r="Y1264" s="7"/>
      <c r="Z1264" s="7"/>
      <c r="AA1264" s="7"/>
      <c r="AB1264" s="7"/>
      <c r="AC1264" s="7"/>
      <c r="AD1264" s="7"/>
      <c r="AE1264" s="7"/>
      <c r="AF1264" s="7"/>
      <c r="AG1264" s="7"/>
      <c r="AH1264" s="7"/>
      <c r="AI1264" s="7"/>
      <c r="AJ1264" s="7"/>
      <c r="AK1264" s="7"/>
      <c r="AL1264" s="7"/>
      <c r="AM1264" s="7"/>
      <c r="AN1264" s="7"/>
      <c r="AO1264" s="7"/>
      <c r="AP1264" s="7"/>
      <c r="AQ1264" s="7"/>
      <c r="AR1264" s="7"/>
      <c r="AS1264" s="7"/>
      <c r="AT1264" s="7"/>
      <c r="AU1264" s="7"/>
      <c r="AV1264" s="7"/>
      <c r="AW1264" s="7"/>
      <c r="AX1264" s="7"/>
      <c r="AY1264" s="7"/>
      <c r="AZ1264" s="7"/>
      <c r="BA1264" s="7"/>
      <c r="BB1264" s="7"/>
      <c r="BC1264" s="7"/>
      <c r="BD1264" s="7"/>
      <c r="BE1264" s="7"/>
      <c r="BF1264" s="7"/>
      <c r="BG1264" s="7"/>
      <c r="BH1264" s="7"/>
      <c r="BI1264" s="7"/>
      <c r="BJ1264" s="7"/>
      <c r="BK1264" s="7"/>
      <c r="BL1264" s="7"/>
      <c r="BM1264" s="7"/>
      <c r="BN1264" s="7"/>
      <c r="BO1264" s="7"/>
      <c r="BP1264" s="7"/>
      <c r="BQ1264" s="7"/>
      <c r="BR1264" s="7"/>
      <c r="BS1264" s="7"/>
      <c r="BT1264" s="7"/>
      <c r="BU1264" s="7"/>
      <c r="BV1264" s="7"/>
      <c r="BW1264" s="7"/>
      <c r="BX1264" s="7"/>
      <c r="BY1264" s="7"/>
      <c r="BZ1264" s="41"/>
      <c r="CA1264" s="7"/>
      <c r="CB1264" s="7"/>
      <c r="CC1264" s="7"/>
      <c r="CD1264" s="7"/>
      <c r="CE1264" s="7"/>
      <c r="CF1264" s="7"/>
    </row>
    <row r="1265">
      <c r="A1265" s="7"/>
      <c r="B1265" s="55"/>
      <c r="C1265" s="7"/>
      <c r="D1265" s="7"/>
      <c r="E1265" s="7"/>
      <c r="F1265" s="7"/>
      <c r="G1265" s="55"/>
      <c r="H1265" s="7"/>
      <c r="I1265" s="7"/>
      <c r="J1265" s="7"/>
      <c r="K1265" s="7"/>
      <c r="L1265" s="7"/>
      <c r="M1265" s="7"/>
      <c r="N1265" s="7"/>
      <c r="O1265" s="7"/>
      <c r="P1265" s="7"/>
      <c r="Q1265" s="55"/>
      <c r="R1265" s="7"/>
      <c r="S1265" s="7"/>
      <c r="T1265" s="7"/>
      <c r="U1265" s="7"/>
      <c r="V1265" s="7"/>
      <c r="W1265" s="7"/>
      <c r="X1265" s="7"/>
      <c r="Y1265" s="7"/>
      <c r="Z1265" s="7"/>
      <c r="AA1265" s="7"/>
      <c r="AB1265" s="7"/>
      <c r="AC1265" s="7"/>
      <c r="AD1265" s="7"/>
      <c r="AE1265" s="7"/>
      <c r="AF1265" s="7"/>
      <c r="AG1265" s="7"/>
      <c r="AH1265" s="7"/>
      <c r="AI1265" s="7"/>
      <c r="AJ1265" s="7"/>
      <c r="AK1265" s="7"/>
      <c r="AL1265" s="7"/>
      <c r="AM1265" s="7"/>
      <c r="AN1265" s="7"/>
      <c r="AO1265" s="7"/>
      <c r="AP1265" s="7"/>
      <c r="AQ1265" s="7"/>
      <c r="AR1265" s="7"/>
      <c r="AS1265" s="7"/>
      <c r="AT1265" s="7"/>
      <c r="AU1265" s="7"/>
      <c r="AV1265" s="7"/>
      <c r="AW1265" s="7"/>
      <c r="AX1265" s="7"/>
      <c r="AY1265" s="7"/>
      <c r="AZ1265" s="7"/>
      <c r="BA1265" s="7"/>
      <c r="BB1265" s="7"/>
      <c r="BC1265" s="7"/>
      <c r="BD1265" s="7"/>
      <c r="BE1265" s="7"/>
      <c r="BF1265" s="7"/>
      <c r="BG1265" s="7"/>
      <c r="BH1265" s="7"/>
      <c r="BI1265" s="7"/>
      <c r="BJ1265" s="7"/>
      <c r="BK1265" s="7"/>
      <c r="BL1265" s="7"/>
      <c r="BM1265" s="7"/>
      <c r="BN1265" s="7"/>
      <c r="BO1265" s="7"/>
      <c r="BP1265" s="7"/>
      <c r="BQ1265" s="7"/>
      <c r="BR1265" s="7"/>
      <c r="BS1265" s="7"/>
      <c r="BT1265" s="7"/>
      <c r="BU1265" s="7"/>
      <c r="BV1265" s="7"/>
      <c r="BW1265" s="7"/>
      <c r="BX1265" s="7"/>
      <c r="BY1265" s="7"/>
      <c r="BZ1265" s="41"/>
      <c r="CA1265" s="7"/>
      <c r="CB1265" s="7"/>
      <c r="CC1265" s="7"/>
      <c r="CD1265" s="7"/>
      <c r="CE1265" s="7"/>
      <c r="CF1265" s="7"/>
    </row>
    <row r="1266">
      <c r="A1266" s="7"/>
      <c r="B1266" s="55"/>
      <c r="C1266" s="7"/>
      <c r="D1266" s="7"/>
      <c r="E1266" s="7"/>
      <c r="F1266" s="7"/>
      <c r="G1266" s="55"/>
      <c r="H1266" s="7"/>
      <c r="I1266" s="7"/>
      <c r="J1266" s="7"/>
      <c r="K1266" s="7"/>
      <c r="L1266" s="7"/>
      <c r="M1266" s="7"/>
      <c r="N1266" s="7"/>
      <c r="O1266" s="7"/>
      <c r="P1266" s="7"/>
      <c r="Q1266" s="55"/>
      <c r="R1266" s="7"/>
      <c r="S1266" s="7"/>
      <c r="T1266" s="7"/>
      <c r="U1266" s="7"/>
      <c r="V1266" s="7"/>
      <c r="W1266" s="7"/>
      <c r="X1266" s="7"/>
      <c r="Y1266" s="7"/>
      <c r="Z1266" s="7"/>
      <c r="AA1266" s="7"/>
      <c r="AB1266" s="7"/>
      <c r="AC1266" s="7"/>
      <c r="AD1266" s="7"/>
      <c r="AE1266" s="7"/>
      <c r="AF1266" s="7"/>
      <c r="AG1266" s="7"/>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c r="BL1266" s="7"/>
      <c r="BM1266" s="7"/>
      <c r="BN1266" s="7"/>
      <c r="BO1266" s="7"/>
      <c r="BP1266" s="7"/>
      <c r="BQ1266" s="7"/>
      <c r="BR1266" s="7"/>
      <c r="BS1266" s="7"/>
      <c r="BT1266" s="7"/>
      <c r="BU1266" s="7"/>
      <c r="BV1266" s="7"/>
      <c r="BW1266" s="7"/>
      <c r="BX1266" s="7"/>
      <c r="BY1266" s="7"/>
      <c r="BZ1266" s="41"/>
      <c r="CA1266" s="7"/>
      <c r="CB1266" s="7"/>
      <c r="CC1266" s="7"/>
      <c r="CD1266" s="7"/>
      <c r="CE1266" s="7"/>
      <c r="CF1266" s="7"/>
    </row>
    <row r="1267">
      <c r="A1267" s="7"/>
      <c r="B1267" s="55"/>
      <c r="C1267" s="7"/>
      <c r="D1267" s="7"/>
      <c r="E1267" s="7"/>
      <c r="F1267" s="7"/>
      <c r="G1267" s="55"/>
      <c r="H1267" s="7"/>
      <c r="I1267" s="7"/>
      <c r="J1267" s="7"/>
      <c r="K1267" s="7"/>
      <c r="L1267" s="7"/>
      <c r="M1267" s="7"/>
      <c r="N1267" s="7"/>
      <c r="O1267" s="7"/>
      <c r="P1267" s="7"/>
      <c r="Q1267" s="55"/>
      <c r="R1267" s="7"/>
      <c r="S1267" s="7"/>
      <c r="T1267" s="7"/>
      <c r="U1267" s="7"/>
      <c r="V1267" s="7"/>
      <c r="W1267" s="7"/>
      <c r="X1267" s="7"/>
      <c r="Y1267" s="7"/>
      <c r="Z1267" s="7"/>
      <c r="AA1267" s="7"/>
      <c r="AB1267" s="7"/>
      <c r="AC1267" s="7"/>
      <c r="AD1267" s="7"/>
      <c r="AE1267" s="7"/>
      <c r="AF1267" s="7"/>
      <c r="AG1267" s="7"/>
      <c r="AH1267" s="7"/>
      <c r="AI1267" s="7"/>
      <c r="AJ1267" s="7"/>
      <c r="AK1267" s="7"/>
      <c r="AL1267" s="7"/>
      <c r="AM1267" s="7"/>
      <c r="AN1267" s="7"/>
      <c r="AO1267" s="7"/>
      <c r="AP1267" s="7"/>
      <c r="AQ1267" s="7"/>
      <c r="AR1267" s="7"/>
      <c r="AS1267" s="7"/>
      <c r="AT1267" s="7"/>
      <c r="AU1267" s="7"/>
      <c r="AV1267" s="7"/>
      <c r="AW1267" s="7"/>
      <c r="AX1267" s="7"/>
      <c r="AY1267" s="7"/>
      <c r="AZ1267" s="7"/>
      <c r="BA1267" s="7"/>
      <c r="BB1267" s="7"/>
      <c r="BC1267" s="7"/>
      <c r="BD1267" s="7"/>
      <c r="BE1267" s="7"/>
      <c r="BF1267" s="7"/>
      <c r="BG1267" s="7"/>
      <c r="BH1267" s="7"/>
      <c r="BI1267" s="7"/>
      <c r="BJ1267" s="7"/>
      <c r="BK1267" s="7"/>
      <c r="BL1267" s="7"/>
      <c r="BM1267" s="7"/>
      <c r="BN1267" s="7"/>
      <c r="BO1267" s="7"/>
      <c r="BP1267" s="7"/>
      <c r="BQ1267" s="7"/>
      <c r="BR1267" s="7"/>
      <c r="BS1267" s="7"/>
      <c r="BT1267" s="7"/>
      <c r="BU1267" s="7"/>
      <c r="BV1267" s="7"/>
      <c r="BW1267" s="7"/>
      <c r="BX1267" s="7"/>
      <c r="BY1267" s="7"/>
      <c r="BZ1267" s="41"/>
      <c r="CA1267" s="7"/>
      <c r="CB1267" s="7"/>
      <c r="CC1267" s="7"/>
      <c r="CD1267" s="7"/>
      <c r="CE1267" s="7"/>
      <c r="CF1267" s="7"/>
    </row>
    <row r="1268">
      <c r="A1268" s="7"/>
      <c r="B1268" s="55"/>
      <c r="C1268" s="7"/>
      <c r="D1268" s="7"/>
      <c r="E1268" s="7"/>
      <c r="F1268" s="7"/>
      <c r="G1268" s="55"/>
      <c r="H1268" s="7"/>
      <c r="I1268" s="7"/>
      <c r="J1268" s="7"/>
      <c r="K1268" s="7"/>
      <c r="L1268" s="7"/>
      <c r="M1268" s="7"/>
      <c r="N1268" s="7"/>
      <c r="O1268" s="7"/>
      <c r="P1268" s="7"/>
      <c r="Q1268" s="55"/>
      <c r="R1268" s="7"/>
      <c r="S1268" s="7"/>
      <c r="T1268" s="7"/>
      <c r="U1268" s="7"/>
      <c r="V1268" s="7"/>
      <c r="W1268" s="7"/>
      <c r="X1268" s="7"/>
      <c r="Y1268" s="7"/>
      <c r="Z1268" s="7"/>
      <c r="AA1268" s="7"/>
      <c r="AB1268" s="7"/>
      <c r="AC1268" s="7"/>
      <c r="AD1268" s="7"/>
      <c r="AE1268" s="7"/>
      <c r="AF1268" s="7"/>
      <c r="AG1268" s="7"/>
      <c r="AH1268" s="7"/>
      <c r="AI1268" s="7"/>
      <c r="AJ1268" s="7"/>
      <c r="AK1268" s="7"/>
      <c r="AL1268" s="7"/>
      <c r="AM1268" s="7"/>
      <c r="AN1268" s="7"/>
      <c r="AO1268" s="7"/>
      <c r="AP1268" s="7"/>
      <c r="AQ1268" s="7"/>
      <c r="AR1268" s="7"/>
      <c r="AS1268" s="7"/>
      <c r="AT1268" s="7"/>
      <c r="AU1268" s="7"/>
      <c r="AV1268" s="7"/>
      <c r="AW1268" s="7"/>
      <c r="AX1268" s="7"/>
      <c r="AY1268" s="7"/>
      <c r="AZ1268" s="7"/>
      <c r="BA1268" s="7"/>
      <c r="BB1268" s="7"/>
      <c r="BC1268" s="7"/>
      <c r="BD1268" s="7"/>
      <c r="BE1268" s="7"/>
      <c r="BF1268" s="7"/>
      <c r="BG1268" s="7"/>
      <c r="BH1268" s="7"/>
      <c r="BI1268" s="7"/>
      <c r="BJ1268" s="7"/>
      <c r="BK1268" s="7"/>
      <c r="BL1268" s="7"/>
      <c r="BM1268" s="7"/>
      <c r="BN1268" s="7"/>
      <c r="BO1268" s="7"/>
      <c r="BP1268" s="7"/>
      <c r="BQ1268" s="7"/>
      <c r="BR1268" s="7"/>
      <c r="BS1268" s="7"/>
      <c r="BT1268" s="7"/>
      <c r="BU1268" s="7"/>
      <c r="BV1268" s="7"/>
      <c r="BW1268" s="7"/>
      <c r="BX1268" s="7"/>
      <c r="BY1268" s="7"/>
      <c r="BZ1268" s="41"/>
      <c r="CA1268" s="7"/>
      <c r="CB1268" s="7"/>
      <c r="CC1268" s="7"/>
      <c r="CD1268" s="7"/>
      <c r="CE1268" s="7"/>
      <c r="CF1268" s="7"/>
    </row>
    <row r="1269">
      <c r="A1269" s="7"/>
      <c r="B1269" s="55"/>
      <c r="C1269" s="7"/>
      <c r="D1269" s="7"/>
      <c r="E1269" s="7"/>
      <c r="F1269" s="7"/>
      <c r="G1269" s="55"/>
      <c r="H1269" s="7"/>
      <c r="I1269" s="7"/>
      <c r="J1269" s="7"/>
      <c r="K1269" s="7"/>
      <c r="L1269" s="7"/>
      <c r="M1269" s="7"/>
      <c r="N1269" s="7"/>
      <c r="O1269" s="7"/>
      <c r="P1269" s="7"/>
      <c r="Q1269" s="55"/>
      <c r="R1269" s="7"/>
      <c r="S1269" s="7"/>
      <c r="T1269" s="7"/>
      <c r="U1269" s="7"/>
      <c r="V1269" s="7"/>
      <c r="W1269" s="7"/>
      <c r="X1269" s="7"/>
      <c r="Y1269" s="7"/>
      <c r="Z1269" s="7"/>
      <c r="AA1269" s="7"/>
      <c r="AB1269" s="7"/>
      <c r="AC1269" s="7"/>
      <c r="AD1269" s="7"/>
      <c r="AE1269" s="7"/>
      <c r="AF1269" s="7"/>
      <c r="AG1269" s="7"/>
      <c r="AH1269" s="7"/>
      <c r="AI1269" s="7"/>
      <c r="AJ1269" s="7"/>
      <c r="AK1269" s="7"/>
      <c r="AL1269" s="7"/>
      <c r="AM1269" s="7"/>
      <c r="AN1269" s="7"/>
      <c r="AO1269" s="7"/>
      <c r="AP1269" s="7"/>
      <c r="AQ1269" s="7"/>
      <c r="AR1269" s="7"/>
      <c r="AS1269" s="7"/>
      <c r="AT1269" s="7"/>
      <c r="AU1269" s="7"/>
      <c r="AV1269" s="7"/>
      <c r="AW1269" s="7"/>
      <c r="AX1269" s="7"/>
      <c r="AY1269" s="7"/>
      <c r="AZ1269" s="7"/>
      <c r="BA1269" s="7"/>
      <c r="BB1269" s="7"/>
      <c r="BC1269" s="7"/>
      <c r="BD1269" s="7"/>
      <c r="BE1269" s="7"/>
      <c r="BF1269" s="7"/>
      <c r="BG1269" s="7"/>
      <c r="BH1269" s="7"/>
      <c r="BI1269" s="7"/>
      <c r="BJ1269" s="7"/>
      <c r="BK1269" s="7"/>
      <c r="BL1269" s="7"/>
      <c r="BM1269" s="7"/>
      <c r="BN1269" s="7"/>
      <c r="BO1269" s="7"/>
      <c r="BP1269" s="7"/>
      <c r="BQ1269" s="7"/>
      <c r="BR1269" s="7"/>
      <c r="BS1269" s="7"/>
      <c r="BT1269" s="7"/>
      <c r="BU1269" s="7"/>
      <c r="BV1269" s="7"/>
      <c r="BW1269" s="7"/>
      <c r="BX1269" s="7"/>
      <c r="BY1269" s="7"/>
      <c r="BZ1269" s="41"/>
      <c r="CA1269" s="7"/>
      <c r="CB1269" s="7"/>
      <c r="CC1269" s="7"/>
      <c r="CD1269" s="7"/>
      <c r="CE1269" s="7"/>
      <c r="CF1269" s="7"/>
    </row>
    <row r="1270">
      <c r="A1270" s="7"/>
      <c r="B1270" s="55"/>
      <c r="C1270" s="7"/>
      <c r="D1270" s="7"/>
      <c r="E1270" s="7"/>
      <c r="F1270" s="7"/>
      <c r="G1270" s="55"/>
      <c r="H1270" s="7"/>
      <c r="I1270" s="7"/>
      <c r="J1270" s="7"/>
      <c r="K1270" s="7"/>
      <c r="L1270" s="7"/>
      <c r="M1270" s="7"/>
      <c r="N1270" s="7"/>
      <c r="O1270" s="7"/>
      <c r="P1270" s="7"/>
      <c r="Q1270" s="55"/>
      <c r="R1270" s="7"/>
      <c r="S1270" s="7"/>
      <c r="T1270" s="7"/>
      <c r="U1270" s="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c r="BE1270" s="7"/>
      <c r="BF1270" s="7"/>
      <c r="BG1270" s="7"/>
      <c r="BH1270" s="7"/>
      <c r="BI1270" s="7"/>
      <c r="BJ1270" s="7"/>
      <c r="BK1270" s="7"/>
      <c r="BL1270" s="7"/>
      <c r="BM1270" s="7"/>
      <c r="BN1270" s="7"/>
      <c r="BO1270" s="7"/>
      <c r="BP1270" s="7"/>
      <c r="BQ1270" s="7"/>
      <c r="BR1270" s="7"/>
      <c r="BS1270" s="7"/>
      <c r="BT1270" s="7"/>
      <c r="BU1270" s="7"/>
      <c r="BV1270" s="7"/>
      <c r="BW1270" s="7"/>
      <c r="BX1270" s="7"/>
      <c r="BY1270" s="7"/>
      <c r="BZ1270" s="41"/>
      <c r="CA1270" s="7"/>
      <c r="CB1270" s="7"/>
      <c r="CC1270" s="7"/>
      <c r="CD1270" s="7"/>
      <c r="CE1270" s="7"/>
      <c r="CF1270" s="7"/>
    </row>
    <row r="1271">
      <c r="A1271" s="7"/>
      <c r="B1271" s="55"/>
      <c r="C1271" s="7"/>
      <c r="D1271" s="7"/>
      <c r="E1271" s="7"/>
      <c r="F1271" s="7"/>
      <c r="G1271" s="55"/>
      <c r="H1271" s="7"/>
      <c r="I1271" s="7"/>
      <c r="J1271" s="7"/>
      <c r="K1271" s="7"/>
      <c r="L1271" s="7"/>
      <c r="M1271" s="7"/>
      <c r="N1271" s="7"/>
      <c r="O1271" s="7"/>
      <c r="P1271" s="7"/>
      <c r="Q1271" s="55"/>
      <c r="R1271" s="7"/>
      <c r="S1271" s="7"/>
      <c r="T1271" s="7"/>
      <c r="U1271" s="7"/>
      <c r="V1271" s="7"/>
      <c r="W1271" s="7"/>
      <c r="X1271" s="7"/>
      <c r="Y1271" s="7"/>
      <c r="Z1271" s="7"/>
      <c r="AA1271" s="7"/>
      <c r="AB1271" s="7"/>
      <c r="AC1271" s="7"/>
      <c r="AD1271" s="7"/>
      <c r="AE1271" s="7"/>
      <c r="AF1271" s="7"/>
      <c r="AG1271" s="7"/>
      <c r="AH1271" s="7"/>
      <c r="AI1271" s="7"/>
      <c r="AJ1271" s="7"/>
      <c r="AK1271" s="7"/>
      <c r="AL1271" s="7"/>
      <c r="AM1271" s="7"/>
      <c r="AN1271" s="7"/>
      <c r="AO1271" s="7"/>
      <c r="AP1271" s="7"/>
      <c r="AQ1271" s="7"/>
      <c r="AR1271" s="7"/>
      <c r="AS1271" s="7"/>
      <c r="AT1271" s="7"/>
      <c r="AU1271" s="7"/>
      <c r="AV1271" s="7"/>
      <c r="AW1271" s="7"/>
      <c r="AX1271" s="7"/>
      <c r="AY1271" s="7"/>
      <c r="AZ1271" s="7"/>
      <c r="BA1271" s="7"/>
      <c r="BB1271" s="7"/>
      <c r="BC1271" s="7"/>
      <c r="BD1271" s="7"/>
      <c r="BE1271" s="7"/>
      <c r="BF1271" s="7"/>
      <c r="BG1271" s="7"/>
      <c r="BH1271" s="7"/>
      <c r="BI1271" s="7"/>
      <c r="BJ1271" s="7"/>
      <c r="BK1271" s="7"/>
      <c r="BL1271" s="7"/>
      <c r="BM1271" s="7"/>
      <c r="BN1271" s="7"/>
      <c r="BO1271" s="7"/>
      <c r="BP1271" s="7"/>
      <c r="BQ1271" s="7"/>
      <c r="BR1271" s="7"/>
      <c r="BS1271" s="7"/>
      <c r="BT1271" s="7"/>
      <c r="BU1271" s="7"/>
      <c r="BV1271" s="7"/>
      <c r="BW1271" s="7"/>
      <c r="BX1271" s="7"/>
      <c r="BY1271" s="7"/>
      <c r="BZ1271" s="41"/>
      <c r="CA1271" s="7"/>
      <c r="CB1271" s="7"/>
      <c r="CC1271" s="7"/>
      <c r="CD1271" s="7"/>
      <c r="CE1271" s="7"/>
      <c r="CF1271" s="7"/>
    </row>
    <row r="1272">
      <c r="A1272" s="7"/>
      <c r="B1272" s="55"/>
      <c r="C1272" s="7"/>
      <c r="D1272" s="7"/>
      <c r="E1272" s="7"/>
      <c r="F1272" s="7"/>
      <c r="G1272" s="55"/>
      <c r="H1272" s="7"/>
      <c r="I1272" s="7"/>
      <c r="J1272" s="7"/>
      <c r="K1272" s="7"/>
      <c r="L1272" s="7"/>
      <c r="M1272" s="7"/>
      <c r="N1272" s="7"/>
      <c r="O1272" s="7"/>
      <c r="P1272" s="7"/>
      <c r="Q1272" s="55"/>
      <c r="R1272" s="7"/>
      <c r="S1272" s="7"/>
      <c r="T1272" s="7"/>
      <c r="U1272" s="7"/>
      <c r="V1272" s="7"/>
      <c r="W1272" s="7"/>
      <c r="X1272" s="7"/>
      <c r="Y1272" s="7"/>
      <c r="Z1272" s="7"/>
      <c r="AA1272" s="7"/>
      <c r="AB1272" s="7"/>
      <c r="AC1272" s="7"/>
      <c r="AD1272" s="7"/>
      <c r="AE1272" s="7"/>
      <c r="AF1272" s="7"/>
      <c r="AG1272" s="7"/>
      <c r="AH1272" s="7"/>
      <c r="AI1272" s="7"/>
      <c r="AJ1272" s="7"/>
      <c r="AK1272" s="7"/>
      <c r="AL1272" s="7"/>
      <c r="AM1272" s="7"/>
      <c r="AN1272" s="7"/>
      <c r="AO1272" s="7"/>
      <c r="AP1272" s="7"/>
      <c r="AQ1272" s="7"/>
      <c r="AR1272" s="7"/>
      <c r="AS1272" s="7"/>
      <c r="AT1272" s="7"/>
      <c r="AU1272" s="7"/>
      <c r="AV1272" s="7"/>
      <c r="AW1272" s="7"/>
      <c r="AX1272" s="7"/>
      <c r="AY1272" s="7"/>
      <c r="AZ1272" s="7"/>
      <c r="BA1272" s="7"/>
      <c r="BB1272" s="7"/>
      <c r="BC1272" s="7"/>
      <c r="BD1272" s="7"/>
      <c r="BE1272" s="7"/>
      <c r="BF1272" s="7"/>
      <c r="BG1272" s="7"/>
      <c r="BH1272" s="7"/>
      <c r="BI1272" s="7"/>
      <c r="BJ1272" s="7"/>
      <c r="BK1272" s="7"/>
      <c r="BL1272" s="7"/>
      <c r="BM1272" s="7"/>
      <c r="BN1272" s="7"/>
      <c r="BO1272" s="7"/>
      <c r="BP1272" s="7"/>
      <c r="BQ1272" s="7"/>
      <c r="BR1272" s="7"/>
      <c r="BS1272" s="7"/>
      <c r="BT1272" s="7"/>
      <c r="BU1272" s="7"/>
      <c r="BV1272" s="7"/>
      <c r="BW1272" s="7"/>
      <c r="BX1272" s="7"/>
      <c r="BY1272" s="7"/>
      <c r="BZ1272" s="41"/>
      <c r="CA1272" s="7"/>
      <c r="CB1272" s="7"/>
      <c r="CC1272" s="7"/>
      <c r="CD1272" s="7"/>
      <c r="CE1272" s="7"/>
      <c r="CF1272" s="7"/>
    </row>
    <row r="1273">
      <c r="A1273" s="7"/>
      <c r="B1273" s="55"/>
      <c r="C1273" s="7"/>
      <c r="D1273" s="7"/>
      <c r="E1273" s="7"/>
      <c r="F1273" s="7"/>
      <c r="G1273" s="55"/>
      <c r="H1273" s="7"/>
      <c r="I1273" s="7"/>
      <c r="J1273" s="7"/>
      <c r="K1273" s="7"/>
      <c r="L1273" s="7"/>
      <c r="M1273" s="7"/>
      <c r="N1273" s="7"/>
      <c r="O1273" s="7"/>
      <c r="P1273" s="7"/>
      <c r="Q1273" s="55"/>
      <c r="R1273" s="7"/>
      <c r="S1273" s="7"/>
      <c r="T1273" s="7"/>
      <c r="U1273" s="7"/>
      <c r="V1273" s="7"/>
      <c r="W1273" s="7"/>
      <c r="X1273" s="7"/>
      <c r="Y1273" s="7"/>
      <c r="Z1273" s="7"/>
      <c r="AA1273" s="7"/>
      <c r="AB1273" s="7"/>
      <c r="AC1273" s="7"/>
      <c r="AD1273" s="7"/>
      <c r="AE1273" s="7"/>
      <c r="AF1273" s="7"/>
      <c r="AG1273" s="7"/>
      <c r="AH1273" s="7"/>
      <c r="AI1273" s="7"/>
      <c r="AJ1273" s="7"/>
      <c r="AK1273" s="7"/>
      <c r="AL1273" s="7"/>
      <c r="AM1273" s="7"/>
      <c r="AN1273" s="7"/>
      <c r="AO1273" s="7"/>
      <c r="AP1273" s="7"/>
      <c r="AQ1273" s="7"/>
      <c r="AR1273" s="7"/>
      <c r="AS1273" s="7"/>
      <c r="AT1273" s="7"/>
      <c r="AU1273" s="7"/>
      <c r="AV1273" s="7"/>
      <c r="AW1273" s="7"/>
      <c r="AX1273" s="7"/>
      <c r="AY1273" s="7"/>
      <c r="AZ1273" s="7"/>
      <c r="BA1273" s="7"/>
      <c r="BB1273" s="7"/>
      <c r="BC1273" s="7"/>
      <c r="BD1273" s="7"/>
      <c r="BE1273" s="7"/>
      <c r="BF1273" s="7"/>
      <c r="BG1273" s="7"/>
      <c r="BH1273" s="7"/>
      <c r="BI1273" s="7"/>
      <c r="BJ1273" s="7"/>
      <c r="BK1273" s="7"/>
      <c r="BL1273" s="7"/>
      <c r="BM1273" s="7"/>
      <c r="BN1273" s="7"/>
      <c r="BO1273" s="7"/>
      <c r="BP1273" s="7"/>
      <c r="BQ1273" s="7"/>
      <c r="BR1273" s="7"/>
      <c r="BS1273" s="7"/>
      <c r="BT1273" s="7"/>
      <c r="BU1273" s="7"/>
      <c r="BV1273" s="7"/>
      <c r="BW1273" s="7"/>
      <c r="BX1273" s="7"/>
      <c r="BY1273" s="7"/>
      <c r="BZ1273" s="41"/>
      <c r="CA1273" s="7"/>
      <c r="CB1273" s="7"/>
      <c r="CC1273" s="7"/>
      <c r="CD1273" s="7"/>
      <c r="CE1273" s="7"/>
      <c r="CF1273" s="7"/>
    </row>
    <row r="1274">
      <c r="A1274" s="7"/>
      <c r="B1274" s="55"/>
      <c r="C1274" s="7"/>
      <c r="D1274" s="7"/>
      <c r="E1274" s="7"/>
      <c r="F1274" s="7"/>
      <c r="G1274" s="55"/>
      <c r="H1274" s="7"/>
      <c r="I1274" s="7"/>
      <c r="J1274" s="7"/>
      <c r="K1274" s="7"/>
      <c r="L1274" s="7"/>
      <c r="M1274" s="7"/>
      <c r="N1274" s="7"/>
      <c r="O1274" s="7"/>
      <c r="P1274" s="7"/>
      <c r="Q1274" s="55"/>
      <c r="R1274" s="7"/>
      <c r="S1274" s="7"/>
      <c r="T1274" s="7"/>
      <c r="U1274" s="7"/>
      <c r="V1274" s="7"/>
      <c r="W1274" s="7"/>
      <c r="X1274" s="7"/>
      <c r="Y1274" s="7"/>
      <c r="Z1274" s="7"/>
      <c r="AA1274" s="7"/>
      <c r="AB1274" s="7"/>
      <c r="AC1274" s="7"/>
      <c r="AD1274" s="7"/>
      <c r="AE1274" s="7"/>
      <c r="AF1274" s="7"/>
      <c r="AG1274" s="7"/>
      <c r="AH1274" s="7"/>
      <c r="AI1274" s="7"/>
      <c r="AJ1274" s="7"/>
      <c r="AK1274" s="7"/>
      <c r="AL1274" s="7"/>
      <c r="AM1274" s="7"/>
      <c r="AN1274" s="7"/>
      <c r="AO1274" s="7"/>
      <c r="AP1274" s="7"/>
      <c r="AQ1274" s="7"/>
      <c r="AR1274" s="7"/>
      <c r="AS1274" s="7"/>
      <c r="AT1274" s="7"/>
      <c r="AU1274" s="7"/>
      <c r="AV1274" s="7"/>
      <c r="AW1274" s="7"/>
      <c r="AX1274" s="7"/>
      <c r="AY1274" s="7"/>
      <c r="AZ1274" s="7"/>
      <c r="BA1274" s="7"/>
      <c r="BB1274" s="7"/>
      <c r="BC1274" s="7"/>
      <c r="BD1274" s="7"/>
      <c r="BE1274" s="7"/>
      <c r="BF1274" s="7"/>
      <c r="BG1274" s="7"/>
      <c r="BH1274" s="7"/>
      <c r="BI1274" s="7"/>
      <c r="BJ1274" s="7"/>
      <c r="BK1274" s="7"/>
      <c r="BL1274" s="7"/>
      <c r="BM1274" s="7"/>
      <c r="BN1274" s="7"/>
      <c r="BO1274" s="7"/>
      <c r="BP1274" s="7"/>
      <c r="BQ1274" s="7"/>
      <c r="BR1274" s="7"/>
      <c r="BS1274" s="7"/>
      <c r="BT1274" s="7"/>
      <c r="BU1274" s="7"/>
      <c r="BV1274" s="7"/>
      <c r="BW1274" s="7"/>
      <c r="BX1274" s="7"/>
      <c r="BY1274" s="7"/>
      <c r="BZ1274" s="41"/>
      <c r="CA1274" s="7"/>
      <c r="CB1274" s="7"/>
      <c r="CC1274" s="7"/>
      <c r="CD1274" s="7"/>
      <c r="CE1274" s="7"/>
      <c r="CF1274" s="7"/>
    </row>
    <row r="1275">
      <c r="A1275" s="7"/>
      <c r="B1275" s="55"/>
      <c r="C1275" s="7"/>
      <c r="D1275" s="7"/>
      <c r="E1275" s="7"/>
      <c r="F1275" s="7"/>
      <c r="G1275" s="55"/>
      <c r="H1275" s="7"/>
      <c r="I1275" s="7"/>
      <c r="J1275" s="7"/>
      <c r="K1275" s="7"/>
      <c r="L1275" s="7"/>
      <c r="M1275" s="7"/>
      <c r="N1275" s="7"/>
      <c r="O1275" s="7"/>
      <c r="P1275" s="7"/>
      <c r="Q1275" s="55"/>
      <c r="R1275" s="7"/>
      <c r="S1275" s="7"/>
      <c r="T1275" s="7"/>
      <c r="U1275" s="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c r="BL1275" s="7"/>
      <c r="BM1275" s="7"/>
      <c r="BN1275" s="7"/>
      <c r="BO1275" s="7"/>
      <c r="BP1275" s="7"/>
      <c r="BQ1275" s="7"/>
      <c r="BR1275" s="7"/>
      <c r="BS1275" s="7"/>
      <c r="BT1275" s="7"/>
      <c r="BU1275" s="7"/>
      <c r="BV1275" s="7"/>
      <c r="BW1275" s="7"/>
      <c r="BX1275" s="7"/>
      <c r="BY1275" s="7"/>
      <c r="BZ1275" s="41"/>
      <c r="CA1275" s="7"/>
      <c r="CB1275" s="7"/>
      <c r="CC1275" s="7"/>
      <c r="CD1275" s="7"/>
      <c r="CE1275" s="7"/>
      <c r="CF1275" s="7"/>
    </row>
    <row r="1276">
      <c r="A1276" s="7"/>
      <c r="B1276" s="55"/>
      <c r="C1276" s="7"/>
      <c r="D1276" s="7"/>
      <c r="E1276" s="7"/>
      <c r="F1276" s="7"/>
      <c r="G1276" s="55"/>
      <c r="H1276" s="7"/>
      <c r="I1276" s="7"/>
      <c r="J1276" s="7"/>
      <c r="K1276" s="7"/>
      <c r="L1276" s="7"/>
      <c r="M1276" s="7"/>
      <c r="N1276" s="7"/>
      <c r="O1276" s="7"/>
      <c r="P1276" s="7"/>
      <c r="Q1276" s="55"/>
      <c r="R1276" s="7"/>
      <c r="S1276" s="7"/>
      <c r="T1276" s="7"/>
      <c r="U1276" s="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c r="AS1276" s="7"/>
      <c r="AT1276" s="7"/>
      <c r="AU1276" s="7"/>
      <c r="AV1276" s="7"/>
      <c r="AW1276" s="7"/>
      <c r="AX1276" s="7"/>
      <c r="AY1276" s="7"/>
      <c r="AZ1276" s="7"/>
      <c r="BA1276" s="7"/>
      <c r="BB1276" s="7"/>
      <c r="BC1276" s="7"/>
      <c r="BD1276" s="7"/>
      <c r="BE1276" s="7"/>
      <c r="BF1276" s="7"/>
      <c r="BG1276" s="7"/>
      <c r="BH1276" s="7"/>
      <c r="BI1276" s="7"/>
      <c r="BJ1276" s="7"/>
      <c r="BK1276" s="7"/>
      <c r="BL1276" s="7"/>
      <c r="BM1276" s="7"/>
      <c r="BN1276" s="7"/>
      <c r="BO1276" s="7"/>
      <c r="BP1276" s="7"/>
      <c r="BQ1276" s="7"/>
      <c r="BR1276" s="7"/>
      <c r="BS1276" s="7"/>
      <c r="BT1276" s="7"/>
      <c r="BU1276" s="7"/>
      <c r="BV1276" s="7"/>
      <c r="BW1276" s="7"/>
      <c r="BX1276" s="7"/>
      <c r="BY1276" s="7"/>
      <c r="BZ1276" s="41"/>
      <c r="CA1276" s="7"/>
      <c r="CB1276" s="7"/>
      <c r="CC1276" s="7"/>
      <c r="CD1276" s="7"/>
      <c r="CE1276" s="7"/>
      <c r="CF1276" s="7"/>
    </row>
    <row r="1277">
      <c r="A1277" s="7"/>
      <c r="B1277" s="55"/>
      <c r="C1277" s="7"/>
      <c r="D1277" s="7"/>
      <c r="E1277" s="7"/>
      <c r="F1277" s="7"/>
      <c r="G1277" s="55"/>
      <c r="H1277" s="7"/>
      <c r="I1277" s="7"/>
      <c r="J1277" s="7"/>
      <c r="K1277" s="7"/>
      <c r="L1277" s="7"/>
      <c r="M1277" s="7"/>
      <c r="N1277" s="7"/>
      <c r="O1277" s="7"/>
      <c r="P1277" s="7"/>
      <c r="Q1277" s="55"/>
      <c r="R1277" s="7"/>
      <c r="S1277" s="7"/>
      <c r="T1277" s="7"/>
      <c r="U1277" s="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c r="BL1277" s="7"/>
      <c r="BM1277" s="7"/>
      <c r="BN1277" s="7"/>
      <c r="BO1277" s="7"/>
      <c r="BP1277" s="7"/>
      <c r="BQ1277" s="7"/>
      <c r="BR1277" s="7"/>
      <c r="BS1277" s="7"/>
      <c r="BT1277" s="7"/>
      <c r="BU1277" s="7"/>
      <c r="BV1277" s="7"/>
      <c r="BW1277" s="7"/>
      <c r="BX1277" s="7"/>
      <c r="BY1277" s="7"/>
      <c r="BZ1277" s="41"/>
      <c r="CA1277" s="7"/>
      <c r="CB1277" s="7"/>
      <c r="CC1277" s="7"/>
      <c r="CD1277" s="7"/>
      <c r="CE1277" s="7"/>
      <c r="CF1277" s="7"/>
    </row>
    <row r="1278">
      <c r="A1278" s="7"/>
      <c r="B1278" s="55"/>
      <c r="C1278" s="7"/>
      <c r="D1278" s="7"/>
      <c r="E1278" s="7"/>
      <c r="F1278" s="7"/>
      <c r="G1278" s="55"/>
      <c r="H1278" s="7"/>
      <c r="I1278" s="7"/>
      <c r="J1278" s="7"/>
      <c r="K1278" s="7"/>
      <c r="L1278" s="7"/>
      <c r="M1278" s="7"/>
      <c r="N1278" s="7"/>
      <c r="O1278" s="7"/>
      <c r="P1278" s="7"/>
      <c r="Q1278" s="55"/>
      <c r="R1278" s="7"/>
      <c r="S1278" s="7"/>
      <c r="T1278" s="7"/>
      <c r="U1278" s="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c r="AS1278" s="7"/>
      <c r="AT1278" s="7"/>
      <c r="AU1278" s="7"/>
      <c r="AV1278" s="7"/>
      <c r="AW1278" s="7"/>
      <c r="AX1278" s="7"/>
      <c r="AY1278" s="7"/>
      <c r="AZ1278" s="7"/>
      <c r="BA1278" s="7"/>
      <c r="BB1278" s="7"/>
      <c r="BC1278" s="7"/>
      <c r="BD1278" s="7"/>
      <c r="BE1278" s="7"/>
      <c r="BF1278" s="7"/>
      <c r="BG1278" s="7"/>
      <c r="BH1278" s="7"/>
      <c r="BI1278" s="7"/>
      <c r="BJ1278" s="7"/>
      <c r="BK1278" s="7"/>
      <c r="BL1278" s="7"/>
      <c r="BM1278" s="7"/>
      <c r="BN1278" s="7"/>
      <c r="BO1278" s="7"/>
      <c r="BP1278" s="7"/>
      <c r="BQ1278" s="7"/>
      <c r="BR1278" s="7"/>
      <c r="BS1278" s="7"/>
      <c r="BT1278" s="7"/>
      <c r="BU1278" s="7"/>
      <c r="BV1278" s="7"/>
      <c r="BW1278" s="7"/>
      <c r="BX1278" s="7"/>
      <c r="BY1278" s="7"/>
      <c r="BZ1278" s="41"/>
      <c r="CA1278" s="7"/>
      <c r="CB1278" s="7"/>
      <c r="CC1278" s="7"/>
      <c r="CD1278" s="7"/>
      <c r="CE1278" s="7"/>
      <c r="CF1278" s="7"/>
    </row>
    <row r="1279">
      <c r="A1279" s="7"/>
      <c r="B1279" s="55"/>
      <c r="C1279" s="7"/>
      <c r="D1279" s="7"/>
      <c r="E1279" s="7"/>
      <c r="F1279" s="7"/>
      <c r="G1279" s="55"/>
      <c r="H1279" s="7"/>
      <c r="I1279" s="7"/>
      <c r="J1279" s="7"/>
      <c r="K1279" s="7"/>
      <c r="L1279" s="7"/>
      <c r="M1279" s="7"/>
      <c r="N1279" s="7"/>
      <c r="O1279" s="7"/>
      <c r="P1279" s="7"/>
      <c r="Q1279" s="55"/>
      <c r="R1279" s="7"/>
      <c r="S1279" s="7"/>
      <c r="T1279" s="7"/>
      <c r="U1279" s="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c r="AS1279" s="7"/>
      <c r="AT1279" s="7"/>
      <c r="AU1279" s="7"/>
      <c r="AV1279" s="7"/>
      <c r="AW1279" s="7"/>
      <c r="AX1279" s="7"/>
      <c r="AY1279" s="7"/>
      <c r="AZ1279" s="7"/>
      <c r="BA1279" s="7"/>
      <c r="BB1279" s="7"/>
      <c r="BC1279" s="7"/>
      <c r="BD1279" s="7"/>
      <c r="BE1279" s="7"/>
      <c r="BF1279" s="7"/>
      <c r="BG1279" s="7"/>
      <c r="BH1279" s="7"/>
      <c r="BI1279" s="7"/>
      <c r="BJ1279" s="7"/>
      <c r="BK1279" s="7"/>
      <c r="BL1279" s="7"/>
      <c r="BM1279" s="7"/>
      <c r="BN1279" s="7"/>
      <c r="BO1279" s="7"/>
      <c r="BP1279" s="7"/>
      <c r="BQ1279" s="7"/>
      <c r="BR1279" s="7"/>
      <c r="BS1279" s="7"/>
      <c r="BT1279" s="7"/>
      <c r="BU1279" s="7"/>
      <c r="BV1279" s="7"/>
      <c r="BW1279" s="7"/>
      <c r="BX1279" s="7"/>
      <c r="BY1279" s="7"/>
      <c r="BZ1279" s="41"/>
      <c r="CA1279" s="7"/>
      <c r="CB1279" s="7"/>
      <c r="CC1279" s="7"/>
      <c r="CD1279" s="7"/>
      <c r="CE1279" s="7"/>
      <c r="CF1279" s="7"/>
    </row>
    <row r="1280">
      <c r="A1280" s="7"/>
      <c r="B1280" s="55"/>
      <c r="C1280" s="7"/>
      <c r="D1280" s="7"/>
      <c r="E1280" s="7"/>
      <c r="F1280" s="7"/>
      <c r="G1280" s="55"/>
      <c r="H1280" s="7"/>
      <c r="I1280" s="7"/>
      <c r="J1280" s="7"/>
      <c r="K1280" s="7"/>
      <c r="L1280" s="7"/>
      <c r="M1280" s="7"/>
      <c r="N1280" s="7"/>
      <c r="O1280" s="7"/>
      <c r="P1280" s="7"/>
      <c r="Q1280" s="55"/>
      <c r="R1280" s="7"/>
      <c r="S1280" s="7"/>
      <c r="T1280" s="7"/>
      <c r="U1280" s="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c r="BE1280" s="7"/>
      <c r="BF1280" s="7"/>
      <c r="BG1280" s="7"/>
      <c r="BH1280" s="7"/>
      <c r="BI1280" s="7"/>
      <c r="BJ1280" s="7"/>
      <c r="BK1280" s="7"/>
      <c r="BL1280" s="7"/>
      <c r="BM1280" s="7"/>
      <c r="BN1280" s="7"/>
      <c r="BO1280" s="7"/>
      <c r="BP1280" s="7"/>
      <c r="BQ1280" s="7"/>
      <c r="BR1280" s="7"/>
      <c r="BS1280" s="7"/>
      <c r="BT1280" s="7"/>
      <c r="BU1280" s="7"/>
      <c r="BV1280" s="7"/>
      <c r="BW1280" s="7"/>
      <c r="BX1280" s="7"/>
      <c r="BY1280" s="7"/>
      <c r="BZ1280" s="41"/>
      <c r="CA1280" s="7"/>
      <c r="CB1280" s="7"/>
      <c r="CC1280" s="7"/>
      <c r="CD1280" s="7"/>
      <c r="CE1280" s="7"/>
      <c r="CF1280" s="7"/>
    </row>
    <row r="1281">
      <c r="A1281" s="7"/>
      <c r="B1281" s="55"/>
      <c r="C1281" s="7"/>
      <c r="D1281" s="7"/>
      <c r="E1281" s="7"/>
      <c r="F1281" s="7"/>
      <c r="G1281" s="55"/>
      <c r="H1281" s="7"/>
      <c r="I1281" s="7"/>
      <c r="J1281" s="7"/>
      <c r="K1281" s="7"/>
      <c r="L1281" s="7"/>
      <c r="M1281" s="7"/>
      <c r="N1281" s="7"/>
      <c r="O1281" s="7"/>
      <c r="P1281" s="7"/>
      <c r="Q1281" s="55"/>
      <c r="R1281" s="7"/>
      <c r="S1281" s="7"/>
      <c r="T1281" s="7"/>
      <c r="U1281" s="7"/>
      <c r="V1281" s="7"/>
      <c r="W1281" s="7"/>
      <c r="X1281" s="7"/>
      <c r="Y1281" s="7"/>
      <c r="Z1281" s="7"/>
      <c r="AA1281" s="7"/>
      <c r="AB1281" s="7"/>
      <c r="AC1281" s="7"/>
      <c r="AD1281" s="7"/>
      <c r="AE1281" s="7"/>
      <c r="AF1281" s="7"/>
      <c r="AG1281" s="7"/>
      <c r="AH1281" s="7"/>
      <c r="AI1281" s="7"/>
      <c r="AJ1281" s="7"/>
      <c r="AK1281" s="7"/>
      <c r="AL1281" s="7"/>
      <c r="AM1281" s="7"/>
      <c r="AN1281" s="7"/>
      <c r="AO1281" s="7"/>
      <c r="AP1281" s="7"/>
      <c r="AQ1281" s="7"/>
      <c r="AR1281" s="7"/>
      <c r="AS1281" s="7"/>
      <c r="AT1281" s="7"/>
      <c r="AU1281" s="7"/>
      <c r="AV1281" s="7"/>
      <c r="AW1281" s="7"/>
      <c r="AX1281" s="7"/>
      <c r="AY1281" s="7"/>
      <c r="AZ1281" s="7"/>
      <c r="BA1281" s="7"/>
      <c r="BB1281" s="7"/>
      <c r="BC1281" s="7"/>
      <c r="BD1281" s="7"/>
      <c r="BE1281" s="7"/>
      <c r="BF1281" s="7"/>
      <c r="BG1281" s="7"/>
      <c r="BH1281" s="7"/>
      <c r="BI1281" s="7"/>
      <c r="BJ1281" s="7"/>
      <c r="BK1281" s="7"/>
      <c r="BL1281" s="7"/>
      <c r="BM1281" s="7"/>
      <c r="BN1281" s="7"/>
      <c r="BO1281" s="7"/>
      <c r="BP1281" s="7"/>
      <c r="BQ1281" s="7"/>
      <c r="BR1281" s="7"/>
      <c r="BS1281" s="7"/>
      <c r="BT1281" s="7"/>
      <c r="BU1281" s="7"/>
      <c r="BV1281" s="7"/>
      <c r="BW1281" s="7"/>
      <c r="BX1281" s="7"/>
      <c r="BY1281" s="7"/>
      <c r="BZ1281" s="41"/>
      <c r="CA1281" s="7"/>
      <c r="CB1281" s="7"/>
      <c r="CC1281" s="7"/>
      <c r="CD1281" s="7"/>
      <c r="CE1281" s="7"/>
      <c r="CF1281" s="7"/>
    </row>
    <row r="1282">
      <c r="A1282" s="7"/>
      <c r="B1282" s="55"/>
      <c r="C1282" s="7"/>
      <c r="D1282" s="7"/>
      <c r="E1282" s="7"/>
      <c r="F1282" s="7"/>
      <c r="G1282" s="55"/>
      <c r="H1282" s="7"/>
      <c r="I1282" s="7"/>
      <c r="J1282" s="7"/>
      <c r="K1282" s="7"/>
      <c r="L1282" s="7"/>
      <c r="M1282" s="7"/>
      <c r="N1282" s="7"/>
      <c r="O1282" s="7"/>
      <c r="P1282" s="7"/>
      <c r="Q1282" s="55"/>
      <c r="R1282" s="7"/>
      <c r="S1282" s="7"/>
      <c r="T1282" s="7"/>
      <c r="U1282" s="7"/>
      <c r="V1282" s="7"/>
      <c r="W1282" s="7"/>
      <c r="X1282" s="7"/>
      <c r="Y1282" s="7"/>
      <c r="Z1282" s="7"/>
      <c r="AA1282" s="7"/>
      <c r="AB1282" s="7"/>
      <c r="AC1282" s="7"/>
      <c r="AD1282" s="7"/>
      <c r="AE1282" s="7"/>
      <c r="AF1282" s="7"/>
      <c r="AG1282" s="7"/>
      <c r="AH1282" s="7"/>
      <c r="AI1282" s="7"/>
      <c r="AJ1282" s="7"/>
      <c r="AK1282" s="7"/>
      <c r="AL1282" s="7"/>
      <c r="AM1282" s="7"/>
      <c r="AN1282" s="7"/>
      <c r="AO1282" s="7"/>
      <c r="AP1282" s="7"/>
      <c r="AQ1282" s="7"/>
      <c r="AR1282" s="7"/>
      <c r="AS1282" s="7"/>
      <c r="AT1282" s="7"/>
      <c r="AU1282" s="7"/>
      <c r="AV1282" s="7"/>
      <c r="AW1282" s="7"/>
      <c r="AX1282" s="7"/>
      <c r="AY1282" s="7"/>
      <c r="AZ1282" s="7"/>
      <c r="BA1282" s="7"/>
      <c r="BB1282" s="7"/>
      <c r="BC1282" s="7"/>
      <c r="BD1282" s="7"/>
      <c r="BE1282" s="7"/>
      <c r="BF1282" s="7"/>
      <c r="BG1282" s="7"/>
      <c r="BH1282" s="7"/>
      <c r="BI1282" s="7"/>
      <c r="BJ1282" s="7"/>
      <c r="BK1282" s="7"/>
      <c r="BL1282" s="7"/>
      <c r="BM1282" s="7"/>
      <c r="BN1282" s="7"/>
      <c r="BO1282" s="7"/>
      <c r="BP1282" s="7"/>
      <c r="BQ1282" s="7"/>
      <c r="BR1282" s="7"/>
      <c r="BS1282" s="7"/>
      <c r="BT1282" s="7"/>
      <c r="BU1282" s="7"/>
      <c r="BV1282" s="7"/>
      <c r="BW1282" s="7"/>
      <c r="BX1282" s="7"/>
      <c r="BY1282" s="7"/>
      <c r="BZ1282" s="41"/>
      <c r="CA1282" s="7"/>
      <c r="CB1282" s="7"/>
      <c r="CC1282" s="7"/>
      <c r="CD1282" s="7"/>
      <c r="CE1282" s="7"/>
      <c r="CF1282" s="7"/>
    </row>
    <row r="1283">
      <c r="A1283" s="7"/>
      <c r="B1283" s="55"/>
      <c r="C1283" s="7"/>
      <c r="D1283" s="7"/>
      <c r="E1283" s="7"/>
      <c r="F1283" s="7"/>
      <c r="G1283" s="55"/>
      <c r="H1283" s="7"/>
      <c r="I1283" s="7"/>
      <c r="J1283" s="7"/>
      <c r="K1283" s="7"/>
      <c r="L1283" s="7"/>
      <c r="M1283" s="7"/>
      <c r="N1283" s="7"/>
      <c r="O1283" s="7"/>
      <c r="P1283" s="7"/>
      <c r="Q1283" s="55"/>
      <c r="R1283" s="7"/>
      <c r="S1283" s="7"/>
      <c r="T1283" s="7"/>
      <c r="U1283" s="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c r="BE1283" s="7"/>
      <c r="BF1283" s="7"/>
      <c r="BG1283" s="7"/>
      <c r="BH1283" s="7"/>
      <c r="BI1283" s="7"/>
      <c r="BJ1283" s="7"/>
      <c r="BK1283" s="7"/>
      <c r="BL1283" s="7"/>
      <c r="BM1283" s="7"/>
      <c r="BN1283" s="7"/>
      <c r="BO1283" s="7"/>
      <c r="BP1283" s="7"/>
      <c r="BQ1283" s="7"/>
      <c r="BR1283" s="7"/>
      <c r="BS1283" s="7"/>
      <c r="BT1283" s="7"/>
      <c r="BU1283" s="7"/>
      <c r="BV1283" s="7"/>
      <c r="BW1283" s="7"/>
      <c r="BX1283" s="7"/>
      <c r="BY1283" s="7"/>
      <c r="BZ1283" s="41"/>
      <c r="CA1283" s="7"/>
      <c r="CB1283" s="7"/>
      <c r="CC1283" s="7"/>
      <c r="CD1283" s="7"/>
      <c r="CE1283" s="7"/>
      <c r="CF1283" s="7"/>
    </row>
    <row r="1284">
      <c r="A1284" s="7"/>
      <c r="B1284" s="55"/>
      <c r="C1284" s="7"/>
      <c r="D1284" s="7"/>
      <c r="E1284" s="7"/>
      <c r="F1284" s="7"/>
      <c r="G1284" s="55"/>
      <c r="H1284" s="7"/>
      <c r="I1284" s="7"/>
      <c r="J1284" s="7"/>
      <c r="K1284" s="7"/>
      <c r="L1284" s="7"/>
      <c r="M1284" s="7"/>
      <c r="N1284" s="7"/>
      <c r="O1284" s="7"/>
      <c r="P1284" s="7"/>
      <c r="Q1284" s="55"/>
      <c r="R1284" s="7"/>
      <c r="S1284" s="7"/>
      <c r="T1284" s="7"/>
      <c r="U1284" s="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c r="AS1284" s="7"/>
      <c r="AT1284" s="7"/>
      <c r="AU1284" s="7"/>
      <c r="AV1284" s="7"/>
      <c r="AW1284" s="7"/>
      <c r="AX1284" s="7"/>
      <c r="AY1284" s="7"/>
      <c r="AZ1284" s="7"/>
      <c r="BA1284" s="7"/>
      <c r="BB1284" s="7"/>
      <c r="BC1284" s="7"/>
      <c r="BD1284" s="7"/>
      <c r="BE1284" s="7"/>
      <c r="BF1284" s="7"/>
      <c r="BG1284" s="7"/>
      <c r="BH1284" s="7"/>
      <c r="BI1284" s="7"/>
      <c r="BJ1284" s="7"/>
      <c r="BK1284" s="7"/>
      <c r="BL1284" s="7"/>
      <c r="BM1284" s="7"/>
      <c r="BN1284" s="7"/>
      <c r="BO1284" s="7"/>
      <c r="BP1284" s="7"/>
      <c r="BQ1284" s="7"/>
      <c r="BR1284" s="7"/>
      <c r="BS1284" s="7"/>
      <c r="BT1284" s="7"/>
      <c r="BU1284" s="7"/>
      <c r="BV1284" s="7"/>
      <c r="BW1284" s="7"/>
      <c r="BX1284" s="7"/>
      <c r="BY1284" s="7"/>
      <c r="BZ1284" s="41"/>
      <c r="CA1284" s="7"/>
      <c r="CB1284" s="7"/>
      <c r="CC1284" s="7"/>
      <c r="CD1284" s="7"/>
      <c r="CE1284" s="7"/>
      <c r="CF1284" s="7"/>
    </row>
    <row r="1285">
      <c r="A1285" s="7"/>
      <c r="B1285" s="55"/>
      <c r="C1285" s="7"/>
      <c r="D1285" s="7"/>
      <c r="E1285" s="7"/>
      <c r="F1285" s="7"/>
      <c r="G1285" s="55"/>
      <c r="H1285" s="7"/>
      <c r="I1285" s="7"/>
      <c r="J1285" s="7"/>
      <c r="K1285" s="7"/>
      <c r="L1285" s="7"/>
      <c r="M1285" s="7"/>
      <c r="N1285" s="7"/>
      <c r="O1285" s="7"/>
      <c r="P1285" s="7"/>
      <c r="Q1285" s="55"/>
      <c r="R1285" s="7"/>
      <c r="S1285" s="7"/>
      <c r="T1285" s="7"/>
      <c r="U1285" s="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c r="BL1285" s="7"/>
      <c r="BM1285" s="7"/>
      <c r="BN1285" s="7"/>
      <c r="BO1285" s="7"/>
      <c r="BP1285" s="7"/>
      <c r="BQ1285" s="7"/>
      <c r="BR1285" s="7"/>
      <c r="BS1285" s="7"/>
      <c r="BT1285" s="7"/>
      <c r="BU1285" s="7"/>
      <c r="BV1285" s="7"/>
      <c r="BW1285" s="7"/>
      <c r="BX1285" s="7"/>
      <c r="BY1285" s="7"/>
      <c r="BZ1285" s="41"/>
      <c r="CA1285" s="7"/>
      <c r="CB1285" s="7"/>
      <c r="CC1285" s="7"/>
      <c r="CD1285" s="7"/>
      <c r="CE1285" s="7"/>
      <c r="CF1285" s="7"/>
    </row>
    <row r="1286">
      <c r="A1286" s="7"/>
      <c r="B1286" s="55"/>
      <c r="C1286" s="7"/>
      <c r="D1286" s="7"/>
      <c r="E1286" s="7"/>
      <c r="F1286" s="7"/>
      <c r="G1286" s="55"/>
      <c r="H1286" s="7"/>
      <c r="I1286" s="7"/>
      <c r="J1286" s="7"/>
      <c r="K1286" s="7"/>
      <c r="L1286" s="7"/>
      <c r="M1286" s="7"/>
      <c r="N1286" s="7"/>
      <c r="O1286" s="7"/>
      <c r="P1286" s="7"/>
      <c r="Q1286" s="55"/>
      <c r="R1286" s="7"/>
      <c r="S1286" s="7"/>
      <c r="T1286" s="7"/>
      <c r="U1286" s="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c r="AS1286" s="7"/>
      <c r="AT1286" s="7"/>
      <c r="AU1286" s="7"/>
      <c r="AV1286" s="7"/>
      <c r="AW1286" s="7"/>
      <c r="AX1286" s="7"/>
      <c r="AY1286" s="7"/>
      <c r="AZ1286" s="7"/>
      <c r="BA1286" s="7"/>
      <c r="BB1286" s="7"/>
      <c r="BC1286" s="7"/>
      <c r="BD1286" s="7"/>
      <c r="BE1286" s="7"/>
      <c r="BF1286" s="7"/>
      <c r="BG1286" s="7"/>
      <c r="BH1286" s="7"/>
      <c r="BI1286" s="7"/>
      <c r="BJ1286" s="7"/>
      <c r="BK1286" s="7"/>
      <c r="BL1286" s="7"/>
      <c r="BM1286" s="7"/>
      <c r="BN1286" s="7"/>
      <c r="BO1286" s="7"/>
      <c r="BP1286" s="7"/>
      <c r="BQ1286" s="7"/>
      <c r="BR1286" s="7"/>
      <c r="BS1286" s="7"/>
      <c r="BT1286" s="7"/>
      <c r="BU1286" s="7"/>
      <c r="BV1286" s="7"/>
      <c r="BW1286" s="7"/>
      <c r="BX1286" s="7"/>
      <c r="BY1286" s="7"/>
      <c r="BZ1286" s="41"/>
      <c r="CA1286" s="7"/>
      <c r="CB1286" s="7"/>
      <c r="CC1286" s="7"/>
      <c r="CD1286" s="7"/>
      <c r="CE1286" s="7"/>
      <c r="CF1286" s="7"/>
    </row>
    <row r="1287">
      <c r="A1287" s="7"/>
      <c r="B1287" s="55"/>
      <c r="C1287" s="7"/>
      <c r="D1287" s="7"/>
      <c r="E1287" s="7"/>
      <c r="F1287" s="7"/>
      <c r="G1287" s="55"/>
      <c r="H1287" s="7"/>
      <c r="I1287" s="7"/>
      <c r="J1287" s="7"/>
      <c r="K1287" s="7"/>
      <c r="L1287" s="7"/>
      <c r="M1287" s="7"/>
      <c r="N1287" s="7"/>
      <c r="O1287" s="7"/>
      <c r="P1287" s="7"/>
      <c r="Q1287" s="55"/>
      <c r="R1287" s="7"/>
      <c r="S1287" s="7"/>
      <c r="T1287" s="7"/>
      <c r="U1287" s="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c r="AS1287" s="7"/>
      <c r="AT1287" s="7"/>
      <c r="AU1287" s="7"/>
      <c r="AV1287" s="7"/>
      <c r="AW1287" s="7"/>
      <c r="AX1287" s="7"/>
      <c r="AY1287" s="7"/>
      <c r="AZ1287" s="7"/>
      <c r="BA1287" s="7"/>
      <c r="BB1287" s="7"/>
      <c r="BC1287" s="7"/>
      <c r="BD1287" s="7"/>
      <c r="BE1287" s="7"/>
      <c r="BF1287" s="7"/>
      <c r="BG1287" s="7"/>
      <c r="BH1287" s="7"/>
      <c r="BI1287" s="7"/>
      <c r="BJ1287" s="7"/>
      <c r="BK1287" s="7"/>
      <c r="BL1287" s="7"/>
      <c r="BM1287" s="7"/>
      <c r="BN1287" s="7"/>
      <c r="BO1287" s="7"/>
      <c r="BP1287" s="7"/>
      <c r="BQ1287" s="7"/>
      <c r="BR1287" s="7"/>
      <c r="BS1287" s="7"/>
      <c r="BT1287" s="7"/>
      <c r="BU1287" s="7"/>
      <c r="BV1287" s="7"/>
      <c r="BW1287" s="7"/>
      <c r="BX1287" s="7"/>
      <c r="BY1287" s="7"/>
      <c r="BZ1287" s="41"/>
      <c r="CA1287" s="7"/>
      <c r="CB1287" s="7"/>
      <c r="CC1287" s="7"/>
      <c r="CD1287" s="7"/>
      <c r="CE1287" s="7"/>
      <c r="CF1287" s="7"/>
    </row>
    <row r="1288">
      <c r="A1288" s="7"/>
      <c r="B1288" s="55"/>
      <c r="C1288" s="7"/>
      <c r="D1288" s="7"/>
      <c r="E1288" s="7"/>
      <c r="F1288" s="7"/>
      <c r="G1288" s="55"/>
      <c r="H1288" s="7"/>
      <c r="I1288" s="7"/>
      <c r="J1288" s="7"/>
      <c r="K1288" s="7"/>
      <c r="L1288" s="7"/>
      <c r="M1288" s="7"/>
      <c r="N1288" s="7"/>
      <c r="O1288" s="7"/>
      <c r="P1288" s="7"/>
      <c r="Q1288" s="55"/>
      <c r="R1288" s="7"/>
      <c r="S1288" s="7"/>
      <c r="T1288" s="7"/>
      <c r="U1288" s="7"/>
      <c r="V1288" s="7"/>
      <c r="W1288" s="7"/>
      <c r="X1288" s="7"/>
      <c r="Y1288" s="7"/>
      <c r="Z1288" s="7"/>
      <c r="AA1288" s="7"/>
      <c r="AB1288" s="7"/>
      <c r="AC1288" s="7"/>
      <c r="AD1288" s="7"/>
      <c r="AE1288" s="7"/>
      <c r="AF1288" s="7"/>
      <c r="AG1288" s="7"/>
      <c r="AH1288" s="7"/>
      <c r="AI1288" s="7"/>
      <c r="AJ1288" s="7"/>
      <c r="AK1288" s="7"/>
      <c r="AL1288" s="7"/>
      <c r="AM1288" s="7"/>
      <c r="AN1288" s="7"/>
      <c r="AO1288" s="7"/>
      <c r="AP1288" s="7"/>
      <c r="AQ1288" s="7"/>
      <c r="AR1288" s="7"/>
      <c r="AS1288" s="7"/>
      <c r="AT1288" s="7"/>
      <c r="AU1288" s="7"/>
      <c r="AV1288" s="7"/>
      <c r="AW1288" s="7"/>
      <c r="AX1288" s="7"/>
      <c r="AY1288" s="7"/>
      <c r="AZ1288" s="7"/>
      <c r="BA1288" s="7"/>
      <c r="BB1288" s="7"/>
      <c r="BC1288" s="7"/>
      <c r="BD1288" s="7"/>
      <c r="BE1288" s="7"/>
      <c r="BF1288" s="7"/>
      <c r="BG1288" s="7"/>
      <c r="BH1288" s="7"/>
      <c r="BI1288" s="7"/>
      <c r="BJ1288" s="7"/>
      <c r="BK1288" s="7"/>
      <c r="BL1288" s="7"/>
      <c r="BM1288" s="7"/>
      <c r="BN1288" s="7"/>
      <c r="BO1288" s="7"/>
      <c r="BP1288" s="7"/>
      <c r="BQ1288" s="7"/>
      <c r="BR1288" s="7"/>
      <c r="BS1288" s="7"/>
      <c r="BT1288" s="7"/>
      <c r="BU1288" s="7"/>
      <c r="BV1288" s="7"/>
      <c r="BW1288" s="7"/>
      <c r="BX1288" s="7"/>
      <c r="BY1288" s="7"/>
      <c r="BZ1288" s="41"/>
      <c r="CA1288" s="7"/>
      <c r="CB1288" s="7"/>
      <c r="CC1288" s="7"/>
      <c r="CD1288" s="7"/>
      <c r="CE1288" s="7"/>
      <c r="CF1288" s="7"/>
    </row>
    <row r="1289">
      <c r="A1289" s="7"/>
      <c r="B1289" s="55"/>
      <c r="C1289" s="7"/>
      <c r="D1289" s="7"/>
      <c r="E1289" s="7"/>
      <c r="F1289" s="7"/>
      <c r="G1289" s="55"/>
      <c r="H1289" s="7"/>
      <c r="I1289" s="7"/>
      <c r="J1289" s="7"/>
      <c r="K1289" s="7"/>
      <c r="L1289" s="7"/>
      <c r="M1289" s="7"/>
      <c r="N1289" s="7"/>
      <c r="O1289" s="7"/>
      <c r="P1289" s="7"/>
      <c r="Q1289" s="55"/>
      <c r="R1289" s="7"/>
      <c r="S1289" s="7"/>
      <c r="T1289" s="7"/>
      <c r="U1289" s="7"/>
      <c r="V1289" s="7"/>
      <c r="W1289" s="7"/>
      <c r="X1289" s="7"/>
      <c r="Y1289" s="7"/>
      <c r="Z1289" s="7"/>
      <c r="AA1289" s="7"/>
      <c r="AB1289" s="7"/>
      <c r="AC1289" s="7"/>
      <c r="AD1289" s="7"/>
      <c r="AE1289" s="7"/>
      <c r="AF1289" s="7"/>
      <c r="AG1289" s="7"/>
      <c r="AH1289" s="7"/>
      <c r="AI1289" s="7"/>
      <c r="AJ1289" s="7"/>
      <c r="AK1289" s="7"/>
      <c r="AL1289" s="7"/>
      <c r="AM1289" s="7"/>
      <c r="AN1289" s="7"/>
      <c r="AO1289" s="7"/>
      <c r="AP1289" s="7"/>
      <c r="AQ1289" s="7"/>
      <c r="AR1289" s="7"/>
      <c r="AS1289" s="7"/>
      <c r="AT1289" s="7"/>
      <c r="AU1289" s="7"/>
      <c r="AV1289" s="7"/>
      <c r="AW1289" s="7"/>
      <c r="AX1289" s="7"/>
      <c r="AY1289" s="7"/>
      <c r="AZ1289" s="7"/>
      <c r="BA1289" s="7"/>
      <c r="BB1289" s="7"/>
      <c r="BC1289" s="7"/>
      <c r="BD1289" s="7"/>
      <c r="BE1289" s="7"/>
      <c r="BF1289" s="7"/>
      <c r="BG1289" s="7"/>
      <c r="BH1289" s="7"/>
      <c r="BI1289" s="7"/>
      <c r="BJ1289" s="7"/>
      <c r="BK1289" s="7"/>
      <c r="BL1289" s="7"/>
      <c r="BM1289" s="7"/>
      <c r="BN1289" s="7"/>
      <c r="BO1289" s="7"/>
      <c r="BP1289" s="7"/>
      <c r="BQ1289" s="7"/>
      <c r="BR1289" s="7"/>
      <c r="BS1289" s="7"/>
      <c r="BT1289" s="7"/>
      <c r="BU1289" s="7"/>
      <c r="BV1289" s="7"/>
      <c r="BW1289" s="7"/>
      <c r="BX1289" s="7"/>
      <c r="BY1289" s="7"/>
      <c r="BZ1289" s="41"/>
      <c r="CA1289" s="7"/>
      <c r="CB1289" s="7"/>
      <c r="CC1289" s="7"/>
      <c r="CD1289" s="7"/>
      <c r="CE1289" s="7"/>
      <c r="CF1289" s="7"/>
    </row>
    <row r="1290">
      <c r="A1290" s="7"/>
      <c r="B1290" s="55"/>
      <c r="C1290" s="7"/>
      <c r="D1290" s="7"/>
      <c r="E1290" s="7"/>
      <c r="F1290" s="7"/>
      <c r="G1290" s="55"/>
      <c r="H1290" s="7"/>
      <c r="I1290" s="7"/>
      <c r="J1290" s="7"/>
      <c r="K1290" s="7"/>
      <c r="L1290" s="7"/>
      <c r="M1290" s="7"/>
      <c r="N1290" s="7"/>
      <c r="O1290" s="7"/>
      <c r="P1290" s="7"/>
      <c r="Q1290" s="55"/>
      <c r="R1290" s="7"/>
      <c r="S1290" s="7"/>
      <c r="T1290" s="7"/>
      <c r="U1290" s="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c r="AS1290" s="7"/>
      <c r="AT1290" s="7"/>
      <c r="AU1290" s="7"/>
      <c r="AV1290" s="7"/>
      <c r="AW1290" s="7"/>
      <c r="AX1290" s="7"/>
      <c r="AY1290" s="7"/>
      <c r="AZ1290" s="7"/>
      <c r="BA1290" s="7"/>
      <c r="BB1290" s="7"/>
      <c r="BC1290" s="7"/>
      <c r="BD1290" s="7"/>
      <c r="BE1290" s="7"/>
      <c r="BF1290" s="7"/>
      <c r="BG1290" s="7"/>
      <c r="BH1290" s="7"/>
      <c r="BI1290" s="7"/>
      <c r="BJ1290" s="7"/>
      <c r="BK1290" s="7"/>
      <c r="BL1290" s="7"/>
      <c r="BM1290" s="7"/>
      <c r="BN1290" s="7"/>
      <c r="BO1290" s="7"/>
      <c r="BP1290" s="7"/>
      <c r="BQ1290" s="7"/>
      <c r="BR1290" s="7"/>
      <c r="BS1290" s="7"/>
      <c r="BT1290" s="7"/>
      <c r="BU1290" s="7"/>
      <c r="BV1290" s="7"/>
      <c r="BW1290" s="7"/>
      <c r="BX1290" s="7"/>
      <c r="BY1290" s="7"/>
      <c r="BZ1290" s="41"/>
      <c r="CA1290" s="7"/>
      <c r="CB1290" s="7"/>
      <c r="CC1290" s="7"/>
      <c r="CD1290" s="7"/>
      <c r="CE1290" s="7"/>
      <c r="CF1290" s="7"/>
    </row>
    <row r="1291">
      <c r="A1291" s="7"/>
      <c r="B1291" s="55"/>
      <c r="C1291" s="7"/>
      <c r="D1291" s="7"/>
      <c r="E1291" s="7"/>
      <c r="F1291" s="7"/>
      <c r="G1291" s="55"/>
      <c r="H1291" s="7"/>
      <c r="I1291" s="7"/>
      <c r="J1291" s="7"/>
      <c r="K1291" s="7"/>
      <c r="L1291" s="7"/>
      <c r="M1291" s="7"/>
      <c r="N1291" s="7"/>
      <c r="O1291" s="7"/>
      <c r="P1291" s="7"/>
      <c r="Q1291" s="55"/>
      <c r="R1291" s="7"/>
      <c r="S1291" s="7"/>
      <c r="T1291" s="7"/>
      <c r="U1291" s="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c r="AS1291" s="7"/>
      <c r="AT1291" s="7"/>
      <c r="AU1291" s="7"/>
      <c r="AV1291" s="7"/>
      <c r="AW1291" s="7"/>
      <c r="AX1291" s="7"/>
      <c r="AY1291" s="7"/>
      <c r="AZ1291" s="7"/>
      <c r="BA1291" s="7"/>
      <c r="BB1291" s="7"/>
      <c r="BC1291" s="7"/>
      <c r="BD1291" s="7"/>
      <c r="BE1291" s="7"/>
      <c r="BF1291" s="7"/>
      <c r="BG1291" s="7"/>
      <c r="BH1291" s="7"/>
      <c r="BI1291" s="7"/>
      <c r="BJ1291" s="7"/>
      <c r="BK1291" s="7"/>
      <c r="BL1291" s="7"/>
      <c r="BM1291" s="7"/>
      <c r="BN1291" s="7"/>
      <c r="BO1291" s="7"/>
      <c r="BP1291" s="7"/>
      <c r="BQ1291" s="7"/>
      <c r="BR1291" s="7"/>
      <c r="BS1291" s="7"/>
      <c r="BT1291" s="7"/>
      <c r="BU1291" s="7"/>
      <c r="BV1291" s="7"/>
      <c r="BW1291" s="7"/>
      <c r="BX1291" s="7"/>
      <c r="BY1291" s="7"/>
      <c r="BZ1291" s="41"/>
      <c r="CA1291" s="7"/>
      <c r="CB1291" s="7"/>
      <c r="CC1291" s="7"/>
      <c r="CD1291" s="7"/>
      <c r="CE1291" s="7"/>
      <c r="CF1291" s="7"/>
    </row>
    <row r="1292">
      <c r="A1292" s="7"/>
      <c r="B1292" s="55"/>
      <c r="C1292" s="7"/>
      <c r="D1292" s="7"/>
      <c r="E1292" s="7"/>
      <c r="F1292" s="7"/>
      <c r="G1292" s="55"/>
      <c r="H1292" s="7"/>
      <c r="I1292" s="7"/>
      <c r="J1292" s="7"/>
      <c r="K1292" s="7"/>
      <c r="L1292" s="7"/>
      <c r="M1292" s="7"/>
      <c r="N1292" s="7"/>
      <c r="O1292" s="7"/>
      <c r="P1292" s="7"/>
      <c r="Q1292" s="55"/>
      <c r="R1292" s="7"/>
      <c r="S1292" s="7"/>
      <c r="T1292" s="7"/>
      <c r="U1292" s="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c r="BL1292" s="7"/>
      <c r="BM1292" s="7"/>
      <c r="BN1292" s="7"/>
      <c r="BO1292" s="7"/>
      <c r="BP1292" s="7"/>
      <c r="BQ1292" s="7"/>
      <c r="BR1292" s="7"/>
      <c r="BS1292" s="7"/>
      <c r="BT1292" s="7"/>
      <c r="BU1292" s="7"/>
      <c r="BV1292" s="7"/>
      <c r="BW1292" s="7"/>
      <c r="BX1292" s="7"/>
      <c r="BY1292" s="7"/>
      <c r="BZ1292" s="41"/>
      <c r="CA1292" s="7"/>
      <c r="CB1292" s="7"/>
      <c r="CC1292" s="7"/>
      <c r="CD1292" s="7"/>
      <c r="CE1292" s="7"/>
      <c r="CF1292" s="7"/>
    </row>
    <row r="1293">
      <c r="A1293" s="7"/>
      <c r="B1293" s="55"/>
      <c r="C1293" s="7"/>
      <c r="D1293" s="7"/>
      <c r="E1293" s="7"/>
      <c r="F1293" s="7"/>
      <c r="G1293" s="55"/>
      <c r="H1293" s="7"/>
      <c r="I1293" s="7"/>
      <c r="J1293" s="7"/>
      <c r="K1293" s="7"/>
      <c r="L1293" s="7"/>
      <c r="M1293" s="7"/>
      <c r="N1293" s="7"/>
      <c r="O1293" s="7"/>
      <c r="P1293" s="7"/>
      <c r="Q1293" s="55"/>
      <c r="R1293" s="7"/>
      <c r="S1293" s="7"/>
      <c r="T1293" s="7"/>
      <c r="U1293" s="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c r="BE1293" s="7"/>
      <c r="BF1293" s="7"/>
      <c r="BG1293" s="7"/>
      <c r="BH1293" s="7"/>
      <c r="BI1293" s="7"/>
      <c r="BJ1293" s="7"/>
      <c r="BK1293" s="7"/>
      <c r="BL1293" s="7"/>
      <c r="BM1293" s="7"/>
      <c r="BN1293" s="7"/>
      <c r="BO1293" s="7"/>
      <c r="BP1293" s="7"/>
      <c r="BQ1293" s="7"/>
      <c r="BR1293" s="7"/>
      <c r="BS1293" s="7"/>
      <c r="BT1293" s="7"/>
      <c r="BU1293" s="7"/>
      <c r="BV1293" s="7"/>
      <c r="BW1293" s="7"/>
      <c r="BX1293" s="7"/>
      <c r="BY1293" s="7"/>
      <c r="BZ1293" s="41"/>
      <c r="CA1293" s="7"/>
      <c r="CB1293" s="7"/>
      <c r="CC1293" s="7"/>
      <c r="CD1293" s="7"/>
      <c r="CE1293" s="7"/>
      <c r="CF1293" s="7"/>
    </row>
    <row r="1294">
      <c r="A1294" s="7"/>
      <c r="B1294" s="55"/>
      <c r="C1294" s="7"/>
      <c r="D1294" s="7"/>
      <c r="E1294" s="7"/>
      <c r="F1294" s="7"/>
      <c r="G1294" s="55"/>
      <c r="H1294" s="7"/>
      <c r="I1294" s="7"/>
      <c r="J1294" s="7"/>
      <c r="K1294" s="7"/>
      <c r="L1294" s="7"/>
      <c r="M1294" s="7"/>
      <c r="N1294" s="7"/>
      <c r="O1294" s="7"/>
      <c r="P1294" s="7"/>
      <c r="Q1294" s="55"/>
      <c r="R1294" s="7"/>
      <c r="S1294" s="7"/>
      <c r="T1294" s="7"/>
      <c r="U1294" s="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c r="AS1294" s="7"/>
      <c r="AT1294" s="7"/>
      <c r="AU1294" s="7"/>
      <c r="AV1294" s="7"/>
      <c r="AW1294" s="7"/>
      <c r="AX1294" s="7"/>
      <c r="AY1294" s="7"/>
      <c r="AZ1294" s="7"/>
      <c r="BA1294" s="7"/>
      <c r="BB1294" s="7"/>
      <c r="BC1294" s="7"/>
      <c r="BD1294" s="7"/>
      <c r="BE1294" s="7"/>
      <c r="BF1294" s="7"/>
      <c r="BG1294" s="7"/>
      <c r="BH1294" s="7"/>
      <c r="BI1294" s="7"/>
      <c r="BJ1294" s="7"/>
      <c r="BK1294" s="7"/>
      <c r="BL1294" s="7"/>
      <c r="BM1294" s="7"/>
      <c r="BN1294" s="7"/>
      <c r="BO1294" s="7"/>
      <c r="BP1294" s="7"/>
      <c r="BQ1294" s="7"/>
      <c r="BR1294" s="7"/>
      <c r="BS1294" s="7"/>
      <c r="BT1294" s="7"/>
      <c r="BU1294" s="7"/>
      <c r="BV1294" s="7"/>
      <c r="BW1294" s="7"/>
      <c r="BX1294" s="7"/>
      <c r="BY1294" s="7"/>
      <c r="BZ1294" s="41"/>
      <c r="CA1294" s="7"/>
      <c r="CB1294" s="7"/>
      <c r="CC1294" s="7"/>
      <c r="CD1294" s="7"/>
      <c r="CE1294" s="7"/>
      <c r="CF1294" s="7"/>
    </row>
    <row r="1295">
      <c r="A1295" s="7"/>
      <c r="B1295" s="55"/>
      <c r="C1295" s="7"/>
      <c r="D1295" s="7"/>
      <c r="E1295" s="7"/>
      <c r="F1295" s="7"/>
      <c r="G1295" s="55"/>
      <c r="H1295" s="7"/>
      <c r="I1295" s="7"/>
      <c r="J1295" s="7"/>
      <c r="K1295" s="7"/>
      <c r="L1295" s="7"/>
      <c r="M1295" s="7"/>
      <c r="N1295" s="7"/>
      <c r="O1295" s="7"/>
      <c r="P1295" s="7"/>
      <c r="Q1295" s="55"/>
      <c r="R1295" s="7"/>
      <c r="S1295" s="7"/>
      <c r="T1295" s="7"/>
      <c r="U1295" s="7"/>
      <c r="V1295" s="7"/>
      <c r="W1295" s="7"/>
      <c r="X1295" s="7"/>
      <c r="Y1295" s="7"/>
      <c r="Z1295" s="7"/>
      <c r="AA1295" s="7"/>
      <c r="AB1295" s="7"/>
      <c r="AC1295" s="7"/>
      <c r="AD1295" s="7"/>
      <c r="AE1295" s="7"/>
      <c r="AF1295" s="7"/>
      <c r="AG1295" s="7"/>
      <c r="AH1295" s="7"/>
      <c r="AI1295" s="7"/>
      <c r="AJ1295" s="7"/>
      <c r="AK1295" s="7"/>
      <c r="AL1295" s="7"/>
      <c r="AM1295" s="7"/>
      <c r="AN1295" s="7"/>
      <c r="AO1295" s="7"/>
      <c r="AP1295" s="7"/>
      <c r="AQ1295" s="7"/>
      <c r="AR1295" s="7"/>
      <c r="AS1295" s="7"/>
      <c r="AT1295" s="7"/>
      <c r="AU1295" s="7"/>
      <c r="AV1295" s="7"/>
      <c r="AW1295" s="7"/>
      <c r="AX1295" s="7"/>
      <c r="AY1295" s="7"/>
      <c r="AZ1295" s="7"/>
      <c r="BA1295" s="7"/>
      <c r="BB1295" s="7"/>
      <c r="BC1295" s="7"/>
      <c r="BD1295" s="7"/>
      <c r="BE1295" s="7"/>
      <c r="BF1295" s="7"/>
      <c r="BG1295" s="7"/>
      <c r="BH1295" s="7"/>
      <c r="BI1295" s="7"/>
      <c r="BJ1295" s="7"/>
      <c r="BK1295" s="7"/>
      <c r="BL1295" s="7"/>
      <c r="BM1295" s="7"/>
      <c r="BN1295" s="7"/>
      <c r="BO1295" s="7"/>
      <c r="BP1295" s="7"/>
      <c r="BQ1295" s="7"/>
      <c r="BR1295" s="7"/>
      <c r="BS1295" s="7"/>
      <c r="BT1295" s="7"/>
      <c r="BU1295" s="7"/>
      <c r="BV1295" s="7"/>
      <c r="BW1295" s="7"/>
      <c r="BX1295" s="7"/>
      <c r="BY1295" s="7"/>
      <c r="BZ1295" s="41"/>
      <c r="CA1295" s="7"/>
      <c r="CB1295" s="7"/>
      <c r="CC1295" s="7"/>
      <c r="CD1295" s="7"/>
      <c r="CE1295" s="7"/>
      <c r="CF1295" s="7"/>
    </row>
    <row r="1296">
      <c r="A1296" s="7"/>
      <c r="B1296" s="55"/>
      <c r="C1296" s="7"/>
      <c r="D1296" s="7"/>
      <c r="E1296" s="7"/>
      <c r="F1296" s="7"/>
      <c r="G1296" s="55"/>
      <c r="H1296" s="7"/>
      <c r="I1296" s="7"/>
      <c r="J1296" s="7"/>
      <c r="K1296" s="7"/>
      <c r="L1296" s="7"/>
      <c r="M1296" s="7"/>
      <c r="N1296" s="7"/>
      <c r="O1296" s="7"/>
      <c r="P1296" s="7"/>
      <c r="Q1296" s="55"/>
      <c r="R1296" s="7"/>
      <c r="S1296" s="7"/>
      <c r="T1296" s="7"/>
      <c r="U1296" s="7"/>
      <c r="V1296" s="7"/>
      <c r="W1296" s="7"/>
      <c r="X1296" s="7"/>
      <c r="Y1296" s="7"/>
      <c r="Z1296" s="7"/>
      <c r="AA1296" s="7"/>
      <c r="AB1296" s="7"/>
      <c r="AC1296" s="7"/>
      <c r="AD1296" s="7"/>
      <c r="AE1296" s="7"/>
      <c r="AF1296" s="7"/>
      <c r="AG1296" s="7"/>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c r="BE1296" s="7"/>
      <c r="BF1296" s="7"/>
      <c r="BG1296" s="7"/>
      <c r="BH1296" s="7"/>
      <c r="BI1296" s="7"/>
      <c r="BJ1296" s="7"/>
      <c r="BK1296" s="7"/>
      <c r="BL1296" s="7"/>
      <c r="BM1296" s="7"/>
      <c r="BN1296" s="7"/>
      <c r="BO1296" s="7"/>
      <c r="BP1296" s="7"/>
      <c r="BQ1296" s="7"/>
      <c r="BR1296" s="7"/>
      <c r="BS1296" s="7"/>
      <c r="BT1296" s="7"/>
      <c r="BU1296" s="7"/>
      <c r="BV1296" s="7"/>
      <c r="BW1296" s="7"/>
      <c r="BX1296" s="7"/>
      <c r="BY1296" s="7"/>
      <c r="BZ1296" s="41"/>
      <c r="CA1296" s="7"/>
      <c r="CB1296" s="7"/>
      <c r="CC1296" s="7"/>
      <c r="CD1296" s="7"/>
      <c r="CE1296" s="7"/>
      <c r="CF1296" s="7"/>
    </row>
    <row r="1297">
      <c r="A1297" s="7"/>
      <c r="B1297" s="55"/>
      <c r="C1297" s="7"/>
      <c r="D1297" s="7"/>
      <c r="E1297" s="7"/>
      <c r="F1297" s="7"/>
      <c r="G1297" s="55"/>
      <c r="H1297" s="7"/>
      <c r="I1297" s="7"/>
      <c r="J1297" s="7"/>
      <c r="K1297" s="7"/>
      <c r="L1297" s="7"/>
      <c r="M1297" s="7"/>
      <c r="N1297" s="7"/>
      <c r="O1297" s="7"/>
      <c r="P1297" s="7"/>
      <c r="Q1297" s="55"/>
      <c r="R1297" s="7"/>
      <c r="S1297" s="7"/>
      <c r="T1297" s="7"/>
      <c r="U1297" s="7"/>
      <c r="V1297" s="7"/>
      <c r="W1297" s="7"/>
      <c r="X1297" s="7"/>
      <c r="Y1297" s="7"/>
      <c r="Z1297" s="7"/>
      <c r="AA1297" s="7"/>
      <c r="AB1297" s="7"/>
      <c r="AC1297" s="7"/>
      <c r="AD1297" s="7"/>
      <c r="AE1297" s="7"/>
      <c r="AF1297" s="7"/>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c r="BE1297" s="7"/>
      <c r="BF1297" s="7"/>
      <c r="BG1297" s="7"/>
      <c r="BH1297" s="7"/>
      <c r="BI1297" s="7"/>
      <c r="BJ1297" s="7"/>
      <c r="BK1297" s="7"/>
      <c r="BL1297" s="7"/>
      <c r="BM1297" s="7"/>
      <c r="BN1297" s="7"/>
      <c r="BO1297" s="7"/>
      <c r="BP1297" s="7"/>
      <c r="BQ1297" s="7"/>
      <c r="BR1297" s="7"/>
      <c r="BS1297" s="7"/>
      <c r="BT1297" s="7"/>
      <c r="BU1297" s="7"/>
      <c r="BV1297" s="7"/>
      <c r="BW1297" s="7"/>
      <c r="BX1297" s="7"/>
      <c r="BY1297" s="7"/>
      <c r="BZ1297" s="41"/>
      <c r="CA1297" s="7"/>
      <c r="CB1297" s="7"/>
      <c r="CC1297" s="7"/>
      <c r="CD1297" s="7"/>
      <c r="CE1297" s="7"/>
      <c r="CF1297" s="7"/>
    </row>
    <row r="1298">
      <c r="A1298" s="7"/>
      <c r="B1298" s="55"/>
      <c r="C1298" s="7"/>
      <c r="D1298" s="7"/>
      <c r="E1298" s="7"/>
      <c r="F1298" s="7"/>
      <c r="G1298" s="55"/>
      <c r="H1298" s="7"/>
      <c r="I1298" s="7"/>
      <c r="J1298" s="7"/>
      <c r="K1298" s="7"/>
      <c r="L1298" s="7"/>
      <c r="M1298" s="7"/>
      <c r="N1298" s="7"/>
      <c r="O1298" s="7"/>
      <c r="P1298" s="7"/>
      <c r="Q1298" s="55"/>
      <c r="R1298" s="7"/>
      <c r="S1298" s="7"/>
      <c r="T1298" s="7"/>
      <c r="U1298" s="7"/>
      <c r="V1298" s="7"/>
      <c r="W1298" s="7"/>
      <c r="X1298" s="7"/>
      <c r="Y1298" s="7"/>
      <c r="Z1298" s="7"/>
      <c r="AA1298" s="7"/>
      <c r="AB1298" s="7"/>
      <c r="AC1298" s="7"/>
      <c r="AD1298" s="7"/>
      <c r="AE1298" s="7"/>
      <c r="AF1298" s="7"/>
      <c r="AG1298" s="7"/>
      <c r="AH1298" s="7"/>
      <c r="AI1298" s="7"/>
      <c r="AJ1298" s="7"/>
      <c r="AK1298" s="7"/>
      <c r="AL1298" s="7"/>
      <c r="AM1298" s="7"/>
      <c r="AN1298" s="7"/>
      <c r="AO1298" s="7"/>
      <c r="AP1298" s="7"/>
      <c r="AQ1298" s="7"/>
      <c r="AR1298" s="7"/>
      <c r="AS1298" s="7"/>
      <c r="AT1298" s="7"/>
      <c r="AU1298" s="7"/>
      <c r="AV1298" s="7"/>
      <c r="AW1298" s="7"/>
      <c r="AX1298" s="7"/>
      <c r="AY1298" s="7"/>
      <c r="AZ1298" s="7"/>
      <c r="BA1298" s="7"/>
      <c r="BB1298" s="7"/>
      <c r="BC1298" s="7"/>
      <c r="BD1298" s="7"/>
      <c r="BE1298" s="7"/>
      <c r="BF1298" s="7"/>
      <c r="BG1298" s="7"/>
      <c r="BH1298" s="7"/>
      <c r="BI1298" s="7"/>
      <c r="BJ1298" s="7"/>
      <c r="BK1298" s="7"/>
      <c r="BL1298" s="7"/>
      <c r="BM1298" s="7"/>
      <c r="BN1298" s="7"/>
      <c r="BO1298" s="7"/>
      <c r="BP1298" s="7"/>
      <c r="BQ1298" s="7"/>
      <c r="BR1298" s="7"/>
      <c r="BS1298" s="7"/>
      <c r="BT1298" s="7"/>
      <c r="BU1298" s="7"/>
      <c r="BV1298" s="7"/>
      <c r="BW1298" s="7"/>
      <c r="BX1298" s="7"/>
      <c r="BY1298" s="7"/>
      <c r="BZ1298" s="41"/>
      <c r="CA1298" s="7"/>
      <c r="CB1298" s="7"/>
      <c r="CC1298" s="7"/>
      <c r="CD1298" s="7"/>
      <c r="CE1298" s="7"/>
      <c r="CF1298" s="7"/>
    </row>
    <row r="1299">
      <c r="A1299" s="7"/>
      <c r="B1299" s="55"/>
      <c r="C1299" s="7"/>
      <c r="D1299" s="7"/>
      <c r="E1299" s="7"/>
      <c r="F1299" s="7"/>
      <c r="G1299" s="55"/>
      <c r="H1299" s="7"/>
      <c r="I1299" s="7"/>
      <c r="J1299" s="7"/>
      <c r="K1299" s="7"/>
      <c r="L1299" s="7"/>
      <c r="M1299" s="7"/>
      <c r="N1299" s="7"/>
      <c r="O1299" s="7"/>
      <c r="P1299" s="7"/>
      <c r="Q1299" s="55"/>
      <c r="R1299" s="7"/>
      <c r="S1299" s="7"/>
      <c r="T1299" s="7"/>
      <c r="U1299" s="7"/>
      <c r="V1299" s="7"/>
      <c r="W1299" s="7"/>
      <c r="X1299" s="7"/>
      <c r="Y1299" s="7"/>
      <c r="Z1299" s="7"/>
      <c r="AA1299" s="7"/>
      <c r="AB1299" s="7"/>
      <c r="AC1299" s="7"/>
      <c r="AD1299" s="7"/>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c r="BL1299" s="7"/>
      <c r="BM1299" s="7"/>
      <c r="BN1299" s="7"/>
      <c r="BO1299" s="7"/>
      <c r="BP1299" s="7"/>
      <c r="BQ1299" s="7"/>
      <c r="BR1299" s="7"/>
      <c r="BS1299" s="7"/>
      <c r="BT1299" s="7"/>
      <c r="BU1299" s="7"/>
      <c r="BV1299" s="7"/>
      <c r="BW1299" s="7"/>
      <c r="BX1299" s="7"/>
      <c r="BY1299" s="7"/>
      <c r="BZ1299" s="41"/>
      <c r="CA1299" s="7"/>
      <c r="CB1299" s="7"/>
      <c r="CC1299" s="7"/>
      <c r="CD1299" s="7"/>
      <c r="CE1299" s="7"/>
      <c r="CF1299" s="7"/>
    </row>
    <row r="1300">
      <c r="A1300" s="7"/>
      <c r="B1300" s="55"/>
      <c r="C1300" s="7"/>
      <c r="D1300" s="7"/>
      <c r="E1300" s="7"/>
      <c r="F1300" s="7"/>
      <c r="G1300" s="55"/>
      <c r="H1300" s="7"/>
      <c r="I1300" s="7"/>
      <c r="J1300" s="7"/>
      <c r="K1300" s="7"/>
      <c r="L1300" s="7"/>
      <c r="M1300" s="7"/>
      <c r="N1300" s="7"/>
      <c r="O1300" s="7"/>
      <c r="P1300" s="7"/>
      <c r="Q1300" s="55"/>
      <c r="R1300" s="7"/>
      <c r="S1300" s="7"/>
      <c r="T1300" s="7"/>
      <c r="U1300" s="7"/>
      <c r="V1300" s="7"/>
      <c r="W1300" s="7"/>
      <c r="X1300" s="7"/>
      <c r="Y1300" s="7"/>
      <c r="Z1300" s="7"/>
      <c r="AA1300" s="7"/>
      <c r="AB1300" s="7"/>
      <c r="AC1300" s="7"/>
      <c r="AD1300" s="7"/>
      <c r="AE1300" s="7"/>
      <c r="AF1300" s="7"/>
      <c r="AG1300" s="7"/>
      <c r="AH1300" s="7"/>
      <c r="AI1300" s="7"/>
      <c r="AJ1300" s="7"/>
      <c r="AK1300" s="7"/>
      <c r="AL1300" s="7"/>
      <c r="AM1300" s="7"/>
      <c r="AN1300" s="7"/>
      <c r="AO1300" s="7"/>
      <c r="AP1300" s="7"/>
      <c r="AQ1300" s="7"/>
      <c r="AR1300" s="7"/>
      <c r="AS1300" s="7"/>
      <c r="AT1300" s="7"/>
      <c r="AU1300" s="7"/>
      <c r="AV1300" s="7"/>
      <c r="AW1300" s="7"/>
      <c r="AX1300" s="7"/>
      <c r="AY1300" s="7"/>
      <c r="AZ1300" s="7"/>
      <c r="BA1300" s="7"/>
      <c r="BB1300" s="7"/>
      <c r="BC1300" s="7"/>
      <c r="BD1300" s="7"/>
      <c r="BE1300" s="7"/>
      <c r="BF1300" s="7"/>
      <c r="BG1300" s="7"/>
      <c r="BH1300" s="7"/>
      <c r="BI1300" s="7"/>
      <c r="BJ1300" s="7"/>
      <c r="BK1300" s="7"/>
      <c r="BL1300" s="7"/>
      <c r="BM1300" s="7"/>
      <c r="BN1300" s="7"/>
      <c r="BO1300" s="7"/>
      <c r="BP1300" s="7"/>
      <c r="BQ1300" s="7"/>
      <c r="BR1300" s="7"/>
      <c r="BS1300" s="7"/>
      <c r="BT1300" s="7"/>
      <c r="BU1300" s="7"/>
      <c r="BV1300" s="7"/>
      <c r="BW1300" s="7"/>
      <c r="BX1300" s="7"/>
      <c r="BY1300" s="7"/>
      <c r="BZ1300" s="41"/>
      <c r="CA1300" s="7"/>
      <c r="CB1300" s="7"/>
      <c r="CC1300" s="7"/>
      <c r="CD1300" s="7"/>
      <c r="CE1300" s="7"/>
      <c r="CF1300" s="7"/>
    </row>
    <row r="1301">
      <c r="A1301" s="7"/>
      <c r="B1301" s="55"/>
      <c r="C1301" s="7"/>
      <c r="D1301" s="7"/>
      <c r="E1301" s="7"/>
      <c r="F1301" s="7"/>
      <c r="G1301" s="55"/>
      <c r="H1301" s="7"/>
      <c r="I1301" s="7"/>
      <c r="J1301" s="7"/>
      <c r="K1301" s="7"/>
      <c r="L1301" s="7"/>
      <c r="M1301" s="7"/>
      <c r="N1301" s="7"/>
      <c r="O1301" s="7"/>
      <c r="P1301" s="7"/>
      <c r="Q1301" s="55"/>
      <c r="R1301" s="7"/>
      <c r="S1301" s="7"/>
      <c r="T1301" s="7"/>
      <c r="U1301" s="7"/>
      <c r="V1301" s="7"/>
      <c r="W1301" s="7"/>
      <c r="X1301" s="7"/>
      <c r="Y1301" s="7"/>
      <c r="Z1301" s="7"/>
      <c r="AA1301" s="7"/>
      <c r="AB1301" s="7"/>
      <c r="AC1301" s="7"/>
      <c r="AD1301" s="7"/>
      <c r="AE1301" s="7"/>
      <c r="AF1301" s="7"/>
      <c r="AG1301" s="7"/>
      <c r="AH1301" s="7"/>
      <c r="AI1301" s="7"/>
      <c r="AJ1301" s="7"/>
      <c r="AK1301" s="7"/>
      <c r="AL1301" s="7"/>
      <c r="AM1301" s="7"/>
      <c r="AN1301" s="7"/>
      <c r="AO1301" s="7"/>
      <c r="AP1301" s="7"/>
      <c r="AQ1301" s="7"/>
      <c r="AR1301" s="7"/>
      <c r="AS1301" s="7"/>
      <c r="AT1301" s="7"/>
      <c r="AU1301" s="7"/>
      <c r="AV1301" s="7"/>
      <c r="AW1301" s="7"/>
      <c r="AX1301" s="7"/>
      <c r="AY1301" s="7"/>
      <c r="AZ1301" s="7"/>
      <c r="BA1301" s="7"/>
      <c r="BB1301" s="7"/>
      <c r="BC1301" s="7"/>
      <c r="BD1301" s="7"/>
      <c r="BE1301" s="7"/>
      <c r="BF1301" s="7"/>
      <c r="BG1301" s="7"/>
      <c r="BH1301" s="7"/>
      <c r="BI1301" s="7"/>
      <c r="BJ1301" s="7"/>
      <c r="BK1301" s="7"/>
      <c r="BL1301" s="7"/>
      <c r="BM1301" s="7"/>
      <c r="BN1301" s="7"/>
      <c r="BO1301" s="7"/>
      <c r="BP1301" s="7"/>
      <c r="BQ1301" s="7"/>
      <c r="BR1301" s="7"/>
      <c r="BS1301" s="7"/>
      <c r="BT1301" s="7"/>
      <c r="BU1301" s="7"/>
      <c r="BV1301" s="7"/>
      <c r="BW1301" s="7"/>
      <c r="BX1301" s="7"/>
      <c r="BY1301" s="7"/>
      <c r="BZ1301" s="41"/>
      <c r="CA1301" s="7"/>
      <c r="CB1301" s="7"/>
      <c r="CC1301" s="7"/>
      <c r="CD1301" s="7"/>
      <c r="CE1301" s="7"/>
      <c r="CF1301" s="7"/>
    </row>
    <row r="1302">
      <c r="A1302" s="7"/>
      <c r="B1302" s="55"/>
      <c r="C1302" s="7"/>
      <c r="D1302" s="7"/>
      <c r="E1302" s="7"/>
      <c r="F1302" s="7"/>
      <c r="G1302" s="55"/>
      <c r="H1302" s="7"/>
      <c r="I1302" s="7"/>
      <c r="J1302" s="7"/>
      <c r="K1302" s="7"/>
      <c r="L1302" s="7"/>
      <c r="M1302" s="7"/>
      <c r="N1302" s="7"/>
      <c r="O1302" s="7"/>
      <c r="P1302" s="7"/>
      <c r="Q1302" s="55"/>
      <c r="R1302" s="7"/>
      <c r="S1302" s="7"/>
      <c r="T1302" s="7"/>
      <c r="U1302" s="7"/>
      <c r="V1302" s="7"/>
      <c r="W1302" s="7"/>
      <c r="X1302" s="7"/>
      <c r="Y1302" s="7"/>
      <c r="Z1302" s="7"/>
      <c r="AA1302" s="7"/>
      <c r="AB1302" s="7"/>
      <c r="AC1302" s="7"/>
      <c r="AD1302" s="7"/>
      <c r="AE1302" s="7"/>
      <c r="AF1302" s="7"/>
      <c r="AG1302" s="7"/>
      <c r="AH1302" s="7"/>
      <c r="AI1302" s="7"/>
      <c r="AJ1302" s="7"/>
      <c r="AK1302" s="7"/>
      <c r="AL1302" s="7"/>
      <c r="AM1302" s="7"/>
      <c r="AN1302" s="7"/>
      <c r="AO1302" s="7"/>
      <c r="AP1302" s="7"/>
      <c r="AQ1302" s="7"/>
      <c r="AR1302" s="7"/>
      <c r="AS1302" s="7"/>
      <c r="AT1302" s="7"/>
      <c r="AU1302" s="7"/>
      <c r="AV1302" s="7"/>
      <c r="AW1302" s="7"/>
      <c r="AX1302" s="7"/>
      <c r="AY1302" s="7"/>
      <c r="AZ1302" s="7"/>
      <c r="BA1302" s="7"/>
      <c r="BB1302" s="7"/>
      <c r="BC1302" s="7"/>
      <c r="BD1302" s="7"/>
      <c r="BE1302" s="7"/>
      <c r="BF1302" s="7"/>
      <c r="BG1302" s="7"/>
      <c r="BH1302" s="7"/>
      <c r="BI1302" s="7"/>
      <c r="BJ1302" s="7"/>
      <c r="BK1302" s="7"/>
      <c r="BL1302" s="7"/>
      <c r="BM1302" s="7"/>
      <c r="BN1302" s="7"/>
      <c r="BO1302" s="7"/>
      <c r="BP1302" s="7"/>
      <c r="BQ1302" s="7"/>
      <c r="BR1302" s="7"/>
      <c r="BS1302" s="7"/>
      <c r="BT1302" s="7"/>
      <c r="BU1302" s="7"/>
      <c r="BV1302" s="7"/>
      <c r="BW1302" s="7"/>
      <c r="BX1302" s="7"/>
      <c r="BY1302" s="7"/>
      <c r="BZ1302" s="41"/>
      <c r="CA1302" s="7"/>
      <c r="CB1302" s="7"/>
      <c r="CC1302" s="7"/>
      <c r="CD1302" s="7"/>
      <c r="CE1302" s="7"/>
      <c r="CF1302" s="7"/>
    </row>
    <row r="1303">
      <c r="A1303" s="7"/>
      <c r="B1303" s="55"/>
      <c r="C1303" s="7"/>
      <c r="D1303" s="7"/>
      <c r="E1303" s="7"/>
      <c r="F1303" s="7"/>
      <c r="G1303" s="55"/>
      <c r="H1303" s="7"/>
      <c r="I1303" s="7"/>
      <c r="J1303" s="7"/>
      <c r="K1303" s="7"/>
      <c r="L1303" s="7"/>
      <c r="M1303" s="7"/>
      <c r="N1303" s="7"/>
      <c r="O1303" s="7"/>
      <c r="P1303" s="7"/>
      <c r="Q1303" s="55"/>
      <c r="R1303" s="7"/>
      <c r="S1303" s="7"/>
      <c r="T1303" s="7"/>
      <c r="U1303" s="7"/>
      <c r="V1303" s="7"/>
      <c r="W1303" s="7"/>
      <c r="X1303" s="7"/>
      <c r="Y1303" s="7"/>
      <c r="Z1303" s="7"/>
      <c r="AA1303" s="7"/>
      <c r="AB1303" s="7"/>
      <c r="AC1303" s="7"/>
      <c r="AD1303" s="7"/>
      <c r="AE1303" s="7"/>
      <c r="AF1303" s="7"/>
      <c r="AG1303" s="7"/>
      <c r="AH1303" s="7"/>
      <c r="AI1303" s="7"/>
      <c r="AJ1303" s="7"/>
      <c r="AK1303" s="7"/>
      <c r="AL1303" s="7"/>
      <c r="AM1303" s="7"/>
      <c r="AN1303" s="7"/>
      <c r="AO1303" s="7"/>
      <c r="AP1303" s="7"/>
      <c r="AQ1303" s="7"/>
      <c r="AR1303" s="7"/>
      <c r="AS1303" s="7"/>
      <c r="AT1303" s="7"/>
      <c r="AU1303" s="7"/>
      <c r="AV1303" s="7"/>
      <c r="AW1303" s="7"/>
      <c r="AX1303" s="7"/>
      <c r="AY1303" s="7"/>
      <c r="AZ1303" s="7"/>
      <c r="BA1303" s="7"/>
      <c r="BB1303" s="7"/>
      <c r="BC1303" s="7"/>
      <c r="BD1303" s="7"/>
      <c r="BE1303" s="7"/>
      <c r="BF1303" s="7"/>
      <c r="BG1303" s="7"/>
      <c r="BH1303" s="7"/>
      <c r="BI1303" s="7"/>
      <c r="BJ1303" s="7"/>
      <c r="BK1303" s="7"/>
      <c r="BL1303" s="7"/>
      <c r="BM1303" s="7"/>
      <c r="BN1303" s="7"/>
      <c r="BO1303" s="7"/>
      <c r="BP1303" s="7"/>
      <c r="BQ1303" s="7"/>
      <c r="BR1303" s="7"/>
      <c r="BS1303" s="7"/>
      <c r="BT1303" s="7"/>
      <c r="BU1303" s="7"/>
      <c r="BV1303" s="7"/>
      <c r="BW1303" s="7"/>
      <c r="BX1303" s="7"/>
      <c r="BY1303" s="7"/>
      <c r="BZ1303" s="41"/>
      <c r="CA1303" s="7"/>
      <c r="CB1303" s="7"/>
      <c r="CC1303" s="7"/>
      <c r="CD1303" s="7"/>
      <c r="CE1303" s="7"/>
      <c r="CF1303" s="7"/>
    </row>
    <row r="1304">
      <c r="A1304" s="7"/>
      <c r="B1304" s="55"/>
      <c r="C1304" s="7"/>
      <c r="D1304" s="7"/>
      <c r="E1304" s="7"/>
      <c r="F1304" s="7"/>
      <c r="G1304" s="55"/>
      <c r="H1304" s="7"/>
      <c r="I1304" s="7"/>
      <c r="J1304" s="7"/>
      <c r="K1304" s="7"/>
      <c r="L1304" s="7"/>
      <c r="M1304" s="7"/>
      <c r="N1304" s="7"/>
      <c r="O1304" s="7"/>
      <c r="P1304" s="7"/>
      <c r="Q1304" s="55"/>
      <c r="R1304" s="7"/>
      <c r="S1304" s="7"/>
      <c r="T1304" s="7"/>
      <c r="U1304" s="7"/>
      <c r="V1304" s="7"/>
      <c r="W1304" s="7"/>
      <c r="X1304" s="7"/>
      <c r="Y1304" s="7"/>
      <c r="Z1304" s="7"/>
      <c r="AA1304" s="7"/>
      <c r="AB1304" s="7"/>
      <c r="AC1304" s="7"/>
      <c r="AD1304" s="7"/>
      <c r="AE1304" s="7"/>
      <c r="AF1304" s="7"/>
      <c r="AG1304" s="7"/>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c r="BL1304" s="7"/>
      <c r="BM1304" s="7"/>
      <c r="BN1304" s="7"/>
      <c r="BO1304" s="7"/>
      <c r="BP1304" s="7"/>
      <c r="BQ1304" s="7"/>
      <c r="BR1304" s="7"/>
      <c r="BS1304" s="7"/>
      <c r="BT1304" s="7"/>
      <c r="BU1304" s="7"/>
      <c r="BV1304" s="7"/>
      <c r="BW1304" s="7"/>
      <c r="BX1304" s="7"/>
      <c r="BY1304" s="7"/>
      <c r="BZ1304" s="41"/>
      <c r="CA1304" s="7"/>
      <c r="CB1304" s="7"/>
      <c r="CC1304" s="7"/>
      <c r="CD1304" s="7"/>
      <c r="CE1304" s="7"/>
      <c r="CF1304" s="7"/>
    </row>
    <row r="1305">
      <c r="A1305" s="7"/>
      <c r="B1305" s="55"/>
      <c r="C1305" s="7"/>
      <c r="D1305" s="7"/>
      <c r="E1305" s="7"/>
      <c r="F1305" s="7"/>
      <c r="G1305" s="55"/>
      <c r="H1305" s="7"/>
      <c r="I1305" s="7"/>
      <c r="J1305" s="7"/>
      <c r="K1305" s="7"/>
      <c r="L1305" s="7"/>
      <c r="M1305" s="7"/>
      <c r="N1305" s="7"/>
      <c r="O1305" s="7"/>
      <c r="P1305" s="7"/>
      <c r="Q1305" s="55"/>
      <c r="R1305" s="7"/>
      <c r="S1305" s="7"/>
      <c r="T1305" s="7"/>
      <c r="U1305" s="7"/>
      <c r="V1305" s="7"/>
      <c r="W1305" s="7"/>
      <c r="X1305" s="7"/>
      <c r="Y1305" s="7"/>
      <c r="Z1305" s="7"/>
      <c r="AA1305" s="7"/>
      <c r="AB1305" s="7"/>
      <c r="AC1305" s="7"/>
      <c r="AD1305" s="7"/>
      <c r="AE1305" s="7"/>
      <c r="AF1305" s="7"/>
      <c r="AG1305" s="7"/>
      <c r="AH1305" s="7"/>
      <c r="AI1305" s="7"/>
      <c r="AJ1305" s="7"/>
      <c r="AK1305" s="7"/>
      <c r="AL1305" s="7"/>
      <c r="AM1305" s="7"/>
      <c r="AN1305" s="7"/>
      <c r="AO1305" s="7"/>
      <c r="AP1305" s="7"/>
      <c r="AQ1305" s="7"/>
      <c r="AR1305" s="7"/>
      <c r="AS1305" s="7"/>
      <c r="AT1305" s="7"/>
      <c r="AU1305" s="7"/>
      <c r="AV1305" s="7"/>
      <c r="AW1305" s="7"/>
      <c r="AX1305" s="7"/>
      <c r="AY1305" s="7"/>
      <c r="AZ1305" s="7"/>
      <c r="BA1305" s="7"/>
      <c r="BB1305" s="7"/>
      <c r="BC1305" s="7"/>
      <c r="BD1305" s="7"/>
      <c r="BE1305" s="7"/>
      <c r="BF1305" s="7"/>
      <c r="BG1305" s="7"/>
      <c r="BH1305" s="7"/>
      <c r="BI1305" s="7"/>
      <c r="BJ1305" s="7"/>
      <c r="BK1305" s="7"/>
      <c r="BL1305" s="7"/>
      <c r="BM1305" s="7"/>
      <c r="BN1305" s="7"/>
      <c r="BO1305" s="7"/>
      <c r="BP1305" s="7"/>
      <c r="BQ1305" s="7"/>
      <c r="BR1305" s="7"/>
      <c r="BS1305" s="7"/>
      <c r="BT1305" s="7"/>
      <c r="BU1305" s="7"/>
      <c r="BV1305" s="7"/>
      <c r="BW1305" s="7"/>
      <c r="BX1305" s="7"/>
      <c r="BY1305" s="7"/>
      <c r="BZ1305" s="41"/>
      <c r="CA1305" s="7"/>
      <c r="CB1305" s="7"/>
      <c r="CC1305" s="7"/>
      <c r="CD1305" s="7"/>
      <c r="CE1305" s="7"/>
      <c r="CF1305" s="7"/>
    </row>
    <row r="1306">
      <c r="A1306" s="7"/>
      <c r="B1306" s="55"/>
      <c r="C1306" s="7"/>
      <c r="D1306" s="7"/>
      <c r="E1306" s="7"/>
      <c r="F1306" s="7"/>
      <c r="G1306" s="55"/>
      <c r="H1306" s="7"/>
      <c r="I1306" s="7"/>
      <c r="J1306" s="7"/>
      <c r="K1306" s="7"/>
      <c r="L1306" s="7"/>
      <c r="M1306" s="7"/>
      <c r="N1306" s="7"/>
      <c r="O1306" s="7"/>
      <c r="P1306" s="7"/>
      <c r="Q1306" s="55"/>
      <c r="R1306" s="7"/>
      <c r="S1306" s="7"/>
      <c r="T1306" s="7"/>
      <c r="U1306" s="7"/>
      <c r="V1306" s="7"/>
      <c r="W1306" s="7"/>
      <c r="X1306" s="7"/>
      <c r="Y1306" s="7"/>
      <c r="Z1306" s="7"/>
      <c r="AA1306" s="7"/>
      <c r="AB1306" s="7"/>
      <c r="AC1306" s="7"/>
      <c r="AD1306" s="7"/>
      <c r="AE1306" s="7"/>
      <c r="AF1306" s="7"/>
      <c r="AG1306" s="7"/>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c r="BE1306" s="7"/>
      <c r="BF1306" s="7"/>
      <c r="BG1306" s="7"/>
      <c r="BH1306" s="7"/>
      <c r="BI1306" s="7"/>
      <c r="BJ1306" s="7"/>
      <c r="BK1306" s="7"/>
      <c r="BL1306" s="7"/>
      <c r="BM1306" s="7"/>
      <c r="BN1306" s="7"/>
      <c r="BO1306" s="7"/>
      <c r="BP1306" s="7"/>
      <c r="BQ1306" s="7"/>
      <c r="BR1306" s="7"/>
      <c r="BS1306" s="7"/>
      <c r="BT1306" s="7"/>
      <c r="BU1306" s="7"/>
      <c r="BV1306" s="7"/>
      <c r="BW1306" s="7"/>
      <c r="BX1306" s="7"/>
      <c r="BY1306" s="7"/>
      <c r="BZ1306" s="41"/>
      <c r="CA1306" s="7"/>
      <c r="CB1306" s="7"/>
      <c r="CC1306" s="7"/>
      <c r="CD1306" s="7"/>
      <c r="CE1306" s="7"/>
      <c r="CF1306" s="7"/>
    </row>
    <row r="1307">
      <c r="A1307" s="7"/>
      <c r="B1307" s="55"/>
      <c r="C1307" s="7"/>
      <c r="D1307" s="7"/>
      <c r="E1307" s="7"/>
      <c r="F1307" s="7"/>
      <c r="G1307" s="55"/>
      <c r="H1307" s="7"/>
      <c r="I1307" s="7"/>
      <c r="J1307" s="7"/>
      <c r="K1307" s="7"/>
      <c r="L1307" s="7"/>
      <c r="M1307" s="7"/>
      <c r="N1307" s="7"/>
      <c r="O1307" s="7"/>
      <c r="P1307" s="7"/>
      <c r="Q1307" s="55"/>
      <c r="R1307" s="7"/>
      <c r="S1307" s="7"/>
      <c r="T1307" s="7"/>
      <c r="U1307" s="7"/>
      <c r="V1307" s="7"/>
      <c r="W1307" s="7"/>
      <c r="X1307" s="7"/>
      <c r="Y1307" s="7"/>
      <c r="Z1307" s="7"/>
      <c r="AA1307" s="7"/>
      <c r="AB1307" s="7"/>
      <c r="AC1307" s="7"/>
      <c r="AD1307" s="7"/>
      <c r="AE1307" s="7"/>
      <c r="AF1307" s="7"/>
      <c r="AG1307" s="7"/>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c r="BL1307" s="7"/>
      <c r="BM1307" s="7"/>
      <c r="BN1307" s="7"/>
      <c r="BO1307" s="7"/>
      <c r="BP1307" s="7"/>
      <c r="BQ1307" s="7"/>
      <c r="BR1307" s="7"/>
      <c r="BS1307" s="7"/>
      <c r="BT1307" s="7"/>
      <c r="BU1307" s="7"/>
      <c r="BV1307" s="7"/>
      <c r="BW1307" s="7"/>
      <c r="BX1307" s="7"/>
      <c r="BY1307" s="7"/>
      <c r="BZ1307" s="41"/>
      <c r="CA1307" s="7"/>
      <c r="CB1307" s="7"/>
      <c r="CC1307" s="7"/>
      <c r="CD1307" s="7"/>
      <c r="CE1307" s="7"/>
      <c r="CF1307" s="7"/>
    </row>
    <row r="1308">
      <c r="A1308" s="7"/>
      <c r="B1308" s="55"/>
      <c r="C1308" s="7"/>
      <c r="D1308" s="7"/>
      <c r="E1308" s="7"/>
      <c r="F1308" s="7"/>
      <c r="G1308" s="55"/>
      <c r="H1308" s="7"/>
      <c r="I1308" s="7"/>
      <c r="J1308" s="7"/>
      <c r="K1308" s="7"/>
      <c r="L1308" s="7"/>
      <c r="M1308" s="7"/>
      <c r="N1308" s="7"/>
      <c r="O1308" s="7"/>
      <c r="P1308" s="7"/>
      <c r="Q1308" s="55"/>
      <c r="R1308" s="7"/>
      <c r="S1308" s="7"/>
      <c r="T1308" s="7"/>
      <c r="U1308" s="7"/>
      <c r="V1308" s="7"/>
      <c r="W1308" s="7"/>
      <c r="X1308" s="7"/>
      <c r="Y1308" s="7"/>
      <c r="Z1308" s="7"/>
      <c r="AA1308" s="7"/>
      <c r="AB1308" s="7"/>
      <c r="AC1308" s="7"/>
      <c r="AD1308" s="7"/>
      <c r="AE1308" s="7"/>
      <c r="AF1308" s="7"/>
      <c r="AG1308" s="7"/>
      <c r="AH1308" s="7"/>
      <c r="AI1308" s="7"/>
      <c r="AJ1308" s="7"/>
      <c r="AK1308" s="7"/>
      <c r="AL1308" s="7"/>
      <c r="AM1308" s="7"/>
      <c r="AN1308" s="7"/>
      <c r="AO1308" s="7"/>
      <c r="AP1308" s="7"/>
      <c r="AQ1308" s="7"/>
      <c r="AR1308" s="7"/>
      <c r="AS1308" s="7"/>
      <c r="AT1308" s="7"/>
      <c r="AU1308" s="7"/>
      <c r="AV1308" s="7"/>
      <c r="AW1308" s="7"/>
      <c r="AX1308" s="7"/>
      <c r="AY1308" s="7"/>
      <c r="AZ1308" s="7"/>
      <c r="BA1308" s="7"/>
      <c r="BB1308" s="7"/>
      <c r="BC1308" s="7"/>
      <c r="BD1308" s="7"/>
      <c r="BE1308" s="7"/>
      <c r="BF1308" s="7"/>
      <c r="BG1308" s="7"/>
      <c r="BH1308" s="7"/>
      <c r="BI1308" s="7"/>
      <c r="BJ1308" s="7"/>
      <c r="BK1308" s="7"/>
      <c r="BL1308" s="7"/>
      <c r="BM1308" s="7"/>
      <c r="BN1308" s="7"/>
      <c r="BO1308" s="7"/>
      <c r="BP1308" s="7"/>
      <c r="BQ1308" s="7"/>
      <c r="BR1308" s="7"/>
      <c r="BS1308" s="7"/>
      <c r="BT1308" s="7"/>
      <c r="BU1308" s="7"/>
      <c r="BV1308" s="7"/>
      <c r="BW1308" s="7"/>
      <c r="BX1308" s="7"/>
      <c r="BY1308" s="7"/>
      <c r="BZ1308" s="41"/>
      <c r="CA1308" s="7"/>
      <c r="CB1308" s="7"/>
      <c r="CC1308" s="7"/>
      <c r="CD1308" s="7"/>
      <c r="CE1308" s="7"/>
      <c r="CF1308" s="7"/>
    </row>
    <row r="1309">
      <c r="A1309" s="7"/>
      <c r="B1309" s="55"/>
      <c r="C1309" s="7"/>
      <c r="D1309" s="7"/>
      <c r="E1309" s="7"/>
      <c r="F1309" s="7"/>
      <c r="G1309" s="55"/>
      <c r="H1309" s="7"/>
      <c r="I1309" s="7"/>
      <c r="J1309" s="7"/>
      <c r="K1309" s="7"/>
      <c r="L1309" s="7"/>
      <c r="M1309" s="7"/>
      <c r="N1309" s="7"/>
      <c r="O1309" s="7"/>
      <c r="P1309" s="7"/>
      <c r="Q1309" s="55"/>
      <c r="R1309" s="7"/>
      <c r="S1309" s="7"/>
      <c r="T1309" s="7"/>
      <c r="U1309" s="7"/>
      <c r="V1309" s="7"/>
      <c r="W1309" s="7"/>
      <c r="X1309" s="7"/>
      <c r="Y1309" s="7"/>
      <c r="Z1309" s="7"/>
      <c r="AA1309" s="7"/>
      <c r="AB1309" s="7"/>
      <c r="AC1309" s="7"/>
      <c r="AD1309" s="7"/>
      <c r="AE1309" s="7"/>
      <c r="AF1309" s="7"/>
      <c r="AG1309" s="7"/>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c r="BL1309" s="7"/>
      <c r="BM1309" s="7"/>
      <c r="BN1309" s="7"/>
      <c r="BO1309" s="7"/>
      <c r="BP1309" s="7"/>
      <c r="BQ1309" s="7"/>
      <c r="BR1309" s="7"/>
      <c r="BS1309" s="7"/>
      <c r="BT1309" s="7"/>
      <c r="BU1309" s="7"/>
      <c r="BV1309" s="7"/>
      <c r="BW1309" s="7"/>
      <c r="BX1309" s="7"/>
      <c r="BY1309" s="7"/>
      <c r="BZ1309" s="41"/>
      <c r="CA1309" s="7"/>
      <c r="CB1309" s="7"/>
      <c r="CC1309" s="7"/>
      <c r="CD1309" s="7"/>
      <c r="CE1309" s="7"/>
      <c r="CF1309" s="7"/>
    </row>
    <row r="1310">
      <c r="A1310" s="7"/>
      <c r="B1310" s="55"/>
      <c r="C1310" s="7"/>
      <c r="D1310" s="7"/>
      <c r="E1310" s="7"/>
      <c r="F1310" s="7"/>
      <c r="G1310" s="55"/>
      <c r="H1310" s="7"/>
      <c r="I1310" s="7"/>
      <c r="J1310" s="7"/>
      <c r="K1310" s="7"/>
      <c r="L1310" s="7"/>
      <c r="M1310" s="7"/>
      <c r="N1310" s="7"/>
      <c r="O1310" s="7"/>
      <c r="P1310" s="7"/>
      <c r="Q1310" s="55"/>
      <c r="R1310" s="7"/>
      <c r="S1310" s="7"/>
      <c r="T1310" s="7"/>
      <c r="U1310" s="7"/>
      <c r="V1310" s="7"/>
      <c r="W1310" s="7"/>
      <c r="X1310" s="7"/>
      <c r="Y1310" s="7"/>
      <c r="Z1310" s="7"/>
      <c r="AA1310" s="7"/>
      <c r="AB1310" s="7"/>
      <c r="AC1310" s="7"/>
      <c r="AD1310" s="7"/>
      <c r="AE1310" s="7"/>
      <c r="AF1310" s="7"/>
      <c r="AG1310" s="7"/>
      <c r="AH1310" s="7"/>
      <c r="AI1310" s="7"/>
      <c r="AJ1310" s="7"/>
      <c r="AK1310" s="7"/>
      <c r="AL1310" s="7"/>
      <c r="AM1310" s="7"/>
      <c r="AN1310" s="7"/>
      <c r="AO1310" s="7"/>
      <c r="AP1310" s="7"/>
      <c r="AQ1310" s="7"/>
      <c r="AR1310" s="7"/>
      <c r="AS1310" s="7"/>
      <c r="AT1310" s="7"/>
      <c r="AU1310" s="7"/>
      <c r="AV1310" s="7"/>
      <c r="AW1310" s="7"/>
      <c r="AX1310" s="7"/>
      <c r="AY1310" s="7"/>
      <c r="AZ1310" s="7"/>
      <c r="BA1310" s="7"/>
      <c r="BB1310" s="7"/>
      <c r="BC1310" s="7"/>
      <c r="BD1310" s="7"/>
      <c r="BE1310" s="7"/>
      <c r="BF1310" s="7"/>
      <c r="BG1310" s="7"/>
      <c r="BH1310" s="7"/>
      <c r="BI1310" s="7"/>
      <c r="BJ1310" s="7"/>
      <c r="BK1310" s="7"/>
      <c r="BL1310" s="7"/>
      <c r="BM1310" s="7"/>
      <c r="BN1310" s="7"/>
      <c r="BO1310" s="7"/>
      <c r="BP1310" s="7"/>
      <c r="BQ1310" s="7"/>
      <c r="BR1310" s="7"/>
      <c r="BS1310" s="7"/>
      <c r="BT1310" s="7"/>
      <c r="BU1310" s="7"/>
      <c r="BV1310" s="7"/>
      <c r="BW1310" s="7"/>
      <c r="BX1310" s="7"/>
      <c r="BY1310" s="7"/>
      <c r="BZ1310" s="41"/>
      <c r="CA1310" s="7"/>
      <c r="CB1310" s="7"/>
      <c r="CC1310" s="7"/>
      <c r="CD1310" s="7"/>
      <c r="CE1310" s="7"/>
      <c r="CF1310" s="7"/>
    </row>
    <row r="1311">
      <c r="A1311" s="7"/>
      <c r="B1311" s="55"/>
      <c r="C1311" s="7"/>
      <c r="D1311" s="7"/>
      <c r="E1311" s="7"/>
      <c r="F1311" s="7"/>
      <c r="G1311" s="55"/>
      <c r="H1311" s="7"/>
      <c r="I1311" s="7"/>
      <c r="J1311" s="7"/>
      <c r="K1311" s="7"/>
      <c r="L1311" s="7"/>
      <c r="M1311" s="7"/>
      <c r="N1311" s="7"/>
      <c r="O1311" s="7"/>
      <c r="P1311" s="7"/>
      <c r="Q1311" s="55"/>
      <c r="R1311" s="7"/>
      <c r="S1311" s="7"/>
      <c r="T1311" s="7"/>
      <c r="U1311" s="7"/>
      <c r="V1311" s="7"/>
      <c r="W1311" s="7"/>
      <c r="X1311" s="7"/>
      <c r="Y1311" s="7"/>
      <c r="Z1311" s="7"/>
      <c r="AA1311" s="7"/>
      <c r="AB1311" s="7"/>
      <c r="AC1311" s="7"/>
      <c r="AD1311" s="7"/>
      <c r="AE1311" s="7"/>
      <c r="AF1311" s="7"/>
      <c r="AG1311" s="7"/>
      <c r="AH1311" s="7"/>
      <c r="AI1311" s="7"/>
      <c r="AJ1311" s="7"/>
      <c r="AK1311" s="7"/>
      <c r="AL1311" s="7"/>
      <c r="AM1311" s="7"/>
      <c r="AN1311" s="7"/>
      <c r="AO1311" s="7"/>
      <c r="AP1311" s="7"/>
      <c r="AQ1311" s="7"/>
      <c r="AR1311" s="7"/>
      <c r="AS1311" s="7"/>
      <c r="AT1311" s="7"/>
      <c r="AU1311" s="7"/>
      <c r="AV1311" s="7"/>
      <c r="AW1311" s="7"/>
      <c r="AX1311" s="7"/>
      <c r="AY1311" s="7"/>
      <c r="AZ1311" s="7"/>
      <c r="BA1311" s="7"/>
      <c r="BB1311" s="7"/>
      <c r="BC1311" s="7"/>
      <c r="BD1311" s="7"/>
      <c r="BE1311" s="7"/>
      <c r="BF1311" s="7"/>
      <c r="BG1311" s="7"/>
      <c r="BH1311" s="7"/>
      <c r="BI1311" s="7"/>
      <c r="BJ1311" s="7"/>
      <c r="BK1311" s="7"/>
      <c r="BL1311" s="7"/>
      <c r="BM1311" s="7"/>
      <c r="BN1311" s="7"/>
      <c r="BO1311" s="7"/>
      <c r="BP1311" s="7"/>
      <c r="BQ1311" s="7"/>
      <c r="BR1311" s="7"/>
      <c r="BS1311" s="7"/>
      <c r="BT1311" s="7"/>
      <c r="BU1311" s="7"/>
      <c r="BV1311" s="7"/>
      <c r="BW1311" s="7"/>
      <c r="BX1311" s="7"/>
      <c r="BY1311" s="7"/>
      <c r="BZ1311" s="41"/>
      <c r="CA1311" s="7"/>
      <c r="CB1311" s="7"/>
      <c r="CC1311" s="7"/>
      <c r="CD1311" s="7"/>
      <c r="CE1311" s="7"/>
      <c r="CF1311" s="7"/>
    </row>
    <row r="1312">
      <c r="A1312" s="7"/>
      <c r="B1312" s="55"/>
      <c r="C1312" s="7"/>
      <c r="D1312" s="7"/>
      <c r="E1312" s="7"/>
      <c r="F1312" s="7"/>
      <c r="G1312" s="55"/>
      <c r="H1312" s="7"/>
      <c r="I1312" s="7"/>
      <c r="J1312" s="7"/>
      <c r="K1312" s="7"/>
      <c r="L1312" s="7"/>
      <c r="M1312" s="7"/>
      <c r="N1312" s="7"/>
      <c r="O1312" s="7"/>
      <c r="P1312" s="7"/>
      <c r="Q1312" s="55"/>
      <c r="R1312" s="7"/>
      <c r="S1312" s="7"/>
      <c r="T1312" s="7"/>
      <c r="U1312" s="7"/>
      <c r="V1312" s="7"/>
      <c r="W1312" s="7"/>
      <c r="X1312" s="7"/>
      <c r="Y1312" s="7"/>
      <c r="Z1312" s="7"/>
      <c r="AA1312" s="7"/>
      <c r="AB1312" s="7"/>
      <c r="AC1312" s="7"/>
      <c r="AD1312" s="7"/>
      <c r="AE1312" s="7"/>
      <c r="AF1312" s="7"/>
      <c r="AG1312" s="7"/>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c r="BL1312" s="7"/>
      <c r="BM1312" s="7"/>
      <c r="BN1312" s="7"/>
      <c r="BO1312" s="7"/>
      <c r="BP1312" s="7"/>
      <c r="BQ1312" s="7"/>
      <c r="BR1312" s="7"/>
      <c r="BS1312" s="7"/>
      <c r="BT1312" s="7"/>
      <c r="BU1312" s="7"/>
      <c r="BV1312" s="7"/>
      <c r="BW1312" s="7"/>
      <c r="BX1312" s="7"/>
      <c r="BY1312" s="7"/>
      <c r="BZ1312" s="41"/>
      <c r="CA1312" s="7"/>
      <c r="CB1312" s="7"/>
      <c r="CC1312" s="7"/>
      <c r="CD1312" s="7"/>
      <c r="CE1312" s="7"/>
      <c r="CF1312" s="7"/>
    </row>
    <row r="1313">
      <c r="A1313" s="7"/>
      <c r="B1313" s="55"/>
      <c r="C1313" s="7"/>
      <c r="D1313" s="7"/>
      <c r="E1313" s="7"/>
      <c r="F1313" s="7"/>
      <c r="G1313" s="55"/>
      <c r="H1313" s="7"/>
      <c r="I1313" s="7"/>
      <c r="J1313" s="7"/>
      <c r="K1313" s="7"/>
      <c r="L1313" s="7"/>
      <c r="M1313" s="7"/>
      <c r="N1313" s="7"/>
      <c r="O1313" s="7"/>
      <c r="P1313" s="7"/>
      <c r="Q1313" s="55"/>
      <c r="R1313" s="7"/>
      <c r="S1313" s="7"/>
      <c r="T1313" s="7"/>
      <c r="U1313" s="7"/>
      <c r="V1313" s="7"/>
      <c r="W1313" s="7"/>
      <c r="X1313" s="7"/>
      <c r="Y1313" s="7"/>
      <c r="Z1313" s="7"/>
      <c r="AA1313" s="7"/>
      <c r="AB1313" s="7"/>
      <c r="AC1313" s="7"/>
      <c r="AD1313" s="7"/>
      <c r="AE1313" s="7"/>
      <c r="AF1313" s="7"/>
      <c r="AG1313" s="7"/>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c r="BE1313" s="7"/>
      <c r="BF1313" s="7"/>
      <c r="BG1313" s="7"/>
      <c r="BH1313" s="7"/>
      <c r="BI1313" s="7"/>
      <c r="BJ1313" s="7"/>
      <c r="BK1313" s="7"/>
      <c r="BL1313" s="7"/>
      <c r="BM1313" s="7"/>
      <c r="BN1313" s="7"/>
      <c r="BO1313" s="7"/>
      <c r="BP1313" s="7"/>
      <c r="BQ1313" s="7"/>
      <c r="BR1313" s="7"/>
      <c r="BS1313" s="7"/>
      <c r="BT1313" s="7"/>
      <c r="BU1313" s="7"/>
      <c r="BV1313" s="7"/>
      <c r="BW1313" s="7"/>
      <c r="BX1313" s="7"/>
      <c r="BY1313" s="7"/>
      <c r="BZ1313" s="41"/>
      <c r="CA1313" s="7"/>
      <c r="CB1313" s="7"/>
      <c r="CC1313" s="7"/>
      <c r="CD1313" s="7"/>
      <c r="CE1313" s="7"/>
      <c r="CF1313" s="7"/>
    </row>
    <row r="1314">
      <c r="A1314" s="7"/>
      <c r="B1314" s="55"/>
      <c r="C1314" s="7"/>
      <c r="D1314" s="7"/>
      <c r="E1314" s="7"/>
      <c r="F1314" s="7"/>
      <c r="G1314" s="55"/>
      <c r="H1314" s="7"/>
      <c r="I1314" s="7"/>
      <c r="J1314" s="7"/>
      <c r="K1314" s="7"/>
      <c r="L1314" s="7"/>
      <c r="M1314" s="7"/>
      <c r="N1314" s="7"/>
      <c r="O1314" s="7"/>
      <c r="P1314" s="7"/>
      <c r="Q1314" s="55"/>
      <c r="R1314" s="7"/>
      <c r="S1314" s="7"/>
      <c r="T1314" s="7"/>
      <c r="U1314" s="7"/>
      <c r="V1314" s="7"/>
      <c r="W1314" s="7"/>
      <c r="X1314" s="7"/>
      <c r="Y1314" s="7"/>
      <c r="Z1314" s="7"/>
      <c r="AA1314" s="7"/>
      <c r="AB1314" s="7"/>
      <c r="AC1314" s="7"/>
      <c r="AD1314" s="7"/>
      <c r="AE1314" s="7"/>
      <c r="AF1314" s="7"/>
      <c r="AG1314" s="7"/>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c r="BE1314" s="7"/>
      <c r="BF1314" s="7"/>
      <c r="BG1314" s="7"/>
      <c r="BH1314" s="7"/>
      <c r="BI1314" s="7"/>
      <c r="BJ1314" s="7"/>
      <c r="BK1314" s="7"/>
      <c r="BL1314" s="7"/>
      <c r="BM1314" s="7"/>
      <c r="BN1314" s="7"/>
      <c r="BO1314" s="7"/>
      <c r="BP1314" s="7"/>
      <c r="BQ1314" s="7"/>
      <c r="BR1314" s="7"/>
      <c r="BS1314" s="7"/>
      <c r="BT1314" s="7"/>
      <c r="BU1314" s="7"/>
      <c r="BV1314" s="7"/>
      <c r="BW1314" s="7"/>
      <c r="BX1314" s="7"/>
      <c r="BY1314" s="7"/>
      <c r="BZ1314" s="41"/>
      <c r="CA1314" s="7"/>
      <c r="CB1314" s="7"/>
      <c r="CC1314" s="7"/>
      <c r="CD1314" s="7"/>
      <c r="CE1314" s="7"/>
      <c r="CF1314" s="7"/>
    </row>
    <row r="1315">
      <c r="A1315" s="7"/>
      <c r="B1315" s="55"/>
      <c r="C1315" s="7"/>
      <c r="D1315" s="7"/>
      <c r="E1315" s="7"/>
      <c r="F1315" s="7"/>
      <c r="G1315" s="55"/>
      <c r="H1315" s="7"/>
      <c r="I1315" s="7"/>
      <c r="J1315" s="7"/>
      <c r="K1315" s="7"/>
      <c r="L1315" s="7"/>
      <c r="M1315" s="7"/>
      <c r="N1315" s="7"/>
      <c r="O1315" s="7"/>
      <c r="P1315" s="7"/>
      <c r="Q1315" s="55"/>
      <c r="R1315" s="7"/>
      <c r="S1315" s="7"/>
      <c r="T1315" s="7"/>
      <c r="U1315" s="7"/>
      <c r="V1315" s="7"/>
      <c r="W1315" s="7"/>
      <c r="X1315" s="7"/>
      <c r="Y1315" s="7"/>
      <c r="Z1315" s="7"/>
      <c r="AA1315" s="7"/>
      <c r="AB1315" s="7"/>
      <c r="AC1315" s="7"/>
      <c r="AD1315" s="7"/>
      <c r="AE1315" s="7"/>
      <c r="AF1315" s="7"/>
      <c r="AG1315" s="7"/>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c r="BE1315" s="7"/>
      <c r="BF1315" s="7"/>
      <c r="BG1315" s="7"/>
      <c r="BH1315" s="7"/>
      <c r="BI1315" s="7"/>
      <c r="BJ1315" s="7"/>
      <c r="BK1315" s="7"/>
      <c r="BL1315" s="7"/>
      <c r="BM1315" s="7"/>
      <c r="BN1315" s="7"/>
      <c r="BO1315" s="7"/>
      <c r="BP1315" s="7"/>
      <c r="BQ1315" s="7"/>
      <c r="BR1315" s="7"/>
      <c r="BS1315" s="7"/>
      <c r="BT1315" s="7"/>
      <c r="BU1315" s="7"/>
      <c r="BV1315" s="7"/>
      <c r="BW1315" s="7"/>
      <c r="BX1315" s="7"/>
      <c r="BY1315" s="7"/>
      <c r="BZ1315" s="41"/>
      <c r="CA1315" s="7"/>
      <c r="CB1315" s="7"/>
      <c r="CC1315" s="7"/>
      <c r="CD1315" s="7"/>
      <c r="CE1315" s="7"/>
      <c r="CF1315" s="7"/>
    </row>
    <row r="1316">
      <c r="A1316" s="7"/>
      <c r="B1316" s="55"/>
      <c r="C1316" s="7"/>
      <c r="D1316" s="7"/>
      <c r="E1316" s="7"/>
      <c r="F1316" s="7"/>
      <c r="G1316" s="55"/>
      <c r="H1316" s="7"/>
      <c r="I1316" s="7"/>
      <c r="J1316" s="7"/>
      <c r="K1316" s="7"/>
      <c r="L1316" s="7"/>
      <c r="M1316" s="7"/>
      <c r="N1316" s="7"/>
      <c r="O1316" s="7"/>
      <c r="P1316" s="7"/>
      <c r="Q1316" s="55"/>
      <c r="R1316" s="7"/>
      <c r="S1316" s="7"/>
      <c r="T1316" s="7"/>
      <c r="U1316" s="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c r="BL1316" s="7"/>
      <c r="BM1316" s="7"/>
      <c r="BN1316" s="7"/>
      <c r="BO1316" s="7"/>
      <c r="BP1316" s="7"/>
      <c r="BQ1316" s="7"/>
      <c r="BR1316" s="7"/>
      <c r="BS1316" s="7"/>
      <c r="BT1316" s="7"/>
      <c r="BU1316" s="7"/>
      <c r="BV1316" s="7"/>
      <c r="BW1316" s="7"/>
      <c r="BX1316" s="7"/>
      <c r="BY1316" s="7"/>
      <c r="BZ1316" s="41"/>
      <c r="CA1316" s="7"/>
      <c r="CB1316" s="7"/>
      <c r="CC1316" s="7"/>
      <c r="CD1316" s="7"/>
      <c r="CE1316" s="7"/>
      <c r="CF1316" s="7"/>
    </row>
    <row r="1317">
      <c r="A1317" s="7"/>
      <c r="B1317" s="55"/>
      <c r="C1317" s="7"/>
      <c r="D1317" s="7"/>
      <c r="E1317" s="7"/>
      <c r="F1317" s="7"/>
      <c r="G1317" s="55"/>
      <c r="H1317" s="7"/>
      <c r="I1317" s="7"/>
      <c r="J1317" s="7"/>
      <c r="K1317" s="7"/>
      <c r="L1317" s="7"/>
      <c r="M1317" s="7"/>
      <c r="N1317" s="7"/>
      <c r="O1317" s="7"/>
      <c r="P1317" s="7"/>
      <c r="Q1317" s="55"/>
      <c r="R1317" s="7"/>
      <c r="S1317" s="7"/>
      <c r="T1317" s="7"/>
      <c r="U1317" s="7"/>
      <c r="V1317" s="7"/>
      <c r="W1317" s="7"/>
      <c r="X1317" s="7"/>
      <c r="Y1317" s="7"/>
      <c r="Z1317" s="7"/>
      <c r="AA1317" s="7"/>
      <c r="AB1317" s="7"/>
      <c r="AC1317" s="7"/>
      <c r="AD1317" s="7"/>
      <c r="AE1317" s="7"/>
      <c r="AF1317" s="7"/>
      <c r="AG1317" s="7"/>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c r="BL1317" s="7"/>
      <c r="BM1317" s="7"/>
      <c r="BN1317" s="7"/>
      <c r="BO1317" s="7"/>
      <c r="BP1317" s="7"/>
      <c r="BQ1317" s="7"/>
      <c r="BR1317" s="7"/>
      <c r="BS1317" s="7"/>
      <c r="BT1317" s="7"/>
      <c r="BU1317" s="7"/>
      <c r="BV1317" s="7"/>
      <c r="BW1317" s="7"/>
      <c r="BX1317" s="7"/>
      <c r="BY1317" s="7"/>
      <c r="BZ1317" s="41"/>
      <c r="CA1317" s="7"/>
      <c r="CB1317" s="7"/>
      <c r="CC1317" s="7"/>
      <c r="CD1317" s="7"/>
      <c r="CE1317" s="7"/>
      <c r="CF1317" s="7"/>
    </row>
    <row r="1318">
      <c r="A1318" s="7"/>
      <c r="B1318" s="55"/>
      <c r="C1318" s="7"/>
      <c r="D1318" s="7"/>
      <c r="E1318" s="7"/>
      <c r="F1318" s="7"/>
      <c r="G1318" s="55"/>
      <c r="H1318" s="7"/>
      <c r="I1318" s="7"/>
      <c r="J1318" s="7"/>
      <c r="K1318" s="7"/>
      <c r="L1318" s="7"/>
      <c r="M1318" s="7"/>
      <c r="N1318" s="7"/>
      <c r="O1318" s="7"/>
      <c r="P1318" s="7"/>
      <c r="Q1318" s="55"/>
      <c r="R1318" s="7"/>
      <c r="S1318" s="7"/>
      <c r="T1318" s="7"/>
      <c r="U1318" s="7"/>
      <c r="V1318" s="7"/>
      <c r="W1318" s="7"/>
      <c r="X1318" s="7"/>
      <c r="Y1318" s="7"/>
      <c r="Z1318" s="7"/>
      <c r="AA1318" s="7"/>
      <c r="AB1318" s="7"/>
      <c r="AC1318" s="7"/>
      <c r="AD1318" s="7"/>
      <c r="AE1318" s="7"/>
      <c r="AF1318" s="7"/>
      <c r="AG1318" s="7"/>
      <c r="AH1318" s="7"/>
      <c r="AI1318" s="7"/>
      <c r="AJ1318" s="7"/>
      <c r="AK1318" s="7"/>
      <c r="AL1318" s="7"/>
      <c r="AM1318" s="7"/>
      <c r="AN1318" s="7"/>
      <c r="AO1318" s="7"/>
      <c r="AP1318" s="7"/>
      <c r="AQ1318" s="7"/>
      <c r="AR1318" s="7"/>
      <c r="AS1318" s="7"/>
      <c r="AT1318" s="7"/>
      <c r="AU1318" s="7"/>
      <c r="AV1318" s="7"/>
      <c r="AW1318" s="7"/>
      <c r="AX1318" s="7"/>
      <c r="AY1318" s="7"/>
      <c r="AZ1318" s="7"/>
      <c r="BA1318" s="7"/>
      <c r="BB1318" s="7"/>
      <c r="BC1318" s="7"/>
      <c r="BD1318" s="7"/>
      <c r="BE1318" s="7"/>
      <c r="BF1318" s="7"/>
      <c r="BG1318" s="7"/>
      <c r="BH1318" s="7"/>
      <c r="BI1318" s="7"/>
      <c r="BJ1318" s="7"/>
      <c r="BK1318" s="7"/>
      <c r="BL1318" s="7"/>
      <c r="BM1318" s="7"/>
      <c r="BN1318" s="7"/>
      <c r="BO1318" s="7"/>
      <c r="BP1318" s="7"/>
      <c r="BQ1318" s="7"/>
      <c r="BR1318" s="7"/>
      <c r="BS1318" s="7"/>
      <c r="BT1318" s="7"/>
      <c r="BU1318" s="7"/>
      <c r="BV1318" s="7"/>
      <c r="BW1318" s="7"/>
      <c r="BX1318" s="7"/>
      <c r="BY1318" s="7"/>
      <c r="BZ1318" s="41"/>
      <c r="CA1318" s="7"/>
      <c r="CB1318" s="7"/>
      <c r="CC1318" s="7"/>
      <c r="CD1318" s="7"/>
      <c r="CE1318" s="7"/>
      <c r="CF1318" s="7"/>
    </row>
    <row r="1319">
      <c r="A1319" s="7"/>
      <c r="B1319" s="55"/>
      <c r="C1319" s="7"/>
      <c r="D1319" s="7"/>
      <c r="E1319" s="7"/>
      <c r="F1319" s="7"/>
      <c r="G1319" s="55"/>
      <c r="H1319" s="7"/>
      <c r="I1319" s="7"/>
      <c r="J1319" s="7"/>
      <c r="K1319" s="7"/>
      <c r="L1319" s="7"/>
      <c r="M1319" s="7"/>
      <c r="N1319" s="7"/>
      <c r="O1319" s="7"/>
      <c r="P1319" s="7"/>
      <c r="Q1319" s="55"/>
      <c r="R1319" s="7"/>
      <c r="S1319" s="7"/>
      <c r="T1319" s="7"/>
      <c r="U1319" s="7"/>
      <c r="V1319" s="7"/>
      <c r="W1319" s="7"/>
      <c r="X1319" s="7"/>
      <c r="Y1319" s="7"/>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c r="BL1319" s="7"/>
      <c r="BM1319" s="7"/>
      <c r="BN1319" s="7"/>
      <c r="BO1319" s="7"/>
      <c r="BP1319" s="7"/>
      <c r="BQ1319" s="7"/>
      <c r="BR1319" s="7"/>
      <c r="BS1319" s="7"/>
      <c r="BT1319" s="7"/>
      <c r="BU1319" s="7"/>
      <c r="BV1319" s="7"/>
      <c r="BW1319" s="7"/>
      <c r="BX1319" s="7"/>
      <c r="BY1319" s="7"/>
      <c r="BZ1319" s="41"/>
      <c r="CA1319" s="7"/>
      <c r="CB1319" s="7"/>
      <c r="CC1319" s="7"/>
      <c r="CD1319" s="7"/>
      <c r="CE1319" s="7"/>
      <c r="CF1319" s="7"/>
    </row>
    <row r="1320">
      <c r="A1320" s="7"/>
      <c r="B1320" s="55"/>
      <c r="C1320" s="7"/>
      <c r="D1320" s="7"/>
      <c r="E1320" s="7"/>
      <c r="F1320" s="7"/>
      <c r="G1320" s="55"/>
      <c r="H1320" s="7"/>
      <c r="I1320" s="7"/>
      <c r="J1320" s="7"/>
      <c r="K1320" s="7"/>
      <c r="L1320" s="7"/>
      <c r="M1320" s="7"/>
      <c r="N1320" s="7"/>
      <c r="O1320" s="7"/>
      <c r="P1320" s="7"/>
      <c r="Q1320" s="55"/>
      <c r="R1320" s="7"/>
      <c r="S1320" s="7"/>
      <c r="T1320" s="7"/>
      <c r="U1320" s="7"/>
      <c r="V1320" s="7"/>
      <c r="W1320" s="7"/>
      <c r="X1320" s="7"/>
      <c r="Y1320" s="7"/>
      <c r="Z1320" s="7"/>
      <c r="AA1320" s="7"/>
      <c r="AB1320" s="7"/>
      <c r="AC1320" s="7"/>
      <c r="AD1320" s="7"/>
      <c r="AE1320" s="7"/>
      <c r="AF1320" s="7"/>
      <c r="AG1320" s="7"/>
      <c r="AH1320" s="7"/>
      <c r="AI1320" s="7"/>
      <c r="AJ1320" s="7"/>
      <c r="AK1320" s="7"/>
      <c r="AL1320" s="7"/>
      <c r="AM1320" s="7"/>
      <c r="AN1320" s="7"/>
      <c r="AO1320" s="7"/>
      <c r="AP1320" s="7"/>
      <c r="AQ1320" s="7"/>
      <c r="AR1320" s="7"/>
      <c r="AS1320" s="7"/>
      <c r="AT1320" s="7"/>
      <c r="AU1320" s="7"/>
      <c r="AV1320" s="7"/>
      <c r="AW1320" s="7"/>
      <c r="AX1320" s="7"/>
      <c r="AY1320" s="7"/>
      <c r="AZ1320" s="7"/>
      <c r="BA1320" s="7"/>
      <c r="BB1320" s="7"/>
      <c r="BC1320" s="7"/>
      <c r="BD1320" s="7"/>
      <c r="BE1320" s="7"/>
      <c r="BF1320" s="7"/>
      <c r="BG1320" s="7"/>
      <c r="BH1320" s="7"/>
      <c r="BI1320" s="7"/>
      <c r="BJ1320" s="7"/>
      <c r="BK1320" s="7"/>
      <c r="BL1320" s="7"/>
      <c r="BM1320" s="7"/>
      <c r="BN1320" s="7"/>
      <c r="BO1320" s="7"/>
      <c r="BP1320" s="7"/>
      <c r="BQ1320" s="7"/>
      <c r="BR1320" s="7"/>
      <c r="BS1320" s="7"/>
      <c r="BT1320" s="7"/>
      <c r="BU1320" s="7"/>
      <c r="BV1320" s="7"/>
      <c r="BW1320" s="7"/>
      <c r="BX1320" s="7"/>
      <c r="BY1320" s="7"/>
      <c r="BZ1320" s="41"/>
      <c r="CA1320" s="7"/>
      <c r="CB1320" s="7"/>
      <c r="CC1320" s="7"/>
      <c r="CD1320" s="7"/>
      <c r="CE1320" s="7"/>
      <c r="CF1320" s="7"/>
    </row>
    <row r="1321">
      <c r="A1321" s="7"/>
      <c r="B1321" s="55"/>
      <c r="C1321" s="7"/>
      <c r="D1321" s="7"/>
      <c r="E1321" s="7"/>
      <c r="F1321" s="7"/>
      <c r="G1321" s="55"/>
      <c r="H1321" s="7"/>
      <c r="I1321" s="7"/>
      <c r="J1321" s="7"/>
      <c r="K1321" s="7"/>
      <c r="L1321" s="7"/>
      <c r="M1321" s="7"/>
      <c r="N1321" s="7"/>
      <c r="O1321" s="7"/>
      <c r="P1321" s="7"/>
      <c r="Q1321" s="55"/>
      <c r="R1321" s="7"/>
      <c r="S1321" s="7"/>
      <c r="T1321" s="7"/>
      <c r="U1321" s="7"/>
      <c r="V1321" s="7"/>
      <c r="W1321" s="7"/>
      <c r="X1321" s="7"/>
      <c r="Y1321" s="7"/>
      <c r="Z1321" s="7"/>
      <c r="AA1321" s="7"/>
      <c r="AB1321" s="7"/>
      <c r="AC1321" s="7"/>
      <c r="AD1321" s="7"/>
      <c r="AE1321" s="7"/>
      <c r="AF1321" s="7"/>
      <c r="AG1321" s="7"/>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c r="BL1321" s="7"/>
      <c r="BM1321" s="7"/>
      <c r="BN1321" s="7"/>
      <c r="BO1321" s="7"/>
      <c r="BP1321" s="7"/>
      <c r="BQ1321" s="7"/>
      <c r="BR1321" s="7"/>
      <c r="BS1321" s="7"/>
      <c r="BT1321" s="7"/>
      <c r="BU1321" s="7"/>
      <c r="BV1321" s="7"/>
      <c r="BW1321" s="7"/>
      <c r="BX1321" s="7"/>
      <c r="BY1321" s="7"/>
      <c r="BZ1321" s="41"/>
      <c r="CA1321" s="7"/>
      <c r="CB1321" s="7"/>
      <c r="CC1321" s="7"/>
      <c r="CD1321" s="7"/>
      <c r="CE1321" s="7"/>
      <c r="CF1321" s="7"/>
    </row>
    <row r="1322">
      <c r="A1322" s="7"/>
      <c r="B1322" s="55"/>
      <c r="C1322" s="7"/>
      <c r="D1322" s="7"/>
      <c r="E1322" s="7"/>
      <c r="F1322" s="7"/>
      <c r="G1322" s="55"/>
      <c r="H1322" s="7"/>
      <c r="I1322" s="7"/>
      <c r="J1322" s="7"/>
      <c r="K1322" s="7"/>
      <c r="L1322" s="7"/>
      <c r="M1322" s="7"/>
      <c r="N1322" s="7"/>
      <c r="O1322" s="7"/>
      <c r="P1322" s="7"/>
      <c r="Q1322" s="55"/>
      <c r="R1322" s="7"/>
      <c r="S1322" s="7"/>
      <c r="T1322" s="7"/>
      <c r="U1322" s="7"/>
      <c r="V1322" s="7"/>
      <c r="W1322" s="7"/>
      <c r="X1322" s="7"/>
      <c r="Y1322" s="7"/>
      <c r="Z1322" s="7"/>
      <c r="AA1322" s="7"/>
      <c r="AB1322" s="7"/>
      <c r="AC1322" s="7"/>
      <c r="AD1322" s="7"/>
      <c r="AE1322" s="7"/>
      <c r="AF1322" s="7"/>
      <c r="AG1322" s="7"/>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c r="BE1322" s="7"/>
      <c r="BF1322" s="7"/>
      <c r="BG1322" s="7"/>
      <c r="BH1322" s="7"/>
      <c r="BI1322" s="7"/>
      <c r="BJ1322" s="7"/>
      <c r="BK1322" s="7"/>
      <c r="BL1322" s="7"/>
      <c r="BM1322" s="7"/>
      <c r="BN1322" s="7"/>
      <c r="BO1322" s="7"/>
      <c r="BP1322" s="7"/>
      <c r="BQ1322" s="7"/>
      <c r="BR1322" s="7"/>
      <c r="BS1322" s="7"/>
      <c r="BT1322" s="7"/>
      <c r="BU1322" s="7"/>
      <c r="BV1322" s="7"/>
      <c r="BW1322" s="7"/>
      <c r="BX1322" s="7"/>
      <c r="BY1322" s="7"/>
      <c r="BZ1322" s="41"/>
      <c r="CA1322" s="7"/>
      <c r="CB1322" s="7"/>
      <c r="CC1322" s="7"/>
      <c r="CD1322" s="7"/>
      <c r="CE1322" s="7"/>
      <c r="CF1322" s="7"/>
    </row>
    <row r="1323">
      <c r="A1323" s="7"/>
      <c r="B1323" s="55"/>
      <c r="C1323" s="7"/>
      <c r="D1323" s="7"/>
      <c r="E1323" s="7"/>
      <c r="F1323" s="7"/>
      <c r="G1323" s="55"/>
      <c r="H1323" s="7"/>
      <c r="I1323" s="7"/>
      <c r="J1323" s="7"/>
      <c r="K1323" s="7"/>
      <c r="L1323" s="7"/>
      <c r="M1323" s="7"/>
      <c r="N1323" s="7"/>
      <c r="O1323" s="7"/>
      <c r="P1323" s="7"/>
      <c r="Q1323" s="55"/>
      <c r="R1323" s="7"/>
      <c r="S1323" s="7"/>
      <c r="T1323" s="7"/>
      <c r="U1323" s="7"/>
      <c r="V1323" s="7"/>
      <c r="W1323" s="7"/>
      <c r="X1323" s="7"/>
      <c r="Y1323" s="7"/>
      <c r="Z1323" s="7"/>
      <c r="AA1323" s="7"/>
      <c r="AB1323" s="7"/>
      <c r="AC1323" s="7"/>
      <c r="AD1323" s="7"/>
      <c r="AE1323" s="7"/>
      <c r="AF1323" s="7"/>
      <c r="AG1323" s="7"/>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c r="BL1323" s="7"/>
      <c r="BM1323" s="7"/>
      <c r="BN1323" s="7"/>
      <c r="BO1323" s="7"/>
      <c r="BP1323" s="7"/>
      <c r="BQ1323" s="7"/>
      <c r="BR1323" s="7"/>
      <c r="BS1323" s="7"/>
      <c r="BT1323" s="7"/>
      <c r="BU1323" s="7"/>
      <c r="BV1323" s="7"/>
      <c r="BW1323" s="7"/>
      <c r="BX1323" s="7"/>
      <c r="BY1323" s="7"/>
      <c r="BZ1323" s="41"/>
      <c r="CA1323" s="7"/>
      <c r="CB1323" s="7"/>
      <c r="CC1323" s="7"/>
      <c r="CD1323" s="7"/>
      <c r="CE1323" s="7"/>
      <c r="CF1323" s="7"/>
    </row>
    <row r="1324">
      <c r="A1324" s="7"/>
      <c r="B1324" s="55"/>
      <c r="C1324" s="7"/>
      <c r="D1324" s="7"/>
      <c r="E1324" s="7"/>
      <c r="F1324" s="7"/>
      <c r="G1324" s="55"/>
      <c r="H1324" s="7"/>
      <c r="I1324" s="7"/>
      <c r="J1324" s="7"/>
      <c r="K1324" s="7"/>
      <c r="L1324" s="7"/>
      <c r="M1324" s="7"/>
      <c r="N1324" s="7"/>
      <c r="O1324" s="7"/>
      <c r="P1324" s="7"/>
      <c r="Q1324" s="55"/>
      <c r="R1324" s="7"/>
      <c r="S1324" s="7"/>
      <c r="T1324" s="7"/>
      <c r="U1324" s="7"/>
      <c r="V1324" s="7"/>
      <c r="W1324" s="7"/>
      <c r="X1324" s="7"/>
      <c r="Y1324" s="7"/>
      <c r="Z1324" s="7"/>
      <c r="AA1324" s="7"/>
      <c r="AB1324" s="7"/>
      <c r="AC1324" s="7"/>
      <c r="AD1324" s="7"/>
      <c r="AE1324" s="7"/>
      <c r="AF1324" s="7"/>
      <c r="AG1324" s="7"/>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c r="BE1324" s="7"/>
      <c r="BF1324" s="7"/>
      <c r="BG1324" s="7"/>
      <c r="BH1324" s="7"/>
      <c r="BI1324" s="7"/>
      <c r="BJ1324" s="7"/>
      <c r="BK1324" s="7"/>
      <c r="BL1324" s="7"/>
      <c r="BM1324" s="7"/>
      <c r="BN1324" s="7"/>
      <c r="BO1324" s="7"/>
      <c r="BP1324" s="7"/>
      <c r="BQ1324" s="7"/>
      <c r="BR1324" s="7"/>
      <c r="BS1324" s="7"/>
      <c r="BT1324" s="7"/>
      <c r="BU1324" s="7"/>
      <c r="BV1324" s="7"/>
      <c r="BW1324" s="7"/>
      <c r="BX1324" s="7"/>
      <c r="BY1324" s="7"/>
      <c r="BZ1324" s="41"/>
      <c r="CA1324" s="7"/>
      <c r="CB1324" s="7"/>
      <c r="CC1324" s="7"/>
      <c r="CD1324" s="7"/>
      <c r="CE1324" s="7"/>
      <c r="CF1324" s="7"/>
    </row>
    <row r="1325">
      <c r="A1325" s="7"/>
      <c r="B1325" s="55"/>
      <c r="C1325" s="7"/>
      <c r="D1325" s="7"/>
      <c r="E1325" s="7"/>
      <c r="F1325" s="7"/>
      <c r="G1325" s="55"/>
      <c r="H1325" s="7"/>
      <c r="I1325" s="7"/>
      <c r="J1325" s="7"/>
      <c r="K1325" s="7"/>
      <c r="L1325" s="7"/>
      <c r="M1325" s="7"/>
      <c r="N1325" s="7"/>
      <c r="O1325" s="7"/>
      <c r="P1325" s="7"/>
      <c r="Q1325" s="55"/>
      <c r="R1325" s="7"/>
      <c r="S1325" s="7"/>
      <c r="T1325" s="7"/>
      <c r="U1325" s="7"/>
      <c r="V1325" s="7"/>
      <c r="W1325" s="7"/>
      <c r="X1325" s="7"/>
      <c r="Y1325" s="7"/>
      <c r="Z1325" s="7"/>
      <c r="AA1325" s="7"/>
      <c r="AB1325" s="7"/>
      <c r="AC1325" s="7"/>
      <c r="AD1325" s="7"/>
      <c r="AE1325" s="7"/>
      <c r="AF1325" s="7"/>
      <c r="AG1325" s="7"/>
      <c r="AH1325" s="7"/>
      <c r="AI1325" s="7"/>
      <c r="AJ1325" s="7"/>
      <c r="AK1325" s="7"/>
      <c r="AL1325" s="7"/>
      <c r="AM1325" s="7"/>
      <c r="AN1325" s="7"/>
      <c r="AO1325" s="7"/>
      <c r="AP1325" s="7"/>
      <c r="AQ1325" s="7"/>
      <c r="AR1325" s="7"/>
      <c r="AS1325" s="7"/>
      <c r="AT1325" s="7"/>
      <c r="AU1325" s="7"/>
      <c r="AV1325" s="7"/>
      <c r="AW1325" s="7"/>
      <c r="AX1325" s="7"/>
      <c r="AY1325" s="7"/>
      <c r="AZ1325" s="7"/>
      <c r="BA1325" s="7"/>
      <c r="BB1325" s="7"/>
      <c r="BC1325" s="7"/>
      <c r="BD1325" s="7"/>
      <c r="BE1325" s="7"/>
      <c r="BF1325" s="7"/>
      <c r="BG1325" s="7"/>
      <c r="BH1325" s="7"/>
      <c r="BI1325" s="7"/>
      <c r="BJ1325" s="7"/>
      <c r="BK1325" s="7"/>
      <c r="BL1325" s="7"/>
      <c r="BM1325" s="7"/>
      <c r="BN1325" s="7"/>
      <c r="BO1325" s="7"/>
      <c r="BP1325" s="7"/>
      <c r="BQ1325" s="7"/>
      <c r="BR1325" s="7"/>
      <c r="BS1325" s="7"/>
      <c r="BT1325" s="7"/>
      <c r="BU1325" s="7"/>
      <c r="BV1325" s="7"/>
      <c r="BW1325" s="7"/>
      <c r="BX1325" s="7"/>
      <c r="BY1325" s="7"/>
      <c r="BZ1325" s="41"/>
      <c r="CA1325" s="7"/>
      <c r="CB1325" s="7"/>
      <c r="CC1325" s="7"/>
      <c r="CD1325" s="7"/>
      <c r="CE1325" s="7"/>
      <c r="CF1325" s="7"/>
    </row>
    <row r="1326">
      <c r="A1326" s="7"/>
      <c r="B1326" s="55"/>
      <c r="C1326" s="7"/>
      <c r="D1326" s="7"/>
      <c r="E1326" s="7"/>
      <c r="F1326" s="7"/>
      <c r="G1326" s="55"/>
      <c r="H1326" s="7"/>
      <c r="I1326" s="7"/>
      <c r="J1326" s="7"/>
      <c r="K1326" s="7"/>
      <c r="L1326" s="7"/>
      <c r="M1326" s="7"/>
      <c r="N1326" s="7"/>
      <c r="O1326" s="7"/>
      <c r="P1326" s="7"/>
      <c r="Q1326" s="55"/>
      <c r="R1326" s="7"/>
      <c r="S1326" s="7"/>
      <c r="T1326" s="7"/>
      <c r="U1326" s="7"/>
      <c r="V1326" s="7"/>
      <c r="W1326" s="7"/>
      <c r="X1326" s="7"/>
      <c r="Y1326" s="7"/>
      <c r="Z1326" s="7"/>
      <c r="AA1326" s="7"/>
      <c r="AB1326" s="7"/>
      <c r="AC1326" s="7"/>
      <c r="AD1326" s="7"/>
      <c r="AE1326" s="7"/>
      <c r="AF1326" s="7"/>
      <c r="AG1326" s="7"/>
      <c r="AH1326" s="7"/>
      <c r="AI1326" s="7"/>
      <c r="AJ1326" s="7"/>
      <c r="AK1326" s="7"/>
      <c r="AL1326" s="7"/>
      <c r="AM1326" s="7"/>
      <c r="AN1326" s="7"/>
      <c r="AO1326" s="7"/>
      <c r="AP1326" s="7"/>
      <c r="AQ1326" s="7"/>
      <c r="AR1326" s="7"/>
      <c r="AS1326" s="7"/>
      <c r="AT1326" s="7"/>
      <c r="AU1326" s="7"/>
      <c r="AV1326" s="7"/>
      <c r="AW1326" s="7"/>
      <c r="AX1326" s="7"/>
      <c r="AY1326" s="7"/>
      <c r="AZ1326" s="7"/>
      <c r="BA1326" s="7"/>
      <c r="BB1326" s="7"/>
      <c r="BC1326" s="7"/>
      <c r="BD1326" s="7"/>
      <c r="BE1326" s="7"/>
      <c r="BF1326" s="7"/>
      <c r="BG1326" s="7"/>
      <c r="BH1326" s="7"/>
      <c r="BI1326" s="7"/>
      <c r="BJ1326" s="7"/>
      <c r="BK1326" s="7"/>
      <c r="BL1326" s="7"/>
      <c r="BM1326" s="7"/>
      <c r="BN1326" s="7"/>
      <c r="BO1326" s="7"/>
      <c r="BP1326" s="7"/>
      <c r="BQ1326" s="7"/>
      <c r="BR1326" s="7"/>
      <c r="BS1326" s="7"/>
      <c r="BT1326" s="7"/>
      <c r="BU1326" s="7"/>
      <c r="BV1326" s="7"/>
      <c r="BW1326" s="7"/>
      <c r="BX1326" s="7"/>
      <c r="BY1326" s="7"/>
      <c r="BZ1326" s="41"/>
      <c r="CA1326" s="7"/>
      <c r="CB1326" s="7"/>
      <c r="CC1326" s="7"/>
      <c r="CD1326" s="7"/>
      <c r="CE1326" s="7"/>
      <c r="CF1326" s="7"/>
    </row>
    <row r="1327">
      <c r="A1327" s="7"/>
      <c r="B1327" s="55"/>
      <c r="C1327" s="7"/>
      <c r="D1327" s="7"/>
      <c r="E1327" s="7"/>
      <c r="F1327" s="7"/>
      <c r="G1327" s="55"/>
      <c r="H1327" s="7"/>
      <c r="I1327" s="7"/>
      <c r="J1327" s="7"/>
      <c r="K1327" s="7"/>
      <c r="L1327" s="7"/>
      <c r="M1327" s="7"/>
      <c r="N1327" s="7"/>
      <c r="O1327" s="7"/>
      <c r="P1327" s="7"/>
      <c r="Q1327" s="55"/>
      <c r="R1327" s="7"/>
      <c r="S1327" s="7"/>
      <c r="T1327" s="7"/>
      <c r="U1327" s="7"/>
      <c r="V1327" s="7"/>
      <c r="W1327" s="7"/>
      <c r="X1327" s="7"/>
      <c r="Y1327" s="7"/>
      <c r="Z1327" s="7"/>
      <c r="AA1327" s="7"/>
      <c r="AB1327" s="7"/>
      <c r="AC1327" s="7"/>
      <c r="AD1327" s="7"/>
      <c r="AE1327" s="7"/>
      <c r="AF1327" s="7"/>
      <c r="AG1327" s="7"/>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c r="BE1327" s="7"/>
      <c r="BF1327" s="7"/>
      <c r="BG1327" s="7"/>
      <c r="BH1327" s="7"/>
      <c r="BI1327" s="7"/>
      <c r="BJ1327" s="7"/>
      <c r="BK1327" s="7"/>
      <c r="BL1327" s="7"/>
      <c r="BM1327" s="7"/>
      <c r="BN1327" s="7"/>
      <c r="BO1327" s="7"/>
      <c r="BP1327" s="7"/>
      <c r="BQ1327" s="7"/>
      <c r="BR1327" s="7"/>
      <c r="BS1327" s="7"/>
      <c r="BT1327" s="7"/>
      <c r="BU1327" s="7"/>
      <c r="BV1327" s="7"/>
      <c r="BW1327" s="7"/>
      <c r="BX1327" s="7"/>
      <c r="BY1327" s="7"/>
      <c r="BZ1327" s="41"/>
      <c r="CA1327" s="7"/>
      <c r="CB1327" s="7"/>
      <c r="CC1327" s="7"/>
      <c r="CD1327" s="7"/>
      <c r="CE1327" s="7"/>
      <c r="CF1327" s="7"/>
    </row>
    <row r="1328">
      <c r="A1328" s="7"/>
      <c r="B1328" s="55"/>
      <c r="C1328" s="7"/>
      <c r="D1328" s="7"/>
      <c r="E1328" s="7"/>
      <c r="F1328" s="7"/>
      <c r="G1328" s="55"/>
      <c r="H1328" s="7"/>
      <c r="I1328" s="7"/>
      <c r="J1328" s="7"/>
      <c r="K1328" s="7"/>
      <c r="L1328" s="7"/>
      <c r="M1328" s="7"/>
      <c r="N1328" s="7"/>
      <c r="O1328" s="7"/>
      <c r="P1328" s="7"/>
      <c r="Q1328" s="55"/>
      <c r="R1328" s="7"/>
      <c r="S1328" s="7"/>
      <c r="T1328" s="7"/>
      <c r="U1328" s="7"/>
      <c r="V1328" s="7"/>
      <c r="W1328" s="7"/>
      <c r="X1328" s="7"/>
      <c r="Y1328" s="7"/>
      <c r="Z1328" s="7"/>
      <c r="AA1328" s="7"/>
      <c r="AB1328" s="7"/>
      <c r="AC1328" s="7"/>
      <c r="AD1328" s="7"/>
      <c r="AE1328" s="7"/>
      <c r="AF1328" s="7"/>
      <c r="AG1328" s="7"/>
      <c r="AH1328" s="7"/>
      <c r="AI1328" s="7"/>
      <c r="AJ1328" s="7"/>
      <c r="AK1328" s="7"/>
      <c r="AL1328" s="7"/>
      <c r="AM1328" s="7"/>
      <c r="AN1328" s="7"/>
      <c r="AO1328" s="7"/>
      <c r="AP1328" s="7"/>
      <c r="AQ1328" s="7"/>
      <c r="AR1328" s="7"/>
      <c r="AS1328" s="7"/>
      <c r="AT1328" s="7"/>
      <c r="AU1328" s="7"/>
      <c r="AV1328" s="7"/>
      <c r="AW1328" s="7"/>
      <c r="AX1328" s="7"/>
      <c r="AY1328" s="7"/>
      <c r="AZ1328" s="7"/>
      <c r="BA1328" s="7"/>
      <c r="BB1328" s="7"/>
      <c r="BC1328" s="7"/>
      <c r="BD1328" s="7"/>
      <c r="BE1328" s="7"/>
      <c r="BF1328" s="7"/>
      <c r="BG1328" s="7"/>
      <c r="BH1328" s="7"/>
      <c r="BI1328" s="7"/>
      <c r="BJ1328" s="7"/>
      <c r="BK1328" s="7"/>
      <c r="BL1328" s="7"/>
      <c r="BM1328" s="7"/>
      <c r="BN1328" s="7"/>
      <c r="BO1328" s="7"/>
      <c r="BP1328" s="7"/>
      <c r="BQ1328" s="7"/>
      <c r="BR1328" s="7"/>
      <c r="BS1328" s="7"/>
      <c r="BT1328" s="7"/>
      <c r="BU1328" s="7"/>
      <c r="BV1328" s="7"/>
      <c r="BW1328" s="7"/>
      <c r="BX1328" s="7"/>
      <c r="BY1328" s="7"/>
      <c r="BZ1328" s="41"/>
      <c r="CA1328" s="7"/>
      <c r="CB1328" s="7"/>
      <c r="CC1328" s="7"/>
      <c r="CD1328" s="7"/>
      <c r="CE1328" s="7"/>
      <c r="CF1328" s="7"/>
    </row>
    <row r="1329">
      <c r="A1329" s="7"/>
      <c r="B1329" s="55"/>
      <c r="C1329" s="7"/>
      <c r="D1329" s="7"/>
      <c r="E1329" s="7"/>
      <c r="F1329" s="7"/>
      <c r="G1329" s="55"/>
      <c r="H1329" s="7"/>
      <c r="I1329" s="7"/>
      <c r="J1329" s="7"/>
      <c r="K1329" s="7"/>
      <c r="L1329" s="7"/>
      <c r="M1329" s="7"/>
      <c r="N1329" s="7"/>
      <c r="O1329" s="7"/>
      <c r="P1329" s="7"/>
      <c r="Q1329" s="55"/>
      <c r="R1329" s="7"/>
      <c r="S1329" s="7"/>
      <c r="T1329" s="7"/>
      <c r="U1329" s="7"/>
      <c r="V1329" s="7"/>
      <c r="W1329" s="7"/>
      <c r="X1329" s="7"/>
      <c r="Y1329" s="7"/>
      <c r="Z1329" s="7"/>
      <c r="AA1329" s="7"/>
      <c r="AB1329" s="7"/>
      <c r="AC1329" s="7"/>
      <c r="AD1329" s="7"/>
      <c r="AE1329" s="7"/>
      <c r="AF1329" s="7"/>
      <c r="AG1329" s="7"/>
      <c r="AH1329" s="7"/>
      <c r="AI1329" s="7"/>
      <c r="AJ1329" s="7"/>
      <c r="AK1329" s="7"/>
      <c r="AL1329" s="7"/>
      <c r="AM1329" s="7"/>
      <c r="AN1329" s="7"/>
      <c r="AO1329" s="7"/>
      <c r="AP1329" s="7"/>
      <c r="AQ1329" s="7"/>
      <c r="AR1329" s="7"/>
      <c r="AS1329" s="7"/>
      <c r="AT1329" s="7"/>
      <c r="AU1329" s="7"/>
      <c r="AV1329" s="7"/>
      <c r="AW1329" s="7"/>
      <c r="AX1329" s="7"/>
      <c r="AY1329" s="7"/>
      <c r="AZ1329" s="7"/>
      <c r="BA1329" s="7"/>
      <c r="BB1329" s="7"/>
      <c r="BC1329" s="7"/>
      <c r="BD1329" s="7"/>
      <c r="BE1329" s="7"/>
      <c r="BF1329" s="7"/>
      <c r="BG1329" s="7"/>
      <c r="BH1329" s="7"/>
      <c r="BI1329" s="7"/>
      <c r="BJ1329" s="7"/>
      <c r="BK1329" s="7"/>
      <c r="BL1329" s="7"/>
      <c r="BM1329" s="7"/>
      <c r="BN1329" s="7"/>
      <c r="BO1329" s="7"/>
      <c r="BP1329" s="7"/>
      <c r="BQ1329" s="7"/>
      <c r="BR1329" s="7"/>
      <c r="BS1329" s="7"/>
      <c r="BT1329" s="7"/>
      <c r="BU1329" s="7"/>
      <c r="BV1329" s="7"/>
      <c r="BW1329" s="7"/>
      <c r="BX1329" s="7"/>
      <c r="BY1329" s="7"/>
      <c r="BZ1329" s="41"/>
      <c r="CA1329" s="7"/>
      <c r="CB1329" s="7"/>
      <c r="CC1329" s="7"/>
      <c r="CD1329" s="7"/>
      <c r="CE1329" s="7"/>
      <c r="CF1329" s="7"/>
    </row>
    <row r="1330">
      <c r="A1330" s="7"/>
      <c r="B1330" s="55"/>
      <c r="C1330" s="7"/>
      <c r="D1330" s="7"/>
      <c r="E1330" s="7"/>
      <c r="F1330" s="7"/>
      <c r="G1330" s="55"/>
      <c r="H1330" s="7"/>
      <c r="I1330" s="7"/>
      <c r="J1330" s="7"/>
      <c r="K1330" s="7"/>
      <c r="L1330" s="7"/>
      <c r="M1330" s="7"/>
      <c r="N1330" s="7"/>
      <c r="O1330" s="7"/>
      <c r="P1330" s="7"/>
      <c r="Q1330" s="55"/>
      <c r="R1330" s="7"/>
      <c r="S1330" s="7"/>
      <c r="T1330" s="7"/>
      <c r="U1330" s="7"/>
      <c r="V1330" s="7"/>
      <c r="W1330" s="7"/>
      <c r="X1330" s="7"/>
      <c r="Y1330" s="7"/>
      <c r="Z1330" s="7"/>
      <c r="AA1330" s="7"/>
      <c r="AB1330" s="7"/>
      <c r="AC1330" s="7"/>
      <c r="AD1330" s="7"/>
      <c r="AE1330" s="7"/>
      <c r="AF1330" s="7"/>
      <c r="AG1330" s="7"/>
      <c r="AH1330" s="7"/>
      <c r="AI1330" s="7"/>
      <c r="AJ1330" s="7"/>
      <c r="AK1330" s="7"/>
      <c r="AL1330" s="7"/>
      <c r="AM1330" s="7"/>
      <c r="AN1330" s="7"/>
      <c r="AO1330" s="7"/>
      <c r="AP1330" s="7"/>
      <c r="AQ1330" s="7"/>
      <c r="AR1330" s="7"/>
      <c r="AS1330" s="7"/>
      <c r="AT1330" s="7"/>
      <c r="AU1330" s="7"/>
      <c r="AV1330" s="7"/>
      <c r="AW1330" s="7"/>
      <c r="AX1330" s="7"/>
      <c r="AY1330" s="7"/>
      <c r="AZ1330" s="7"/>
      <c r="BA1330" s="7"/>
      <c r="BB1330" s="7"/>
      <c r="BC1330" s="7"/>
      <c r="BD1330" s="7"/>
      <c r="BE1330" s="7"/>
      <c r="BF1330" s="7"/>
      <c r="BG1330" s="7"/>
      <c r="BH1330" s="7"/>
      <c r="BI1330" s="7"/>
      <c r="BJ1330" s="7"/>
      <c r="BK1330" s="7"/>
      <c r="BL1330" s="7"/>
      <c r="BM1330" s="7"/>
      <c r="BN1330" s="7"/>
      <c r="BO1330" s="7"/>
      <c r="BP1330" s="7"/>
      <c r="BQ1330" s="7"/>
      <c r="BR1330" s="7"/>
      <c r="BS1330" s="7"/>
      <c r="BT1330" s="7"/>
      <c r="BU1330" s="7"/>
      <c r="BV1330" s="7"/>
      <c r="BW1330" s="7"/>
      <c r="BX1330" s="7"/>
      <c r="BY1330" s="7"/>
      <c r="BZ1330" s="41"/>
      <c r="CA1330" s="7"/>
      <c r="CB1330" s="7"/>
      <c r="CC1330" s="7"/>
      <c r="CD1330" s="7"/>
      <c r="CE1330" s="7"/>
      <c r="CF1330" s="7"/>
    </row>
    <row r="1331">
      <c r="A1331" s="7"/>
      <c r="B1331" s="55"/>
      <c r="C1331" s="7"/>
      <c r="D1331" s="7"/>
      <c r="E1331" s="7"/>
      <c r="F1331" s="7"/>
      <c r="G1331" s="55"/>
      <c r="H1331" s="7"/>
      <c r="I1331" s="7"/>
      <c r="J1331" s="7"/>
      <c r="K1331" s="7"/>
      <c r="L1331" s="7"/>
      <c r="M1331" s="7"/>
      <c r="N1331" s="7"/>
      <c r="O1331" s="7"/>
      <c r="P1331" s="7"/>
      <c r="Q1331" s="55"/>
      <c r="R1331" s="7"/>
      <c r="S1331" s="7"/>
      <c r="T1331" s="7"/>
      <c r="U1331" s="7"/>
      <c r="V1331" s="7"/>
      <c r="W1331" s="7"/>
      <c r="X1331" s="7"/>
      <c r="Y1331" s="7"/>
      <c r="Z1331" s="7"/>
      <c r="AA1331" s="7"/>
      <c r="AB1331" s="7"/>
      <c r="AC1331" s="7"/>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c r="BE1331" s="7"/>
      <c r="BF1331" s="7"/>
      <c r="BG1331" s="7"/>
      <c r="BH1331" s="7"/>
      <c r="BI1331" s="7"/>
      <c r="BJ1331" s="7"/>
      <c r="BK1331" s="7"/>
      <c r="BL1331" s="7"/>
      <c r="BM1331" s="7"/>
      <c r="BN1331" s="7"/>
      <c r="BO1331" s="7"/>
      <c r="BP1331" s="7"/>
      <c r="BQ1331" s="7"/>
      <c r="BR1331" s="7"/>
      <c r="BS1331" s="7"/>
      <c r="BT1331" s="7"/>
      <c r="BU1331" s="7"/>
      <c r="BV1331" s="7"/>
      <c r="BW1331" s="7"/>
      <c r="BX1331" s="7"/>
      <c r="BY1331" s="7"/>
      <c r="BZ1331" s="41"/>
      <c r="CA1331" s="7"/>
      <c r="CB1331" s="7"/>
      <c r="CC1331" s="7"/>
      <c r="CD1331" s="7"/>
      <c r="CE1331" s="7"/>
      <c r="CF1331" s="7"/>
    </row>
    <row r="1332">
      <c r="A1332" s="7"/>
      <c r="B1332" s="55"/>
      <c r="C1332" s="7"/>
      <c r="D1332" s="7"/>
      <c r="E1332" s="7"/>
      <c r="F1332" s="7"/>
      <c r="G1332" s="55"/>
      <c r="H1332" s="7"/>
      <c r="I1332" s="7"/>
      <c r="J1332" s="7"/>
      <c r="K1332" s="7"/>
      <c r="L1332" s="7"/>
      <c r="M1332" s="7"/>
      <c r="N1332" s="7"/>
      <c r="O1332" s="7"/>
      <c r="P1332" s="7"/>
      <c r="Q1332" s="55"/>
      <c r="R1332" s="7"/>
      <c r="S1332" s="7"/>
      <c r="T1332" s="7"/>
      <c r="U1332" s="7"/>
      <c r="V1332" s="7"/>
      <c r="W1332" s="7"/>
      <c r="X1332" s="7"/>
      <c r="Y1332" s="7"/>
      <c r="Z1332" s="7"/>
      <c r="AA1332" s="7"/>
      <c r="AB1332" s="7"/>
      <c r="AC1332" s="7"/>
      <c r="AD1332" s="7"/>
      <c r="AE1332" s="7"/>
      <c r="AF1332" s="7"/>
      <c r="AG1332" s="7"/>
      <c r="AH1332" s="7"/>
      <c r="AI1332" s="7"/>
      <c r="AJ1332" s="7"/>
      <c r="AK1332" s="7"/>
      <c r="AL1332" s="7"/>
      <c r="AM1332" s="7"/>
      <c r="AN1332" s="7"/>
      <c r="AO1332" s="7"/>
      <c r="AP1332" s="7"/>
      <c r="AQ1332" s="7"/>
      <c r="AR1332" s="7"/>
      <c r="AS1332" s="7"/>
      <c r="AT1332" s="7"/>
      <c r="AU1332" s="7"/>
      <c r="AV1332" s="7"/>
      <c r="AW1332" s="7"/>
      <c r="AX1332" s="7"/>
      <c r="AY1332" s="7"/>
      <c r="AZ1332" s="7"/>
      <c r="BA1332" s="7"/>
      <c r="BB1332" s="7"/>
      <c r="BC1332" s="7"/>
      <c r="BD1332" s="7"/>
      <c r="BE1332" s="7"/>
      <c r="BF1332" s="7"/>
      <c r="BG1332" s="7"/>
      <c r="BH1332" s="7"/>
      <c r="BI1332" s="7"/>
      <c r="BJ1332" s="7"/>
      <c r="BK1332" s="7"/>
      <c r="BL1332" s="7"/>
      <c r="BM1332" s="7"/>
      <c r="BN1332" s="7"/>
      <c r="BO1332" s="7"/>
      <c r="BP1332" s="7"/>
      <c r="BQ1332" s="7"/>
      <c r="BR1332" s="7"/>
      <c r="BS1332" s="7"/>
      <c r="BT1332" s="7"/>
      <c r="BU1332" s="7"/>
      <c r="BV1332" s="7"/>
      <c r="BW1332" s="7"/>
      <c r="BX1332" s="7"/>
      <c r="BY1332" s="7"/>
      <c r="BZ1332" s="41"/>
      <c r="CA1332" s="7"/>
      <c r="CB1332" s="7"/>
      <c r="CC1332" s="7"/>
      <c r="CD1332" s="7"/>
      <c r="CE1332" s="7"/>
      <c r="CF1332" s="7"/>
    </row>
    <row r="1333">
      <c r="A1333" s="7"/>
      <c r="B1333" s="55"/>
      <c r="C1333" s="7"/>
      <c r="D1333" s="7"/>
      <c r="E1333" s="7"/>
      <c r="F1333" s="7"/>
      <c r="G1333" s="55"/>
      <c r="H1333" s="7"/>
      <c r="I1333" s="7"/>
      <c r="J1333" s="7"/>
      <c r="K1333" s="7"/>
      <c r="L1333" s="7"/>
      <c r="M1333" s="7"/>
      <c r="N1333" s="7"/>
      <c r="O1333" s="7"/>
      <c r="P1333" s="7"/>
      <c r="Q1333" s="55"/>
      <c r="R1333" s="7"/>
      <c r="S1333" s="7"/>
      <c r="T1333" s="7"/>
      <c r="U1333" s="7"/>
      <c r="V1333" s="7"/>
      <c r="W1333" s="7"/>
      <c r="X1333" s="7"/>
      <c r="Y1333" s="7"/>
      <c r="Z1333" s="7"/>
      <c r="AA1333" s="7"/>
      <c r="AB1333" s="7"/>
      <c r="AC1333" s="7"/>
      <c r="AD1333" s="7"/>
      <c r="AE1333" s="7"/>
      <c r="AF1333" s="7"/>
      <c r="AG1333" s="7"/>
      <c r="AH1333" s="7"/>
      <c r="AI1333" s="7"/>
      <c r="AJ1333" s="7"/>
      <c r="AK1333" s="7"/>
      <c r="AL1333" s="7"/>
      <c r="AM1333" s="7"/>
      <c r="AN1333" s="7"/>
      <c r="AO1333" s="7"/>
      <c r="AP1333" s="7"/>
      <c r="AQ1333" s="7"/>
      <c r="AR1333" s="7"/>
      <c r="AS1333" s="7"/>
      <c r="AT1333" s="7"/>
      <c r="AU1333" s="7"/>
      <c r="AV1333" s="7"/>
      <c r="AW1333" s="7"/>
      <c r="AX1333" s="7"/>
      <c r="AY1333" s="7"/>
      <c r="AZ1333" s="7"/>
      <c r="BA1333" s="7"/>
      <c r="BB1333" s="7"/>
      <c r="BC1333" s="7"/>
      <c r="BD1333" s="7"/>
      <c r="BE1333" s="7"/>
      <c r="BF1333" s="7"/>
      <c r="BG1333" s="7"/>
      <c r="BH1333" s="7"/>
      <c r="BI1333" s="7"/>
      <c r="BJ1333" s="7"/>
      <c r="BK1333" s="7"/>
      <c r="BL1333" s="7"/>
      <c r="BM1333" s="7"/>
      <c r="BN1333" s="7"/>
      <c r="BO1333" s="7"/>
      <c r="BP1333" s="7"/>
      <c r="BQ1333" s="7"/>
      <c r="BR1333" s="7"/>
      <c r="BS1333" s="7"/>
      <c r="BT1333" s="7"/>
      <c r="BU1333" s="7"/>
      <c r="BV1333" s="7"/>
      <c r="BW1333" s="7"/>
      <c r="BX1333" s="7"/>
      <c r="BY1333" s="7"/>
      <c r="BZ1333" s="41"/>
      <c r="CA1333" s="7"/>
      <c r="CB1333" s="7"/>
      <c r="CC1333" s="7"/>
      <c r="CD1333" s="7"/>
      <c r="CE1333" s="7"/>
      <c r="CF1333" s="7"/>
    </row>
    <row r="1334">
      <c r="A1334" s="7"/>
      <c r="B1334" s="55"/>
      <c r="C1334" s="7"/>
      <c r="D1334" s="7"/>
      <c r="E1334" s="7"/>
      <c r="F1334" s="7"/>
      <c r="G1334" s="55"/>
      <c r="H1334" s="7"/>
      <c r="I1334" s="7"/>
      <c r="J1334" s="7"/>
      <c r="K1334" s="7"/>
      <c r="L1334" s="7"/>
      <c r="M1334" s="7"/>
      <c r="N1334" s="7"/>
      <c r="O1334" s="7"/>
      <c r="P1334" s="7"/>
      <c r="Q1334" s="55"/>
      <c r="R1334" s="7"/>
      <c r="S1334" s="7"/>
      <c r="T1334" s="7"/>
      <c r="U1334" s="7"/>
      <c r="V1334" s="7"/>
      <c r="W1334" s="7"/>
      <c r="X1334" s="7"/>
      <c r="Y1334" s="7"/>
      <c r="Z1334" s="7"/>
      <c r="AA1334" s="7"/>
      <c r="AB1334" s="7"/>
      <c r="AC1334" s="7"/>
      <c r="AD1334" s="7"/>
      <c r="AE1334" s="7"/>
      <c r="AF1334" s="7"/>
      <c r="AG1334" s="7"/>
      <c r="AH1334" s="7"/>
      <c r="AI1334" s="7"/>
      <c r="AJ1334" s="7"/>
      <c r="AK1334" s="7"/>
      <c r="AL1334" s="7"/>
      <c r="AM1334" s="7"/>
      <c r="AN1334" s="7"/>
      <c r="AO1334" s="7"/>
      <c r="AP1334" s="7"/>
      <c r="AQ1334" s="7"/>
      <c r="AR1334" s="7"/>
      <c r="AS1334" s="7"/>
      <c r="AT1334" s="7"/>
      <c r="AU1334" s="7"/>
      <c r="AV1334" s="7"/>
      <c r="AW1334" s="7"/>
      <c r="AX1334" s="7"/>
      <c r="AY1334" s="7"/>
      <c r="AZ1334" s="7"/>
      <c r="BA1334" s="7"/>
      <c r="BB1334" s="7"/>
      <c r="BC1334" s="7"/>
      <c r="BD1334" s="7"/>
      <c r="BE1334" s="7"/>
      <c r="BF1334" s="7"/>
      <c r="BG1334" s="7"/>
      <c r="BH1334" s="7"/>
      <c r="BI1334" s="7"/>
      <c r="BJ1334" s="7"/>
      <c r="BK1334" s="7"/>
      <c r="BL1334" s="7"/>
      <c r="BM1334" s="7"/>
      <c r="BN1334" s="7"/>
      <c r="BO1334" s="7"/>
      <c r="BP1334" s="7"/>
      <c r="BQ1334" s="7"/>
      <c r="BR1334" s="7"/>
      <c r="BS1334" s="7"/>
      <c r="BT1334" s="7"/>
      <c r="BU1334" s="7"/>
      <c r="BV1334" s="7"/>
      <c r="BW1334" s="7"/>
      <c r="BX1334" s="7"/>
      <c r="BY1334" s="7"/>
      <c r="BZ1334" s="41"/>
      <c r="CA1334" s="7"/>
      <c r="CB1334" s="7"/>
      <c r="CC1334" s="7"/>
      <c r="CD1334" s="7"/>
      <c r="CE1334" s="7"/>
      <c r="CF1334" s="7"/>
    </row>
    <row r="1335">
      <c r="A1335" s="7"/>
      <c r="B1335" s="55"/>
      <c r="C1335" s="7"/>
      <c r="D1335" s="7"/>
      <c r="E1335" s="7"/>
      <c r="F1335" s="7"/>
      <c r="G1335" s="55"/>
      <c r="H1335" s="7"/>
      <c r="I1335" s="7"/>
      <c r="J1335" s="7"/>
      <c r="K1335" s="7"/>
      <c r="L1335" s="7"/>
      <c r="M1335" s="7"/>
      <c r="N1335" s="7"/>
      <c r="O1335" s="7"/>
      <c r="P1335" s="7"/>
      <c r="Q1335" s="55"/>
      <c r="R1335" s="7"/>
      <c r="S1335" s="7"/>
      <c r="T1335" s="7"/>
      <c r="U1335" s="7"/>
      <c r="V1335" s="7"/>
      <c r="W1335" s="7"/>
      <c r="X1335" s="7"/>
      <c r="Y1335" s="7"/>
      <c r="Z1335" s="7"/>
      <c r="AA1335" s="7"/>
      <c r="AB1335" s="7"/>
      <c r="AC1335" s="7"/>
      <c r="AD1335" s="7"/>
      <c r="AE1335" s="7"/>
      <c r="AF1335" s="7"/>
      <c r="AG1335" s="7"/>
      <c r="AH1335" s="7"/>
      <c r="AI1335" s="7"/>
      <c r="AJ1335" s="7"/>
      <c r="AK1335" s="7"/>
      <c r="AL1335" s="7"/>
      <c r="AM1335" s="7"/>
      <c r="AN1335" s="7"/>
      <c r="AO1335" s="7"/>
      <c r="AP1335" s="7"/>
      <c r="AQ1335" s="7"/>
      <c r="AR1335" s="7"/>
      <c r="AS1335" s="7"/>
      <c r="AT1335" s="7"/>
      <c r="AU1335" s="7"/>
      <c r="AV1335" s="7"/>
      <c r="AW1335" s="7"/>
      <c r="AX1335" s="7"/>
      <c r="AY1335" s="7"/>
      <c r="AZ1335" s="7"/>
      <c r="BA1335" s="7"/>
      <c r="BB1335" s="7"/>
      <c r="BC1335" s="7"/>
      <c r="BD1335" s="7"/>
      <c r="BE1335" s="7"/>
      <c r="BF1335" s="7"/>
      <c r="BG1335" s="7"/>
      <c r="BH1335" s="7"/>
      <c r="BI1335" s="7"/>
      <c r="BJ1335" s="7"/>
      <c r="BK1335" s="7"/>
      <c r="BL1335" s="7"/>
      <c r="BM1335" s="7"/>
      <c r="BN1335" s="7"/>
      <c r="BO1335" s="7"/>
      <c r="BP1335" s="7"/>
      <c r="BQ1335" s="7"/>
      <c r="BR1335" s="7"/>
      <c r="BS1335" s="7"/>
      <c r="BT1335" s="7"/>
      <c r="BU1335" s="7"/>
      <c r="BV1335" s="7"/>
      <c r="BW1335" s="7"/>
      <c r="BX1335" s="7"/>
      <c r="BY1335" s="7"/>
      <c r="BZ1335" s="41"/>
      <c r="CA1335" s="7"/>
      <c r="CB1335" s="7"/>
      <c r="CC1335" s="7"/>
      <c r="CD1335" s="7"/>
      <c r="CE1335" s="7"/>
      <c r="CF1335" s="7"/>
    </row>
    <row r="1336">
      <c r="A1336" s="7"/>
      <c r="B1336" s="55"/>
      <c r="C1336" s="7"/>
      <c r="D1336" s="7"/>
      <c r="E1336" s="7"/>
      <c r="F1336" s="7"/>
      <c r="G1336" s="55"/>
      <c r="H1336" s="7"/>
      <c r="I1336" s="7"/>
      <c r="J1336" s="7"/>
      <c r="K1336" s="7"/>
      <c r="L1336" s="7"/>
      <c r="M1336" s="7"/>
      <c r="N1336" s="7"/>
      <c r="O1336" s="7"/>
      <c r="P1336" s="7"/>
      <c r="Q1336" s="55"/>
      <c r="R1336" s="7"/>
      <c r="S1336" s="7"/>
      <c r="T1336" s="7"/>
      <c r="U1336" s="7"/>
      <c r="V1336" s="7"/>
      <c r="W1336" s="7"/>
      <c r="X1336" s="7"/>
      <c r="Y1336" s="7"/>
      <c r="Z1336" s="7"/>
      <c r="AA1336" s="7"/>
      <c r="AB1336" s="7"/>
      <c r="AC1336" s="7"/>
      <c r="AD1336" s="7"/>
      <c r="AE1336" s="7"/>
      <c r="AF1336" s="7"/>
      <c r="AG1336" s="7"/>
      <c r="AH1336" s="7"/>
      <c r="AI1336" s="7"/>
      <c r="AJ1336" s="7"/>
      <c r="AK1336" s="7"/>
      <c r="AL1336" s="7"/>
      <c r="AM1336" s="7"/>
      <c r="AN1336" s="7"/>
      <c r="AO1336" s="7"/>
      <c r="AP1336" s="7"/>
      <c r="AQ1336" s="7"/>
      <c r="AR1336" s="7"/>
      <c r="AS1336" s="7"/>
      <c r="AT1336" s="7"/>
      <c r="AU1336" s="7"/>
      <c r="AV1336" s="7"/>
      <c r="AW1336" s="7"/>
      <c r="AX1336" s="7"/>
      <c r="AY1336" s="7"/>
      <c r="AZ1336" s="7"/>
      <c r="BA1336" s="7"/>
      <c r="BB1336" s="7"/>
      <c r="BC1336" s="7"/>
      <c r="BD1336" s="7"/>
      <c r="BE1336" s="7"/>
      <c r="BF1336" s="7"/>
      <c r="BG1336" s="7"/>
      <c r="BH1336" s="7"/>
      <c r="BI1336" s="7"/>
      <c r="BJ1336" s="7"/>
      <c r="BK1336" s="7"/>
      <c r="BL1336" s="7"/>
      <c r="BM1336" s="7"/>
      <c r="BN1336" s="7"/>
      <c r="BO1336" s="7"/>
      <c r="BP1336" s="7"/>
      <c r="BQ1336" s="7"/>
      <c r="BR1336" s="7"/>
      <c r="BS1336" s="7"/>
      <c r="BT1336" s="7"/>
      <c r="BU1336" s="7"/>
      <c r="BV1336" s="7"/>
      <c r="BW1336" s="7"/>
      <c r="BX1336" s="7"/>
      <c r="BY1336" s="7"/>
      <c r="BZ1336" s="41"/>
      <c r="CA1336" s="7"/>
      <c r="CB1336" s="7"/>
      <c r="CC1336" s="7"/>
      <c r="CD1336" s="7"/>
      <c r="CE1336" s="7"/>
      <c r="CF1336" s="7"/>
    </row>
    <row r="1337">
      <c r="A1337" s="7"/>
      <c r="B1337" s="55"/>
      <c r="C1337" s="7"/>
      <c r="D1337" s="7"/>
      <c r="E1337" s="7"/>
      <c r="F1337" s="7"/>
      <c r="G1337" s="55"/>
      <c r="H1337" s="7"/>
      <c r="I1337" s="7"/>
      <c r="J1337" s="7"/>
      <c r="K1337" s="7"/>
      <c r="L1337" s="7"/>
      <c r="M1337" s="7"/>
      <c r="N1337" s="7"/>
      <c r="O1337" s="7"/>
      <c r="P1337" s="7"/>
      <c r="Q1337" s="55"/>
      <c r="R1337" s="7"/>
      <c r="S1337" s="7"/>
      <c r="T1337" s="7"/>
      <c r="U1337" s="7"/>
      <c r="V1337" s="7"/>
      <c r="W1337" s="7"/>
      <c r="X1337" s="7"/>
      <c r="Y1337" s="7"/>
      <c r="Z1337" s="7"/>
      <c r="AA1337" s="7"/>
      <c r="AB1337" s="7"/>
      <c r="AC1337" s="7"/>
      <c r="AD1337" s="7"/>
      <c r="AE1337" s="7"/>
      <c r="AF1337" s="7"/>
      <c r="AG1337" s="7"/>
      <c r="AH1337" s="7"/>
      <c r="AI1337" s="7"/>
      <c r="AJ1337" s="7"/>
      <c r="AK1337" s="7"/>
      <c r="AL1337" s="7"/>
      <c r="AM1337" s="7"/>
      <c r="AN1337" s="7"/>
      <c r="AO1337" s="7"/>
      <c r="AP1337" s="7"/>
      <c r="AQ1337" s="7"/>
      <c r="AR1337" s="7"/>
      <c r="AS1337" s="7"/>
      <c r="AT1337" s="7"/>
      <c r="AU1337" s="7"/>
      <c r="AV1337" s="7"/>
      <c r="AW1337" s="7"/>
      <c r="AX1337" s="7"/>
      <c r="AY1337" s="7"/>
      <c r="AZ1337" s="7"/>
      <c r="BA1337" s="7"/>
      <c r="BB1337" s="7"/>
      <c r="BC1337" s="7"/>
      <c r="BD1337" s="7"/>
      <c r="BE1337" s="7"/>
      <c r="BF1337" s="7"/>
      <c r="BG1337" s="7"/>
      <c r="BH1337" s="7"/>
      <c r="BI1337" s="7"/>
      <c r="BJ1337" s="7"/>
      <c r="BK1337" s="7"/>
      <c r="BL1337" s="7"/>
      <c r="BM1337" s="7"/>
      <c r="BN1337" s="7"/>
      <c r="BO1337" s="7"/>
      <c r="BP1337" s="7"/>
      <c r="BQ1337" s="7"/>
      <c r="BR1337" s="7"/>
      <c r="BS1337" s="7"/>
      <c r="BT1337" s="7"/>
      <c r="BU1337" s="7"/>
      <c r="BV1337" s="7"/>
      <c r="BW1337" s="7"/>
      <c r="BX1337" s="7"/>
      <c r="BY1337" s="7"/>
      <c r="BZ1337" s="41"/>
      <c r="CA1337" s="7"/>
      <c r="CB1337" s="7"/>
      <c r="CC1337" s="7"/>
      <c r="CD1337" s="7"/>
      <c r="CE1337" s="7"/>
      <c r="CF1337" s="7"/>
    </row>
    <row r="1338">
      <c r="A1338" s="7"/>
      <c r="B1338" s="55"/>
      <c r="C1338" s="7"/>
      <c r="D1338" s="7"/>
      <c r="E1338" s="7"/>
      <c r="F1338" s="7"/>
      <c r="G1338" s="55"/>
      <c r="H1338" s="7"/>
      <c r="I1338" s="7"/>
      <c r="J1338" s="7"/>
      <c r="K1338" s="7"/>
      <c r="L1338" s="7"/>
      <c r="M1338" s="7"/>
      <c r="N1338" s="7"/>
      <c r="O1338" s="7"/>
      <c r="P1338" s="7"/>
      <c r="Q1338" s="55"/>
      <c r="R1338" s="7"/>
      <c r="S1338" s="7"/>
      <c r="T1338" s="7"/>
      <c r="U1338" s="7"/>
      <c r="V1338" s="7"/>
      <c r="W1338" s="7"/>
      <c r="X1338" s="7"/>
      <c r="Y1338" s="7"/>
      <c r="Z1338" s="7"/>
      <c r="AA1338" s="7"/>
      <c r="AB1338" s="7"/>
      <c r="AC1338" s="7"/>
      <c r="AD1338" s="7"/>
      <c r="AE1338" s="7"/>
      <c r="AF1338" s="7"/>
      <c r="AG1338" s="7"/>
      <c r="AH1338" s="7"/>
      <c r="AI1338" s="7"/>
      <c r="AJ1338" s="7"/>
      <c r="AK1338" s="7"/>
      <c r="AL1338" s="7"/>
      <c r="AM1338" s="7"/>
      <c r="AN1338" s="7"/>
      <c r="AO1338" s="7"/>
      <c r="AP1338" s="7"/>
      <c r="AQ1338" s="7"/>
      <c r="AR1338" s="7"/>
      <c r="AS1338" s="7"/>
      <c r="AT1338" s="7"/>
      <c r="AU1338" s="7"/>
      <c r="AV1338" s="7"/>
      <c r="AW1338" s="7"/>
      <c r="AX1338" s="7"/>
      <c r="AY1338" s="7"/>
      <c r="AZ1338" s="7"/>
      <c r="BA1338" s="7"/>
      <c r="BB1338" s="7"/>
      <c r="BC1338" s="7"/>
      <c r="BD1338" s="7"/>
      <c r="BE1338" s="7"/>
      <c r="BF1338" s="7"/>
      <c r="BG1338" s="7"/>
      <c r="BH1338" s="7"/>
      <c r="BI1338" s="7"/>
      <c r="BJ1338" s="7"/>
      <c r="BK1338" s="7"/>
      <c r="BL1338" s="7"/>
      <c r="BM1338" s="7"/>
      <c r="BN1338" s="7"/>
      <c r="BO1338" s="7"/>
      <c r="BP1338" s="7"/>
      <c r="BQ1338" s="7"/>
      <c r="BR1338" s="7"/>
      <c r="BS1338" s="7"/>
      <c r="BT1338" s="7"/>
      <c r="BU1338" s="7"/>
      <c r="BV1338" s="7"/>
      <c r="BW1338" s="7"/>
      <c r="BX1338" s="7"/>
      <c r="BY1338" s="7"/>
      <c r="BZ1338" s="41"/>
      <c r="CA1338" s="7"/>
      <c r="CB1338" s="7"/>
      <c r="CC1338" s="7"/>
      <c r="CD1338" s="7"/>
      <c r="CE1338" s="7"/>
      <c r="CF1338" s="7"/>
    </row>
    <row r="1339">
      <c r="A1339" s="7"/>
      <c r="B1339" s="55"/>
      <c r="C1339" s="7"/>
      <c r="D1339" s="7"/>
      <c r="E1339" s="7"/>
      <c r="F1339" s="7"/>
      <c r="G1339" s="55"/>
      <c r="H1339" s="7"/>
      <c r="I1339" s="7"/>
      <c r="J1339" s="7"/>
      <c r="K1339" s="7"/>
      <c r="L1339" s="7"/>
      <c r="M1339" s="7"/>
      <c r="N1339" s="7"/>
      <c r="O1339" s="7"/>
      <c r="P1339" s="7"/>
      <c r="Q1339" s="55"/>
      <c r="R1339" s="7"/>
      <c r="S1339" s="7"/>
      <c r="T1339" s="7"/>
      <c r="U1339" s="7"/>
      <c r="V1339" s="7"/>
      <c r="W1339" s="7"/>
      <c r="X1339" s="7"/>
      <c r="Y1339" s="7"/>
      <c r="Z1339" s="7"/>
      <c r="AA1339" s="7"/>
      <c r="AB1339" s="7"/>
      <c r="AC1339" s="7"/>
      <c r="AD1339" s="7"/>
      <c r="AE1339" s="7"/>
      <c r="AF1339" s="7"/>
      <c r="AG1339" s="7"/>
      <c r="AH1339" s="7"/>
      <c r="AI1339" s="7"/>
      <c r="AJ1339" s="7"/>
      <c r="AK1339" s="7"/>
      <c r="AL1339" s="7"/>
      <c r="AM1339" s="7"/>
      <c r="AN1339" s="7"/>
      <c r="AO1339" s="7"/>
      <c r="AP1339" s="7"/>
      <c r="AQ1339" s="7"/>
      <c r="AR1339" s="7"/>
      <c r="AS1339" s="7"/>
      <c r="AT1339" s="7"/>
      <c r="AU1339" s="7"/>
      <c r="AV1339" s="7"/>
      <c r="AW1339" s="7"/>
      <c r="AX1339" s="7"/>
      <c r="AY1339" s="7"/>
      <c r="AZ1339" s="7"/>
      <c r="BA1339" s="7"/>
      <c r="BB1339" s="7"/>
      <c r="BC1339" s="7"/>
      <c r="BD1339" s="7"/>
      <c r="BE1339" s="7"/>
      <c r="BF1339" s="7"/>
      <c r="BG1339" s="7"/>
      <c r="BH1339" s="7"/>
      <c r="BI1339" s="7"/>
      <c r="BJ1339" s="7"/>
      <c r="BK1339" s="7"/>
      <c r="BL1339" s="7"/>
      <c r="BM1339" s="7"/>
      <c r="BN1339" s="7"/>
      <c r="BO1339" s="7"/>
      <c r="BP1339" s="7"/>
      <c r="BQ1339" s="7"/>
      <c r="BR1339" s="7"/>
      <c r="BS1339" s="7"/>
      <c r="BT1339" s="7"/>
      <c r="BU1339" s="7"/>
      <c r="BV1339" s="7"/>
      <c r="BW1339" s="7"/>
      <c r="BX1339" s="7"/>
      <c r="BY1339" s="7"/>
      <c r="BZ1339" s="41"/>
      <c r="CA1339" s="7"/>
      <c r="CB1339" s="7"/>
      <c r="CC1339" s="7"/>
      <c r="CD1339" s="7"/>
      <c r="CE1339" s="7"/>
      <c r="CF1339" s="7"/>
    </row>
    <row r="1340">
      <c r="A1340" s="7"/>
      <c r="B1340" s="55"/>
      <c r="C1340" s="7"/>
      <c r="D1340" s="7"/>
      <c r="E1340" s="7"/>
      <c r="F1340" s="7"/>
      <c r="G1340" s="55"/>
      <c r="H1340" s="7"/>
      <c r="I1340" s="7"/>
      <c r="J1340" s="7"/>
      <c r="K1340" s="7"/>
      <c r="L1340" s="7"/>
      <c r="M1340" s="7"/>
      <c r="N1340" s="7"/>
      <c r="O1340" s="7"/>
      <c r="P1340" s="7"/>
      <c r="Q1340" s="55"/>
      <c r="R1340" s="7"/>
      <c r="S1340" s="7"/>
      <c r="T1340" s="7"/>
      <c r="U1340" s="7"/>
      <c r="V1340" s="7"/>
      <c r="W1340" s="7"/>
      <c r="X1340" s="7"/>
      <c r="Y1340" s="7"/>
      <c r="Z1340" s="7"/>
      <c r="AA1340" s="7"/>
      <c r="AB1340" s="7"/>
      <c r="AC1340" s="7"/>
      <c r="AD1340" s="7"/>
      <c r="AE1340" s="7"/>
      <c r="AF1340" s="7"/>
      <c r="AG1340" s="7"/>
      <c r="AH1340" s="7"/>
      <c r="AI1340" s="7"/>
      <c r="AJ1340" s="7"/>
      <c r="AK1340" s="7"/>
      <c r="AL1340" s="7"/>
      <c r="AM1340" s="7"/>
      <c r="AN1340" s="7"/>
      <c r="AO1340" s="7"/>
      <c r="AP1340" s="7"/>
      <c r="AQ1340" s="7"/>
      <c r="AR1340" s="7"/>
      <c r="AS1340" s="7"/>
      <c r="AT1340" s="7"/>
      <c r="AU1340" s="7"/>
      <c r="AV1340" s="7"/>
      <c r="AW1340" s="7"/>
      <c r="AX1340" s="7"/>
      <c r="AY1340" s="7"/>
      <c r="AZ1340" s="7"/>
      <c r="BA1340" s="7"/>
      <c r="BB1340" s="7"/>
      <c r="BC1340" s="7"/>
      <c r="BD1340" s="7"/>
      <c r="BE1340" s="7"/>
      <c r="BF1340" s="7"/>
      <c r="BG1340" s="7"/>
      <c r="BH1340" s="7"/>
      <c r="BI1340" s="7"/>
      <c r="BJ1340" s="7"/>
      <c r="BK1340" s="7"/>
      <c r="BL1340" s="7"/>
      <c r="BM1340" s="7"/>
      <c r="BN1340" s="7"/>
      <c r="BO1340" s="7"/>
      <c r="BP1340" s="7"/>
      <c r="BQ1340" s="7"/>
      <c r="BR1340" s="7"/>
      <c r="BS1340" s="7"/>
      <c r="BT1340" s="7"/>
      <c r="BU1340" s="7"/>
      <c r="BV1340" s="7"/>
      <c r="BW1340" s="7"/>
      <c r="BX1340" s="7"/>
      <c r="BY1340" s="7"/>
      <c r="BZ1340" s="41"/>
      <c r="CA1340" s="7"/>
      <c r="CB1340" s="7"/>
      <c r="CC1340" s="7"/>
      <c r="CD1340" s="7"/>
      <c r="CE1340" s="7"/>
      <c r="CF1340" s="7"/>
    </row>
    <row r="1341">
      <c r="A1341" s="7"/>
      <c r="B1341" s="55"/>
      <c r="C1341" s="7"/>
      <c r="D1341" s="7"/>
      <c r="E1341" s="7"/>
      <c r="F1341" s="7"/>
      <c r="G1341" s="55"/>
      <c r="H1341" s="7"/>
      <c r="I1341" s="7"/>
      <c r="J1341" s="7"/>
      <c r="K1341" s="7"/>
      <c r="L1341" s="7"/>
      <c r="M1341" s="7"/>
      <c r="N1341" s="7"/>
      <c r="O1341" s="7"/>
      <c r="P1341" s="7"/>
      <c r="Q1341" s="55"/>
      <c r="R1341" s="7"/>
      <c r="S1341" s="7"/>
      <c r="T1341" s="7"/>
      <c r="U1341" s="7"/>
      <c r="V1341" s="7"/>
      <c r="W1341" s="7"/>
      <c r="X1341" s="7"/>
      <c r="Y1341" s="7"/>
      <c r="Z1341" s="7"/>
      <c r="AA1341" s="7"/>
      <c r="AB1341" s="7"/>
      <c r="AC1341" s="7"/>
      <c r="AD1341" s="7"/>
      <c r="AE1341" s="7"/>
      <c r="AF1341" s="7"/>
      <c r="AG1341" s="7"/>
      <c r="AH1341" s="7"/>
      <c r="AI1341" s="7"/>
      <c r="AJ1341" s="7"/>
      <c r="AK1341" s="7"/>
      <c r="AL1341" s="7"/>
      <c r="AM1341" s="7"/>
      <c r="AN1341" s="7"/>
      <c r="AO1341" s="7"/>
      <c r="AP1341" s="7"/>
      <c r="AQ1341" s="7"/>
      <c r="AR1341" s="7"/>
      <c r="AS1341" s="7"/>
      <c r="AT1341" s="7"/>
      <c r="AU1341" s="7"/>
      <c r="AV1341" s="7"/>
      <c r="AW1341" s="7"/>
      <c r="AX1341" s="7"/>
      <c r="AY1341" s="7"/>
      <c r="AZ1341" s="7"/>
      <c r="BA1341" s="7"/>
      <c r="BB1341" s="7"/>
      <c r="BC1341" s="7"/>
      <c r="BD1341" s="7"/>
      <c r="BE1341" s="7"/>
      <c r="BF1341" s="7"/>
      <c r="BG1341" s="7"/>
      <c r="BH1341" s="7"/>
      <c r="BI1341" s="7"/>
      <c r="BJ1341" s="7"/>
      <c r="BK1341" s="7"/>
      <c r="BL1341" s="7"/>
      <c r="BM1341" s="7"/>
      <c r="BN1341" s="7"/>
      <c r="BO1341" s="7"/>
      <c r="BP1341" s="7"/>
      <c r="BQ1341" s="7"/>
      <c r="BR1341" s="7"/>
      <c r="BS1341" s="7"/>
      <c r="BT1341" s="7"/>
      <c r="BU1341" s="7"/>
      <c r="BV1341" s="7"/>
      <c r="BW1341" s="7"/>
      <c r="BX1341" s="7"/>
      <c r="BY1341" s="7"/>
      <c r="BZ1341" s="41"/>
      <c r="CA1341" s="7"/>
      <c r="CB1341" s="7"/>
      <c r="CC1341" s="7"/>
      <c r="CD1341" s="7"/>
      <c r="CE1341" s="7"/>
      <c r="CF1341" s="7"/>
    </row>
    <row r="1342">
      <c r="A1342" s="7"/>
      <c r="B1342" s="55"/>
      <c r="C1342" s="7"/>
      <c r="D1342" s="7"/>
      <c r="E1342" s="7"/>
      <c r="F1342" s="7"/>
      <c r="G1342" s="55"/>
      <c r="H1342" s="7"/>
      <c r="I1342" s="7"/>
      <c r="J1342" s="7"/>
      <c r="K1342" s="7"/>
      <c r="L1342" s="7"/>
      <c r="M1342" s="7"/>
      <c r="N1342" s="7"/>
      <c r="O1342" s="7"/>
      <c r="P1342" s="7"/>
      <c r="Q1342" s="55"/>
      <c r="R1342" s="7"/>
      <c r="S1342" s="7"/>
      <c r="T1342" s="7"/>
      <c r="U1342" s="7"/>
      <c r="V1342" s="7"/>
      <c r="W1342" s="7"/>
      <c r="X1342" s="7"/>
      <c r="Y1342" s="7"/>
      <c r="Z1342" s="7"/>
      <c r="AA1342" s="7"/>
      <c r="AB1342" s="7"/>
      <c r="AC1342" s="7"/>
      <c r="AD1342" s="7"/>
      <c r="AE1342" s="7"/>
      <c r="AF1342" s="7"/>
      <c r="AG1342" s="7"/>
      <c r="AH1342" s="7"/>
      <c r="AI1342" s="7"/>
      <c r="AJ1342" s="7"/>
      <c r="AK1342" s="7"/>
      <c r="AL1342" s="7"/>
      <c r="AM1342" s="7"/>
      <c r="AN1342" s="7"/>
      <c r="AO1342" s="7"/>
      <c r="AP1342" s="7"/>
      <c r="AQ1342" s="7"/>
      <c r="AR1342" s="7"/>
      <c r="AS1342" s="7"/>
      <c r="AT1342" s="7"/>
      <c r="AU1342" s="7"/>
      <c r="AV1342" s="7"/>
      <c r="AW1342" s="7"/>
      <c r="AX1342" s="7"/>
      <c r="AY1342" s="7"/>
      <c r="AZ1342" s="7"/>
      <c r="BA1342" s="7"/>
      <c r="BB1342" s="7"/>
      <c r="BC1342" s="7"/>
      <c r="BD1342" s="7"/>
      <c r="BE1342" s="7"/>
      <c r="BF1342" s="7"/>
      <c r="BG1342" s="7"/>
      <c r="BH1342" s="7"/>
      <c r="BI1342" s="7"/>
      <c r="BJ1342" s="7"/>
      <c r="BK1342" s="7"/>
      <c r="BL1342" s="7"/>
      <c r="BM1342" s="7"/>
      <c r="BN1342" s="7"/>
      <c r="BO1342" s="7"/>
      <c r="BP1342" s="7"/>
      <c r="BQ1342" s="7"/>
      <c r="BR1342" s="7"/>
      <c r="BS1342" s="7"/>
      <c r="BT1342" s="7"/>
      <c r="BU1342" s="7"/>
      <c r="BV1342" s="7"/>
      <c r="BW1342" s="7"/>
      <c r="BX1342" s="7"/>
      <c r="BY1342" s="7"/>
      <c r="BZ1342" s="41"/>
      <c r="CA1342" s="7"/>
      <c r="CB1342" s="7"/>
      <c r="CC1342" s="7"/>
      <c r="CD1342" s="7"/>
      <c r="CE1342" s="7"/>
      <c r="CF1342" s="7"/>
    </row>
    <row r="1343">
      <c r="A1343" s="7"/>
      <c r="B1343" s="55"/>
      <c r="C1343" s="7"/>
      <c r="D1343" s="7"/>
      <c r="E1343" s="7"/>
      <c r="F1343" s="7"/>
      <c r="G1343" s="55"/>
      <c r="H1343" s="7"/>
      <c r="I1343" s="7"/>
      <c r="J1343" s="7"/>
      <c r="K1343" s="7"/>
      <c r="L1343" s="7"/>
      <c r="M1343" s="7"/>
      <c r="N1343" s="7"/>
      <c r="O1343" s="7"/>
      <c r="P1343" s="7"/>
      <c r="Q1343" s="55"/>
      <c r="R1343" s="7"/>
      <c r="S1343" s="7"/>
      <c r="T1343" s="7"/>
      <c r="U1343" s="7"/>
      <c r="V1343" s="7"/>
      <c r="W1343" s="7"/>
      <c r="X1343" s="7"/>
      <c r="Y1343" s="7"/>
      <c r="Z1343" s="7"/>
      <c r="AA1343" s="7"/>
      <c r="AB1343" s="7"/>
      <c r="AC1343" s="7"/>
      <c r="AD1343" s="7"/>
      <c r="AE1343" s="7"/>
      <c r="AF1343" s="7"/>
      <c r="AG1343" s="7"/>
      <c r="AH1343" s="7"/>
      <c r="AI1343" s="7"/>
      <c r="AJ1343" s="7"/>
      <c r="AK1343" s="7"/>
      <c r="AL1343" s="7"/>
      <c r="AM1343" s="7"/>
      <c r="AN1343" s="7"/>
      <c r="AO1343" s="7"/>
      <c r="AP1343" s="7"/>
      <c r="AQ1343" s="7"/>
      <c r="AR1343" s="7"/>
      <c r="AS1343" s="7"/>
      <c r="AT1343" s="7"/>
      <c r="AU1343" s="7"/>
      <c r="AV1343" s="7"/>
      <c r="AW1343" s="7"/>
      <c r="AX1343" s="7"/>
      <c r="AY1343" s="7"/>
      <c r="AZ1343" s="7"/>
      <c r="BA1343" s="7"/>
      <c r="BB1343" s="7"/>
      <c r="BC1343" s="7"/>
      <c r="BD1343" s="7"/>
      <c r="BE1343" s="7"/>
      <c r="BF1343" s="7"/>
      <c r="BG1343" s="7"/>
      <c r="BH1343" s="7"/>
      <c r="BI1343" s="7"/>
      <c r="BJ1343" s="7"/>
      <c r="BK1343" s="7"/>
      <c r="BL1343" s="7"/>
      <c r="BM1343" s="7"/>
      <c r="BN1343" s="7"/>
      <c r="BO1343" s="7"/>
      <c r="BP1343" s="7"/>
      <c r="BQ1343" s="7"/>
      <c r="BR1343" s="7"/>
      <c r="BS1343" s="7"/>
      <c r="BT1343" s="7"/>
      <c r="BU1343" s="7"/>
      <c r="BV1343" s="7"/>
      <c r="BW1343" s="7"/>
      <c r="BX1343" s="7"/>
      <c r="BY1343" s="7"/>
      <c r="BZ1343" s="41"/>
      <c r="CA1343" s="7"/>
      <c r="CB1343" s="7"/>
      <c r="CC1343" s="7"/>
      <c r="CD1343" s="7"/>
      <c r="CE1343" s="7"/>
      <c r="CF1343" s="7"/>
    </row>
    <row r="1344">
      <c r="A1344" s="7"/>
      <c r="B1344" s="55"/>
      <c r="C1344" s="7"/>
      <c r="D1344" s="7"/>
      <c r="E1344" s="7"/>
      <c r="F1344" s="7"/>
      <c r="G1344" s="55"/>
      <c r="H1344" s="7"/>
      <c r="I1344" s="7"/>
      <c r="J1344" s="7"/>
      <c r="K1344" s="7"/>
      <c r="L1344" s="7"/>
      <c r="M1344" s="7"/>
      <c r="N1344" s="7"/>
      <c r="O1344" s="7"/>
      <c r="P1344" s="7"/>
      <c r="Q1344" s="55"/>
      <c r="R1344" s="7"/>
      <c r="S1344" s="7"/>
      <c r="T1344" s="7"/>
      <c r="U1344" s="7"/>
      <c r="V1344" s="7"/>
      <c r="W1344" s="7"/>
      <c r="X1344" s="7"/>
      <c r="Y1344" s="7"/>
      <c r="Z1344" s="7"/>
      <c r="AA1344" s="7"/>
      <c r="AB1344" s="7"/>
      <c r="AC1344" s="7"/>
      <c r="AD1344" s="7"/>
      <c r="AE1344" s="7"/>
      <c r="AF1344" s="7"/>
      <c r="AG1344" s="7"/>
      <c r="AH1344" s="7"/>
      <c r="AI1344" s="7"/>
      <c r="AJ1344" s="7"/>
      <c r="AK1344" s="7"/>
      <c r="AL1344" s="7"/>
      <c r="AM1344" s="7"/>
      <c r="AN1344" s="7"/>
      <c r="AO1344" s="7"/>
      <c r="AP1344" s="7"/>
      <c r="AQ1344" s="7"/>
      <c r="AR1344" s="7"/>
      <c r="AS1344" s="7"/>
      <c r="AT1344" s="7"/>
      <c r="AU1344" s="7"/>
      <c r="AV1344" s="7"/>
      <c r="AW1344" s="7"/>
      <c r="AX1344" s="7"/>
      <c r="AY1344" s="7"/>
      <c r="AZ1344" s="7"/>
      <c r="BA1344" s="7"/>
      <c r="BB1344" s="7"/>
      <c r="BC1344" s="7"/>
      <c r="BD1344" s="7"/>
      <c r="BE1344" s="7"/>
      <c r="BF1344" s="7"/>
      <c r="BG1344" s="7"/>
      <c r="BH1344" s="7"/>
      <c r="BI1344" s="7"/>
      <c r="BJ1344" s="7"/>
      <c r="BK1344" s="7"/>
      <c r="BL1344" s="7"/>
      <c r="BM1344" s="7"/>
      <c r="BN1344" s="7"/>
      <c r="BO1344" s="7"/>
      <c r="BP1344" s="7"/>
      <c r="BQ1344" s="7"/>
      <c r="BR1344" s="7"/>
      <c r="BS1344" s="7"/>
      <c r="BT1344" s="7"/>
      <c r="BU1344" s="7"/>
      <c r="BV1344" s="7"/>
      <c r="BW1344" s="7"/>
      <c r="BX1344" s="7"/>
      <c r="BY1344" s="7"/>
      <c r="BZ1344" s="41"/>
      <c r="CA1344" s="7"/>
      <c r="CB1344" s="7"/>
      <c r="CC1344" s="7"/>
      <c r="CD1344" s="7"/>
      <c r="CE1344" s="7"/>
      <c r="CF1344" s="7"/>
    </row>
    <row r="1345">
      <c r="A1345" s="7"/>
      <c r="B1345" s="55"/>
      <c r="C1345" s="7"/>
      <c r="D1345" s="7"/>
      <c r="E1345" s="7"/>
      <c r="F1345" s="7"/>
      <c r="G1345" s="55"/>
      <c r="H1345" s="7"/>
      <c r="I1345" s="7"/>
      <c r="J1345" s="7"/>
      <c r="K1345" s="7"/>
      <c r="L1345" s="7"/>
      <c r="M1345" s="7"/>
      <c r="N1345" s="7"/>
      <c r="O1345" s="7"/>
      <c r="P1345" s="7"/>
      <c r="Q1345" s="55"/>
      <c r="R1345" s="7"/>
      <c r="S1345" s="7"/>
      <c r="T1345" s="7"/>
      <c r="U1345" s="7"/>
      <c r="V1345" s="7"/>
      <c r="W1345" s="7"/>
      <c r="X1345" s="7"/>
      <c r="Y1345" s="7"/>
      <c r="Z1345" s="7"/>
      <c r="AA1345" s="7"/>
      <c r="AB1345" s="7"/>
      <c r="AC1345" s="7"/>
      <c r="AD1345" s="7"/>
      <c r="AE1345" s="7"/>
      <c r="AF1345" s="7"/>
      <c r="AG1345" s="7"/>
      <c r="AH1345" s="7"/>
      <c r="AI1345" s="7"/>
      <c r="AJ1345" s="7"/>
      <c r="AK1345" s="7"/>
      <c r="AL1345" s="7"/>
      <c r="AM1345" s="7"/>
      <c r="AN1345" s="7"/>
      <c r="AO1345" s="7"/>
      <c r="AP1345" s="7"/>
      <c r="AQ1345" s="7"/>
      <c r="AR1345" s="7"/>
      <c r="AS1345" s="7"/>
      <c r="AT1345" s="7"/>
      <c r="AU1345" s="7"/>
      <c r="AV1345" s="7"/>
      <c r="AW1345" s="7"/>
      <c r="AX1345" s="7"/>
      <c r="AY1345" s="7"/>
      <c r="AZ1345" s="7"/>
      <c r="BA1345" s="7"/>
      <c r="BB1345" s="7"/>
      <c r="BC1345" s="7"/>
      <c r="BD1345" s="7"/>
      <c r="BE1345" s="7"/>
      <c r="BF1345" s="7"/>
      <c r="BG1345" s="7"/>
      <c r="BH1345" s="7"/>
      <c r="BI1345" s="7"/>
      <c r="BJ1345" s="7"/>
      <c r="BK1345" s="7"/>
      <c r="BL1345" s="7"/>
      <c r="BM1345" s="7"/>
      <c r="BN1345" s="7"/>
      <c r="BO1345" s="7"/>
      <c r="BP1345" s="7"/>
      <c r="BQ1345" s="7"/>
      <c r="BR1345" s="7"/>
      <c r="BS1345" s="7"/>
      <c r="BT1345" s="7"/>
      <c r="BU1345" s="7"/>
      <c r="BV1345" s="7"/>
      <c r="BW1345" s="7"/>
      <c r="BX1345" s="7"/>
      <c r="BY1345" s="7"/>
      <c r="BZ1345" s="41"/>
      <c r="CA1345" s="7"/>
      <c r="CB1345" s="7"/>
      <c r="CC1345" s="7"/>
      <c r="CD1345" s="7"/>
      <c r="CE1345" s="7"/>
      <c r="CF1345" s="7"/>
    </row>
    <row r="1346">
      <c r="A1346" s="7"/>
      <c r="B1346" s="55"/>
      <c r="C1346" s="7"/>
      <c r="D1346" s="7"/>
      <c r="E1346" s="7"/>
      <c r="F1346" s="7"/>
      <c r="G1346" s="55"/>
      <c r="H1346" s="7"/>
      <c r="I1346" s="7"/>
      <c r="J1346" s="7"/>
      <c r="K1346" s="7"/>
      <c r="L1346" s="7"/>
      <c r="M1346" s="7"/>
      <c r="N1346" s="7"/>
      <c r="O1346" s="7"/>
      <c r="P1346" s="7"/>
      <c r="Q1346" s="55"/>
      <c r="R1346" s="7"/>
      <c r="S1346" s="7"/>
      <c r="T1346" s="7"/>
      <c r="U1346" s="7"/>
      <c r="V1346" s="7"/>
      <c r="W1346" s="7"/>
      <c r="X1346" s="7"/>
      <c r="Y1346" s="7"/>
      <c r="Z1346" s="7"/>
      <c r="AA1346" s="7"/>
      <c r="AB1346" s="7"/>
      <c r="AC1346" s="7"/>
      <c r="AD1346" s="7"/>
      <c r="AE1346" s="7"/>
      <c r="AF1346" s="7"/>
      <c r="AG1346" s="7"/>
      <c r="AH1346" s="7"/>
      <c r="AI1346" s="7"/>
      <c r="AJ1346" s="7"/>
      <c r="AK1346" s="7"/>
      <c r="AL1346" s="7"/>
      <c r="AM1346" s="7"/>
      <c r="AN1346" s="7"/>
      <c r="AO1346" s="7"/>
      <c r="AP1346" s="7"/>
      <c r="AQ1346" s="7"/>
      <c r="AR1346" s="7"/>
      <c r="AS1346" s="7"/>
      <c r="AT1346" s="7"/>
      <c r="AU1346" s="7"/>
      <c r="AV1346" s="7"/>
      <c r="AW1346" s="7"/>
      <c r="AX1346" s="7"/>
      <c r="AY1346" s="7"/>
      <c r="AZ1346" s="7"/>
      <c r="BA1346" s="7"/>
      <c r="BB1346" s="7"/>
      <c r="BC1346" s="7"/>
      <c r="BD1346" s="7"/>
      <c r="BE1346" s="7"/>
      <c r="BF1346" s="7"/>
      <c r="BG1346" s="7"/>
      <c r="BH1346" s="7"/>
      <c r="BI1346" s="7"/>
      <c r="BJ1346" s="7"/>
      <c r="BK1346" s="7"/>
      <c r="BL1346" s="7"/>
      <c r="BM1346" s="7"/>
      <c r="BN1346" s="7"/>
      <c r="BO1346" s="7"/>
      <c r="BP1346" s="7"/>
      <c r="BQ1346" s="7"/>
      <c r="BR1346" s="7"/>
      <c r="BS1346" s="7"/>
      <c r="BT1346" s="7"/>
      <c r="BU1346" s="7"/>
      <c r="BV1346" s="7"/>
      <c r="BW1346" s="7"/>
      <c r="BX1346" s="7"/>
      <c r="BY1346" s="7"/>
      <c r="BZ1346" s="41"/>
      <c r="CA1346" s="7"/>
      <c r="CB1346" s="7"/>
      <c r="CC1346" s="7"/>
      <c r="CD1346" s="7"/>
      <c r="CE1346" s="7"/>
      <c r="CF1346" s="7"/>
    </row>
    <row r="1347">
      <c r="A1347" s="7"/>
      <c r="B1347" s="55"/>
      <c r="C1347" s="7"/>
      <c r="D1347" s="7"/>
      <c r="E1347" s="7"/>
      <c r="F1347" s="7"/>
      <c r="G1347" s="55"/>
      <c r="H1347" s="7"/>
      <c r="I1347" s="7"/>
      <c r="J1347" s="7"/>
      <c r="K1347" s="7"/>
      <c r="L1347" s="7"/>
      <c r="M1347" s="7"/>
      <c r="N1347" s="7"/>
      <c r="O1347" s="7"/>
      <c r="P1347" s="7"/>
      <c r="Q1347" s="55"/>
      <c r="R1347" s="7"/>
      <c r="S1347" s="7"/>
      <c r="T1347" s="7"/>
      <c r="U1347" s="7"/>
      <c r="V1347" s="7"/>
      <c r="W1347" s="7"/>
      <c r="X1347" s="7"/>
      <c r="Y1347" s="7"/>
      <c r="Z1347" s="7"/>
      <c r="AA1347" s="7"/>
      <c r="AB1347" s="7"/>
      <c r="AC1347" s="7"/>
      <c r="AD1347" s="7"/>
      <c r="AE1347" s="7"/>
      <c r="AF1347" s="7"/>
      <c r="AG1347" s="7"/>
      <c r="AH1347" s="7"/>
      <c r="AI1347" s="7"/>
      <c r="AJ1347" s="7"/>
      <c r="AK1347" s="7"/>
      <c r="AL1347" s="7"/>
      <c r="AM1347" s="7"/>
      <c r="AN1347" s="7"/>
      <c r="AO1347" s="7"/>
      <c r="AP1347" s="7"/>
      <c r="AQ1347" s="7"/>
      <c r="AR1347" s="7"/>
      <c r="AS1347" s="7"/>
      <c r="AT1347" s="7"/>
      <c r="AU1347" s="7"/>
      <c r="AV1347" s="7"/>
      <c r="AW1347" s="7"/>
      <c r="AX1347" s="7"/>
      <c r="AY1347" s="7"/>
      <c r="AZ1347" s="7"/>
      <c r="BA1347" s="7"/>
      <c r="BB1347" s="7"/>
      <c r="BC1347" s="7"/>
      <c r="BD1347" s="7"/>
      <c r="BE1347" s="7"/>
      <c r="BF1347" s="7"/>
      <c r="BG1347" s="7"/>
      <c r="BH1347" s="7"/>
      <c r="BI1347" s="7"/>
      <c r="BJ1347" s="7"/>
      <c r="BK1347" s="7"/>
      <c r="BL1347" s="7"/>
      <c r="BM1347" s="7"/>
      <c r="BN1347" s="7"/>
      <c r="BO1347" s="7"/>
      <c r="BP1347" s="7"/>
      <c r="BQ1347" s="7"/>
      <c r="BR1347" s="7"/>
      <c r="BS1347" s="7"/>
      <c r="BT1347" s="7"/>
      <c r="BU1347" s="7"/>
      <c r="BV1347" s="7"/>
      <c r="BW1347" s="7"/>
      <c r="BX1347" s="7"/>
      <c r="BY1347" s="7"/>
      <c r="BZ1347" s="41"/>
      <c r="CA1347" s="7"/>
      <c r="CB1347" s="7"/>
      <c r="CC1347" s="7"/>
      <c r="CD1347" s="7"/>
      <c r="CE1347" s="7"/>
      <c r="CF1347" s="7"/>
    </row>
    <row r="1348">
      <c r="A1348" s="7"/>
      <c r="B1348" s="55"/>
      <c r="C1348" s="7"/>
      <c r="D1348" s="7"/>
      <c r="E1348" s="7"/>
      <c r="F1348" s="7"/>
      <c r="G1348" s="55"/>
      <c r="H1348" s="7"/>
      <c r="I1348" s="7"/>
      <c r="J1348" s="7"/>
      <c r="K1348" s="7"/>
      <c r="L1348" s="7"/>
      <c r="M1348" s="7"/>
      <c r="N1348" s="7"/>
      <c r="O1348" s="7"/>
      <c r="P1348" s="7"/>
      <c r="Q1348" s="55"/>
      <c r="R1348" s="7"/>
      <c r="S1348" s="7"/>
      <c r="T1348" s="7"/>
      <c r="U1348" s="7"/>
      <c r="V1348" s="7"/>
      <c r="W1348" s="7"/>
      <c r="X1348" s="7"/>
      <c r="Y1348" s="7"/>
      <c r="Z1348" s="7"/>
      <c r="AA1348" s="7"/>
      <c r="AB1348" s="7"/>
      <c r="AC1348" s="7"/>
      <c r="AD1348" s="7"/>
      <c r="AE1348" s="7"/>
      <c r="AF1348" s="7"/>
      <c r="AG1348" s="7"/>
      <c r="AH1348" s="7"/>
      <c r="AI1348" s="7"/>
      <c r="AJ1348" s="7"/>
      <c r="AK1348" s="7"/>
      <c r="AL1348" s="7"/>
      <c r="AM1348" s="7"/>
      <c r="AN1348" s="7"/>
      <c r="AO1348" s="7"/>
      <c r="AP1348" s="7"/>
      <c r="AQ1348" s="7"/>
      <c r="AR1348" s="7"/>
      <c r="AS1348" s="7"/>
      <c r="AT1348" s="7"/>
      <c r="AU1348" s="7"/>
      <c r="AV1348" s="7"/>
      <c r="AW1348" s="7"/>
      <c r="AX1348" s="7"/>
      <c r="AY1348" s="7"/>
      <c r="AZ1348" s="7"/>
      <c r="BA1348" s="7"/>
      <c r="BB1348" s="7"/>
      <c r="BC1348" s="7"/>
      <c r="BD1348" s="7"/>
      <c r="BE1348" s="7"/>
      <c r="BF1348" s="7"/>
      <c r="BG1348" s="7"/>
      <c r="BH1348" s="7"/>
      <c r="BI1348" s="7"/>
      <c r="BJ1348" s="7"/>
      <c r="BK1348" s="7"/>
      <c r="BL1348" s="7"/>
      <c r="BM1348" s="7"/>
      <c r="BN1348" s="7"/>
      <c r="BO1348" s="7"/>
      <c r="BP1348" s="7"/>
      <c r="BQ1348" s="7"/>
      <c r="BR1348" s="7"/>
      <c r="BS1348" s="7"/>
      <c r="BT1348" s="7"/>
      <c r="BU1348" s="7"/>
      <c r="BV1348" s="7"/>
      <c r="BW1348" s="7"/>
      <c r="BX1348" s="7"/>
      <c r="BY1348" s="7"/>
      <c r="BZ1348" s="41"/>
      <c r="CA1348" s="7"/>
      <c r="CB1348" s="7"/>
      <c r="CC1348" s="7"/>
      <c r="CD1348" s="7"/>
      <c r="CE1348" s="7"/>
      <c r="CF1348" s="7"/>
    </row>
    <row r="1349">
      <c r="A1349" s="7"/>
      <c r="B1349" s="55"/>
      <c r="C1349" s="7"/>
      <c r="D1349" s="7"/>
      <c r="E1349" s="7"/>
      <c r="F1349" s="7"/>
      <c r="G1349" s="55"/>
      <c r="H1349" s="7"/>
      <c r="I1349" s="7"/>
      <c r="J1349" s="7"/>
      <c r="K1349" s="7"/>
      <c r="L1349" s="7"/>
      <c r="M1349" s="7"/>
      <c r="N1349" s="7"/>
      <c r="O1349" s="7"/>
      <c r="P1349" s="7"/>
      <c r="Q1349" s="55"/>
      <c r="R1349" s="7"/>
      <c r="S1349" s="7"/>
      <c r="T1349" s="7"/>
      <c r="U1349" s="7"/>
      <c r="V1349" s="7"/>
      <c r="W1349" s="7"/>
      <c r="X1349" s="7"/>
      <c r="Y1349" s="7"/>
      <c r="Z1349" s="7"/>
      <c r="AA1349" s="7"/>
      <c r="AB1349" s="7"/>
      <c r="AC1349" s="7"/>
      <c r="AD1349" s="7"/>
      <c r="AE1349" s="7"/>
      <c r="AF1349" s="7"/>
      <c r="AG1349" s="7"/>
      <c r="AH1349" s="7"/>
      <c r="AI1349" s="7"/>
      <c r="AJ1349" s="7"/>
      <c r="AK1349" s="7"/>
      <c r="AL1349" s="7"/>
      <c r="AM1349" s="7"/>
      <c r="AN1349" s="7"/>
      <c r="AO1349" s="7"/>
      <c r="AP1349" s="7"/>
      <c r="AQ1349" s="7"/>
      <c r="AR1349" s="7"/>
      <c r="AS1349" s="7"/>
      <c r="AT1349" s="7"/>
      <c r="AU1349" s="7"/>
      <c r="AV1349" s="7"/>
      <c r="AW1349" s="7"/>
      <c r="AX1349" s="7"/>
      <c r="AY1349" s="7"/>
      <c r="AZ1349" s="7"/>
      <c r="BA1349" s="7"/>
      <c r="BB1349" s="7"/>
      <c r="BC1349" s="7"/>
      <c r="BD1349" s="7"/>
      <c r="BE1349" s="7"/>
      <c r="BF1349" s="7"/>
      <c r="BG1349" s="7"/>
      <c r="BH1349" s="7"/>
      <c r="BI1349" s="7"/>
      <c r="BJ1349" s="7"/>
      <c r="BK1349" s="7"/>
      <c r="BL1349" s="7"/>
      <c r="BM1349" s="7"/>
      <c r="BN1349" s="7"/>
      <c r="BO1349" s="7"/>
      <c r="BP1349" s="7"/>
      <c r="BQ1349" s="7"/>
      <c r="BR1349" s="7"/>
      <c r="BS1349" s="7"/>
      <c r="BT1349" s="7"/>
      <c r="BU1349" s="7"/>
      <c r="BV1349" s="7"/>
      <c r="BW1349" s="7"/>
      <c r="BX1349" s="7"/>
      <c r="BY1349" s="7"/>
      <c r="BZ1349" s="41"/>
      <c r="CA1349" s="7"/>
      <c r="CB1349" s="7"/>
      <c r="CC1349" s="7"/>
      <c r="CD1349" s="7"/>
      <c r="CE1349" s="7"/>
      <c r="CF1349" s="7"/>
    </row>
    <row r="1350">
      <c r="A1350" s="7"/>
      <c r="B1350" s="55"/>
      <c r="C1350" s="7"/>
      <c r="D1350" s="7"/>
      <c r="E1350" s="7"/>
      <c r="F1350" s="7"/>
      <c r="G1350" s="55"/>
      <c r="H1350" s="7"/>
      <c r="I1350" s="7"/>
      <c r="J1350" s="7"/>
      <c r="K1350" s="7"/>
      <c r="L1350" s="7"/>
      <c r="M1350" s="7"/>
      <c r="N1350" s="7"/>
      <c r="O1350" s="7"/>
      <c r="P1350" s="7"/>
      <c r="Q1350" s="55"/>
      <c r="R1350" s="7"/>
      <c r="S1350" s="7"/>
      <c r="T1350" s="7"/>
      <c r="U1350" s="7"/>
      <c r="V1350" s="7"/>
      <c r="W1350" s="7"/>
      <c r="X1350" s="7"/>
      <c r="Y1350" s="7"/>
      <c r="Z1350" s="7"/>
      <c r="AA1350" s="7"/>
      <c r="AB1350" s="7"/>
      <c r="AC1350" s="7"/>
      <c r="AD1350" s="7"/>
      <c r="AE1350" s="7"/>
      <c r="AF1350" s="7"/>
      <c r="AG1350" s="7"/>
      <c r="AH1350" s="7"/>
      <c r="AI1350" s="7"/>
      <c r="AJ1350" s="7"/>
      <c r="AK1350" s="7"/>
      <c r="AL1350" s="7"/>
      <c r="AM1350" s="7"/>
      <c r="AN1350" s="7"/>
      <c r="AO1350" s="7"/>
      <c r="AP1350" s="7"/>
      <c r="AQ1350" s="7"/>
      <c r="AR1350" s="7"/>
      <c r="AS1350" s="7"/>
      <c r="AT1350" s="7"/>
      <c r="AU1350" s="7"/>
      <c r="AV1350" s="7"/>
      <c r="AW1350" s="7"/>
      <c r="AX1350" s="7"/>
      <c r="AY1350" s="7"/>
      <c r="AZ1350" s="7"/>
      <c r="BA1350" s="7"/>
      <c r="BB1350" s="7"/>
      <c r="BC1350" s="7"/>
      <c r="BD1350" s="7"/>
      <c r="BE1350" s="7"/>
      <c r="BF1350" s="7"/>
      <c r="BG1350" s="7"/>
      <c r="BH1350" s="7"/>
      <c r="BI1350" s="7"/>
      <c r="BJ1350" s="7"/>
      <c r="BK1350" s="7"/>
      <c r="BL1350" s="7"/>
      <c r="BM1350" s="7"/>
      <c r="BN1350" s="7"/>
      <c r="BO1350" s="7"/>
      <c r="BP1350" s="7"/>
      <c r="BQ1350" s="7"/>
      <c r="BR1350" s="7"/>
      <c r="BS1350" s="7"/>
      <c r="BT1350" s="7"/>
      <c r="BU1350" s="7"/>
      <c r="BV1350" s="7"/>
      <c r="BW1350" s="7"/>
      <c r="BX1350" s="7"/>
      <c r="BY1350" s="7"/>
      <c r="BZ1350" s="41"/>
      <c r="CA1350" s="7"/>
      <c r="CB1350" s="7"/>
      <c r="CC1350" s="7"/>
      <c r="CD1350" s="7"/>
      <c r="CE1350" s="7"/>
      <c r="CF1350" s="7"/>
    </row>
    <row r="1351">
      <c r="A1351" s="7"/>
      <c r="B1351" s="55"/>
      <c r="C1351" s="7"/>
      <c r="D1351" s="7"/>
      <c r="E1351" s="7"/>
      <c r="F1351" s="7"/>
      <c r="G1351" s="55"/>
      <c r="H1351" s="7"/>
      <c r="I1351" s="7"/>
      <c r="J1351" s="7"/>
      <c r="K1351" s="7"/>
      <c r="L1351" s="7"/>
      <c r="M1351" s="7"/>
      <c r="N1351" s="7"/>
      <c r="O1351" s="7"/>
      <c r="P1351" s="7"/>
      <c r="Q1351" s="55"/>
      <c r="R1351" s="7"/>
      <c r="S1351" s="7"/>
      <c r="T1351" s="7"/>
      <c r="U1351" s="7"/>
      <c r="V1351" s="7"/>
      <c r="W1351" s="7"/>
      <c r="X1351" s="7"/>
      <c r="Y1351" s="7"/>
      <c r="Z1351" s="7"/>
      <c r="AA1351" s="7"/>
      <c r="AB1351" s="7"/>
      <c r="AC1351" s="7"/>
      <c r="AD1351" s="7"/>
      <c r="AE1351" s="7"/>
      <c r="AF1351" s="7"/>
      <c r="AG1351" s="7"/>
      <c r="AH1351" s="7"/>
      <c r="AI1351" s="7"/>
      <c r="AJ1351" s="7"/>
      <c r="AK1351" s="7"/>
      <c r="AL1351" s="7"/>
      <c r="AM1351" s="7"/>
      <c r="AN1351" s="7"/>
      <c r="AO1351" s="7"/>
      <c r="AP1351" s="7"/>
      <c r="AQ1351" s="7"/>
      <c r="AR1351" s="7"/>
      <c r="AS1351" s="7"/>
      <c r="AT1351" s="7"/>
      <c r="AU1351" s="7"/>
      <c r="AV1351" s="7"/>
      <c r="AW1351" s="7"/>
      <c r="AX1351" s="7"/>
      <c r="AY1351" s="7"/>
      <c r="AZ1351" s="7"/>
      <c r="BA1351" s="7"/>
      <c r="BB1351" s="7"/>
      <c r="BC1351" s="7"/>
      <c r="BD1351" s="7"/>
      <c r="BE1351" s="7"/>
      <c r="BF1351" s="7"/>
      <c r="BG1351" s="7"/>
      <c r="BH1351" s="7"/>
      <c r="BI1351" s="7"/>
      <c r="BJ1351" s="7"/>
      <c r="BK1351" s="7"/>
      <c r="BL1351" s="7"/>
      <c r="BM1351" s="7"/>
      <c r="BN1351" s="7"/>
      <c r="BO1351" s="7"/>
      <c r="BP1351" s="7"/>
      <c r="BQ1351" s="7"/>
      <c r="BR1351" s="7"/>
      <c r="BS1351" s="7"/>
      <c r="BT1351" s="7"/>
      <c r="BU1351" s="7"/>
      <c r="BV1351" s="7"/>
      <c r="BW1351" s="7"/>
      <c r="BX1351" s="7"/>
      <c r="BY1351" s="7"/>
      <c r="BZ1351" s="41"/>
      <c r="CA1351" s="7"/>
      <c r="CB1351" s="7"/>
      <c r="CC1351" s="7"/>
      <c r="CD1351" s="7"/>
      <c r="CE1351" s="7"/>
      <c r="CF1351" s="7"/>
    </row>
    <row r="1352">
      <c r="A1352" s="7"/>
      <c r="B1352" s="55"/>
      <c r="C1352" s="7"/>
      <c r="D1352" s="7"/>
      <c r="E1352" s="7"/>
      <c r="F1352" s="7"/>
      <c r="G1352" s="55"/>
      <c r="H1352" s="7"/>
      <c r="I1352" s="7"/>
      <c r="J1352" s="7"/>
      <c r="K1352" s="7"/>
      <c r="L1352" s="7"/>
      <c r="M1352" s="7"/>
      <c r="N1352" s="7"/>
      <c r="O1352" s="7"/>
      <c r="P1352" s="7"/>
      <c r="Q1352" s="55"/>
      <c r="R1352" s="7"/>
      <c r="S1352" s="7"/>
      <c r="T1352" s="7"/>
      <c r="U1352" s="7"/>
      <c r="V1352" s="7"/>
      <c r="W1352" s="7"/>
      <c r="X1352" s="7"/>
      <c r="Y1352" s="7"/>
      <c r="Z1352" s="7"/>
      <c r="AA1352" s="7"/>
      <c r="AB1352" s="7"/>
      <c r="AC1352" s="7"/>
      <c r="AD1352" s="7"/>
      <c r="AE1352" s="7"/>
      <c r="AF1352" s="7"/>
      <c r="AG1352" s="7"/>
      <c r="AH1352" s="7"/>
      <c r="AI1352" s="7"/>
      <c r="AJ1352" s="7"/>
      <c r="AK1352" s="7"/>
      <c r="AL1352" s="7"/>
      <c r="AM1352" s="7"/>
      <c r="AN1352" s="7"/>
      <c r="AO1352" s="7"/>
      <c r="AP1352" s="7"/>
      <c r="AQ1352" s="7"/>
      <c r="AR1352" s="7"/>
      <c r="AS1352" s="7"/>
      <c r="AT1352" s="7"/>
      <c r="AU1352" s="7"/>
      <c r="AV1352" s="7"/>
      <c r="AW1352" s="7"/>
      <c r="AX1352" s="7"/>
      <c r="AY1352" s="7"/>
      <c r="AZ1352" s="7"/>
      <c r="BA1352" s="7"/>
      <c r="BB1352" s="7"/>
      <c r="BC1352" s="7"/>
      <c r="BD1352" s="7"/>
      <c r="BE1352" s="7"/>
      <c r="BF1352" s="7"/>
      <c r="BG1352" s="7"/>
      <c r="BH1352" s="7"/>
      <c r="BI1352" s="7"/>
      <c r="BJ1352" s="7"/>
      <c r="BK1352" s="7"/>
      <c r="BL1352" s="7"/>
      <c r="BM1352" s="7"/>
      <c r="BN1352" s="7"/>
      <c r="BO1352" s="7"/>
      <c r="BP1352" s="7"/>
      <c r="BQ1352" s="7"/>
      <c r="BR1352" s="7"/>
      <c r="BS1352" s="7"/>
      <c r="BT1352" s="7"/>
      <c r="BU1352" s="7"/>
      <c r="BV1352" s="7"/>
      <c r="BW1352" s="7"/>
      <c r="BX1352" s="7"/>
      <c r="BY1352" s="7"/>
      <c r="BZ1352" s="41"/>
      <c r="CA1352" s="7"/>
      <c r="CB1352" s="7"/>
      <c r="CC1352" s="7"/>
      <c r="CD1352" s="7"/>
      <c r="CE1352" s="7"/>
      <c r="CF1352" s="7"/>
    </row>
    <row r="1353">
      <c r="A1353" s="7"/>
      <c r="B1353" s="55"/>
      <c r="C1353" s="7"/>
      <c r="D1353" s="7"/>
      <c r="E1353" s="7"/>
      <c r="F1353" s="7"/>
      <c r="G1353" s="55"/>
      <c r="H1353" s="7"/>
      <c r="I1353" s="7"/>
      <c r="J1353" s="7"/>
      <c r="K1353" s="7"/>
      <c r="L1353" s="7"/>
      <c r="M1353" s="7"/>
      <c r="N1353" s="7"/>
      <c r="O1353" s="7"/>
      <c r="P1353" s="7"/>
      <c r="Q1353" s="55"/>
      <c r="R1353" s="7"/>
      <c r="S1353" s="7"/>
      <c r="T1353" s="7"/>
      <c r="U1353" s="7"/>
      <c r="V1353" s="7"/>
      <c r="W1353" s="7"/>
      <c r="X1353" s="7"/>
      <c r="Y1353" s="7"/>
      <c r="Z1353" s="7"/>
      <c r="AA1353" s="7"/>
      <c r="AB1353" s="7"/>
      <c r="AC1353" s="7"/>
      <c r="AD1353" s="7"/>
      <c r="AE1353" s="7"/>
      <c r="AF1353" s="7"/>
      <c r="AG1353" s="7"/>
      <c r="AH1353" s="7"/>
      <c r="AI1353" s="7"/>
      <c r="AJ1353" s="7"/>
      <c r="AK1353" s="7"/>
      <c r="AL1353" s="7"/>
      <c r="AM1353" s="7"/>
      <c r="AN1353" s="7"/>
      <c r="AO1353" s="7"/>
      <c r="AP1353" s="7"/>
      <c r="AQ1353" s="7"/>
      <c r="AR1353" s="7"/>
      <c r="AS1353" s="7"/>
      <c r="AT1353" s="7"/>
      <c r="AU1353" s="7"/>
      <c r="AV1353" s="7"/>
      <c r="AW1353" s="7"/>
      <c r="AX1353" s="7"/>
      <c r="AY1353" s="7"/>
      <c r="AZ1353" s="7"/>
      <c r="BA1353" s="7"/>
      <c r="BB1353" s="7"/>
      <c r="BC1353" s="7"/>
      <c r="BD1353" s="7"/>
      <c r="BE1353" s="7"/>
      <c r="BF1353" s="7"/>
      <c r="BG1353" s="7"/>
      <c r="BH1353" s="7"/>
      <c r="BI1353" s="7"/>
      <c r="BJ1353" s="7"/>
      <c r="BK1353" s="7"/>
      <c r="BL1353" s="7"/>
      <c r="BM1353" s="7"/>
      <c r="BN1353" s="7"/>
      <c r="BO1353" s="7"/>
      <c r="BP1353" s="7"/>
      <c r="BQ1353" s="7"/>
      <c r="BR1353" s="7"/>
      <c r="BS1353" s="7"/>
      <c r="BT1353" s="7"/>
      <c r="BU1353" s="7"/>
      <c r="BV1353" s="7"/>
      <c r="BW1353" s="7"/>
      <c r="BX1353" s="7"/>
      <c r="BY1353" s="7"/>
      <c r="BZ1353" s="41"/>
      <c r="CA1353" s="7"/>
      <c r="CB1353" s="7"/>
      <c r="CC1353" s="7"/>
      <c r="CD1353" s="7"/>
      <c r="CE1353" s="7"/>
      <c r="CF1353" s="7"/>
    </row>
    <row r="1354">
      <c r="A1354" s="7"/>
      <c r="B1354" s="55"/>
      <c r="C1354" s="7"/>
      <c r="D1354" s="7"/>
      <c r="E1354" s="7"/>
      <c r="F1354" s="7"/>
      <c r="G1354" s="55"/>
      <c r="H1354" s="7"/>
      <c r="I1354" s="7"/>
      <c r="J1354" s="7"/>
      <c r="K1354" s="7"/>
      <c r="L1354" s="7"/>
      <c r="M1354" s="7"/>
      <c r="N1354" s="7"/>
      <c r="O1354" s="7"/>
      <c r="P1354" s="7"/>
      <c r="Q1354" s="55"/>
      <c r="R1354" s="7"/>
      <c r="S1354" s="7"/>
      <c r="T1354" s="7"/>
      <c r="U1354" s="7"/>
      <c r="V1354" s="7"/>
      <c r="W1354" s="7"/>
      <c r="X1354" s="7"/>
      <c r="Y1354" s="7"/>
      <c r="Z1354" s="7"/>
      <c r="AA1354" s="7"/>
      <c r="AB1354" s="7"/>
      <c r="AC1354" s="7"/>
      <c r="AD1354" s="7"/>
      <c r="AE1354" s="7"/>
      <c r="AF1354" s="7"/>
      <c r="AG1354" s="7"/>
      <c r="AH1354" s="7"/>
      <c r="AI1354" s="7"/>
      <c r="AJ1354" s="7"/>
      <c r="AK1354" s="7"/>
      <c r="AL1354" s="7"/>
      <c r="AM1354" s="7"/>
      <c r="AN1354" s="7"/>
      <c r="AO1354" s="7"/>
      <c r="AP1354" s="7"/>
      <c r="AQ1354" s="7"/>
      <c r="AR1354" s="7"/>
      <c r="AS1354" s="7"/>
      <c r="AT1354" s="7"/>
      <c r="AU1354" s="7"/>
      <c r="AV1354" s="7"/>
      <c r="AW1354" s="7"/>
      <c r="AX1354" s="7"/>
      <c r="AY1354" s="7"/>
      <c r="AZ1354" s="7"/>
      <c r="BA1354" s="7"/>
      <c r="BB1354" s="7"/>
      <c r="BC1354" s="7"/>
      <c r="BD1354" s="7"/>
      <c r="BE1354" s="7"/>
      <c r="BF1354" s="7"/>
      <c r="BG1354" s="7"/>
      <c r="BH1354" s="7"/>
      <c r="BI1354" s="7"/>
      <c r="BJ1354" s="7"/>
      <c r="BK1354" s="7"/>
      <c r="BL1354" s="7"/>
      <c r="BM1354" s="7"/>
      <c r="BN1354" s="7"/>
      <c r="BO1354" s="7"/>
      <c r="BP1354" s="7"/>
      <c r="BQ1354" s="7"/>
      <c r="BR1354" s="7"/>
      <c r="BS1354" s="7"/>
      <c r="BT1354" s="7"/>
      <c r="BU1354" s="7"/>
      <c r="BV1354" s="7"/>
      <c r="BW1354" s="7"/>
      <c r="BX1354" s="7"/>
      <c r="BY1354" s="7"/>
      <c r="BZ1354" s="41"/>
      <c r="CA1354" s="7"/>
      <c r="CB1354" s="7"/>
      <c r="CC1354" s="7"/>
      <c r="CD1354" s="7"/>
      <c r="CE1354" s="7"/>
      <c r="CF1354" s="7"/>
    </row>
    <row r="1355">
      <c r="A1355" s="7"/>
      <c r="B1355" s="55"/>
      <c r="C1355" s="7"/>
      <c r="D1355" s="7"/>
      <c r="E1355" s="7"/>
      <c r="F1355" s="7"/>
      <c r="G1355" s="55"/>
      <c r="H1355" s="7"/>
      <c r="I1355" s="7"/>
      <c r="J1355" s="7"/>
      <c r="K1355" s="7"/>
      <c r="L1355" s="7"/>
      <c r="M1355" s="7"/>
      <c r="N1355" s="7"/>
      <c r="O1355" s="7"/>
      <c r="P1355" s="7"/>
      <c r="Q1355" s="55"/>
      <c r="R1355" s="7"/>
      <c r="S1355" s="7"/>
      <c r="T1355" s="7"/>
      <c r="U1355" s="7"/>
      <c r="V1355" s="7"/>
      <c r="W1355" s="7"/>
      <c r="X1355" s="7"/>
      <c r="Y1355" s="7"/>
      <c r="Z1355" s="7"/>
      <c r="AA1355" s="7"/>
      <c r="AB1355" s="7"/>
      <c r="AC1355" s="7"/>
      <c r="AD1355" s="7"/>
      <c r="AE1355" s="7"/>
      <c r="AF1355" s="7"/>
      <c r="AG1355" s="7"/>
      <c r="AH1355" s="7"/>
      <c r="AI1355" s="7"/>
      <c r="AJ1355" s="7"/>
      <c r="AK1355" s="7"/>
      <c r="AL1355" s="7"/>
      <c r="AM1355" s="7"/>
      <c r="AN1355" s="7"/>
      <c r="AO1355" s="7"/>
      <c r="AP1355" s="7"/>
      <c r="AQ1355" s="7"/>
      <c r="AR1355" s="7"/>
      <c r="AS1355" s="7"/>
      <c r="AT1355" s="7"/>
      <c r="AU1355" s="7"/>
      <c r="AV1355" s="7"/>
      <c r="AW1355" s="7"/>
      <c r="AX1355" s="7"/>
      <c r="AY1355" s="7"/>
      <c r="AZ1355" s="7"/>
      <c r="BA1355" s="7"/>
      <c r="BB1355" s="7"/>
      <c r="BC1355" s="7"/>
      <c r="BD1355" s="7"/>
      <c r="BE1355" s="7"/>
      <c r="BF1355" s="7"/>
      <c r="BG1355" s="7"/>
      <c r="BH1355" s="7"/>
      <c r="BI1355" s="7"/>
      <c r="BJ1355" s="7"/>
      <c r="BK1355" s="7"/>
      <c r="BL1355" s="7"/>
      <c r="BM1355" s="7"/>
      <c r="BN1355" s="7"/>
      <c r="BO1355" s="7"/>
      <c r="BP1355" s="7"/>
      <c r="BQ1355" s="7"/>
      <c r="BR1355" s="7"/>
      <c r="BS1355" s="7"/>
      <c r="BT1355" s="7"/>
      <c r="BU1355" s="7"/>
      <c r="BV1355" s="7"/>
      <c r="BW1355" s="7"/>
      <c r="BX1355" s="7"/>
      <c r="BY1355" s="7"/>
      <c r="BZ1355" s="41"/>
      <c r="CA1355" s="7"/>
      <c r="CB1355" s="7"/>
      <c r="CC1355" s="7"/>
      <c r="CD1355" s="7"/>
      <c r="CE1355" s="7"/>
      <c r="CF1355" s="7"/>
    </row>
    <row r="1356">
      <c r="A1356" s="7"/>
      <c r="B1356" s="55"/>
      <c r="C1356" s="7"/>
      <c r="D1356" s="7"/>
      <c r="E1356" s="7"/>
      <c r="F1356" s="7"/>
      <c r="G1356" s="55"/>
      <c r="H1356" s="7"/>
      <c r="I1356" s="7"/>
      <c r="J1356" s="7"/>
      <c r="K1356" s="7"/>
      <c r="L1356" s="7"/>
      <c r="M1356" s="7"/>
      <c r="N1356" s="7"/>
      <c r="O1356" s="7"/>
      <c r="P1356" s="7"/>
      <c r="Q1356" s="55"/>
      <c r="R1356" s="7"/>
      <c r="S1356" s="7"/>
      <c r="T1356" s="7"/>
      <c r="U1356" s="7"/>
      <c r="V1356" s="7"/>
      <c r="W1356" s="7"/>
      <c r="X1356" s="7"/>
      <c r="Y1356" s="7"/>
      <c r="Z1356" s="7"/>
      <c r="AA1356" s="7"/>
      <c r="AB1356" s="7"/>
      <c r="AC1356" s="7"/>
      <c r="AD1356" s="7"/>
      <c r="AE1356" s="7"/>
      <c r="AF1356" s="7"/>
      <c r="AG1356" s="7"/>
      <c r="AH1356" s="7"/>
      <c r="AI1356" s="7"/>
      <c r="AJ1356" s="7"/>
      <c r="AK1356" s="7"/>
      <c r="AL1356" s="7"/>
      <c r="AM1356" s="7"/>
      <c r="AN1356" s="7"/>
      <c r="AO1356" s="7"/>
      <c r="AP1356" s="7"/>
      <c r="AQ1356" s="7"/>
      <c r="AR1356" s="7"/>
      <c r="AS1356" s="7"/>
      <c r="AT1356" s="7"/>
      <c r="AU1356" s="7"/>
      <c r="AV1356" s="7"/>
      <c r="AW1356" s="7"/>
      <c r="AX1356" s="7"/>
      <c r="AY1356" s="7"/>
      <c r="AZ1356" s="7"/>
      <c r="BA1356" s="7"/>
      <c r="BB1356" s="7"/>
      <c r="BC1356" s="7"/>
      <c r="BD1356" s="7"/>
      <c r="BE1356" s="7"/>
      <c r="BF1356" s="7"/>
      <c r="BG1356" s="7"/>
      <c r="BH1356" s="7"/>
      <c r="BI1356" s="7"/>
      <c r="BJ1356" s="7"/>
      <c r="BK1356" s="7"/>
      <c r="BL1356" s="7"/>
      <c r="BM1356" s="7"/>
      <c r="BN1356" s="7"/>
      <c r="BO1356" s="7"/>
      <c r="BP1356" s="7"/>
      <c r="BQ1356" s="7"/>
      <c r="BR1356" s="7"/>
      <c r="BS1356" s="7"/>
      <c r="BT1356" s="7"/>
      <c r="BU1356" s="7"/>
      <c r="BV1356" s="7"/>
      <c r="BW1356" s="7"/>
      <c r="BX1356" s="7"/>
      <c r="BY1356" s="7"/>
      <c r="BZ1356" s="41"/>
      <c r="CA1356" s="7"/>
      <c r="CB1356" s="7"/>
      <c r="CC1356" s="7"/>
      <c r="CD1356" s="7"/>
      <c r="CE1356" s="7"/>
      <c r="CF1356" s="7"/>
    </row>
    <row r="1357">
      <c r="A1357" s="7"/>
      <c r="B1357" s="55"/>
      <c r="C1357" s="7"/>
      <c r="D1357" s="7"/>
      <c r="E1357" s="7"/>
      <c r="F1357" s="7"/>
      <c r="G1357" s="55"/>
      <c r="H1357" s="7"/>
      <c r="I1357" s="7"/>
      <c r="J1357" s="7"/>
      <c r="K1357" s="7"/>
      <c r="L1357" s="7"/>
      <c r="M1357" s="7"/>
      <c r="N1357" s="7"/>
      <c r="O1357" s="7"/>
      <c r="P1357" s="7"/>
      <c r="Q1357" s="55"/>
      <c r="R1357" s="7"/>
      <c r="S1357" s="7"/>
      <c r="T1357" s="7"/>
      <c r="U1357" s="7"/>
      <c r="V1357" s="7"/>
      <c r="W1357" s="7"/>
      <c r="X1357" s="7"/>
      <c r="Y1357" s="7"/>
      <c r="Z1357" s="7"/>
      <c r="AA1357" s="7"/>
      <c r="AB1357" s="7"/>
      <c r="AC1357" s="7"/>
      <c r="AD1357" s="7"/>
      <c r="AE1357" s="7"/>
      <c r="AF1357" s="7"/>
      <c r="AG1357" s="7"/>
      <c r="AH1357" s="7"/>
      <c r="AI1357" s="7"/>
      <c r="AJ1357" s="7"/>
      <c r="AK1357" s="7"/>
      <c r="AL1357" s="7"/>
      <c r="AM1357" s="7"/>
      <c r="AN1357" s="7"/>
      <c r="AO1357" s="7"/>
      <c r="AP1357" s="7"/>
      <c r="AQ1357" s="7"/>
      <c r="AR1357" s="7"/>
      <c r="AS1357" s="7"/>
      <c r="AT1357" s="7"/>
      <c r="AU1357" s="7"/>
      <c r="AV1357" s="7"/>
      <c r="AW1357" s="7"/>
      <c r="AX1357" s="7"/>
      <c r="AY1357" s="7"/>
      <c r="AZ1357" s="7"/>
      <c r="BA1357" s="7"/>
      <c r="BB1357" s="7"/>
      <c r="BC1357" s="7"/>
      <c r="BD1357" s="7"/>
      <c r="BE1357" s="7"/>
      <c r="BF1357" s="7"/>
      <c r="BG1357" s="7"/>
      <c r="BH1357" s="7"/>
      <c r="BI1357" s="7"/>
      <c r="BJ1357" s="7"/>
      <c r="BK1357" s="7"/>
      <c r="BL1357" s="7"/>
      <c r="BM1357" s="7"/>
      <c r="BN1357" s="7"/>
      <c r="BO1357" s="7"/>
      <c r="BP1357" s="7"/>
      <c r="BQ1357" s="7"/>
      <c r="BR1357" s="7"/>
      <c r="BS1357" s="7"/>
      <c r="BT1357" s="7"/>
      <c r="BU1357" s="7"/>
      <c r="BV1357" s="7"/>
      <c r="BW1357" s="7"/>
      <c r="BX1357" s="7"/>
      <c r="BY1357" s="7"/>
      <c r="BZ1357" s="41"/>
      <c r="CA1357" s="7"/>
      <c r="CB1357" s="7"/>
      <c r="CC1357" s="7"/>
      <c r="CD1357" s="7"/>
      <c r="CE1357" s="7"/>
      <c r="CF1357" s="7"/>
    </row>
    <row r="1358">
      <c r="A1358" s="7"/>
      <c r="B1358" s="55"/>
      <c r="C1358" s="7"/>
      <c r="D1358" s="7"/>
      <c r="E1358" s="7"/>
      <c r="F1358" s="7"/>
      <c r="G1358" s="55"/>
      <c r="H1358" s="7"/>
      <c r="I1358" s="7"/>
      <c r="J1358" s="7"/>
      <c r="K1358" s="7"/>
      <c r="L1358" s="7"/>
      <c r="M1358" s="7"/>
      <c r="N1358" s="7"/>
      <c r="O1358" s="7"/>
      <c r="P1358" s="7"/>
      <c r="Q1358" s="55"/>
      <c r="R1358" s="7"/>
      <c r="S1358" s="7"/>
      <c r="T1358" s="7"/>
      <c r="U1358" s="7"/>
      <c r="V1358" s="7"/>
      <c r="W1358" s="7"/>
      <c r="X1358" s="7"/>
      <c r="Y1358" s="7"/>
      <c r="Z1358" s="7"/>
      <c r="AA1358" s="7"/>
      <c r="AB1358" s="7"/>
      <c r="AC1358" s="7"/>
      <c r="AD1358" s="7"/>
      <c r="AE1358" s="7"/>
      <c r="AF1358" s="7"/>
      <c r="AG1358" s="7"/>
      <c r="AH1358" s="7"/>
      <c r="AI1358" s="7"/>
      <c r="AJ1358" s="7"/>
      <c r="AK1358" s="7"/>
      <c r="AL1358" s="7"/>
      <c r="AM1358" s="7"/>
      <c r="AN1358" s="7"/>
      <c r="AO1358" s="7"/>
      <c r="AP1358" s="7"/>
      <c r="AQ1358" s="7"/>
      <c r="AR1358" s="7"/>
      <c r="AS1358" s="7"/>
      <c r="AT1358" s="7"/>
      <c r="AU1358" s="7"/>
      <c r="AV1358" s="7"/>
      <c r="AW1358" s="7"/>
      <c r="AX1358" s="7"/>
      <c r="AY1358" s="7"/>
      <c r="AZ1358" s="7"/>
      <c r="BA1358" s="7"/>
      <c r="BB1358" s="7"/>
      <c r="BC1358" s="7"/>
      <c r="BD1358" s="7"/>
      <c r="BE1358" s="7"/>
      <c r="BF1358" s="7"/>
      <c r="BG1358" s="7"/>
      <c r="BH1358" s="7"/>
      <c r="BI1358" s="7"/>
      <c r="BJ1358" s="7"/>
      <c r="BK1358" s="7"/>
      <c r="BL1358" s="7"/>
      <c r="BM1358" s="7"/>
      <c r="BN1358" s="7"/>
      <c r="BO1358" s="7"/>
      <c r="BP1358" s="7"/>
      <c r="BQ1358" s="7"/>
      <c r="BR1358" s="7"/>
      <c r="BS1358" s="7"/>
      <c r="BT1358" s="7"/>
      <c r="BU1358" s="7"/>
      <c r="BV1358" s="7"/>
      <c r="BW1358" s="7"/>
      <c r="BX1358" s="7"/>
      <c r="BY1358" s="7"/>
      <c r="BZ1358" s="41"/>
      <c r="CA1358" s="7"/>
      <c r="CB1358" s="7"/>
      <c r="CC1358" s="7"/>
      <c r="CD1358" s="7"/>
      <c r="CE1358" s="7"/>
      <c r="CF1358" s="7"/>
    </row>
    <row r="1359">
      <c r="A1359" s="7"/>
      <c r="B1359" s="55"/>
      <c r="C1359" s="7"/>
      <c r="D1359" s="7"/>
      <c r="E1359" s="7"/>
      <c r="F1359" s="7"/>
      <c r="G1359" s="55"/>
      <c r="H1359" s="7"/>
      <c r="I1359" s="7"/>
      <c r="J1359" s="7"/>
      <c r="K1359" s="7"/>
      <c r="L1359" s="7"/>
      <c r="M1359" s="7"/>
      <c r="N1359" s="7"/>
      <c r="O1359" s="7"/>
      <c r="P1359" s="7"/>
      <c r="Q1359" s="55"/>
      <c r="R1359" s="7"/>
      <c r="S1359" s="7"/>
      <c r="T1359" s="7"/>
      <c r="U1359" s="7"/>
      <c r="V1359" s="7"/>
      <c r="W1359" s="7"/>
      <c r="X1359" s="7"/>
      <c r="Y1359" s="7"/>
      <c r="Z1359" s="7"/>
      <c r="AA1359" s="7"/>
      <c r="AB1359" s="7"/>
      <c r="AC1359" s="7"/>
      <c r="AD1359" s="7"/>
      <c r="AE1359" s="7"/>
      <c r="AF1359" s="7"/>
      <c r="AG1359" s="7"/>
      <c r="AH1359" s="7"/>
      <c r="AI1359" s="7"/>
      <c r="AJ1359" s="7"/>
      <c r="AK1359" s="7"/>
      <c r="AL1359" s="7"/>
      <c r="AM1359" s="7"/>
      <c r="AN1359" s="7"/>
      <c r="AO1359" s="7"/>
      <c r="AP1359" s="7"/>
      <c r="AQ1359" s="7"/>
      <c r="AR1359" s="7"/>
      <c r="AS1359" s="7"/>
      <c r="AT1359" s="7"/>
      <c r="AU1359" s="7"/>
      <c r="AV1359" s="7"/>
      <c r="AW1359" s="7"/>
      <c r="AX1359" s="7"/>
      <c r="AY1359" s="7"/>
      <c r="AZ1359" s="7"/>
      <c r="BA1359" s="7"/>
      <c r="BB1359" s="7"/>
      <c r="BC1359" s="7"/>
      <c r="BD1359" s="7"/>
      <c r="BE1359" s="7"/>
      <c r="BF1359" s="7"/>
      <c r="BG1359" s="7"/>
      <c r="BH1359" s="7"/>
      <c r="BI1359" s="7"/>
      <c r="BJ1359" s="7"/>
      <c r="BK1359" s="7"/>
      <c r="BL1359" s="7"/>
      <c r="BM1359" s="7"/>
      <c r="BN1359" s="7"/>
      <c r="BO1359" s="7"/>
      <c r="BP1359" s="7"/>
      <c r="BQ1359" s="7"/>
      <c r="BR1359" s="7"/>
      <c r="BS1359" s="7"/>
      <c r="BT1359" s="7"/>
      <c r="BU1359" s="7"/>
      <c r="BV1359" s="7"/>
      <c r="BW1359" s="7"/>
      <c r="BX1359" s="7"/>
      <c r="BY1359" s="7"/>
      <c r="BZ1359" s="41"/>
      <c r="CA1359" s="7"/>
      <c r="CB1359" s="7"/>
      <c r="CC1359" s="7"/>
      <c r="CD1359" s="7"/>
      <c r="CE1359" s="7"/>
      <c r="CF1359" s="7"/>
    </row>
    <row r="1360">
      <c r="A1360" s="7"/>
      <c r="B1360" s="55"/>
      <c r="C1360" s="7"/>
      <c r="D1360" s="7"/>
      <c r="E1360" s="7"/>
      <c r="F1360" s="7"/>
      <c r="G1360" s="55"/>
      <c r="H1360" s="7"/>
      <c r="I1360" s="7"/>
      <c r="J1360" s="7"/>
      <c r="K1360" s="7"/>
      <c r="L1360" s="7"/>
      <c r="M1360" s="7"/>
      <c r="N1360" s="7"/>
      <c r="O1360" s="7"/>
      <c r="P1360" s="7"/>
      <c r="Q1360" s="55"/>
      <c r="R1360" s="7"/>
      <c r="S1360" s="7"/>
      <c r="T1360" s="7"/>
      <c r="U1360" s="7"/>
      <c r="V1360" s="7"/>
      <c r="W1360" s="7"/>
      <c r="X1360" s="7"/>
      <c r="Y1360" s="7"/>
      <c r="Z1360" s="7"/>
      <c r="AA1360" s="7"/>
      <c r="AB1360" s="7"/>
      <c r="AC1360" s="7"/>
      <c r="AD1360" s="7"/>
      <c r="AE1360" s="7"/>
      <c r="AF1360" s="7"/>
      <c r="AG1360" s="7"/>
      <c r="AH1360" s="7"/>
      <c r="AI1360" s="7"/>
      <c r="AJ1360" s="7"/>
      <c r="AK1360" s="7"/>
      <c r="AL1360" s="7"/>
      <c r="AM1360" s="7"/>
      <c r="AN1360" s="7"/>
      <c r="AO1360" s="7"/>
      <c r="AP1360" s="7"/>
      <c r="AQ1360" s="7"/>
      <c r="AR1360" s="7"/>
      <c r="AS1360" s="7"/>
      <c r="AT1360" s="7"/>
      <c r="AU1360" s="7"/>
      <c r="AV1360" s="7"/>
      <c r="AW1360" s="7"/>
      <c r="AX1360" s="7"/>
      <c r="AY1360" s="7"/>
      <c r="AZ1360" s="7"/>
      <c r="BA1360" s="7"/>
      <c r="BB1360" s="7"/>
      <c r="BC1360" s="7"/>
      <c r="BD1360" s="7"/>
      <c r="BE1360" s="7"/>
      <c r="BF1360" s="7"/>
      <c r="BG1360" s="7"/>
      <c r="BH1360" s="7"/>
      <c r="BI1360" s="7"/>
      <c r="BJ1360" s="7"/>
      <c r="BK1360" s="7"/>
      <c r="BL1360" s="7"/>
      <c r="BM1360" s="7"/>
      <c r="BN1360" s="7"/>
      <c r="BO1360" s="7"/>
      <c r="BP1360" s="7"/>
      <c r="BQ1360" s="7"/>
      <c r="BR1360" s="7"/>
      <c r="BS1360" s="7"/>
      <c r="BT1360" s="7"/>
      <c r="BU1360" s="7"/>
      <c r="BV1360" s="7"/>
      <c r="BW1360" s="7"/>
      <c r="BX1360" s="7"/>
      <c r="BY1360" s="7"/>
      <c r="BZ1360" s="41"/>
      <c r="CA1360" s="7"/>
      <c r="CB1360" s="7"/>
      <c r="CC1360" s="7"/>
      <c r="CD1360" s="7"/>
      <c r="CE1360" s="7"/>
      <c r="CF1360" s="7"/>
    </row>
    <row r="1361">
      <c r="A1361" s="7"/>
      <c r="B1361" s="55"/>
      <c r="C1361" s="7"/>
      <c r="D1361" s="7"/>
      <c r="E1361" s="7"/>
      <c r="F1361" s="7"/>
      <c r="G1361" s="55"/>
      <c r="H1361" s="7"/>
      <c r="I1361" s="7"/>
      <c r="J1361" s="7"/>
      <c r="K1361" s="7"/>
      <c r="L1361" s="7"/>
      <c r="M1361" s="7"/>
      <c r="N1361" s="7"/>
      <c r="O1361" s="7"/>
      <c r="P1361" s="7"/>
      <c r="Q1361" s="55"/>
      <c r="R1361" s="7"/>
      <c r="S1361" s="7"/>
      <c r="T1361" s="7"/>
      <c r="U1361" s="7"/>
      <c r="V1361" s="7"/>
      <c r="W1361" s="7"/>
      <c r="X1361" s="7"/>
      <c r="Y1361" s="7"/>
      <c r="Z1361" s="7"/>
      <c r="AA1361" s="7"/>
      <c r="AB1361" s="7"/>
      <c r="AC1361" s="7"/>
      <c r="AD1361" s="7"/>
      <c r="AE1361" s="7"/>
      <c r="AF1361" s="7"/>
      <c r="AG1361" s="7"/>
      <c r="AH1361" s="7"/>
      <c r="AI1361" s="7"/>
      <c r="AJ1361" s="7"/>
      <c r="AK1361" s="7"/>
      <c r="AL1361" s="7"/>
      <c r="AM1361" s="7"/>
      <c r="AN1361" s="7"/>
      <c r="AO1361" s="7"/>
      <c r="AP1361" s="7"/>
      <c r="AQ1361" s="7"/>
      <c r="AR1361" s="7"/>
      <c r="AS1361" s="7"/>
      <c r="AT1361" s="7"/>
      <c r="AU1361" s="7"/>
      <c r="AV1361" s="7"/>
      <c r="AW1361" s="7"/>
      <c r="AX1361" s="7"/>
      <c r="AY1361" s="7"/>
      <c r="AZ1361" s="7"/>
      <c r="BA1361" s="7"/>
      <c r="BB1361" s="7"/>
      <c r="BC1361" s="7"/>
      <c r="BD1361" s="7"/>
      <c r="BE1361" s="7"/>
      <c r="BF1361" s="7"/>
      <c r="BG1361" s="7"/>
      <c r="BH1361" s="7"/>
      <c r="BI1361" s="7"/>
      <c r="BJ1361" s="7"/>
      <c r="BK1361" s="7"/>
      <c r="BL1361" s="7"/>
      <c r="BM1361" s="7"/>
      <c r="BN1361" s="7"/>
      <c r="BO1361" s="7"/>
      <c r="BP1361" s="7"/>
      <c r="BQ1361" s="7"/>
      <c r="BR1361" s="7"/>
      <c r="BS1361" s="7"/>
      <c r="BT1361" s="7"/>
      <c r="BU1361" s="7"/>
      <c r="BV1361" s="7"/>
      <c r="BW1361" s="7"/>
      <c r="BX1361" s="7"/>
      <c r="BY1361" s="7"/>
      <c r="BZ1361" s="41"/>
      <c r="CA1361" s="7"/>
      <c r="CB1361" s="7"/>
      <c r="CC1361" s="7"/>
      <c r="CD1361" s="7"/>
      <c r="CE1361" s="7"/>
      <c r="CF1361" s="7"/>
    </row>
    <row r="1362">
      <c r="A1362" s="7"/>
      <c r="B1362" s="55"/>
      <c r="C1362" s="7"/>
      <c r="D1362" s="7"/>
      <c r="E1362" s="7"/>
      <c r="F1362" s="7"/>
      <c r="G1362" s="55"/>
      <c r="H1362" s="7"/>
      <c r="I1362" s="7"/>
      <c r="J1362" s="7"/>
      <c r="K1362" s="7"/>
      <c r="L1362" s="7"/>
      <c r="M1362" s="7"/>
      <c r="N1362" s="7"/>
      <c r="O1362" s="7"/>
      <c r="P1362" s="7"/>
      <c r="Q1362" s="55"/>
      <c r="R1362" s="7"/>
      <c r="S1362" s="7"/>
      <c r="T1362" s="7"/>
      <c r="U1362" s="7"/>
      <c r="V1362" s="7"/>
      <c r="W1362" s="7"/>
      <c r="X1362" s="7"/>
      <c r="Y1362" s="7"/>
      <c r="Z1362" s="7"/>
      <c r="AA1362" s="7"/>
      <c r="AB1362" s="7"/>
      <c r="AC1362" s="7"/>
      <c r="AD1362" s="7"/>
      <c r="AE1362" s="7"/>
      <c r="AF1362" s="7"/>
      <c r="AG1362" s="7"/>
      <c r="AH1362" s="7"/>
      <c r="AI1362" s="7"/>
      <c r="AJ1362" s="7"/>
      <c r="AK1362" s="7"/>
      <c r="AL1362" s="7"/>
      <c r="AM1362" s="7"/>
      <c r="AN1362" s="7"/>
      <c r="AO1362" s="7"/>
      <c r="AP1362" s="7"/>
      <c r="AQ1362" s="7"/>
      <c r="AR1362" s="7"/>
      <c r="AS1362" s="7"/>
      <c r="AT1362" s="7"/>
      <c r="AU1362" s="7"/>
      <c r="AV1362" s="7"/>
      <c r="AW1362" s="7"/>
      <c r="AX1362" s="7"/>
      <c r="AY1362" s="7"/>
      <c r="AZ1362" s="7"/>
      <c r="BA1362" s="7"/>
      <c r="BB1362" s="7"/>
      <c r="BC1362" s="7"/>
      <c r="BD1362" s="7"/>
      <c r="BE1362" s="7"/>
      <c r="BF1362" s="7"/>
      <c r="BG1362" s="7"/>
      <c r="BH1362" s="7"/>
      <c r="BI1362" s="7"/>
      <c r="BJ1362" s="7"/>
      <c r="BK1362" s="7"/>
      <c r="BL1362" s="7"/>
      <c r="BM1362" s="7"/>
      <c r="BN1362" s="7"/>
      <c r="BO1362" s="7"/>
      <c r="BP1362" s="7"/>
      <c r="BQ1362" s="7"/>
      <c r="BR1362" s="7"/>
      <c r="BS1362" s="7"/>
      <c r="BT1362" s="7"/>
      <c r="BU1362" s="7"/>
      <c r="BV1362" s="7"/>
      <c r="BW1362" s="7"/>
      <c r="BX1362" s="7"/>
      <c r="BY1362" s="7"/>
      <c r="BZ1362" s="41"/>
      <c r="CA1362" s="7"/>
      <c r="CB1362" s="7"/>
      <c r="CC1362" s="7"/>
      <c r="CD1362" s="7"/>
      <c r="CE1362" s="7"/>
      <c r="CF1362" s="7"/>
    </row>
    <row r="1363">
      <c r="A1363" s="7"/>
      <c r="B1363" s="55"/>
      <c r="C1363" s="7"/>
      <c r="D1363" s="7"/>
      <c r="E1363" s="7"/>
      <c r="F1363" s="7"/>
      <c r="G1363" s="55"/>
      <c r="H1363" s="7"/>
      <c r="I1363" s="7"/>
      <c r="J1363" s="7"/>
      <c r="K1363" s="7"/>
      <c r="L1363" s="7"/>
      <c r="M1363" s="7"/>
      <c r="N1363" s="7"/>
      <c r="O1363" s="7"/>
      <c r="P1363" s="7"/>
      <c r="Q1363" s="55"/>
      <c r="R1363" s="7"/>
      <c r="S1363" s="7"/>
      <c r="T1363" s="7"/>
      <c r="U1363" s="7"/>
      <c r="V1363" s="7"/>
      <c r="W1363" s="7"/>
      <c r="X1363" s="7"/>
      <c r="Y1363" s="7"/>
      <c r="Z1363" s="7"/>
      <c r="AA1363" s="7"/>
      <c r="AB1363" s="7"/>
      <c r="AC1363" s="7"/>
      <c r="AD1363" s="7"/>
      <c r="AE1363" s="7"/>
      <c r="AF1363" s="7"/>
      <c r="AG1363" s="7"/>
      <c r="AH1363" s="7"/>
      <c r="AI1363" s="7"/>
      <c r="AJ1363" s="7"/>
      <c r="AK1363" s="7"/>
      <c r="AL1363" s="7"/>
      <c r="AM1363" s="7"/>
      <c r="AN1363" s="7"/>
      <c r="AO1363" s="7"/>
      <c r="AP1363" s="7"/>
      <c r="AQ1363" s="7"/>
      <c r="AR1363" s="7"/>
      <c r="AS1363" s="7"/>
      <c r="AT1363" s="7"/>
      <c r="AU1363" s="7"/>
      <c r="AV1363" s="7"/>
      <c r="AW1363" s="7"/>
      <c r="AX1363" s="7"/>
      <c r="AY1363" s="7"/>
      <c r="AZ1363" s="7"/>
      <c r="BA1363" s="7"/>
      <c r="BB1363" s="7"/>
      <c r="BC1363" s="7"/>
      <c r="BD1363" s="7"/>
      <c r="BE1363" s="7"/>
      <c r="BF1363" s="7"/>
      <c r="BG1363" s="7"/>
      <c r="BH1363" s="7"/>
      <c r="BI1363" s="7"/>
      <c r="BJ1363" s="7"/>
      <c r="BK1363" s="7"/>
      <c r="BL1363" s="7"/>
      <c r="BM1363" s="7"/>
      <c r="BN1363" s="7"/>
      <c r="BO1363" s="7"/>
      <c r="BP1363" s="7"/>
      <c r="BQ1363" s="7"/>
      <c r="BR1363" s="7"/>
      <c r="BS1363" s="7"/>
      <c r="BT1363" s="7"/>
      <c r="BU1363" s="7"/>
      <c r="BV1363" s="7"/>
      <c r="BW1363" s="7"/>
      <c r="BX1363" s="7"/>
      <c r="BY1363" s="7"/>
      <c r="BZ1363" s="41"/>
      <c r="CA1363" s="7"/>
      <c r="CB1363" s="7"/>
      <c r="CC1363" s="7"/>
      <c r="CD1363" s="7"/>
      <c r="CE1363" s="7"/>
      <c r="CF1363" s="7"/>
    </row>
    <row r="1364">
      <c r="A1364" s="7"/>
      <c r="B1364" s="55"/>
      <c r="C1364" s="7"/>
      <c r="D1364" s="7"/>
      <c r="E1364" s="7"/>
      <c r="F1364" s="7"/>
      <c r="G1364" s="55"/>
      <c r="H1364" s="7"/>
      <c r="I1364" s="7"/>
      <c r="J1364" s="7"/>
      <c r="K1364" s="7"/>
      <c r="L1364" s="7"/>
      <c r="M1364" s="7"/>
      <c r="N1364" s="7"/>
      <c r="O1364" s="7"/>
      <c r="P1364" s="7"/>
      <c r="Q1364" s="55"/>
      <c r="R1364" s="7"/>
      <c r="S1364" s="7"/>
      <c r="T1364" s="7"/>
      <c r="U1364" s="7"/>
      <c r="V1364" s="7"/>
      <c r="W1364" s="7"/>
      <c r="X1364" s="7"/>
      <c r="Y1364" s="7"/>
      <c r="Z1364" s="7"/>
      <c r="AA1364" s="7"/>
      <c r="AB1364" s="7"/>
      <c r="AC1364" s="7"/>
      <c r="AD1364" s="7"/>
      <c r="AE1364" s="7"/>
      <c r="AF1364" s="7"/>
      <c r="AG1364" s="7"/>
      <c r="AH1364" s="7"/>
      <c r="AI1364" s="7"/>
      <c r="AJ1364" s="7"/>
      <c r="AK1364" s="7"/>
      <c r="AL1364" s="7"/>
      <c r="AM1364" s="7"/>
      <c r="AN1364" s="7"/>
      <c r="AO1364" s="7"/>
      <c r="AP1364" s="7"/>
      <c r="AQ1364" s="7"/>
      <c r="AR1364" s="7"/>
      <c r="AS1364" s="7"/>
      <c r="AT1364" s="7"/>
      <c r="AU1364" s="7"/>
      <c r="AV1364" s="7"/>
      <c r="AW1364" s="7"/>
      <c r="AX1364" s="7"/>
      <c r="AY1364" s="7"/>
      <c r="AZ1364" s="7"/>
      <c r="BA1364" s="7"/>
      <c r="BB1364" s="7"/>
      <c r="BC1364" s="7"/>
      <c r="BD1364" s="7"/>
      <c r="BE1364" s="7"/>
      <c r="BF1364" s="7"/>
      <c r="BG1364" s="7"/>
      <c r="BH1364" s="7"/>
      <c r="BI1364" s="7"/>
      <c r="BJ1364" s="7"/>
      <c r="BK1364" s="7"/>
      <c r="BL1364" s="7"/>
      <c r="BM1364" s="7"/>
      <c r="BN1364" s="7"/>
      <c r="BO1364" s="7"/>
      <c r="BP1364" s="7"/>
      <c r="BQ1364" s="7"/>
      <c r="BR1364" s="7"/>
      <c r="BS1364" s="7"/>
      <c r="BT1364" s="7"/>
      <c r="BU1364" s="7"/>
      <c r="BV1364" s="7"/>
      <c r="BW1364" s="7"/>
      <c r="BX1364" s="7"/>
      <c r="BY1364" s="7"/>
      <c r="BZ1364" s="41"/>
      <c r="CA1364" s="7"/>
      <c r="CB1364" s="7"/>
      <c r="CC1364" s="7"/>
      <c r="CD1364" s="7"/>
      <c r="CE1364" s="7"/>
      <c r="CF1364" s="7"/>
    </row>
    <row r="1365">
      <c r="A1365" s="7"/>
      <c r="B1365" s="55"/>
      <c r="C1365" s="7"/>
      <c r="D1365" s="7"/>
      <c r="E1365" s="7"/>
      <c r="F1365" s="7"/>
      <c r="G1365" s="55"/>
      <c r="H1365" s="7"/>
      <c r="I1365" s="7"/>
      <c r="J1365" s="7"/>
      <c r="K1365" s="7"/>
      <c r="L1365" s="7"/>
      <c r="M1365" s="7"/>
      <c r="N1365" s="7"/>
      <c r="O1365" s="7"/>
      <c r="P1365" s="7"/>
      <c r="Q1365" s="55"/>
      <c r="R1365" s="7"/>
      <c r="S1365" s="7"/>
      <c r="T1365" s="7"/>
      <c r="U1365" s="7"/>
      <c r="V1365" s="7"/>
      <c r="W1365" s="7"/>
      <c r="X1365" s="7"/>
      <c r="Y1365" s="7"/>
      <c r="Z1365" s="7"/>
      <c r="AA1365" s="7"/>
      <c r="AB1365" s="7"/>
      <c r="AC1365" s="7"/>
      <c r="AD1365" s="7"/>
      <c r="AE1365" s="7"/>
      <c r="AF1365" s="7"/>
      <c r="AG1365" s="7"/>
      <c r="AH1365" s="7"/>
      <c r="AI1365" s="7"/>
      <c r="AJ1365" s="7"/>
      <c r="AK1365" s="7"/>
      <c r="AL1365" s="7"/>
      <c r="AM1365" s="7"/>
      <c r="AN1365" s="7"/>
      <c r="AO1365" s="7"/>
      <c r="AP1365" s="7"/>
      <c r="AQ1365" s="7"/>
      <c r="AR1365" s="7"/>
      <c r="AS1365" s="7"/>
      <c r="AT1365" s="7"/>
      <c r="AU1365" s="7"/>
      <c r="AV1365" s="7"/>
      <c r="AW1365" s="7"/>
      <c r="AX1365" s="7"/>
      <c r="AY1365" s="7"/>
      <c r="AZ1365" s="7"/>
      <c r="BA1365" s="7"/>
      <c r="BB1365" s="7"/>
      <c r="BC1365" s="7"/>
      <c r="BD1365" s="7"/>
      <c r="BE1365" s="7"/>
      <c r="BF1365" s="7"/>
      <c r="BG1365" s="7"/>
      <c r="BH1365" s="7"/>
      <c r="BI1365" s="7"/>
      <c r="BJ1365" s="7"/>
      <c r="BK1365" s="7"/>
      <c r="BL1365" s="7"/>
      <c r="BM1365" s="7"/>
      <c r="BN1365" s="7"/>
      <c r="BO1365" s="7"/>
      <c r="BP1365" s="7"/>
      <c r="BQ1365" s="7"/>
      <c r="BR1365" s="7"/>
      <c r="BS1365" s="7"/>
      <c r="BT1365" s="7"/>
      <c r="BU1365" s="7"/>
      <c r="BV1365" s="7"/>
      <c r="BW1365" s="7"/>
      <c r="BX1365" s="7"/>
      <c r="BY1365" s="7"/>
      <c r="BZ1365" s="41"/>
      <c r="CA1365" s="7"/>
      <c r="CB1365" s="7"/>
      <c r="CC1365" s="7"/>
      <c r="CD1365" s="7"/>
      <c r="CE1365" s="7"/>
      <c r="CF1365" s="7"/>
    </row>
    <row r="1366">
      <c r="A1366" s="7"/>
      <c r="B1366" s="55"/>
      <c r="C1366" s="7"/>
      <c r="D1366" s="7"/>
      <c r="E1366" s="7"/>
      <c r="F1366" s="7"/>
      <c r="G1366" s="55"/>
      <c r="H1366" s="7"/>
      <c r="I1366" s="7"/>
      <c r="J1366" s="7"/>
      <c r="K1366" s="7"/>
      <c r="L1366" s="7"/>
      <c r="M1366" s="7"/>
      <c r="N1366" s="7"/>
      <c r="O1366" s="7"/>
      <c r="P1366" s="7"/>
      <c r="Q1366" s="55"/>
      <c r="R1366" s="7"/>
      <c r="S1366" s="7"/>
      <c r="T1366" s="7"/>
      <c r="U1366" s="7"/>
      <c r="V1366" s="7"/>
      <c r="W1366" s="7"/>
      <c r="X1366" s="7"/>
      <c r="Y1366" s="7"/>
      <c r="Z1366" s="7"/>
      <c r="AA1366" s="7"/>
      <c r="AB1366" s="7"/>
      <c r="AC1366" s="7"/>
      <c r="AD1366" s="7"/>
      <c r="AE1366" s="7"/>
      <c r="AF1366" s="7"/>
      <c r="AG1366" s="7"/>
      <c r="AH1366" s="7"/>
      <c r="AI1366" s="7"/>
      <c r="AJ1366" s="7"/>
      <c r="AK1366" s="7"/>
      <c r="AL1366" s="7"/>
      <c r="AM1366" s="7"/>
      <c r="AN1366" s="7"/>
      <c r="AO1366" s="7"/>
      <c r="AP1366" s="7"/>
      <c r="AQ1366" s="7"/>
      <c r="AR1366" s="7"/>
      <c r="AS1366" s="7"/>
      <c r="AT1366" s="7"/>
      <c r="AU1366" s="7"/>
      <c r="AV1366" s="7"/>
      <c r="AW1366" s="7"/>
      <c r="AX1366" s="7"/>
      <c r="AY1366" s="7"/>
      <c r="AZ1366" s="7"/>
      <c r="BA1366" s="7"/>
      <c r="BB1366" s="7"/>
      <c r="BC1366" s="7"/>
      <c r="BD1366" s="7"/>
      <c r="BE1366" s="7"/>
      <c r="BF1366" s="7"/>
      <c r="BG1366" s="7"/>
      <c r="BH1366" s="7"/>
      <c r="BI1366" s="7"/>
      <c r="BJ1366" s="7"/>
      <c r="BK1366" s="7"/>
      <c r="BL1366" s="7"/>
      <c r="BM1366" s="7"/>
      <c r="BN1366" s="7"/>
      <c r="BO1366" s="7"/>
      <c r="BP1366" s="7"/>
      <c r="BQ1366" s="7"/>
      <c r="BR1366" s="7"/>
      <c r="BS1366" s="7"/>
      <c r="BT1366" s="7"/>
      <c r="BU1366" s="7"/>
      <c r="BV1366" s="7"/>
      <c r="BW1366" s="7"/>
      <c r="BX1366" s="7"/>
      <c r="BY1366" s="7"/>
      <c r="BZ1366" s="41"/>
      <c r="CA1366" s="7"/>
      <c r="CB1366" s="7"/>
      <c r="CC1366" s="7"/>
      <c r="CD1366" s="7"/>
      <c r="CE1366" s="7"/>
      <c r="CF1366" s="7"/>
    </row>
    <row r="1367">
      <c r="A1367" s="7"/>
      <c r="B1367" s="55"/>
      <c r="C1367" s="7"/>
      <c r="D1367" s="7"/>
      <c r="E1367" s="7"/>
      <c r="F1367" s="7"/>
      <c r="G1367" s="55"/>
      <c r="H1367" s="7"/>
      <c r="I1367" s="7"/>
      <c r="J1367" s="7"/>
      <c r="K1367" s="7"/>
      <c r="L1367" s="7"/>
      <c r="M1367" s="7"/>
      <c r="N1367" s="7"/>
      <c r="O1367" s="7"/>
      <c r="P1367" s="7"/>
      <c r="Q1367" s="55"/>
      <c r="R1367" s="7"/>
      <c r="S1367" s="7"/>
      <c r="T1367" s="7"/>
      <c r="U1367" s="7"/>
      <c r="V1367" s="7"/>
      <c r="W1367" s="7"/>
      <c r="X1367" s="7"/>
      <c r="Y1367" s="7"/>
      <c r="Z1367" s="7"/>
      <c r="AA1367" s="7"/>
      <c r="AB1367" s="7"/>
      <c r="AC1367" s="7"/>
      <c r="AD1367" s="7"/>
      <c r="AE1367" s="7"/>
      <c r="AF1367" s="7"/>
      <c r="AG1367" s="7"/>
      <c r="AH1367" s="7"/>
      <c r="AI1367" s="7"/>
      <c r="AJ1367" s="7"/>
      <c r="AK1367" s="7"/>
      <c r="AL1367" s="7"/>
      <c r="AM1367" s="7"/>
      <c r="AN1367" s="7"/>
      <c r="AO1367" s="7"/>
      <c r="AP1367" s="7"/>
      <c r="AQ1367" s="7"/>
      <c r="AR1367" s="7"/>
      <c r="AS1367" s="7"/>
      <c r="AT1367" s="7"/>
      <c r="AU1367" s="7"/>
      <c r="AV1367" s="7"/>
      <c r="AW1367" s="7"/>
      <c r="AX1367" s="7"/>
      <c r="AY1367" s="7"/>
      <c r="AZ1367" s="7"/>
      <c r="BA1367" s="7"/>
      <c r="BB1367" s="7"/>
      <c r="BC1367" s="7"/>
      <c r="BD1367" s="7"/>
      <c r="BE1367" s="7"/>
      <c r="BF1367" s="7"/>
      <c r="BG1367" s="7"/>
      <c r="BH1367" s="7"/>
      <c r="BI1367" s="7"/>
      <c r="BJ1367" s="7"/>
      <c r="BK1367" s="7"/>
      <c r="BL1367" s="7"/>
      <c r="BM1367" s="7"/>
      <c r="BN1367" s="7"/>
      <c r="BO1367" s="7"/>
      <c r="BP1367" s="7"/>
      <c r="BQ1367" s="7"/>
      <c r="BR1367" s="7"/>
      <c r="BS1367" s="7"/>
      <c r="BT1367" s="7"/>
      <c r="BU1367" s="7"/>
      <c r="BV1367" s="7"/>
      <c r="BW1367" s="7"/>
      <c r="BX1367" s="7"/>
      <c r="BY1367" s="7"/>
      <c r="BZ1367" s="41"/>
      <c r="CA1367" s="7"/>
      <c r="CB1367" s="7"/>
      <c r="CC1367" s="7"/>
      <c r="CD1367" s="7"/>
      <c r="CE1367" s="7"/>
      <c r="CF1367" s="7"/>
    </row>
    <row r="1368">
      <c r="A1368" s="7"/>
      <c r="B1368" s="55"/>
      <c r="C1368" s="7"/>
      <c r="D1368" s="7"/>
      <c r="E1368" s="7"/>
      <c r="F1368" s="7"/>
      <c r="G1368" s="55"/>
      <c r="H1368" s="7"/>
      <c r="I1368" s="7"/>
      <c r="J1368" s="7"/>
      <c r="K1368" s="7"/>
      <c r="L1368" s="7"/>
      <c r="M1368" s="7"/>
      <c r="N1368" s="7"/>
      <c r="O1368" s="7"/>
      <c r="P1368" s="7"/>
      <c r="Q1368" s="55"/>
      <c r="R1368" s="7"/>
      <c r="S1368" s="7"/>
      <c r="T1368" s="7"/>
      <c r="U1368" s="7"/>
      <c r="V1368" s="7"/>
      <c r="W1368" s="7"/>
      <c r="X1368" s="7"/>
      <c r="Y1368" s="7"/>
      <c r="Z1368" s="7"/>
      <c r="AA1368" s="7"/>
      <c r="AB1368" s="7"/>
      <c r="AC1368" s="7"/>
      <c r="AD1368" s="7"/>
      <c r="AE1368" s="7"/>
      <c r="AF1368" s="7"/>
      <c r="AG1368" s="7"/>
      <c r="AH1368" s="7"/>
      <c r="AI1368" s="7"/>
      <c r="AJ1368" s="7"/>
      <c r="AK1368" s="7"/>
      <c r="AL1368" s="7"/>
      <c r="AM1368" s="7"/>
      <c r="AN1368" s="7"/>
      <c r="AO1368" s="7"/>
      <c r="AP1368" s="7"/>
      <c r="AQ1368" s="7"/>
      <c r="AR1368" s="7"/>
      <c r="AS1368" s="7"/>
      <c r="AT1368" s="7"/>
      <c r="AU1368" s="7"/>
      <c r="AV1368" s="7"/>
      <c r="AW1368" s="7"/>
      <c r="AX1368" s="7"/>
      <c r="AY1368" s="7"/>
      <c r="AZ1368" s="7"/>
      <c r="BA1368" s="7"/>
      <c r="BB1368" s="7"/>
      <c r="BC1368" s="7"/>
      <c r="BD1368" s="7"/>
      <c r="BE1368" s="7"/>
      <c r="BF1368" s="7"/>
      <c r="BG1368" s="7"/>
      <c r="BH1368" s="7"/>
      <c r="BI1368" s="7"/>
      <c r="BJ1368" s="7"/>
      <c r="BK1368" s="7"/>
      <c r="BL1368" s="7"/>
      <c r="BM1368" s="7"/>
      <c r="BN1368" s="7"/>
      <c r="BO1368" s="7"/>
      <c r="BP1368" s="7"/>
      <c r="BQ1368" s="7"/>
      <c r="BR1368" s="7"/>
      <c r="BS1368" s="7"/>
      <c r="BT1368" s="7"/>
      <c r="BU1368" s="7"/>
      <c r="BV1368" s="7"/>
      <c r="BW1368" s="7"/>
      <c r="BX1368" s="7"/>
      <c r="BY1368" s="7"/>
      <c r="BZ1368" s="41"/>
      <c r="CA1368" s="7"/>
      <c r="CB1368" s="7"/>
      <c r="CC1368" s="7"/>
      <c r="CD1368" s="7"/>
      <c r="CE1368" s="7"/>
      <c r="CF1368" s="7"/>
    </row>
    <row r="1369">
      <c r="A1369" s="7"/>
      <c r="B1369" s="55"/>
      <c r="C1369" s="7"/>
      <c r="D1369" s="7"/>
      <c r="E1369" s="7"/>
      <c r="F1369" s="7"/>
      <c r="G1369" s="55"/>
      <c r="H1369" s="7"/>
      <c r="I1369" s="7"/>
      <c r="J1369" s="7"/>
      <c r="K1369" s="7"/>
      <c r="L1369" s="7"/>
      <c r="M1369" s="7"/>
      <c r="N1369" s="7"/>
      <c r="O1369" s="7"/>
      <c r="P1369" s="7"/>
      <c r="Q1369" s="55"/>
      <c r="R1369" s="7"/>
      <c r="S1369" s="7"/>
      <c r="T1369" s="7"/>
      <c r="U1369" s="7"/>
      <c r="V1369" s="7"/>
      <c r="W1369" s="7"/>
      <c r="X1369" s="7"/>
      <c r="Y1369" s="7"/>
      <c r="Z1369" s="7"/>
      <c r="AA1369" s="7"/>
      <c r="AB1369" s="7"/>
      <c r="AC1369" s="7"/>
      <c r="AD1369" s="7"/>
      <c r="AE1369" s="7"/>
      <c r="AF1369" s="7"/>
      <c r="AG1369" s="7"/>
      <c r="AH1369" s="7"/>
      <c r="AI1369" s="7"/>
      <c r="AJ1369" s="7"/>
      <c r="AK1369" s="7"/>
      <c r="AL1369" s="7"/>
      <c r="AM1369" s="7"/>
      <c r="AN1369" s="7"/>
      <c r="AO1369" s="7"/>
      <c r="AP1369" s="7"/>
      <c r="AQ1369" s="7"/>
      <c r="AR1369" s="7"/>
      <c r="AS1369" s="7"/>
      <c r="AT1369" s="7"/>
      <c r="AU1369" s="7"/>
      <c r="AV1369" s="7"/>
      <c r="AW1369" s="7"/>
      <c r="AX1369" s="7"/>
      <c r="AY1369" s="7"/>
      <c r="AZ1369" s="7"/>
      <c r="BA1369" s="7"/>
      <c r="BB1369" s="7"/>
      <c r="BC1369" s="7"/>
      <c r="BD1369" s="7"/>
      <c r="BE1369" s="7"/>
      <c r="BF1369" s="7"/>
      <c r="BG1369" s="7"/>
      <c r="BH1369" s="7"/>
      <c r="BI1369" s="7"/>
      <c r="BJ1369" s="7"/>
      <c r="BK1369" s="7"/>
      <c r="BL1369" s="7"/>
      <c r="BM1369" s="7"/>
      <c r="BN1369" s="7"/>
      <c r="BO1369" s="7"/>
      <c r="BP1369" s="7"/>
      <c r="BQ1369" s="7"/>
      <c r="BR1369" s="7"/>
      <c r="BS1369" s="7"/>
      <c r="BT1369" s="7"/>
      <c r="BU1369" s="7"/>
      <c r="BV1369" s="7"/>
      <c r="BW1369" s="7"/>
      <c r="BX1369" s="7"/>
      <c r="BY1369" s="7"/>
      <c r="BZ1369" s="41"/>
      <c r="CA1369" s="7"/>
      <c r="CB1369" s="7"/>
      <c r="CC1369" s="7"/>
      <c r="CD1369" s="7"/>
      <c r="CE1369" s="7"/>
      <c r="CF1369" s="7"/>
    </row>
    <row r="1370">
      <c r="A1370" s="7"/>
      <c r="B1370" s="55"/>
      <c r="C1370" s="7"/>
      <c r="D1370" s="7"/>
      <c r="E1370" s="7"/>
      <c r="F1370" s="7"/>
      <c r="G1370" s="55"/>
      <c r="H1370" s="7"/>
      <c r="I1370" s="7"/>
      <c r="J1370" s="7"/>
      <c r="K1370" s="7"/>
      <c r="L1370" s="7"/>
      <c r="M1370" s="7"/>
      <c r="N1370" s="7"/>
      <c r="O1370" s="7"/>
      <c r="P1370" s="7"/>
      <c r="Q1370" s="55"/>
      <c r="R1370" s="7"/>
      <c r="S1370" s="7"/>
      <c r="T1370" s="7"/>
      <c r="U1370" s="7"/>
      <c r="V1370" s="7"/>
      <c r="W1370" s="7"/>
      <c r="X1370" s="7"/>
      <c r="Y1370" s="7"/>
      <c r="Z1370" s="7"/>
      <c r="AA1370" s="7"/>
      <c r="AB1370" s="7"/>
      <c r="AC1370" s="7"/>
      <c r="AD1370" s="7"/>
      <c r="AE1370" s="7"/>
      <c r="AF1370" s="7"/>
      <c r="AG1370" s="7"/>
      <c r="AH1370" s="7"/>
      <c r="AI1370" s="7"/>
      <c r="AJ1370" s="7"/>
      <c r="AK1370" s="7"/>
      <c r="AL1370" s="7"/>
      <c r="AM1370" s="7"/>
      <c r="AN1370" s="7"/>
      <c r="AO1370" s="7"/>
      <c r="AP1370" s="7"/>
      <c r="AQ1370" s="7"/>
      <c r="AR1370" s="7"/>
      <c r="AS1370" s="7"/>
      <c r="AT1370" s="7"/>
      <c r="AU1370" s="7"/>
      <c r="AV1370" s="7"/>
      <c r="AW1370" s="7"/>
      <c r="AX1370" s="7"/>
      <c r="AY1370" s="7"/>
      <c r="AZ1370" s="7"/>
      <c r="BA1370" s="7"/>
      <c r="BB1370" s="7"/>
      <c r="BC1370" s="7"/>
      <c r="BD1370" s="7"/>
      <c r="BE1370" s="7"/>
      <c r="BF1370" s="7"/>
      <c r="BG1370" s="7"/>
      <c r="BH1370" s="7"/>
      <c r="BI1370" s="7"/>
      <c r="BJ1370" s="7"/>
      <c r="BK1370" s="7"/>
      <c r="BL1370" s="7"/>
      <c r="BM1370" s="7"/>
      <c r="BN1370" s="7"/>
      <c r="BO1370" s="7"/>
      <c r="BP1370" s="7"/>
      <c r="BQ1370" s="7"/>
      <c r="BR1370" s="7"/>
      <c r="BS1370" s="7"/>
      <c r="BT1370" s="7"/>
      <c r="BU1370" s="7"/>
      <c r="BV1370" s="7"/>
      <c r="BW1370" s="7"/>
      <c r="BX1370" s="7"/>
      <c r="BY1370" s="7"/>
      <c r="BZ1370" s="41"/>
      <c r="CA1370" s="7"/>
      <c r="CB1370" s="7"/>
      <c r="CC1370" s="7"/>
      <c r="CD1370" s="7"/>
      <c r="CE1370" s="7"/>
      <c r="CF1370" s="7"/>
    </row>
    <row r="1371">
      <c r="A1371" s="7"/>
      <c r="B1371" s="55"/>
      <c r="C1371" s="7"/>
      <c r="D1371" s="7"/>
      <c r="E1371" s="7"/>
      <c r="F1371" s="7"/>
      <c r="G1371" s="55"/>
      <c r="H1371" s="7"/>
      <c r="I1371" s="7"/>
      <c r="J1371" s="7"/>
      <c r="K1371" s="7"/>
      <c r="L1371" s="7"/>
      <c r="M1371" s="7"/>
      <c r="N1371" s="7"/>
      <c r="O1371" s="7"/>
      <c r="P1371" s="7"/>
      <c r="Q1371" s="55"/>
      <c r="R1371" s="7"/>
      <c r="S1371" s="7"/>
      <c r="T1371" s="7"/>
      <c r="U1371" s="7"/>
      <c r="V1371" s="7"/>
      <c r="W1371" s="7"/>
      <c r="X1371" s="7"/>
      <c r="Y1371" s="7"/>
      <c r="Z1371" s="7"/>
      <c r="AA1371" s="7"/>
      <c r="AB1371" s="7"/>
      <c r="AC1371" s="7"/>
      <c r="AD1371" s="7"/>
      <c r="AE1371" s="7"/>
      <c r="AF1371" s="7"/>
      <c r="AG1371" s="7"/>
      <c r="AH1371" s="7"/>
      <c r="AI1371" s="7"/>
      <c r="AJ1371" s="7"/>
      <c r="AK1371" s="7"/>
      <c r="AL1371" s="7"/>
      <c r="AM1371" s="7"/>
      <c r="AN1371" s="7"/>
      <c r="AO1371" s="7"/>
      <c r="AP1371" s="7"/>
      <c r="AQ1371" s="7"/>
      <c r="AR1371" s="7"/>
      <c r="AS1371" s="7"/>
      <c r="AT1371" s="7"/>
      <c r="AU1371" s="7"/>
      <c r="AV1371" s="7"/>
      <c r="AW1371" s="7"/>
      <c r="AX1371" s="7"/>
      <c r="AY1371" s="7"/>
      <c r="AZ1371" s="7"/>
      <c r="BA1371" s="7"/>
      <c r="BB1371" s="7"/>
      <c r="BC1371" s="7"/>
      <c r="BD1371" s="7"/>
      <c r="BE1371" s="7"/>
      <c r="BF1371" s="7"/>
      <c r="BG1371" s="7"/>
      <c r="BH1371" s="7"/>
      <c r="BI1371" s="7"/>
      <c r="BJ1371" s="7"/>
      <c r="BK1371" s="7"/>
      <c r="BL1371" s="7"/>
      <c r="BM1371" s="7"/>
      <c r="BN1371" s="7"/>
      <c r="BO1371" s="7"/>
      <c r="BP1371" s="7"/>
      <c r="BQ1371" s="7"/>
      <c r="BR1371" s="7"/>
      <c r="BS1371" s="7"/>
      <c r="BT1371" s="7"/>
      <c r="BU1371" s="7"/>
      <c r="BV1371" s="7"/>
      <c r="BW1371" s="7"/>
      <c r="BX1371" s="7"/>
      <c r="BY1371" s="7"/>
      <c r="BZ1371" s="41"/>
      <c r="CA1371" s="7"/>
      <c r="CB1371" s="7"/>
      <c r="CC1371" s="7"/>
      <c r="CD1371" s="7"/>
      <c r="CE1371" s="7"/>
      <c r="CF1371" s="7"/>
    </row>
    <row r="1372">
      <c r="A1372" s="7"/>
      <c r="B1372" s="55"/>
      <c r="C1372" s="7"/>
      <c r="D1372" s="7"/>
      <c r="E1372" s="7"/>
      <c r="F1372" s="7"/>
      <c r="G1372" s="55"/>
      <c r="H1372" s="7"/>
      <c r="I1372" s="7"/>
      <c r="J1372" s="7"/>
      <c r="K1372" s="7"/>
      <c r="L1372" s="7"/>
      <c r="M1372" s="7"/>
      <c r="N1372" s="7"/>
      <c r="O1372" s="7"/>
      <c r="P1372" s="7"/>
      <c r="Q1372" s="55"/>
      <c r="R1372" s="7"/>
      <c r="S1372" s="7"/>
      <c r="T1372" s="7"/>
      <c r="U1372" s="7"/>
      <c r="V1372" s="7"/>
      <c r="W1372" s="7"/>
      <c r="X1372" s="7"/>
      <c r="Y1372" s="7"/>
      <c r="Z1372" s="7"/>
      <c r="AA1372" s="7"/>
      <c r="AB1372" s="7"/>
      <c r="AC1372" s="7"/>
      <c r="AD1372" s="7"/>
      <c r="AE1372" s="7"/>
      <c r="AF1372" s="7"/>
      <c r="AG1372" s="7"/>
      <c r="AH1372" s="7"/>
      <c r="AI1372" s="7"/>
      <c r="AJ1372" s="7"/>
      <c r="AK1372" s="7"/>
      <c r="AL1372" s="7"/>
      <c r="AM1372" s="7"/>
      <c r="AN1372" s="7"/>
      <c r="AO1372" s="7"/>
      <c r="AP1372" s="7"/>
      <c r="AQ1372" s="7"/>
      <c r="AR1372" s="7"/>
      <c r="AS1372" s="7"/>
      <c r="AT1372" s="7"/>
      <c r="AU1372" s="7"/>
      <c r="AV1372" s="7"/>
      <c r="AW1372" s="7"/>
      <c r="AX1372" s="7"/>
      <c r="AY1372" s="7"/>
      <c r="AZ1372" s="7"/>
      <c r="BA1372" s="7"/>
      <c r="BB1372" s="7"/>
      <c r="BC1372" s="7"/>
      <c r="BD1372" s="7"/>
      <c r="BE1372" s="7"/>
      <c r="BF1372" s="7"/>
      <c r="BG1372" s="7"/>
      <c r="BH1372" s="7"/>
      <c r="BI1372" s="7"/>
      <c r="BJ1372" s="7"/>
      <c r="BK1372" s="7"/>
      <c r="BL1372" s="7"/>
      <c r="BM1372" s="7"/>
      <c r="BN1372" s="7"/>
      <c r="BO1372" s="7"/>
      <c r="BP1372" s="7"/>
      <c r="BQ1372" s="7"/>
      <c r="BR1372" s="7"/>
      <c r="BS1372" s="7"/>
      <c r="BT1372" s="7"/>
      <c r="BU1372" s="7"/>
      <c r="BV1372" s="7"/>
      <c r="BW1372" s="7"/>
      <c r="BX1372" s="7"/>
      <c r="BY1372" s="7"/>
      <c r="BZ1372" s="41"/>
      <c r="CA1372" s="7"/>
      <c r="CB1372" s="7"/>
      <c r="CC1372" s="7"/>
      <c r="CD1372" s="7"/>
      <c r="CE1372" s="7"/>
      <c r="CF1372" s="7"/>
    </row>
    <row r="1373">
      <c r="A1373" s="7"/>
      <c r="B1373" s="55"/>
      <c r="C1373" s="7"/>
      <c r="D1373" s="7"/>
      <c r="E1373" s="7"/>
      <c r="F1373" s="7"/>
      <c r="G1373" s="55"/>
      <c r="H1373" s="7"/>
      <c r="I1373" s="7"/>
      <c r="J1373" s="7"/>
      <c r="K1373" s="7"/>
      <c r="L1373" s="7"/>
      <c r="M1373" s="7"/>
      <c r="N1373" s="7"/>
      <c r="O1373" s="7"/>
      <c r="P1373" s="7"/>
      <c r="Q1373" s="55"/>
      <c r="R1373" s="7"/>
      <c r="S1373" s="7"/>
      <c r="T1373" s="7"/>
      <c r="U1373" s="7"/>
      <c r="V1373" s="7"/>
      <c r="W1373" s="7"/>
      <c r="X1373" s="7"/>
      <c r="Y1373" s="7"/>
      <c r="Z1373" s="7"/>
      <c r="AA1373" s="7"/>
      <c r="AB1373" s="7"/>
      <c r="AC1373" s="7"/>
      <c r="AD1373" s="7"/>
      <c r="AE1373" s="7"/>
      <c r="AF1373" s="7"/>
      <c r="AG1373" s="7"/>
      <c r="AH1373" s="7"/>
      <c r="AI1373" s="7"/>
      <c r="AJ1373" s="7"/>
      <c r="AK1373" s="7"/>
      <c r="AL1373" s="7"/>
      <c r="AM1373" s="7"/>
      <c r="AN1373" s="7"/>
      <c r="AO1373" s="7"/>
      <c r="AP1373" s="7"/>
      <c r="AQ1373" s="7"/>
      <c r="AR1373" s="7"/>
      <c r="AS1373" s="7"/>
      <c r="AT1373" s="7"/>
      <c r="AU1373" s="7"/>
      <c r="AV1373" s="7"/>
      <c r="AW1373" s="7"/>
      <c r="AX1373" s="7"/>
      <c r="AY1373" s="7"/>
      <c r="AZ1373" s="7"/>
      <c r="BA1373" s="7"/>
      <c r="BB1373" s="7"/>
      <c r="BC1373" s="7"/>
      <c r="BD1373" s="7"/>
      <c r="BE1373" s="7"/>
      <c r="BF1373" s="7"/>
      <c r="BG1373" s="7"/>
      <c r="BH1373" s="7"/>
      <c r="BI1373" s="7"/>
      <c r="BJ1373" s="7"/>
      <c r="BK1373" s="7"/>
      <c r="BL1373" s="7"/>
      <c r="BM1373" s="7"/>
      <c r="BN1373" s="7"/>
      <c r="BO1373" s="7"/>
      <c r="BP1373" s="7"/>
      <c r="BQ1373" s="7"/>
      <c r="BR1373" s="7"/>
      <c r="BS1373" s="7"/>
      <c r="BT1373" s="7"/>
      <c r="BU1373" s="7"/>
      <c r="BV1373" s="7"/>
      <c r="BW1373" s="7"/>
      <c r="BX1373" s="7"/>
      <c r="BY1373" s="7"/>
      <c r="BZ1373" s="41"/>
      <c r="CA1373" s="7"/>
      <c r="CB1373" s="7"/>
      <c r="CC1373" s="7"/>
      <c r="CD1373" s="7"/>
      <c r="CE1373" s="7"/>
      <c r="CF1373" s="7"/>
    </row>
    <row r="1374">
      <c r="A1374" s="7"/>
      <c r="B1374" s="55"/>
      <c r="C1374" s="7"/>
      <c r="D1374" s="7"/>
      <c r="E1374" s="7"/>
      <c r="F1374" s="7"/>
      <c r="G1374" s="55"/>
      <c r="H1374" s="7"/>
      <c r="I1374" s="7"/>
      <c r="J1374" s="7"/>
      <c r="K1374" s="7"/>
      <c r="L1374" s="7"/>
      <c r="M1374" s="7"/>
      <c r="N1374" s="7"/>
      <c r="O1374" s="7"/>
      <c r="P1374" s="7"/>
      <c r="Q1374" s="55"/>
      <c r="R1374" s="7"/>
      <c r="S1374" s="7"/>
      <c r="T1374" s="7"/>
      <c r="U1374" s="7"/>
      <c r="V1374" s="7"/>
      <c r="W1374" s="7"/>
      <c r="X1374" s="7"/>
      <c r="Y1374" s="7"/>
      <c r="Z1374" s="7"/>
      <c r="AA1374" s="7"/>
      <c r="AB1374" s="7"/>
      <c r="AC1374" s="7"/>
      <c r="AD1374" s="7"/>
      <c r="AE1374" s="7"/>
      <c r="AF1374" s="7"/>
      <c r="AG1374" s="7"/>
      <c r="AH1374" s="7"/>
      <c r="AI1374" s="7"/>
      <c r="AJ1374" s="7"/>
      <c r="AK1374" s="7"/>
      <c r="AL1374" s="7"/>
      <c r="AM1374" s="7"/>
      <c r="AN1374" s="7"/>
      <c r="AO1374" s="7"/>
      <c r="AP1374" s="7"/>
      <c r="AQ1374" s="7"/>
      <c r="AR1374" s="7"/>
      <c r="AS1374" s="7"/>
      <c r="AT1374" s="7"/>
      <c r="AU1374" s="7"/>
      <c r="AV1374" s="7"/>
      <c r="AW1374" s="7"/>
      <c r="AX1374" s="7"/>
      <c r="AY1374" s="7"/>
      <c r="AZ1374" s="7"/>
      <c r="BA1374" s="7"/>
      <c r="BB1374" s="7"/>
      <c r="BC1374" s="7"/>
      <c r="BD1374" s="7"/>
      <c r="BE1374" s="7"/>
      <c r="BF1374" s="7"/>
      <c r="BG1374" s="7"/>
      <c r="BH1374" s="7"/>
      <c r="BI1374" s="7"/>
      <c r="BJ1374" s="7"/>
      <c r="BK1374" s="7"/>
      <c r="BL1374" s="7"/>
      <c r="BM1374" s="7"/>
      <c r="BN1374" s="7"/>
      <c r="BO1374" s="7"/>
      <c r="BP1374" s="7"/>
      <c r="BQ1374" s="7"/>
      <c r="BR1374" s="7"/>
      <c r="BS1374" s="7"/>
      <c r="BT1374" s="7"/>
      <c r="BU1374" s="7"/>
      <c r="BV1374" s="7"/>
      <c r="BW1374" s="7"/>
      <c r="BX1374" s="7"/>
      <c r="BY1374" s="7"/>
      <c r="BZ1374" s="41"/>
      <c r="CA1374" s="7"/>
      <c r="CB1374" s="7"/>
      <c r="CC1374" s="7"/>
      <c r="CD1374" s="7"/>
      <c r="CE1374" s="7"/>
      <c r="CF1374" s="7"/>
    </row>
    <row r="1375">
      <c r="A1375" s="7"/>
      <c r="B1375" s="55"/>
      <c r="C1375" s="7"/>
      <c r="D1375" s="7"/>
      <c r="E1375" s="7"/>
      <c r="F1375" s="7"/>
      <c r="G1375" s="55"/>
      <c r="H1375" s="7"/>
      <c r="I1375" s="7"/>
      <c r="J1375" s="7"/>
      <c r="K1375" s="7"/>
      <c r="L1375" s="7"/>
      <c r="M1375" s="7"/>
      <c r="N1375" s="7"/>
      <c r="O1375" s="7"/>
      <c r="P1375" s="7"/>
      <c r="Q1375" s="55"/>
      <c r="R1375" s="7"/>
      <c r="S1375" s="7"/>
      <c r="T1375" s="7"/>
      <c r="U1375" s="7"/>
      <c r="V1375" s="7"/>
      <c r="W1375" s="7"/>
      <c r="X1375" s="7"/>
      <c r="Y1375" s="7"/>
      <c r="Z1375" s="7"/>
      <c r="AA1375" s="7"/>
      <c r="AB1375" s="7"/>
      <c r="AC1375" s="7"/>
      <c r="AD1375" s="7"/>
      <c r="AE1375" s="7"/>
      <c r="AF1375" s="7"/>
      <c r="AG1375" s="7"/>
      <c r="AH1375" s="7"/>
      <c r="AI1375" s="7"/>
      <c r="AJ1375" s="7"/>
      <c r="AK1375" s="7"/>
      <c r="AL1375" s="7"/>
      <c r="AM1375" s="7"/>
      <c r="AN1375" s="7"/>
      <c r="AO1375" s="7"/>
      <c r="AP1375" s="7"/>
      <c r="AQ1375" s="7"/>
      <c r="AR1375" s="7"/>
      <c r="AS1375" s="7"/>
      <c r="AT1375" s="7"/>
      <c r="AU1375" s="7"/>
      <c r="AV1375" s="7"/>
      <c r="AW1375" s="7"/>
      <c r="AX1375" s="7"/>
      <c r="AY1375" s="7"/>
      <c r="AZ1375" s="7"/>
      <c r="BA1375" s="7"/>
      <c r="BB1375" s="7"/>
      <c r="BC1375" s="7"/>
      <c r="BD1375" s="7"/>
      <c r="BE1375" s="7"/>
      <c r="BF1375" s="7"/>
      <c r="BG1375" s="7"/>
      <c r="BH1375" s="7"/>
      <c r="BI1375" s="7"/>
      <c r="BJ1375" s="7"/>
      <c r="BK1375" s="7"/>
      <c r="BL1375" s="7"/>
      <c r="BM1375" s="7"/>
      <c r="BN1375" s="7"/>
      <c r="BO1375" s="7"/>
      <c r="BP1375" s="7"/>
      <c r="BQ1375" s="7"/>
      <c r="BR1375" s="7"/>
      <c r="BS1375" s="7"/>
      <c r="BT1375" s="7"/>
      <c r="BU1375" s="7"/>
      <c r="BV1375" s="7"/>
      <c r="BW1375" s="7"/>
      <c r="BX1375" s="7"/>
      <c r="BY1375" s="7"/>
      <c r="BZ1375" s="41"/>
      <c r="CA1375" s="7"/>
      <c r="CB1375" s="7"/>
      <c r="CC1375" s="7"/>
      <c r="CD1375" s="7"/>
      <c r="CE1375" s="7"/>
      <c r="CF1375" s="7"/>
    </row>
    <row r="1376">
      <c r="A1376" s="7"/>
      <c r="B1376" s="55"/>
      <c r="C1376" s="7"/>
      <c r="D1376" s="7"/>
      <c r="E1376" s="7"/>
      <c r="F1376" s="7"/>
      <c r="G1376" s="55"/>
      <c r="H1376" s="7"/>
      <c r="I1376" s="7"/>
      <c r="J1376" s="7"/>
      <c r="K1376" s="7"/>
      <c r="L1376" s="7"/>
      <c r="M1376" s="7"/>
      <c r="N1376" s="7"/>
      <c r="O1376" s="7"/>
      <c r="P1376" s="7"/>
      <c r="Q1376" s="55"/>
      <c r="R1376" s="7"/>
      <c r="S1376" s="7"/>
      <c r="T1376" s="7"/>
      <c r="U1376" s="7"/>
      <c r="V1376" s="7"/>
      <c r="W1376" s="7"/>
      <c r="X1376" s="7"/>
      <c r="Y1376" s="7"/>
      <c r="Z1376" s="7"/>
      <c r="AA1376" s="7"/>
      <c r="AB1376" s="7"/>
      <c r="AC1376" s="7"/>
      <c r="AD1376" s="7"/>
      <c r="AE1376" s="7"/>
      <c r="AF1376" s="7"/>
      <c r="AG1376" s="7"/>
      <c r="AH1376" s="7"/>
      <c r="AI1376" s="7"/>
      <c r="AJ1376" s="7"/>
      <c r="AK1376" s="7"/>
      <c r="AL1376" s="7"/>
      <c r="AM1376" s="7"/>
      <c r="AN1376" s="7"/>
      <c r="AO1376" s="7"/>
      <c r="AP1376" s="7"/>
      <c r="AQ1376" s="7"/>
      <c r="AR1376" s="7"/>
      <c r="AS1376" s="7"/>
      <c r="AT1376" s="7"/>
      <c r="AU1376" s="7"/>
      <c r="AV1376" s="7"/>
      <c r="AW1376" s="7"/>
      <c r="AX1376" s="7"/>
      <c r="AY1376" s="7"/>
      <c r="AZ1376" s="7"/>
      <c r="BA1376" s="7"/>
      <c r="BB1376" s="7"/>
      <c r="BC1376" s="7"/>
      <c r="BD1376" s="7"/>
      <c r="BE1376" s="7"/>
      <c r="BF1376" s="7"/>
      <c r="BG1376" s="7"/>
      <c r="BH1376" s="7"/>
      <c r="BI1376" s="7"/>
      <c r="BJ1376" s="7"/>
      <c r="BK1376" s="7"/>
      <c r="BL1376" s="7"/>
      <c r="BM1376" s="7"/>
      <c r="BN1376" s="7"/>
      <c r="BO1376" s="7"/>
      <c r="BP1376" s="7"/>
      <c r="BQ1376" s="7"/>
      <c r="BR1376" s="7"/>
      <c r="BS1376" s="7"/>
      <c r="BT1376" s="7"/>
      <c r="BU1376" s="7"/>
      <c r="BV1376" s="7"/>
      <c r="BW1376" s="7"/>
      <c r="BX1376" s="7"/>
      <c r="BY1376" s="7"/>
      <c r="BZ1376" s="41"/>
      <c r="CA1376" s="7"/>
      <c r="CB1376" s="7"/>
      <c r="CC1376" s="7"/>
      <c r="CD1376" s="7"/>
      <c r="CE1376" s="7"/>
      <c r="CF1376" s="7"/>
    </row>
    <row r="1377">
      <c r="A1377" s="7"/>
      <c r="B1377" s="55"/>
      <c r="C1377" s="7"/>
      <c r="D1377" s="7"/>
      <c r="E1377" s="7"/>
      <c r="F1377" s="7"/>
      <c r="G1377" s="55"/>
      <c r="H1377" s="7"/>
      <c r="I1377" s="7"/>
      <c r="J1377" s="7"/>
      <c r="K1377" s="7"/>
      <c r="L1377" s="7"/>
      <c r="M1377" s="7"/>
      <c r="N1377" s="7"/>
      <c r="O1377" s="7"/>
      <c r="P1377" s="7"/>
      <c r="Q1377" s="55"/>
      <c r="R1377" s="7"/>
      <c r="S1377" s="7"/>
      <c r="T1377" s="7"/>
      <c r="U1377" s="7"/>
      <c r="V1377" s="7"/>
      <c r="W1377" s="7"/>
      <c r="X1377" s="7"/>
      <c r="Y1377" s="7"/>
      <c r="Z1377" s="7"/>
      <c r="AA1377" s="7"/>
      <c r="AB1377" s="7"/>
      <c r="AC1377" s="7"/>
      <c r="AD1377" s="7"/>
      <c r="AE1377" s="7"/>
      <c r="AF1377" s="7"/>
      <c r="AG1377" s="7"/>
      <c r="AH1377" s="7"/>
      <c r="AI1377" s="7"/>
      <c r="AJ1377" s="7"/>
      <c r="AK1377" s="7"/>
      <c r="AL1377" s="7"/>
      <c r="AM1377" s="7"/>
      <c r="AN1377" s="7"/>
      <c r="AO1377" s="7"/>
      <c r="AP1377" s="7"/>
      <c r="AQ1377" s="7"/>
      <c r="AR1377" s="7"/>
      <c r="AS1377" s="7"/>
      <c r="AT1377" s="7"/>
      <c r="AU1377" s="7"/>
      <c r="AV1377" s="7"/>
      <c r="AW1377" s="7"/>
      <c r="AX1377" s="7"/>
      <c r="AY1377" s="7"/>
      <c r="AZ1377" s="7"/>
      <c r="BA1377" s="7"/>
      <c r="BB1377" s="7"/>
      <c r="BC1377" s="7"/>
      <c r="BD1377" s="7"/>
      <c r="BE1377" s="7"/>
      <c r="BF1377" s="7"/>
      <c r="BG1377" s="7"/>
      <c r="BH1377" s="7"/>
      <c r="BI1377" s="7"/>
      <c r="BJ1377" s="7"/>
      <c r="BK1377" s="7"/>
      <c r="BL1377" s="7"/>
      <c r="BM1377" s="7"/>
      <c r="BN1377" s="7"/>
      <c r="BO1377" s="7"/>
      <c r="BP1377" s="7"/>
      <c r="BQ1377" s="7"/>
      <c r="BR1377" s="7"/>
      <c r="BS1377" s="7"/>
      <c r="BT1377" s="7"/>
      <c r="BU1377" s="7"/>
      <c r="BV1377" s="7"/>
      <c r="BW1377" s="7"/>
      <c r="BX1377" s="7"/>
      <c r="BY1377" s="7"/>
      <c r="BZ1377" s="41"/>
      <c r="CA1377" s="7"/>
      <c r="CB1377" s="7"/>
      <c r="CC1377" s="7"/>
      <c r="CD1377" s="7"/>
      <c r="CE1377" s="7"/>
      <c r="CF1377" s="7"/>
    </row>
    <row r="1378">
      <c r="A1378" s="7"/>
      <c r="B1378" s="55"/>
      <c r="C1378" s="7"/>
      <c r="D1378" s="7"/>
      <c r="E1378" s="7"/>
      <c r="F1378" s="7"/>
      <c r="G1378" s="55"/>
      <c r="H1378" s="7"/>
      <c r="I1378" s="7"/>
      <c r="J1378" s="7"/>
      <c r="K1378" s="7"/>
      <c r="L1378" s="7"/>
      <c r="M1378" s="7"/>
      <c r="N1378" s="7"/>
      <c r="O1378" s="7"/>
      <c r="P1378" s="7"/>
      <c r="Q1378" s="55"/>
      <c r="R1378" s="7"/>
      <c r="S1378" s="7"/>
      <c r="T1378" s="7"/>
      <c r="U1378" s="7"/>
      <c r="V1378" s="7"/>
      <c r="W1378" s="7"/>
      <c r="X1378" s="7"/>
      <c r="Y1378" s="7"/>
      <c r="Z1378" s="7"/>
      <c r="AA1378" s="7"/>
      <c r="AB1378" s="7"/>
      <c r="AC1378" s="7"/>
      <c r="AD1378" s="7"/>
      <c r="AE1378" s="7"/>
      <c r="AF1378" s="7"/>
      <c r="AG1378" s="7"/>
      <c r="AH1378" s="7"/>
      <c r="AI1378" s="7"/>
      <c r="AJ1378" s="7"/>
      <c r="AK1378" s="7"/>
      <c r="AL1378" s="7"/>
      <c r="AM1378" s="7"/>
      <c r="AN1378" s="7"/>
      <c r="AO1378" s="7"/>
      <c r="AP1378" s="7"/>
      <c r="AQ1378" s="7"/>
      <c r="AR1378" s="7"/>
      <c r="AS1378" s="7"/>
      <c r="AT1378" s="7"/>
      <c r="AU1378" s="7"/>
      <c r="AV1378" s="7"/>
      <c r="AW1378" s="7"/>
      <c r="AX1378" s="7"/>
      <c r="AY1378" s="7"/>
      <c r="AZ1378" s="7"/>
      <c r="BA1378" s="7"/>
      <c r="BB1378" s="7"/>
      <c r="BC1378" s="7"/>
      <c r="BD1378" s="7"/>
      <c r="BE1378" s="7"/>
      <c r="BF1378" s="7"/>
      <c r="BG1378" s="7"/>
      <c r="BH1378" s="7"/>
      <c r="BI1378" s="7"/>
      <c r="BJ1378" s="7"/>
      <c r="BK1378" s="7"/>
      <c r="BL1378" s="7"/>
      <c r="BM1378" s="7"/>
      <c r="BN1378" s="7"/>
      <c r="BO1378" s="7"/>
      <c r="BP1378" s="7"/>
      <c r="BQ1378" s="7"/>
      <c r="BR1378" s="7"/>
      <c r="BS1378" s="7"/>
      <c r="BT1378" s="7"/>
      <c r="BU1378" s="7"/>
      <c r="BV1378" s="7"/>
      <c r="BW1378" s="7"/>
      <c r="BX1378" s="7"/>
      <c r="BY1378" s="7"/>
      <c r="BZ1378" s="41"/>
      <c r="CA1378" s="7"/>
      <c r="CB1378" s="7"/>
      <c r="CC1378" s="7"/>
      <c r="CD1378" s="7"/>
      <c r="CE1378" s="7"/>
      <c r="CF1378" s="7"/>
    </row>
    <row r="1379">
      <c r="A1379" s="7"/>
      <c r="B1379" s="55"/>
      <c r="C1379" s="7"/>
      <c r="D1379" s="7"/>
      <c r="E1379" s="7"/>
      <c r="F1379" s="7"/>
      <c r="G1379" s="55"/>
      <c r="H1379" s="7"/>
      <c r="I1379" s="7"/>
      <c r="J1379" s="7"/>
      <c r="K1379" s="7"/>
      <c r="L1379" s="7"/>
      <c r="M1379" s="7"/>
      <c r="N1379" s="7"/>
      <c r="O1379" s="7"/>
      <c r="P1379" s="7"/>
      <c r="Q1379" s="55"/>
      <c r="R1379" s="7"/>
      <c r="S1379" s="7"/>
      <c r="T1379" s="7"/>
      <c r="U1379" s="7"/>
      <c r="V1379" s="7"/>
      <c r="W1379" s="7"/>
      <c r="X1379" s="7"/>
      <c r="Y1379" s="7"/>
      <c r="Z1379" s="7"/>
      <c r="AA1379" s="7"/>
      <c r="AB1379" s="7"/>
      <c r="AC1379" s="7"/>
      <c r="AD1379" s="7"/>
      <c r="AE1379" s="7"/>
      <c r="AF1379" s="7"/>
      <c r="AG1379" s="7"/>
      <c r="AH1379" s="7"/>
      <c r="AI1379" s="7"/>
      <c r="AJ1379" s="7"/>
      <c r="AK1379" s="7"/>
      <c r="AL1379" s="7"/>
      <c r="AM1379" s="7"/>
      <c r="AN1379" s="7"/>
      <c r="AO1379" s="7"/>
      <c r="AP1379" s="7"/>
      <c r="AQ1379" s="7"/>
      <c r="AR1379" s="7"/>
      <c r="AS1379" s="7"/>
      <c r="AT1379" s="7"/>
      <c r="AU1379" s="7"/>
      <c r="AV1379" s="7"/>
      <c r="AW1379" s="7"/>
      <c r="AX1379" s="7"/>
      <c r="AY1379" s="7"/>
      <c r="AZ1379" s="7"/>
      <c r="BA1379" s="7"/>
      <c r="BB1379" s="7"/>
      <c r="BC1379" s="7"/>
      <c r="BD1379" s="7"/>
      <c r="BE1379" s="7"/>
      <c r="BF1379" s="7"/>
      <c r="BG1379" s="7"/>
      <c r="BH1379" s="7"/>
      <c r="BI1379" s="7"/>
      <c r="BJ1379" s="7"/>
      <c r="BK1379" s="7"/>
      <c r="BL1379" s="7"/>
      <c r="BM1379" s="7"/>
      <c r="BN1379" s="7"/>
      <c r="BO1379" s="7"/>
      <c r="BP1379" s="7"/>
      <c r="BQ1379" s="7"/>
      <c r="BR1379" s="7"/>
      <c r="BS1379" s="7"/>
      <c r="BT1379" s="7"/>
      <c r="BU1379" s="7"/>
      <c r="BV1379" s="7"/>
      <c r="BW1379" s="7"/>
      <c r="BX1379" s="7"/>
      <c r="BY1379" s="7"/>
      <c r="BZ1379" s="41"/>
      <c r="CA1379" s="7"/>
      <c r="CB1379" s="7"/>
      <c r="CC1379" s="7"/>
      <c r="CD1379" s="7"/>
      <c r="CE1379" s="7"/>
      <c r="CF1379" s="7"/>
    </row>
    <row r="1380">
      <c r="A1380" s="7"/>
      <c r="B1380" s="55"/>
      <c r="C1380" s="7"/>
      <c r="D1380" s="7"/>
      <c r="E1380" s="7"/>
      <c r="F1380" s="7"/>
      <c r="G1380" s="55"/>
      <c r="H1380" s="7"/>
      <c r="I1380" s="7"/>
      <c r="J1380" s="7"/>
      <c r="K1380" s="7"/>
      <c r="L1380" s="7"/>
      <c r="M1380" s="7"/>
      <c r="N1380" s="7"/>
      <c r="O1380" s="7"/>
      <c r="P1380" s="7"/>
      <c r="Q1380" s="55"/>
      <c r="R1380" s="7"/>
      <c r="S1380" s="7"/>
      <c r="T1380" s="7"/>
      <c r="U1380" s="7"/>
      <c r="V1380" s="7"/>
      <c r="W1380" s="7"/>
      <c r="X1380" s="7"/>
      <c r="Y1380" s="7"/>
      <c r="Z1380" s="7"/>
      <c r="AA1380" s="7"/>
      <c r="AB1380" s="7"/>
      <c r="AC1380" s="7"/>
      <c r="AD1380" s="7"/>
      <c r="AE1380" s="7"/>
      <c r="AF1380" s="7"/>
      <c r="AG1380" s="7"/>
      <c r="AH1380" s="7"/>
      <c r="AI1380" s="7"/>
      <c r="AJ1380" s="7"/>
      <c r="AK1380" s="7"/>
      <c r="AL1380" s="7"/>
      <c r="AM1380" s="7"/>
      <c r="AN1380" s="7"/>
      <c r="AO1380" s="7"/>
      <c r="AP1380" s="7"/>
      <c r="AQ1380" s="7"/>
      <c r="AR1380" s="7"/>
      <c r="AS1380" s="7"/>
      <c r="AT1380" s="7"/>
      <c r="AU1380" s="7"/>
      <c r="AV1380" s="7"/>
      <c r="AW1380" s="7"/>
      <c r="AX1380" s="7"/>
      <c r="AY1380" s="7"/>
      <c r="AZ1380" s="7"/>
      <c r="BA1380" s="7"/>
      <c r="BB1380" s="7"/>
      <c r="BC1380" s="7"/>
      <c r="BD1380" s="7"/>
      <c r="BE1380" s="7"/>
      <c r="BF1380" s="7"/>
      <c r="BG1380" s="7"/>
      <c r="BH1380" s="7"/>
      <c r="BI1380" s="7"/>
      <c r="BJ1380" s="7"/>
      <c r="BK1380" s="7"/>
      <c r="BL1380" s="7"/>
      <c r="BM1380" s="7"/>
      <c r="BN1380" s="7"/>
      <c r="BO1380" s="7"/>
      <c r="BP1380" s="7"/>
      <c r="BQ1380" s="7"/>
      <c r="BR1380" s="7"/>
      <c r="BS1380" s="7"/>
      <c r="BT1380" s="7"/>
      <c r="BU1380" s="7"/>
      <c r="BV1380" s="7"/>
      <c r="BW1380" s="7"/>
      <c r="BX1380" s="7"/>
      <c r="BY1380" s="7"/>
      <c r="BZ1380" s="41"/>
      <c r="CA1380" s="7"/>
      <c r="CB1380" s="7"/>
      <c r="CC1380" s="7"/>
      <c r="CD1380" s="7"/>
      <c r="CE1380" s="7"/>
      <c r="CF1380" s="7"/>
    </row>
    <row r="1381">
      <c r="A1381" s="7"/>
      <c r="B1381" s="55"/>
      <c r="C1381" s="7"/>
      <c r="D1381" s="7"/>
      <c r="E1381" s="7"/>
      <c r="F1381" s="7"/>
      <c r="G1381" s="55"/>
      <c r="H1381" s="7"/>
      <c r="I1381" s="7"/>
      <c r="J1381" s="7"/>
      <c r="K1381" s="7"/>
      <c r="L1381" s="7"/>
      <c r="M1381" s="7"/>
      <c r="N1381" s="7"/>
      <c r="O1381" s="7"/>
      <c r="P1381" s="7"/>
      <c r="Q1381" s="55"/>
      <c r="R1381" s="7"/>
      <c r="S1381" s="7"/>
      <c r="T1381" s="7"/>
      <c r="U1381" s="7"/>
      <c r="V1381" s="7"/>
      <c r="W1381" s="7"/>
      <c r="X1381" s="7"/>
      <c r="Y1381" s="7"/>
      <c r="Z1381" s="7"/>
      <c r="AA1381" s="7"/>
      <c r="AB1381" s="7"/>
      <c r="AC1381" s="7"/>
      <c r="AD1381" s="7"/>
      <c r="AE1381" s="7"/>
      <c r="AF1381" s="7"/>
      <c r="AG1381" s="7"/>
      <c r="AH1381" s="7"/>
      <c r="AI1381" s="7"/>
      <c r="AJ1381" s="7"/>
      <c r="AK1381" s="7"/>
      <c r="AL1381" s="7"/>
      <c r="AM1381" s="7"/>
      <c r="AN1381" s="7"/>
      <c r="AO1381" s="7"/>
      <c r="AP1381" s="7"/>
      <c r="AQ1381" s="7"/>
      <c r="AR1381" s="7"/>
      <c r="AS1381" s="7"/>
      <c r="AT1381" s="7"/>
      <c r="AU1381" s="7"/>
      <c r="AV1381" s="7"/>
      <c r="AW1381" s="7"/>
      <c r="AX1381" s="7"/>
      <c r="AY1381" s="7"/>
      <c r="AZ1381" s="7"/>
      <c r="BA1381" s="7"/>
      <c r="BB1381" s="7"/>
      <c r="BC1381" s="7"/>
      <c r="BD1381" s="7"/>
      <c r="BE1381" s="7"/>
      <c r="BF1381" s="7"/>
      <c r="BG1381" s="7"/>
      <c r="BH1381" s="7"/>
      <c r="BI1381" s="7"/>
      <c r="BJ1381" s="7"/>
      <c r="BK1381" s="7"/>
      <c r="BL1381" s="7"/>
      <c r="BM1381" s="7"/>
      <c r="BN1381" s="7"/>
      <c r="BO1381" s="7"/>
      <c r="BP1381" s="7"/>
      <c r="BQ1381" s="7"/>
      <c r="BR1381" s="7"/>
      <c r="BS1381" s="7"/>
      <c r="BT1381" s="7"/>
      <c r="BU1381" s="7"/>
      <c r="BV1381" s="7"/>
      <c r="BW1381" s="7"/>
      <c r="BX1381" s="7"/>
      <c r="BY1381" s="7"/>
      <c r="BZ1381" s="41"/>
      <c r="CA1381" s="7"/>
      <c r="CB1381" s="7"/>
      <c r="CC1381" s="7"/>
      <c r="CD1381" s="7"/>
      <c r="CE1381" s="7"/>
      <c r="CF1381" s="7"/>
    </row>
    <row r="1382">
      <c r="A1382" s="7"/>
      <c r="B1382" s="55"/>
      <c r="C1382" s="7"/>
      <c r="D1382" s="7"/>
      <c r="E1382" s="7"/>
      <c r="F1382" s="7"/>
      <c r="G1382" s="55"/>
      <c r="H1382" s="7"/>
      <c r="I1382" s="7"/>
      <c r="J1382" s="7"/>
      <c r="K1382" s="7"/>
      <c r="L1382" s="7"/>
      <c r="M1382" s="7"/>
      <c r="N1382" s="7"/>
      <c r="O1382" s="7"/>
      <c r="P1382" s="7"/>
      <c r="Q1382" s="55"/>
      <c r="R1382" s="7"/>
      <c r="S1382" s="7"/>
      <c r="T1382" s="7"/>
      <c r="U1382" s="7"/>
      <c r="V1382" s="7"/>
      <c r="W1382" s="7"/>
      <c r="X1382" s="7"/>
      <c r="Y1382" s="7"/>
      <c r="Z1382" s="7"/>
      <c r="AA1382" s="7"/>
      <c r="AB1382" s="7"/>
      <c r="AC1382" s="7"/>
      <c r="AD1382" s="7"/>
      <c r="AE1382" s="7"/>
      <c r="AF1382" s="7"/>
      <c r="AG1382" s="7"/>
      <c r="AH1382" s="7"/>
      <c r="AI1382" s="7"/>
      <c r="AJ1382" s="7"/>
      <c r="AK1382" s="7"/>
      <c r="AL1382" s="7"/>
      <c r="AM1382" s="7"/>
      <c r="AN1382" s="7"/>
      <c r="AO1382" s="7"/>
      <c r="AP1382" s="7"/>
      <c r="AQ1382" s="7"/>
      <c r="AR1382" s="7"/>
      <c r="AS1382" s="7"/>
      <c r="AT1382" s="7"/>
      <c r="AU1382" s="7"/>
      <c r="AV1382" s="7"/>
      <c r="AW1382" s="7"/>
      <c r="AX1382" s="7"/>
      <c r="AY1382" s="7"/>
      <c r="AZ1382" s="7"/>
      <c r="BA1382" s="7"/>
      <c r="BB1382" s="7"/>
      <c r="BC1382" s="7"/>
      <c r="BD1382" s="7"/>
      <c r="BE1382" s="7"/>
      <c r="BF1382" s="7"/>
      <c r="BG1382" s="7"/>
      <c r="BH1382" s="7"/>
      <c r="BI1382" s="7"/>
      <c r="BJ1382" s="7"/>
      <c r="BK1382" s="7"/>
      <c r="BL1382" s="7"/>
      <c r="BM1382" s="7"/>
      <c r="BN1382" s="7"/>
      <c r="BO1382" s="7"/>
      <c r="BP1382" s="7"/>
      <c r="BQ1382" s="7"/>
      <c r="BR1382" s="7"/>
      <c r="BS1382" s="7"/>
      <c r="BT1382" s="7"/>
      <c r="BU1382" s="7"/>
      <c r="BV1382" s="7"/>
      <c r="BW1382" s="7"/>
      <c r="BX1382" s="7"/>
      <c r="BY1382" s="7"/>
      <c r="BZ1382" s="41"/>
      <c r="CA1382" s="7"/>
      <c r="CB1382" s="7"/>
      <c r="CC1382" s="7"/>
      <c r="CD1382" s="7"/>
      <c r="CE1382" s="7"/>
      <c r="CF1382" s="7"/>
    </row>
    <row r="1383">
      <c r="A1383" s="7"/>
      <c r="B1383" s="55"/>
      <c r="C1383" s="7"/>
      <c r="D1383" s="7"/>
      <c r="E1383" s="7"/>
      <c r="F1383" s="7"/>
      <c r="G1383" s="55"/>
      <c r="H1383" s="7"/>
      <c r="I1383" s="7"/>
      <c r="J1383" s="7"/>
      <c r="K1383" s="7"/>
      <c r="L1383" s="7"/>
      <c r="M1383" s="7"/>
      <c r="N1383" s="7"/>
      <c r="O1383" s="7"/>
      <c r="P1383" s="7"/>
      <c r="Q1383" s="55"/>
      <c r="R1383" s="7"/>
      <c r="S1383" s="7"/>
      <c r="T1383" s="7"/>
      <c r="U1383" s="7"/>
      <c r="V1383" s="7"/>
      <c r="W1383" s="7"/>
      <c r="X1383" s="7"/>
      <c r="Y1383" s="7"/>
      <c r="Z1383" s="7"/>
      <c r="AA1383" s="7"/>
      <c r="AB1383" s="7"/>
      <c r="AC1383" s="7"/>
      <c r="AD1383" s="7"/>
      <c r="AE1383" s="7"/>
      <c r="AF1383" s="7"/>
      <c r="AG1383" s="7"/>
      <c r="AH1383" s="7"/>
      <c r="AI1383" s="7"/>
      <c r="AJ1383" s="7"/>
      <c r="AK1383" s="7"/>
      <c r="AL1383" s="7"/>
      <c r="AM1383" s="7"/>
      <c r="AN1383" s="7"/>
      <c r="AO1383" s="7"/>
      <c r="AP1383" s="7"/>
      <c r="AQ1383" s="7"/>
      <c r="AR1383" s="7"/>
      <c r="AS1383" s="7"/>
      <c r="AT1383" s="7"/>
      <c r="AU1383" s="7"/>
      <c r="AV1383" s="7"/>
      <c r="AW1383" s="7"/>
      <c r="AX1383" s="7"/>
      <c r="AY1383" s="7"/>
      <c r="AZ1383" s="7"/>
      <c r="BA1383" s="7"/>
      <c r="BB1383" s="7"/>
      <c r="BC1383" s="7"/>
      <c r="BD1383" s="7"/>
      <c r="BE1383" s="7"/>
      <c r="BF1383" s="7"/>
      <c r="BG1383" s="7"/>
      <c r="BH1383" s="7"/>
      <c r="BI1383" s="7"/>
      <c r="BJ1383" s="7"/>
      <c r="BK1383" s="7"/>
      <c r="BL1383" s="7"/>
      <c r="BM1383" s="7"/>
      <c r="BN1383" s="7"/>
      <c r="BO1383" s="7"/>
      <c r="BP1383" s="7"/>
      <c r="BQ1383" s="7"/>
      <c r="BR1383" s="7"/>
      <c r="BS1383" s="7"/>
      <c r="BT1383" s="7"/>
      <c r="BU1383" s="7"/>
      <c r="BV1383" s="7"/>
      <c r="BW1383" s="7"/>
      <c r="BX1383" s="7"/>
      <c r="BY1383" s="7"/>
      <c r="BZ1383" s="41"/>
      <c r="CA1383" s="7"/>
      <c r="CB1383" s="7"/>
      <c r="CC1383" s="7"/>
      <c r="CD1383" s="7"/>
      <c r="CE1383" s="7"/>
      <c r="CF1383" s="7"/>
    </row>
    <row r="1384">
      <c r="A1384" s="7"/>
      <c r="B1384" s="55"/>
      <c r="C1384" s="7"/>
      <c r="D1384" s="7"/>
      <c r="E1384" s="7"/>
      <c r="F1384" s="7"/>
      <c r="G1384" s="55"/>
      <c r="H1384" s="7"/>
      <c r="I1384" s="7"/>
      <c r="J1384" s="7"/>
      <c r="K1384" s="7"/>
      <c r="L1384" s="7"/>
      <c r="M1384" s="7"/>
      <c r="N1384" s="7"/>
      <c r="O1384" s="7"/>
      <c r="P1384" s="7"/>
      <c r="Q1384" s="55"/>
      <c r="R1384" s="7"/>
      <c r="S1384" s="7"/>
      <c r="T1384" s="7"/>
      <c r="U1384" s="7"/>
      <c r="V1384" s="7"/>
      <c r="W1384" s="7"/>
      <c r="X1384" s="7"/>
      <c r="Y1384" s="7"/>
      <c r="Z1384" s="7"/>
      <c r="AA1384" s="7"/>
      <c r="AB1384" s="7"/>
      <c r="AC1384" s="7"/>
      <c r="AD1384" s="7"/>
      <c r="AE1384" s="7"/>
      <c r="AF1384" s="7"/>
      <c r="AG1384" s="7"/>
      <c r="AH1384" s="7"/>
      <c r="AI1384" s="7"/>
      <c r="AJ1384" s="7"/>
      <c r="AK1384" s="7"/>
      <c r="AL1384" s="7"/>
      <c r="AM1384" s="7"/>
      <c r="AN1384" s="7"/>
      <c r="AO1384" s="7"/>
      <c r="AP1384" s="7"/>
      <c r="AQ1384" s="7"/>
      <c r="AR1384" s="7"/>
      <c r="AS1384" s="7"/>
      <c r="AT1384" s="7"/>
      <c r="AU1384" s="7"/>
      <c r="AV1384" s="7"/>
      <c r="AW1384" s="7"/>
      <c r="AX1384" s="7"/>
      <c r="AY1384" s="7"/>
      <c r="AZ1384" s="7"/>
      <c r="BA1384" s="7"/>
      <c r="BB1384" s="7"/>
      <c r="BC1384" s="7"/>
      <c r="BD1384" s="7"/>
      <c r="BE1384" s="7"/>
      <c r="BF1384" s="7"/>
      <c r="BG1384" s="7"/>
      <c r="BH1384" s="7"/>
      <c r="BI1384" s="7"/>
      <c r="BJ1384" s="7"/>
      <c r="BK1384" s="7"/>
      <c r="BL1384" s="7"/>
      <c r="BM1384" s="7"/>
      <c r="BN1384" s="7"/>
      <c r="BO1384" s="7"/>
      <c r="BP1384" s="7"/>
      <c r="BQ1384" s="7"/>
      <c r="BR1384" s="7"/>
      <c r="BS1384" s="7"/>
      <c r="BT1384" s="7"/>
      <c r="BU1384" s="7"/>
      <c r="BV1384" s="7"/>
      <c r="BW1384" s="7"/>
      <c r="BX1384" s="7"/>
      <c r="BY1384" s="7"/>
      <c r="BZ1384" s="41"/>
      <c r="CA1384" s="7"/>
      <c r="CB1384" s="7"/>
      <c r="CC1384" s="7"/>
      <c r="CD1384" s="7"/>
      <c r="CE1384" s="7"/>
      <c r="CF1384" s="7"/>
    </row>
    <row r="1385">
      <c r="A1385" s="7"/>
      <c r="B1385" s="55"/>
      <c r="C1385" s="7"/>
      <c r="D1385" s="7"/>
      <c r="E1385" s="7"/>
      <c r="F1385" s="7"/>
      <c r="G1385" s="55"/>
      <c r="H1385" s="7"/>
      <c r="I1385" s="7"/>
      <c r="J1385" s="7"/>
      <c r="K1385" s="7"/>
      <c r="L1385" s="7"/>
      <c r="M1385" s="7"/>
      <c r="N1385" s="7"/>
      <c r="O1385" s="7"/>
      <c r="P1385" s="7"/>
      <c r="Q1385" s="55"/>
      <c r="R1385" s="7"/>
      <c r="S1385" s="7"/>
      <c r="T1385" s="7"/>
      <c r="U1385" s="7"/>
      <c r="V1385" s="7"/>
      <c r="W1385" s="7"/>
      <c r="X1385" s="7"/>
      <c r="Y1385" s="7"/>
      <c r="Z1385" s="7"/>
      <c r="AA1385" s="7"/>
      <c r="AB1385" s="7"/>
      <c r="AC1385" s="7"/>
      <c r="AD1385" s="7"/>
      <c r="AE1385" s="7"/>
      <c r="AF1385" s="7"/>
      <c r="AG1385" s="7"/>
      <c r="AH1385" s="7"/>
      <c r="AI1385" s="7"/>
      <c r="AJ1385" s="7"/>
      <c r="AK1385" s="7"/>
      <c r="AL1385" s="7"/>
      <c r="AM1385" s="7"/>
      <c r="AN1385" s="7"/>
      <c r="AO1385" s="7"/>
      <c r="AP1385" s="7"/>
      <c r="AQ1385" s="7"/>
      <c r="AR1385" s="7"/>
      <c r="AS1385" s="7"/>
      <c r="AT1385" s="7"/>
      <c r="AU1385" s="7"/>
      <c r="AV1385" s="7"/>
      <c r="AW1385" s="7"/>
      <c r="AX1385" s="7"/>
      <c r="AY1385" s="7"/>
      <c r="AZ1385" s="7"/>
      <c r="BA1385" s="7"/>
      <c r="BB1385" s="7"/>
      <c r="BC1385" s="7"/>
      <c r="BD1385" s="7"/>
      <c r="BE1385" s="7"/>
      <c r="BF1385" s="7"/>
      <c r="BG1385" s="7"/>
      <c r="BH1385" s="7"/>
      <c r="BI1385" s="7"/>
      <c r="BJ1385" s="7"/>
      <c r="BK1385" s="7"/>
      <c r="BL1385" s="7"/>
      <c r="BM1385" s="7"/>
      <c r="BN1385" s="7"/>
      <c r="BO1385" s="7"/>
      <c r="BP1385" s="7"/>
      <c r="BQ1385" s="7"/>
      <c r="BR1385" s="7"/>
      <c r="BS1385" s="7"/>
      <c r="BT1385" s="7"/>
      <c r="BU1385" s="7"/>
      <c r="BV1385" s="7"/>
      <c r="BW1385" s="7"/>
      <c r="BX1385" s="7"/>
      <c r="BY1385" s="7"/>
      <c r="BZ1385" s="41"/>
      <c r="CA1385" s="7"/>
      <c r="CB1385" s="7"/>
      <c r="CC1385" s="7"/>
      <c r="CD1385" s="7"/>
      <c r="CE1385" s="7"/>
      <c r="CF1385" s="7"/>
    </row>
    <row r="1386">
      <c r="A1386" s="7"/>
      <c r="B1386" s="55"/>
      <c r="C1386" s="7"/>
      <c r="D1386" s="7"/>
      <c r="E1386" s="7"/>
      <c r="F1386" s="7"/>
      <c r="G1386" s="55"/>
      <c r="H1386" s="7"/>
      <c r="I1386" s="7"/>
      <c r="J1386" s="7"/>
      <c r="K1386" s="7"/>
      <c r="L1386" s="7"/>
      <c r="M1386" s="7"/>
      <c r="N1386" s="7"/>
      <c r="O1386" s="7"/>
      <c r="P1386" s="7"/>
      <c r="Q1386" s="55"/>
      <c r="R1386" s="7"/>
      <c r="S1386" s="7"/>
      <c r="T1386" s="7"/>
      <c r="U1386" s="7"/>
      <c r="V1386" s="7"/>
      <c r="W1386" s="7"/>
      <c r="X1386" s="7"/>
      <c r="Y1386" s="7"/>
      <c r="Z1386" s="7"/>
      <c r="AA1386" s="7"/>
      <c r="AB1386" s="7"/>
      <c r="AC1386" s="7"/>
      <c r="AD1386" s="7"/>
      <c r="AE1386" s="7"/>
      <c r="AF1386" s="7"/>
      <c r="AG1386" s="7"/>
      <c r="AH1386" s="7"/>
      <c r="AI1386" s="7"/>
      <c r="AJ1386" s="7"/>
      <c r="AK1386" s="7"/>
      <c r="AL1386" s="7"/>
      <c r="AM1386" s="7"/>
      <c r="AN1386" s="7"/>
      <c r="AO1386" s="7"/>
      <c r="AP1386" s="7"/>
      <c r="AQ1386" s="7"/>
      <c r="AR1386" s="7"/>
      <c r="AS1386" s="7"/>
      <c r="AT1386" s="7"/>
      <c r="AU1386" s="7"/>
      <c r="AV1386" s="7"/>
      <c r="AW1386" s="7"/>
      <c r="AX1386" s="7"/>
      <c r="AY1386" s="7"/>
      <c r="AZ1386" s="7"/>
      <c r="BA1386" s="7"/>
      <c r="BB1386" s="7"/>
      <c r="BC1386" s="7"/>
      <c r="BD1386" s="7"/>
      <c r="BE1386" s="7"/>
      <c r="BF1386" s="7"/>
      <c r="BG1386" s="7"/>
      <c r="BH1386" s="7"/>
      <c r="BI1386" s="7"/>
      <c r="BJ1386" s="7"/>
      <c r="BK1386" s="7"/>
      <c r="BL1386" s="7"/>
      <c r="BM1386" s="7"/>
      <c r="BN1386" s="7"/>
      <c r="BO1386" s="7"/>
      <c r="BP1386" s="7"/>
      <c r="BQ1386" s="7"/>
      <c r="BR1386" s="7"/>
      <c r="BS1386" s="7"/>
      <c r="BT1386" s="7"/>
      <c r="BU1386" s="7"/>
      <c r="BV1386" s="7"/>
      <c r="BW1386" s="7"/>
      <c r="BX1386" s="7"/>
      <c r="BY1386" s="7"/>
      <c r="BZ1386" s="41"/>
      <c r="CA1386" s="7"/>
      <c r="CB1386" s="7"/>
      <c r="CC1386" s="7"/>
      <c r="CD1386" s="7"/>
      <c r="CE1386" s="7"/>
      <c r="CF1386" s="7"/>
    </row>
    <row r="1387">
      <c r="A1387" s="7"/>
      <c r="B1387" s="55"/>
      <c r="C1387" s="7"/>
      <c r="D1387" s="7"/>
      <c r="E1387" s="7"/>
      <c r="F1387" s="7"/>
      <c r="G1387" s="55"/>
      <c r="H1387" s="7"/>
      <c r="I1387" s="7"/>
      <c r="J1387" s="7"/>
      <c r="K1387" s="7"/>
      <c r="L1387" s="7"/>
      <c r="M1387" s="7"/>
      <c r="N1387" s="7"/>
      <c r="O1387" s="7"/>
      <c r="P1387" s="7"/>
      <c r="Q1387" s="55"/>
      <c r="R1387" s="7"/>
      <c r="S1387" s="7"/>
      <c r="T1387" s="7"/>
      <c r="U1387" s="7"/>
      <c r="V1387" s="7"/>
      <c r="W1387" s="7"/>
      <c r="X1387" s="7"/>
      <c r="Y1387" s="7"/>
      <c r="Z1387" s="7"/>
      <c r="AA1387" s="7"/>
      <c r="AB1387" s="7"/>
      <c r="AC1387" s="7"/>
      <c r="AD1387" s="7"/>
      <c r="AE1387" s="7"/>
      <c r="AF1387" s="7"/>
      <c r="AG1387" s="7"/>
      <c r="AH1387" s="7"/>
      <c r="AI1387" s="7"/>
      <c r="AJ1387" s="7"/>
      <c r="AK1387" s="7"/>
      <c r="AL1387" s="7"/>
      <c r="AM1387" s="7"/>
      <c r="AN1387" s="7"/>
      <c r="AO1387" s="7"/>
      <c r="AP1387" s="7"/>
      <c r="AQ1387" s="7"/>
      <c r="AR1387" s="7"/>
      <c r="AS1387" s="7"/>
      <c r="AT1387" s="7"/>
      <c r="AU1387" s="7"/>
      <c r="AV1387" s="7"/>
      <c r="AW1387" s="7"/>
      <c r="AX1387" s="7"/>
      <c r="AY1387" s="7"/>
      <c r="AZ1387" s="7"/>
      <c r="BA1387" s="7"/>
      <c r="BB1387" s="7"/>
      <c r="BC1387" s="7"/>
      <c r="BD1387" s="7"/>
      <c r="BE1387" s="7"/>
      <c r="BF1387" s="7"/>
      <c r="BG1387" s="7"/>
      <c r="BH1387" s="7"/>
      <c r="BI1387" s="7"/>
      <c r="BJ1387" s="7"/>
      <c r="BK1387" s="7"/>
      <c r="BL1387" s="7"/>
      <c r="BM1387" s="7"/>
      <c r="BN1387" s="7"/>
      <c r="BO1387" s="7"/>
      <c r="BP1387" s="7"/>
      <c r="BQ1387" s="7"/>
      <c r="BR1387" s="7"/>
      <c r="BS1387" s="7"/>
      <c r="BT1387" s="7"/>
      <c r="BU1387" s="7"/>
      <c r="BV1387" s="7"/>
      <c r="BW1387" s="7"/>
      <c r="BX1387" s="7"/>
      <c r="BY1387" s="7"/>
      <c r="BZ1387" s="41"/>
      <c r="CA1387" s="7"/>
      <c r="CB1387" s="7"/>
      <c r="CC1387" s="7"/>
      <c r="CD1387" s="7"/>
      <c r="CE1387" s="7"/>
      <c r="CF1387" s="7"/>
    </row>
    <row r="1388">
      <c r="A1388" s="7"/>
      <c r="B1388" s="55"/>
      <c r="C1388" s="7"/>
      <c r="D1388" s="7"/>
      <c r="E1388" s="7"/>
      <c r="F1388" s="7"/>
      <c r="G1388" s="55"/>
      <c r="H1388" s="7"/>
      <c r="I1388" s="7"/>
      <c r="J1388" s="7"/>
      <c r="K1388" s="7"/>
      <c r="L1388" s="7"/>
      <c r="M1388" s="7"/>
      <c r="N1388" s="7"/>
      <c r="O1388" s="7"/>
      <c r="P1388" s="7"/>
      <c r="Q1388" s="55"/>
      <c r="R1388" s="7"/>
      <c r="S1388" s="7"/>
      <c r="T1388" s="7"/>
      <c r="U1388" s="7"/>
      <c r="V1388" s="7"/>
      <c r="W1388" s="7"/>
      <c r="X1388" s="7"/>
      <c r="Y1388" s="7"/>
      <c r="Z1388" s="7"/>
      <c r="AA1388" s="7"/>
      <c r="AB1388" s="7"/>
      <c r="AC1388" s="7"/>
      <c r="AD1388" s="7"/>
      <c r="AE1388" s="7"/>
      <c r="AF1388" s="7"/>
      <c r="AG1388" s="7"/>
      <c r="AH1388" s="7"/>
      <c r="AI1388" s="7"/>
      <c r="AJ1388" s="7"/>
      <c r="AK1388" s="7"/>
      <c r="AL1388" s="7"/>
      <c r="AM1388" s="7"/>
      <c r="AN1388" s="7"/>
      <c r="AO1388" s="7"/>
      <c r="AP1388" s="7"/>
      <c r="AQ1388" s="7"/>
      <c r="AR1388" s="7"/>
      <c r="AS1388" s="7"/>
      <c r="AT1388" s="7"/>
      <c r="AU1388" s="7"/>
      <c r="AV1388" s="7"/>
      <c r="AW1388" s="7"/>
      <c r="AX1388" s="7"/>
      <c r="AY1388" s="7"/>
      <c r="AZ1388" s="7"/>
      <c r="BA1388" s="7"/>
      <c r="BB1388" s="7"/>
      <c r="BC1388" s="7"/>
      <c r="BD1388" s="7"/>
      <c r="BE1388" s="7"/>
      <c r="BF1388" s="7"/>
      <c r="BG1388" s="7"/>
      <c r="BH1388" s="7"/>
      <c r="BI1388" s="7"/>
      <c r="BJ1388" s="7"/>
      <c r="BK1388" s="7"/>
      <c r="BL1388" s="7"/>
      <c r="BM1388" s="7"/>
      <c r="BN1388" s="7"/>
      <c r="BO1388" s="7"/>
      <c r="BP1388" s="7"/>
      <c r="BQ1388" s="7"/>
      <c r="BR1388" s="7"/>
      <c r="BS1388" s="7"/>
      <c r="BT1388" s="7"/>
      <c r="BU1388" s="7"/>
      <c r="BV1388" s="7"/>
      <c r="BW1388" s="7"/>
      <c r="BX1388" s="7"/>
      <c r="BY1388" s="7"/>
      <c r="BZ1388" s="41"/>
      <c r="CA1388" s="7"/>
      <c r="CB1388" s="7"/>
      <c r="CC1388" s="7"/>
      <c r="CD1388" s="7"/>
      <c r="CE1388" s="7"/>
      <c r="CF1388" s="7"/>
    </row>
    <row r="1389">
      <c r="A1389" s="7"/>
      <c r="B1389" s="55"/>
      <c r="C1389" s="7"/>
      <c r="D1389" s="7"/>
      <c r="E1389" s="7"/>
      <c r="F1389" s="7"/>
      <c r="G1389" s="55"/>
      <c r="H1389" s="7"/>
      <c r="I1389" s="7"/>
      <c r="J1389" s="7"/>
      <c r="K1389" s="7"/>
      <c r="L1389" s="7"/>
      <c r="M1389" s="7"/>
      <c r="N1389" s="7"/>
      <c r="O1389" s="7"/>
      <c r="P1389" s="7"/>
      <c r="Q1389" s="55"/>
      <c r="R1389" s="7"/>
      <c r="S1389" s="7"/>
      <c r="T1389" s="7"/>
      <c r="U1389" s="7"/>
      <c r="V1389" s="7"/>
      <c r="W1389" s="7"/>
      <c r="X1389" s="7"/>
      <c r="Y1389" s="7"/>
      <c r="Z1389" s="7"/>
      <c r="AA1389" s="7"/>
      <c r="AB1389" s="7"/>
      <c r="AC1389" s="7"/>
      <c r="AD1389" s="7"/>
      <c r="AE1389" s="7"/>
      <c r="AF1389" s="7"/>
      <c r="AG1389" s="7"/>
      <c r="AH1389" s="7"/>
      <c r="AI1389" s="7"/>
      <c r="AJ1389" s="7"/>
      <c r="AK1389" s="7"/>
      <c r="AL1389" s="7"/>
      <c r="AM1389" s="7"/>
      <c r="AN1389" s="7"/>
      <c r="AO1389" s="7"/>
      <c r="AP1389" s="7"/>
      <c r="AQ1389" s="7"/>
      <c r="AR1389" s="7"/>
      <c r="AS1389" s="7"/>
      <c r="AT1389" s="7"/>
      <c r="AU1389" s="7"/>
      <c r="AV1389" s="7"/>
      <c r="AW1389" s="7"/>
      <c r="AX1389" s="7"/>
      <c r="AY1389" s="7"/>
      <c r="AZ1389" s="7"/>
      <c r="BA1389" s="7"/>
      <c r="BB1389" s="7"/>
      <c r="BC1389" s="7"/>
      <c r="BD1389" s="7"/>
      <c r="BE1389" s="7"/>
      <c r="BF1389" s="7"/>
      <c r="BG1389" s="7"/>
      <c r="BH1389" s="7"/>
      <c r="BI1389" s="7"/>
      <c r="BJ1389" s="7"/>
      <c r="BK1389" s="7"/>
      <c r="BL1389" s="7"/>
      <c r="BM1389" s="7"/>
      <c r="BN1389" s="7"/>
      <c r="BO1389" s="7"/>
      <c r="BP1389" s="7"/>
      <c r="BQ1389" s="7"/>
      <c r="BR1389" s="7"/>
      <c r="BS1389" s="7"/>
      <c r="BT1389" s="7"/>
      <c r="BU1389" s="7"/>
      <c r="BV1389" s="7"/>
      <c r="BW1389" s="7"/>
      <c r="BX1389" s="7"/>
      <c r="BY1389" s="7"/>
      <c r="BZ1389" s="41"/>
      <c r="CA1389" s="7"/>
      <c r="CB1389" s="7"/>
      <c r="CC1389" s="7"/>
      <c r="CD1389" s="7"/>
      <c r="CE1389" s="7"/>
      <c r="CF1389" s="7"/>
    </row>
    <row r="1390">
      <c r="A1390" s="7"/>
      <c r="B1390" s="55"/>
      <c r="C1390" s="7"/>
      <c r="D1390" s="7"/>
      <c r="E1390" s="7"/>
      <c r="F1390" s="7"/>
      <c r="G1390" s="55"/>
      <c r="H1390" s="7"/>
      <c r="I1390" s="7"/>
      <c r="J1390" s="7"/>
      <c r="K1390" s="7"/>
      <c r="L1390" s="7"/>
      <c r="M1390" s="7"/>
      <c r="N1390" s="7"/>
      <c r="O1390" s="7"/>
      <c r="P1390" s="7"/>
      <c r="Q1390" s="55"/>
      <c r="R1390" s="7"/>
      <c r="S1390" s="7"/>
      <c r="T1390" s="7"/>
      <c r="U1390" s="7"/>
      <c r="V1390" s="7"/>
      <c r="W1390" s="7"/>
      <c r="X1390" s="7"/>
      <c r="Y1390" s="7"/>
      <c r="Z1390" s="7"/>
      <c r="AA1390" s="7"/>
      <c r="AB1390" s="7"/>
      <c r="AC1390" s="7"/>
      <c r="AD1390" s="7"/>
      <c r="AE1390" s="7"/>
      <c r="AF1390" s="7"/>
      <c r="AG1390" s="7"/>
      <c r="AH1390" s="7"/>
      <c r="AI1390" s="7"/>
      <c r="AJ1390" s="7"/>
      <c r="AK1390" s="7"/>
      <c r="AL1390" s="7"/>
      <c r="AM1390" s="7"/>
      <c r="AN1390" s="7"/>
      <c r="AO1390" s="7"/>
      <c r="AP1390" s="7"/>
      <c r="AQ1390" s="7"/>
      <c r="AR1390" s="7"/>
      <c r="AS1390" s="7"/>
      <c r="AT1390" s="7"/>
      <c r="AU1390" s="7"/>
      <c r="AV1390" s="7"/>
      <c r="AW1390" s="7"/>
      <c r="AX1390" s="7"/>
      <c r="AY1390" s="7"/>
      <c r="AZ1390" s="7"/>
      <c r="BA1390" s="7"/>
      <c r="BB1390" s="7"/>
      <c r="BC1390" s="7"/>
      <c r="BD1390" s="7"/>
      <c r="BE1390" s="7"/>
      <c r="BF1390" s="7"/>
      <c r="BG1390" s="7"/>
      <c r="BH1390" s="7"/>
      <c r="BI1390" s="7"/>
      <c r="BJ1390" s="7"/>
      <c r="BK1390" s="7"/>
      <c r="BL1390" s="7"/>
      <c r="BM1390" s="7"/>
      <c r="BN1390" s="7"/>
      <c r="BO1390" s="7"/>
      <c r="BP1390" s="7"/>
      <c r="BQ1390" s="7"/>
      <c r="BR1390" s="7"/>
      <c r="BS1390" s="7"/>
      <c r="BT1390" s="7"/>
      <c r="BU1390" s="7"/>
      <c r="BV1390" s="7"/>
      <c r="BW1390" s="7"/>
      <c r="BX1390" s="7"/>
      <c r="BY1390" s="7"/>
      <c r="BZ1390" s="41"/>
      <c r="CA1390" s="7"/>
      <c r="CB1390" s="7"/>
      <c r="CC1390" s="7"/>
      <c r="CD1390" s="7"/>
      <c r="CE1390" s="7"/>
      <c r="CF1390" s="7"/>
    </row>
    <row r="1391">
      <c r="A1391" s="7"/>
      <c r="B1391" s="55"/>
      <c r="C1391" s="7"/>
      <c r="D1391" s="7"/>
      <c r="E1391" s="7"/>
      <c r="F1391" s="7"/>
      <c r="G1391" s="55"/>
      <c r="H1391" s="7"/>
      <c r="I1391" s="7"/>
      <c r="J1391" s="7"/>
      <c r="K1391" s="7"/>
      <c r="L1391" s="7"/>
      <c r="M1391" s="7"/>
      <c r="N1391" s="7"/>
      <c r="O1391" s="7"/>
      <c r="P1391" s="7"/>
      <c r="Q1391" s="55"/>
      <c r="R1391" s="7"/>
      <c r="S1391" s="7"/>
      <c r="T1391" s="7"/>
      <c r="U1391" s="7"/>
      <c r="V1391" s="7"/>
      <c r="W1391" s="7"/>
      <c r="X1391" s="7"/>
      <c r="Y1391" s="7"/>
      <c r="Z1391" s="7"/>
      <c r="AA1391" s="7"/>
      <c r="AB1391" s="7"/>
      <c r="AC1391" s="7"/>
      <c r="AD1391" s="7"/>
      <c r="AE1391" s="7"/>
      <c r="AF1391" s="7"/>
      <c r="AG1391" s="7"/>
      <c r="AH1391" s="7"/>
      <c r="AI1391" s="7"/>
      <c r="AJ1391" s="7"/>
      <c r="AK1391" s="7"/>
      <c r="AL1391" s="7"/>
      <c r="AM1391" s="7"/>
      <c r="AN1391" s="7"/>
      <c r="AO1391" s="7"/>
      <c r="AP1391" s="7"/>
      <c r="AQ1391" s="7"/>
      <c r="AR1391" s="7"/>
      <c r="AS1391" s="7"/>
      <c r="AT1391" s="7"/>
      <c r="AU1391" s="7"/>
      <c r="AV1391" s="7"/>
      <c r="AW1391" s="7"/>
      <c r="AX1391" s="7"/>
      <c r="AY1391" s="7"/>
      <c r="AZ1391" s="7"/>
      <c r="BA1391" s="7"/>
      <c r="BB1391" s="7"/>
      <c r="BC1391" s="7"/>
      <c r="BD1391" s="7"/>
      <c r="BE1391" s="7"/>
      <c r="BF1391" s="7"/>
      <c r="BG1391" s="7"/>
      <c r="BH1391" s="7"/>
      <c r="BI1391" s="7"/>
      <c r="BJ1391" s="7"/>
      <c r="BK1391" s="7"/>
      <c r="BL1391" s="7"/>
      <c r="BM1391" s="7"/>
      <c r="BN1391" s="7"/>
      <c r="BO1391" s="7"/>
      <c r="BP1391" s="7"/>
      <c r="BQ1391" s="7"/>
      <c r="BR1391" s="7"/>
      <c r="BS1391" s="7"/>
      <c r="BT1391" s="7"/>
      <c r="BU1391" s="7"/>
      <c r="BV1391" s="7"/>
      <c r="BW1391" s="7"/>
      <c r="BX1391" s="7"/>
      <c r="BY1391" s="7"/>
      <c r="BZ1391" s="41"/>
      <c r="CA1391" s="7"/>
      <c r="CB1391" s="7"/>
      <c r="CC1391" s="7"/>
      <c r="CD1391" s="7"/>
      <c r="CE1391" s="7"/>
      <c r="CF1391" s="7"/>
    </row>
    <row r="1392">
      <c r="A1392" s="7"/>
      <c r="B1392" s="55"/>
      <c r="C1392" s="7"/>
      <c r="D1392" s="7"/>
      <c r="E1392" s="7"/>
      <c r="F1392" s="7"/>
      <c r="G1392" s="55"/>
      <c r="H1392" s="7"/>
      <c r="I1392" s="7"/>
      <c r="J1392" s="7"/>
      <c r="K1392" s="7"/>
      <c r="L1392" s="7"/>
      <c r="M1392" s="7"/>
      <c r="N1392" s="7"/>
      <c r="O1392" s="7"/>
      <c r="P1392" s="7"/>
      <c r="Q1392" s="55"/>
      <c r="R1392" s="7"/>
      <c r="S1392" s="7"/>
      <c r="T1392" s="7"/>
      <c r="U1392" s="7"/>
      <c r="V1392" s="7"/>
      <c r="W1392" s="7"/>
      <c r="X1392" s="7"/>
      <c r="Y1392" s="7"/>
      <c r="Z1392" s="7"/>
      <c r="AA1392" s="7"/>
      <c r="AB1392" s="7"/>
      <c r="AC1392" s="7"/>
      <c r="AD1392" s="7"/>
      <c r="AE1392" s="7"/>
      <c r="AF1392" s="7"/>
      <c r="AG1392" s="7"/>
      <c r="AH1392" s="7"/>
      <c r="AI1392" s="7"/>
      <c r="AJ1392" s="7"/>
      <c r="AK1392" s="7"/>
      <c r="AL1392" s="7"/>
      <c r="AM1392" s="7"/>
      <c r="AN1392" s="7"/>
      <c r="AO1392" s="7"/>
      <c r="AP1392" s="7"/>
      <c r="AQ1392" s="7"/>
      <c r="AR1392" s="7"/>
      <c r="AS1392" s="7"/>
      <c r="AT1392" s="7"/>
      <c r="AU1392" s="7"/>
      <c r="AV1392" s="7"/>
      <c r="AW1392" s="7"/>
      <c r="AX1392" s="7"/>
      <c r="AY1392" s="7"/>
      <c r="AZ1392" s="7"/>
      <c r="BA1392" s="7"/>
      <c r="BB1392" s="7"/>
      <c r="BC1392" s="7"/>
      <c r="BD1392" s="7"/>
      <c r="BE1392" s="7"/>
      <c r="BF1392" s="7"/>
      <c r="BG1392" s="7"/>
      <c r="BH1392" s="7"/>
      <c r="BI1392" s="7"/>
      <c r="BJ1392" s="7"/>
      <c r="BK1392" s="7"/>
      <c r="BL1392" s="7"/>
      <c r="BM1392" s="7"/>
      <c r="BN1392" s="7"/>
      <c r="BO1392" s="7"/>
      <c r="BP1392" s="7"/>
      <c r="BQ1392" s="7"/>
      <c r="BR1392" s="7"/>
      <c r="BS1392" s="7"/>
      <c r="BT1392" s="7"/>
      <c r="BU1392" s="7"/>
      <c r="BV1392" s="7"/>
      <c r="BW1392" s="7"/>
      <c r="BX1392" s="7"/>
      <c r="BY1392" s="7"/>
      <c r="BZ1392" s="41"/>
      <c r="CA1392" s="7"/>
      <c r="CB1392" s="7"/>
      <c r="CC1392" s="7"/>
      <c r="CD1392" s="7"/>
      <c r="CE1392" s="7"/>
      <c r="CF1392" s="7"/>
    </row>
    <row r="1393">
      <c r="A1393" s="7"/>
      <c r="B1393" s="55"/>
      <c r="C1393" s="7"/>
      <c r="D1393" s="7"/>
      <c r="E1393" s="7"/>
      <c r="F1393" s="7"/>
      <c r="G1393" s="55"/>
      <c r="H1393" s="7"/>
      <c r="I1393" s="7"/>
      <c r="J1393" s="7"/>
      <c r="K1393" s="7"/>
      <c r="L1393" s="7"/>
      <c r="M1393" s="7"/>
      <c r="N1393" s="7"/>
      <c r="O1393" s="7"/>
      <c r="P1393" s="7"/>
      <c r="Q1393" s="55"/>
      <c r="R1393" s="7"/>
      <c r="S1393" s="7"/>
      <c r="T1393" s="7"/>
      <c r="U1393" s="7"/>
      <c r="V1393" s="7"/>
      <c r="W1393" s="7"/>
      <c r="X1393" s="7"/>
      <c r="Y1393" s="7"/>
      <c r="Z1393" s="7"/>
      <c r="AA1393" s="7"/>
      <c r="AB1393" s="7"/>
      <c r="AC1393" s="7"/>
      <c r="AD1393" s="7"/>
      <c r="AE1393" s="7"/>
      <c r="AF1393" s="7"/>
      <c r="AG1393" s="7"/>
      <c r="AH1393" s="7"/>
      <c r="AI1393" s="7"/>
      <c r="AJ1393" s="7"/>
      <c r="AK1393" s="7"/>
      <c r="AL1393" s="7"/>
      <c r="AM1393" s="7"/>
      <c r="AN1393" s="7"/>
      <c r="AO1393" s="7"/>
      <c r="AP1393" s="7"/>
      <c r="AQ1393" s="7"/>
      <c r="AR1393" s="7"/>
      <c r="AS1393" s="7"/>
      <c r="AT1393" s="7"/>
      <c r="AU1393" s="7"/>
      <c r="AV1393" s="7"/>
      <c r="AW1393" s="7"/>
      <c r="AX1393" s="7"/>
      <c r="AY1393" s="7"/>
      <c r="AZ1393" s="7"/>
      <c r="BA1393" s="7"/>
      <c r="BB1393" s="7"/>
      <c r="BC1393" s="7"/>
      <c r="BD1393" s="7"/>
      <c r="BE1393" s="7"/>
      <c r="BF1393" s="7"/>
      <c r="BG1393" s="7"/>
      <c r="BH1393" s="7"/>
      <c r="BI1393" s="7"/>
      <c r="BJ1393" s="7"/>
      <c r="BK1393" s="7"/>
      <c r="BL1393" s="7"/>
      <c r="BM1393" s="7"/>
      <c r="BN1393" s="7"/>
      <c r="BO1393" s="7"/>
      <c r="BP1393" s="7"/>
      <c r="BQ1393" s="7"/>
      <c r="BR1393" s="7"/>
      <c r="BS1393" s="7"/>
      <c r="BT1393" s="7"/>
      <c r="BU1393" s="7"/>
      <c r="BV1393" s="7"/>
      <c r="BW1393" s="7"/>
      <c r="BX1393" s="7"/>
      <c r="BY1393" s="7"/>
      <c r="BZ1393" s="41"/>
      <c r="CA1393" s="7"/>
      <c r="CB1393" s="7"/>
      <c r="CC1393" s="7"/>
      <c r="CD1393" s="7"/>
      <c r="CE1393" s="7"/>
      <c r="CF1393" s="7"/>
    </row>
    <row r="1394">
      <c r="A1394" s="7"/>
      <c r="B1394" s="55"/>
      <c r="C1394" s="7"/>
      <c r="D1394" s="7"/>
      <c r="E1394" s="7"/>
      <c r="F1394" s="7"/>
      <c r="G1394" s="55"/>
      <c r="H1394" s="7"/>
      <c r="I1394" s="7"/>
      <c r="J1394" s="7"/>
      <c r="K1394" s="7"/>
      <c r="L1394" s="7"/>
      <c r="M1394" s="7"/>
      <c r="N1394" s="7"/>
      <c r="O1394" s="7"/>
      <c r="P1394" s="7"/>
      <c r="Q1394" s="55"/>
      <c r="R1394" s="7"/>
      <c r="S1394" s="7"/>
      <c r="T1394" s="7"/>
      <c r="U1394" s="7"/>
      <c r="V1394" s="7"/>
      <c r="W1394" s="7"/>
      <c r="X1394" s="7"/>
      <c r="Y1394" s="7"/>
      <c r="Z1394" s="7"/>
      <c r="AA1394" s="7"/>
      <c r="AB1394" s="7"/>
      <c r="AC1394" s="7"/>
      <c r="AD1394" s="7"/>
      <c r="AE1394" s="7"/>
      <c r="AF1394" s="7"/>
      <c r="AG1394" s="7"/>
      <c r="AH1394" s="7"/>
      <c r="AI1394" s="7"/>
      <c r="AJ1394" s="7"/>
      <c r="AK1394" s="7"/>
      <c r="AL1394" s="7"/>
      <c r="AM1394" s="7"/>
      <c r="AN1394" s="7"/>
      <c r="AO1394" s="7"/>
      <c r="AP1394" s="7"/>
      <c r="AQ1394" s="7"/>
      <c r="AR1394" s="7"/>
      <c r="AS1394" s="7"/>
      <c r="AT1394" s="7"/>
      <c r="AU1394" s="7"/>
      <c r="AV1394" s="7"/>
      <c r="AW1394" s="7"/>
      <c r="AX1394" s="7"/>
      <c r="AY1394" s="7"/>
      <c r="AZ1394" s="7"/>
      <c r="BA1394" s="7"/>
      <c r="BB1394" s="7"/>
      <c r="BC1394" s="7"/>
      <c r="BD1394" s="7"/>
      <c r="BE1394" s="7"/>
      <c r="BF1394" s="7"/>
      <c r="BG1394" s="7"/>
      <c r="BH1394" s="7"/>
      <c r="BI1394" s="7"/>
      <c r="BJ1394" s="7"/>
      <c r="BK1394" s="7"/>
      <c r="BL1394" s="7"/>
      <c r="BM1394" s="7"/>
      <c r="BN1394" s="7"/>
      <c r="BO1394" s="7"/>
      <c r="BP1394" s="7"/>
      <c r="BQ1394" s="7"/>
      <c r="BR1394" s="7"/>
      <c r="BS1394" s="7"/>
      <c r="BT1394" s="7"/>
      <c r="BU1394" s="7"/>
      <c r="BV1394" s="7"/>
      <c r="BW1394" s="7"/>
      <c r="BX1394" s="7"/>
      <c r="BY1394" s="7"/>
      <c r="BZ1394" s="41"/>
      <c r="CA1394" s="7"/>
      <c r="CB1394" s="7"/>
      <c r="CC1394" s="7"/>
      <c r="CD1394" s="7"/>
      <c r="CE1394" s="7"/>
      <c r="CF1394" s="7"/>
    </row>
    <row r="1395">
      <c r="A1395" s="7"/>
      <c r="B1395" s="55"/>
      <c r="C1395" s="7"/>
      <c r="D1395" s="7"/>
      <c r="E1395" s="7"/>
      <c r="F1395" s="7"/>
      <c r="G1395" s="55"/>
      <c r="H1395" s="7"/>
      <c r="I1395" s="7"/>
      <c r="J1395" s="7"/>
      <c r="K1395" s="7"/>
      <c r="L1395" s="7"/>
      <c r="M1395" s="7"/>
      <c r="N1395" s="7"/>
      <c r="O1395" s="7"/>
      <c r="P1395" s="7"/>
      <c r="Q1395" s="55"/>
      <c r="R1395" s="7"/>
      <c r="S1395" s="7"/>
      <c r="T1395" s="7"/>
      <c r="U1395" s="7"/>
      <c r="V1395" s="7"/>
      <c r="W1395" s="7"/>
      <c r="X1395" s="7"/>
      <c r="Y1395" s="7"/>
      <c r="Z1395" s="7"/>
      <c r="AA1395" s="7"/>
      <c r="AB1395" s="7"/>
      <c r="AC1395" s="7"/>
      <c r="AD1395" s="7"/>
      <c r="AE1395" s="7"/>
      <c r="AF1395" s="7"/>
      <c r="AG1395" s="7"/>
      <c r="AH1395" s="7"/>
      <c r="AI1395" s="7"/>
      <c r="AJ1395" s="7"/>
      <c r="AK1395" s="7"/>
      <c r="AL1395" s="7"/>
      <c r="AM1395" s="7"/>
      <c r="AN1395" s="7"/>
      <c r="AO1395" s="7"/>
      <c r="AP1395" s="7"/>
      <c r="AQ1395" s="7"/>
      <c r="AR1395" s="7"/>
      <c r="AS1395" s="7"/>
      <c r="AT1395" s="7"/>
      <c r="AU1395" s="7"/>
      <c r="AV1395" s="7"/>
      <c r="AW1395" s="7"/>
      <c r="AX1395" s="7"/>
      <c r="AY1395" s="7"/>
      <c r="AZ1395" s="7"/>
      <c r="BA1395" s="7"/>
      <c r="BB1395" s="7"/>
      <c r="BC1395" s="7"/>
      <c r="BD1395" s="7"/>
      <c r="BE1395" s="7"/>
      <c r="BF1395" s="7"/>
      <c r="BG1395" s="7"/>
      <c r="BH1395" s="7"/>
      <c r="BI1395" s="7"/>
      <c r="BJ1395" s="7"/>
      <c r="BK1395" s="7"/>
      <c r="BL1395" s="7"/>
      <c r="BM1395" s="7"/>
      <c r="BN1395" s="7"/>
      <c r="BO1395" s="7"/>
      <c r="BP1395" s="7"/>
      <c r="BQ1395" s="7"/>
      <c r="BR1395" s="7"/>
      <c r="BS1395" s="7"/>
      <c r="BT1395" s="7"/>
      <c r="BU1395" s="7"/>
      <c r="BV1395" s="7"/>
      <c r="BW1395" s="7"/>
      <c r="BX1395" s="7"/>
      <c r="BY1395" s="7"/>
      <c r="BZ1395" s="41"/>
      <c r="CA1395" s="7"/>
      <c r="CB1395" s="7"/>
      <c r="CC1395" s="7"/>
      <c r="CD1395" s="7"/>
      <c r="CE1395" s="7"/>
      <c r="CF1395" s="7"/>
    </row>
    <row r="1396">
      <c r="A1396" s="7"/>
      <c r="B1396" s="55"/>
      <c r="C1396" s="7"/>
      <c r="D1396" s="7"/>
      <c r="E1396" s="7"/>
      <c r="F1396" s="7"/>
      <c r="G1396" s="55"/>
      <c r="H1396" s="7"/>
      <c r="I1396" s="7"/>
      <c r="J1396" s="7"/>
      <c r="K1396" s="7"/>
      <c r="L1396" s="7"/>
      <c r="M1396" s="7"/>
      <c r="N1396" s="7"/>
      <c r="O1396" s="7"/>
      <c r="P1396" s="7"/>
      <c r="Q1396" s="55"/>
      <c r="R1396" s="7"/>
      <c r="S1396" s="7"/>
      <c r="T1396" s="7"/>
      <c r="U1396" s="7"/>
      <c r="V1396" s="7"/>
      <c r="W1396" s="7"/>
      <c r="X1396" s="7"/>
      <c r="Y1396" s="7"/>
      <c r="Z1396" s="7"/>
      <c r="AA1396" s="7"/>
      <c r="AB1396" s="7"/>
      <c r="AC1396" s="7"/>
      <c r="AD1396" s="7"/>
      <c r="AE1396" s="7"/>
      <c r="AF1396" s="7"/>
      <c r="AG1396" s="7"/>
      <c r="AH1396" s="7"/>
      <c r="AI1396" s="7"/>
      <c r="AJ1396" s="7"/>
      <c r="AK1396" s="7"/>
      <c r="AL1396" s="7"/>
      <c r="AM1396" s="7"/>
      <c r="AN1396" s="7"/>
      <c r="AO1396" s="7"/>
      <c r="AP1396" s="7"/>
      <c r="AQ1396" s="7"/>
      <c r="AR1396" s="7"/>
      <c r="AS1396" s="7"/>
      <c r="AT1396" s="7"/>
      <c r="AU1396" s="7"/>
      <c r="AV1396" s="7"/>
      <c r="AW1396" s="7"/>
      <c r="AX1396" s="7"/>
      <c r="AY1396" s="7"/>
      <c r="AZ1396" s="7"/>
      <c r="BA1396" s="7"/>
      <c r="BB1396" s="7"/>
      <c r="BC1396" s="7"/>
      <c r="BD1396" s="7"/>
      <c r="BE1396" s="7"/>
      <c r="BF1396" s="7"/>
      <c r="BG1396" s="7"/>
      <c r="BH1396" s="7"/>
      <c r="BI1396" s="7"/>
      <c r="BJ1396" s="7"/>
      <c r="BK1396" s="7"/>
      <c r="BL1396" s="7"/>
      <c r="BM1396" s="7"/>
      <c r="BN1396" s="7"/>
      <c r="BO1396" s="7"/>
      <c r="BP1396" s="7"/>
      <c r="BQ1396" s="7"/>
      <c r="BR1396" s="7"/>
      <c r="BS1396" s="7"/>
      <c r="BT1396" s="7"/>
      <c r="BU1396" s="7"/>
      <c r="BV1396" s="7"/>
      <c r="BW1396" s="7"/>
      <c r="BX1396" s="7"/>
      <c r="BY1396" s="7"/>
      <c r="BZ1396" s="41"/>
      <c r="CA1396" s="7"/>
      <c r="CB1396" s="7"/>
      <c r="CC1396" s="7"/>
      <c r="CD1396" s="7"/>
      <c r="CE1396" s="7"/>
      <c r="CF1396" s="7"/>
    </row>
    <row r="1397">
      <c r="A1397" s="7"/>
      <c r="B1397" s="55"/>
      <c r="C1397" s="7"/>
      <c r="D1397" s="7"/>
      <c r="E1397" s="7"/>
      <c r="F1397" s="7"/>
      <c r="G1397" s="55"/>
      <c r="H1397" s="7"/>
      <c r="I1397" s="7"/>
      <c r="J1397" s="7"/>
      <c r="K1397" s="7"/>
      <c r="L1397" s="7"/>
      <c r="M1397" s="7"/>
      <c r="N1397" s="7"/>
      <c r="O1397" s="7"/>
      <c r="P1397" s="7"/>
      <c r="Q1397" s="55"/>
      <c r="R1397" s="7"/>
      <c r="S1397" s="7"/>
      <c r="T1397" s="7"/>
      <c r="U1397" s="7"/>
      <c r="V1397" s="7"/>
      <c r="W1397" s="7"/>
      <c r="X1397" s="7"/>
      <c r="Y1397" s="7"/>
      <c r="Z1397" s="7"/>
      <c r="AA1397" s="7"/>
      <c r="AB1397" s="7"/>
      <c r="AC1397" s="7"/>
      <c r="AD1397" s="7"/>
      <c r="AE1397" s="7"/>
      <c r="AF1397" s="7"/>
      <c r="AG1397" s="7"/>
      <c r="AH1397" s="7"/>
      <c r="AI1397" s="7"/>
      <c r="AJ1397" s="7"/>
      <c r="AK1397" s="7"/>
      <c r="AL1397" s="7"/>
      <c r="AM1397" s="7"/>
      <c r="AN1397" s="7"/>
      <c r="AO1397" s="7"/>
      <c r="AP1397" s="7"/>
      <c r="AQ1397" s="7"/>
      <c r="AR1397" s="7"/>
      <c r="AS1397" s="7"/>
      <c r="AT1397" s="7"/>
      <c r="AU1397" s="7"/>
      <c r="AV1397" s="7"/>
      <c r="AW1397" s="7"/>
      <c r="AX1397" s="7"/>
      <c r="AY1397" s="7"/>
      <c r="AZ1397" s="7"/>
      <c r="BA1397" s="7"/>
      <c r="BB1397" s="7"/>
      <c r="BC1397" s="7"/>
      <c r="BD1397" s="7"/>
      <c r="BE1397" s="7"/>
      <c r="BF1397" s="7"/>
      <c r="BG1397" s="7"/>
      <c r="BH1397" s="7"/>
      <c r="BI1397" s="7"/>
      <c r="BJ1397" s="7"/>
      <c r="BK1397" s="7"/>
      <c r="BL1397" s="7"/>
      <c r="BM1397" s="7"/>
      <c r="BN1397" s="7"/>
      <c r="BO1397" s="7"/>
      <c r="BP1397" s="7"/>
      <c r="BQ1397" s="7"/>
      <c r="BR1397" s="7"/>
      <c r="BS1397" s="7"/>
      <c r="BT1397" s="7"/>
      <c r="BU1397" s="7"/>
      <c r="BV1397" s="7"/>
      <c r="BW1397" s="7"/>
      <c r="BX1397" s="7"/>
      <c r="BY1397" s="7"/>
      <c r="BZ1397" s="41"/>
      <c r="CA1397" s="7"/>
      <c r="CB1397" s="7"/>
      <c r="CC1397" s="7"/>
      <c r="CD1397" s="7"/>
      <c r="CE1397" s="7"/>
      <c r="CF1397" s="7"/>
    </row>
    <row r="1398">
      <c r="A1398" s="7"/>
      <c r="B1398" s="55"/>
      <c r="C1398" s="7"/>
      <c r="D1398" s="7"/>
      <c r="E1398" s="7"/>
      <c r="F1398" s="7"/>
      <c r="G1398" s="55"/>
      <c r="H1398" s="7"/>
      <c r="I1398" s="7"/>
      <c r="J1398" s="7"/>
      <c r="K1398" s="7"/>
      <c r="L1398" s="7"/>
      <c r="M1398" s="7"/>
      <c r="N1398" s="7"/>
      <c r="O1398" s="7"/>
      <c r="P1398" s="7"/>
      <c r="Q1398" s="55"/>
      <c r="R1398" s="7"/>
      <c r="S1398" s="7"/>
      <c r="T1398" s="7"/>
      <c r="U1398" s="7"/>
      <c r="V1398" s="7"/>
      <c r="W1398" s="7"/>
      <c r="X1398" s="7"/>
      <c r="Y1398" s="7"/>
      <c r="Z1398" s="7"/>
      <c r="AA1398" s="7"/>
      <c r="AB1398" s="7"/>
      <c r="AC1398" s="7"/>
      <c r="AD1398" s="7"/>
      <c r="AE1398" s="7"/>
      <c r="AF1398" s="7"/>
      <c r="AG1398" s="7"/>
      <c r="AH1398" s="7"/>
      <c r="AI1398" s="7"/>
      <c r="AJ1398" s="7"/>
      <c r="AK1398" s="7"/>
      <c r="AL1398" s="7"/>
      <c r="AM1398" s="7"/>
      <c r="AN1398" s="7"/>
      <c r="AO1398" s="7"/>
      <c r="AP1398" s="7"/>
      <c r="AQ1398" s="7"/>
      <c r="AR1398" s="7"/>
      <c r="AS1398" s="7"/>
      <c r="AT1398" s="7"/>
      <c r="AU1398" s="7"/>
      <c r="AV1398" s="7"/>
      <c r="AW1398" s="7"/>
      <c r="AX1398" s="7"/>
      <c r="AY1398" s="7"/>
      <c r="AZ1398" s="7"/>
      <c r="BA1398" s="7"/>
      <c r="BB1398" s="7"/>
      <c r="BC1398" s="7"/>
      <c r="BD1398" s="7"/>
      <c r="BE1398" s="7"/>
      <c r="BF1398" s="7"/>
      <c r="BG1398" s="7"/>
      <c r="BH1398" s="7"/>
      <c r="BI1398" s="7"/>
      <c r="BJ1398" s="7"/>
      <c r="BK1398" s="7"/>
      <c r="BL1398" s="7"/>
      <c r="BM1398" s="7"/>
      <c r="BN1398" s="7"/>
      <c r="BO1398" s="7"/>
      <c r="BP1398" s="7"/>
      <c r="BQ1398" s="7"/>
      <c r="BR1398" s="7"/>
      <c r="BS1398" s="7"/>
      <c r="BT1398" s="7"/>
      <c r="BU1398" s="7"/>
      <c r="BV1398" s="7"/>
      <c r="BW1398" s="7"/>
      <c r="BX1398" s="7"/>
      <c r="BY1398" s="7"/>
      <c r="BZ1398" s="41"/>
      <c r="CA1398" s="7"/>
      <c r="CB1398" s="7"/>
      <c r="CC1398" s="7"/>
      <c r="CD1398" s="7"/>
      <c r="CE1398" s="7"/>
      <c r="CF1398" s="7"/>
    </row>
    <row r="1399">
      <c r="A1399" s="7"/>
      <c r="B1399" s="55"/>
      <c r="C1399" s="7"/>
      <c r="D1399" s="7"/>
      <c r="E1399" s="7"/>
      <c r="F1399" s="7"/>
      <c r="G1399" s="55"/>
      <c r="H1399" s="7"/>
      <c r="I1399" s="7"/>
      <c r="J1399" s="7"/>
      <c r="K1399" s="7"/>
      <c r="L1399" s="7"/>
      <c r="M1399" s="7"/>
      <c r="N1399" s="7"/>
      <c r="O1399" s="7"/>
      <c r="P1399" s="7"/>
      <c r="Q1399" s="55"/>
      <c r="R1399" s="7"/>
      <c r="S1399" s="7"/>
      <c r="T1399" s="7"/>
      <c r="U1399" s="7"/>
      <c r="V1399" s="7"/>
      <c r="W1399" s="7"/>
      <c r="X1399" s="7"/>
      <c r="Y1399" s="7"/>
      <c r="Z1399" s="7"/>
      <c r="AA1399" s="7"/>
      <c r="AB1399" s="7"/>
      <c r="AC1399" s="7"/>
      <c r="AD1399" s="7"/>
      <c r="AE1399" s="7"/>
      <c r="AF1399" s="7"/>
      <c r="AG1399" s="7"/>
      <c r="AH1399" s="7"/>
      <c r="AI1399" s="7"/>
      <c r="AJ1399" s="7"/>
      <c r="AK1399" s="7"/>
      <c r="AL1399" s="7"/>
      <c r="AM1399" s="7"/>
      <c r="AN1399" s="7"/>
      <c r="AO1399" s="7"/>
      <c r="AP1399" s="7"/>
      <c r="AQ1399" s="7"/>
      <c r="AR1399" s="7"/>
      <c r="AS1399" s="7"/>
      <c r="AT1399" s="7"/>
      <c r="AU1399" s="7"/>
      <c r="AV1399" s="7"/>
      <c r="AW1399" s="7"/>
      <c r="AX1399" s="7"/>
      <c r="AY1399" s="7"/>
      <c r="AZ1399" s="7"/>
      <c r="BA1399" s="7"/>
      <c r="BB1399" s="7"/>
      <c r="BC1399" s="7"/>
      <c r="BD1399" s="7"/>
      <c r="BE1399" s="7"/>
      <c r="BF1399" s="7"/>
      <c r="BG1399" s="7"/>
      <c r="BH1399" s="7"/>
      <c r="BI1399" s="7"/>
      <c r="BJ1399" s="7"/>
      <c r="BK1399" s="7"/>
      <c r="BL1399" s="7"/>
      <c r="BM1399" s="7"/>
      <c r="BN1399" s="7"/>
      <c r="BO1399" s="7"/>
      <c r="BP1399" s="7"/>
      <c r="BQ1399" s="7"/>
      <c r="BR1399" s="7"/>
      <c r="BS1399" s="7"/>
      <c r="BT1399" s="7"/>
      <c r="BU1399" s="7"/>
      <c r="BV1399" s="7"/>
      <c r="BW1399" s="7"/>
      <c r="BX1399" s="7"/>
      <c r="BY1399" s="7"/>
      <c r="BZ1399" s="41"/>
      <c r="CA1399" s="7"/>
      <c r="CB1399" s="7"/>
      <c r="CC1399" s="7"/>
      <c r="CD1399" s="7"/>
      <c r="CE1399" s="7"/>
      <c r="CF1399" s="7"/>
    </row>
    <row r="1400">
      <c r="A1400" s="7"/>
      <c r="B1400" s="55"/>
      <c r="C1400" s="7"/>
      <c r="D1400" s="7"/>
      <c r="E1400" s="7"/>
      <c r="F1400" s="7"/>
      <c r="G1400" s="55"/>
      <c r="H1400" s="7"/>
      <c r="I1400" s="7"/>
      <c r="J1400" s="7"/>
      <c r="K1400" s="7"/>
      <c r="L1400" s="7"/>
      <c r="M1400" s="7"/>
      <c r="N1400" s="7"/>
      <c r="O1400" s="7"/>
      <c r="P1400" s="7"/>
      <c r="Q1400" s="55"/>
      <c r="R1400" s="7"/>
      <c r="S1400" s="7"/>
      <c r="T1400" s="7"/>
      <c r="U1400" s="7"/>
      <c r="V1400" s="7"/>
      <c r="W1400" s="7"/>
      <c r="X1400" s="7"/>
      <c r="Y1400" s="7"/>
      <c r="Z1400" s="7"/>
      <c r="AA1400" s="7"/>
      <c r="AB1400" s="7"/>
      <c r="AC1400" s="7"/>
      <c r="AD1400" s="7"/>
      <c r="AE1400" s="7"/>
      <c r="AF1400" s="7"/>
      <c r="AG1400" s="7"/>
      <c r="AH1400" s="7"/>
      <c r="AI1400" s="7"/>
      <c r="AJ1400" s="7"/>
      <c r="AK1400" s="7"/>
      <c r="AL1400" s="7"/>
      <c r="AM1400" s="7"/>
      <c r="AN1400" s="7"/>
      <c r="AO1400" s="7"/>
      <c r="AP1400" s="7"/>
      <c r="AQ1400" s="7"/>
      <c r="AR1400" s="7"/>
      <c r="AS1400" s="7"/>
      <c r="AT1400" s="7"/>
      <c r="AU1400" s="7"/>
      <c r="AV1400" s="7"/>
      <c r="AW1400" s="7"/>
      <c r="AX1400" s="7"/>
      <c r="AY1400" s="7"/>
      <c r="AZ1400" s="7"/>
      <c r="BA1400" s="7"/>
      <c r="BB1400" s="7"/>
      <c r="BC1400" s="7"/>
      <c r="BD1400" s="7"/>
      <c r="BE1400" s="7"/>
      <c r="BF1400" s="7"/>
      <c r="BG1400" s="7"/>
      <c r="BH1400" s="7"/>
      <c r="BI1400" s="7"/>
      <c r="BJ1400" s="7"/>
      <c r="BK1400" s="7"/>
      <c r="BL1400" s="7"/>
      <c r="BM1400" s="7"/>
      <c r="BN1400" s="7"/>
      <c r="BO1400" s="7"/>
      <c r="BP1400" s="7"/>
      <c r="BQ1400" s="7"/>
      <c r="BR1400" s="7"/>
      <c r="BS1400" s="7"/>
      <c r="BT1400" s="7"/>
      <c r="BU1400" s="7"/>
      <c r="BV1400" s="7"/>
      <c r="BW1400" s="7"/>
      <c r="BX1400" s="7"/>
      <c r="BY1400" s="7"/>
      <c r="BZ1400" s="41"/>
      <c r="CA1400" s="7"/>
      <c r="CB1400" s="7"/>
      <c r="CC1400" s="7"/>
      <c r="CD1400" s="7"/>
      <c r="CE1400" s="7"/>
      <c r="CF1400" s="7"/>
    </row>
    <row r="1401">
      <c r="A1401" s="7"/>
      <c r="B1401" s="55"/>
      <c r="C1401" s="7"/>
      <c r="D1401" s="7"/>
      <c r="E1401" s="7"/>
      <c r="F1401" s="7"/>
      <c r="G1401" s="55"/>
      <c r="H1401" s="7"/>
      <c r="I1401" s="7"/>
      <c r="J1401" s="7"/>
      <c r="K1401" s="7"/>
      <c r="L1401" s="7"/>
      <c r="M1401" s="7"/>
      <c r="N1401" s="7"/>
      <c r="O1401" s="7"/>
      <c r="P1401" s="7"/>
      <c r="Q1401" s="55"/>
      <c r="R1401" s="7"/>
      <c r="S1401" s="7"/>
      <c r="T1401" s="7"/>
      <c r="U1401" s="7"/>
      <c r="V1401" s="7"/>
      <c r="W1401" s="7"/>
      <c r="X1401" s="7"/>
      <c r="Y1401" s="7"/>
      <c r="Z1401" s="7"/>
      <c r="AA1401" s="7"/>
      <c r="AB1401" s="7"/>
      <c r="AC1401" s="7"/>
      <c r="AD1401" s="7"/>
      <c r="AE1401" s="7"/>
      <c r="AF1401" s="7"/>
      <c r="AG1401" s="7"/>
      <c r="AH1401" s="7"/>
      <c r="AI1401" s="7"/>
      <c r="AJ1401" s="7"/>
      <c r="AK1401" s="7"/>
      <c r="AL1401" s="7"/>
      <c r="AM1401" s="7"/>
      <c r="AN1401" s="7"/>
      <c r="AO1401" s="7"/>
      <c r="AP1401" s="7"/>
      <c r="AQ1401" s="7"/>
      <c r="AR1401" s="7"/>
      <c r="AS1401" s="7"/>
      <c r="AT1401" s="7"/>
      <c r="AU1401" s="7"/>
      <c r="AV1401" s="7"/>
      <c r="AW1401" s="7"/>
      <c r="AX1401" s="7"/>
      <c r="AY1401" s="7"/>
      <c r="AZ1401" s="7"/>
      <c r="BA1401" s="7"/>
      <c r="BB1401" s="7"/>
      <c r="BC1401" s="7"/>
      <c r="BD1401" s="7"/>
      <c r="BE1401" s="7"/>
      <c r="BF1401" s="7"/>
      <c r="BG1401" s="7"/>
      <c r="BH1401" s="7"/>
      <c r="BI1401" s="7"/>
      <c r="BJ1401" s="7"/>
      <c r="BK1401" s="7"/>
      <c r="BL1401" s="7"/>
      <c r="BM1401" s="7"/>
      <c r="BN1401" s="7"/>
      <c r="BO1401" s="7"/>
      <c r="BP1401" s="7"/>
      <c r="BQ1401" s="7"/>
      <c r="BR1401" s="7"/>
      <c r="BS1401" s="7"/>
      <c r="BT1401" s="7"/>
      <c r="BU1401" s="7"/>
      <c r="BV1401" s="7"/>
      <c r="BW1401" s="7"/>
      <c r="BX1401" s="7"/>
      <c r="BY1401" s="7"/>
      <c r="BZ1401" s="41"/>
      <c r="CA1401" s="7"/>
      <c r="CB1401" s="7"/>
      <c r="CC1401" s="7"/>
      <c r="CD1401" s="7"/>
      <c r="CE1401" s="7"/>
      <c r="CF1401" s="7"/>
    </row>
    <row r="1402">
      <c r="A1402" s="7"/>
      <c r="B1402" s="55"/>
      <c r="C1402" s="7"/>
      <c r="D1402" s="7"/>
      <c r="E1402" s="7"/>
      <c r="F1402" s="7"/>
      <c r="G1402" s="55"/>
      <c r="H1402" s="7"/>
      <c r="I1402" s="7"/>
      <c r="J1402" s="7"/>
      <c r="K1402" s="7"/>
      <c r="L1402" s="7"/>
      <c r="M1402" s="7"/>
      <c r="N1402" s="7"/>
      <c r="O1402" s="7"/>
      <c r="P1402" s="7"/>
      <c r="Q1402" s="55"/>
      <c r="R1402" s="7"/>
      <c r="S1402" s="7"/>
      <c r="T1402" s="7"/>
      <c r="U1402" s="7"/>
      <c r="V1402" s="7"/>
      <c r="W1402" s="7"/>
      <c r="X1402" s="7"/>
      <c r="Y1402" s="7"/>
      <c r="Z1402" s="7"/>
      <c r="AA1402" s="7"/>
      <c r="AB1402" s="7"/>
      <c r="AC1402" s="7"/>
      <c r="AD1402" s="7"/>
      <c r="AE1402" s="7"/>
      <c r="AF1402" s="7"/>
      <c r="AG1402" s="7"/>
      <c r="AH1402" s="7"/>
      <c r="AI1402" s="7"/>
      <c r="AJ1402" s="7"/>
      <c r="AK1402" s="7"/>
      <c r="AL1402" s="7"/>
      <c r="AM1402" s="7"/>
      <c r="AN1402" s="7"/>
      <c r="AO1402" s="7"/>
      <c r="AP1402" s="7"/>
      <c r="AQ1402" s="7"/>
      <c r="AR1402" s="7"/>
      <c r="AS1402" s="7"/>
      <c r="AT1402" s="7"/>
      <c r="AU1402" s="7"/>
      <c r="AV1402" s="7"/>
      <c r="AW1402" s="7"/>
      <c r="AX1402" s="7"/>
      <c r="AY1402" s="7"/>
      <c r="AZ1402" s="7"/>
      <c r="BA1402" s="7"/>
      <c r="BB1402" s="7"/>
      <c r="BC1402" s="7"/>
      <c r="BD1402" s="7"/>
      <c r="BE1402" s="7"/>
      <c r="BF1402" s="7"/>
      <c r="BG1402" s="7"/>
      <c r="BH1402" s="7"/>
      <c r="BI1402" s="7"/>
      <c r="BJ1402" s="7"/>
      <c r="BK1402" s="7"/>
      <c r="BL1402" s="7"/>
      <c r="BM1402" s="7"/>
      <c r="BN1402" s="7"/>
      <c r="BO1402" s="7"/>
      <c r="BP1402" s="7"/>
      <c r="BQ1402" s="7"/>
      <c r="BR1402" s="7"/>
      <c r="BS1402" s="7"/>
      <c r="BT1402" s="7"/>
      <c r="BU1402" s="7"/>
      <c r="BV1402" s="7"/>
      <c r="BW1402" s="7"/>
      <c r="BX1402" s="7"/>
      <c r="BY1402" s="7"/>
      <c r="BZ1402" s="41"/>
      <c r="CA1402" s="7"/>
      <c r="CB1402" s="7"/>
      <c r="CC1402" s="7"/>
      <c r="CD1402" s="7"/>
      <c r="CE1402" s="7"/>
      <c r="CF1402" s="7"/>
    </row>
    <row r="1403">
      <c r="A1403" s="7"/>
      <c r="B1403" s="55"/>
      <c r="C1403" s="7"/>
      <c r="D1403" s="7"/>
      <c r="E1403" s="7"/>
      <c r="F1403" s="7"/>
      <c r="G1403" s="55"/>
      <c r="H1403" s="7"/>
      <c r="I1403" s="7"/>
      <c r="J1403" s="7"/>
      <c r="K1403" s="7"/>
      <c r="L1403" s="7"/>
      <c r="M1403" s="7"/>
      <c r="N1403" s="7"/>
      <c r="O1403" s="7"/>
      <c r="P1403" s="7"/>
      <c r="Q1403" s="55"/>
      <c r="R1403" s="7"/>
      <c r="S1403" s="7"/>
      <c r="T1403" s="7"/>
      <c r="U1403" s="7"/>
      <c r="V1403" s="7"/>
      <c r="W1403" s="7"/>
      <c r="X1403" s="7"/>
      <c r="Y1403" s="7"/>
      <c r="Z1403" s="7"/>
      <c r="AA1403" s="7"/>
      <c r="AB1403" s="7"/>
      <c r="AC1403" s="7"/>
      <c r="AD1403" s="7"/>
      <c r="AE1403" s="7"/>
      <c r="AF1403" s="7"/>
      <c r="AG1403" s="7"/>
      <c r="AH1403" s="7"/>
      <c r="AI1403" s="7"/>
      <c r="AJ1403" s="7"/>
      <c r="AK1403" s="7"/>
      <c r="AL1403" s="7"/>
      <c r="AM1403" s="7"/>
      <c r="AN1403" s="7"/>
      <c r="AO1403" s="7"/>
      <c r="AP1403" s="7"/>
      <c r="AQ1403" s="7"/>
      <c r="AR1403" s="7"/>
      <c r="AS1403" s="7"/>
      <c r="AT1403" s="7"/>
      <c r="AU1403" s="7"/>
      <c r="AV1403" s="7"/>
      <c r="AW1403" s="7"/>
      <c r="AX1403" s="7"/>
      <c r="AY1403" s="7"/>
      <c r="AZ1403" s="7"/>
      <c r="BA1403" s="7"/>
      <c r="BB1403" s="7"/>
      <c r="BC1403" s="7"/>
      <c r="BD1403" s="7"/>
      <c r="BE1403" s="7"/>
      <c r="BF1403" s="7"/>
      <c r="BG1403" s="7"/>
      <c r="BH1403" s="7"/>
      <c r="BI1403" s="7"/>
      <c r="BJ1403" s="7"/>
      <c r="BK1403" s="7"/>
      <c r="BL1403" s="7"/>
      <c r="BM1403" s="7"/>
      <c r="BN1403" s="7"/>
      <c r="BO1403" s="7"/>
      <c r="BP1403" s="7"/>
      <c r="BQ1403" s="7"/>
      <c r="BR1403" s="7"/>
      <c r="BS1403" s="7"/>
      <c r="BT1403" s="7"/>
      <c r="BU1403" s="7"/>
      <c r="BV1403" s="7"/>
      <c r="BW1403" s="7"/>
      <c r="BX1403" s="7"/>
      <c r="BY1403" s="7"/>
      <c r="BZ1403" s="41"/>
      <c r="CA1403" s="7"/>
      <c r="CB1403" s="7"/>
      <c r="CC1403" s="7"/>
      <c r="CD1403" s="7"/>
      <c r="CE1403" s="7"/>
      <c r="CF1403" s="7"/>
    </row>
    <row r="1404">
      <c r="A1404" s="7"/>
      <c r="B1404" s="55"/>
      <c r="C1404" s="7"/>
      <c r="D1404" s="7"/>
      <c r="E1404" s="7"/>
      <c r="F1404" s="7"/>
      <c r="G1404" s="55"/>
      <c r="H1404" s="7"/>
      <c r="I1404" s="7"/>
      <c r="J1404" s="7"/>
      <c r="K1404" s="7"/>
      <c r="L1404" s="7"/>
      <c r="M1404" s="7"/>
      <c r="N1404" s="7"/>
      <c r="O1404" s="7"/>
      <c r="P1404" s="7"/>
      <c r="Q1404" s="55"/>
      <c r="R1404" s="7"/>
      <c r="S1404" s="7"/>
      <c r="T1404" s="7"/>
      <c r="U1404" s="7"/>
      <c r="V1404" s="7"/>
      <c r="W1404" s="7"/>
      <c r="X1404" s="7"/>
      <c r="Y1404" s="7"/>
      <c r="Z1404" s="7"/>
      <c r="AA1404" s="7"/>
      <c r="AB1404" s="7"/>
      <c r="AC1404" s="7"/>
      <c r="AD1404" s="7"/>
      <c r="AE1404" s="7"/>
      <c r="AF1404" s="7"/>
      <c r="AG1404" s="7"/>
      <c r="AH1404" s="7"/>
      <c r="AI1404" s="7"/>
      <c r="AJ1404" s="7"/>
      <c r="AK1404" s="7"/>
      <c r="AL1404" s="7"/>
      <c r="AM1404" s="7"/>
      <c r="AN1404" s="7"/>
      <c r="AO1404" s="7"/>
      <c r="AP1404" s="7"/>
      <c r="AQ1404" s="7"/>
      <c r="AR1404" s="7"/>
      <c r="AS1404" s="7"/>
      <c r="AT1404" s="7"/>
      <c r="AU1404" s="7"/>
      <c r="AV1404" s="7"/>
      <c r="AW1404" s="7"/>
      <c r="AX1404" s="7"/>
      <c r="AY1404" s="7"/>
      <c r="AZ1404" s="7"/>
      <c r="BA1404" s="7"/>
      <c r="BB1404" s="7"/>
      <c r="BC1404" s="7"/>
      <c r="BD1404" s="7"/>
      <c r="BE1404" s="7"/>
      <c r="BF1404" s="7"/>
      <c r="BG1404" s="7"/>
      <c r="BH1404" s="7"/>
      <c r="BI1404" s="7"/>
      <c r="BJ1404" s="7"/>
      <c r="BK1404" s="7"/>
      <c r="BL1404" s="7"/>
      <c r="BM1404" s="7"/>
      <c r="BN1404" s="7"/>
      <c r="BO1404" s="7"/>
      <c r="BP1404" s="7"/>
      <c r="BQ1404" s="7"/>
      <c r="BR1404" s="7"/>
      <c r="BS1404" s="7"/>
      <c r="BT1404" s="7"/>
      <c r="BU1404" s="7"/>
      <c r="BV1404" s="7"/>
      <c r="BW1404" s="7"/>
      <c r="BX1404" s="7"/>
      <c r="BY1404" s="7"/>
      <c r="BZ1404" s="41"/>
      <c r="CA1404" s="7"/>
      <c r="CB1404" s="7"/>
      <c r="CC1404" s="7"/>
      <c r="CD1404" s="7"/>
      <c r="CE1404" s="7"/>
      <c r="CF1404" s="7"/>
    </row>
    <row r="1405">
      <c r="A1405" s="7"/>
      <c r="B1405" s="55"/>
      <c r="C1405" s="7"/>
      <c r="D1405" s="7"/>
      <c r="E1405" s="7"/>
      <c r="F1405" s="7"/>
      <c r="G1405" s="55"/>
      <c r="H1405" s="7"/>
      <c r="I1405" s="7"/>
      <c r="J1405" s="7"/>
      <c r="K1405" s="7"/>
      <c r="L1405" s="7"/>
      <c r="M1405" s="7"/>
      <c r="N1405" s="7"/>
      <c r="O1405" s="7"/>
      <c r="P1405" s="7"/>
      <c r="Q1405" s="55"/>
      <c r="R1405" s="7"/>
      <c r="S1405" s="7"/>
      <c r="T1405" s="7"/>
      <c r="U1405" s="7"/>
      <c r="V1405" s="7"/>
      <c r="W1405" s="7"/>
      <c r="X1405" s="7"/>
      <c r="Y1405" s="7"/>
      <c r="Z1405" s="7"/>
      <c r="AA1405" s="7"/>
      <c r="AB1405" s="7"/>
      <c r="AC1405" s="7"/>
      <c r="AD1405" s="7"/>
      <c r="AE1405" s="7"/>
      <c r="AF1405" s="7"/>
      <c r="AG1405" s="7"/>
      <c r="AH1405" s="7"/>
      <c r="AI1405" s="7"/>
      <c r="AJ1405" s="7"/>
      <c r="AK1405" s="7"/>
      <c r="AL1405" s="7"/>
      <c r="AM1405" s="7"/>
      <c r="AN1405" s="7"/>
      <c r="AO1405" s="7"/>
      <c r="AP1405" s="7"/>
      <c r="AQ1405" s="7"/>
      <c r="AR1405" s="7"/>
      <c r="AS1405" s="7"/>
      <c r="AT1405" s="7"/>
      <c r="AU1405" s="7"/>
      <c r="AV1405" s="7"/>
      <c r="AW1405" s="7"/>
      <c r="AX1405" s="7"/>
      <c r="AY1405" s="7"/>
      <c r="AZ1405" s="7"/>
      <c r="BA1405" s="7"/>
      <c r="BB1405" s="7"/>
      <c r="BC1405" s="7"/>
      <c r="BD1405" s="7"/>
      <c r="BE1405" s="7"/>
      <c r="BF1405" s="7"/>
      <c r="BG1405" s="7"/>
      <c r="BH1405" s="7"/>
      <c r="BI1405" s="7"/>
      <c r="BJ1405" s="7"/>
      <c r="BK1405" s="7"/>
      <c r="BL1405" s="7"/>
      <c r="BM1405" s="7"/>
      <c r="BN1405" s="7"/>
      <c r="BO1405" s="7"/>
      <c r="BP1405" s="7"/>
      <c r="BQ1405" s="7"/>
      <c r="BR1405" s="7"/>
      <c r="BS1405" s="7"/>
      <c r="BT1405" s="7"/>
      <c r="BU1405" s="7"/>
      <c r="BV1405" s="7"/>
      <c r="BW1405" s="7"/>
      <c r="BX1405" s="7"/>
      <c r="BY1405" s="7"/>
      <c r="BZ1405" s="41"/>
      <c r="CA1405" s="7"/>
      <c r="CB1405" s="7"/>
      <c r="CC1405" s="7"/>
      <c r="CD1405" s="7"/>
      <c r="CE1405" s="7"/>
      <c r="CF1405" s="7"/>
    </row>
    <row r="1406">
      <c r="A1406" s="7"/>
      <c r="B1406" s="55"/>
      <c r="C1406" s="7"/>
      <c r="D1406" s="7"/>
      <c r="E1406" s="7"/>
      <c r="F1406" s="7"/>
      <c r="G1406" s="55"/>
      <c r="H1406" s="7"/>
      <c r="I1406" s="7"/>
      <c r="J1406" s="7"/>
      <c r="K1406" s="7"/>
      <c r="L1406" s="7"/>
      <c r="M1406" s="7"/>
      <c r="N1406" s="7"/>
      <c r="O1406" s="7"/>
      <c r="P1406" s="7"/>
      <c r="Q1406" s="55"/>
      <c r="R1406" s="7"/>
      <c r="S1406" s="7"/>
      <c r="T1406" s="7"/>
      <c r="U1406" s="7"/>
      <c r="V1406" s="7"/>
      <c r="W1406" s="7"/>
      <c r="X1406" s="7"/>
      <c r="Y1406" s="7"/>
      <c r="Z1406" s="7"/>
      <c r="AA1406" s="7"/>
      <c r="AB1406" s="7"/>
      <c r="AC1406" s="7"/>
      <c r="AD1406" s="7"/>
      <c r="AE1406" s="7"/>
      <c r="AF1406" s="7"/>
      <c r="AG1406" s="7"/>
      <c r="AH1406" s="7"/>
      <c r="AI1406" s="7"/>
      <c r="AJ1406" s="7"/>
      <c r="AK1406" s="7"/>
      <c r="AL1406" s="7"/>
      <c r="AM1406" s="7"/>
      <c r="AN1406" s="7"/>
      <c r="AO1406" s="7"/>
      <c r="AP1406" s="7"/>
      <c r="AQ1406" s="7"/>
      <c r="AR1406" s="7"/>
      <c r="AS1406" s="7"/>
      <c r="AT1406" s="7"/>
      <c r="AU1406" s="7"/>
      <c r="AV1406" s="7"/>
      <c r="AW1406" s="7"/>
      <c r="AX1406" s="7"/>
      <c r="AY1406" s="7"/>
      <c r="AZ1406" s="7"/>
      <c r="BA1406" s="7"/>
      <c r="BB1406" s="7"/>
      <c r="BC1406" s="7"/>
      <c r="BD1406" s="7"/>
      <c r="BE1406" s="7"/>
      <c r="BF1406" s="7"/>
      <c r="BG1406" s="7"/>
      <c r="BH1406" s="7"/>
      <c r="BI1406" s="7"/>
      <c r="BJ1406" s="7"/>
      <c r="BK1406" s="7"/>
      <c r="BL1406" s="7"/>
      <c r="BM1406" s="7"/>
      <c r="BN1406" s="7"/>
      <c r="BO1406" s="7"/>
      <c r="BP1406" s="7"/>
      <c r="BQ1406" s="7"/>
      <c r="BR1406" s="7"/>
      <c r="BS1406" s="7"/>
      <c r="BT1406" s="7"/>
      <c r="BU1406" s="7"/>
      <c r="BV1406" s="7"/>
      <c r="BW1406" s="7"/>
      <c r="BX1406" s="7"/>
      <c r="BY1406" s="7"/>
      <c r="BZ1406" s="41"/>
      <c r="CA1406" s="7"/>
      <c r="CB1406" s="7"/>
      <c r="CC1406" s="7"/>
      <c r="CD1406" s="7"/>
      <c r="CE1406" s="7"/>
      <c r="CF1406" s="7"/>
    </row>
    <row r="1407">
      <c r="A1407" s="7"/>
      <c r="B1407" s="55"/>
      <c r="C1407" s="7"/>
      <c r="D1407" s="7"/>
      <c r="E1407" s="7"/>
      <c r="F1407" s="7"/>
      <c r="G1407" s="55"/>
      <c r="H1407" s="7"/>
      <c r="I1407" s="7"/>
      <c r="J1407" s="7"/>
      <c r="K1407" s="7"/>
      <c r="L1407" s="7"/>
      <c r="M1407" s="7"/>
      <c r="N1407" s="7"/>
      <c r="O1407" s="7"/>
      <c r="P1407" s="7"/>
      <c r="Q1407" s="55"/>
      <c r="R1407" s="7"/>
      <c r="S1407" s="7"/>
      <c r="T1407" s="7"/>
      <c r="U1407" s="7"/>
      <c r="V1407" s="7"/>
      <c r="W1407" s="7"/>
      <c r="X1407" s="7"/>
      <c r="Y1407" s="7"/>
      <c r="Z1407" s="7"/>
      <c r="AA1407" s="7"/>
      <c r="AB1407" s="7"/>
      <c r="AC1407" s="7"/>
      <c r="AD1407" s="7"/>
      <c r="AE1407" s="7"/>
      <c r="AF1407" s="7"/>
      <c r="AG1407" s="7"/>
      <c r="AH1407" s="7"/>
      <c r="AI1407" s="7"/>
      <c r="AJ1407" s="7"/>
      <c r="AK1407" s="7"/>
      <c r="AL1407" s="7"/>
      <c r="AM1407" s="7"/>
      <c r="AN1407" s="7"/>
      <c r="AO1407" s="7"/>
      <c r="AP1407" s="7"/>
      <c r="AQ1407" s="7"/>
      <c r="AR1407" s="7"/>
      <c r="AS1407" s="7"/>
      <c r="AT1407" s="7"/>
      <c r="AU1407" s="7"/>
      <c r="AV1407" s="7"/>
      <c r="AW1407" s="7"/>
      <c r="AX1407" s="7"/>
      <c r="AY1407" s="7"/>
      <c r="AZ1407" s="7"/>
      <c r="BA1407" s="7"/>
      <c r="BB1407" s="7"/>
      <c r="BC1407" s="7"/>
      <c r="BD1407" s="7"/>
      <c r="BE1407" s="7"/>
      <c r="BF1407" s="7"/>
      <c r="BG1407" s="7"/>
      <c r="BH1407" s="7"/>
      <c r="BI1407" s="7"/>
      <c r="BJ1407" s="7"/>
      <c r="BK1407" s="7"/>
      <c r="BL1407" s="7"/>
      <c r="BM1407" s="7"/>
      <c r="BN1407" s="7"/>
      <c r="BO1407" s="7"/>
      <c r="BP1407" s="7"/>
      <c r="BQ1407" s="7"/>
      <c r="BR1407" s="7"/>
      <c r="BS1407" s="7"/>
      <c r="BT1407" s="7"/>
      <c r="BU1407" s="7"/>
      <c r="BV1407" s="7"/>
      <c r="BW1407" s="7"/>
      <c r="BX1407" s="7"/>
      <c r="BY1407" s="7"/>
      <c r="BZ1407" s="41"/>
      <c r="CA1407" s="7"/>
      <c r="CB1407" s="7"/>
      <c r="CC1407" s="7"/>
      <c r="CD1407" s="7"/>
      <c r="CE1407" s="7"/>
      <c r="CF1407" s="7"/>
    </row>
    <row r="1408">
      <c r="A1408" s="7"/>
      <c r="B1408" s="55"/>
      <c r="C1408" s="7"/>
      <c r="D1408" s="7"/>
      <c r="E1408" s="7"/>
      <c r="F1408" s="7"/>
      <c r="G1408" s="55"/>
      <c r="H1408" s="7"/>
      <c r="I1408" s="7"/>
      <c r="J1408" s="7"/>
      <c r="K1408" s="7"/>
      <c r="L1408" s="7"/>
      <c r="M1408" s="7"/>
      <c r="N1408" s="7"/>
      <c r="O1408" s="7"/>
      <c r="P1408" s="7"/>
      <c r="Q1408" s="55"/>
      <c r="R1408" s="7"/>
      <c r="S1408" s="7"/>
      <c r="T1408" s="7"/>
      <c r="U1408" s="7"/>
      <c r="V1408" s="7"/>
      <c r="W1408" s="7"/>
      <c r="X1408" s="7"/>
      <c r="Y1408" s="7"/>
      <c r="Z1408" s="7"/>
      <c r="AA1408" s="7"/>
      <c r="AB1408" s="7"/>
      <c r="AC1408" s="7"/>
      <c r="AD1408" s="7"/>
      <c r="AE1408" s="7"/>
      <c r="AF1408" s="7"/>
      <c r="AG1408" s="7"/>
      <c r="AH1408" s="7"/>
      <c r="AI1408" s="7"/>
      <c r="AJ1408" s="7"/>
      <c r="AK1408" s="7"/>
      <c r="AL1408" s="7"/>
      <c r="AM1408" s="7"/>
      <c r="AN1408" s="7"/>
      <c r="AO1408" s="7"/>
      <c r="AP1408" s="7"/>
      <c r="AQ1408" s="7"/>
      <c r="AR1408" s="7"/>
      <c r="AS1408" s="7"/>
      <c r="AT1408" s="7"/>
      <c r="AU1408" s="7"/>
      <c r="AV1408" s="7"/>
      <c r="AW1408" s="7"/>
      <c r="AX1408" s="7"/>
      <c r="AY1408" s="7"/>
      <c r="AZ1408" s="7"/>
      <c r="BA1408" s="7"/>
      <c r="BB1408" s="7"/>
      <c r="BC1408" s="7"/>
      <c r="BD1408" s="7"/>
      <c r="BE1408" s="7"/>
      <c r="BF1408" s="7"/>
      <c r="BG1408" s="7"/>
      <c r="BH1408" s="7"/>
      <c r="BI1408" s="7"/>
      <c r="BJ1408" s="7"/>
      <c r="BK1408" s="7"/>
      <c r="BL1408" s="7"/>
      <c r="BM1408" s="7"/>
      <c r="BN1408" s="7"/>
      <c r="BO1408" s="7"/>
      <c r="BP1408" s="7"/>
      <c r="BQ1408" s="7"/>
      <c r="BR1408" s="7"/>
      <c r="BS1408" s="7"/>
      <c r="BT1408" s="7"/>
      <c r="BU1408" s="7"/>
      <c r="BV1408" s="7"/>
      <c r="BW1408" s="7"/>
      <c r="BX1408" s="7"/>
      <c r="BY1408" s="7"/>
      <c r="BZ1408" s="41"/>
      <c r="CA1408" s="7"/>
      <c r="CB1408" s="7"/>
      <c r="CC1408" s="7"/>
      <c r="CD1408" s="7"/>
      <c r="CE1408" s="7"/>
      <c r="CF1408" s="7"/>
    </row>
    <row r="1409">
      <c r="A1409" s="7"/>
      <c r="B1409" s="55"/>
      <c r="C1409" s="7"/>
      <c r="D1409" s="7"/>
      <c r="E1409" s="7"/>
      <c r="F1409" s="7"/>
      <c r="G1409" s="55"/>
      <c r="H1409" s="7"/>
      <c r="I1409" s="7"/>
      <c r="J1409" s="7"/>
      <c r="K1409" s="7"/>
      <c r="L1409" s="7"/>
      <c r="M1409" s="7"/>
      <c r="N1409" s="7"/>
      <c r="O1409" s="7"/>
      <c r="P1409" s="7"/>
      <c r="Q1409" s="55"/>
      <c r="R1409" s="7"/>
      <c r="S1409" s="7"/>
      <c r="T1409" s="7"/>
      <c r="U1409" s="7"/>
      <c r="V1409" s="7"/>
      <c r="W1409" s="7"/>
      <c r="X1409" s="7"/>
      <c r="Y1409" s="7"/>
      <c r="Z1409" s="7"/>
      <c r="AA1409" s="7"/>
      <c r="AB1409" s="7"/>
      <c r="AC1409" s="7"/>
      <c r="AD1409" s="7"/>
      <c r="AE1409" s="7"/>
      <c r="AF1409" s="7"/>
      <c r="AG1409" s="7"/>
      <c r="AH1409" s="7"/>
      <c r="AI1409" s="7"/>
      <c r="AJ1409" s="7"/>
      <c r="AK1409" s="7"/>
      <c r="AL1409" s="7"/>
      <c r="AM1409" s="7"/>
      <c r="AN1409" s="7"/>
      <c r="AO1409" s="7"/>
      <c r="AP1409" s="7"/>
      <c r="AQ1409" s="7"/>
      <c r="AR1409" s="7"/>
      <c r="AS1409" s="7"/>
      <c r="AT1409" s="7"/>
      <c r="AU1409" s="7"/>
      <c r="AV1409" s="7"/>
      <c r="AW1409" s="7"/>
      <c r="AX1409" s="7"/>
      <c r="AY1409" s="7"/>
      <c r="AZ1409" s="7"/>
      <c r="BA1409" s="7"/>
      <c r="BB1409" s="7"/>
      <c r="BC1409" s="7"/>
      <c r="BD1409" s="7"/>
      <c r="BE1409" s="7"/>
      <c r="BF1409" s="7"/>
      <c r="BG1409" s="7"/>
      <c r="BH1409" s="7"/>
      <c r="BI1409" s="7"/>
      <c r="BJ1409" s="7"/>
      <c r="BK1409" s="7"/>
      <c r="BL1409" s="7"/>
      <c r="BM1409" s="7"/>
      <c r="BN1409" s="7"/>
      <c r="BO1409" s="7"/>
      <c r="BP1409" s="7"/>
      <c r="BQ1409" s="7"/>
      <c r="BR1409" s="7"/>
      <c r="BS1409" s="7"/>
      <c r="BT1409" s="7"/>
      <c r="BU1409" s="7"/>
      <c r="BV1409" s="7"/>
      <c r="BW1409" s="7"/>
      <c r="BX1409" s="7"/>
      <c r="BY1409" s="7"/>
      <c r="BZ1409" s="41"/>
      <c r="CA1409" s="7"/>
      <c r="CB1409" s="7"/>
      <c r="CC1409" s="7"/>
      <c r="CD1409" s="7"/>
      <c r="CE1409" s="7"/>
      <c r="CF1409" s="7"/>
    </row>
    <row r="1410">
      <c r="A1410" s="7"/>
      <c r="B1410" s="55"/>
      <c r="C1410" s="7"/>
      <c r="D1410" s="7"/>
      <c r="E1410" s="7"/>
      <c r="F1410" s="7"/>
      <c r="G1410" s="55"/>
      <c r="H1410" s="7"/>
      <c r="I1410" s="7"/>
      <c r="J1410" s="7"/>
      <c r="K1410" s="7"/>
      <c r="L1410" s="7"/>
      <c r="M1410" s="7"/>
      <c r="N1410" s="7"/>
      <c r="O1410" s="7"/>
      <c r="P1410" s="7"/>
      <c r="Q1410" s="55"/>
      <c r="R1410" s="7"/>
      <c r="S1410" s="7"/>
      <c r="T1410" s="7"/>
      <c r="U1410" s="7"/>
      <c r="V1410" s="7"/>
      <c r="W1410" s="7"/>
      <c r="X1410" s="7"/>
      <c r="Y1410" s="7"/>
      <c r="Z1410" s="7"/>
      <c r="AA1410" s="7"/>
      <c r="AB1410" s="7"/>
      <c r="AC1410" s="7"/>
      <c r="AD1410" s="7"/>
      <c r="AE1410" s="7"/>
      <c r="AF1410" s="7"/>
      <c r="AG1410" s="7"/>
      <c r="AH1410" s="7"/>
      <c r="AI1410" s="7"/>
      <c r="AJ1410" s="7"/>
      <c r="AK1410" s="7"/>
      <c r="AL1410" s="7"/>
      <c r="AM1410" s="7"/>
      <c r="AN1410" s="7"/>
      <c r="AO1410" s="7"/>
      <c r="AP1410" s="7"/>
      <c r="AQ1410" s="7"/>
      <c r="AR1410" s="7"/>
      <c r="AS1410" s="7"/>
      <c r="AT1410" s="7"/>
      <c r="AU1410" s="7"/>
      <c r="AV1410" s="7"/>
      <c r="AW1410" s="7"/>
      <c r="AX1410" s="7"/>
      <c r="AY1410" s="7"/>
      <c r="AZ1410" s="7"/>
      <c r="BA1410" s="7"/>
      <c r="BB1410" s="7"/>
      <c r="BC1410" s="7"/>
      <c r="BD1410" s="7"/>
      <c r="BE1410" s="7"/>
      <c r="BF1410" s="7"/>
      <c r="BG1410" s="7"/>
      <c r="BH1410" s="7"/>
      <c r="BI1410" s="7"/>
      <c r="BJ1410" s="7"/>
      <c r="BK1410" s="7"/>
      <c r="BL1410" s="7"/>
      <c r="BM1410" s="7"/>
      <c r="BN1410" s="7"/>
      <c r="BO1410" s="7"/>
      <c r="BP1410" s="7"/>
      <c r="BQ1410" s="7"/>
      <c r="BR1410" s="7"/>
      <c r="BS1410" s="7"/>
      <c r="BT1410" s="7"/>
      <c r="BU1410" s="7"/>
      <c r="BV1410" s="7"/>
      <c r="BW1410" s="7"/>
      <c r="BX1410" s="7"/>
      <c r="BY1410" s="7"/>
      <c r="BZ1410" s="41"/>
      <c r="CA1410" s="7"/>
      <c r="CB1410" s="7"/>
      <c r="CC1410" s="7"/>
      <c r="CD1410" s="7"/>
      <c r="CE1410" s="7"/>
      <c r="CF1410" s="7"/>
    </row>
    <row r="1411">
      <c r="A1411" s="7"/>
      <c r="B1411" s="55"/>
      <c r="C1411" s="7"/>
      <c r="D1411" s="7"/>
      <c r="E1411" s="7"/>
      <c r="F1411" s="7"/>
      <c r="G1411" s="55"/>
      <c r="H1411" s="7"/>
      <c r="I1411" s="7"/>
      <c r="J1411" s="7"/>
      <c r="K1411" s="7"/>
      <c r="L1411" s="7"/>
      <c r="M1411" s="7"/>
      <c r="N1411" s="7"/>
      <c r="O1411" s="7"/>
      <c r="P1411" s="7"/>
      <c r="Q1411" s="55"/>
      <c r="R1411" s="7"/>
      <c r="S1411" s="7"/>
      <c r="T1411" s="7"/>
      <c r="U1411" s="7"/>
      <c r="V1411" s="7"/>
      <c r="W1411" s="7"/>
      <c r="X1411" s="7"/>
      <c r="Y1411" s="7"/>
      <c r="Z1411" s="7"/>
      <c r="AA1411" s="7"/>
      <c r="AB1411" s="7"/>
      <c r="AC1411" s="7"/>
      <c r="AD1411" s="7"/>
      <c r="AE1411" s="7"/>
      <c r="AF1411" s="7"/>
      <c r="AG1411" s="7"/>
      <c r="AH1411" s="7"/>
      <c r="AI1411" s="7"/>
      <c r="AJ1411" s="7"/>
      <c r="AK1411" s="7"/>
      <c r="AL1411" s="7"/>
      <c r="AM1411" s="7"/>
      <c r="AN1411" s="7"/>
      <c r="AO1411" s="7"/>
      <c r="AP1411" s="7"/>
      <c r="AQ1411" s="7"/>
      <c r="AR1411" s="7"/>
      <c r="AS1411" s="7"/>
      <c r="AT1411" s="7"/>
      <c r="AU1411" s="7"/>
      <c r="AV1411" s="7"/>
      <c r="AW1411" s="7"/>
      <c r="AX1411" s="7"/>
      <c r="AY1411" s="7"/>
      <c r="AZ1411" s="7"/>
      <c r="BA1411" s="7"/>
      <c r="BB1411" s="7"/>
      <c r="BC1411" s="7"/>
      <c r="BD1411" s="7"/>
      <c r="BE1411" s="7"/>
      <c r="BF1411" s="7"/>
      <c r="BG1411" s="7"/>
      <c r="BH1411" s="7"/>
      <c r="BI1411" s="7"/>
      <c r="BJ1411" s="7"/>
      <c r="BK1411" s="7"/>
      <c r="BL1411" s="7"/>
      <c r="BM1411" s="7"/>
      <c r="BN1411" s="7"/>
      <c r="BO1411" s="7"/>
      <c r="BP1411" s="7"/>
      <c r="BQ1411" s="7"/>
      <c r="BR1411" s="7"/>
      <c r="BS1411" s="7"/>
      <c r="BT1411" s="7"/>
      <c r="BU1411" s="7"/>
      <c r="BV1411" s="7"/>
      <c r="BW1411" s="7"/>
      <c r="BX1411" s="7"/>
      <c r="BY1411" s="7"/>
      <c r="BZ1411" s="41"/>
      <c r="CA1411" s="7"/>
      <c r="CB1411" s="7"/>
      <c r="CC1411" s="7"/>
      <c r="CD1411" s="7"/>
      <c r="CE1411" s="7"/>
      <c r="CF1411" s="7"/>
    </row>
    <row r="1412">
      <c r="A1412" s="7"/>
      <c r="B1412" s="55"/>
      <c r="C1412" s="7"/>
      <c r="D1412" s="7"/>
      <c r="E1412" s="7"/>
      <c r="F1412" s="7"/>
      <c r="G1412" s="55"/>
      <c r="H1412" s="7"/>
      <c r="I1412" s="7"/>
      <c r="J1412" s="7"/>
      <c r="K1412" s="7"/>
      <c r="L1412" s="7"/>
      <c r="M1412" s="7"/>
      <c r="N1412" s="7"/>
      <c r="O1412" s="7"/>
      <c r="P1412" s="7"/>
      <c r="Q1412" s="55"/>
      <c r="R1412" s="7"/>
      <c r="S1412" s="7"/>
      <c r="T1412" s="7"/>
      <c r="U1412" s="7"/>
      <c r="V1412" s="7"/>
      <c r="W1412" s="7"/>
      <c r="X1412" s="7"/>
      <c r="Y1412" s="7"/>
      <c r="Z1412" s="7"/>
      <c r="AA1412" s="7"/>
      <c r="AB1412" s="7"/>
      <c r="AC1412" s="7"/>
      <c r="AD1412" s="7"/>
      <c r="AE1412" s="7"/>
      <c r="AF1412" s="7"/>
      <c r="AG1412" s="7"/>
      <c r="AH1412" s="7"/>
      <c r="AI1412" s="7"/>
      <c r="AJ1412" s="7"/>
      <c r="AK1412" s="7"/>
      <c r="AL1412" s="7"/>
      <c r="AM1412" s="7"/>
      <c r="AN1412" s="7"/>
      <c r="AO1412" s="7"/>
      <c r="AP1412" s="7"/>
      <c r="AQ1412" s="7"/>
      <c r="AR1412" s="7"/>
      <c r="AS1412" s="7"/>
      <c r="AT1412" s="7"/>
      <c r="AU1412" s="7"/>
      <c r="AV1412" s="7"/>
      <c r="AW1412" s="7"/>
      <c r="AX1412" s="7"/>
      <c r="AY1412" s="7"/>
      <c r="AZ1412" s="7"/>
      <c r="BA1412" s="7"/>
      <c r="BB1412" s="7"/>
      <c r="BC1412" s="7"/>
      <c r="BD1412" s="7"/>
      <c r="BE1412" s="7"/>
      <c r="BF1412" s="7"/>
      <c r="BG1412" s="7"/>
      <c r="BH1412" s="7"/>
      <c r="BI1412" s="7"/>
      <c r="BJ1412" s="7"/>
      <c r="BK1412" s="7"/>
      <c r="BL1412" s="7"/>
      <c r="BM1412" s="7"/>
      <c r="BN1412" s="7"/>
      <c r="BO1412" s="7"/>
      <c r="BP1412" s="7"/>
      <c r="BQ1412" s="7"/>
      <c r="BR1412" s="7"/>
      <c r="BS1412" s="7"/>
      <c r="BT1412" s="7"/>
      <c r="BU1412" s="7"/>
      <c r="BV1412" s="7"/>
      <c r="BW1412" s="7"/>
      <c r="BX1412" s="7"/>
      <c r="BY1412" s="7"/>
      <c r="BZ1412" s="41"/>
      <c r="CA1412" s="7"/>
      <c r="CB1412" s="7"/>
      <c r="CC1412" s="7"/>
      <c r="CD1412" s="7"/>
      <c r="CE1412" s="7"/>
      <c r="CF1412" s="7"/>
    </row>
    <row r="1413">
      <c r="A1413" s="7"/>
      <c r="B1413" s="55"/>
      <c r="C1413" s="7"/>
      <c r="D1413" s="7"/>
      <c r="E1413" s="7"/>
      <c r="F1413" s="7"/>
      <c r="G1413" s="55"/>
      <c r="H1413" s="7"/>
      <c r="I1413" s="7"/>
      <c r="J1413" s="7"/>
      <c r="K1413" s="7"/>
      <c r="L1413" s="7"/>
      <c r="M1413" s="7"/>
      <c r="N1413" s="7"/>
      <c r="O1413" s="7"/>
      <c r="P1413" s="7"/>
      <c r="Q1413" s="55"/>
      <c r="R1413" s="7"/>
      <c r="S1413" s="7"/>
      <c r="T1413" s="7"/>
      <c r="U1413" s="7"/>
      <c r="V1413" s="7"/>
      <c r="W1413" s="7"/>
      <c r="X1413" s="7"/>
      <c r="Y1413" s="7"/>
      <c r="Z1413" s="7"/>
      <c r="AA1413" s="7"/>
      <c r="AB1413" s="7"/>
      <c r="AC1413" s="7"/>
      <c r="AD1413" s="7"/>
      <c r="AE1413" s="7"/>
      <c r="AF1413" s="7"/>
      <c r="AG1413" s="7"/>
      <c r="AH1413" s="7"/>
      <c r="AI1413" s="7"/>
      <c r="AJ1413" s="7"/>
      <c r="AK1413" s="7"/>
      <c r="AL1413" s="7"/>
      <c r="AM1413" s="7"/>
      <c r="AN1413" s="7"/>
      <c r="AO1413" s="7"/>
      <c r="AP1413" s="7"/>
      <c r="AQ1413" s="7"/>
      <c r="AR1413" s="7"/>
      <c r="AS1413" s="7"/>
      <c r="AT1413" s="7"/>
      <c r="AU1413" s="7"/>
      <c r="AV1413" s="7"/>
      <c r="AW1413" s="7"/>
      <c r="AX1413" s="7"/>
      <c r="AY1413" s="7"/>
      <c r="AZ1413" s="7"/>
      <c r="BA1413" s="7"/>
      <c r="BB1413" s="7"/>
      <c r="BC1413" s="7"/>
      <c r="BD1413" s="7"/>
      <c r="BE1413" s="7"/>
      <c r="BF1413" s="7"/>
      <c r="BG1413" s="7"/>
      <c r="BH1413" s="7"/>
      <c r="BI1413" s="7"/>
      <c r="BJ1413" s="7"/>
      <c r="BK1413" s="7"/>
      <c r="BL1413" s="7"/>
      <c r="BM1413" s="7"/>
      <c r="BN1413" s="7"/>
      <c r="BO1413" s="7"/>
      <c r="BP1413" s="7"/>
      <c r="BQ1413" s="7"/>
      <c r="BR1413" s="7"/>
      <c r="BS1413" s="7"/>
      <c r="BT1413" s="7"/>
      <c r="BU1413" s="7"/>
      <c r="BV1413" s="7"/>
      <c r="BW1413" s="7"/>
      <c r="BX1413" s="7"/>
      <c r="BY1413" s="7"/>
      <c r="BZ1413" s="41"/>
      <c r="CA1413" s="7"/>
      <c r="CB1413" s="7"/>
      <c r="CC1413" s="7"/>
      <c r="CD1413" s="7"/>
      <c r="CE1413" s="7"/>
      <c r="CF1413" s="7"/>
    </row>
    <row r="1414">
      <c r="A1414" s="7"/>
      <c r="B1414" s="55"/>
      <c r="C1414" s="7"/>
      <c r="D1414" s="7"/>
      <c r="E1414" s="7"/>
      <c r="F1414" s="7"/>
      <c r="G1414" s="55"/>
      <c r="H1414" s="7"/>
      <c r="I1414" s="7"/>
      <c r="J1414" s="7"/>
      <c r="K1414" s="7"/>
      <c r="L1414" s="7"/>
      <c r="M1414" s="7"/>
      <c r="N1414" s="7"/>
      <c r="O1414" s="7"/>
      <c r="P1414" s="7"/>
      <c r="Q1414" s="55"/>
      <c r="R1414" s="7"/>
      <c r="S1414" s="7"/>
      <c r="T1414" s="7"/>
      <c r="U1414" s="7"/>
      <c r="V1414" s="7"/>
      <c r="W1414" s="7"/>
      <c r="X1414" s="7"/>
      <c r="Y1414" s="7"/>
      <c r="Z1414" s="7"/>
      <c r="AA1414" s="7"/>
      <c r="AB1414" s="7"/>
      <c r="AC1414" s="7"/>
      <c r="AD1414" s="7"/>
      <c r="AE1414" s="7"/>
      <c r="AF1414" s="7"/>
      <c r="AG1414" s="7"/>
      <c r="AH1414" s="7"/>
      <c r="AI1414" s="7"/>
      <c r="AJ1414" s="7"/>
      <c r="AK1414" s="7"/>
      <c r="AL1414" s="7"/>
      <c r="AM1414" s="7"/>
      <c r="AN1414" s="7"/>
      <c r="AO1414" s="7"/>
      <c r="AP1414" s="7"/>
      <c r="AQ1414" s="7"/>
      <c r="AR1414" s="7"/>
      <c r="AS1414" s="7"/>
      <c r="AT1414" s="7"/>
      <c r="AU1414" s="7"/>
      <c r="AV1414" s="7"/>
      <c r="AW1414" s="7"/>
      <c r="AX1414" s="7"/>
      <c r="AY1414" s="7"/>
      <c r="AZ1414" s="7"/>
      <c r="BA1414" s="7"/>
      <c r="BB1414" s="7"/>
      <c r="BC1414" s="7"/>
      <c r="BD1414" s="7"/>
      <c r="BE1414" s="7"/>
      <c r="BF1414" s="7"/>
      <c r="BG1414" s="7"/>
      <c r="BH1414" s="7"/>
      <c r="BI1414" s="7"/>
      <c r="BJ1414" s="7"/>
      <c r="BK1414" s="7"/>
      <c r="BL1414" s="7"/>
      <c r="BM1414" s="7"/>
      <c r="BN1414" s="7"/>
      <c r="BO1414" s="7"/>
      <c r="BP1414" s="7"/>
      <c r="BQ1414" s="7"/>
      <c r="BR1414" s="7"/>
      <c r="BS1414" s="7"/>
      <c r="BT1414" s="7"/>
      <c r="BU1414" s="7"/>
      <c r="BV1414" s="7"/>
      <c r="BW1414" s="7"/>
      <c r="BX1414" s="7"/>
      <c r="BY1414" s="7"/>
      <c r="BZ1414" s="41"/>
      <c r="CA1414" s="7"/>
      <c r="CB1414" s="7"/>
      <c r="CC1414" s="7"/>
      <c r="CD1414" s="7"/>
      <c r="CE1414" s="7"/>
      <c r="CF1414" s="7"/>
    </row>
    <row r="1415">
      <c r="A1415" s="7"/>
      <c r="B1415" s="55"/>
      <c r="C1415" s="7"/>
      <c r="D1415" s="7"/>
      <c r="E1415" s="7"/>
      <c r="F1415" s="7"/>
      <c r="G1415" s="55"/>
      <c r="H1415" s="7"/>
      <c r="I1415" s="7"/>
      <c r="J1415" s="7"/>
      <c r="K1415" s="7"/>
      <c r="L1415" s="7"/>
      <c r="M1415" s="7"/>
      <c r="N1415" s="7"/>
      <c r="O1415" s="7"/>
      <c r="P1415" s="7"/>
      <c r="Q1415" s="55"/>
      <c r="R1415" s="7"/>
      <c r="S1415" s="7"/>
      <c r="T1415" s="7"/>
      <c r="U1415" s="7"/>
      <c r="V1415" s="7"/>
      <c r="W1415" s="7"/>
      <c r="X1415" s="7"/>
      <c r="Y1415" s="7"/>
      <c r="Z1415" s="7"/>
      <c r="AA1415" s="7"/>
      <c r="AB1415" s="7"/>
      <c r="AC1415" s="7"/>
      <c r="AD1415" s="7"/>
      <c r="AE1415" s="7"/>
      <c r="AF1415" s="7"/>
      <c r="AG1415" s="7"/>
      <c r="AH1415" s="7"/>
      <c r="AI1415" s="7"/>
      <c r="AJ1415" s="7"/>
      <c r="AK1415" s="7"/>
      <c r="AL1415" s="7"/>
      <c r="AM1415" s="7"/>
      <c r="AN1415" s="7"/>
      <c r="AO1415" s="7"/>
      <c r="AP1415" s="7"/>
      <c r="AQ1415" s="7"/>
      <c r="AR1415" s="7"/>
      <c r="AS1415" s="7"/>
      <c r="AT1415" s="7"/>
      <c r="AU1415" s="7"/>
      <c r="AV1415" s="7"/>
      <c r="AW1415" s="7"/>
      <c r="AX1415" s="7"/>
      <c r="AY1415" s="7"/>
      <c r="AZ1415" s="7"/>
      <c r="BA1415" s="7"/>
      <c r="BB1415" s="7"/>
      <c r="BC1415" s="7"/>
      <c r="BD1415" s="7"/>
      <c r="BE1415" s="7"/>
      <c r="BF1415" s="7"/>
      <c r="BG1415" s="7"/>
      <c r="BH1415" s="7"/>
      <c r="BI1415" s="7"/>
      <c r="BJ1415" s="7"/>
      <c r="BK1415" s="7"/>
      <c r="BL1415" s="7"/>
      <c r="BM1415" s="7"/>
      <c r="BN1415" s="7"/>
      <c r="BO1415" s="7"/>
      <c r="BP1415" s="7"/>
      <c r="BQ1415" s="7"/>
      <c r="BR1415" s="7"/>
      <c r="BS1415" s="7"/>
      <c r="BT1415" s="7"/>
      <c r="BU1415" s="7"/>
      <c r="BV1415" s="7"/>
      <c r="BW1415" s="7"/>
      <c r="BX1415" s="7"/>
      <c r="BY1415" s="7"/>
      <c r="BZ1415" s="41"/>
      <c r="CA1415" s="7"/>
      <c r="CB1415" s="7"/>
      <c r="CC1415" s="7"/>
      <c r="CD1415" s="7"/>
      <c r="CE1415" s="7"/>
      <c r="CF1415" s="7"/>
    </row>
    <row r="1416">
      <c r="A1416" s="7"/>
      <c r="B1416" s="55"/>
      <c r="C1416" s="7"/>
      <c r="D1416" s="7"/>
      <c r="E1416" s="7"/>
      <c r="F1416" s="7"/>
      <c r="G1416" s="55"/>
      <c r="H1416" s="7"/>
      <c r="I1416" s="7"/>
      <c r="J1416" s="7"/>
      <c r="K1416" s="7"/>
      <c r="L1416" s="7"/>
      <c r="M1416" s="7"/>
      <c r="N1416" s="7"/>
      <c r="O1416" s="7"/>
      <c r="P1416" s="7"/>
      <c r="Q1416" s="55"/>
      <c r="R1416" s="7"/>
      <c r="S1416" s="7"/>
      <c r="T1416" s="7"/>
      <c r="U1416" s="7"/>
      <c r="V1416" s="7"/>
      <c r="W1416" s="7"/>
      <c r="X1416" s="7"/>
      <c r="Y1416" s="7"/>
      <c r="Z1416" s="7"/>
      <c r="AA1416" s="7"/>
      <c r="AB1416" s="7"/>
      <c r="AC1416" s="7"/>
      <c r="AD1416" s="7"/>
      <c r="AE1416" s="7"/>
      <c r="AF1416" s="7"/>
      <c r="AG1416" s="7"/>
      <c r="AH1416" s="7"/>
      <c r="AI1416" s="7"/>
      <c r="AJ1416" s="7"/>
      <c r="AK1416" s="7"/>
      <c r="AL1416" s="7"/>
      <c r="AM1416" s="7"/>
      <c r="AN1416" s="7"/>
      <c r="AO1416" s="7"/>
      <c r="AP1416" s="7"/>
      <c r="AQ1416" s="7"/>
      <c r="AR1416" s="7"/>
      <c r="AS1416" s="7"/>
      <c r="AT1416" s="7"/>
      <c r="AU1416" s="7"/>
      <c r="AV1416" s="7"/>
      <c r="AW1416" s="7"/>
      <c r="AX1416" s="7"/>
      <c r="AY1416" s="7"/>
      <c r="AZ1416" s="7"/>
      <c r="BA1416" s="7"/>
      <c r="BB1416" s="7"/>
      <c r="BC1416" s="7"/>
      <c r="BD1416" s="7"/>
      <c r="BE1416" s="7"/>
      <c r="BF1416" s="7"/>
      <c r="BG1416" s="7"/>
      <c r="BH1416" s="7"/>
      <c r="BI1416" s="7"/>
      <c r="BJ1416" s="7"/>
      <c r="BK1416" s="7"/>
      <c r="BL1416" s="7"/>
      <c r="BM1416" s="7"/>
      <c r="BN1416" s="7"/>
      <c r="BO1416" s="7"/>
      <c r="BP1416" s="7"/>
      <c r="BQ1416" s="7"/>
      <c r="BR1416" s="7"/>
      <c r="BS1416" s="7"/>
      <c r="BT1416" s="7"/>
      <c r="BU1416" s="7"/>
      <c r="BV1416" s="7"/>
      <c r="BW1416" s="7"/>
      <c r="BX1416" s="7"/>
      <c r="BY1416" s="7"/>
      <c r="BZ1416" s="41"/>
      <c r="CA1416" s="7"/>
      <c r="CB1416" s="7"/>
      <c r="CC1416" s="7"/>
      <c r="CD1416" s="7"/>
      <c r="CE1416" s="7"/>
      <c r="CF1416" s="7"/>
    </row>
    <row r="1417">
      <c r="A1417" s="7"/>
      <c r="B1417" s="55"/>
      <c r="C1417" s="7"/>
      <c r="D1417" s="7"/>
      <c r="E1417" s="7"/>
      <c r="F1417" s="7"/>
      <c r="G1417" s="55"/>
      <c r="H1417" s="7"/>
      <c r="I1417" s="7"/>
      <c r="J1417" s="7"/>
      <c r="K1417" s="7"/>
      <c r="L1417" s="7"/>
      <c r="M1417" s="7"/>
      <c r="N1417" s="7"/>
      <c r="O1417" s="7"/>
      <c r="P1417" s="7"/>
      <c r="Q1417" s="55"/>
      <c r="R1417" s="7"/>
      <c r="S1417" s="7"/>
      <c r="T1417" s="7"/>
      <c r="U1417" s="7"/>
      <c r="V1417" s="7"/>
      <c r="W1417" s="7"/>
      <c r="X1417" s="7"/>
      <c r="Y1417" s="7"/>
      <c r="Z1417" s="7"/>
      <c r="AA1417" s="7"/>
      <c r="AB1417" s="7"/>
      <c r="AC1417" s="7"/>
      <c r="AD1417" s="7"/>
      <c r="AE1417" s="7"/>
      <c r="AF1417" s="7"/>
      <c r="AG1417" s="7"/>
      <c r="AH1417" s="7"/>
      <c r="AI1417" s="7"/>
      <c r="AJ1417" s="7"/>
      <c r="AK1417" s="7"/>
      <c r="AL1417" s="7"/>
      <c r="AM1417" s="7"/>
      <c r="AN1417" s="7"/>
      <c r="AO1417" s="7"/>
      <c r="AP1417" s="7"/>
      <c r="AQ1417" s="7"/>
      <c r="AR1417" s="7"/>
      <c r="AS1417" s="7"/>
      <c r="AT1417" s="7"/>
      <c r="AU1417" s="7"/>
      <c r="AV1417" s="7"/>
      <c r="AW1417" s="7"/>
      <c r="AX1417" s="7"/>
      <c r="AY1417" s="7"/>
      <c r="AZ1417" s="7"/>
      <c r="BA1417" s="7"/>
      <c r="BB1417" s="7"/>
      <c r="BC1417" s="7"/>
      <c r="BD1417" s="7"/>
      <c r="BE1417" s="7"/>
      <c r="BF1417" s="7"/>
      <c r="BG1417" s="7"/>
      <c r="BH1417" s="7"/>
      <c r="BI1417" s="7"/>
      <c r="BJ1417" s="7"/>
      <c r="BK1417" s="7"/>
      <c r="BL1417" s="7"/>
      <c r="BM1417" s="7"/>
      <c r="BN1417" s="7"/>
      <c r="BO1417" s="7"/>
      <c r="BP1417" s="7"/>
      <c r="BQ1417" s="7"/>
      <c r="BR1417" s="7"/>
      <c r="BS1417" s="7"/>
      <c r="BT1417" s="7"/>
      <c r="BU1417" s="7"/>
      <c r="BV1417" s="7"/>
      <c r="BW1417" s="7"/>
      <c r="BX1417" s="7"/>
      <c r="BY1417" s="7"/>
      <c r="BZ1417" s="41"/>
      <c r="CA1417" s="7"/>
      <c r="CB1417" s="7"/>
      <c r="CC1417" s="7"/>
      <c r="CD1417" s="7"/>
      <c r="CE1417" s="7"/>
      <c r="CF1417" s="7"/>
    </row>
  </sheetData>
  <autoFilter ref="$A$1:$CF$264"/>
  <mergeCells count="13">
    <mergeCell ref="AJ2:AM2"/>
    <mergeCell ref="AO2:AR2"/>
    <mergeCell ref="AT2:AW2"/>
    <mergeCell ref="AY2:BB2"/>
    <mergeCell ref="BD2:BG2"/>
    <mergeCell ref="BI2:BL2"/>
    <mergeCell ref="A2:D2"/>
    <mergeCell ref="F2:I2"/>
    <mergeCell ref="K2:N2"/>
    <mergeCell ref="P2:S2"/>
    <mergeCell ref="U2:X2"/>
    <mergeCell ref="Z2:AC2"/>
    <mergeCell ref="AE2:AH2"/>
  </mergeCells>
  <conditionalFormatting sqref="A3:A149 F3:F149 K3:K149 P3:P149 U3:U63 Z3:Z63 AE3:AE63 AJ3:AJ63 AO3:AO135 AT3:AT61 AY3:AY61 BD3:BD198 BI3:BI273 BJ5 BD200:BD410">
    <cfRule type="expression" dxfId="0" priority="1">
      <formula>AND(   LEN(INDIRECT(ADDRESS(ROW(),COLUMN(),4)))&gt;0,   (     COUNTIF($A$3:$A$149,INDIRECT(ADDRESS(ROW(),COLUMN(),4)))+     COUNTIF($F$3:$F$149,INDIRECT(ADDRESS(ROW(),COLUMN(),4)))+     COUNTIF($K$3:$K$149,INDIRECT(ADDRESS(ROW(),COLUMN(),4)))+     COUNTIF($P$3:$P$149,INDIRECT(ADDRESS(ROW(),COLUMN(),4)))+     COUNTIF($AJ$3:$AJ$63,INDIRECT(ADDRESS(ROW(),COLUMN(),4)))+     COUNTIF($AE$3:$AE$63,INDIRECT(ADDRESS(ROW(),COLUMN(),4)))+     COUNTIF($Z$3:$Z$63,INDIRECT(ADDRESS(ROW(),COLUMN(),4)))+     COUNTIF($U$3:$U$63,INDIRECT(ADDRESS(ROW(),COLUMN(),4)))+     COUNTIF($AO$3:$AO$135,INDIRECT(ADDRESS(ROW(),COLUMN(),4)))+     COUNTIF($AT$3:$AT$61,INDIRECT(ADDRESS(ROW(),COLUMN(),4)))+     COUNTIF($AY$3:$AY$61,INDIRECT(ADDRESS(ROW(),COLUMN(),4)))+     COUNTIF($BD$3:$BD$198,INDIRECT(ADDRESS(ROW(),COLUMN(),4)))+ COUNTIF($BI$3:$BI$273,INDIRECT(ADDRESS(ROW(),COLUMN(),4)))   )&gt;1 )</formula>
    </cfRule>
  </conditionalFormatting>
  <conditionalFormatting sqref="BR12:BR24">
    <cfRule type="cellIs" dxfId="1" priority="2" operator="greaterThanOrEqual">
      <formula>10</formula>
    </cfRule>
  </conditionalFormatting>
  <dataValidations>
    <dataValidation type="list" allowBlank="1" showErrorMessage="1" sqref="BF3:BG22 AH3:AH40 AW3:AW61 BA3:BB61 X3:X63 AC3:AC63 AH42:AH63 AM3:AM63 R3:S65 S66 AR3:AR135 D3:D149 I3:I149 N3:N149 R67:S149 BG23:BG198 BL3:BL273">
      <formula1>"Messaged,Consented,Did not consent,Cannot message,Not Included"</formula1>
    </dataValidation>
  </dataValidations>
  <hyperlinks>
    <hyperlink r:id="rId4" ref="B3"/>
    <hyperlink r:id="rId5" ref="G3"/>
    <hyperlink r:id="rId6" ref="L3"/>
    <hyperlink r:id="rId7" ref="Q3"/>
    <hyperlink r:id="rId8" ref="V3"/>
    <hyperlink r:id="rId9" ref="AA3"/>
    <hyperlink r:id="rId10" ref="AF3"/>
    <hyperlink r:id="rId11" ref="AK3"/>
    <hyperlink r:id="rId12" ref="AP3"/>
    <hyperlink r:id="rId13" ref="AU3"/>
    <hyperlink r:id="rId14" ref="AZ3"/>
    <hyperlink r:id="rId15" ref="BE3"/>
    <hyperlink r:id="rId16" ref="BJ3"/>
    <hyperlink r:id="rId17" ref="B4"/>
    <hyperlink r:id="rId18" ref="G4"/>
    <hyperlink r:id="rId19" ref="L4"/>
    <hyperlink r:id="rId20" ref="Q4"/>
    <hyperlink r:id="rId21" ref="V4"/>
    <hyperlink r:id="rId22" ref="AA4"/>
    <hyperlink r:id="rId23" ref="AF4"/>
    <hyperlink r:id="rId24" ref="AK4"/>
    <hyperlink r:id="rId25" ref="AP4"/>
    <hyperlink r:id="rId26" ref="AU4"/>
    <hyperlink r:id="rId27" ref="AZ4"/>
    <hyperlink r:id="rId28" ref="BE4"/>
    <hyperlink r:id="rId29" ref="BJ4"/>
    <hyperlink r:id="rId30" ref="BO4"/>
    <hyperlink r:id="rId31" ref="B5"/>
    <hyperlink r:id="rId32" ref="G5"/>
    <hyperlink r:id="rId33" ref="L5"/>
    <hyperlink r:id="rId34" ref="Q5"/>
    <hyperlink r:id="rId35" ref="V5"/>
    <hyperlink r:id="rId36" ref="AA5"/>
    <hyperlink r:id="rId37" ref="AF5"/>
    <hyperlink r:id="rId38" ref="AJ5"/>
    <hyperlink r:id="rId39" ref="AK5"/>
    <hyperlink r:id="rId40" ref="AP5"/>
    <hyperlink r:id="rId41" ref="AU5"/>
    <hyperlink r:id="rId42" ref="AZ5"/>
    <hyperlink r:id="rId43" ref="BE5"/>
    <hyperlink r:id="rId44" ref="BJ5"/>
    <hyperlink r:id="rId45" ref="BO5"/>
    <hyperlink r:id="rId46" ref="B6"/>
    <hyperlink r:id="rId47" ref="G6"/>
    <hyperlink r:id="rId48" ref="L6"/>
    <hyperlink r:id="rId49" ref="Q6"/>
    <hyperlink r:id="rId50" ref="V6"/>
    <hyperlink r:id="rId51" ref="AA6"/>
    <hyperlink r:id="rId52" ref="AF6"/>
    <hyperlink r:id="rId53" ref="AK6"/>
    <hyperlink r:id="rId54" ref="AP6"/>
    <hyperlink r:id="rId55" ref="AU6"/>
    <hyperlink r:id="rId56" ref="AZ6"/>
    <hyperlink r:id="rId57" ref="BE6"/>
    <hyperlink r:id="rId58" ref="BJ6"/>
    <hyperlink r:id="rId59" ref="B7"/>
    <hyperlink r:id="rId60" ref="G7"/>
    <hyperlink r:id="rId61" ref="L7"/>
    <hyperlink r:id="rId62" ref="Q7"/>
    <hyperlink r:id="rId63" ref="V7"/>
    <hyperlink r:id="rId64" ref="AA7"/>
    <hyperlink r:id="rId65" ref="AF7"/>
    <hyperlink r:id="rId66" ref="AK7"/>
    <hyperlink r:id="rId67" ref="AP7"/>
    <hyperlink r:id="rId68" ref="AU7"/>
    <hyperlink r:id="rId69" ref="AZ7"/>
    <hyperlink r:id="rId70" ref="BE7"/>
    <hyperlink r:id="rId71" ref="BJ7"/>
    <hyperlink r:id="rId72" ref="B8"/>
    <hyperlink r:id="rId73" ref="G8"/>
    <hyperlink r:id="rId74" ref="L8"/>
    <hyperlink r:id="rId75" ref="Q8"/>
    <hyperlink r:id="rId76" ref="V8"/>
    <hyperlink r:id="rId77" ref="AA8"/>
    <hyperlink r:id="rId78" ref="AF8"/>
    <hyperlink r:id="rId79" ref="AK8"/>
    <hyperlink r:id="rId80" ref="AP8"/>
    <hyperlink r:id="rId81" ref="AU8"/>
    <hyperlink r:id="rId82" ref="AZ8"/>
    <hyperlink r:id="rId83" ref="BE8"/>
    <hyperlink r:id="rId84" ref="BJ8"/>
    <hyperlink r:id="rId85" ref="B9"/>
    <hyperlink r:id="rId86" ref="G9"/>
    <hyperlink r:id="rId87" ref="L9"/>
    <hyperlink r:id="rId88" ref="Q9"/>
    <hyperlink r:id="rId89" ref="V9"/>
    <hyperlink r:id="rId90" ref="AA9"/>
    <hyperlink r:id="rId91" ref="AF9"/>
    <hyperlink r:id="rId92" ref="AK9"/>
    <hyperlink r:id="rId93" ref="AP9"/>
    <hyperlink r:id="rId94" ref="AU9"/>
    <hyperlink r:id="rId95" ref="AZ9"/>
    <hyperlink r:id="rId96" ref="BE9"/>
    <hyperlink r:id="rId97" ref="BJ9"/>
    <hyperlink r:id="rId98" ref="B10"/>
    <hyperlink r:id="rId99" ref="G10"/>
    <hyperlink r:id="rId100" ref="L10"/>
    <hyperlink r:id="rId101" ref="Q10"/>
    <hyperlink r:id="rId102" ref="V10"/>
    <hyperlink r:id="rId103" ref="AA10"/>
    <hyperlink r:id="rId104" ref="AF10"/>
    <hyperlink r:id="rId105" ref="AK10"/>
    <hyperlink r:id="rId106" ref="AP10"/>
    <hyperlink r:id="rId107" ref="AU10"/>
    <hyperlink r:id="rId108" ref="AZ10"/>
    <hyperlink r:id="rId109" ref="BE10"/>
    <hyperlink r:id="rId110" ref="BJ10"/>
    <hyperlink r:id="rId111" ref="B11"/>
    <hyperlink r:id="rId112" ref="G11"/>
    <hyperlink r:id="rId113" ref="L11"/>
    <hyperlink r:id="rId114" ref="Q11"/>
    <hyperlink r:id="rId115" ref="V11"/>
    <hyperlink r:id="rId116" ref="AA11"/>
    <hyperlink r:id="rId117" ref="AF11"/>
    <hyperlink r:id="rId118" ref="AK11"/>
    <hyperlink r:id="rId119" ref="AP11"/>
    <hyperlink r:id="rId120" ref="AU11"/>
    <hyperlink r:id="rId121" ref="AZ11"/>
    <hyperlink r:id="rId122" ref="BE11"/>
    <hyperlink r:id="rId123" ref="BJ11"/>
    <hyperlink r:id="rId124" ref="B12"/>
    <hyperlink r:id="rId125" ref="G12"/>
    <hyperlink r:id="rId126" ref="L12"/>
    <hyperlink r:id="rId127" ref="Q12"/>
    <hyperlink r:id="rId128" ref="V12"/>
    <hyperlink r:id="rId129" ref="AA12"/>
    <hyperlink r:id="rId130" ref="AF12"/>
    <hyperlink r:id="rId131" ref="AK12"/>
    <hyperlink r:id="rId132" ref="AP12"/>
    <hyperlink r:id="rId133" ref="AU12"/>
    <hyperlink r:id="rId134" ref="AZ12"/>
    <hyperlink r:id="rId135" ref="BE12"/>
    <hyperlink r:id="rId136" ref="BJ12"/>
    <hyperlink r:id="rId137" ref="B13"/>
    <hyperlink r:id="rId138" ref="G13"/>
    <hyperlink r:id="rId139" ref="L13"/>
    <hyperlink r:id="rId140" ref="Q13"/>
    <hyperlink r:id="rId141" ref="V13"/>
    <hyperlink r:id="rId142" ref="AA13"/>
    <hyperlink r:id="rId143" ref="AF13"/>
    <hyperlink r:id="rId144" ref="AK13"/>
    <hyperlink r:id="rId145" ref="AP13"/>
    <hyperlink r:id="rId146" ref="AU13"/>
    <hyperlink r:id="rId147" ref="AZ13"/>
    <hyperlink r:id="rId148" ref="BE13"/>
    <hyperlink r:id="rId149" ref="BJ13"/>
    <hyperlink r:id="rId150" ref="B14"/>
    <hyperlink r:id="rId151" ref="G14"/>
    <hyperlink r:id="rId152" ref="L14"/>
    <hyperlink r:id="rId153" ref="Q14"/>
    <hyperlink r:id="rId154" ref="V14"/>
    <hyperlink r:id="rId155" ref="AA14"/>
    <hyperlink r:id="rId156" ref="AF14"/>
    <hyperlink r:id="rId157" ref="AG14"/>
    <hyperlink r:id="rId158" ref="AK14"/>
    <hyperlink r:id="rId159" ref="AP14"/>
    <hyperlink r:id="rId160" ref="AU14"/>
    <hyperlink r:id="rId161" ref="AZ14"/>
    <hyperlink r:id="rId162" ref="BE14"/>
    <hyperlink r:id="rId163" ref="BJ14"/>
    <hyperlink r:id="rId164" ref="B15"/>
    <hyperlink r:id="rId165" ref="G15"/>
    <hyperlink r:id="rId166" ref="L15"/>
    <hyperlink r:id="rId167" ref="Q15"/>
    <hyperlink r:id="rId168" ref="V15"/>
    <hyperlink r:id="rId169" ref="AA15"/>
    <hyperlink r:id="rId170" ref="AF15"/>
    <hyperlink r:id="rId171" ref="AK15"/>
    <hyperlink r:id="rId172" ref="AP15"/>
    <hyperlink r:id="rId173" ref="AU15"/>
    <hyperlink r:id="rId174" ref="AZ15"/>
    <hyperlink r:id="rId175" ref="BE15"/>
    <hyperlink r:id="rId176" ref="BJ15"/>
    <hyperlink r:id="rId177" ref="B16"/>
    <hyperlink r:id="rId178" ref="G16"/>
    <hyperlink r:id="rId179" ref="L16"/>
    <hyperlink r:id="rId180" ref="Q16"/>
    <hyperlink r:id="rId181" ref="V16"/>
    <hyperlink r:id="rId182" ref="AA16"/>
    <hyperlink r:id="rId183" ref="AF16"/>
    <hyperlink r:id="rId184" ref="AK16"/>
    <hyperlink r:id="rId185" ref="AP16"/>
    <hyperlink r:id="rId186" ref="AU16"/>
    <hyperlink r:id="rId187" ref="AZ16"/>
    <hyperlink r:id="rId188" ref="BE16"/>
    <hyperlink r:id="rId189" ref="BJ16"/>
    <hyperlink r:id="rId190" ref="B17"/>
    <hyperlink r:id="rId191" ref="G17"/>
    <hyperlink r:id="rId192" ref="L17"/>
    <hyperlink r:id="rId193" ref="Q17"/>
    <hyperlink r:id="rId194" ref="V17"/>
    <hyperlink r:id="rId195" ref="AA17"/>
    <hyperlink r:id="rId196" ref="AF17"/>
    <hyperlink r:id="rId197" ref="AK17"/>
    <hyperlink r:id="rId198" ref="AP17"/>
    <hyperlink r:id="rId199" ref="AU17"/>
    <hyperlink r:id="rId200" ref="AZ17"/>
    <hyperlink r:id="rId201" ref="BE17"/>
    <hyperlink r:id="rId202" ref="BJ17"/>
    <hyperlink r:id="rId203" ref="B18"/>
    <hyperlink r:id="rId204" ref="G18"/>
    <hyperlink r:id="rId205" ref="L18"/>
    <hyperlink r:id="rId206" ref="Q18"/>
    <hyperlink r:id="rId207" ref="V18"/>
    <hyperlink r:id="rId208" ref="AA18"/>
    <hyperlink r:id="rId209" ref="AF18"/>
    <hyperlink r:id="rId210" ref="AK18"/>
    <hyperlink r:id="rId211" ref="AP18"/>
    <hyperlink r:id="rId212" ref="AU18"/>
    <hyperlink r:id="rId213" ref="AZ18"/>
    <hyperlink r:id="rId214" ref="BE18"/>
    <hyperlink r:id="rId215" ref="BJ18"/>
    <hyperlink r:id="rId216" ref="B19"/>
    <hyperlink r:id="rId217" ref="G19"/>
    <hyperlink r:id="rId218" ref="L19"/>
    <hyperlink r:id="rId219" ref="Q19"/>
    <hyperlink r:id="rId220" ref="V19"/>
    <hyperlink r:id="rId221" ref="AA19"/>
    <hyperlink r:id="rId222" ref="AF19"/>
    <hyperlink r:id="rId223" ref="AG19"/>
    <hyperlink r:id="rId224" ref="AK19"/>
    <hyperlink r:id="rId225" ref="AP19"/>
    <hyperlink r:id="rId226" ref="AU19"/>
    <hyperlink r:id="rId227" ref="AZ19"/>
    <hyperlink r:id="rId228" ref="BE19"/>
    <hyperlink r:id="rId229" ref="BJ19"/>
    <hyperlink r:id="rId230" ref="B20"/>
    <hyperlink r:id="rId231" ref="G20"/>
    <hyperlink r:id="rId232" ref="L20"/>
    <hyperlink r:id="rId233" ref="Q20"/>
    <hyperlink r:id="rId234" ref="V20"/>
    <hyperlink r:id="rId235" ref="AA20"/>
    <hyperlink r:id="rId236" ref="AF20"/>
    <hyperlink r:id="rId237" ref="AK20"/>
    <hyperlink r:id="rId238" ref="AP20"/>
    <hyperlink r:id="rId239" ref="AU20"/>
    <hyperlink r:id="rId240" ref="AZ20"/>
    <hyperlink r:id="rId241" ref="BE20"/>
    <hyperlink r:id="rId242" ref="BJ20"/>
    <hyperlink r:id="rId243" ref="B21"/>
    <hyperlink r:id="rId244" ref="G21"/>
    <hyperlink r:id="rId245" ref="L21"/>
    <hyperlink r:id="rId246" ref="Q21"/>
    <hyperlink r:id="rId247" ref="V21"/>
    <hyperlink r:id="rId248" ref="AA21"/>
    <hyperlink r:id="rId249" ref="AF21"/>
    <hyperlink r:id="rId250" ref="AK21"/>
    <hyperlink r:id="rId251" ref="AP21"/>
    <hyperlink r:id="rId252" ref="AU21"/>
    <hyperlink r:id="rId253" ref="AZ21"/>
    <hyperlink r:id="rId254" ref="BE21"/>
    <hyperlink r:id="rId255" ref="BJ21"/>
    <hyperlink r:id="rId256" ref="B22"/>
    <hyperlink r:id="rId257" ref="G22"/>
    <hyperlink r:id="rId258" ref="L22"/>
    <hyperlink r:id="rId259" ref="Q22"/>
    <hyperlink r:id="rId260" ref="V22"/>
    <hyperlink r:id="rId261" ref="AA22"/>
    <hyperlink r:id="rId262" ref="AF22"/>
    <hyperlink r:id="rId263" ref="AK22"/>
    <hyperlink r:id="rId264" ref="AP22"/>
    <hyperlink r:id="rId265" ref="AU22"/>
    <hyperlink r:id="rId266" ref="AZ22"/>
    <hyperlink r:id="rId267" ref="BE22"/>
    <hyperlink r:id="rId268" ref="BJ22"/>
    <hyperlink r:id="rId269" ref="B23"/>
    <hyperlink r:id="rId270" ref="G23"/>
    <hyperlink r:id="rId271" ref="L23"/>
    <hyperlink r:id="rId272" ref="Q23"/>
    <hyperlink r:id="rId273" ref="V23"/>
    <hyperlink r:id="rId274" ref="AA23"/>
    <hyperlink r:id="rId275" ref="AF23"/>
    <hyperlink r:id="rId276" ref="AK23"/>
    <hyperlink r:id="rId277" ref="AP23"/>
    <hyperlink r:id="rId278" ref="AU23"/>
    <hyperlink r:id="rId279" ref="AZ23"/>
    <hyperlink r:id="rId280" ref="BE23"/>
    <hyperlink r:id="rId281" ref="BJ23"/>
    <hyperlink r:id="rId282" ref="B24"/>
    <hyperlink r:id="rId283" ref="G24"/>
    <hyperlink r:id="rId284" ref="L24"/>
    <hyperlink r:id="rId285" ref="Q24"/>
    <hyperlink r:id="rId286" ref="V24"/>
    <hyperlink r:id="rId287" ref="AA24"/>
    <hyperlink r:id="rId288" ref="AF24"/>
    <hyperlink r:id="rId289" ref="AK24"/>
    <hyperlink r:id="rId290" ref="AP24"/>
    <hyperlink r:id="rId291" ref="AU24"/>
    <hyperlink r:id="rId292" ref="AZ24"/>
    <hyperlink r:id="rId293" ref="BE24"/>
    <hyperlink r:id="rId294" ref="BJ24"/>
    <hyperlink r:id="rId295" ref="B25"/>
    <hyperlink r:id="rId296" ref="G25"/>
    <hyperlink r:id="rId297" ref="L25"/>
    <hyperlink r:id="rId298" ref="Q25"/>
    <hyperlink r:id="rId299" ref="V25"/>
    <hyperlink r:id="rId300" ref="AA25"/>
    <hyperlink r:id="rId301" ref="AF25"/>
    <hyperlink r:id="rId302" ref="AK25"/>
    <hyperlink r:id="rId303" ref="AP25"/>
    <hyperlink r:id="rId304" ref="AU25"/>
    <hyperlink r:id="rId305" ref="AZ25"/>
    <hyperlink r:id="rId306" ref="BE25"/>
    <hyperlink r:id="rId307" ref="BJ25"/>
    <hyperlink r:id="rId308" ref="B26"/>
    <hyperlink r:id="rId309" ref="G26"/>
    <hyperlink r:id="rId310" ref="L26"/>
    <hyperlink r:id="rId311" ref="Q26"/>
    <hyperlink r:id="rId312" ref="V26"/>
    <hyperlink r:id="rId313" ref="AA26"/>
    <hyperlink r:id="rId314" ref="AF26"/>
    <hyperlink r:id="rId315" ref="AK26"/>
    <hyperlink r:id="rId316" ref="AP26"/>
    <hyperlink r:id="rId317" ref="AU26"/>
    <hyperlink r:id="rId318" ref="AZ26"/>
    <hyperlink r:id="rId319" ref="BE26"/>
    <hyperlink r:id="rId320" ref="BJ26"/>
    <hyperlink r:id="rId321" ref="B27"/>
    <hyperlink r:id="rId322" ref="G27"/>
    <hyperlink r:id="rId323" ref="L27"/>
    <hyperlink r:id="rId324" ref="Q27"/>
    <hyperlink r:id="rId325" ref="V27"/>
    <hyperlink r:id="rId326" ref="AA27"/>
    <hyperlink r:id="rId327" ref="AF27"/>
    <hyperlink r:id="rId328" ref="AK27"/>
    <hyperlink r:id="rId329" ref="AP27"/>
    <hyperlink r:id="rId330" ref="AU27"/>
    <hyperlink r:id="rId331" ref="AZ27"/>
    <hyperlink r:id="rId332" ref="BE27"/>
    <hyperlink r:id="rId333" ref="BJ27"/>
    <hyperlink r:id="rId334" ref="B28"/>
    <hyperlink r:id="rId335" ref="G28"/>
    <hyperlink r:id="rId336" ref="L28"/>
    <hyperlink r:id="rId337" ref="Q28"/>
    <hyperlink r:id="rId338" ref="V28"/>
    <hyperlink r:id="rId339" ref="AA28"/>
    <hyperlink r:id="rId340" ref="AF28"/>
    <hyperlink r:id="rId341" ref="AK28"/>
    <hyperlink r:id="rId342" ref="AP28"/>
    <hyperlink r:id="rId343" ref="AU28"/>
    <hyperlink r:id="rId344" ref="AZ28"/>
    <hyperlink r:id="rId345" ref="BE28"/>
    <hyperlink r:id="rId346" ref="BJ28"/>
    <hyperlink r:id="rId347" ref="B29"/>
    <hyperlink r:id="rId348" ref="G29"/>
    <hyperlink r:id="rId349" ref="L29"/>
    <hyperlink r:id="rId350" ref="Q29"/>
    <hyperlink r:id="rId351" ref="V29"/>
    <hyperlink r:id="rId352" ref="AA29"/>
    <hyperlink r:id="rId353" ref="AF29"/>
    <hyperlink r:id="rId354" ref="AK29"/>
    <hyperlink r:id="rId355" ref="AP29"/>
    <hyperlink r:id="rId356" ref="AU29"/>
    <hyperlink r:id="rId357" ref="AZ29"/>
    <hyperlink r:id="rId358" ref="BE29"/>
    <hyperlink r:id="rId359" ref="BJ29"/>
    <hyperlink r:id="rId360" ref="B30"/>
    <hyperlink r:id="rId361" ref="G30"/>
    <hyperlink r:id="rId362" ref="L30"/>
    <hyperlink r:id="rId363" ref="Q30"/>
    <hyperlink r:id="rId364" ref="U30"/>
    <hyperlink r:id="rId365" ref="V30"/>
    <hyperlink r:id="rId366" ref="AA30"/>
    <hyperlink r:id="rId367" ref="AF30"/>
    <hyperlink r:id="rId368" ref="AK30"/>
    <hyperlink r:id="rId369" ref="AP30"/>
    <hyperlink r:id="rId370" ref="AU30"/>
    <hyperlink r:id="rId371" ref="AZ30"/>
    <hyperlink r:id="rId372" ref="BE30"/>
    <hyperlink r:id="rId373" ref="BJ30"/>
    <hyperlink r:id="rId374" ref="B31"/>
    <hyperlink r:id="rId375" ref="G31"/>
    <hyperlink r:id="rId376" ref="L31"/>
    <hyperlink r:id="rId377" ref="Q31"/>
    <hyperlink r:id="rId378" ref="V31"/>
    <hyperlink r:id="rId379" ref="AA31"/>
    <hyperlink r:id="rId380" ref="AF31"/>
    <hyperlink r:id="rId381" ref="AK31"/>
    <hyperlink r:id="rId382" ref="AP31"/>
    <hyperlink r:id="rId383" ref="AU31"/>
    <hyperlink r:id="rId384" ref="AZ31"/>
    <hyperlink r:id="rId385" ref="BE31"/>
    <hyperlink r:id="rId386" ref="BJ31"/>
    <hyperlink r:id="rId387" ref="B32"/>
    <hyperlink r:id="rId388" ref="G32"/>
    <hyperlink r:id="rId389" ref="L32"/>
    <hyperlink r:id="rId390" ref="Q32"/>
    <hyperlink r:id="rId391" ref="V32"/>
    <hyperlink r:id="rId392" ref="AA32"/>
    <hyperlink r:id="rId393" ref="AF32"/>
    <hyperlink r:id="rId394" ref="AK32"/>
    <hyperlink r:id="rId395" ref="AP32"/>
    <hyperlink r:id="rId396" ref="AU32"/>
    <hyperlink r:id="rId397" ref="AZ32"/>
    <hyperlink r:id="rId398" ref="BE32"/>
    <hyperlink r:id="rId399" ref="BJ32"/>
    <hyperlink r:id="rId400" ref="B33"/>
    <hyperlink r:id="rId401" ref="G33"/>
    <hyperlink r:id="rId402" ref="L33"/>
    <hyperlink r:id="rId403" ref="Q33"/>
    <hyperlink r:id="rId404" ref="V33"/>
    <hyperlink r:id="rId405" ref="AA33"/>
    <hyperlink r:id="rId406" ref="AF33"/>
    <hyperlink r:id="rId407" ref="AK33"/>
    <hyperlink r:id="rId408" ref="AP33"/>
    <hyperlink r:id="rId409" ref="AU33"/>
    <hyperlink r:id="rId410" ref="AZ33"/>
    <hyperlink r:id="rId411" ref="BE33"/>
    <hyperlink r:id="rId412" ref="BJ33"/>
    <hyperlink r:id="rId413" ref="B34"/>
    <hyperlink r:id="rId414" ref="G34"/>
    <hyperlink r:id="rId415" ref="L34"/>
    <hyperlink r:id="rId416" ref="Q34"/>
    <hyperlink r:id="rId417" ref="V34"/>
    <hyperlink r:id="rId418" ref="AA34"/>
    <hyperlink r:id="rId419" ref="AF34"/>
    <hyperlink r:id="rId420" ref="AK34"/>
    <hyperlink r:id="rId421" ref="AP34"/>
    <hyperlink r:id="rId422" ref="AU34"/>
    <hyperlink r:id="rId423" ref="AZ34"/>
    <hyperlink r:id="rId424" ref="BE34"/>
    <hyperlink r:id="rId425" ref="BJ34"/>
    <hyperlink r:id="rId426" ref="B35"/>
    <hyperlink r:id="rId427" ref="G35"/>
    <hyperlink r:id="rId428" ref="L35"/>
    <hyperlink r:id="rId429" ref="Q35"/>
    <hyperlink r:id="rId430" ref="V35"/>
    <hyperlink r:id="rId431" ref="AA35"/>
    <hyperlink r:id="rId432" ref="AF35"/>
    <hyperlink r:id="rId433" ref="AK35"/>
    <hyperlink r:id="rId434" ref="AP35"/>
    <hyperlink r:id="rId435" ref="AU35"/>
    <hyperlink r:id="rId436" ref="AZ35"/>
    <hyperlink r:id="rId437" ref="BE35"/>
    <hyperlink r:id="rId438" ref="BJ35"/>
    <hyperlink r:id="rId439" ref="B36"/>
    <hyperlink r:id="rId440" ref="G36"/>
    <hyperlink r:id="rId441" ref="L36"/>
    <hyperlink r:id="rId442" ref="Q36"/>
    <hyperlink r:id="rId443" ref="V36"/>
    <hyperlink r:id="rId444" ref="AA36"/>
    <hyperlink r:id="rId445" ref="AF36"/>
    <hyperlink r:id="rId446" ref="AP36"/>
    <hyperlink r:id="rId447" ref="AU36"/>
    <hyperlink r:id="rId448" ref="AZ36"/>
    <hyperlink r:id="rId449" ref="BE36"/>
    <hyperlink r:id="rId450" ref="BJ36"/>
    <hyperlink r:id="rId451" ref="B37"/>
    <hyperlink r:id="rId452" ref="G37"/>
    <hyperlink r:id="rId453" ref="L37"/>
    <hyperlink r:id="rId454" ref="Q37"/>
    <hyperlink r:id="rId455" ref="V37"/>
    <hyperlink r:id="rId456" ref="AA37"/>
    <hyperlink r:id="rId457" ref="AF37"/>
    <hyperlink r:id="rId458" ref="AP37"/>
    <hyperlink r:id="rId459" ref="AU37"/>
    <hyperlink r:id="rId460" ref="AZ37"/>
    <hyperlink r:id="rId461" ref="BE37"/>
    <hyperlink r:id="rId462" ref="BJ37"/>
    <hyperlink r:id="rId463" ref="B38"/>
    <hyperlink r:id="rId464" ref="G38"/>
    <hyperlink r:id="rId465" ref="L38"/>
    <hyperlink r:id="rId466" ref="Q38"/>
    <hyperlink r:id="rId467" ref="V38"/>
    <hyperlink r:id="rId468" ref="AA38"/>
    <hyperlink r:id="rId469" ref="AF38"/>
    <hyperlink r:id="rId470" ref="AP38"/>
    <hyperlink r:id="rId471" ref="AU38"/>
    <hyperlink r:id="rId472" ref="AZ38"/>
    <hyperlink r:id="rId473" ref="BE38"/>
    <hyperlink r:id="rId474" ref="BJ38"/>
    <hyperlink r:id="rId475" ref="B39"/>
    <hyperlink r:id="rId476" ref="G39"/>
    <hyperlink r:id="rId477" ref="L39"/>
    <hyperlink r:id="rId478" ref="Q39"/>
    <hyperlink r:id="rId479" ref="V39"/>
    <hyperlink r:id="rId480" ref="AA39"/>
    <hyperlink r:id="rId481" ref="AF39"/>
    <hyperlink r:id="rId482" ref="AP39"/>
    <hyperlink r:id="rId483" ref="AU39"/>
    <hyperlink r:id="rId484" ref="AZ39"/>
    <hyperlink r:id="rId485" ref="BE39"/>
    <hyperlink r:id="rId486" ref="BJ39"/>
    <hyperlink r:id="rId487" ref="B40"/>
    <hyperlink r:id="rId488" ref="G40"/>
    <hyperlink r:id="rId489" ref="L40"/>
    <hyperlink r:id="rId490" ref="Q40"/>
    <hyperlink r:id="rId491" ref="V40"/>
    <hyperlink r:id="rId492" ref="AA40"/>
    <hyperlink r:id="rId493" ref="AF40"/>
    <hyperlink r:id="rId494" ref="AP40"/>
    <hyperlink r:id="rId495" ref="AU40"/>
    <hyperlink r:id="rId496" ref="AZ40"/>
    <hyperlink r:id="rId497" ref="BE40"/>
    <hyperlink r:id="rId498" ref="BJ40"/>
    <hyperlink r:id="rId499" ref="B41"/>
    <hyperlink r:id="rId500" ref="G41"/>
    <hyperlink r:id="rId501" ref="L41"/>
    <hyperlink r:id="rId502" ref="Q41"/>
    <hyperlink r:id="rId503" ref="U41"/>
    <hyperlink r:id="rId504" ref="V41"/>
    <hyperlink r:id="rId505" ref="AA41"/>
    <hyperlink r:id="rId506" ref="AP41"/>
    <hyperlink r:id="rId507" ref="AU41"/>
    <hyperlink r:id="rId508" ref="AZ41"/>
    <hyperlink r:id="rId509" ref="BE41"/>
    <hyperlink r:id="rId510" ref="BJ41"/>
    <hyperlink r:id="rId511" ref="B42"/>
    <hyperlink r:id="rId512" ref="G42"/>
    <hyperlink r:id="rId513" ref="Q42"/>
    <hyperlink r:id="rId514" ref="V42"/>
    <hyperlink r:id="rId515" ref="AA42"/>
    <hyperlink r:id="rId516" ref="AP42"/>
    <hyperlink r:id="rId517" ref="AU42"/>
    <hyperlink r:id="rId518" ref="AZ42"/>
    <hyperlink r:id="rId519" ref="BE42"/>
    <hyperlink r:id="rId520" ref="BJ42"/>
    <hyperlink r:id="rId521" ref="B43"/>
    <hyperlink r:id="rId522" ref="G43"/>
    <hyperlink r:id="rId523" ref="Q43"/>
    <hyperlink r:id="rId524" ref="V43"/>
    <hyperlink r:id="rId525" ref="AA43"/>
    <hyperlink r:id="rId526" ref="AF43"/>
    <hyperlink r:id="rId527" ref="AP43"/>
    <hyperlink r:id="rId528" ref="AU43"/>
    <hyperlink r:id="rId529" ref="AZ43"/>
    <hyperlink r:id="rId530" ref="BE43"/>
    <hyperlink r:id="rId531" ref="BJ43"/>
    <hyperlink r:id="rId532" ref="B44"/>
    <hyperlink r:id="rId533" ref="G44"/>
    <hyperlink r:id="rId534" ref="Q44"/>
    <hyperlink r:id="rId535" ref="V44"/>
    <hyperlink r:id="rId536" ref="AA44"/>
    <hyperlink r:id="rId537" ref="AF44"/>
    <hyperlink r:id="rId538" ref="AP44"/>
    <hyperlink r:id="rId539" ref="AU44"/>
    <hyperlink r:id="rId540" ref="AZ44"/>
    <hyperlink r:id="rId541" ref="BE44"/>
    <hyperlink r:id="rId542" ref="BJ44"/>
    <hyperlink r:id="rId543" ref="B45"/>
    <hyperlink r:id="rId544" ref="G45"/>
    <hyperlink r:id="rId545" ref="Q45"/>
    <hyperlink r:id="rId546" ref="V45"/>
    <hyperlink r:id="rId547" ref="AA45"/>
    <hyperlink r:id="rId548" ref="AF45"/>
    <hyperlink r:id="rId549" ref="AP45"/>
    <hyperlink r:id="rId550" ref="AU45"/>
    <hyperlink r:id="rId551" ref="AZ45"/>
    <hyperlink r:id="rId552" ref="BE45"/>
    <hyperlink r:id="rId553" ref="BJ45"/>
    <hyperlink r:id="rId554" ref="B46"/>
    <hyperlink r:id="rId555" ref="G46"/>
    <hyperlink r:id="rId556" ref="Q46"/>
    <hyperlink r:id="rId557" ref="AA46"/>
    <hyperlink r:id="rId558" ref="AF46"/>
    <hyperlink r:id="rId559" ref="AP46"/>
    <hyperlink r:id="rId560" ref="AU46"/>
    <hyperlink r:id="rId561" ref="AZ46"/>
    <hyperlink r:id="rId562" ref="BE46"/>
    <hyperlink r:id="rId563" ref="BJ46"/>
    <hyperlink r:id="rId564" ref="B47"/>
    <hyperlink r:id="rId565" ref="G47"/>
    <hyperlink r:id="rId566" ref="L47"/>
    <hyperlink r:id="rId567" ref="Q47"/>
    <hyperlink r:id="rId568" ref="AA47"/>
    <hyperlink r:id="rId569" ref="AF47"/>
    <hyperlink r:id="rId570" ref="AP47"/>
    <hyperlink r:id="rId571" ref="AU47"/>
    <hyperlink r:id="rId572" ref="AZ47"/>
    <hyperlink r:id="rId573" ref="BE47"/>
    <hyperlink r:id="rId574" ref="BJ47"/>
    <hyperlink r:id="rId575" ref="B48"/>
    <hyperlink r:id="rId576" ref="G48"/>
    <hyperlink r:id="rId577" ref="Q48"/>
    <hyperlink r:id="rId578" ref="AA48"/>
    <hyperlink r:id="rId579" ref="AP48"/>
    <hyperlink r:id="rId580" ref="AU48"/>
    <hyperlink r:id="rId581" ref="AZ48"/>
    <hyperlink r:id="rId582" ref="BE48"/>
    <hyperlink r:id="rId583" ref="BJ48"/>
    <hyperlink r:id="rId584" ref="B49"/>
    <hyperlink r:id="rId585" ref="G49"/>
    <hyperlink r:id="rId586" ref="Q49"/>
    <hyperlink r:id="rId587" ref="AA49"/>
    <hyperlink r:id="rId588" ref="AP49"/>
    <hyperlink r:id="rId589" ref="AU49"/>
    <hyperlink r:id="rId590" ref="AZ49"/>
    <hyperlink r:id="rId591" ref="BE49"/>
    <hyperlink r:id="rId592" ref="BJ49"/>
    <hyperlink r:id="rId593" ref="B50"/>
    <hyperlink r:id="rId594" ref="G50"/>
    <hyperlink r:id="rId595" ref="Q50"/>
    <hyperlink r:id="rId596" ref="AA50"/>
    <hyperlink r:id="rId597" ref="AP50"/>
    <hyperlink r:id="rId598" ref="AU50"/>
    <hyperlink r:id="rId599" ref="AZ50"/>
    <hyperlink r:id="rId600" ref="BE50"/>
    <hyperlink r:id="rId601" ref="BJ50"/>
    <hyperlink r:id="rId602" ref="B51"/>
    <hyperlink r:id="rId603" ref="G51"/>
    <hyperlink r:id="rId604" ref="Q51"/>
    <hyperlink r:id="rId605" ref="AA51"/>
    <hyperlink r:id="rId606" ref="AP51"/>
    <hyperlink r:id="rId607" ref="AU51"/>
    <hyperlink r:id="rId608" ref="AZ51"/>
    <hyperlink r:id="rId609" ref="BE51"/>
    <hyperlink r:id="rId610" ref="BJ51"/>
    <hyperlink r:id="rId611" ref="B52"/>
    <hyperlink r:id="rId612" ref="G52"/>
    <hyperlink r:id="rId613" ref="Q52"/>
    <hyperlink r:id="rId614" ref="AA52"/>
    <hyperlink r:id="rId615" ref="AP52"/>
    <hyperlink r:id="rId616" ref="AU52"/>
    <hyperlink r:id="rId617" ref="AZ52"/>
    <hyperlink r:id="rId618" ref="BE52"/>
    <hyperlink r:id="rId619" ref="BJ52"/>
    <hyperlink r:id="rId620" ref="B53"/>
    <hyperlink r:id="rId621" ref="G53"/>
    <hyperlink r:id="rId622" ref="Q53"/>
    <hyperlink r:id="rId623" ref="AA53"/>
    <hyperlink r:id="rId624" ref="AP53"/>
    <hyperlink r:id="rId625" ref="AU53"/>
    <hyperlink r:id="rId626" ref="BE53"/>
    <hyperlink r:id="rId627" ref="BJ53"/>
    <hyperlink r:id="rId628" ref="B54"/>
    <hyperlink r:id="rId629" ref="G54"/>
    <hyperlink r:id="rId630" ref="Q54"/>
    <hyperlink r:id="rId631" ref="AA54"/>
    <hyperlink r:id="rId632" ref="AP54"/>
    <hyperlink r:id="rId633" ref="AU54"/>
    <hyperlink r:id="rId634" ref="BE54"/>
    <hyperlink r:id="rId635" ref="BJ54"/>
    <hyperlink r:id="rId636" ref="B55"/>
    <hyperlink r:id="rId637" ref="G55"/>
    <hyperlink r:id="rId638" ref="Q55"/>
    <hyperlink r:id="rId639" ref="AA55"/>
    <hyperlink r:id="rId640" ref="AP55"/>
    <hyperlink r:id="rId641" ref="AU55"/>
    <hyperlink r:id="rId642" ref="BE55"/>
    <hyperlink r:id="rId643" ref="BJ55"/>
    <hyperlink r:id="rId644" ref="B56"/>
    <hyperlink r:id="rId645" ref="G56"/>
    <hyperlink r:id="rId646" ref="Q56"/>
    <hyperlink r:id="rId647" ref="AA56"/>
    <hyperlink r:id="rId648" ref="AP56"/>
    <hyperlink r:id="rId649" ref="AU56"/>
    <hyperlink r:id="rId650" ref="BE56"/>
    <hyperlink r:id="rId651" ref="BJ56"/>
    <hyperlink r:id="rId652" ref="B57"/>
    <hyperlink r:id="rId653" ref="Q57"/>
    <hyperlink r:id="rId654" ref="AA57"/>
    <hyperlink r:id="rId655" ref="AP57"/>
    <hyperlink r:id="rId656" ref="AU57"/>
    <hyperlink r:id="rId657" ref="BE57"/>
    <hyperlink r:id="rId658" ref="BJ57"/>
    <hyperlink r:id="rId659" ref="B58"/>
    <hyperlink r:id="rId660" ref="Q58"/>
    <hyperlink r:id="rId661" ref="AA58"/>
    <hyperlink r:id="rId662" ref="AP58"/>
    <hyperlink r:id="rId663" ref="AU58"/>
    <hyperlink r:id="rId664" ref="BE58"/>
    <hyperlink r:id="rId665" ref="BJ58"/>
    <hyperlink r:id="rId666" ref="B59"/>
    <hyperlink r:id="rId667" ref="Q59"/>
    <hyperlink r:id="rId668" ref="AP59"/>
    <hyperlink r:id="rId669" ref="AU59"/>
    <hyperlink r:id="rId670" ref="BE59"/>
    <hyperlink r:id="rId671" ref="BJ59"/>
    <hyperlink r:id="rId672" ref="B60"/>
    <hyperlink r:id="rId673" ref="Q60"/>
    <hyperlink r:id="rId674" ref="AP60"/>
    <hyperlink r:id="rId675" ref="AU60"/>
    <hyperlink r:id="rId676" ref="BE60"/>
    <hyperlink r:id="rId677" ref="BJ60"/>
    <hyperlink r:id="rId678" ref="B61"/>
    <hyperlink r:id="rId679" ref="Q61"/>
    <hyperlink r:id="rId680" ref="AP61"/>
    <hyperlink r:id="rId681" ref="AU61"/>
    <hyperlink r:id="rId682" ref="BE61"/>
    <hyperlink r:id="rId683" ref="BJ61"/>
    <hyperlink r:id="rId684" ref="B62"/>
    <hyperlink r:id="rId685" ref="Q62"/>
    <hyperlink r:id="rId686" ref="AP62"/>
    <hyperlink r:id="rId687" ref="BE62"/>
    <hyperlink r:id="rId688" ref="BJ62"/>
    <hyperlink r:id="rId689" ref="B63"/>
    <hyperlink r:id="rId690" ref="Q63"/>
    <hyperlink r:id="rId691" ref="AP63"/>
    <hyperlink r:id="rId692" ref="BE63"/>
    <hyperlink r:id="rId693" ref="BJ63"/>
    <hyperlink r:id="rId694" ref="B64"/>
    <hyperlink r:id="rId695" ref="Q64"/>
    <hyperlink r:id="rId696" ref="AP64"/>
    <hyperlink r:id="rId697" ref="BE64"/>
    <hyperlink r:id="rId698" ref="BJ64"/>
    <hyperlink r:id="rId699" ref="B65"/>
    <hyperlink r:id="rId700" ref="Q65"/>
    <hyperlink r:id="rId701" ref="AP65"/>
    <hyperlink r:id="rId702" ref="BE65"/>
    <hyperlink r:id="rId703" ref="BJ65"/>
    <hyperlink r:id="rId704" ref="B66"/>
    <hyperlink r:id="rId705" ref="Q66"/>
    <hyperlink r:id="rId706" ref="AP66"/>
    <hyperlink r:id="rId707" ref="BE66"/>
    <hyperlink r:id="rId708" ref="BJ66"/>
    <hyperlink r:id="rId709" ref="B67"/>
    <hyperlink r:id="rId710" ref="Q67"/>
    <hyperlink r:id="rId711" ref="AP67"/>
    <hyperlink r:id="rId712" ref="BE67"/>
    <hyperlink r:id="rId713" ref="BJ67"/>
    <hyperlink r:id="rId714" ref="B68"/>
    <hyperlink r:id="rId715" ref="Q68"/>
    <hyperlink r:id="rId716" ref="AP68"/>
    <hyperlink r:id="rId717" ref="BE68"/>
    <hyperlink r:id="rId718" ref="BJ68"/>
    <hyperlink r:id="rId719" ref="B69"/>
    <hyperlink r:id="rId720" ref="Q69"/>
    <hyperlink r:id="rId721" ref="AP69"/>
    <hyperlink r:id="rId722" ref="BE69"/>
    <hyperlink r:id="rId723" ref="BJ69"/>
    <hyperlink r:id="rId724" ref="B70"/>
    <hyperlink r:id="rId725" ref="AP70"/>
    <hyperlink r:id="rId726" ref="BE70"/>
    <hyperlink r:id="rId727" ref="BJ70"/>
    <hyperlink r:id="rId728" ref="B71"/>
    <hyperlink r:id="rId729" ref="AP71"/>
    <hyperlink r:id="rId730" ref="BE71"/>
    <hyperlink r:id="rId731" ref="BJ71"/>
    <hyperlink r:id="rId732" ref="B72"/>
    <hyperlink r:id="rId733" ref="AP72"/>
    <hyperlink r:id="rId734" ref="BE72"/>
    <hyperlink r:id="rId735" ref="BJ72"/>
    <hyperlink r:id="rId736" ref="B73"/>
    <hyperlink r:id="rId737" ref="AP73"/>
    <hyperlink r:id="rId738" ref="BE73"/>
    <hyperlink r:id="rId739" ref="BJ73"/>
    <hyperlink r:id="rId740" ref="B74"/>
    <hyperlink r:id="rId741" ref="AP74"/>
    <hyperlink r:id="rId742" ref="BE74"/>
    <hyperlink r:id="rId743" ref="BJ74"/>
    <hyperlink r:id="rId744" ref="B75"/>
    <hyperlink r:id="rId745" ref="AP75"/>
    <hyperlink r:id="rId746" ref="BE75"/>
    <hyperlink r:id="rId747" ref="BJ75"/>
    <hyperlink r:id="rId748" ref="B76"/>
    <hyperlink r:id="rId749" ref="AP76"/>
    <hyperlink r:id="rId750" ref="BE76"/>
    <hyperlink r:id="rId751" ref="BJ76"/>
    <hyperlink r:id="rId752" ref="B77"/>
    <hyperlink r:id="rId753" ref="AP77"/>
    <hyperlink r:id="rId754" ref="BE77"/>
    <hyperlink r:id="rId755" ref="BJ77"/>
    <hyperlink r:id="rId756" ref="B78"/>
    <hyperlink r:id="rId757" ref="AP78"/>
    <hyperlink r:id="rId758" ref="BE78"/>
    <hyperlink r:id="rId759" ref="BJ78"/>
    <hyperlink r:id="rId760" ref="B79"/>
    <hyperlink r:id="rId761" ref="AP79"/>
    <hyperlink r:id="rId762" ref="BE79"/>
    <hyperlink r:id="rId763" ref="BJ79"/>
    <hyperlink r:id="rId764" ref="B80"/>
    <hyperlink r:id="rId765" ref="AP80"/>
    <hyperlink r:id="rId766" ref="BE80"/>
    <hyperlink r:id="rId767" ref="BJ80"/>
    <hyperlink r:id="rId768" ref="B81"/>
    <hyperlink r:id="rId769" ref="AP81"/>
    <hyperlink r:id="rId770" ref="BE81"/>
    <hyperlink r:id="rId771" ref="BJ81"/>
    <hyperlink r:id="rId772" ref="B82"/>
    <hyperlink r:id="rId773" ref="AP82"/>
    <hyperlink r:id="rId774" ref="BE82"/>
    <hyperlink r:id="rId775" ref="BJ82"/>
    <hyperlink r:id="rId776" ref="B83"/>
    <hyperlink r:id="rId777" ref="AP83"/>
    <hyperlink r:id="rId778" ref="BE83"/>
    <hyperlink r:id="rId779" ref="BJ83"/>
    <hyperlink r:id="rId780" ref="B84"/>
    <hyperlink r:id="rId781" ref="AP84"/>
    <hyperlink r:id="rId782" ref="BE84"/>
    <hyperlink r:id="rId783" ref="BJ84"/>
    <hyperlink r:id="rId784" ref="B85"/>
    <hyperlink r:id="rId785" ref="AP85"/>
    <hyperlink r:id="rId786" ref="BE85"/>
    <hyperlink r:id="rId787" ref="BJ85"/>
    <hyperlink r:id="rId788" ref="B86"/>
    <hyperlink r:id="rId789" ref="AP86"/>
    <hyperlink r:id="rId790" ref="BE86"/>
    <hyperlink r:id="rId791" ref="BJ86"/>
    <hyperlink r:id="rId792" ref="B87"/>
    <hyperlink r:id="rId793" ref="AP87"/>
    <hyperlink r:id="rId794" ref="BE87"/>
    <hyperlink r:id="rId795" ref="BJ87"/>
    <hyperlink r:id="rId796" ref="B88"/>
    <hyperlink r:id="rId797" ref="AP88"/>
    <hyperlink r:id="rId798" ref="BE88"/>
    <hyperlink r:id="rId799" ref="BJ88"/>
    <hyperlink r:id="rId800" ref="B89"/>
    <hyperlink r:id="rId801" ref="AP89"/>
    <hyperlink r:id="rId802" ref="BE89"/>
    <hyperlink r:id="rId803" ref="BJ89"/>
    <hyperlink r:id="rId804" ref="B90"/>
    <hyperlink r:id="rId805" ref="AP90"/>
    <hyperlink r:id="rId806" ref="BE90"/>
    <hyperlink r:id="rId807" ref="BJ90"/>
    <hyperlink r:id="rId808" ref="B91"/>
    <hyperlink r:id="rId809" ref="AP91"/>
    <hyperlink r:id="rId810" ref="BE91"/>
    <hyperlink r:id="rId811" ref="BJ91"/>
    <hyperlink r:id="rId812" ref="B92"/>
    <hyperlink r:id="rId813" ref="AP92"/>
    <hyperlink r:id="rId814" ref="BE92"/>
    <hyperlink r:id="rId815" ref="BJ92"/>
    <hyperlink r:id="rId816" ref="B93"/>
    <hyperlink r:id="rId817" ref="AP93"/>
    <hyperlink r:id="rId818" ref="BE93"/>
    <hyperlink r:id="rId819" ref="BJ93"/>
    <hyperlink r:id="rId820" ref="B94"/>
    <hyperlink r:id="rId821" ref="AP94"/>
    <hyperlink r:id="rId822" ref="BE94"/>
    <hyperlink r:id="rId823" ref="BJ94"/>
    <hyperlink r:id="rId824" ref="B95"/>
    <hyperlink r:id="rId825" ref="AP95"/>
    <hyperlink r:id="rId826" ref="BE95"/>
    <hyperlink r:id="rId827" ref="BJ95"/>
    <hyperlink r:id="rId828" ref="B96"/>
    <hyperlink r:id="rId829" ref="AP96"/>
    <hyperlink r:id="rId830" ref="BE96"/>
    <hyperlink r:id="rId831" ref="BJ96"/>
    <hyperlink r:id="rId832" ref="B97"/>
    <hyperlink r:id="rId833" ref="AP97"/>
    <hyperlink r:id="rId834" ref="BE97"/>
    <hyperlink r:id="rId835" ref="BJ97"/>
    <hyperlink r:id="rId836" ref="B98"/>
    <hyperlink r:id="rId837" ref="AP98"/>
    <hyperlink r:id="rId838" ref="BE98"/>
    <hyperlink r:id="rId839" ref="BJ98"/>
    <hyperlink r:id="rId840" ref="B99"/>
    <hyperlink r:id="rId841" ref="AP99"/>
    <hyperlink r:id="rId842" ref="BE99"/>
    <hyperlink r:id="rId843" ref="BJ99"/>
    <hyperlink r:id="rId844" ref="B100"/>
    <hyperlink r:id="rId845" ref="AP100"/>
    <hyperlink r:id="rId846" ref="BE100"/>
    <hyperlink r:id="rId847" ref="BJ100"/>
    <hyperlink r:id="rId848" ref="B101"/>
    <hyperlink r:id="rId849" ref="AP101"/>
    <hyperlink r:id="rId850" ref="BE101"/>
    <hyperlink r:id="rId851" ref="BJ101"/>
    <hyperlink r:id="rId852" ref="B102"/>
    <hyperlink r:id="rId853" ref="AP102"/>
    <hyperlink r:id="rId854" ref="BE102"/>
    <hyperlink r:id="rId855" ref="BJ102"/>
    <hyperlink r:id="rId856" ref="B103"/>
    <hyperlink r:id="rId857" ref="AP103"/>
    <hyperlink r:id="rId858" ref="BE103"/>
    <hyperlink r:id="rId859" ref="BJ103"/>
    <hyperlink r:id="rId860" ref="B104"/>
    <hyperlink r:id="rId861" ref="AP104"/>
    <hyperlink r:id="rId862" ref="BE104"/>
    <hyperlink r:id="rId863" ref="BJ104"/>
    <hyperlink r:id="rId864" ref="B105"/>
    <hyperlink r:id="rId865" ref="AP105"/>
    <hyperlink r:id="rId866" ref="BE105"/>
    <hyperlink r:id="rId867" ref="BJ105"/>
    <hyperlink r:id="rId868" ref="B106"/>
    <hyperlink r:id="rId869" ref="AP106"/>
    <hyperlink r:id="rId870" ref="BE106"/>
    <hyperlink r:id="rId871" ref="BJ106"/>
    <hyperlink r:id="rId872" ref="B107"/>
    <hyperlink r:id="rId873" ref="AP107"/>
    <hyperlink r:id="rId874" ref="BE107"/>
    <hyperlink r:id="rId875" ref="BJ107"/>
    <hyperlink r:id="rId876" ref="B108"/>
    <hyperlink r:id="rId877" ref="AP108"/>
    <hyperlink r:id="rId878" ref="BE108"/>
    <hyperlink r:id="rId879" ref="BJ108"/>
    <hyperlink r:id="rId880" ref="B109"/>
    <hyperlink r:id="rId881" ref="AP109"/>
    <hyperlink r:id="rId882" ref="BE109"/>
    <hyperlink r:id="rId883" ref="BJ109"/>
    <hyperlink r:id="rId884" ref="B110"/>
    <hyperlink r:id="rId885" ref="AP110"/>
    <hyperlink r:id="rId886" ref="BE110"/>
    <hyperlink r:id="rId887" ref="BJ110"/>
    <hyperlink r:id="rId888" ref="B111"/>
    <hyperlink r:id="rId889" ref="AP111"/>
    <hyperlink r:id="rId890" ref="BE111"/>
    <hyperlink r:id="rId891" ref="BJ111"/>
    <hyperlink r:id="rId892" ref="B112"/>
    <hyperlink r:id="rId893" ref="AP112"/>
    <hyperlink r:id="rId894" ref="BE112"/>
    <hyperlink r:id="rId895" ref="BJ112"/>
    <hyperlink r:id="rId896" ref="B113"/>
    <hyperlink r:id="rId897" ref="AP113"/>
    <hyperlink r:id="rId898" ref="BE113"/>
    <hyperlink r:id="rId899" ref="BJ113"/>
    <hyperlink r:id="rId900" ref="B114"/>
    <hyperlink r:id="rId901" ref="AP114"/>
    <hyperlink r:id="rId902" ref="BE114"/>
    <hyperlink r:id="rId903" ref="BJ114"/>
    <hyperlink r:id="rId904" ref="B115"/>
    <hyperlink r:id="rId905" ref="AP115"/>
    <hyperlink r:id="rId906" ref="BE115"/>
    <hyperlink r:id="rId907" ref="BJ115"/>
    <hyperlink r:id="rId908" ref="B116"/>
    <hyperlink r:id="rId909" ref="AP116"/>
    <hyperlink r:id="rId910" ref="BE116"/>
    <hyperlink r:id="rId911" ref="BJ116"/>
    <hyperlink r:id="rId912" ref="B117"/>
    <hyperlink r:id="rId913" ref="AP117"/>
    <hyperlink r:id="rId914" ref="BE117"/>
    <hyperlink r:id="rId915" ref="BJ117"/>
    <hyperlink r:id="rId916" ref="B118"/>
    <hyperlink r:id="rId917" ref="AP118"/>
    <hyperlink r:id="rId918" ref="BE118"/>
    <hyperlink r:id="rId919" ref="BJ118"/>
    <hyperlink r:id="rId920" ref="B119"/>
    <hyperlink r:id="rId921" ref="AP119"/>
    <hyperlink r:id="rId922" ref="BE119"/>
    <hyperlink r:id="rId923" ref="BJ119"/>
    <hyperlink r:id="rId924" ref="B120"/>
    <hyperlink r:id="rId925" ref="AP120"/>
    <hyperlink r:id="rId926" ref="BE120"/>
    <hyperlink r:id="rId927" ref="BJ120"/>
    <hyperlink r:id="rId928" ref="B121"/>
    <hyperlink r:id="rId929" ref="AP121"/>
    <hyperlink r:id="rId930" ref="BE121"/>
    <hyperlink r:id="rId931" ref="BJ121"/>
    <hyperlink r:id="rId932" ref="B122"/>
    <hyperlink r:id="rId933" ref="AP122"/>
    <hyperlink r:id="rId934" ref="BE122"/>
    <hyperlink r:id="rId935" ref="BJ122"/>
    <hyperlink r:id="rId936" ref="B123"/>
    <hyperlink r:id="rId937" ref="AP123"/>
    <hyperlink r:id="rId938" ref="BE123"/>
    <hyperlink r:id="rId939" ref="BJ123"/>
    <hyperlink r:id="rId940" ref="B124"/>
    <hyperlink r:id="rId941" ref="AP124"/>
    <hyperlink r:id="rId942" ref="BE124"/>
    <hyperlink r:id="rId943" ref="BJ124"/>
    <hyperlink r:id="rId944" ref="B125"/>
    <hyperlink r:id="rId945" ref="AP125"/>
    <hyperlink r:id="rId946" ref="BE125"/>
    <hyperlink r:id="rId947" ref="BJ125"/>
    <hyperlink r:id="rId948" ref="B126"/>
    <hyperlink r:id="rId949" ref="AP126"/>
    <hyperlink r:id="rId950" ref="BE126"/>
    <hyperlink r:id="rId951" ref="BJ126"/>
    <hyperlink r:id="rId952" ref="B127"/>
    <hyperlink r:id="rId953" ref="AP127"/>
    <hyperlink r:id="rId954" ref="BE127"/>
    <hyperlink r:id="rId955" ref="BJ127"/>
    <hyperlink r:id="rId956" ref="B128"/>
    <hyperlink r:id="rId957" ref="AP128"/>
    <hyperlink r:id="rId958" ref="BE128"/>
    <hyperlink r:id="rId959" ref="BJ128"/>
    <hyperlink r:id="rId960" ref="B129"/>
    <hyperlink r:id="rId961" ref="AP129"/>
    <hyperlink r:id="rId962" ref="BE129"/>
    <hyperlink r:id="rId963" ref="BJ129"/>
    <hyperlink r:id="rId964" ref="B130"/>
    <hyperlink r:id="rId965" ref="AP130"/>
    <hyperlink r:id="rId966" ref="BE130"/>
    <hyperlink r:id="rId967" ref="BJ130"/>
    <hyperlink r:id="rId968" ref="B131"/>
    <hyperlink r:id="rId969" ref="AP131"/>
    <hyperlink r:id="rId970" ref="BE131"/>
    <hyperlink r:id="rId971" ref="BJ131"/>
    <hyperlink r:id="rId972" ref="B132"/>
    <hyperlink r:id="rId973" ref="AP132"/>
    <hyperlink r:id="rId974" ref="BE132"/>
    <hyperlink r:id="rId975" ref="BJ132"/>
    <hyperlink r:id="rId976" ref="B133"/>
    <hyperlink r:id="rId977" ref="AP133"/>
    <hyperlink r:id="rId978" ref="BE133"/>
    <hyperlink r:id="rId979" ref="BJ133"/>
    <hyperlink r:id="rId980" ref="B134"/>
    <hyperlink r:id="rId981" ref="AP134"/>
    <hyperlink r:id="rId982" ref="BE134"/>
    <hyperlink r:id="rId983" ref="BJ134"/>
    <hyperlink r:id="rId984" ref="B135"/>
    <hyperlink r:id="rId985" ref="AP135"/>
    <hyperlink r:id="rId986" ref="BE135"/>
    <hyperlink r:id="rId987" ref="BJ135"/>
    <hyperlink r:id="rId988" ref="B136"/>
    <hyperlink r:id="rId989" ref="BE136"/>
    <hyperlink r:id="rId990" ref="BJ136"/>
    <hyperlink r:id="rId991" ref="B137"/>
    <hyperlink r:id="rId992" ref="BE137"/>
    <hyperlink r:id="rId993" ref="BJ137"/>
    <hyperlink r:id="rId994" ref="B138"/>
    <hyperlink r:id="rId995" ref="BE138"/>
    <hyperlink r:id="rId996" ref="BJ138"/>
    <hyperlink r:id="rId997" ref="B139"/>
    <hyperlink r:id="rId998" ref="BE139"/>
    <hyperlink r:id="rId999" ref="BJ139"/>
    <hyperlink r:id="rId1000" ref="B140"/>
    <hyperlink r:id="rId1001" ref="BE140"/>
    <hyperlink r:id="rId1002" ref="BJ140"/>
    <hyperlink r:id="rId1003" ref="B141"/>
    <hyperlink r:id="rId1004" ref="BE141"/>
    <hyperlink r:id="rId1005" ref="BJ141"/>
    <hyperlink r:id="rId1006" ref="B142"/>
    <hyperlink r:id="rId1007" ref="BE142"/>
    <hyperlink r:id="rId1008" ref="BJ142"/>
    <hyperlink r:id="rId1009" ref="B143"/>
    <hyperlink r:id="rId1010" ref="BE143"/>
    <hyperlink r:id="rId1011" ref="BJ143"/>
    <hyperlink r:id="rId1012" ref="B144"/>
    <hyperlink r:id="rId1013" ref="BE144"/>
    <hyperlink r:id="rId1014" ref="BJ144"/>
    <hyperlink r:id="rId1015" ref="B145"/>
    <hyperlink r:id="rId1016" ref="BE145"/>
    <hyperlink r:id="rId1017" ref="BJ145"/>
    <hyperlink r:id="rId1018" ref="B146"/>
    <hyperlink r:id="rId1019" ref="BE146"/>
    <hyperlink r:id="rId1020" ref="BJ146"/>
    <hyperlink r:id="rId1021" ref="B147"/>
    <hyperlink r:id="rId1022" ref="BE147"/>
    <hyperlink r:id="rId1023" ref="BJ147"/>
    <hyperlink r:id="rId1024" ref="B148"/>
    <hyperlink r:id="rId1025" ref="BE148"/>
    <hyperlink r:id="rId1026" ref="BJ148"/>
    <hyperlink r:id="rId1027" ref="B149"/>
    <hyperlink r:id="rId1028" ref="BE149"/>
    <hyperlink r:id="rId1029" ref="BJ149"/>
    <hyperlink r:id="rId1030" ref="BE150"/>
    <hyperlink r:id="rId1031" ref="BJ150"/>
    <hyperlink r:id="rId1032" ref="BE151"/>
    <hyperlink r:id="rId1033" ref="BJ151"/>
    <hyperlink r:id="rId1034" ref="BE152"/>
    <hyperlink r:id="rId1035" ref="BJ152"/>
    <hyperlink r:id="rId1036" ref="BE153"/>
    <hyperlink r:id="rId1037" ref="BJ153"/>
    <hyperlink r:id="rId1038" ref="BE154"/>
    <hyperlink r:id="rId1039" ref="BJ154"/>
    <hyperlink r:id="rId1040" ref="BE155"/>
    <hyperlink r:id="rId1041" ref="BJ155"/>
    <hyperlink r:id="rId1042" ref="BE156"/>
    <hyperlink r:id="rId1043" ref="BJ156"/>
    <hyperlink r:id="rId1044" ref="BE157"/>
    <hyperlink r:id="rId1045" ref="BJ157"/>
    <hyperlink r:id="rId1046" ref="BE158"/>
    <hyperlink r:id="rId1047" ref="BJ158"/>
    <hyperlink r:id="rId1048" ref="BE159"/>
    <hyperlink r:id="rId1049" ref="BJ159"/>
    <hyperlink r:id="rId1050" ref="BE160"/>
    <hyperlink r:id="rId1051" ref="BJ160"/>
    <hyperlink r:id="rId1052" ref="BE161"/>
    <hyperlink r:id="rId1053" ref="BJ161"/>
    <hyperlink r:id="rId1054" ref="BE162"/>
    <hyperlink r:id="rId1055" ref="BJ162"/>
    <hyperlink r:id="rId1056" ref="BE163"/>
    <hyperlink r:id="rId1057" ref="BJ163"/>
    <hyperlink r:id="rId1058" ref="BE164"/>
    <hyperlink r:id="rId1059" ref="BJ164"/>
    <hyperlink r:id="rId1060" ref="BE165"/>
    <hyperlink r:id="rId1061" ref="BJ165"/>
    <hyperlink r:id="rId1062" ref="BE166"/>
    <hyperlink r:id="rId1063" ref="BJ166"/>
    <hyperlink r:id="rId1064" ref="BE167"/>
    <hyperlink r:id="rId1065" ref="BJ167"/>
    <hyperlink r:id="rId1066" ref="BE168"/>
    <hyperlink r:id="rId1067" ref="BJ168"/>
    <hyperlink r:id="rId1068" ref="BE169"/>
    <hyperlink r:id="rId1069" ref="BJ169"/>
    <hyperlink r:id="rId1070" ref="BE170"/>
    <hyperlink r:id="rId1071" ref="BJ170"/>
    <hyperlink r:id="rId1072" ref="BE171"/>
    <hyperlink r:id="rId1073" ref="BJ171"/>
    <hyperlink r:id="rId1074" ref="BE172"/>
    <hyperlink r:id="rId1075" ref="BJ172"/>
    <hyperlink r:id="rId1076" ref="BE173"/>
    <hyperlink r:id="rId1077" ref="BJ173"/>
    <hyperlink r:id="rId1078" ref="BE174"/>
    <hyperlink r:id="rId1079" ref="BJ174"/>
    <hyperlink r:id="rId1080" ref="BE175"/>
    <hyperlink r:id="rId1081" ref="BJ175"/>
    <hyperlink r:id="rId1082" ref="BE176"/>
    <hyperlink r:id="rId1083" ref="BJ176"/>
    <hyperlink r:id="rId1084" ref="BE177"/>
    <hyperlink r:id="rId1085" ref="BJ177"/>
    <hyperlink r:id="rId1086" ref="BE178"/>
    <hyperlink r:id="rId1087" ref="BJ178"/>
    <hyperlink r:id="rId1088" ref="BE179"/>
    <hyperlink r:id="rId1089" ref="BJ179"/>
    <hyperlink r:id="rId1090" ref="BE180"/>
    <hyperlink r:id="rId1091" ref="BJ180"/>
    <hyperlink r:id="rId1092" ref="BE181"/>
    <hyperlink r:id="rId1093" ref="BJ181"/>
    <hyperlink r:id="rId1094" ref="BE182"/>
    <hyperlink r:id="rId1095" ref="BJ182"/>
    <hyperlink r:id="rId1096" ref="BE183"/>
    <hyperlink r:id="rId1097" ref="BJ183"/>
    <hyperlink r:id="rId1098" ref="BE184"/>
    <hyperlink r:id="rId1099" ref="BJ184"/>
    <hyperlink r:id="rId1100" ref="BE185"/>
    <hyperlink r:id="rId1101" ref="BJ185"/>
    <hyperlink r:id="rId1102" ref="BE186"/>
    <hyperlink r:id="rId1103" ref="BJ186"/>
    <hyperlink r:id="rId1104" ref="BE187"/>
    <hyperlink r:id="rId1105" ref="BJ187"/>
    <hyperlink r:id="rId1106" ref="BE188"/>
    <hyperlink r:id="rId1107" ref="BJ188"/>
    <hyperlink r:id="rId1108" ref="BE189"/>
    <hyperlink r:id="rId1109" ref="BJ189"/>
    <hyperlink r:id="rId1110" ref="BE190"/>
    <hyperlink r:id="rId1111" ref="BJ190"/>
    <hyperlink r:id="rId1112" ref="BE191"/>
    <hyperlink r:id="rId1113" ref="BJ191"/>
    <hyperlink r:id="rId1114" ref="BE192"/>
    <hyperlink r:id="rId1115" ref="BJ192"/>
    <hyperlink r:id="rId1116" ref="BE193"/>
    <hyperlink r:id="rId1117" ref="BJ193"/>
    <hyperlink r:id="rId1118" ref="BE194"/>
    <hyperlink r:id="rId1119" ref="BJ194"/>
    <hyperlink r:id="rId1120" ref="BE195"/>
    <hyperlink r:id="rId1121" ref="BJ195"/>
    <hyperlink r:id="rId1122" ref="BE196"/>
    <hyperlink r:id="rId1123" ref="BJ196"/>
    <hyperlink r:id="rId1124" ref="BE197"/>
    <hyperlink r:id="rId1125" ref="BJ197"/>
    <hyperlink r:id="rId1126" ref="BE198"/>
    <hyperlink r:id="rId1127" ref="BJ198"/>
    <hyperlink r:id="rId1128" ref="BJ199"/>
    <hyperlink r:id="rId1129" ref="BJ200"/>
    <hyperlink r:id="rId1130" ref="BJ201"/>
    <hyperlink r:id="rId1131" ref="BJ202"/>
    <hyperlink r:id="rId1132" ref="BJ203"/>
    <hyperlink r:id="rId1133" ref="BJ204"/>
    <hyperlink r:id="rId1134" ref="BJ205"/>
    <hyperlink r:id="rId1135" ref="BJ206"/>
    <hyperlink r:id="rId1136" ref="BJ207"/>
    <hyperlink r:id="rId1137" ref="BJ208"/>
    <hyperlink r:id="rId1138" ref="BJ209"/>
    <hyperlink r:id="rId1139" ref="BJ210"/>
    <hyperlink r:id="rId1140" ref="BJ211"/>
    <hyperlink r:id="rId1141" ref="BJ212"/>
    <hyperlink r:id="rId1142" ref="BJ213"/>
    <hyperlink r:id="rId1143" ref="BJ214"/>
    <hyperlink r:id="rId1144" ref="BJ215"/>
    <hyperlink r:id="rId1145" ref="BJ216"/>
    <hyperlink r:id="rId1146" ref="BJ217"/>
    <hyperlink r:id="rId1147" ref="BJ218"/>
    <hyperlink r:id="rId1148" ref="BJ219"/>
    <hyperlink r:id="rId1149" ref="BJ220"/>
    <hyperlink r:id="rId1150" ref="BJ221"/>
    <hyperlink r:id="rId1151" ref="BJ222"/>
    <hyperlink r:id="rId1152" ref="BJ223"/>
    <hyperlink r:id="rId1153" ref="BJ224"/>
    <hyperlink r:id="rId1154" ref="BJ225"/>
    <hyperlink r:id="rId1155" ref="BJ226"/>
    <hyperlink r:id="rId1156" ref="BJ227"/>
    <hyperlink r:id="rId1157" ref="BJ228"/>
    <hyperlink r:id="rId1158" ref="BJ229"/>
    <hyperlink r:id="rId1159" ref="BJ230"/>
    <hyperlink r:id="rId1160" ref="BJ231"/>
    <hyperlink r:id="rId1161" ref="BJ232"/>
    <hyperlink r:id="rId1162" ref="BJ233"/>
    <hyperlink r:id="rId1163" ref="BJ234"/>
    <hyperlink r:id="rId1164" ref="BJ235"/>
    <hyperlink r:id="rId1165" ref="BJ236"/>
    <hyperlink r:id="rId1166" ref="BJ237"/>
    <hyperlink r:id="rId1167" ref="BJ238"/>
    <hyperlink r:id="rId1168" ref="BJ239"/>
    <hyperlink r:id="rId1169" ref="BJ240"/>
    <hyperlink r:id="rId1170" ref="BJ241"/>
    <hyperlink r:id="rId1171" ref="BJ242"/>
    <hyperlink r:id="rId1172" ref="BJ243"/>
    <hyperlink r:id="rId1173" ref="BJ244"/>
    <hyperlink r:id="rId1174" ref="BJ245"/>
    <hyperlink r:id="rId1175" ref="BJ246"/>
    <hyperlink r:id="rId1176" ref="BJ247"/>
    <hyperlink r:id="rId1177" ref="BJ248"/>
    <hyperlink r:id="rId1178" ref="BJ249"/>
    <hyperlink r:id="rId1179" ref="BJ250"/>
    <hyperlink r:id="rId1180" ref="BJ251"/>
    <hyperlink r:id="rId1181" ref="BJ252"/>
    <hyperlink r:id="rId1182" ref="BJ253"/>
    <hyperlink r:id="rId1183" ref="BJ254"/>
    <hyperlink r:id="rId1184" ref="BJ255"/>
    <hyperlink r:id="rId1185" ref="BJ256"/>
    <hyperlink r:id="rId1186" ref="BJ257"/>
    <hyperlink r:id="rId1187" ref="BJ258"/>
    <hyperlink r:id="rId1188" ref="BJ259"/>
    <hyperlink r:id="rId1189" ref="BJ260"/>
    <hyperlink r:id="rId1190" ref="BJ261"/>
    <hyperlink r:id="rId1191" ref="BJ262"/>
    <hyperlink r:id="rId1192" ref="BJ263"/>
    <hyperlink r:id="rId1193" ref="BJ264"/>
  </hyperlinks>
  <drawing r:id="rId1194"/>
  <legacyDrawing r:id="rId11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8" max="8" width="138.38"/>
    <col customWidth="1" min="11" max="11" width="39.63"/>
  </cols>
  <sheetData>
    <row r="1">
      <c r="A1" s="61" t="s">
        <v>2673</v>
      </c>
      <c r="B1" s="61" t="s">
        <v>0</v>
      </c>
      <c r="C1" s="61" t="s">
        <v>2674</v>
      </c>
      <c r="E1" s="61" t="s">
        <v>2675</v>
      </c>
      <c r="H1" s="62"/>
      <c r="I1" s="63"/>
    </row>
    <row r="2">
      <c r="A2" s="61">
        <v>1.0</v>
      </c>
      <c r="B2" s="64" t="str">
        <f>Sheet1!A3</f>
        <v>clairelysse</v>
      </c>
      <c r="C2" s="61">
        <v>1.0</v>
      </c>
      <c r="E2" s="64" t="str">
        <f t="array" ref="E2:E239">UNIQUE(B2:B1047)</f>
        <v>clairelysse</v>
      </c>
      <c r="F2" s="64" t="str">
        <f>IFERROR(__xludf.DUMMYFUNCTION("TEXTJOIN("", "", TRUE, FILTER(C:C, B:B=E2))"),"1")</f>
        <v>1</v>
      </c>
      <c r="H2" s="62"/>
      <c r="I2" s="63"/>
    </row>
    <row r="3">
      <c r="A3" s="61">
        <v>2.0</v>
      </c>
      <c r="B3" s="64" t="str">
        <f>Sheet1!A4</f>
        <v>thehanniediaries</v>
      </c>
      <c r="C3" s="61">
        <v>1.0</v>
      </c>
      <c r="E3" s="64" t="s">
        <v>51</v>
      </c>
      <c r="F3" s="64" t="str">
        <f>IFERROR(__xludf.DUMMYFUNCTION("TEXTJOIN("", "", TRUE, FILTER(C:C, B:B=E3))"),"1")</f>
        <v>1</v>
      </c>
      <c r="H3" s="62"/>
      <c r="I3" s="63"/>
    </row>
    <row r="4">
      <c r="A4" s="61">
        <v>3.0</v>
      </c>
      <c r="B4" s="64" t="str">
        <f>Sheet1!A5</f>
        <v>k.wamp</v>
      </c>
      <c r="C4" s="61">
        <v>1.0</v>
      </c>
      <c r="E4" s="64" t="s">
        <v>82</v>
      </c>
      <c r="F4" s="64" t="str">
        <f>IFERROR(__xludf.DUMMYFUNCTION("TEXTJOIN("", "", TRUE, FILTER(C:C, B:B=E4))"),"1")</f>
        <v>1</v>
      </c>
      <c r="H4" s="62"/>
      <c r="I4" s="63"/>
    </row>
    <row r="5">
      <c r="A5" s="61">
        <v>4.0</v>
      </c>
      <c r="B5" s="64" t="str">
        <f>Sheet1!A6</f>
        <v>momshieodille</v>
      </c>
      <c r="C5" s="61">
        <v>1.0</v>
      </c>
      <c r="E5" s="64" t="s">
        <v>113</v>
      </c>
      <c r="F5" s="64" t="str">
        <f>IFERROR(__xludf.DUMMYFUNCTION("TEXTJOIN("", "", TRUE, FILTER(C:C, B:B=E5))"),"1")</f>
        <v>1</v>
      </c>
      <c r="H5" s="62"/>
      <c r="I5" s="63"/>
    </row>
    <row r="6">
      <c r="A6" s="61">
        <v>5.0</v>
      </c>
      <c r="B6" s="64" t="str">
        <f>Sheet1!A7</f>
        <v>gelamac_</v>
      </c>
      <c r="C6" s="61">
        <v>1.0</v>
      </c>
      <c r="E6" s="64" t="s">
        <v>145</v>
      </c>
      <c r="F6" s="64" t="str">
        <f>IFERROR(__xludf.DUMMYFUNCTION("TEXTJOIN("", "", TRUE, FILTER(C:C, B:B=E6))"),"1")</f>
        <v>1</v>
      </c>
      <c r="H6" s="62"/>
      <c r="I6" s="63"/>
    </row>
    <row r="7">
      <c r="A7" s="61">
        <v>6.0</v>
      </c>
      <c r="B7" s="64" t="str">
        <f>Sheet1!A8</f>
        <v>ateshi___</v>
      </c>
      <c r="C7" s="61">
        <v>1.0</v>
      </c>
      <c r="E7" s="64" t="s">
        <v>173</v>
      </c>
      <c r="F7" s="64" t="str">
        <f>IFERROR(__xludf.DUMMYFUNCTION("TEXTJOIN("", "", TRUE, FILTER(C:C, B:B=E7))"),"1")</f>
        <v>1</v>
      </c>
      <c r="H7" s="62"/>
      <c r="I7" s="63"/>
    </row>
    <row r="8">
      <c r="A8" s="61">
        <v>7.0</v>
      </c>
      <c r="B8" s="64" t="str">
        <f>Sheet1!A9</f>
        <v>adv.maris</v>
      </c>
      <c r="C8" s="61">
        <v>1.0</v>
      </c>
      <c r="E8" s="64" t="s">
        <v>202</v>
      </c>
      <c r="F8" s="64" t="str">
        <f>IFERROR(__xludf.DUMMYFUNCTION("TEXTJOIN("", "", TRUE, FILTER(C:C, B:B=E8))"),"1")</f>
        <v>1</v>
      </c>
      <c r="H8" s="62"/>
      <c r="I8" s="63"/>
    </row>
    <row r="9">
      <c r="A9" s="61">
        <v>8.0</v>
      </c>
      <c r="B9" s="64" t="str">
        <f>Sheet1!A10</f>
        <v>paige.braude</v>
      </c>
      <c r="C9" s="61">
        <v>1.0</v>
      </c>
      <c r="E9" s="64" t="s">
        <v>229</v>
      </c>
      <c r="F9" s="64" t="str">
        <f>IFERROR(__xludf.DUMMYFUNCTION("TEXTJOIN("", "", TRUE, FILTER(C:C, B:B=E9))"),"1")</f>
        <v>1</v>
      </c>
      <c r="H9" s="62"/>
      <c r="I9" s="63"/>
    </row>
    <row r="10">
      <c r="A10" s="61">
        <v>9.0</v>
      </c>
      <c r="B10" s="64" t="str">
        <f>Sheet1!A11</f>
        <v>maligoshik</v>
      </c>
      <c r="C10" s="61">
        <v>1.0</v>
      </c>
      <c r="E10" s="64" t="s">
        <v>260</v>
      </c>
      <c r="F10" s="64" t="str">
        <f>IFERROR(__xludf.DUMMYFUNCTION("TEXTJOIN("", "", TRUE, FILTER(C:C, B:B=E10))"),"1")</f>
        <v>1</v>
      </c>
      <c r="H10" s="62"/>
      <c r="I10" s="63"/>
    </row>
    <row r="11">
      <c r="A11" s="61">
        <v>10.0</v>
      </c>
      <c r="B11" s="64" t="str">
        <f>Sheet1!A12</f>
        <v>yas.francis</v>
      </c>
      <c r="C11" s="61">
        <v>1.0</v>
      </c>
      <c r="E11" s="64" t="s">
        <v>288</v>
      </c>
      <c r="F11" s="64" t="str">
        <f>IFERROR(__xludf.DUMMYFUNCTION("TEXTJOIN("", "", TRUE, FILTER(C:C, B:B=E11))"),"1")</f>
        <v>1</v>
      </c>
      <c r="H11" s="62"/>
      <c r="I11" s="63"/>
    </row>
    <row r="12">
      <c r="A12" s="61">
        <v>11.0</v>
      </c>
      <c r="B12" s="64" t="str">
        <f>Sheet1!A13</f>
        <v>griffith_uni</v>
      </c>
      <c r="C12" s="61">
        <v>1.0</v>
      </c>
      <c r="E12" s="64" t="s">
        <v>315</v>
      </c>
      <c r="F12" s="64" t="str">
        <f>IFERROR(__xludf.DUMMYFUNCTION("TEXTJOIN("", "", TRUE, FILTER(C:C, B:B=E12))"),"1")</f>
        <v>1</v>
      </c>
      <c r="H12" s="62"/>
      <c r="I12" s="63"/>
    </row>
    <row r="13">
      <c r="A13" s="61">
        <v>12.0</v>
      </c>
      <c r="B13" s="64" t="str">
        <f>Sheet1!A14</f>
        <v>joeando</v>
      </c>
      <c r="C13" s="61">
        <v>1.0</v>
      </c>
      <c r="E13" s="64" t="s">
        <v>342</v>
      </c>
      <c r="F13" s="64" t="str">
        <f>IFERROR(__xludf.DUMMYFUNCTION("TEXTJOIN("", "", TRUE, FILTER(C:C, B:B=E13))"),"1")</f>
        <v>1</v>
      </c>
      <c r="H13" s="62"/>
      <c r="I13" s="63"/>
    </row>
    <row r="14">
      <c r="A14" s="61">
        <v>13.0</v>
      </c>
      <c r="B14" s="64" t="str">
        <f>Sheet1!A15</f>
        <v>victoriaxmariah</v>
      </c>
      <c r="C14" s="61">
        <v>1.0</v>
      </c>
      <c r="E14" s="64" t="s">
        <v>371</v>
      </c>
      <c r="F14" s="64" t="str">
        <f>IFERROR(__xludf.DUMMYFUNCTION("TEXTJOIN("", "", TRUE, FILTER(C:C, B:B=E14))"),"1")</f>
        <v>1</v>
      </c>
      <c r="H14" s="62"/>
      <c r="I14" s="63"/>
    </row>
    <row r="15">
      <c r="A15" s="61">
        <v>14.0</v>
      </c>
      <c r="B15" s="64" t="str">
        <f>Sheet1!A16</f>
        <v>volkswagensg</v>
      </c>
      <c r="C15" s="61">
        <v>1.0</v>
      </c>
      <c r="E15" s="64" t="s">
        <v>401</v>
      </c>
      <c r="F15" s="64" t="str">
        <f>IFERROR(__xludf.DUMMYFUNCTION("TEXTJOIN("", "", TRUE, FILTER(C:C, B:B=E15))"),"1")</f>
        <v>1</v>
      </c>
      <c r="H15" s="62"/>
      <c r="I15" s="63"/>
    </row>
    <row r="16">
      <c r="A16" s="61">
        <v>15.0</v>
      </c>
      <c r="B16" s="64" t="str">
        <f>Sheet1!A17</f>
        <v>anna.antonje</v>
      </c>
      <c r="C16" s="61">
        <v>1.0</v>
      </c>
      <c r="E16" s="64" t="s">
        <v>431</v>
      </c>
      <c r="F16" s="64" t="str">
        <f>IFERROR(__xludf.DUMMYFUNCTION("TEXTJOIN("", "", TRUE, FILTER(C:C, B:B=E16))"),"1")</f>
        <v>1</v>
      </c>
      <c r="H16" s="62"/>
      <c r="I16" s="63"/>
    </row>
    <row r="17">
      <c r="A17" s="61">
        <v>16.0</v>
      </c>
      <c r="B17" s="64" t="str">
        <f>Sheet1!A18</f>
        <v>ambardriscoll</v>
      </c>
      <c r="C17" s="61">
        <v>1.0</v>
      </c>
      <c r="E17" s="64" t="s">
        <v>458</v>
      </c>
      <c r="F17" s="64" t="str">
        <f>IFERROR(__xludf.DUMMYFUNCTION("TEXTJOIN("", "", TRUE, FILTER(C:C, B:B=E17))"),"1")</f>
        <v>1</v>
      </c>
      <c r="H17" s="62"/>
      <c r="I17" s="63"/>
    </row>
    <row r="18">
      <c r="A18" s="61">
        <v>17.0</v>
      </c>
      <c r="B18" s="65" t="str">
        <f>Sheet1!A19</f>
        <v>samanthaysabel.co</v>
      </c>
      <c r="C18" s="61">
        <v>1.0</v>
      </c>
      <c r="E18" s="65" t="s">
        <v>491</v>
      </c>
      <c r="F18" s="64" t="str">
        <f>IFERROR(__xludf.DUMMYFUNCTION("TEXTJOIN("", "", TRUE, FILTER(C:C, B:B=E18))"),"1")</f>
        <v>1</v>
      </c>
      <c r="H18" s="62"/>
      <c r="I18" s="63"/>
    </row>
    <row r="19">
      <c r="A19" s="61">
        <v>18.0</v>
      </c>
      <c r="B19" s="64" t="str">
        <f>Sheet1!A20</f>
        <v>love.maceee</v>
      </c>
      <c r="C19" s="61">
        <v>1.0</v>
      </c>
      <c r="E19" s="64" t="s">
        <v>521</v>
      </c>
      <c r="F19" s="64" t="str">
        <f>IFERROR(__xludf.DUMMYFUNCTION("TEXTJOIN("", "", TRUE, FILTER(C:C, B:B=E19))"),"1")</f>
        <v>1</v>
      </c>
      <c r="H19" s="62"/>
      <c r="I19" s="63"/>
    </row>
    <row r="20">
      <c r="A20" s="61">
        <v>19.0</v>
      </c>
      <c r="B20" s="64" t="str">
        <f>Sheet1!A21</f>
        <v>lifeaszeph</v>
      </c>
      <c r="C20" s="61">
        <v>1.0</v>
      </c>
      <c r="E20" s="64" t="s">
        <v>548</v>
      </c>
      <c r="F20" s="64" t="str">
        <f>IFERROR(__xludf.DUMMYFUNCTION("TEXTJOIN("", "", TRUE, FILTER(C:C, B:B=E20))"),"1")</f>
        <v>1</v>
      </c>
      <c r="H20" s="62"/>
      <c r="I20" s="63"/>
    </row>
    <row r="21">
      <c r="A21" s="61">
        <v>20.0</v>
      </c>
      <c r="B21" s="64" t="str">
        <f>Sheet1!A23</f>
        <v>nikki.gott</v>
      </c>
      <c r="C21" s="61">
        <v>1.0</v>
      </c>
      <c r="E21" s="64" t="s">
        <v>608</v>
      </c>
      <c r="F21" s="64" t="str">
        <f>IFERROR(__xludf.DUMMYFUNCTION("TEXTJOIN("", "", TRUE, FILTER(C:C, B:B=E21))"),"1")</f>
        <v>1</v>
      </c>
      <c r="H21" s="62"/>
      <c r="I21" s="63"/>
    </row>
    <row r="22">
      <c r="A22" s="61">
        <v>21.0</v>
      </c>
      <c r="B22" s="64" t="str">
        <f>Sheet1!F3</f>
        <v>troubelleee</v>
      </c>
      <c r="C22" s="61">
        <v>2.0</v>
      </c>
      <c r="E22" s="64" t="s">
        <v>22</v>
      </c>
      <c r="F22" s="64" t="str">
        <f>IFERROR(__xludf.DUMMYFUNCTION("TEXTJOIN("", "", TRUE, FILTER(C:C, B:B=E22))"),"2")</f>
        <v>2</v>
      </c>
      <c r="H22" s="62"/>
      <c r="I22" s="63"/>
    </row>
    <row r="23">
      <c r="A23" s="61">
        <v>22.0</v>
      </c>
      <c r="B23" s="64" t="str">
        <f>Sheet1!F4</f>
        <v>f_fabes</v>
      </c>
      <c r="C23" s="61">
        <v>2.0</v>
      </c>
      <c r="E23" s="64" t="s">
        <v>54</v>
      </c>
      <c r="F23" s="64" t="str">
        <f>IFERROR(__xludf.DUMMYFUNCTION("TEXTJOIN("", "", TRUE, FILTER(C:C, B:B=E23))"),"2")</f>
        <v>2</v>
      </c>
      <c r="H23" s="62"/>
      <c r="I23" s="63"/>
    </row>
    <row r="24">
      <c r="A24" s="61">
        <v>23.0</v>
      </c>
      <c r="B24" s="64" t="str">
        <f>Sheet1!F5</f>
        <v>mjhaidel</v>
      </c>
      <c r="C24" s="61">
        <v>2.0</v>
      </c>
      <c r="E24" s="64" t="s">
        <v>85</v>
      </c>
      <c r="F24" s="64" t="str">
        <f>IFERROR(__xludf.DUMMYFUNCTION("TEXTJOIN("", "", TRUE, FILTER(C:C, B:B=E24))"),"2")</f>
        <v>2</v>
      </c>
      <c r="H24" s="62"/>
      <c r="I24" s="63"/>
    </row>
    <row r="25">
      <c r="A25" s="61">
        <v>24.0</v>
      </c>
      <c r="B25" s="64" t="str">
        <f>Sheet1!F6</f>
        <v>sukishiyokoo</v>
      </c>
      <c r="C25" s="61">
        <v>2.0</v>
      </c>
      <c r="E25" s="64" t="s">
        <v>116</v>
      </c>
      <c r="F25" s="64" t="str">
        <f>IFERROR(__xludf.DUMMYFUNCTION("TEXTJOIN("", "", TRUE, FILTER(C:C, B:B=E25))"),"2")</f>
        <v>2</v>
      </c>
      <c r="H25" s="62"/>
      <c r="I25" s="63"/>
    </row>
    <row r="26">
      <c r="A26" s="61">
        <v>25.0</v>
      </c>
      <c r="B26" s="64" t="str">
        <f>Sheet1!F7</f>
        <v>nvocal123</v>
      </c>
      <c r="C26" s="61">
        <v>2.0</v>
      </c>
      <c r="E26" s="64" t="s">
        <v>148</v>
      </c>
      <c r="F26" s="64" t="str">
        <f>IFERROR(__xludf.DUMMYFUNCTION("TEXTJOIN("", "", TRUE, FILTER(C:C, B:B=E26))"),"2")</f>
        <v>2</v>
      </c>
      <c r="H26" s="62"/>
      <c r="I26" s="63"/>
    </row>
    <row r="27">
      <c r="A27" s="61">
        <v>26.0</v>
      </c>
      <c r="B27" s="64" t="str">
        <f>Sheet1!F8</f>
        <v>chobaniflippp</v>
      </c>
      <c r="C27" s="61">
        <v>2.0</v>
      </c>
      <c r="E27" s="64" t="s">
        <v>175</v>
      </c>
      <c r="F27" s="64" t="str">
        <f>IFERROR(__xludf.DUMMYFUNCTION("TEXTJOIN("", "", TRUE, FILTER(C:C, B:B=E27))"),"2")</f>
        <v>2</v>
      </c>
      <c r="H27" s="62"/>
      <c r="I27" s="63"/>
    </row>
    <row r="28">
      <c r="A28" s="61">
        <v>27.0</v>
      </c>
      <c r="B28" s="64" t="str">
        <f>Sheet1!F9</f>
        <v>just_thaing</v>
      </c>
      <c r="C28" s="61">
        <v>2.0</v>
      </c>
      <c r="E28" s="64" t="s">
        <v>204</v>
      </c>
      <c r="F28" s="64" t="str">
        <f>IFERROR(__xludf.DUMMYFUNCTION("TEXTJOIN("", "", TRUE, FILTER(C:C, B:B=E28))"),"2")</f>
        <v>2</v>
      </c>
      <c r="H28" s="62"/>
      <c r="I28" s="63"/>
    </row>
    <row r="29">
      <c r="A29" s="61">
        <v>28.0</v>
      </c>
      <c r="B29" s="64" t="str">
        <f>Sheet1!F10</f>
        <v>heytrishadae</v>
      </c>
      <c r="C29" s="61">
        <v>2.0</v>
      </c>
      <c r="E29" s="64" t="s">
        <v>232</v>
      </c>
      <c r="F29" s="64" t="str">
        <f>IFERROR(__xludf.DUMMYFUNCTION("TEXTJOIN("", "", TRUE, FILTER(C:C, B:B=E29))"),"2")</f>
        <v>2</v>
      </c>
      <c r="H29" s="62"/>
      <c r="I29" s="63"/>
    </row>
    <row r="30">
      <c r="A30" s="61">
        <v>29.0</v>
      </c>
      <c r="B30" s="64" t="str">
        <f>Sheet1!F11</f>
        <v>aa.nomnoms</v>
      </c>
      <c r="C30" s="61">
        <v>2.0</v>
      </c>
      <c r="E30" s="64" t="s">
        <v>263</v>
      </c>
      <c r="F30" s="64" t="str">
        <f>IFERROR(__xludf.DUMMYFUNCTION("TEXTJOIN("", "", TRUE, FILTER(C:C, B:B=E30))"),"2")</f>
        <v>2</v>
      </c>
      <c r="H30" s="62"/>
      <c r="I30" s="63"/>
    </row>
    <row r="31">
      <c r="A31" s="61">
        <v>30.0</v>
      </c>
      <c r="B31" s="64" t="str">
        <f>Sheet1!F12</f>
        <v>_joemommaaa</v>
      </c>
      <c r="C31" s="61">
        <v>2.0</v>
      </c>
      <c r="E31" s="64" t="s">
        <v>291</v>
      </c>
      <c r="F31" s="64" t="str">
        <f>IFERROR(__xludf.DUMMYFUNCTION("TEXTJOIN("", "", TRUE, FILTER(C:C, B:B=E31))"),"2")</f>
        <v>2</v>
      </c>
      <c r="H31" s="62"/>
      <c r="I31" s="63"/>
    </row>
    <row r="32">
      <c r="A32" s="61">
        <v>31.0</v>
      </c>
      <c r="B32" s="64" t="str">
        <f>Sheet1!F13</f>
        <v>_zxick</v>
      </c>
      <c r="C32" s="61">
        <v>2.0</v>
      </c>
      <c r="E32" s="64" t="s">
        <v>317</v>
      </c>
      <c r="F32" s="64" t="str">
        <f>IFERROR(__xludf.DUMMYFUNCTION("TEXTJOIN("", "", TRUE, FILTER(C:C, B:B=E32))"),"2")</f>
        <v>2</v>
      </c>
      <c r="H32" s="62"/>
      <c r="I32" s="63"/>
    </row>
    <row r="33">
      <c r="A33" s="61">
        <v>32.0</v>
      </c>
      <c r="B33" s="64" t="str">
        <f>Sheet1!F14</f>
        <v>teoandsheks</v>
      </c>
      <c r="C33" s="61">
        <v>2.0</v>
      </c>
      <c r="E33" s="64" t="s">
        <v>344</v>
      </c>
      <c r="F33" s="64" t="str">
        <f>IFERROR(__xludf.DUMMYFUNCTION("TEXTJOIN("", "", TRUE, FILTER(C:C, B:B=E33))"),"2")</f>
        <v>2</v>
      </c>
      <c r="H33" s="62"/>
      <c r="I33" s="63"/>
    </row>
    <row r="34">
      <c r="A34" s="61">
        <v>33.0</v>
      </c>
      <c r="B34" s="64" t="str">
        <f>Sheet1!F15</f>
        <v>inigojap</v>
      </c>
      <c r="C34" s="61">
        <v>2.0</v>
      </c>
      <c r="E34" s="64" t="s">
        <v>373</v>
      </c>
      <c r="F34" s="64" t="str">
        <f>IFERROR(__xludf.DUMMYFUNCTION("TEXTJOIN("", "", TRUE, FILTER(C:C, B:B=E34))"),"2")</f>
        <v>2</v>
      </c>
      <c r="H34" s="62"/>
      <c r="I34" s="63"/>
    </row>
    <row r="35">
      <c r="A35" s="61">
        <v>34.0</v>
      </c>
      <c r="B35" s="64" t="str">
        <f>Sheet1!F16</f>
        <v>gl_jz</v>
      </c>
      <c r="C35" s="61">
        <v>2.0</v>
      </c>
      <c r="E35" s="64" t="s">
        <v>403</v>
      </c>
      <c r="F35" s="64" t="str">
        <f>IFERROR(__xludf.DUMMYFUNCTION("TEXTJOIN("", "", TRUE, FILTER(C:C, B:B=E35))"),"2")</f>
        <v>2</v>
      </c>
      <c r="H35" s="62"/>
      <c r="I35" s="63"/>
    </row>
    <row r="36">
      <c r="A36" s="61">
        <v>35.0</v>
      </c>
      <c r="B36" s="64" t="str">
        <f>Sheet1!F17</f>
        <v>thisjenngirl</v>
      </c>
      <c r="C36" s="61">
        <v>2.0</v>
      </c>
      <c r="E36" s="64" t="s">
        <v>433</v>
      </c>
      <c r="F36" s="64" t="str">
        <f>IFERROR(__xludf.DUMMYFUNCTION("TEXTJOIN("", "", TRUE, FILTER(C:C, B:B=E36))"),"2")</f>
        <v>2</v>
      </c>
      <c r="H36" s="62"/>
      <c r="I36" s="63"/>
    </row>
    <row r="37">
      <c r="A37" s="61">
        <v>36.0</v>
      </c>
      <c r="B37" s="64" t="str">
        <f>Sheet1!F18</f>
        <v>clairealexistiu</v>
      </c>
      <c r="C37" s="61">
        <v>2.0</v>
      </c>
      <c r="E37" s="64" t="s">
        <v>461</v>
      </c>
      <c r="F37" s="64" t="str">
        <f>IFERROR(__xludf.DUMMYFUNCTION("TEXTJOIN("", "", TRUE, FILTER(C:C, B:B=E37))"),"2")</f>
        <v>2</v>
      </c>
      <c r="H37" s="62"/>
      <c r="I37" s="63"/>
    </row>
    <row r="38">
      <c r="A38" s="61">
        <v>37.0</v>
      </c>
      <c r="B38" s="64" t="str">
        <f>Sheet1!F19</f>
        <v>allisonmrey</v>
      </c>
      <c r="C38" s="61">
        <v>2.0</v>
      </c>
      <c r="E38" s="64" t="s">
        <v>493</v>
      </c>
      <c r="F38" s="64" t="str">
        <f>IFERROR(__xludf.DUMMYFUNCTION("TEXTJOIN("", "", TRUE, FILTER(C:C, B:B=E38))"),"2")</f>
        <v>2</v>
      </c>
      <c r="H38" s="62"/>
      <c r="I38" s="63"/>
    </row>
    <row r="39">
      <c r="A39" s="61">
        <v>38.0</v>
      </c>
      <c r="B39" s="64" t="str">
        <f>Sheet1!F20</f>
        <v>thecabrerafam</v>
      </c>
      <c r="C39" s="61">
        <v>2.0</v>
      </c>
      <c r="E39" s="64" t="s">
        <v>523</v>
      </c>
      <c r="F39" s="64" t="str">
        <f>IFERROR(__xludf.DUMMYFUNCTION("TEXTJOIN("", "", TRUE, FILTER(C:C, B:B=E39))"),"2")</f>
        <v>2</v>
      </c>
      <c r="H39" s="62"/>
      <c r="I39" s="63"/>
    </row>
    <row r="40">
      <c r="A40" s="61">
        <v>39.0</v>
      </c>
      <c r="B40" s="64" t="str">
        <f>Sheet1!F21</f>
        <v>thekadproject</v>
      </c>
      <c r="C40" s="61">
        <v>2.0</v>
      </c>
      <c r="E40" s="64" t="s">
        <v>551</v>
      </c>
      <c r="F40" s="64" t="str">
        <f>IFERROR(__xludf.DUMMYFUNCTION("TEXTJOIN("", "", TRUE, FILTER(C:C, B:B=E40))"),"2")</f>
        <v>2</v>
      </c>
      <c r="H40" s="62"/>
      <c r="I40" s="63"/>
    </row>
    <row r="41">
      <c r="A41" s="61">
        <v>40.0</v>
      </c>
      <c r="B41" s="64" t="str">
        <f>Sheet1!F22</f>
        <v>marcodaos</v>
      </c>
      <c r="C41" s="61">
        <v>2.0</v>
      </c>
      <c r="E41" s="64" t="s">
        <v>581</v>
      </c>
      <c r="F41" s="64" t="str">
        <f>IFERROR(__xludf.DUMMYFUNCTION("TEXTJOIN("", "", TRUE, FILTER(C:C, B:B=E41))"),"2")</f>
        <v>2</v>
      </c>
      <c r="H41" s="62"/>
      <c r="I41" s="63"/>
    </row>
    <row r="42">
      <c r="A42" s="61">
        <v>41.0</v>
      </c>
      <c r="B42" s="64" t="str">
        <f>Sheet1!K3</f>
        <v>ravethecrave</v>
      </c>
      <c r="C42" s="61">
        <v>3.0</v>
      </c>
      <c r="E42" s="64" t="s">
        <v>25</v>
      </c>
      <c r="F42" s="64" t="str">
        <f>IFERROR(__xludf.DUMMYFUNCTION("TEXTJOIN("", "", TRUE, FILTER(C:C, B:B=E42))"),"3")</f>
        <v>3</v>
      </c>
      <c r="H42" s="62"/>
      <c r="I42" s="63"/>
    </row>
    <row r="43">
      <c r="A43" s="61">
        <v>42.0</v>
      </c>
      <c r="B43" s="64" t="str">
        <f>Sheet1!K4</f>
        <v>adelinehkim</v>
      </c>
      <c r="C43" s="61">
        <v>3.0</v>
      </c>
      <c r="E43" s="64" t="s">
        <v>56</v>
      </c>
      <c r="F43" s="64" t="str">
        <f>IFERROR(__xludf.DUMMYFUNCTION("TEXTJOIN("", "", TRUE, FILTER(C:C, B:B=E43))"),"3")</f>
        <v>3</v>
      </c>
      <c r="H43" s="62"/>
      <c r="I43" s="63"/>
    </row>
    <row r="44">
      <c r="A44" s="61">
        <v>43.0</v>
      </c>
      <c r="B44" s="64" t="str">
        <f>Sheet1!K5</f>
        <v>sarahh.ongg</v>
      </c>
      <c r="C44" s="61">
        <v>3.0</v>
      </c>
      <c r="E44" s="64" t="s">
        <v>87</v>
      </c>
      <c r="F44" s="64" t="str">
        <f>IFERROR(__xludf.DUMMYFUNCTION("TEXTJOIN("", "", TRUE, FILTER(C:C, B:B=E44))"),"3")</f>
        <v>3</v>
      </c>
      <c r="H44" s="62"/>
      <c r="I44" s="63"/>
    </row>
    <row r="45">
      <c r="A45" s="61">
        <v>44.0</v>
      </c>
      <c r="B45" s="64" t="str">
        <f>Sheet1!K6</f>
        <v>dailydoseofjos</v>
      </c>
      <c r="C45" s="61">
        <v>3.0</v>
      </c>
      <c r="E45" s="64" t="s">
        <v>118</v>
      </c>
      <c r="F45" s="64" t="str">
        <f>IFERROR(__xludf.DUMMYFUNCTION("TEXTJOIN("", "", TRUE, FILTER(C:C, B:B=E45))"),"3")</f>
        <v>3</v>
      </c>
      <c r="H45" s="62"/>
      <c r="I45" s="63"/>
    </row>
    <row r="46">
      <c r="A46" s="61">
        <v>45.0</v>
      </c>
      <c r="B46" s="64" t="str">
        <f>Sheet1!K7</f>
        <v>sarahmgaeta</v>
      </c>
      <c r="C46" s="61">
        <v>3.0</v>
      </c>
      <c r="E46" s="64" t="s">
        <v>150</v>
      </c>
      <c r="F46" s="64" t="str">
        <f>IFERROR(__xludf.DUMMYFUNCTION("TEXTJOIN("", "", TRUE, FILTER(C:C, B:B=E46))"),"3")</f>
        <v>3</v>
      </c>
      <c r="H46" s="62"/>
      <c r="I46" s="63"/>
    </row>
    <row r="47">
      <c r="A47" s="61">
        <v>46.0</v>
      </c>
      <c r="B47" s="64" t="str">
        <f>Sheet1!K8</f>
        <v>caitlinandbecca1</v>
      </c>
      <c r="C47" s="61">
        <v>3.0</v>
      </c>
      <c r="E47" s="64" t="s">
        <v>178</v>
      </c>
      <c r="F47" s="64" t="str">
        <f>IFERROR(__xludf.DUMMYFUNCTION("TEXTJOIN("", "", TRUE, FILTER(C:C, B:B=E47))"),"3")</f>
        <v>3</v>
      </c>
      <c r="H47" s="62"/>
      <c r="I47" s="63"/>
    </row>
    <row r="48">
      <c r="A48" s="61">
        <v>47.0</v>
      </c>
      <c r="B48" s="64" t="str">
        <f>Sheet1!K9</f>
        <v>delfinarn</v>
      </c>
      <c r="C48" s="61">
        <v>3.0</v>
      </c>
      <c r="E48" s="64" t="s">
        <v>206</v>
      </c>
      <c r="F48" s="64" t="str">
        <f>IFERROR(__xludf.DUMMYFUNCTION("TEXTJOIN("", "", TRUE, FILTER(C:C, B:B=E48))"),"3")</f>
        <v>3</v>
      </c>
      <c r="H48" s="62"/>
      <c r="I48" s="63"/>
    </row>
    <row r="49">
      <c r="A49" s="61">
        <v>48.0</v>
      </c>
      <c r="B49" s="64" t="str">
        <f>Sheet1!K10</f>
        <v>abigailcraig</v>
      </c>
      <c r="C49" s="61">
        <v>3.0</v>
      </c>
      <c r="E49" s="64" t="s">
        <v>234</v>
      </c>
      <c r="F49" s="64" t="str">
        <f>IFERROR(__xludf.DUMMYFUNCTION("TEXTJOIN("", "", TRUE, FILTER(C:C, B:B=E49))"),"3")</f>
        <v>3</v>
      </c>
      <c r="H49" s="62"/>
      <c r="I49" s="63"/>
    </row>
    <row r="50">
      <c r="A50" s="61">
        <v>49.0</v>
      </c>
      <c r="B50" s="64" t="str">
        <f>Sheet1!K11</f>
        <v>laurwholooks4</v>
      </c>
      <c r="C50" s="61">
        <v>3.0</v>
      </c>
      <c r="E50" s="64" t="s">
        <v>265</v>
      </c>
      <c r="F50" s="64" t="str">
        <f>IFERROR(__xludf.DUMMYFUNCTION("TEXTJOIN("", "", TRUE, FILTER(C:C, B:B=E50))"),"3")</f>
        <v>3</v>
      </c>
      <c r="H50" s="62"/>
      <c r="I50" s="63"/>
    </row>
    <row r="51">
      <c r="A51" s="61">
        <v>50.0</v>
      </c>
      <c r="B51" s="64" t="str">
        <f>Sheet1!K12</f>
        <v>mercedes.pomerleau</v>
      </c>
      <c r="C51" s="61">
        <v>3.0</v>
      </c>
      <c r="E51" s="64" t="s">
        <v>293</v>
      </c>
      <c r="F51" s="64" t="str">
        <f>IFERROR(__xludf.DUMMYFUNCTION("TEXTJOIN("", "", TRUE, FILTER(C:C, B:B=E51))"),"3")</f>
        <v>3</v>
      </c>
      <c r="H51" s="62"/>
      <c r="I51" s="63"/>
    </row>
    <row r="52">
      <c r="A52" s="61">
        <v>51.0</v>
      </c>
      <c r="B52" s="64" t="str">
        <f>Sheet1!K13</f>
        <v>claraspannaus</v>
      </c>
      <c r="C52" s="61">
        <v>3.0</v>
      </c>
      <c r="E52" s="64" t="s">
        <v>319</v>
      </c>
      <c r="F52" s="64" t="str">
        <f>IFERROR(__xludf.DUMMYFUNCTION("TEXTJOIN("", "", TRUE, FILTER(C:C, B:B=E52))"),"3")</f>
        <v>3</v>
      </c>
      <c r="H52" s="62"/>
      <c r="I52" s="63"/>
    </row>
    <row r="53">
      <c r="A53" s="61">
        <v>52.0</v>
      </c>
      <c r="B53" s="64" t="str">
        <f>Sheet1!K14</f>
        <v>fallingfromgrace</v>
      </c>
      <c r="C53" s="61">
        <v>3.0</v>
      </c>
      <c r="E53" s="64" t="s">
        <v>346</v>
      </c>
      <c r="F53" s="64" t="str">
        <f>IFERROR(__xludf.DUMMYFUNCTION("TEXTJOIN("", "", TRUE, FILTER(C:C, B:B=E53))"),"3")</f>
        <v>3</v>
      </c>
      <c r="H53" s="62"/>
      <c r="I53" s="63"/>
    </row>
    <row r="54">
      <c r="A54" s="61">
        <v>53.0</v>
      </c>
      <c r="B54" s="64" t="str">
        <f>Sheet1!K15</f>
        <v>aylafr3din</v>
      </c>
      <c r="C54" s="61">
        <v>3.0</v>
      </c>
      <c r="E54" s="64" t="s">
        <v>375</v>
      </c>
      <c r="F54" s="64" t="str">
        <f>IFERROR(__xludf.DUMMYFUNCTION("TEXTJOIN("", "", TRUE, FILTER(C:C, B:B=E54))"),"3")</f>
        <v>3</v>
      </c>
      <c r="H54" s="62"/>
      <c r="I54" s="63"/>
    </row>
    <row r="55">
      <c r="A55" s="61">
        <v>54.0</v>
      </c>
      <c r="B55" s="64" t="str">
        <f>Sheet1!K16</f>
        <v>isabelletrotter</v>
      </c>
      <c r="C55" s="61">
        <v>3.0</v>
      </c>
      <c r="E55" s="64" t="s">
        <v>405</v>
      </c>
      <c r="F55" s="64" t="str">
        <f>IFERROR(__xludf.DUMMYFUNCTION("TEXTJOIN("", "", TRUE, FILTER(C:C, B:B=E55))"),"3")</f>
        <v>3</v>
      </c>
      <c r="H55" s="62"/>
      <c r="I55" s="63"/>
    </row>
    <row r="56">
      <c r="A56" s="61">
        <v>55.0</v>
      </c>
      <c r="B56" s="64" t="str">
        <f>Sheet1!K17</f>
        <v>sam_vlogzz</v>
      </c>
      <c r="C56" s="61">
        <v>3.0</v>
      </c>
      <c r="E56" s="64" t="s">
        <v>435</v>
      </c>
      <c r="F56" s="64" t="str">
        <f>IFERROR(__xludf.DUMMYFUNCTION("TEXTJOIN("", "", TRUE, FILTER(C:C, B:B=E56))"),"3")</f>
        <v>3</v>
      </c>
      <c r="H56" s="62"/>
      <c r="I56" s="63"/>
    </row>
    <row r="57">
      <c r="A57" s="61">
        <v>56.0</v>
      </c>
      <c r="B57" s="64" t="str">
        <f>Sheet1!K18</f>
        <v>meganjspams</v>
      </c>
      <c r="C57" s="61">
        <v>3.0</v>
      </c>
      <c r="E57" s="64" t="s">
        <v>463</v>
      </c>
      <c r="F57" s="64" t="str">
        <f>IFERROR(__xludf.DUMMYFUNCTION("TEXTJOIN("", "", TRUE, FILTER(C:C, B:B=E57))"),"3")</f>
        <v>3</v>
      </c>
      <c r="H57" s="62"/>
      <c r="I57" s="63"/>
    </row>
    <row r="58">
      <c r="A58" s="61">
        <v>57.0</v>
      </c>
      <c r="B58" s="64" t="str">
        <f>Sheet1!K19</f>
        <v>zeliha_clark</v>
      </c>
      <c r="C58" s="61">
        <v>3.0</v>
      </c>
      <c r="E58" s="64" t="s">
        <v>495</v>
      </c>
      <c r="F58" s="64" t="str">
        <f>IFERROR(__xludf.DUMMYFUNCTION("TEXTJOIN("", "", TRUE, FILTER(C:C, B:B=E58))"),"3")</f>
        <v>3</v>
      </c>
      <c r="H58" s="62"/>
      <c r="I58" s="63"/>
    </row>
    <row r="59">
      <c r="A59" s="61">
        <v>58.0</v>
      </c>
      <c r="B59" s="64" t="str">
        <f>Sheet1!K20</f>
        <v>kev_sndvl</v>
      </c>
      <c r="C59" s="61">
        <v>3.0</v>
      </c>
      <c r="E59" s="64" t="s">
        <v>525</v>
      </c>
      <c r="F59" s="64" t="str">
        <f>IFERROR(__xludf.DUMMYFUNCTION("TEXTJOIN("", "", TRUE, FILTER(C:C, B:B=E59))"),"3")</f>
        <v>3</v>
      </c>
      <c r="H59" s="62"/>
      <c r="I59" s="63"/>
    </row>
    <row r="60">
      <c r="A60" s="61">
        <v>59.0</v>
      </c>
      <c r="B60" s="64" t="str">
        <f>Sheet1!K21</f>
        <v>its_justnatt</v>
      </c>
      <c r="C60" s="61">
        <v>3.0</v>
      </c>
      <c r="E60" s="64" t="s">
        <v>553</v>
      </c>
      <c r="F60" s="64" t="str">
        <f>IFERROR(__xludf.DUMMYFUNCTION("TEXTJOIN("", "", TRUE, FILTER(C:C, B:B=E60))"),"3")</f>
        <v>3</v>
      </c>
      <c r="H60" s="62"/>
      <c r="I60" s="63"/>
    </row>
    <row r="61">
      <c r="A61" s="61">
        <v>60.0</v>
      </c>
      <c r="B61" s="64" t="str">
        <f>Sheet1!K22</f>
        <v>brynnguymon</v>
      </c>
      <c r="C61" s="61">
        <v>3.0</v>
      </c>
      <c r="E61" s="64" t="s">
        <v>583</v>
      </c>
      <c r="F61" s="64" t="str">
        <f>IFERROR(__xludf.DUMMYFUNCTION("TEXTJOIN("", "", TRUE, FILTER(C:C, B:B=E61))"),"3")</f>
        <v>3</v>
      </c>
      <c r="H61" s="62"/>
      <c r="I61" s="63"/>
    </row>
    <row r="62">
      <c r="A62" s="61">
        <v>61.0</v>
      </c>
      <c r="B62" s="64" t="str">
        <f>Sheet1!P3</f>
        <v>adeline.higley</v>
      </c>
      <c r="C62" s="61">
        <v>4.0</v>
      </c>
      <c r="E62" s="64" t="s">
        <v>28</v>
      </c>
      <c r="F62" s="64" t="str">
        <f>IFERROR(__xludf.DUMMYFUNCTION("TEXTJOIN("", "", TRUE, FILTER(C:C, B:B=E62))"),"4")</f>
        <v>4</v>
      </c>
      <c r="H62" s="62"/>
      <c r="I62" s="63"/>
    </row>
    <row r="63">
      <c r="A63" s="61">
        <v>62.0</v>
      </c>
      <c r="B63" s="64" t="str">
        <f>Sheet1!P4</f>
        <v>karenchavezzzz</v>
      </c>
      <c r="C63" s="61">
        <v>4.0</v>
      </c>
      <c r="E63" s="64" t="s">
        <v>59</v>
      </c>
      <c r="F63" s="64" t="str">
        <f>IFERROR(__xludf.DUMMYFUNCTION("TEXTJOIN("", "", TRUE, FILTER(C:C, B:B=E63))"),"4")</f>
        <v>4</v>
      </c>
      <c r="H63" s="62"/>
      <c r="I63" s="63"/>
    </row>
    <row r="64">
      <c r="A64" s="61">
        <v>63.0</v>
      </c>
      <c r="B64" s="64" t="str">
        <f>Sheet1!P5</f>
        <v>michelle.gacasan</v>
      </c>
      <c r="C64" s="61">
        <v>4.0</v>
      </c>
      <c r="E64" s="64" t="s">
        <v>90</v>
      </c>
      <c r="F64" s="64" t="str">
        <f>IFERROR(__xludf.DUMMYFUNCTION("TEXTJOIN("", "", TRUE, FILTER(C:C, B:B=E64))"),"4")</f>
        <v>4</v>
      </c>
      <c r="H64" s="62"/>
      <c r="I64" s="63"/>
    </row>
    <row r="65">
      <c r="A65" s="61">
        <v>64.0</v>
      </c>
      <c r="B65" s="64" t="str">
        <f>Sheet1!P6</f>
        <v>bobbylightss01</v>
      </c>
      <c r="C65" s="61">
        <v>4.0</v>
      </c>
      <c r="E65" s="64" t="s">
        <v>121</v>
      </c>
      <c r="F65" s="64" t="str">
        <f>IFERROR(__xludf.DUMMYFUNCTION("TEXTJOIN("", "", TRUE, FILTER(C:C, B:B=E65))"),"4")</f>
        <v>4</v>
      </c>
      <c r="H65" s="62"/>
      <c r="I65" s="63"/>
    </row>
    <row r="66">
      <c r="A66" s="61">
        <v>65.0</v>
      </c>
      <c r="B66" s="64" t="str">
        <f>Sheet1!P7</f>
        <v>yonmiin</v>
      </c>
      <c r="C66" s="61">
        <v>4.0</v>
      </c>
      <c r="E66" s="64" t="s">
        <v>152</v>
      </c>
      <c r="F66" s="64" t="str">
        <f>IFERROR(__xludf.DUMMYFUNCTION("TEXTJOIN("", "", TRUE, FILTER(C:C, B:B=E66))"),"4")</f>
        <v>4</v>
      </c>
      <c r="H66" s="62"/>
      <c r="I66" s="63"/>
    </row>
    <row r="67">
      <c r="A67" s="61">
        <v>66.0</v>
      </c>
      <c r="B67" s="64" t="str">
        <f>Sheet1!P8</f>
        <v>sha.madiii</v>
      </c>
      <c r="C67" s="61">
        <v>4.0</v>
      </c>
      <c r="E67" s="64" t="s">
        <v>180</v>
      </c>
      <c r="F67" s="64" t="str">
        <f>IFERROR(__xludf.DUMMYFUNCTION("TEXTJOIN("", "", TRUE, FILTER(C:C, B:B=E67))"),"4")</f>
        <v>4</v>
      </c>
      <c r="H67" s="62"/>
      <c r="I67" s="63"/>
    </row>
    <row r="68">
      <c r="A68" s="61">
        <v>67.0</v>
      </c>
      <c r="B68" s="64" t="str">
        <f>Sheet1!P9</f>
        <v>filippogandolfo</v>
      </c>
      <c r="C68" s="61">
        <v>4.0</v>
      </c>
      <c r="E68" s="64" t="s">
        <v>208</v>
      </c>
      <c r="F68" s="64" t="str">
        <f>IFERROR(__xludf.DUMMYFUNCTION("TEXTJOIN("", "", TRUE, FILTER(C:C, B:B=E68))"),"4")</f>
        <v>4</v>
      </c>
      <c r="H68" s="62"/>
      <c r="I68" s="63"/>
    </row>
    <row r="69">
      <c r="A69" s="61">
        <v>68.0</v>
      </c>
      <c r="B69" s="64" t="str">
        <f>Sheet1!P10</f>
        <v>1.best.memes</v>
      </c>
      <c r="C69" s="61">
        <v>4.0</v>
      </c>
      <c r="E69" s="64" t="s">
        <v>237</v>
      </c>
      <c r="F69" s="64" t="str">
        <f>IFERROR(__xludf.DUMMYFUNCTION("TEXTJOIN("", "", TRUE, FILTER(C:C, B:B=E69))"),"4")</f>
        <v>4</v>
      </c>
      <c r="H69" s="62"/>
      <c r="I69" s="63"/>
    </row>
    <row r="70">
      <c r="A70" s="61">
        <v>69.0</v>
      </c>
      <c r="B70" s="64" t="str">
        <f>Sheet1!P11</f>
        <v>kassyymiraa</v>
      </c>
      <c r="C70" s="61">
        <v>4.0</v>
      </c>
      <c r="E70" s="64" t="s">
        <v>267</v>
      </c>
      <c r="F70" s="64" t="str">
        <f>IFERROR(__xludf.DUMMYFUNCTION("TEXTJOIN("", "", TRUE, FILTER(C:C, B:B=E70))"),"4")</f>
        <v>4</v>
      </c>
      <c r="H70" s="62"/>
      <c r="I70" s="63"/>
    </row>
    <row r="71">
      <c r="A71" s="61">
        <v>70.0</v>
      </c>
      <c r="B71" s="64" t="str">
        <f>Sheet1!P12</f>
        <v>snvoid</v>
      </c>
      <c r="C71" s="61">
        <v>4.0</v>
      </c>
      <c r="E71" s="64" t="s">
        <v>295</v>
      </c>
      <c r="F71" s="64" t="str">
        <f>IFERROR(__xludf.DUMMYFUNCTION("TEXTJOIN("", "", TRUE, FILTER(C:C, B:B=E71))"),"4")</f>
        <v>4</v>
      </c>
      <c r="H71" s="62"/>
      <c r="I71" s="63"/>
    </row>
    <row r="72">
      <c r="A72" s="61">
        <v>71.0</v>
      </c>
      <c r="B72" s="64" t="str">
        <f>Sheet1!P13</f>
        <v>krist..iana</v>
      </c>
      <c r="C72" s="61">
        <v>4.0</v>
      </c>
      <c r="E72" s="64" t="s">
        <v>321</v>
      </c>
      <c r="F72" s="64" t="str">
        <f>IFERROR(__xludf.DUMMYFUNCTION("TEXTJOIN("", "", TRUE, FILTER(C:C, B:B=E72))"),"4")</f>
        <v>4</v>
      </c>
      <c r="H72" s="62"/>
      <c r="I72" s="63"/>
    </row>
    <row r="73">
      <c r="A73" s="61">
        <v>72.0</v>
      </c>
      <c r="B73" s="64" t="str">
        <f>Sheet1!P14</f>
        <v>jamsones_2</v>
      </c>
      <c r="C73" s="61">
        <v>4.0</v>
      </c>
      <c r="E73" s="64" t="s">
        <v>348</v>
      </c>
      <c r="F73" s="64" t="str">
        <f>IFERROR(__xludf.DUMMYFUNCTION("TEXTJOIN("", "", TRUE, FILTER(C:C, B:B=E73))"),"4")</f>
        <v>4</v>
      </c>
      <c r="H73" s="62"/>
      <c r="I73" s="63"/>
    </row>
    <row r="74">
      <c r="A74" s="61">
        <v>73.0</v>
      </c>
      <c r="B74" s="64" t="str">
        <f>Sheet1!P15</f>
        <v>itsdiamonddust</v>
      </c>
      <c r="C74" s="61">
        <v>4.0</v>
      </c>
      <c r="E74" s="64" t="s">
        <v>378</v>
      </c>
      <c r="F74" s="64" t="str">
        <f>IFERROR(__xludf.DUMMYFUNCTION("TEXTJOIN("", "", TRUE, FILTER(C:C, B:B=E74))"),"4")</f>
        <v>4</v>
      </c>
      <c r="H74" s="62"/>
      <c r="I74" s="63"/>
    </row>
    <row r="75">
      <c r="A75" s="61">
        <v>74.0</v>
      </c>
      <c r="B75" s="64" t="str">
        <f>Sheet1!P16</f>
        <v>ellexismoss</v>
      </c>
      <c r="C75" s="61">
        <v>4.0</v>
      </c>
      <c r="E75" s="64" t="s">
        <v>408</v>
      </c>
      <c r="F75" s="64" t="str">
        <f>IFERROR(__xludf.DUMMYFUNCTION("TEXTJOIN("", "", TRUE, FILTER(C:C, B:B=E75))"),"4")</f>
        <v>4</v>
      </c>
      <c r="H75" s="62"/>
      <c r="I75" s="63"/>
    </row>
    <row r="76">
      <c r="A76" s="61">
        <v>75.0</v>
      </c>
      <c r="B76" s="64" t="str">
        <f>Sheet1!P17</f>
        <v>teachermrsthomas</v>
      </c>
      <c r="C76" s="61">
        <v>4.0</v>
      </c>
      <c r="E76" s="64" t="s">
        <v>437</v>
      </c>
      <c r="F76" s="64" t="str">
        <f>IFERROR(__xludf.DUMMYFUNCTION("TEXTJOIN("", "", TRUE, FILTER(C:C, B:B=E76))"),"4")</f>
        <v>4</v>
      </c>
      <c r="H76" s="62"/>
      <c r="I76" s="63"/>
    </row>
    <row r="77">
      <c r="A77" s="61">
        <v>76.0</v>
      </c>
      <c r="B77" s="64" t="str">
        <f>Sheet1!P18</f>
        <v>meganmarie800</v>
      </c>
      <c r="C77" s="61">
        <v>4.0</v>
      </c>
      <c r="E77" s="64" t="s">
        <v>465</v>
      </c>
      <c r="F77" s="64" t="str">
        <f>IFERROR(__xludf.DUMMYFUNCTION("TEXTJOIN("", "", TRUE, FILTER(C:C, B:B=E77))"),"4")</f>
        <v>4</v>
      </c>
      <c r="H77" s="62"/>
      <c r="I77" s="63"/>
    </row>
    <row r="78">
      <c r="A78" s="61">
        <v>77.0</v>
      </c>
      <c r="B78" s="64" t="str">
        <f>Sheet1!P19</f>
        <v>nonsensewit.nixx</v>
      </c>
      <c r="C78" s="61">
        <v>4.0</v>
      </c>
      <c r="E78" s="64" t="s">
        <v>498</v>
      </c>
      <c r="F78" s="64" t="str">
        <f>IFERROR(__xludf.DUMMYFUNCTION("TEXTJOIN("", "", TRUE, FILTER(C:C, B:B=E78))"),"4")</f>
        <v>4</v>
      </c>
      <c r="H78" s="62"/>
      <c r="I78" s="63"/>
    </row>
    <row r="79">
      <c r="A79" s="61">
        <v>78.0</v>
      </c>
      <c r="B79" s="64" t="str">
        <f>Sheet1!P20</f>
        <v>naye.martinezz</v>
      </c>
      <c r="C79" s="61">
        <v>4.0</v>
      </c>
      <c r="E79" s="64" t="s">
        <v>527</v>
      </c>
      <c r="F79" s="64" t="str">
        <f>IFERROR(__xludf.DUMMYFUNCTION("TEXTJOIN("", "", TRUE, FILTER(C:C, B:B=E79))"),"4")</f>
        <v>4</v>
      </c>
      <c r="H79" s="62"/>
      <c r="I79" s="63"/>
    </row>
    <row r="80">
      <c r="A80" s="61">
        <v>79.0</v>
      </c>
      <c r="B80" s="64" t="str">
        <f>Sheet1!P21</f>
        <v>munchies_78</v>
      </c>
      <c r="C80" s="61">
        <v>4.0</v>
      </c>
      <c r="E80" s="64" t="s">
        <v>556</v>
      </c>
      <c r="F80" s="64" t="str">
        <f>IFERROR(__xludf.DUMMYFUNCTION("TEXTJOIN("", "", TRUE, FILTER(C:C, B:B=E80))"),"4")</f>
        <v>4</v>
      </c>
      <c r="H80" s="62"/>
      <c r="I80" s="63"/>
    </row>
    <row r="81">
      <c r="A81" s="61">
        <v>80.0</v>
      </c>
      <c r="B81" s="64" t="str">
        <f>Sheet1!P22</f>
        <v>_alyviagrace</v>
      </c>
      <c r="C81" s="61">
        <v>4.0</v>
      </c>
      <c r="E81" s="64" t="s">
        <v>586</v>
      </c>
      <c r="F81" s="64" t="str">
        <f>IFERROR(__xludf.DUMMYFUNCTION("TEXTJOIN("", "", TRUE, FILTER(C:C, B:B=E81))"),"4")</f>
        <v>4</v>
      </c>
      <c r="H81" s="62"/>
      <c r="I81" s="63"/>
    </row>
    <row r="82">
      <c r="A82" s="61">
        <v>81.0</v>
      </c>
      <c r="B82" s="64" t="str">
        <f>Sheet1!U3</f>
        <v>presello.official</v>
      </c>
      <c r="C82" s="61">
        <v>5.0</v>
      </c>
      <c r="E82" s="64" t="s">
        <v>30</v>
      </c>
      <c r="F82" s="64" t="str">
        <f>IFERROR(__xludf.DUMMYFUNCTION("TEXTJOIN("", "", TRUE, FILTER(C:C, B:B=E82))"),"5")</f>
        <v>5</v>
      </c>
      <c r="H82" s="62"/>
      <c r="I82" s="63"/>
    </row>
    <row r="83">
      <c r="A83" s="61">
        <v>82.0</v>
      </c>
      <c r="B83" s="64" t="str">
        <f>Sheet1!U4</f>
        <v>decathlonph</v>
      </c>
      <c r="C83" s="61">
        <v>5.0</v>
      </c>
      <c r="E83" s="64" t="s">
        <v>61</v>
      </c>
      <c r="F83" s="64" t="str">
        <f>IFERROR(__xludf.DUMMYFUNCTION("TEXTJOIN("", "", TRUE, FILTER(C:C, B:B=E83))"),"5")</f>
        <v>5</v>
      </c>
      <c r="H83" s="62"/>
      <c r="I83" s="63"/>
    </row>
    <row r="84">
      <c r="A84" s="61">
        <v>83.0</v>
      </c>
      <c r="B84" s="64" t="str">
        <f>Sheet1!U5</f>
        <v>lpub.jpa</v>
      </c>
      <c r="C84" s="61">
        <v>5.0</v>
      </c>
      <c r="E84" s="64" t="s">
        <v>92</v>
      </c>
      <c r="F84" s="64" t="str">
        <f>IFERROR(__xludf.DUMMYFUNCTION("TEXTJOIN("", "", TRUE, FILTER(C:C, B:B=E84))"),"5")</f>
        <v>5</v>
      </c>
      <c r="H84" s="62"/>
      <c r="I84" s="63"/>
    </row>
    <row r="85">
      <c r="A85" s="61">
        <v>84.0</v>
      </c>
      <c r="B85" s="64" t="str">
        <f>Sheet1!U6</f>
        <v>completewedo</v>
      </c>
      <c r="C85" s="61">
        <v>5.0</v>
      </c>
      <c r="E85" s="64" t="s">
        <v>123</v>
      </c>
      <c r="F85" s="64" t="str">
        <f>IFERROR(__xludf.DUMMYFUNCTION("TEXTJOIN("", "", TRUE, FILTER(C:C, B:B=E85))"),"5")</f>
        <v>5</v>
      </c>
      <c r="H85" s="62"/>
      <c r="I85" s="63"/>
    </row>
    <row r="86">
      <c r="A86" s="61">
        <v>85.0</v>
      </c>
      <c r="B86" s="64" t="str">
        <f>Sheet1!U7</f>
        <v>tjtheaterarts</v>
      </c>
      <c r="C86" s="61">
        <v>5.0</v>
      </c>
      <c r="E86" s="64" t="s">
        <v>154</v>
      </c>
      <c r="F86" s="64" t="str">
        <f>IFERROR(__xludf.DUMMYFUNCTION("TEXTJOIN("", "", TRUE, FILTER(C:C, B:B=E86))"),"5")</f>
        <v>5</v>
      </c>
      <c r="H86" s="62"/>
      <c r="I86" s="63"/>
    </row>
    <row r="87">
      <c r="A87" s="61">
        <v>86.0</v>
      </c>
      <c r="B87" s="64" t="str">
        <f>Sheet1!U8</f>
        <v>jgworldwide</v>
      </c>
      <c r="C87" s="61">
        <v>5.0</v>
      </c>
      <c r="E87" s="64" t="s">
        <v>182</v>
      </c>
      <c r="F87" s="64" t="str">
        <f>IFERROR(__xludf.DUMMYFUNCTION("TEXTJOIN("", "", TRUE, FILTER(C:C, B:B=E87))"),"5")</f>
        <v>5</v>
      </c>
      <c r="H87" s="62"/>
      <c r="I87" s="63"/>
    </row>
    <row r="88">
      <c r="A88" s="61">
        <v>87.0</v>
      </c>
      <c r="B88" s="64" t="str">
        <f>Sheet1!U9</f>
        <v>ubckwave</v>
      </c>
      <c r="C88" s="61">
        <v>5.0</v>
      </c>
      <c r="E88" s="64" t="s">
        <v>210</v>
      </c>
      <c r="F88" s="64" t="str">
        <f>IFERROR(__xludf.DUMMYFUNCTION("TEXTJOIN("", "", TRUE, FILTER(C:C, B:B=E88))"),"5")</f>
        <v>5</v>
      </c>
      <c r="H88" s="62"/>
      <c r="I88" s="63"/>
    </row>
    <row r="89">
      <c r="A89" s="61">
        <v>88.0</v>
      </c>
      <c r="B89" s="64" t="str">
        <f>Sheet1!U10</f>
        <v>fintech.calgary</v>
      </c>
      <c r="C89" s="61">
        <v>5.0</v>
      </c>
      <c r="E89" s="64" t="s">
        <v>239</v>
      </c>
      <c r="F89" s="64" t="str">
        <f>IFERROR(__xludf.DUMMYFUNCTION("TEXTJOIN("", "", TRUE, FILTER(C:C, B:B=E89))"),"5")</f>
        <v>5</v>
      </c>
      <c r="H89" s="62"/>
      <c r="I89" s="63"/>
    </row>
    <row r="90">
      <c r="A90" s="61">
        <v>89.0</v>
      </c>
      <c r="B90" s="64" t="str">
        <f>Sheet1!U11</f>
        <v>fitchburgstate</v>
      </c>
      <c r="C90" s="61">
        <v>5.0</v>
      </c>
      <c r="E90" s="64" t="s">
        <v>269</v>
      </c>
      <c r="F90" s="64" t="str">
        <f>IFERROR(__xludf.DUMMYFUNCTION("TEXTJOIN("", "", TRUE, FILTER(C:C, B:B=E90))"),"5")</f>
        <v>5</v>
      </c>
      <c r="H90" s="62"/>
      <c r="I90" s="63"/>
    </row>
    <row r="91">
      <c r="A91" s="61">
        <v>90.0</v>
      </c>
      <c r="B91" s="64" t="str">
        <f>Sheet1!U12</f>
        <v>purplebugph</v>
      </c>
      <c r="C91" s="61">
        <v>5.0</v>
      </c>
      <c r="E91" s="64" t="s">
        <v>297</v>
      </c>
      <c r="F91" s="64" t="str">
        <f>IFERROR(__xludf.DUMMYFUNCTION("TEXTJOIN("", "", TRUE, FILTER(C:C, B:B=E91))"),"5")</f>
        <v>5</v>
      </c>
      <c r="H91" s="62"/>
      <c r="I91" s="63"/>
    </row>
    <row r="92">
      <c r="A92" s="61">
        <v>91.0</v>
      </c>
      <c r="B92" s="64" t="str">
        <f>Sheet1!U13</f>
        <v>cleancorpau</v>
      </c>
      <c r="C92" s="61">
        <v>5.0</v>
      </c>
      <c r="E92" s="64" t="s">
        <v>323</v>
      </c>
      <c r="F92" s="64" t="str">
        <f>IFERROR(__xludf.DUMMYFUNCTION("TEXTJOIN("", "", TRUE, FILTER(C:C, B:B=E92))"),"5")</f>
        <v>5</v>
      </c>
      <c r="H92" s="62"/>
      <c r="I92" s="63"/>
    </row>
    <row r="93">
      <c r="A93" s="61">
        <v>92.0</v>
      </c>
      <c r="B93" s="64" t="str">
        <f>Sheet1!U14</f>
        <v>legacytolifted</v>
      </c>
      <c r="C93" s="61">
        <v>5.0</v>
      </c>
      <c r="E93" s="64" t="s">
        <v>350</v>
      </c>
      <c r="F93" s="64" t="str">
        <f>IFERROR(__xludf.DUMMYFUNCTION("TEXTJOIN("", "", TRUE, FILTER(C:C, B:B=E93))"),"5")</f>
        <v>5</v>
      </c>
      <c r="H93" s="62"/>
      <c r="I93" s="63"/>
    </row>
    <row r="94">
      <c r="A94" s="61">
        <v>93.0</v>
      </c>
      <c r="B94" s="64" t="str">
        <f>Sheet1!U15</f>
        <v>hydrogenfitness</v>
      </c>
      <c r="C94" s="61">
        <v>5.0</v>
      </c>
      <c r="E94" s="64" t="s">
        <v>380</v>
      </c>
      <c r="F94" s="64" t="str">
        <f>IFERROR(__xludf.DUMMYFUNCTION("TEXTJOIN("", "", TRUE, FILTER(C:C, B:B=E94))"),"5")</f>
        <v>5</v>
      </c>
      <c r="H94" s="62"/>
      <c r="I94" s="63"/>
    </row>
    <row r="95">
      <c r="A95" s="61">
        <v>94.0</v>
      </c>
      <c r="B95" s="64" t="str">
        <f>Sheet1!U16</f>
        <v>pixiogaming</v>
      </c>
      <c r="C95" s="61">
        <v>5.0</v>
      </c>
      <c r="E95" s="64" t="s">
        <v>410</v>
      </c>
      <c r="F95" s="64" t="str">
        <f>IFERROR(__xludf.DUMMYFUNCTION("TEXTJOIN("", "", TRUE, FILTER(C:C, B:B=E95))"),"5")</f>
        <v>5</v>
      </c>
      <c r="H95" s="62"/>
      <c r="I95" s="63"/>
    </row>
    <row r="96">
      <c r="A96" s="61">
        <v>95.0</v>
      </c>
      <c r="B96" s="64" t="str">
        <f>Sheet1!U17</f>
        <v>soocialhub</v>
      </c>
      <c r="C96" s="61">
        <v>5.0</v>
      </c>
      <c r="E96" s="64" t="s">
        <v>439</v>
      </c>
      <c r="F96" s="64" t="str">
        <f>IFERROR(__xludf.DUMMYFUNCTION("TEXTJOIN("", "", TRUE, FILTER(C:C, B:B=E96))"),"5")</f>
        <v>5</v>
      </c>
      <c r="H96" s="62"/>
      <c r="I96" s="63"/>
    </row>
    <row r="97">
      <c r="A97" s="61">
        <v>96.0</v>
      </c>
      <c r="B97" s="64" t="str">
        <f>Sheet1!U18</f>
        <v>parkplacernv</v>
      </c>
      <c r="C97" s="61">
        <v>5.0</v>
      </c>
      <c r="E97" s="64" t="s">
        <v>467</v>
      </c>
      <c r="F97" s="64" t="str">
        <f>IFERROR(__xludf.DUMMYFUNCTION("TEXTJOIN("", "", TRUE, FILTER(C:C, B:B=E97))"),"5")</f>
        <v>5</v>
      </c>
      <c r="H97" s="62"/>
      <c r="I97" s="63"/>
    </row>
    <row r="98">
      <c r="A98" s="61">
        <v>97.0</v>
      </c>
      <c r="B98" s="64" t="str">
        <f>Sheet1!U19</f>
        <v>shaker.auto.group</v>
      </c>
      <c r="C98" s="61">
        <v>5.0</v>
      </c>
      <c r="E98" s="64" t="s">
        <v>500</v>
      </c>
      <c r="F98" s="64" t="str">
        <f>IFERROR(__xludf.DUMMYFUNCTION("TEXTJOIN("", "", TRUE, FILTER(C:C, B:B=E98))"),"5")</f>
        <v>5</v>
      </c>
      <c r="H98" s="62"/>
      <c r="I98" s="63"/>
    </row>
    <row r="99">
      <c r="A99" s="61">
        <v>98.0</v>
      </c>
      <c r="B99" s="64" t="str">
        <f>Sheet1!U20</f>
        <v>lightartcreators</v>
      </c>
      <c r="C99" s="61">
        <v>5.0</v>
      </c>
      <c r="E99" s="64" t="s">
        <v>529</v>
      </c>
      <c r="F99" s="64" t="str">
        <f>IFERROR(__xludf.DUMMYFUNCTION("TEXTJOIN("", "", TRUE, FILTER(C:C, B:B=E99))"),"5")</f>
        <v>5</v>
      </c>
      <c r="H99" s="62"/>
      <c r="I99" s="63"/>
    </row>
    <row r="100">
      <c r="A100" s="61">
        <v>99.0</v>
      </c>
      <c r="B100" s="64" t="str">
        <f>Sheet1!U21</f>
        <v>eastern.market.canton</v>
      </c>
      <c r="C100" s="61">
        <v>5.0</v>
      </c>
      <c r="E100" s="64" t="s">
        <v>558</v>
      </c>
      <c r="F100" s="64" t="str">
        <f>IFERROR(__xludf.DUMMYFUNCTION("TEXTJOIN("", "", TRUE, FILTER(C:C, B:B=E100))"),"5")</f>
        <v>5</v>
      </c>
      <c r="H100" s="62"/>
      <c r="I100" s="63"/>
    </row>
    <row r="101">
      <c r="A101" s="61">
        <v>100.0</v>
      </c>
      <c r="B101" s="64" t="str">
        <f>Sheet1!U22</f>
        <v>solugenixdr</v>
      </c>
      <c r="C101" s="61">
        <v>5.0</v>
      </c>
      <c r="E101" s="64" t="s">
        <v>588</v>
      </c>
      <c r="F101" s="64" t="str">
        <f>IFERROR(__xludf.DUMMYFUNCTION("TEXTJOIN("", "", TRUE, FILTER(C:C, B:B=E101))"),"5")</f>
        <v>5</v>
      </c>
      <c r="H101" s="62"/>
      <c r="I101" s="63"/>
    </row>
    <row r="102">
      <c r="A102" s="61">
        <v>101.0</v>
      </c>
      <c r="B102" s="64" t="str">
        <f>Sheet1!Z3</f>
        <v>seoul.drop</v>
      </c>
      <c r="C102" s="61">
        <v>6.0</v>
      </c>
      <c r="E102" s="64" t="s">
        <v>34</v>
      </c>
      <c r="F102" s="64" t="str">
        <f>IFERROR(__xludf.DUMMYFUNCTION("TEXTJOIN("", "", TRUE, FILTER(C:C, B:B=E102))"),"6")</f>
        <v>6</v>
      </c>
      <c r="H102" s="62"/>
      <c r="I102" s="63"/>
    </row>
    <row r="103">
      <c r="A103" s="61">
        <v>102.0</v>
      </c>
      <c r="B103" s="64" t="str">
        <f>Sheet1!Z4</f>
        <v>jaczdrivein</v>
      </c>
      <c r="C103" s="61">
        <v>6.0</v>
      </c>
      <c r="E103" s="64" t="s">
        <v>63</v>
      </c>
      <c r="F103" s="64" t="str">
        <f>IFERROR(__xludf.DUMMYFUNCTION("TEXTJOIN("", "", TRUE, FILTER(C:C, B:B=E103))"),"6")</f>
        <v>6</v>
      </c>
      <c r="H103" s="62"/>
      <c r="I103" s="63"/>
    </row>
    <row r="104">
      <c r="A104" s="61">
        <v>103.0</v>
      </c>
      <c r="B104" s="64" t="str">
        <f>Sheet1!Z5</f>
        <v>ouncecoffee</v>
      </c>
      <c r="C104" s="61">
        <v>6.0</v>
      </c>
      <c r="E104" s="64" t="s">
        <v>94</v>
      </c>
      <c r="F104" s="64" t="str">
        <f>IFERROR(__xludf.DUMMYFUNCTION("TEXTJOIN("", "", TRUE, FILTER(C:C, B:B=E104))"),"6")</f>
        <v>6</v>
      </c>
      <c r="H104" s="62"/>
      <c r="I104" s="63"/>
    </row>
    <row r="105">
      <c r="A105" s="61">
        <v>104.0</v>
      </c>
      <c r="B105" s="64" t="str">
        <f>Sheet1!Z6</f>
        <v>parallaxcoffeelab</v>
      </c>
      <c r="C105" s="61">
        <v>6.0</v>
      </c>
      <c r="E105" s="64" t="s">
        <v>125</v>
      </c>
      <c r="F105" s="64" t="str">
        <f>IFERROR(__xludf.DUMMYFUNCTION("TEXTJOIN("", "", TRUE, FILTER(C:C, B:B=E105))"),"6")</f>
        <v>6</v>
      </c>
      <c r="H105" s="62"/>
      <c r="I105" s="63"/>
    </row>
    <row r="106">
      <c r="A106" s="61">
        <v>105.0</v>
      </c>
      <c r="B106" s="64" t="str">
        <f>Sheet1!Z7</f>
        <v>pjscoffeepensacola</v>
      </c>
      <c r="C106" s="61">
        <v>6.0</v>
      </c>
      <c r="E106" s="64" t="s">
        <v>156</v>
      </c>
      <c r="F106" s="64" t="str">
        <f>IFERROR(__xludf.DUMMYFUNCTION("TEXTJOIN("", "", TRUE, FILTER(C:C, B:B=E106))"),"6")</f>
        <v>6</v>
      </c>
      <c r="H106" s="62"/>
      <c r="I106" s="63"/>
    </row>
    <row r="107">
      <c r="A107" s="61">
        <v>106.0</v>
      </c>
      <c r="B107" s="64" t="str">
        <f>Sheet1!Z8</f>
        <v>nrmitabnita</v>
      </c>
      <c r="C107" s="61">
        <v>6.0</v>
      </c>
      <c r="E107" s="64" t="s">
        <v>185</v>
      </c>
      <c r="F107" s="64" t="str">
        <f>IFERROR(__xludf.DUMMYFUNCTION("TEXTJOIN("", "", TRUE, FILTER(C:C, B:B=E107))"),"6")</f>
        <v>6</v>
      </c>
      <c r="H107" s="62"/>
      <c r="I107" s="63"/>
    </row>
    <row r="108">
      <c r="A108" s="61">
        <v>107.0</v>
      </c>
      <c r="B108" s="64" t="str">
        <f>Sheet1!Z9</f>
        <v>darlinsdinertx</v>
      </c>
      <c r="C108" s="61">
        <v>6.0</v>
      </c>
      <c r="E108" s="64" t="s">
        <v>212</v>
      </c>
      <c r="F108" s="64" t="str">
        <f>IFERROR(__xludf.DUMMYFUNCTION("TEXTJOIN("", "", TRUE, FILTER(C:C, B:B=E108))"),"6")</f>
        <v>6</v>
      </c>
      <c r="H108" s="62"/>
      <c r="I108" s="63"/>
    </row>
    <row r="109">
      <c r="A109" s="61">
        <v>108.0</v>
      </c>
      <c r="B109" s="64" t="str">
        <f>Sheet1!Z10</f>
        <v>caringtonarms_</v>
      </c>
      <c r="C109" s="61">
        <v>6.0</v>
      </c>
      <c r="E109" s="64" t="s">
        <v>241</v>
      </c>
      <c r="F109" s="64" t="str">
        <f>IFERROR(__xludf.DUMMYFUNCTION("TEXTJOIN("", "", TRUE, FILTER(C:C, B:B=E109))"),"6")</f>
        <v>6</v>
      </c>
      <c r="H109" s="62"/>
      <c r="I109" s="63"/>
    </row>
    <row r="110">
      <c r="A110" s="61">
        <v>109.0</v>
      </c>
      <c r="B110" s="64" t="str">
        <f>Sheet1!Z11</f>
        <v>strangebrewcoffeein</v>
      </c>
      <c r="C110" s="61">
        <v>6.0</v>
      </c>
      <c r="E110" s="64" t="s">
        <v>271</v>
      </c>
      <c r="F110" s="64" t="str">
        <f>IFERROR(__xludf.DUMMYFUNCTION("TEXTJOIN("", "", TRUE, FILTER(C:C, B:B=E110))"),"6")</f>
        <v>6</v>
      </c>
      <c r="H110" s="62"/>
      <c r="I110" s="63"/>
    </row>
    <row r="111">
      <c r="A111" s="61">
        <v>110.0</v>
      </c>
      <c r="B111" s="64" t="str">
        <f>Sheet1!Z12</f>
        <v>zimo.bakery.and.c</v>
      </c>
      <c r="C111" s="61">
        <v>6.0</v>
      </c>
      <c r="E111" s="64" t="s">
        <v>299</v>
      </c>
      <c r="F111" s="64" t="str">
        <f>IFERROR(__xludf.DUMMYFUNCTION("TEXTJOIN("", "", TRUE, FILTER(C:C, B:B=E111))"),"6")</f>
        <v>6</v>
      </c>
      <c r="H111" s="62"/>
      <c r="I111" s="63"/>
    </row>
    <row r="112">
      <c r="A112" s="61">
        <v>111.0</v>
      </c>
      <c r="B112" s="64" t="str">
        <f>Sheet1!Z13</f>
        <v>club29decherd</v>
      </c>
      <c r="C112" s="61">
        <v>6.0</v>
      </c>
      <c r="E112" s="64" t="s">
        <v>326</v>
      </c>
      <c r="F112" s="64" t="str">
        <f>IFERROR(__xludf.DUMMYFUNCTION("TEXTJOIN("", "", TRUE, FILTER(C:C, B:B=E112))"),"6")</f>
        <v>6</v>
      </c>
      <c r="H112" s="62"/>
      <c r="I112" s="63"/>
    </row>
    <row r="113">
      <c r="A113" s="61">
        <v>112.0</v>
      </c>
      <c r="B113" s="64" t="str">
        <f>Sheet1!Z14</f>
        <v>surfshackcastlerock</v>
      </c>
      <c r="C113" s="61">
        <v>6.0</v>
      </c>
      <c r="E113" s="64" t="s">
        <v>352</v>
      </c>
      <c r="F113" s="64" t="str">
        <f>IFERROR(__xludf.DUMMYFUNCTION("TEXTJOIN("", "", TRUE, FILTER(C:C, B:B=E113))"),"6")</f>
        <v>6</v>
      </c>
      <c r="H113" s="62"/>
      <c r="I113" s="63"/>
    </row>
    <row r="114">
      <c r="A114" s="61">
        <v>113.0</v>
      </c>
      <c r="B114" s="64" t="str">
        <f>Sheet1!Z15</f>
        <v>mjscoffeebar</v>
      </c>
      <c r="C114" s="61">
        <v>6.0</v>
      </c>
      <c r="E114" s="64" t="s">
        <v>382</v>
      </c>
      <c r="F114" s="64" t="str">
        <f>IFERROR(__xludf.DUMMYFUNCTION("TEXTJOIN("", "", TRUE, FILTER(C:C, B:B=E114))"),"6")</f>
        <v>6</v>
      </c>
      <c r="H114" s="62"/>
      <c r="I114" s="63"/>
    </row>
    <row r="115">
      <c r="A115" s="61">
        <v>114.0</v>
      </c>
      <c r="B115" s="64" t="str">
        <f>Sheet1!Z16</f>
        <v>278nutrition</v>
      </c>
      <c r="C115" s="61">
        <v>6.0</v>
      </c>
      <c r="E115" s="64" t="s">
        <v>412</v>
      </c>
      <c r="F115" s="64" t="str">
        <f>IFERROR(__xludf.DUMMYFUNCTION("TEXTJOIN("", "", TRUE, FILTER(C:C, B:B=E115))"),"6")</f>
        <v>6</v>
      </c>
      <c r="H115" s="62"/>
      <c r="I115" s="63"/>
    </row>
    <row r="116">
      <c r="A116" s="61">
        <v>115.0</v>
      </c>
      <c r="B116" s="64" t="str">
        <f>Sheet1!Z17</f>
        <v>acaidelightok</v>
      </c>
      <c r="C116" s="61">
        <v>6.0</v>
      </c>
      <c r="E116" s="64" t="s">
        <v>441</v>
      </c>
      <c r="F116" s="64" t="str">
        <f>IFERROR(__xludf.DUMMYFUNCTION("TEXTJOIN("", "", TRUE, FILTER(C:C, B:B=E116))"),"6")</f>
        <v>6</v>
      </c>
      <c r="H116" s="62"/>
      <c r="I116" s="63"/>
    </row>
    <row r="117">
      <c r="A117" s="61">
        <v>116.0</v>
      </c>
      <c r="B117" s="64" t="str">
        <f>Sheet1!Z18</f>
        <v>eastfield.farm.plants</v>
      </c>
      <c r="C117" s="61">
        <v>6.0</v>
      </c>
      <c r="E117" s="64" t="s">
        <v>470</v>
      </c>
      <c r="F117" s="64" t="str">
        <f>IFERROR(__xludf.DUMMYFUNCTION("TEXTJOIN("", "", TRUE, FILTER(C:C, B:B=E117))"),"6")</f>
        <v>6</v>
      </c>
      <c r="H117" s="62"/>
      <c r="I117" s="63"/>
    </row>
    <row r="118">
      <c r="A118" s="61">
        <v>117.0</v>
      </c>
      <c r="B118" s="64" t="str">
        <f>Sheet1!Z19</f>
        <v>menomonie.market</v>
      </c>
      <c r="C118" s="61">
        <v>6.0</v>
      </c>
      <c r="E118" s="64" t="s">
        <v>502</v>
      </c>
      <c r="F118" s="64" t="str">
        <f>IFERROR(__xludf.DUMMYFUNCTION("TEXTJOIN("", "", TRUE, FILTER(C:C, B:B=E118))"),"6")</f>
        <v>6</v>
      </c>
      <c r="H118" s="62"/>
      <c r="I118" s="63"/>
    </row>
    <row r="119">
      <c r="A119" s="61">
        <v>118.0</v>
      </c>
      <c r="B119" s="64" t="str">
        <f>Sheet1!Z20</f>
        <v>pinkdoorhgt</v>
      </c>
      <c r="C119" s="61">
        <v>6.0</v>
      </c>
      <c r="E119" s="64" t="s">
        <v>531</v>
      </c>
      <c r="F119" s="64" t="str">
        <f>IFERROR(__xludf.DUMMYFUNCTION("TEXTJOIN("", "", TRUE, FILTER(C:C, B:B=E119))"),"6")</f>
        <v>6</v>
      </c>
      <c r="H119" s="62"/>
      <c r="I119" s="63"/>
    </row>
    <row r="120">
      <c r="A120" s="61">
        <v>119.0</v>
      </c>
      <c r="B120" s="64" t="str">
        <f>Sheet1!Z21</f>
        <v>palm.coffee.lounge</v>
      </c>
      <c r="C120" s="61">
        <v>6.0</v>
      </c>
      <c r="E120" s="64" t="s">
        <v>560</v>
      </c>
      <c r="F120" s="64" t="str">
        <f>IFERROR(__xludf.DUMMYFUNCTION("TEXTJOIN("", "", TRUE, FILTER(C:C, B:B=E120))"),"6")</f>
        <v>6</v>
      </c>
      <c r="H120" s="62"/>
      <c r="I120" s="63"/>
    </row>
    <row r="121">
      <c r="A121" s="61">
        <v>120.0</v>
      </c>
      <c r="B121" s="64" t="str">
        <f>Sheet1!Z22</f>
        <v>cakeboutiquenj</v>
      </c>
      <c r="C121" s="61">
        <v>6.0</v>
      </c>
      <c r="E121" s="64" t="s">
        <v>590</v>
      </c>
      <c r="F121" s="64" t="str">
        <f>IFERROR(__xludf.DUMMYFUNCTION("TEXTJOIN("", "", TRUE, FILTER(C:C, B:B=E121))"),"6")</f>
        <v>6</v>
      </c>
      <c r="H121" s="62"/>
      <c r="I121" s="63"/>
    </row>
    <row r="122">
      <c r="A122" s="61">
        <v>121.0</v>
      </c>
      <c r="B122" s="64" t="str">
        <f>Sheet1!AE3</f>
        <v>thejulysocial</v>
      </c>
      <c r="C122" s="61">
        <v>7.0</v>
      </c>
      <c r="E122" s="64" t="s">
        <v>36</v>
      </c>
      <c r="F122" s="64" t="str">
        <f>IFERROR(__xludf.DUMMYFUNCTION("TEXTJOIN("", "", TRUE, FILTER(C:C, B:B=E122))"),"7")</f>
        <v>7</v>
      </c>
      <c r="H122" s="62"/>
      <c r="I122" s="63"/>
    </row>
    <row r="123">
      <c r="A123" s="61">
        <v>122.0</v>
      </c>
      <c r="B123" s="64" t="str">
        <f>Sheet1!AE4</f>
        <v>zigzag.careers</v>
      </c>
      <c r="C123" s="61">
        <v>7.0</v>
      </c>
      <c r="E123" s="64" t="s">
        <v>65</v>
      </c>
      <c r="F123" s="64" t="str">
        <f>IFERROR(__xludf.DUMMYFUNCTION("TEXTJOIN("", "", TRUE, FILTER(C:C, B:B=E123))"),"7")</f>
        <v>7</v>
      </c>
      <c r="H123" s="62"/>
      <c r="I123" s="63"/>
    </row>
    <row r="124">
      <c r="A124" s="61">
        <v>123.0</v>
      </c>
      <c r="B124" s="64" t="str">
        <f>Sheet1!AE5</f>
        <v>securitybankcareers</v>
      </c>
      <c r="C124" s="61">
        <v>7.0</v>
      </c>
      <c r="E124" s="64" t="s">
        <v>96</v>
      </c>
      <c r="F124" s="64" t="str">
        <f>IFERROR(__xludf.DUMMYFUNCTION("TEXTJOIN("", "", TRUE, FILTER(C:C, B:B=E124))"),"7")</f>
        <v>7</v>
      </c>
      <c r="H124" s="62"/>
      <c r="I124" s="63"/>
    </row>
    <row r="125">
      <c r="A125" s="61">
        <v>124.0</v>
      </c>
      <c r="B125" s="64" t="str">
        <f>Sheet1!AE6</f>
        <v>parlonph</v>
      </c>
      <c r="C125" s="61">
        <v>7.0</v>
      </c>
      <c r="E125" s="64" t="s">
        <v>127</v>
      </c>
      <c r="F125" s="64" t="str">
        <f>IFERROR(__xludf.DUMMYFUNCTION("TEXTJOIN("", "", TRUE, FILTER(C:C, B:B=E125))"),"7")</f>
        <v>7</v>
      </c>
      <c r="H125" s="62"/>
      <c r="I125" s="63"/>
    </row>
    <row r="126">
      <c r="A126" s="61">
        <v>125.0</v>
      </c>
      <c r="B126" s="64" t="str">
        <f>Sheet1!AE7</f>
        <v>kfoandmanders</v>
      </c>
      <c r="C126" s="61">
        <v>7.0</v>
      </c>
      <c r="E126" s="64" t="s">
        <v>158</v>
      </c>
      <c r="F126" s="64" t="str">
        <f>IFERROR(__xludf.DUMMYFUNCTION("TEXTJOIN("", "", TRUE, FILTER(C:C, B:B=E126))"),"7")</f>
        <v>7</v>
      </c>
      <c r="H126" s="62"/>
      <c r="I126" s="63"/>
    </row>
    <row r="127">
      <c r="A127" s="61">
        <v>126.0</v>
      </c>
      <c r="B127" s="64" t="str">
        <f>Sheet1!AE8</f>
        <v>a.alaynaa_</v>
      </c>
      <c r="C127" s="61">
        <v>7.0</v>
      </c>
      <c r="E127" s="64" t="s">
        <v>187</v>
      </c>
      <c r="F127" s="64" t="str">
        <f>IFERROR(__xludf.DUMMYFUNCTION("TEXTJOIN("", "", TRUE, FILTER(C:C, B:B=E127))"),"7")</f>
        <v>7</v>
      </c>
      <c r="H127" s="62"/>
      <c r="I127" s="63"/>
    </row>
    <row r="128">
      <c r="A128" s="61">
        <v>127.0</v>
      </c>
      <c r="B128" s="64" t="str">
        <f>Sheet1!AE9</f>
        <v>shesxin</v>
      </c>
      <c r="C128" s="61">
        <v>7.0</v>
      </c>
      <c r="E128" s="64" t="s">
        <v>214</v>
      </c>
      <c r="F128" s="64" t="str">
        <f>IFERROR(__xludf.DUMMYFUNCTION("TEXTJOIN("", "", TRUE, FILTER(C:C, B:B=E128))"),"7")</f>
        <v>7</v>
      </c>
      <c r="H128" s="62"/>
      <c r="I128" s="63"/>
    </row>
    <row r="129">
      <c r="A129" s="61">
        <v>128.0</v>
      </c>
      <c r="B129" s="64" t="str">
        <f>Sheet1!AE10</f>
        <v>belle__wilson</v>
      </c>
      <c r="C129" s="61">
        <v>7.0</v>
      </c>
      <c r="E129" s="64" t="s">
        <v>244</v>
      </c>
      <c r="F129" s="64" t="str">
        <f>IFERROR(__xludf.DUMMYFUNCTION("TEXTJOIN("", "", TRUE, FILTER(C:C, B:B=E129))"),"7")</f>
        <v>7</v>
      </c>
      <c r="H129" s="62"/>
      <c r="I129" s="63"/>
    </row>
    <row r="130">
      <c r="A130" s="61">
        <v>129.0</v>
      </c>
      <c r="B130" s="64" t="str">
        <f>Sheet1!AE11</f>
        <v>notnikady</v>
      </c>
      <c r="C130" s="61">
        <v>7.0</v>
      </c>
      <c r="E130" s="64" t="s">
        <v>273</v>
      </c>
      <c r="F130" s="64" t="str">
        <f>IFERROR(__xludf.DUMMYFUNCTION("TEXTJOIN("", "", TRUE, FILTER(C:C, B:B=E130))"),"7")</f>
        <v>7</v>
      </c>
      <c r="H130" s="62"/>
      <c r="I130" s="63"/>
    </row>
    <row r="131">
      <c r="A131" s="61">
        <v>130.0</v>
      </c>
      <c r="B131" s="64" t="str">
        <f>Sheet1!AE12</f>
        <v>muktiorganics</v>
      </c>
      <c r="C131" s="61">
        <v>7.0</v>
      </c>
      <c r="E131" s="64" t="s">
        <v>301</v>
      </c>
      <c r="F131" s="64" t="str">
        <f>IFERROR(__xludf.DUMMYFUNCTION("TEXTJOIN("", "", TRUE, FILTER(C:C, B:B=E131))"),"7")</f>
        <v>7</v>
      </c>
      <c r="H131" s="62"/>
      <c r="I131" s="63"/>
    </row>
    <row r="132">
      <c r="A132" s="61">
        <v>131.0</v>
      </c>
      <c r="B132" s="64" t="str">
        <f>Sheet1!AE13</f>
        <v>amo_thobye</v>
      </c>
      <c r="C132" s="61">
        <v>7.0</v>
      </c>
      <c r="E132" s="64" t="s">
        <v>328</v>
      </c>
      <c r="F132" s="64" t="str">
        <f>IFERROR(__xludf.DUMMYFUNCTION("TEXTJOIN("", "", TRUE, FILTER(C:C, B:B=E132))"),"7")</f>
        <v>7</v>
      </c>
      <c r="H132" s="62"/>
      <c r="I132" s="63"/>
    </row>
    <row r="133">
      <c r="A133" s="61">
        <v>132.0</v>
      </c>
      <c r="B133" s="64" t="str">
        <f>Sheet1!AE14</f>
        <v>allexadalessio</v>
      </c>
      <c r="C133" s="61">
        <v>7.0</v>
      </c>
      <c r="E133" s="64" t="s">
        <v>354</v>
      </c>
      <c r="F133" s="64" t="str">
        <f>IFERROR(__xludf.DUMMYFUNCTION("TEXTJOIN("", "", TRUE, FILTER(C:C, B:B=E133))"),"7")</f>
        <v>7</v>
      </c>
      <c r="H133" s="62"/>
      <c r="I133" s="63"/>
    </row>
    <row r="134">
      <c r="A134" s="61">
        <v>133.0</v>
      </c>
      <c r="B134" s="64" t="str">
        <f>Sheet1!AE15</f>
        <v>alyssanaka</v>
      </c>
      <c r="C134" s="61">
        <v>7.0</v>
      </c>
      <c r="E134" s="64" t="s">
        <v>384</v>
      </c>
      <c r="F134" s="64" t="str">
        <f>IFERROR(__xludf.DUMMYFUNCTION("TEXTJOIN("", "", TRUE, FILTER(C:C, B:B=E134))"),"7")</f>
        <v>7</v>
      </c>
      <c r="H134" s="62"/>
      <c r="I134" s="63"/>
    </row>
    <row r="135">
      <c r="A135" s="61">
        <v>134.0</v>
      </c>
      <c r="B135" s="64" t="str">
        <f>Sheet1!AE16</f>
        <v>kaemia</v>
      </c>
      <c r="C135" s="61">
        <v>7.0</v>
      </c>
      <c r="E135" s="64" t="s">
        <v>414</v>
      </c>
      <c r="F135" s="64" t="str">
        <f>IFERROR(__xludf.DUMMYFUNCTION("TEXTJOIN("", "", TRUE, FILTER(C:C, B:B=E135))"),"7")</f>
        <v>7</v>
      </c>
      <c r="H135" s="62"/>
      <c r="I135" s="63"/>
    </row>
    <row r="136">
      <c r="A136" s="61">
        <v>135.0</v>
      </c>
      <c r="B136" s="64" t="str">
        <f>Sheet1!AE17</f>
        <v>dinoraan</v>
      </c>
      <c r="C136" s="61">
        <v>7.0</v>
      </c>
      <c r="E136" s="64" t="s">
        <v>443</v>
      </c>
      <c r="F136" s="64" t="str">
        <f>IFERROR(__xludf.DUMMYFUNCTION("TEXTJOIN("", "", TRUE, FILTER(C:C, B:B=E136))"),"7")</f>
        <v>7</v>
      </c>
      <c r="H136" s="62"/>
      <c r="I136" s="63"/>
    </row>
    <row r="137">
      <c r="A137" s="61">
        <v>136.0</v>
      </c>
      <c r="B137" s="64" t="str">
        <f>Sheet1!AE18</f>
        <v>glossmoves</v>
      </c>
      <c r="C137" s="61">
        <v>7.0</v>
      </c>
      <c r="E137" s="64" t="s">
        <v>472</v>
      </c>
      <c r="F137" s="64" t="str">
        <f>IFERROR(__xludf.DUMMYFUNCTION("TEXTJOIN("", "", TRUE, FILTER(C:C, B:B=E137))"),"7")</f>
        <v>7</v>
      </c>
      <c r="H137" s="62"/>
      <c r="I137" s="63"/>
    </row>
    <row r="138">
      <c r="A138" s="61">
        <v>137.0</v>
      </c>
      <c r="B138" s="64" t="str">
        <f>Sheet1!AE19</f>
        <v>karimilanivlogs</v>
      </c>
      <c r="C138" s="61">
        <v>7.0</v>
      </c>
      <c r="E138" s="64" t="s">
        <v>504</v>
      </c>
      <c r="F138" s="64" t="str">
        <f>IFERROR(__xludf.DUMMYFUNCTION("TEXTJOIN("", "", TRUE, FILTER(C:C, B:B=E138))"),"7")</f>
        <v>7</v>
      </c>
      <c r="H138" s="62"/>
      <c r="I138" s="63"/>
    </row>
    <row r="139">
      <c r="A139" s="61">
        <v>138.0</v>
      </c>
      <c r="B139" s="64" t="str">
        <f>Sheet1!AE20</f>
        <v>sophiesticated618</v>
      </c>
      <c r="C139" s="61">
        <v>7.0</v>
      </c>
      <c r="E139" s="64" t="s">
        <v>533</v>
      </c>
      <c r="F139" s="64" t="str">
        <f>IFERROR(__xludf.DUMMYFUNCTION("TEXTJOIN("", "", TRUE, FILTER(C:C, B:B=E139))"),"7")</f>
        <v>7</v>
      </c>
      <c r="H139" s="62"/>
      <c r="I139" s="63"/>
    </row>
    <row r="140">
      <c r="A140" s="61">
        <v>139.0</v>
      </c>
      <c r="B140" s="64" t="str">
        <f>Sheet1!AE21</f>
        <v>taylor_zaydie</v>
      </c>
      <c r="C140" s="61">
        <v>7.0</v>
      </c>
      <c r="E140" s="64" t="s">
        <v>562</v>
      </c>
      <c r="F140" s="64" t="str">
        <f>IFERROR(__xludf.DUMMYFUNCTION("TEXTJOIN("", "", TRUE, FILTER(C:C, B:B=E140))"),"7")</f>
        <v>7</v>
      </c>
      <c r="H140" s="62"/>
      <c r="I140" s="63"/>
    </row>
    <row r="141">
      <c r="A141" s="61">
        <v>140.0</v>
      </c>
      <c r="B141" s="64" t="str">
        <f>Sheet1!AE22</f>
        <v>imanisallahh</v>
      </c>
      <c r="C141" s="61">
        <v>7.0</v>
      </c>
      <c r="E141" s="64" t="s">
        <v>592</v>
      </c>
      <c r="F141" s="64" t="str">
        <f>IFERROR(__xludf.DUMMYFUNCTION("TEXTJOIN("", "", TRUE, FILTER(C:C, B:B=E141))"),"7")</f>
        <v>7</v>
      </c>
      <c r="H141" s="62"/>
      <c r="I141" s="63"/>
    </row>
    <row r="142">
      <c r="A142" s="61">
        <v>141.0</v>
      </c>
      <c r="B142" s="64" t="str">
        <f>Sheet1!AJ3</f>
        <v>kiannady_</v>
      </c>
      <c r="C142" s="61">
        <v>8.0</v>
      </c>
      <c r="E142" s="64" t="s">
        <v>39</v>
      </c>
      <c r="F142" s="64" t="str">
        <f>IFERROR(__xludf.DUMMYFUNCTION("TEXTJOIN("", "", TRUE, FILTER(C:C, B:B=E142))"),"8, 8, 10")</f>
        <v>8, 8, 10</v>
      </c>
      <c r="H142" s="62"/>
      <c r="I142" s="63"/>
    </row>
    <row r="143">
      <c r="A143" s="61">
        <v>142.0</v>
      </c>
      <c r="B143" s="64" t="str">
        <f>Sheet1!AJ4</f>
        <v>esnyrrr</v>
      </c>
      <c r="C143" s="61">
        <v>8.0</v>
      </c>
      <c r="E143" s="64" t="s">
        <v>67</v>
      </c>
      <c r="F143" s="64" t="str">
        <f>IFERROR(__xludf.DUMMYFUNCTION("TEXTJOIN("", "", TRUE, FILTER(C:C, B:B=E143))"),"8")</f>
        <v>8</v>
      </c>
      <c r="H143" s="62"/>
      <c r="I143" s="63"/>
    </row>
    <row r="144">
      <c r="A144" s="61">
        <v>143.0</v>
      </c>
      <c r="B144" s="65" t="str">
        <f>Sheet1!AJ5</f>
        <v>retractables.ph</v>
      </c>
      <c r="C144" s="61">
        <v>8.0</v>
      </c>
      <c r="E144" s="65" t="s">
        <v>98</v>
      </c>
      <c r="F144" s="64" t="str">
        <f>IFERROR(__xludf.DUMMYFUNCTION("TEXTJOIN("", "", TRUE, FILTER(C:C, B:B=E144))"),"8")</f>
        <v>8</v>
      </c>
      <c r="H144" s="62"/>
      <c r="I144" s="63"/>
    </row>
    <row r="145">
      <c r="A145" s="61">
        <v>144.0</v>
      </c>
      <c r="B145" s="64" t="str">
        <f>Sheet1!AJ6</f>
        <v>sharladavyna</v>
      </c>
      <c r="C145" s="61">
        <v>8.0</v>
      </c>
      <c r="E145" s="64" t="s">
        <v>130</v>
      </c>
      <c r="F145" s="64" t="str">
        <f>IFERROR(__xludf.DUMMYFUNCTION("TEXTJOIN("", "", TRUE, FILTER(C:C, B:B=E145))"),"8")</f>
        <v>8</v>
      </c>
      <c r="H145" s="62"/>
      <c r="I145" s="63"/>
    </row>
    <row r="146">
      <c r="A146" s="61">
        <v>145.0</v>
      </c>
      <c r="B146" s="64" t="str">
        <f>Sheet1!AJ7</f>
        <v>aaalxandra</v>
      </c>
      <c r="C146" s="61">
        <v>8.0</v>
      </c>
      <c r="E146" s="64" t="s">
        <v>160</v>
      </c>
      <c r="F146" s="64" t="str">
        <f>IFERROR(__xludf.DUMMYFUNCTION("TEXTJOIN("", "", TRUE, FILTER(C:C, B:B=E146))"),"8")</f>
        <v>8</v>
      </c>
      <c r="H146" s="62"/>
      <c r="I146" s="63"/>
    </row>
    <row r="147">
      <c r="A147" s="61">
        <v>146.0</v>
      </c>
      <c r="B147" s="64" t="str">
        <f>Sheet1!AJ8</f>
        <v>heart_avii</v>
      </c>
      <c r="C147" s="61">
        <v>8.0</v>
      </c>
      <c r="E147" s="64" t="s">
        <v>189</v>
      </c>
      <c r="F147" s="64" t="str">
        <f>IFERROR(__xludf.DUMMYFUNCTION("TEXTJOIN("", "", TRUE, FILTER(C:C, B:B=E147))"),"8")</f>
        <v>8</v>
      </c>
      <c r="H147" s="62"/>
      <c r="I147" s="63"/>
    </row>
    <row r="148">
      <c r="A148" s="61">
        <v>147.0</v>
      </c>
      <c r="B148" s="64" t="str">
        <f>Sheet1!AJ9</f>
        <v>casey.dasilva</v>
      </c>
      <c r="C148" s="61">
        <v>8.0</v>
      </c>
      <c r="E148" s="64" t="s">
        <v>216</v>
      </c>
      <c r="F148" s="64" t="str">
        <f>IFERROR(__xludf.DUMMYFUNCTION("TEXTJOIN("", "", TRUE, FILTER(C:C, B:B=E148))"),"8")</f>
        <v>8</v>
      </c>
      <c r="H148" s="62"/>
      <c r="I148" s="63"/>
    </row>
    <row r="149">
      <c r="A149" s="61">
        <v>148.0</v>
      </c>
      <c r="B149" s="64" t="str">
        <f>Sheet1!AJ10</f>
        <v>cocoriroo</v>
      </c>
      <c r="C149" s="61">
        <v>8.0</v>
      </c>
      <c r="E149" s="64" t="s">
        <v>247</v>
      </c>
      <c r="F149" s="64" t="str">
        <f>IFERROR(__xludf.DUMMYFUNCTION("TEXTJOIN("", "", TRUE, FILTER(C:C, B:B=E149))"),"8")</f>
        <v>8</v>
      </c>
      <c r="H149" s="62"/>
      <c r="I149" s="63"/>
    </row>
    <row r="150">
      <c r="A150" s="61">
        <v>149.0</v>
      </c>
      <c r="B150" s="64" t="str">
        <f>Sheet1!AJ11</f>
        <v>ellaaa.killa</v>
      </c>
      <c r="C150" s="61">
        <v>8.0</v>
      </c>
      <c r="E150" s="64" t="s">
        <v>276</v>
      </c>
      <c r="F150" s="64" t="str">
        <f>IFERROR(__xludf.DUMMYFUNCTION("TEXTJOIN("", "", TRUE, FILTER(C:C, B:B=E150))"),"8")</f>
        <v>8</v>
      </c>
      <c r="H150" s="62"/>
      <c r="I150" s="63"/>
    </row>
    <row r="151">
      <c r="A151" s="61">
        <v>150.0</v>
      </c>
      <c r="B151" s="64" t="str">
        <f>Sheet1!AJ12</f>
        <v>_pottea</v>
      </c>
      <c r="C151" s="61">
        <v>8.0</v>
      </c>
      <c r="E151" s="64" t="s">
        <v>303</v>
      </c>
      <c r="F151" s="64" t="str">
        <f>IFERROR(__xludf.DUMMYFUNCTION("TEXTJOIN("", "", TRUE, FILTER(C:C, B:B=E151))"),"8")</f>
        <v>8</v>
      </c>
      <c r="H151" s="62"/>
      <c r="I151" s="63"/>
    </row>
    <row r="152">
      <c r="A152" s="61">
        <v>151.0</v>
      </c>
      <c r="B152" s="64" t="str">
        <f>Sheet1!AJ13</f>
        <v>silly.monse</v>
      </c>
      <c r="C152" s="61">
        <v>8.0</v>
      </c>
      <c r="E152" s="64" t="s">
        <v>331</v>
      </c>
      <c r="F152" s="64" t="str">
        <f>IFERROR(__xludf.DUMMYFUNCTION("TEXTJOIN("", "", TRUE, FILTER(C:C, B:B=E152))"),"8")</f>
        <v>8</v>
      </c>
      <c r="H152" s="62"/>
      <c r="I152" s="63"/>
    </row>
    <row r="153">
      <c r="A153" s="61">
        <v>152.0</v>
      </c>
      <c r="B153" s="64" t="str">
        <f>Sheet1!AJ14</f>
        <v>nathandegrn</v>
      </c>
      <c r="C153" s="61">
        <v>8.0</v>
      </c>
      <c r="E153" s="64" t="s">
        <v>357</v>
      </c>
      <c r="F153" s="64" t="str">
        <f>IFERROR(__xludf.DUMMYFUNCTION("TEXTJOIN("", "", TRUE, FILTER(C:C, B:B=E153))"),"8")</f>
        <v>8</v>
      </c>
      <c r="H153" s="62"/>
      <c r="I153" s="63"/>
    </row>
    <row r="154">
      <c r="A154" s="61">
        <v>153.0</v>
      </c>
      <c r="B154" s="64" t="str">
        <f>Sheet1!AJ15</f>
        <v>douknowkent</v>
      </c>
      <c r="C154" s="61">
        <v>8.0</v>
      </c>
      <c r="E154" s="64" t="s">
        <v>387</v>
      </c>
      <c r="F154" s="64" t="str">
        <f>IFERROR(__xludf.DUMMYFUNCTION("TEXTJOIN("", "", TRUE, FILTER(C:C, B:B=E154))"),"8")</f>
        <v>8</v>
      </c>
      <c r="H154" s="62"/>
      <c r="I154" s="63"/>
    </row>
    <row r="155">
      <c r="A155" s="61">
        <v>154.0</v>
      </c>
      <c r="B155" s="64" t="str">
        <f>Sheet1!AJ16</f>
        <v>jessicafakhri</v>
      </c>
      <c r="C155" s="61">
        <v>8.0</v>
      </c>
      <c r="E155" s="64" t="s">
        <v>417</v>
      </c>
      <c r="F155" s="64" t="str">
        <f>IFERROR(__xludf.DUMMYFUNCTION("TEXTJOIN("", "", TRUE, FILTER(C:C, B:B=E155))"),"8")</f>
        <v>8</v>
      </c>
      <c r="H155" s="62"/>
      <c r="I155" s="63"/>
    </row>
    <row r="156">
      <c r="A156" s="61">
        <v>155.0</v>
      </c>
      <c r="B156" s="64" t="str">
        <f>Sheet1!AJ17</f>
        <v>kiannady_</v>
      </c>
      <c r="C156" s="61">
        <v>8.0</v>
      </c>
      <c r="E156" s="64" t="s">
        <v>474</v>
      </c>
      <c r="F156" s="64" t="str">
        <f>IFERROR(__xludf.DUMMYFUNCTION("TEXTJOIN("", "", TRUE, FILTER(C:C, B:B=E156))"),"8")</f>
        <v>8</v>
      </c>
      <c r="H156" s="62"/>
      <c r="I156" s="63"/>
    </row>
    <row r="157">
      <c r="A157" s="61">
        <v>156.0</v>
      </c>
      <c r="B157" s="64" t="str">
        <f>Sheet1!AJ18</f>
        <v>lincandcanyon</v>
      </c>
      <c r="C157" s="61">
        <v>8.0</v>
      </c>
      <c r="E157" s="64" t="s">
        <v>507</v>
      </c>
      <c r="F157" s="64" t="str">
        <f>IFERROR(__xludf.DUMMYFUNCTION("TEXTJOIN("", "", TRUE, FILTER(C:C, B:B=E157))"),"8")</f>
        <v>8</v>
      </c>
      <c r="H157" s="62"/>
      <c r="I157" s="63"/>
    </row>
    <row r="158">
      <c r="A158" s="61">
        <v>157.0</v>
      </c>
      <c r="B158" s="64" t="str">
        <f>Sheet1!AJ19</f>
        <v>kennyand_thejets</v>
      </c>
      <c r="C158" s="61">
        <v>8.0</v>
      </c>
      <c r="E158" s="64" t="s">
        <v>535</v>
      </c>
      <c r="F158" s="64" t="str">
        <f>IFERROR(__xludf.DUMMYFUNCTION("TEXTJOIN("", "", TRUE, FILTER(C:C, B:B=E158))"),"8")</f>
        <v>8</v>
      </c>
      <c r="H158" s="62"/>
      <c r="I158" s="63"/>
    </row>
    <row r="159">
      <c r="A159" s="61">
        <v>158.0</v>
      </c>
      <c r="B159" s="64" t="str">
        <f>Sheet1!AJ20</f>
        <v>yapi_so</v>
      </c>
      <c r="C159" s="61">
        <v>8.0</v>
      </c>
      <c r="E159" s="64" t="s">
        <v>564</v>
      </c>
      <c r="F159" s="64" t="str">
        <f>IFERROR(__xludf.DUMMYFUNCTION("TEXTJOIN("", "", TRUE, FILTER(C:C, B:B=E159))"),"8")</f>
        <v>8</v>
      </c>
      <c r="H159" s="62"/>
      <c r="I159" s="63"/>
    </row>
    <row r="160">
      <c r="A160" s="61">
        <v>159.0</v>
      </c>
      <c r="B160" s="64" t="str">
        <f>Sheet1!AJ21</f>
        <v>rip_on_heaven</v>
      </c>
      <c r="C160" s="61">
        <v>8.0</v>
      </c>
      <c r="E160" s="64" t="s">
        <v>594</v>
      </c>
      <c r="F160" s="64" t="str">
        <f>IFERROR(__xludf.DUMMYFUNCTION("TEXTJOIN("", "", TRUE, FILTER(C:C, B:B=E160))"),"8")</f>
        <v>8</v>
      </c>
      <c r="H160" s="62"/>
      <c r="I160" s="63"/>
    </row>
    <row r="161">
      <c r="A161" s="61">
        <v>160.0</v>
      </c>
      <c r="B161" s="64" t="str">
        <f>Sheet1!AJ22</f>
        <v>kikaydinsay_</v>
      </c>
      <c r="C161" s="61">
        <v>8.0</v>
      </c>
      <c r="E161" s="64" t="s">
        <v>41</v>
      </c>
      <c r="F161" s="64" t="str">
        <f>IFERROR(__xludf.DUMMYFUNCTION("TEXTJOIN("", "", TRUE, FILTER(C:C, B:B=E161))"),"9")</f>
        <v>9</v>
      </c>
      <c r="H161" s="62"/>
      <c r="I161" s="63"/>
    </row>
    <row r="162">
      <c r="A162" s="61">
        <v>161.0</v>
      </c>
      <c r="B162" s="64" t="str">
        <f>Sheet1!AO3</f>
        <v>laneigeca</v>
      </c>
      <c r="C162" s="61">
        <v>9.0</v>
      </c>
      <c r="E162" s="64" t="s">
        <v>69</v>
      </c>
      <c r="F162" s="64" t="str">
        <f>IFERROR(__xludf.DUMMYFUNCTION("TEXTJOIN("", "", TRUE, FILTER(C:C, B:B=E162))"),"9")</f>
        <v>9</v>
      </c>
      <c r="H162" s="62"/>
      <c r="I162" s="63"/>
    </row>
    <row r="163">
      <c r="A163" s="61">
        <v>162.0</v>
      </c>
      <c r="B163" s="64" t="str">
        <f>Sheet1!AO4</f>
        <v>chatimeph</v>
      </c>
      <c r="C163" s="61">
        <v>9.0</v>
      </c>
      <c r="E163" s="65" t="s">
        <v>100</v>
      </c>
      <c r="F163" s="64" t="str">
        <f>IFERROR(__xludf.DUMMYFUNCTION("TEXTJOIN("", "", TRUE, FILTER(C:C, B:B=E163))"),"9")</f>
        <v>9</v>
      </c>
      <c r="H163" s="62"/>
      <c r="I163" s="63"/>
    </row>
    <row r="164">
      <c r="A164" s="61">
        <v>163.0</v>
      </c>
      <c r="B164" s="65" t="str">
        <f>Sheet1!AO5</f>
        <v>theoriginote.ph</v>
      </c>
      <c r="C164" s="61">
        <v>9.0</v>
      </c>
      <c r="E164" s="64" t="s">
        <v>132</v>
      </c>
      <c r="F164" s="64" t="str">
        <f>IFERROR(__xludf.DUMMYFUNCTION("TEXTJOIN("", "", TRUE, FILTER(C:C, B:B=E164))"),"9")</f>
        <v>9</v>
      </c>
      <c r="H164" s="62"/>
      <c r="I164" s="63"/>
    </row>
    <row r="165">
      <c r="A165" s="61">
        <v>164.0</v>
      </c>
      <c r="B165" s="64" t="str">
        <f>Sheet1!AO6</f>
        <v>gvnthelabel</v>
      </c>
      <c r="C165" s="61">
        <v>9.0</v>
      </c>
      <c r="E165" s="64" t="s">
        <v>162</v>
      </c>
      <c r="F165" s="64" t="str">
        <f>IFERROR(__xludf.DUMMYFUNCTION("TEXTJOIN("", "", TRUE, FILTER(C:C, B:B=E165))"),"9")</f>
        <v>9</v>
      </c>
      <c r="H165" s="62"/>
      <c r="I165" s="63"/>
    </row>
    <row r="166">
      <c r="A166" s="61">
        <v>165.0</v>
      </c>
      <c r="B166" s="64" t="str">
        <f>Sheet1!AO7</f>
        <v>spencer.barbosa</v>
      </c>
      <c r="C166" s="61">
        <v>9.0</v>
      </c>
      <c r="E166" s="64" t="s">
        <v>192</v>
      </c>
      <c r="F166" s="64" t="str">
        <f>IFERROR(__xludf.DUMMYFUNCTION("TEXTJOIN("", "", TRUE, FILTER(C:C, B:B=E166))"),"9, 9")</f>
        <v>9, 9</v>
      </c>
      <c r="H166" s="62"/>
      <c r="I166" s="63"/>
    </row>
    <row r="167">
      <c r="A167" s="61">
        <v>166.0</v>
      </c>
      <c r="B167" s="64" t="str">
        <f>Sheet1!AO8</f>
        <v>kristyna.zamcova</v>
      </c>
      <c r="C167" s="61">
        <v>9.0</v>
      </c>
      <c r="E167" s="64" t="s">
        <v>219</v>
      </c>
      <c r="F167" s="64" t="str">
        <f>IFERROR(__xludf.DUMMYFUNCTION("TEXTJOIN("", "", TRUE, FILTER(C:C, B:B=E167))"),"9")</f>
        <v>9</v>
      </c>
      <c r="H167" s="62"/>
      <c r="I167" s="63"/>
    </row>
    <row r="168">
      <c r="A168" s="61">
        <v>167.0</v>
      </c>
      <c r="B168" s="64" t="str">
        <f>Sheet1!AO9</f>
        <v>nausikamalshi</v>
      </c>
      <c r="C168" s="61">
        <v>9.0</v>
      </c>
      <c r="E168" s="64" t="s">
        <v>249</v>
      </c>
      <c r="F168" s="64" t="str">
        <f>IFERROR(__xludf.DUMMYFUNCTION("TEXTJOIN("", "", TRUE, FILTER(C:C, B:B=E168))"),"9")</f>
        <v>9</v>
      </c>
      <c r="H168" s="62"/>
      <c r="I168" s="63"/>
    </row>
    <row r="169">
      <c r="A169" s="61">
        <v>168.0</v>
      </c>
      <c r="B169" s="64" t="str">
        <f>Sheet1!AO10</f>
        <v>klaileaj</v>
      </c>
      <c r="C169" s="61">
        <v>9.0</v>
      </c>
      <c r="E169" s="64" t="s">
        <v>278</v>
      </c>
      <c r="F169" s="64" t="str">
        <f>IFERROR(__xludf.DUMMYFUNCTION("TEXTJOIN("", "", TRUE, FILTER(C:C, B:B=E169))"),"9")</f>
        <v>9</v>
      </c>
      <c r="H169" s="62"/>
      <c r="I169" s="63"/>
    </row>
    <row r="170">
      <c r="A170" s="61">
        <v>169.0</v>
      </c>
      <c r="B170" s="64" t="str">
        <f>Sheet1!AO11</f>
        <v>chimamalko</v>
      </c>
      <c r="C170" s="61">
        <v>9.0</v>
      </c>
      <c r="E170" s="64" t="s">
        <v>305</v>
      </c>
      <c r="F170" s="64" t="str">
        <f>IFERROR(__xludf.DUMMYFUNCTION("TEXTJOIN("", "", TRUE, FILTER(C:C, B:B=E170))"),"9")</f>
        <v>9</v>
      </c>
      <c r="H170" s="62"/>
      <c r="I170" s="63"/>
    </row>
    <row r="171">
      <c r="A171" s="61">
        <v>170.0</v>
      </c>
      <c r="B171" s="64" t="str">
        <f>Sheet1!AO12</f>
        <v>rarebreezy_shoes</v>
      </c>
      <c r="C171" s="61">
        <v>9.0</v>
      </c>
      <c r="E171" s="64" t="s">
        <v>359</v>
      </c>
      <c r="F171" s="64" t="str">
        <f>IFERROR(__xludf.DUMMYFUNCTION("TEXTJOIN("", "", TRUE, FILTER(C:C, B:B=E171))"),"9")</f>
        <v>9</v>
      </c>
      <c r="H171" s="62"/>
      <c r="I171" s="63"/>
    </row>
    <row r="172">
      <c r="A172" s="61">
        <v>171.0</v>
      </c>
      <c r="B172" s="64" t="str">
        <f>Sheet1!AO13</f>
        <v>kristyna.zamcova</v>
      </c>
      <c r="C172" s="61">
        <v>9.0</v>
      </c>
      <c r="E172" s="64" t="s">
        <v>389</v>
      </c>
      <c r="F172" s="64" t="str">
        <f>IFERROR(__xludf.DUMMYFUNCTION("TEXTJOIN("", "", TRUE, FILTER(C:C, B:B=E172))"),"9")</f>
        <v>9</v>
      </c>
      <c r="H172" s="62"/>
      <c r="I172" s="63"/>
    </row>
    <row r="173">
      <c r="A173" s="61">
        <v>172.0</v>
      </c>
      <c r="B173" s="64" t="str">
        <f>Sheet1!AO14</f>
        <v>mollyatmidnight</v>
      </c>
      <c r="C173" s="61">
        <v>9.0</v>
      </c>
      <c r="E173" s="64" t="s">
        <v>419</v>
      </c>
      <c r="F173" s="64" t="str">
        <f>IFERROR(__xludf.DUMMYFUNCTION("TEXTJOIN("", "", TRUE, FILTER(C:C, B:B=E173))"),"9")</f>
        <v>9</v>
      </c>
      <c r="H173" s="62"/>
      <c r="I173" s="63"/>
    </row>
    <row r="174">
      <c r="A174" s="61">
        <v>173.0</v>
      </c>
      <c r="B174" s="64" t="str">
        <f>Sheet1!AO15</f>
        <v>skylar_diecast</v>
      </c>
      <c r="C174" s="61">
        <v>9.0</v>
      </c>
      <c r="E174" s="65" t="s">
        <v>447</v>
      </c>
      <c r="F174" s="64" t="str">
        <f>IFERROR(__xludf.DUMMYFUNCTION("TEXTJOIN("", "", TRUE, FILTER(C:C, B:B=E174))"),"9")</f>
        <v>9</v>
      </c>
      <c r="H174" s="62"/>
      <c r="I174" s="63"/>
    </row>
    <row r="175">
      <c r="A175" s="61">
        <v>174.0</v>
      </c>
      <c r="B175" s="64" t="str">
        <f>Sheet1!AO16</f>
        <v>anastasia.c.chronicles</v>
      </c>
      <c r="C175" s="61">
        <v>9.0</v>
      </c>
      <c r="E175" s="64" t="s">
        <v>477</v>
      </c>
      <c r="F175" s="64" t="str">
        <f>IFERROR(__xludf.DUMMYFUNCTION("TEXTJOIN("", "", TRUE, FILTER(C:C, B:B=E175))"),"9")</f>
        <v>9</v>
      </c>
      <c r="H175" s="62"/>
      <c r="I175" s="63"/>
    </row>
    <row r="176">
      <c r="A176" s="61">
        <v>175.0</v>
      </c>
      <c r="B176" s="65" t="str">
        <f>Sheet1!AO17</f>
        <v>rebisco.ph</v>
      </c>
      <c r="C176" s="61">
        <v>9.0</v>
      </c>
      <c r="E176" s="64" t="s">
        <v>509</v>
      </c>
      <c r="F176" s="64" t="str">
        <f>IFERROR(__xludf.DUMMYFUNCTION("TEXTJOIN("", "", TRUE, FILTER(C:C, B:B=E176))"),"9")</f>
        <v>9</v>
      </c>
      <c r="H176" s="62"/>
      <c r="I176" s="63"/>
    </row>
    <row r="177">
      <c r="A177" s="61">
        <v>176.0</v>
      </c>
      <c r="B177" s="64" t="str">
        <f>Sheet1!AO18</f>
        <v>gabyy.library</v>
      </c>
      <c r="C177" s="61">
        <v>9.0</v>
      </c>
      <c r="E177" s="64" t="s">
        <v>537</v>
      </c>
      <c r="F177" s="64" t="str">
        <f>IFERROR(__xludf.DUMMYFUNCTION("TEXTJOIN("", "", TRUE, FILTER(C:C, B:B=E177))"),"9")</f>
        <v>9</v>
      </c>
      <c r="H177" s="62"/>
      <c r="I177" s="63"/>
    </row>
    <row r="178">
      <c r="A178" s="61">
        <v>177.0</v>
      </c>
      <c r="B178" s="64" t="str">
        <f>Sheet1!AO19</f>
        <v>fitsbymon</v>
      </c>
      <c r="C178" s="61">
        <v>9.0</v>
      </c>
      <c r="E178" s="64" t="s">
        <v>566</v>
      </c>
      <c r="F178" s="64" t="str">
        <f>IFERROR(__xludf.DUMMYFUNCTION("TEXTJOIN("", "", TRUE, FILTER(C:C, B:B=E178))"),"9")</f>
        <v>9</v>
      </c>
      <c r="H178" s="62"/>
      <c r="I178" s="63"/>
    </row>
    <row r="179">
      <c r="A179" s="61">
        <v>178.0</v>
      </c>
      <c r="B179" s="64" t="str">
        <f>Sheet1!AO20</f>
        <v>mynameisadrienne</v>
      </c>
      <c r="C179" s="61">
        <v>9.0</v>
      </c>
      <c r="E179" s="64" t="s">
        <v>597</v>
      </c>
      <c r="F179" s="64" t="str">
        <f>IFERROR(__xludf.DUMMYFUNCTION("TEXTJOIN("", "", TRUE, FILTER(C:C, B:B=E179))"),"9")</f>
        <v>9</v>
      </c>
      <c r="H179" s="62"/>
      <c r="I179" s="63"/>
    </row>
    <row r="180">
      <c r="A180" s="61">
        <v>179.0</v>
      </c>
      <c r="B180" s="64" t="str">
        <f>Sheet1!AO21</f>
        <v>sksnnbwe</v>
      </c>
      <c r="C180" s="61">
        <v>9.0</v>
      </c>
      <c r="E180" s="64" t="s">
        <v>71</v>
      </c>
      <c r="F180" s="64" t="str">
        <f>IFERROR(__xludf.DUMMYFUNCTION("TEXTJOIN("", "", TRUE, FILTER(C:C, B:B=E180))"),"10")</f>
        <v>10</v>
      </c>
      <c r="H180" s="62"/>
      <c r="I180" s="63"/>
    </row>
    <row r="181">
      <c r="A181" s="61">
        <v>180.0</v>
      </c>
      <c r="B181" s="64" t="str">
        <f>Sheet1!AO22</f>
        <v>leahgiggle</v>
      </c>
      <c r="C181" s="61">
        <v>9.0</v>
      </c>
      <c r="E181" s="64" t="s">
        <v>102</v>
      </c>
      <c r="F181" s="64" t="str">
        <f>IFERROR(__xludf.DUMMYFUNCTION("TEXTJOIN("", "", TRUE, FILTER(C:C, B:B=E181))"),"10")</f>
        <v>10</v>
      </c>
      <c r="H181" s="62"/>
      <c r="I181" s="63"/>
    </row>
    <row r="182">
      <c r="A182" s="61">
        <v>181.0</v>
      </c>
      <c r="B182" s="64" t="str">
        <f>Sheet1!AT3</f>
        <v>kiannady_</v>
      </c>
      <c r="C182" s="61">
        <v>10.0</v>
      </c>
      <c r="E182" s="64" t="s">
        <v>134</v>
      </c>
      <c r="F182" s="64" t="str">
        <f>IFERROR(__xludf.DUMMYFUNCTION("TEXTJOIN("", "", TRUE, FILTER(C:C, B:B=E182))"),"10")</f>
        <v>10</v>
      </c>
      <c r="H182" s="62"/>
      <c r="I182" s="63"/>
    </row>
    <row r="183">
      <c r="A183" s="61">
        <v>182.0</v>
      </c>
      <c r="B183" s="64" t="str">
        <f>Sheet1!AT4</f>
        <v>samantha.franz</v>
      </c>
      <c r="C183" s="61">
        <v>10.0</v>
      </c>
      <c r="E183" s="64" t="s">
        <v>164</v>
      </c>
      <c r="F183" s="64" t="str">
        <f>IFERROR(__xludf.DUMMYFUNCTION("TEXTJOIN("", "", TRUE, FILTER(C:C, B:B=E183))"),"10")</f>
        <v>10</v>
      </c>
      <c r="H183" s="62"/>
      <c r="I183" s="63"/>
    </row>
    <row r="184">
      <c r="A184" s="61">
        <v>183.0</v>
      </c>
      <c r="B184" s="64" t="str">
        <f>Sheet1!AT5</f>
        <v>kailady</v>
      </c>
      <c r="C184" s="61">
        <v>10.0</v>
      </c>
      <c r="E184" s="64" t="s">
        <v>194</v>
      </c>
      <c r="F184" s="64" t="str">
        <f>IFERROR(__xludf.DUMMYFUNCTION("TEXTJOIN("", "", TRUE, FILTER(C:C, B:B=E184))"),"10")</f>
        <v>10</v>
      </c>
      <c r="H184" s="62"/>
      <c r="I184" s="63"/>
    </row>
    <row r="185">
      <c r="A185" s="61">
        <v>184.0</v>
      </c>
      <c r="B185" s="64" t="str">
        <f>Sheet1!AT6</f>
        <v>kare.bautista</v>
      </c>
      <c r="C185" s="61">
        <v>10.0</v>
      </c>
      <c r="E185" s="64" t="s">
        <v>221</v>
      </c>
      <c r="F185" s="64" t="str">
        <f>IFERROR(__xludf.DUMMYFUNCTION("TEXTJOIN("", "", TRUE, FILTER(C:C, B:B=E185))"),"10")</f>
        <v>10</v>
      </c>
      <c r="H185" s="62"/>
      <c r="I185" s="63"/>
    </row>
    <row r="186">
      <c r="A186" s="61">
        <v>185.0</v>
      </c>
      <c r="B186" s="64" t="str">
        <f>Sheet1!AT7</f>
        <v>h.akd0g</v>
      </c>
      <c r="C186" s="61">
        <v>10.0</v>
      </c>
      <c r="E186" s="64" t="s">
        <v>251</v>
      </c>
      <c r="F186" s="64" t="str">
        <f>IFERROR(__xludf.DUMMYFUNCTION("TEXTJOIN("", "", TRUE, FILTER(C:C, B:B=E186))"),"10")</f>
        <v>10</v>
      </c>
      <c r="H186" s="62"/>
      <c r="I186" s="63"/>
    </row>
    <row r="187">
      <c r="A187" s="61">
        <v>186.0</v>
      </c>
      <c r="B187" s="64" t="str">
        <f>Sheet1!AT8</f>
        <v>awrabriguela</v>
      </c>
      <c r="C187" s="61">
        <v>10.0</v>
      </c>
      <c r="E187" s="64" t="s">
        <v>280</v>
      </c>
      <c r="F187" s="64" t="str">
        <f>IFERROR(__xludf.DUMMYFUNCTION("TEXTJOIN("", "", TRUE, FILTER(C:C, B:B=E187))"),"10")</f>
        <v>10</v>
      </c>
      <c r="H187" s="62"/>
      <c r="I187" s="63"/>
    </row>
    <row r="188">
      <c r="A188" s="61">
        <v>187.0</v>
      </c>
      <c r="B188" s="64" t="str">
        <f>Sheet1!AT9</f>
        <v>russcojarvina_</v>
      </c>
      <c r="C188" s="61">
        <v>10.0</v>
      </c>
      <c r="E188" s="64" t="s">
        <v>307</v>
      </c>
      <c r="F188" s="64" t="str">
        <f>IFERROR(__xludf.DUMMYFUNCTION("TEXTJOIN("", "", TRUE, FILTER(C:C, B:B=E188))"),"10")</f>
        <v>10</v>
      </c>
      <c r="H188" s="62"/>
      <c r="I188" s="63"/>
    </row>
    <row r="189">
      <c r="A189" s="61">
        <v>188.0</v>
      </c>
      <c r="B189" s="64" t="str">
        <f>Sheet1!AT10</f>
        <v>daisiesfolife</v>
      </c>
      <c r="C189" s="61">
        <v>10.0</v>
      </c>
      <c r="E189" s="64" t="s">
        <v>334</v>
      </c>
      <c r="F189" s="64" t="str">
        <f>IFERROR(__xludf.DUMMYFUNCTION("TEXTJOIN("", "", TRUE, FILTER(C:C, B:B=E189))"),"10")</f>
        <v>10</v>
      </c>
      <c r="H189" s="62"/>
      <c r="I189" s="63"/>
    </row>
    <row r="190">
      <c r="A190" s="61">
        <v>189.0</v>
      </c>
      <c r="B190" s="64" t="str">
        <f>Sheet1!AT11</f>
        <v>kiody__</v>
      </c>
      <c r="C190" s="61">
        <v>10.0</v>
      </c>
      <c r="E190" s="64" t="s">
        <v>361</v>
      </c>
      <c r="F190" s="64" t="str">
        <f>IFERROR(__xludf.DUMMYFUNCTION("TEXTJOIN("", "", TRUE, FILTER(C:C, B:B=E190))"),"10")</f>
        <v>10</v>
      </c>
      <c r="H190" s="62"/>
      <c r="I190" s="63"/>
    </row>
    <row r="191">
      <c r="A191" s="61">
        <v>190.0</v>
      </c>
      <c r="B191" s="64" t="str">
        <f>Sheet1!AT12</f>
        <v>eriaaa_m</v>
      </c>
      <c r="C191" s="61">
        <v>10.0</v>
      </c>
      <c r="E191" s="64" t="s">
        <v>391</v>
      </c>
      <c r="F191" s="64" t="str">
        <f>IFERROR(__xludf.DUMMYFUNCTION("TEXTJOIN("", "", TRUE, FILTER(C:C, B:B=E191))"),"10")</f>
        <v>10</v>
      </c>
      <c r="H191" s="62"/>
      <c r="I191" s="63"/>
    </row>
    <row r="192">
      <c r="A192" s="61">
        <v>191.0</v>
      </c>
      <c r="B192" s="64" t="str">
        <f>Sheet1!AT13</f>
        <v>jellyaace._</v>
      </c>
      <c r="C192" s="61">
        <v>10.0</v>
      </c>
      <c r="E192" s="64" t="s">
        <v>421</v>
      </c>
      <c r="F192" s="64" t="str">
        <f>IFERROR(__xludf.DUMMYFUNCTION("TEXTJOIN("", "", TRUE, FILTER(C:C, B:B=E192))"),"10")</f>
        <v>10</v>
      </c>
      <c r="H192" s="62"/>
      <c r="I192" s="63"/>
    </row>
    <row r="193">
      <c r="A193" s="61">
        <v>192.0</v>
      </c>
      <c r="B193" s="64" t="str">
        <f>Sheet1!AT14</f>
        <v>bitanywatnat</v>
      </c>
      <c r="C193" s="61">
        <v>10.0</v>
      </c>
      <c r="E193" s="64" t="s">
        <v>449</v>
      </c>
      <c r="F193" s="64" t="str">
        <f>IFERROR(__xludf.DUMMYFUNCTION("TEXTJOIN("", "", TRUE, FILTER(C:C, B:B=E193))"),"10")</f>
        <v>10</v>
      </c>
      <c r="H193" s="62"/>
      <c r="I193" s="63"/>
    </row>
    <row r="194">
      <c r="A194" s="61">
        <v>193.0</v>
      </c>
      <c r="B194" s="64" t="str">
        <f>Sheet1!AT15</f>
        <v>louiemrn</v>
      </c>
      <c r="C194" s="61">
        <v>10.0</v>
      </c>
      <c r="E194" s="64" t="s">
        <v>479</v>
      </c>
      <c r="F194" s="64" t="str">
        <f>IFERROR(__xludf.DUMMYFUNCTION("TEXTJOIN("", "", TRUE, FILTER(C:C, B:B=E194))"),"10")</f>
        <v>10</v>
      </c>
      <c r="H194" s="62"/>
      <c r="I194" s="63"/>
    </row>
    <row r="195">
      <c r="A195" s="61">
        <v>194.0</v>
      </c>
      <c r="B195" s="64" t="str">
        <f>Sheet1!AT16</f>
        <v>andweaso</v>
      </c>
      <c r="C195" s="61">
        <v>10.0</v>
      </c>
      <c r="E195" s="64" t="s">
        <v>511</v>
      </c>
      <c r="F195" s="64" t="str">
        <f>IFERROR(__xludf.DUMMYFUNCTION("TEXTJOIN("", "", TRUE, FILTER(C:C, B:B=E195))"),"10")</f>
        <v>10</v>
      </c>
      <c r="H195" s="62"/>
      <c r="I195" s="63"/>
    </row>
    <row r="196">
      <c r="A196" s="61">
        <v>195.0</v>
      </c>
      <c r="B196" s="64" t="str">
        <f>Sheet1!AT17</f>
        <v>nacho.bizz</v>
      </c>
      <c r="C196" s="61">
        <v>10.0</v>
      </c>
      <c r="E196" s="64" t="s">
        <v>539</v>
      </c>
      <c r="F196" s="64" t="str">
        <f>IFERROR(__xludf.DUMMYFUNCTION("TEXTJOIN("", "", TRUE, FILTER(C:C, B:B=E196))"),"10")</f>
        <v>10</v>
      </c>
      <c r="H196" s="62"/>
      <c r="I196" s="63"/>
    </row>
    <row r="197">
      <c r="A197" s="61">
        <v>196.0</v>
      </c>
      <c r="B197" s="64" t="str">
        <f>Sheet1!AT18</f>
        <v>nicoleeeyxx</v>
      </c>
      <c r="C197" s="61">
        <v>10.0</v>
      </c>
      <c r="E197" s="64" t="s">
        <v>568</v>
      </c>
      <c r="F197" s="64" t="str">
        <f>IFERROR(__xludf.DUMMYFUNCTION("TEXTJOIN("", "", TRUE, FILTER(C:C, B:B=E197))"),"10")</f>
        <v>10</v>
      </c>
      <c r="H197" s="62"/>
      <c r="I197" s="63"/>
    </row>
    <row r="198">
      <c r="A198" s="61">
        <v>197.0</v>
      </c>
      <c r="B198" s="64" t="str">
        <f>Sheet1!AT19</f>
        <v>gmaregionaltv_</v>
      </c>
      <c r="C198" s="61">
        <v>10.0</v>
      </c>
      <c r="E198" s="64" t="s">
        <v>599</v>
      </c>
      <c r="F198" s="64" t="str">
        <f>IFERROR(__xludf.DUMMYFUNCTION("TEXTJOIN("", "", TRUE, FILTER(C:C, B:B=E198))"),"10")</f>
        <v>10</v>
      </c>
      <c r="H198" s="62"/>
      <c r="I198" s="63"/>
    </row>
    <row r="199">
      <c r="A199" s="61">
        <v>198.0</v>
      </c>
      <c r="B199" s="64" t="str">
        <f>Sheet1!AT20</f>
        <v>yzhakane</v>
      </c>
      <c r="C199" s="61">
        <v>10.0</v>
      </c>
      <c r="E199" s="65" t="s">
        <v>44</v>
      </c>
      <c r="F199" s="64" t="str">
        <f>IFERROR(__xludf.DUMMYFUNCTION("TEXTJOIN("", "", TRUE, FILTER(C:C, B:B=E199))"),"11")</f>
        <v>11</v>
      </c>
      <c r="H199" s="62"/>
      <c r="I199" s="63"/>
    </row>
    <row r="200">
      <c r="A200" s="61">
        <v>199.0</v>
      </c>
      <c r="B200" s="64" t="str">
        <f>Sheet1!AT21</f>
        <v>microwavablep0pcorn</v>
      </c>
      <c r="C200" s="61">
        <v>10.0</v>
      </c>
      <c r="E200" s="64" t="s">
        <v>73</v>
      </c>
      <c r="F200" s="64" t="str">
        <f>IFERROR(__xludf.DUMMYFUNCTION("TEXTJOIN("", "", TRUE, FILTER(C:C, B:B=E200))"),"11")</f>
        <v>11</v>
      </c>
      <c r="H200" s="62"/>
      <c r="I200" s="63"/>
    </row>
    <row r="201">
      <c r="A201" s="61">
        <v>200.0</v>
      </c>
      <c r="B201" s="64" t="str">
        <f>Sheet1!AT22</f>
        <v>chynnachuaa</v>
      </c>
      <c r="C201" s="61">
        <v>10.0</v>
      </c>
      <c r="E201" s="64" t="s">
        <v>104</v>
      </c>
      <c r="F201" s="64" t="str">
        <f>IFERROR(__xludf.DUMMYFUNCTION("TEXTJOIN("", "", TRUE, FILTER(C:C, B:B=E201))"),"11")</f>
        <v>11</v>
      </c>
      <c r="H201" s="62"/>
      <c r="I201" s="63"/>
    </row>
    <row r="202">
      <c r="A202" s="61">
        <v>201.0</v>
      </c>
      <c r="B202" s="65" t="str">
        <f>Sheet1!AY3</f>
        <v>tenten.io</v>
      </c>
      <c r="C202" s="61">
        <v>11.0</v>
      </c>
      <c r="E202" s="64" t="s">
        <v>137</v>
      </c>
      <c r="F202" s="64" t="str">
        <f>IFERROR(__xludf.DUMMYFUNCTION("TEXTJOIN("", "", TRUE, FILTER(C:C, B:B=E202))"),"11")</f>
        <v>11</v>
      </c>
      <c r="H202" s="62"/>
      <c r="I202" s="63"/>
    </row>
    <row r="203">
      <c r="A203" s="61">
        <v>202.0</v>
      </c>
      <c r="B203" s="64" t="str">
        <f>Sheet1!AY4</f>
        <v>bagel_yass.collec</v>
      </c>
      <c r="C203" s="61">
        <v>11.0</v>
      </c>
      <c r="E203" s="64" t="s">
        <v>166</v>
      </c>
      <c r="F203" s="64" t="str">
        <f>IFERROR(__xludf.DUMMYFUNCTION("TEXTJOIN("", "", TRUE, FILTER(C:C, B:B=E203))"),"11")</f>
        <v>11</v>
      </c>
      <c r="H203" s="62"/>
      <c r="I203" s="63"/>
    </row>
    <row r="204">
      <c r="A204" s="61">
        <v>203.0</v>
      </c>
      <c r="B204" s="64" t="str">
        <f>Sheet1!AY5</f>
        <v>nikishen1025</v>
      </c>
      <c r="C204" s="61">
        <v>11.0</v>
      </c>
      <c r="E204" s="64" t="s">
        <v>196</v>
      </c>
      <c r="F204" s="64" t="str">
        <f>IFERROR(__xludf.DUMMYFUNCTION("TEXTJOIN("", "", TRUE, FILTER(C:C, B:B=E204))"),"11")</f>
        <v>11</v>
      </c>
      <c r="H204" s="62"/>
      <c r="I204" s="63"/>
    </row>
    <row r="205">
      <c r="A205" s="61">
        <v>204.0</v>
      </c>
      <c r="B205" s="64" t="str">
        <f>Sheet1!AY6</f>
        <v>gabriella.sally</v>
      </c>
      <c r="C205" s="61">
        <v>11.0</v>
      </c>
      <c r="E205" s="64" t="s">
        <v>223</v>
      </c>
      <c r="F205" s="64" t="str">
        <f>IFERROR(__xludf.DUMMYFUNCTION("TEXTJOIN("", "", TRUE, FILTER(C:C, B:B=E205))"),"11")</f>
        <v>11</v>
      </c>
      <c r="H205" s="62"/>
      <c r="I205" s="63"/>
    </row>
    <row r="206">
      <c r="A206" s="61">
        <v>205.0</v>
      </c>
      <c r="B206" s="64" t="str">
        <f>Sheet1!AY7</f>
        <v>jackiecamardo</v>
      </c>
      <c r="C206" s="61">
        <v>11.0</v>
      </c>
      <c r="E206" s="64" t="s">
        <v>253</v>
      </c>
      <c r="F206" s="64" t="str">
        <f>IFERROR(__xludf.DUMMYFUNCTION("TEXTJOIN("", "", TRUE, FILTER(C:C, B:B=E206))"),"11")</f>
        <v>11</v>
      </c>
      <c r="H206" s="62"/>
      <c r="I206" s="63"/>
    </row>
    <row r="207">
      <c r="A207" s="61">
        <v>206.0</v>
      </c>
      <c r="B207" s="64" t="str">
        <f>Sheet1!AY8</f>
        <v>allenvert</v>
      </c>
      <c r="C207" s="61">
        <v>11.0</v>
      </c>
      <c r="E207" s="64" t="s">
        <v>282</v>
      </c>
      <c r="F207" s="64" t="str">
        <f>IFERROR(__xludf.DUMMYFUNCTION("TEXTJOIN("", "", TRUE, FILTER(C:C, B:B=E207))"),"11")</f>
        <v>11</v>
      </c>
      <c r="H207" s="62"/>
      <c r="I207" s="63"/>
    </row>
    <row r="208">
      <c r="A208" s="61">
        <v>207.0</v>
      </c>
      <c r="B208" s="64" t="str">
        <f>Sheet1!AY9</f>
        <v>sophia_hg1</v>
      </c>
      <c r="C208" s="61">
        <v>11.0</v>
      </c>
      <c r="E208" s="64" t="s">
        <v>309</v>
      </c>
      <c r="F208" s="64" t="str">
        <f>IFERROR(__xludf.DUMMYFUNCTION("TEXTJOIN("", "", TRUE, FILTER(C:C, B:B=E208))"),"11")</f>
        <v>11</v>
      </c>
      <c r="H208" s="62"/>
      <c r="I208" s="63"/>
    </row>
    <row r="209">
      <c r="A209" s="61">
        <v>208.0</v>
      </c>
      <c r="B209" s="64" t="str">
        <f>Sheet1!AY10</f>
        <v>erinruizart</v>
      </c>
      <c r="C209" s="61">
        <v>11.0</v>
      </c>
      <c r="E209" s="64" t="s">
        <v>336</v>
      </c>
      <c r="F209" s="64" t="str">
        <f>IFERROR(__xludf.DUMMYFUNCTION("TEXTJOIN("", "", TRUE, FILTER(C:C, B:B=E209))"),"11")</f>
        <v>11</v>
      </c>
      <c r="H209" s="62"/>
      <c r="I209" s="63"/>
    </row>
    <row r="210">
      <c r="A210" s="61">
        <v>209.0</v>
      </c>
      <c r="B210" s="64" t="str">
        <f>Sheet1!AY11</f>
        <v>alyyyjn_</v>
      </c>
      <c r="C210" s="61">
        <v>11.0</v>
      </c>
      <c r="E210" s="64" t="s">
        <v>363</v>
      </c>
      <c r="F210" s="64" t="str">
        <f>IFERROR(__xludf.DUMMYFUNCTION("TEXTJOIN("", "", TRUE, FILTER(C:C, B:B=E210))"),"11")</f>
        <v>11</v>
      </c>
      <c r="H210" s="62"/>
      <c r="I210" s="63"/>
    </row>
    <row r="211">
      <c r="A211" s="61">
        <v>210.0</v>
      </c>
      <c r="B211" s="64" t="str">
        <f>Sheet1!AY12</f>
        <v>noa..marin</v>
      </c>
      <c r="C211" s="61">
        <v>11.0</v>
      </c>
      <c r="E211" s="64" t="s">
        <v>393</v>
      </c>
      <c r="F211" s="64" t="str">
        <f>IFERROR(__xludf.DUMMYFUNCTION("TEXTJOIN("", "", TRUE, FILTER(C:C, B:B=E211))"),"11")</f>
        <v>11</v>
      </c>
      <c r="H211" s="62"/>
      <c r="I211" s="63"/>
    </row>
    <row r="212">
      <c r="A212" s="61">
        <v>211.0</v>
      </c>
      <c r="B212" s="64" t="str">
        <f>Sheet1!AY13</f>
        <v>kristinagenau</v>
      </c>
      <c r="C212" s="61">
        <v>11.0</v>
      </c>
      <c r="E212" s="64" t="s">
        <v>423</v>
      </c>
      <c r="F212" s="64" t="str">
        <f>IFERROR(__xludf.DUMMYFUNCTION("TEXTJOIN("", "", TRUE, FILTER(C:C, B:B=E212))"),"11")</f>
        <v>11</v>
      </c>
      <c r="H212" s="62"/>
      <c r="I212" s="63"/>
    </row>
    <row r="213">
      <c r="A213" s="61">
        <v>212.0</v>
      </c>
      <c r="B213" s="64" t="str">
        <f>Sheet1!AY14</f>
        <v>yoyo.spaces</v>
      </c>
      <c r="C213" s="61">
        <v>11.0</v>
      </c>
      <c r="E213" s="64" t="s">
        <v>451</v>
      </c>
      <c r="F213" s="64" t="str">
        <f>IFERROR(__xludf.DUMMYFUNCTION("TEXTJOIN("", "", TRUE, FILTER(C:C, B:B=E213))"),"11")</f>
        <v>11</v>
      </c>
      <c r="H213" s="62"/>
      <c r="I213" s="63"/>
    </row>
    <row r="214">
      <c r="A214" s="61">
        <v>213.0</v>
      </c>
      <c r="B214" s="64" t="str">
        <f>Sheet1!AY15</f>
        <v>auv.n.jack</v>
      </c>
      <c r="C214" s="61">
        <v>11.0</v>
      </c>
      <c r="E214" s="64" t="s">
        <v>481</v>
      </c>
      <c r="F214" s="64" t="str">
        <f>IFERROR(__xludf.DUMMYFUNCTION("TEXTJOIN("", "", TRUE, FILTER(C:C, B:B=E214))"),"11")</f>
        <v>11</v>
      </c>
      <c r="H214" s="62"/>
      <c r="I214" s="63"/>
    </row>
    <row r="215">
      <c r="A215" s="61">
        <v>214.0</v>
      </c>
      <c r="B215" s="64" t="str">
        <f>Sheet1!AY16</f>
        <v>mikaylademaiterr</v>
      </c>
      <c r="C215" s="61">
        <v>11.0</v>
      </c>
      <c r="E215" s="64" t="s">
        <v>513</v>
      </c>
      <c r="F215" s="64" t="str">
        <f>IFERROR(__xludf.DUMMYFUNCTION("TEXTJOIN("", "", TRUE, FILTER(C:C, B:B=E215))"),"11")</f>
        <v>11</v>
      </c>
      <c r="H215" s="62"/>
      <c r="I215" s="63"/>
    </row>
    <row r="216">
      <c r="A216" s="61">
        <v>215.0</v>
      </c>
      <c r="B216" s="64" t="str">
        <f>Sheet1!AY17</f>
        <v>biscuitaddict06</v>
      </c>
      <c r="C216" s="61">
        <v>11.0</v>
      </c>
      <c r="E216" s="64" t="s">
        <v>541</v>
      </c>
      <c r="F216" s="64" t="str">
        <f>IFERROR(__xludf.DUMMYFUNCTION("TEXTJOIN("", "", TRUE, FILTER(C:C, B:B=E216))"),"11")</f>
        <v>11</v>
      </c>
      <c r="H216" s="62"/>
      <c r="I216" s="63"/>
    </row>
    <row r="217">
      <c r="A217" s="61">
        <v>216.0</v>
      </c>
      <c r="B217" s="64" t="str">
        <f>Sheet1!AY18</f>
        <v>.vienna.s</v>
      </c>
      <c r="C217" s="61">
        <v>11.0</v>
      </c>
      <c r="E217" s="64" t="s">
        <v>570</v>
      </c>
      <c r="F217" s="64" t="str">
        <f>IFERROR(__xludf.DUMMYFUNCTION("TEXTJOIN("", "", TRUE, FILTER(C:C, B:B=E217))"),"11")</f>
        <v>11</v>
      </c>
      <c r="H217" s="62"/>
      <c r="I217" s="63"/>
    </row>
    <row r="218">
      <c r="A218" s="61">
        <v>217.0</v>
      </c>
      <c r="B218" s="64" t="str">
        <f>Sheet1!AY19</f>
        <v>theexerciseengineer</v>
      </c>
      <c r="C218" s="61">
        <v>11.0</v>
      </c>
      <c r="E218" s="64" t="s">
        <v>601</v>
      </c>
      <c r="F218" s="64" t="str">
        <f>IFERROR(__xludf.DUMMYFUNCTION("TEXTJOIN("", "", TRUE, FILTER(C:C, B:B=E218))"),"11")</f>
        <v>11</v>
      </c>
      <c r="H218" s="62"/>
      <c r="I218" s="63"/>
    </row>
    <row r="219">
      <c r="A219" s="61">
        <v>218.0</v>
      </c>
      <c r="B219" s="64" t="str">
        <f>Sheet1!AY20</f>
        <v>fern.sthetics</v>
      </c>
      <c r="C219" s="61">
        <v>11.0</v>
      </c>
      <c r="E219" s="64" t="s">
        <v>46</v>
      </c>
      <c r="F219" s="64" t="str">
        <f>IFERROR(__xludf.DUMMYFUNCTION("TEXTJOIN("", "", TRUE, FILTER(C:C, B:B=E219))"),"12")</f>
        <v>12</v>
      </c>
      <c r="H219" s="62"/>
      <c r="I219" s="63"/>
    </row>
    <row r="220">
      <c r="A220" s="61">
        <v>219.0</v>
      </c>
      <c r="B220" s="64" t="str">
        <f>Sheet1!AY21</f>
        <v>somebody_you_fw</v>
      </c>
      <c r="C220" s="61">
        <v>11.0</v>
      </c>
      <c r="E220" s="64" t="s">
        <v>75</v>
      </c>
      <c r="F220" s="64" t="str">
        <f>IFERROR(__xludf.DUMMYFUNCTION("TEXTJOIN("", "", TRUE, FILTER(C:C, B:B=E220))"),"12")</f>
        <v>12</v>
      </c>
      <c r="H220" s="62"/>
      <c r="I220" s="63"/>
    </row>
    <row r="221">
      <c r="A221" s="61">
        <v>220.0</v>
      </c>
      <c r="B221" s="64" t="str">
        <f>Sheet1!AY22</f>
        <v>15hourss</v>
      </c>
      <c r="C221" s="61">
        <v>11.0</v>
      </c>
      <c r="E221" s="64" t="s">
        <v>106</v>
      </c>
      <c r="F221" s="64" t="str">
        <f>IFERROR(__xludf.DUMMYFUNCTION("TEXTJOIN("", "", TRUE, FILTER(C:C, B:B=E221))"),"12")</f>
        <v>12</v>
      </c>
      <c r="H221" s="62"/>
      <c r="I221" s="63"/>
    </row>
    <row r="222">
      <c r="A222" s="61">
        <v>221.0</v>
      </c>
      <c r="B222" s="64" t="str">
        <f>Sheet1!BD3</f>
        <v>_cjma</v>
      </c>
      <c r="C222" s="61">
        <v>12.0</v>
      </c>
      <c r="E222" s="64" t="s">
        <v>139</v>
      </c>
      <c r="F222" s="64" t="str">
        <f>IFERROR(__xludf.DUMMYFUNCTION("TEXTJOIN("", "", TRUE, FILTER(C:C, B:B=E222))"),"12")</f>
        <v>12</v>
      </c>
      <c r="H222" s="62"/>
      <c r="I222" s="63"/>
    </row>
    <row r="223">
      <c r="A223" s="61">
        <v>222.0</v>
      </c>
      <c r="B223" s="64" t="str">
        <f>Sheet1!BD4</f>
        <v>danipenano</v>
      </c>
      <c r="C223" s="61">
        <v>12.0</v>
      </c>
      <c r="E223" s="64" t="s">
        <v>168</v>
      </c>
      <c r="F223" s="64" t="str">
        <f>IFERROR(__xludf.DUMMYFUNCTION("TEXTJOIN("", "", TRUE, FILTER(C:C, B:B=E223))"),"12")</f>
        <v>12</v>
      </c>
      <c r="H223" s="62"/>
      <c r="I223" s="63"/>
    </row>
    <row r="224">
      <c r="A224" s="61">
        <v>223.0</v>
      </c>
      <c r="B224" s="64" t="str">
        <f>Sheet1!BD5</f>
        <v>fallinginsociety</v>
      </c>
      <c r="C224" s="61">
        <v>12.0</v>
      </c>
      <c r="E224" s="64" t="s">
        <v>198</v>
      </c>
      <c r="F224" s="64" t="str">
        <f>IFERROR(__xludf.DUMMYFUNCTION("TEXTJOIN("", "", TRUE, FILTER(C:C, B:B=E224))"),"12")</f>
        <v>12</v>
      </c>
      <c r="H224" s="62"/>
      <c r="I224" s="63"/>
    </row>
    <row r="225">
      <c r="A225" s="61">
        <v>224.0</v>
      </c>
      <c r="B225" s="64" t="str">
        <f>Sheet1!BD6</f>
        <v>mila.magnani</v>
      </c>
      <c r="C225" s="61">
        <v>12.0</v>
      </c>
      <c r="E225" s="64" t="s">
        <v>225</v>
      </c>
      <c r="F225" s="64" t="str">
        <f>IFERROR(__xludf.DUMMYFUNCTION("TEXTJOIN("", "", TRUE, FILTER(C:C, B:B=E225))"),"12")</f>
        <v>12</v>
      </c>
      <c r="H225" s="62"/>
      <c r="I225" s="63"/>
    </row>
    <row r="226">
      <c r="A226" s="61">
        <v>225.0</v>
      </c>
      <c r="B226" s="64" t="str">
        <f>Sheet1!BD7</f>
        <v>vivianagalvezz</v>
      </c>
      <c r="C226" s="61">
        <v>12.0</v>
      </c>
      <c r="E226" s="64" t="s">
        <v>255</v>
      </c>
      <c r="F226" s="64" t="str">
        <f>IFERROR(__xludf.DUMMYFUNCTION("TEXTJOIN("", "", TRUE, FILTER(C:C, B:B=E226))"),"12")</f>
        <v>12</v>
      </c>
      <c r="H226" s="62"/>
      <c r="I226" s="63"/>
    </row>
    <row r="227">
      <c r="A227" s="61">
        <v>226.0</v>
      </c>
      <c r="B227" s="64" t="str">
        <f>Sheet1!BD8</f>
        <v>provisions.yakima</v>
      </c>
      <c r="C227" s="61">
        <v>12.0</v>
      </c>
      <c r="E227" s="64" t="s">
        <v>284</v>
      </c>
      <c r="F227" s="64" t="str">
        <f>IFERROR(__xludf.DUMMYFUNCTION("TEXTJOIN("", "", TRUE, FILTER(C:C, B:B=E227))"),"12")</f>
        <v>12</v>
      </c>
      <c r="H227" s="62"/>
      <c r="I227" s="63"/>
    </row>
    <row r="228">
      <c r="A228" s="61">
        <v>227.0</v>
      </c>
      <c r="B228" s="64" t="str">
        <f>Sheet1!BD9</f>
        <v>flywithamyangela</v>
      </c>
      <c r="C228" s="61">
        <v>12.0</v>
      </c>
      <c r="E228" s="64" t="s">
        <v>311</v>
      </c>
      <c r="F228" s="64" t="str">
        <f>IFERROR(__xludf.DUMMYFUNCTION("TEXTJOIN("", "", TRUE, FILTER(C:C, B:B=E228))"),"12")</f>
        <v>12</v>
      </c>
      <c r="H228" s="62"/>
      <c r="I228" s="63"/>
    </row>
    <row r="229">
      <c r="A229" s="61">
        <v>228.0</v>
      </c>
      <c r="B229" s="64" t="str">
        <f>Sheet1!BD10</f>
        <v>weirdsortanot</v>
      </c>
      <c r="C229" s="61">
        <v>12.0</v>
      </c>
      <c r="E229" s="64" t="s">
        <v>338</v>
      </c>
      <c r="F229" s="64" t="str">
        <f>IFERROR(__xludf.DUMMYFUNCTION("TEXTJOIN("", "", TRUE, FILTER(C:C, B:B=E229))"),"12")</f>
        <v>12</v>
      </c>
      <c r="H229" s="62"/>
      <c r="I229" s="63"/>
    </row>
    <row r="230">
      <c r="A230" s="61">
        <v>229.0</v>
      </c>
      <c r="B230" s="64" t="str">
        <f>Sheet1!BD11</f>
        <v>andreiiiii3636</v>
      </c>
      <c r="C230" s="61">
        <v>12.0</v>
      </c>
      <c r="E230" s="64" t="s">
        <v>365</v>
      </c>
      <c r="F230" s="64" t="str">
        <f>IFERROR(__xludf.DUMMYFUNCTION("TEXTJOIN("", "", TRUE, FILTER(C:C, B:B=E230))"),"12")</f>
        <v>12</v>
      </c>
      <c r="H230" s="62"/>
      <c r="I230" s="63"/>
    </row>
    <row r="231">
      <c r="A231" s="61">
        <v>230.0</v>
      </c>
      <c r="B231" s="64" t="str">
        <f>Sheet1!BD12</f>
        <v>angelicadchvzz</v>
      </c>
      <c r="C231" s="61">
        <v>12.0</v>
      </c>
      <c r="E231" s="64" t="s">
        <v>395</v>
      </c>
      <c r="F231" s="64" t="str">
        <f>IFERROR(__xludf.DUMMYFUNCTION("TEXTJOIN("", "", TRUE, FILTER(C:C, B:B=E231))"),"12")</f>
        <v>12</v>
      </c>
      <c r="H231" s="62"/>
      <c r="I231" s="63"/>
    </row>
    <row r="232">
      <c r="A232" s="61">
        <v>231.0</v>
      </c>
      <c r="B232" s="64" t="str">
        <f>Sheet1!BD13</f>
        <v>pladalp_</v>
      </c>
      <c r="C232" s="61">
        <v>12.0</v>
      </c>
      <c r="E232" s="64" t="s">
        <v>425</v>
      </c>
      <c r="F232" s="64" t="str">
        <f>IFERROR(__xludf.DUMMYFUNCTION("TEXTJOIN("", "", TRUE, FILTER(C:C, B:B=E232))"),"12")</f>
        <v>12</v>
      </c>
      <c r="H232" s="62"/>
      <c r="I232" s="63"/>
    </row>
    <row r="233">
      <c r="A233" s="61">
        <v>232.0</v>
      </c>
      <c r="B233" s="64" t="str">
        <f>Sheet1!BD14</f>
        <v>clarrengggg</v>
      </c>
      <c r="C233" s="61">
        <v>12.0</v>
      </c>
      <c r="E233" s="64" t="s">
        <v>453</v>
      </c>
      <c r="F233" s="64" t="str">
        <f>IFERROR(__xludf.DUMMYFUNCTION("TEXTJOIN("", "", TRUE, FILTER(C:C, B:B=E233))"),"12")</f>
        <v>12</v>
      </c>
      <c r="H233" s="62"/>
      <c r="I233" s="63"/>
    </row>
    <row r="234">
      <c r="A234" s="61">
        <v>233.0</v>
      </c>
      <c r="B234" s="64" t="str">
        <f>Sheet1!BD15</f>
        <v>migmiggymig</v>
      </c>
      <c r="C234" s="61">
        <v>12.0</v>
      </c>
      <c r="E234" s="64" t="s">
        <v>483</v>
      </c>
      <c r="F234" s="64" t="str">
        <f>IFERROR(__xludf.DUMMYFUNCTION("TEXTJOIN("", "", TRUE, FILTER(C:C, B:B=E234))"),"12")</f>
        <v>12</v>
      </c>
      <c r="H234" s="62"/>
      <c r="I234" s="63"/>
    </row>
    <row r="235">
      <c r="A235" s="61">
        <v>234.0</v>
      </c>
      <c r="B235" s="64" t="str">
        <f>Sheet1!BD16</f>
        <v>_marghsss</v>
      </c>
      <c r="C235" s="61">
        <v>12.0</v>
      </c>
      <c r="E235" s="64" t="s">
        <v>515</v>
      </c>
      <c r="F235" s="64" t="str">
        <f>IFERROR(__xludf.DUMMYFUNCTION("TEXTJOIN("", "", TRUE, FILTER(C:C, B:B=E235))"),"12")</f>
        <v>12</v>
      </c>
      <c r="H235" s="62"/>
      <c r="I235" s="63"/>
    </row>
    <row r="236">
      <c r="A236" s="61">
        <v>235.0</v>
      </c>
      <c r="B236" s="64" t="str">
        <f>Sheet1!BD17</f>
        <v>danjanine</v>
      </c>
      <c r="C236" s="61">
        <v>12.0</v>
      </c>
      <c r="E236" s="64" t="s">
        <v>543</v>
      </c>
      <c r="F236" s="64" t="str">
        <f>IFERROR(__xludf.DUMMYFUNCTION("TEXTJOIN("", "", TRUE, FILTER(C:C, B:B=E236))"),"12")</f>
        <v>12</v>
      </c>
      <c r="H236" s="62"/>
      <c r="I236" s="63"/>
    </row>
    <row r="237">
      <c r="A237" s="61">
        <v>236.0</v>
      </c>
      <c r="B237" s="64" t="str">
        <f>Sheet1!BD18</f>
        <v>evzeca</v>
      </c>
      <c r="C237" s="61">
        <v>12.0</v>
      </c>
      <c r="E237" s="64" t="s">
        <v>572</v>
      </c>
      <c r="F237" s="64" t="str">
        <f>IFERROR(__xludf.DUMMYFUNCTION("TEXTJOIN("", "", TRUE, FILTER(C:C, B:B=E237))"),"12")</f>
        <v>12</v>
      </c>
      <c r="H237" s="62"/>
      <c r="I237" s="63"/>
    </row>
    <row r="238">
      <c r="A238" s="61">
        <v>237.0</v>
      </c>
      <c r="B238" s="64" t="str">
        <f>Sheet1!BD19</f>
        <v>jun1k1t</v>
      </c>
      <c r="C238" s="61">
        <v>12.0</v>
      </c>
      <c r="E238" s="64" t="s">
        <v>603</v>
      </c>
      <c r="F238" s="64" t="str">
        <f>IFERROR(__xludf.DUMMYFUNCTION("TEXTJOIN("", "", TRUE, FILTER(C:C, B:B=E238))"),"12")</f>
        <v>12</v>
      </c>
      <c r="H238" s="62"/>
      <c r="I238" s="63"/>
    </row>
    <row r="239">
      <c r="A239" s="61">
        <v>238.0</v>
      </c>
      <c r="B239" s="64" t="str">
        <f>Sheet1!BD20</f>
        <v>austinandhaven5</v>
      </c>
      <c r="C239" s="61">
        <v>12.0</v>
      </c>
      <c r="E239" s="64"/>
      <c r="F239" s="64" t="str">
        <f>IFERROR(__xludf.DUMMYFUNCTION("TEXTJOIN("", "", TRUE, FILTER(C:C, B:B=E239))"),"")</f>
        <v/>
      </c>
      <c r="H239" s="62"/>
      <c r="I239" s="63"/>
    </row>
    <row r="240">
      <c r="A240" s="61">
        <v>239.0</v>
      </c>
      <c r="B240" s="64" t="str">
        <f>Sheet1!BD21</f>
        <v>katie.bri25</v>
      </c>
      <c r="C240" s="61">
        <v>12.0</v>
      </c>
      <c r="F240" s="64" t="str">
        <f>IFERROR(__xludf.DUMMYFUNCTION("TEXTJOIN("", "", TRUE, FILTER(C:C, B:B=E240))"),"")</f>
        <v/>
      </c>
      <c r="H240" s="62"/>
      <c r="I240" s="63"/>
    </row>
    <row r="241">
      <c r="A241" s="61">
        <v>240.0</v>
      </c>
      <c r="B241" s="64" t="str">
        <f>Sheet1!BD22</f>
        <v>themorrisfambam</v>
      </c>
      <c r="C241" s="61">
        <v>12.0</v>
      </c>
      <c r="F241" s="64" t="str">
        <f>IFERROR(__xludf.DUMMYFUNCTION("TEXTJOIN("", "", TRUE, FILTER(C:C, B:B=E241))"),"")</f>
        <v/>
      </c>
      <c r="H241" s="62"/>
      <c r="I241" s="63"/>
    </row>
    <row r="242">
      <c r="G242" s="61"/>
      <c r="H242" s="66"/>
      <c r="I242" s="67"/>
      <c r="K242" s="66"/>
    </row>
    <row r="243">
      <c r="G243" s="61"/>
      <c r="H243" s="66"/>
      <c r="I243" s="67"/>
      <c r="K243" s="66"/>
    </row>
    <row r="244">
      <c r="G244" s="61"/>
      <c r="H244" s="66"/>
      <c r="I244" s="67"/>
      <c r="K244" s="66"/>
    </row>
    <row r="245">
      <c r="G245" s="61"/>
      <c r="H245" s="66" t="str">
        <f> "Hi " &amp; Sheet1!AO75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IFERROR(LEFT(Sheet1!AP75, FIND("?", Sheet1!AP75)-1), Sheet1!AP75)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newyorkeronline!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https://www.tiktok.com/@newyorkeronline/video/7489012203673144598]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45" s="67" t="s">
        <v>2676</v>
      </c>
      <c r="K245" s="66" t="str">
        <f> "Hi " &amp; Sheet1!AO3 &amp; "! I hope you’re doing well 😊 I just wanted to follow up regarding the message I sent about requesting your permission to use your video on the trend “how to successfully kidnap me” [LINK: " &amp; IFERROR(LEFT(Sheet1!AP3, FIND("?", Sheet1!AP3)-1), Sheet1!AP3)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laneigeca! I hope you’re doing well 😊 I just wanted to follow up regarding the message I sent about requesting your permission to use your video on the trend “how to successfully kidnap me” [LINK: https://www.tiktok.com/@laneigeca/video/7473887935046110519]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46">
      <c r="G246" s="61"/>
      <c r="H246" s="66" t="str">
        <f> "Hi " &amp; Sheet1!AO76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IFERROR(LEFT(Sheet1!AP76, FIND("?", Sheet1!AP76)-1), Sheet1!AP76)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victoriassecretitaly!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https://www.tiktok.com/@victoriassecretitaly/video/7492333793731284246]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46" s="63"/>
      <c r="K246" s="66" t="str">
        <f> "Hi " &amp; Sheet1!AO4 &amp; "! I hope you’re doing well 😊 I just wanted to follow up regarding the message I sent about requesting your permission to use your video on the trend “how to successfully kidnap me” [LINK: " &amp; IFERROR(LEFT(Sheet1!AP4, FIND("?", Sheet1!AP4)-1), Sheet1!AP4)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chatimeph! I hope you’re doing well 😊 I just wanted to follow up regarding the message I sent about requesting your permission to use your video on the trend “how to successfully kidnap me” [LINK: https://www.tiktok.com/@chatimeph/video/7476419939264630034]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47">
      <c r="G247" s="61"/>
      <c r="H247" s="66" t="str">
        <f> "Hi " &amp; Sheet1!AO77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IFERROR(LEFT(Sheet1!AP77, FIND("?", Sheet1!AP77)-1), Sheet1!AP77)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pauline_brenner!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https://www.tiktok.com/@pauline_brenner/video/7469862667302276374]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47" s="63"/>
      <c r="K247" s="66" t="str">
        <f> "Hi " &amp; Sheet1!AO5 &amp; "! I hope you’re doing well 😊 I just wanted to follow up regarding the message I sent about requesting your permission to use your video on the trend “how to successfully kidnap me” [LINK: " &amp; IFERROR(LEFT(Sheet1!AP5, FIND("?", Sheet1!AP5)-1), Sheet1!AP5)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theoriginote.ph! I hope you’re doing well 😊 I just wanted to follow up regarding the message I sent about requesting your permission to use your video on the trend “how to successfully kidnap me” [LINK: https://www.tiktok.com/@theoriginote.ph/video/7501638878785326344]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48">
      <c r="G248" s="61"/>
      <c r="H248" s="66" t="str">
        <f> "Hi " &amp; Sheet1!AO78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IFERROR(LEFT(Sheet1!AP78, FIND("?", Sheet1!AP78)-1), Sheet1!AP78)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caitzdurling!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https://www.tiktok.com/@caitzdurling/video/7468623059348442400]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48" s="63"/>
      <c r="K248" s="66" t="str">
        <f> "Hi " &amp; Sheet1!AO6 &amp; "! I hope you’re doing well 😊 I just wanted to follow up regarding the message I sent about requesting your permission to use your video on the trend “how to successfully kidnap me” [LINK: " &amp; IFERROR(LEFT(Sheet1!AP6, FIND("?", Sheet1!AP6)-1), Sheet1!AP6)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gvnthelabel! I hope you’re doing well 😊 I just wanted to follow up regarding the message I sent about requesting your permission to use your video on the trend “how to successfully kidnap me” [LINK: https://www.tiktok.com/@gvnthelabel/video/7507247501431311623]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49">
      <c r="G249" s="61"/>
      <c r="H249" s="66" t="str">
        <f> "Hi " &amp; Sheet1!AO79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IFERROR(LEFT(Sheet1!AP79, FIND("?", Sheet1!AP79)-1), Sheet1!AP79)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inna_turadzhyk!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https://www.tiktok.com/@inna_turadzhyk/video/7476778070968372485]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49" s="63"/>
      <c r="K249" s="66" t="str">
        <f> "Hi " &amp; Sheet1!AO7 &amp; "! I hope you’re doing well 😊 I just wanted to follow up regarding the message I sent about requesting your permission to use your video on the trend “how to successfully kidnap me” [LINK: " &amp; IFERROR(LEFT(Sheet1!AP7, FIND("?", Sheet1!AP7)-1), Sheet1!AP7)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spencer.barbosa! I hope you’re doing well 😊 I just wanted to follow up regarding the message I sent about requesting your permission to use your video on the trend “how to successfully kidnap me” [LINK: https://www.tiktok.com/@spencer.barbosa/video/7470307135851695366]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0">
      <c r="G250" s="61"/>
      <c r="H250" s="66" t="str">
        <f> "Hi " &amp; Sheet1!AO80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IFERROR(LEFT(Sheet1!AP80, FIND("?", Sheet1!AP80)-1), Sheet1!AP80)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katiemcev0y!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https://www.tiktok.com/@katiemcev0y/video/7470967592627326238]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0" s="63"/>
      <c r="K250" s="66" t="str">
        <f> "Hi " &amp; Sheet1!AO8 &amp; "! I hope you’re doing well 😊 I just wanted to follow up regarding the message I sent about requesting your permission to use your video on the trend “how to successfully kidnap me” [LINK: " &amp; IFERROR(LEFT(Sheet1!AP8, FIND("?", Sheet1!AP8)-1), Sheet1!AP8)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kristyna.zamcova! I hope you’re doing well 😊 I just wanted to follow up regarding the message I sent about requesting your permission to use your video on the trend “how to successfully kidnap me” [LINK: https://www.tiktok.com/@kristyna.zamcova/video/7473509616186314006]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1">
      <c r="G251" s="61"/>
      <c r="H251" s="66" t="str">
        <f> "Hi " &amp; Sheet1!AO81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IFERROR(LEFT(Sheet1!AP81, FIND("?", Sheet1!AP81)-1), Sheet1!AP81)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lanolips!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https://www.tiktok.com/@lanolips/video/7477447002754764039]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1" s="63"/>
      <c r="K251" s="66" t="str">
        <f> "Hi " &amp; Sheet1!AO9 &amp; "! I hope you’re doing well 😊 I just wanted to follow up regarding the message I sent about requesting your permission to use your video on the trend “how to successfully kidnap me” [LINK: " &amp; IFERROR(LEFT(Sheet1!AP9, FIND("?", Sheet1!AP9)-1), Sheet1!AP9)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nausikamalshi! I hope you’re doing well 😊 I just wanted to follow up regarding the message I sent about requesting your permission to use your video on the trend “how to successfully kidnap me” [LINK: https://www.tiktok.com/@nausikamalshi/video/7485068513783106822]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2">
      <c r="G252" s="61"/>
      <c r="H252" s="66" t="str">
        <f> "Hi " &amp; Sheet1!AO82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IFERROR(LEFT(Sheet1!AP82, FIND("?", Sheet1!AP82)-1), Sheet1!AP82)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saiebeauty!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https://www.tiktok.com/@saiebeauty/video/7470274619619085614]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2" s="63"/>
      <c r="K252" s="66" t="str">
        <f> "Hi " &amp; Sheet1!AO10 &amp; "! I hope you’re doing well 😊 I just wanted to follow up regarding the message I sent about requesting your permission to use your video on the trend “how to successfully kidnap me” [LINK: " &amp; IFERROR(LEFT(Sheet1!AP10, FIND("?", Sheet1!AP10)-1), Sheet1!AP10)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klaileaj! I hope you’re doing well 😊 I just wanted to follow up regarding the message I sent about requesting your permission to use your video on the trend “how to successfully kidnap me” [LINK: https://www.tiktok.com/@klaileaj/video/7470933959812189462]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3">
      <c r="G253" s="61"/>
      <c r="H253" s="66" t="str">
        <f> "Hi " &amp; Sheet1!AO83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IFERROR(LEFT(Sheet1!AP83, FIND("?", Sheet1!AP83)-1), Sheet1!AP83)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sephoracanada!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https://www.tiktok.com/@sephoracanada/video/7475467439430503735]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3" s="63"/>
      <c r="K253" s="66" t="str">
        <f> "Hi " &amp; Sheet1!AO11 &amp; "! I hope you’re doing well 😊 I just wanted to follow up regarding the message I sent about requesting your permission to use your video on the trend “how to successfully kidnap me” [LINK: " &amp; IFERROR(LEFT(Sheet1!AP11, FIND("?", Sheet1!AP11)-1), Sheet1!AP11)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chimamalko! I hope you’re doing well 😊 I just wanted to follow up regarding the message I sent about requesting your permission to use your video on the trend “how to successfully kidnap me” [LINK: https://www.tiktok.com/@chimamalko/video/7467746763433217326]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4">
      <c r="G254" s="61"/>
      <c r="H254" s="66" t="str">
        <f> "Hi " &amp; Sheet1!AO84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IFERROR(LEFT(Sheet1!AP84, FIND("?", Sheet1!AP84)-1), Sheet1!AP84)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snackje!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https://www.tiktok.com/@snackje/video/7486481820071120150]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4" s="63"/>
      <c r="K254" s="66" t="str">
        <f> "Hi " &amp; Sheet1!AO12 &amp; "! I hope you’re doing well 😊 I just wanted to follow up regarding the message I sent about requesting your permission to use your video on the trend “how to successfully kidnap me” [LINK: " &amp; IFERROR(LEFT(Sheet1!AP12, FIND("?", Sheet1!AP12)-1), Sheet1!AP12)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rarebreezy_shoes! I hope you’re doing well 😊 I just wanted to follow up regarding the message I sent about requesting your permission to use your video on the trend “how to successfully kidnap me” [LINK: https://www.tiktok.com/@rarebreezy_shoes/video/7472976795629931784]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5">
      <c r="G255" s="61"/>
      <c r="H255" s="66" t="str">
        <f> "Hi " &amp; Sheet1!AO85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IFERROR(LEFT(Sheet1!AP85, FIND("?", Sheet1!AP85)-1), Sheet1!AP85)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oliviakennar!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https://www.tiktok.com/@oliviakennar/video/7477130119300254978]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5" s="63"/>
      <c r="K255" s="66" t="str">
        <f> "Hi " &amp; Sheet1!AO13 &amp; "! I hope you’re doing well 😊 I just wanted to follow up regarding the message I sent about requesting your permission to use your video on the trend “how to successfully kidnap me” [LINK: " &amp; IFERROR(LEFT(Sheet1!AP13, FIND("?", Sheet1!AP13)-1), Sheet1!AP13)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kristyna.zamcova! I hope you’re doing well 😊 I just wanted to follow up regarding the message I sent about requesting your permission to use your video on the trend “how to successfully kidnap me” [LINK: https://www.tiktok.com/@kristyna.zamcova/video/7473522329037982998]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6">
      <c r="G256" s="61"/>
      <c r="H256" s="66" t="str">
        <f> "Hi " &amp; Sheet1!AO86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IFERROR(LEFT(Sheet1!AP86, FIND("?", Sheet1!AP86)-1), Sheet1!AP86)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lisagozlanjewelry!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https://www.tiktok.com/@lisagozlanjewelry/video/7476219568713944366]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6" s="63"/>
      <c r="K256" s="66" t="str">
        <f> "Hi " &amp; Sheet1!AO14 &amp; "! I hope you’re doing well 😊 I just wanted to follow up regarding the message I sent about requesting your permission to use your video on the trend “how to successfully kidnap me” [LINK: " &amp; IFERROR(LEFT(Sheet1!AP14, FIND("?", Sheet1!AP14)-1), Sheet1!AP14)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mollyatmidnight! I hope you’re doing well 😊 I just wanted to follow up regarding the message I sent about requesting your permission to use your video on the trend “how to successfully kidnap me” [LINK: https://www.tiktok.com/@mollyatmidnight/video/7473172343464987926]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7">
      <c r="G257" s="61"/>
      <c r="H257" s="66" t="str">
        <f> "Hi " &amp; Sheet1!AO87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IFERROR(LEFT(Sheet1!AP87, FIND("?", Sheet1!AP87)-1), Sheet1!AP87)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lilsrtl!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https://www.tiktok.com/@lilsrtl/video/7469913839375551766]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7" s="63"/>
      <c r="K257" s="66" t="str">
        <f> "Hi " &amp; Sheet1!AO15 &amp; "! I hope you’re doing well 😊 I just wanted to follow up regarding the message I sent about requesting your permission to use your video on the trend “how to successfully kidnap me” [LINK: " &amp; IFERROR(LEFT(Sheet1!AP15, FIND("?", Sheet1!AP15)-1), Sheet1!AP15)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skylar_diecast! I hope you’re doing well 😊 I just wanted to follow up regarding the message I sent about requesting your permission to use your video on the trend “how to successfully kidnap me” [LINK: https://www.tiktok.com/@skylar_diecast/video/7479268371700223240]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8">
      <c r="G258" s="61"/>
      <c r="H258" s="66" t="str">
        <f> "Hi " &amp; Sheet1!AO88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IFERROR(LEFT(Sheet1!AP88, FIND("?", Sheet1!AP88)-1), Sheet1!AP88)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luchy_wayne!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https://www.tiktok.com/@luchy_wayne/video/7472082238847503621]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8" s="63"/>
      <c r="K258" s="66" t="str">
        <f> "Hi " &amp; Sheet1!AO16 &amp; "! I hope you’re doing well 😊 I just wanted to follow up regarding the message I sent about requesting your permission to use your video on the trend “how to successfully kidnap me” [LINK: " &amp; IFERROR(LEFT(Sheet1!AP16, FIND("?", Sheet1!AP16)-1), Sheet1!AP16)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anastasia.c.chronicles! I hope you’re doing well 😊 I just wanted to follow up regarding the message I sent about requesting your permission to use your video on the trend “how to successfully kidnap me” [LINK: https://www.tiktok.com/@anastasia.c.chronicles/video/7468981725352201505]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59">
      <c r="G259" s="61"/>
      <c r="H259" s="66" t="str">
        <f> "Hi " &amp; Sheet1!AO89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IFERROR(LEFT(Sheet1!AP89, FIND("?", Sheet1!AP89)-1), Sheet1!AP89)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kentsicecreamco!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https://www.tiktok.com/@kentsicecreamco/video/7475117084159085830]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59" s="63"/>
      <c r="K259" s="66" t="str">
        <f> "Hi " &amp; Sheet1!AO17 &amp; "! I hope you’re doing well 😊 I just wanted to follow up regarding the message I sent about requesting your permission to use your video on the trend “how to successfully kidnap me” [LINK: " &amp; IFERROR(LEFT(Sheet1!AP17, FIND("?", Sheet1!AP17)-1), Sheet1!AP17)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rebisco.ph! I hope you’re doing well 😊 I just wanted to follow up regarding the message I sent about requesting your permission to use your video on the trend “how to successfully kidnap me” [LINK: https://www.tiktok.com/@rebisco.ph/video/7473722343882247442]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0">
      <c r="G260" s="61"/>
      <c r="H260" s="66" t="str">
        <f> "Hi " &amp; Sheet1!AO90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IFERROR(LEFT(Sheet1!AP90, FIND("?", Sheet1!AP90)-1), Sheet1!AP90)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brookies.haulss!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https://www.tiktok.com/@brookies.haulss/video/7468781641809284398]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0" s="63"/>
      <c r="K260" s="66" t="str">
        <f> "Hi " &amp; Sheet1!AO18 &amp; "! I hope you’re doing well 😊 I just wanted to follow up regarding the message I sent about requesting your permission to use your video on the trend “how to successfully kidnap me” [LINK: " &amp; IFERROR(LEFT(Sheet1!AP18, FIND("?", Sheet1!AP18)-1), Sheet1!AP18)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gabyy.library! I hope you’re doing well 😊 I just wanted to follow up regarding the message I sent about requesting your permission to use your video on the trend “how to successfully kidnap me” [LINK: https://www.tiktok.com/@gabyy.library/video/7474052998965005614]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1">
      <c r="G261" s="61"/>
      <c r="H261" s="66" t="str">
        <f> "Hi " &amp; Sheet1!AO91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IFERROR(LEFT(Sheet1!AP91, FIND("?", Sheet1!AP91)-1), Sheet1!AP91)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magnetichillwinery!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https://www.tiktok.com/@magnetichillwinery/video/7500017792729484549]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1" s="63"/>
      <c r="K261" s="66" t="str">
        <f> "Hi " &amp; Sheet1!AO19 &amp; "! I hope you’re doing well 😊 I just wanted to follow up regarding the message I sent about requesting your permission to use your video on the trend “how to successfully kidnap me” [LINK: " &amp; IFERROR(LEFT(Sheet1!AP19, FIND("?", Sheet1!AP19)-1), Sheet1!AP19)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fitsbymon! I hope you’re doing well 😊 I just wanted to follow up regarding the message I sent about requesting your permission to use your video on the trend “how to successfully kidnap me” [LINK: https://www.tiktok.com/@fitsbymon/video/7474664201806499094]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2">
      <c r="G262" s="61"/>
      <c r="H262" s="66" t="str">
        <f> "Hi " &amp; Sheet1!AO92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IFERROR(LEFT(Sheet1!AP92, FIND("?", Sheet1!AP92)-1), Sheet1!AP92)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mae.west!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https://www.tiktok.com/@mae.west/video/7467732916202769670]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2" s="63"/>
      <c r="K262" s="66" t="str">
        <f> "Hi " &amp; Sheet1!AO20 &amp; "! I hope you’re doing well 😊 I just wanted to follow up regarding the message I sent about requesting your permission to use your video on the trend “how to successfully kidnap me” [LINK: " &amp; IFERROR(LEFT(Sheet1!AP20, FIND("?", Sheet1!AP20)-1), Sheet1!AP20)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mynameisadrienne! I hope you’re doing well 😊 I just wanted to follow up regarding the message I sent about requesting your permission to use your video on the trend “how to successfully kidnap me” [LINK: https://www.tiktok.com/@mynameisadrienne/video/7471042913544195374]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3">
      <c r="G263" s="61"/>
      <c r="H263" s="66" t="str">
        <f> "Hi " &amp; Sheet1!AO93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IFERROR(LEFT(Sheet1!AP93, FIND("?", Sheet1!AP93)-1), Sheet1!AP93)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kaysee786!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https://www.tiktok.com/@kaysee786/video/7471774843491421462]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3" s="63"/>
      <c r="K263" s="66" t="str">
        <f> "Hi " &amp; Sheet1!AO21 &amp; "! I hope you’re doing well 😊 I just wanted to follow up regarding the message I sent about requesting your permission to use your video on the trend “how to successfully kidnap me” [LINK: " &amp; IFERROR(LEFT(Sheet1!AP21, FIND("?", Sheet1!AP21)-1), Sheet1!AP21)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sksnnbwe! I hope you’re doing well 😊 I just wanted to follow up regarding the message I sent about requesting your permission to use your video on the trend “how to successfully kidnap me” [LINK: https://www.tiktok.com/@sksnnbwe/video/7466277657542511915]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4">
      <c r="G264" s="61"/>
      <c r="H264" s="66" t="str">
        <f> "Hi " &amp; Sheet1!AO94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IFERROR(LEFT(Sheet1!AP94, FIND("?", Sheet1!AP94)-1), Sheet1!AP94)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natalieeena!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https://www.tiktok.com/@natalieeena/video/7537200853023804679]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4" s="63"/>
      <c r="K264" s="66" t="str">
        <f> "Hi " &amp; Sheet1!AO22 &amp; "! I hope you’re doing well 😊 I just wanted to follow up regarding the message I sent about requesting your permission to use your video on the trend “how to successfully kidnap me” [LINK: " &amp; IFERROR(LEFT(Sheet1!AP22, FIND("?", Sheet1!AP22)-1), Sheet1!AP22)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leahgiggle! I hope you’re doing well 😊 I just wanted to follow up regarding the message I sent about requesting your permission to use your video on the trend “how to successfully kidnap me” [LINK: https://www.tiktok.com/@leahgiggle/video/7520771574207712543]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5">
      <c r="G265" s="61"/>
      <c r="H265" s="66" t="str">
        <f> "Hi " &amp; Sheet1!AO95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IFERROR(LEFT(Sheet1!AP95, FIND("?", Sheet1!AP95)-1), Sheet1!AP95)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rosekoreanbeauty!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https://www.tiktok.com/@rosekoreanbeauty/video/7470125845341048087]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5" s="63"/>
      <c r="K265" s="66" t="str">
        <f> "Hi " &amp; Sheet1!AO23 &amp; "! I hope you’re doing well 😊 I just wanted to follow up regarding the message I sent about requesting your permission to use your video on the trend “how to successfully kidnap me” [LINK: " &amp; IFERROR(LEFT(Sheet1!AP23, FIND("?", Sheet1!AP23)-1), Sheet1!AP23)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its.sofii.vb! I hope you’re doing well 😊 I just wanted to follow up regarding the message I sent about requesting your permission to use your video on the trend “how to successfully kidnap me” [LINK: https://www.tiktok.com/@its.sofii.vb/video/7471775493516283191]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6">
      <c r="G266" s="61"/>
      <c r="H266" s="66" t="str">
        <f> "Hi " &amp; Sheet1!AO96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IFERROR(LEFT(Sheet1!AP96, FIND("?", Sheet1!AP96)-1), Sheet1!AP96)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annikaluciaaa!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https://www.tiktok.com/@annikaluciaaa/video/7472072364860181782]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6" s="63"/>
      <c r="K266" s="66" t="str">
        <f> "Hi " &amp; Sheet1!AO24 &amp; "! I hope you’re doing well 😊 I just wanted to follow up regarding the message I sent about requesting your permission to use your video on the trend “how to successfully kidnap me” [LINK: " &amp; IFERROR(LEFT(Sheet1!AP24, FIND("?", Sheet1!AP24)-1), Sheet1!AP24)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sara.durante5! I hope you’re doing well 😊 I just wanted to follow up regarding the message I sent about requesting your permission to use your video on the trend “how to successfully kidnap me” [LINK: https://www.tiktok.com/@sara.durante5/video/7521136157501967621]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7">
      <c r="G267" s="61"/>
      <c r="H267" s="66" t="str">
        <f> "Hi " &amp; Sheet1!AO97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IFERROR(LEFT(Sheet1!AP97, FIND("?", Sheet1!AP97)-1), Sheet1!AP97)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kiara.3times!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https://www.tiktok.com/@kiara.3times/video/7473943120632188202]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7" s="63"/>
      <c r="K267" s="66" t="str">
        <f> "Hi " &amp; Sheet1!AO25 &amp; "! I hope you’re doing well 😊 I just wanted to follow up regarding the message I sent about requesting your permission to use your video on the trend “how to successfully kidnap me” [LINK: " &amp; IFERROR(LEFT(Sheet1!AP25, FIND("?", Sheet1!AP25)-1), Sheet1!AP25)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savt.aesthetics! I hope you’re doing well 😊 I just wanted to follow up regarding the message I sent about requesting your permission to use your video on the trend “how to successfully kidnap me” [LINK: https://www.tiktok.com/@savt.aesthetics/video/7469452316941290783]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8">
      <c r="G268" s="61"/>
      <c r="H268" s="66" t="str">
        <f> "Hi " &amp; Sheet1!AO98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IFERROR(LEFT(Sheet1!AP98, FIND("?", Sheet1!AP98)-1), Sheet1!AP98)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stitchedby.soleil!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https://www.tiktok.com/@stitchedby.soleil/video/7477644122694700331]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8" s="63"/>
      <c r="K268" s="66" t="str">
        <f> "Hi " &amp; Sheet1!AO26 &amp; "! I hope you’re doing well 😊 I just wanted to follow up regarding the message I sent about requesting your permission to use your video on the trend “how to successfully kidnap me” [LINK: " &amp; IFERROR(LEFT(Sheet1!AP26, FIND("?", Sheet1!AP26)-1), Sheet1!AP26)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ebtihel_malik! I hope you’re doing well 😊 I just wanted to follow up regarding the message I sent about requesting your permission to use your video on the trend “how to successfully kidnap me” [LINK: https://www.tiktok.com/@ebtihel_malik/video/7478810853534403863]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69">
      <c r="G269" s="61"/>
      <c r="H269" s="66" t="str">
        <f> "Hi " &amp; Sheet1!AO99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IFERROR(LEFT(Sheet1!AP99, FIND("?", Sheet1!AP99)-1), Sheet1!AP99)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atiyana.a!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https://www.tiktok.com/@atiyana.a/video/7532256610312375607]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69" s="63"/>
      <c r="K269" s="66" t="str">
        <f> "Hi " &amp; Sheet1!AO27 &amp; "! I hope you’re doing well 😊 I just wanted to follow up regarding the message I sent about requesting your permission to use your video on the trend “how to successfully kidnap me” [LINK: " &amp; IFERROR(LEFT(Sheet1!AP27, FIND("?", Sheet1!AP27)-1), Sheet1!AP27)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heidilereng! I hope you’re doing well 😊 I just wanted to follow up regarding the message I sent about requesting your permission to use your video on the trend “how to successfully kidnap me” [LINK: https://www.tiktok.com/@heidilereng/video/7474242580524403970]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0">
      <c r="G270" s="61"/>
      <c r="H270" s="66" t="str">
        <f> "Hi " &amp; Sheet1!AO100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IFERROR(LEFT(Sheet1!AP100, FIND("?", Sheet1!AP100)-1), Sheet1!AP100)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bungeeandm22!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https://www.tiktok.com/@bungeeandm22/video/7471887604171001095]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0" s="63"/>
      <c r="K270" s="66" t="str">
        <f> "Hi " &amp; Sheet1!AO28 &amp; "! I hope you’re doing well 😊 I just wanted to follow up regarding the message I sent about requesting your permission to use your video on the trend “how to successfully kidnap me” [LINK: " &amp; IFERROR(LEFT(Sheet1!AP28, FIND("?", Sheet1!AP28)-1), Sheet1!AP28)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violet_autumn_! I hope you’re doing well 😊 I just wanted to follow up regarding the message I sent about requesting your permission to use your video on the trend “how to successfully kidnap me” [LINK: https://www.tiktok.com/@violet_autumn_/video/7466107890554719534]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1">
      <c r="G271" s="61"/>
      <c r="H271" s="66" t="str">
        <f> "Hi " &amp; Sheet1!AO101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IFERROR(LEFT(Sheet1!AP101, FIND("?", Sheet1!AP101)-1), Sheet1!AP101)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fangirl_account7!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https://www.tiktok.com/@fangirl_account7/video/7531776436458278166]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1" s="63"/>
      <c r="K271" s="66" t="str">
        <f> "Hi " &amp; Sheet1!AO29 &amp; "! I hope you’re doing well 😊 I just wanted to follow up regarding the message I sent about requesting your permission to use your video on the trend “how to successfully kidnap me” [LINK: " &amp; IFERROR(LEFT(Sheet1!AP29, FIND("?", Sheet1!AP29)-1), Sheet1!AP29)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giagracesmith! I hope you’re doing well 😊 I just wanted to follow up regarding the message I sent about requesting your permission to use your video on the trend “how to successfully kidnap me” [LINK: https://www.tiktok.com/@giagracesmith/video/7469751409668361494]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2">
      <c r="G272" s="61"/>
      <c r="H272" s="66" t="str">
        <f> "Hi " &amp; Sheet1!AO102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IFERROR(LEFT(Sheet1!AP102, FIND("?", Sheet1!AP102)-1), Sheet1!AP102)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_e.v08!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https://www.tiktok.com/@_e.v08/video/7470155628086971681]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2" s="63"/>
      <c r="K272" s="66" t="str">
        <f> "Hi " &amp; Sheet1!AO30 &amp; "! I hope you’re doing well 😊 I just wanted to follow up regarding the message I sent about requesting your permission to use your video on the trend “how to successfully kidnap me” [LINK: " &amp; IFERROR(LEFT(Sheet1!AP30, FIND("?", Sheet1!AP30)-1), Sheet1!AP30)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fabulatehq! I hope you’re doing well 😊 I just wanted to follow up regarding the message I sent about requesting your permission to use your video on the trend “how to successfully kidnap me” [LINK: https://www.tiktok.com/@fabulatehq/video/7480402418694491410]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3">
      <c r="G273" s="61"/>
      <c r="H273" s="66" t="str">
        <f> "Hi " &amp; Sheet1!AO103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IFERROR(LEFT(Sheet1!AP103, FIND("?", Sheet1!AP103)-1), Sheet1!AP103)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taleasophiarogel!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https://www.tiktok.com/@taleasophiarogel/video/7469460089041095958]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3" s="63"/>
      <c r="K273" s="66" t="str">
        <f> "Hi " &amp; Sheet1!AO31 &amp; "! I hope you’re doing well 😊 I just wanted to follow up regarding the message I sent about requesting your permission to use your video on the trend “how to successfully kidnap me” [LINK: " &amp; IFERROR(LEFT(Sheet1!AP31, FIND("?", Sheet1!AP31)-1), Sheet1!AP31)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caraasport! I hope you’re doing well 😊 I just wanted to follow up regarding the message I sent about requesting your permission to use your video on the trend “how to successfully kidnap me” [LINK: https://www.tiktok.com/@caraasport/video/7484374421122141483]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4">
      <c r="G274" s="61"/>
      <c r="H274" s="66" t="str">
        <f> "Hi " &amp; Sheet1!AO104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IFERROR(LEFT(Sheet1!AP104, FIND("?", Sheet1!AP104)-1), Sheet1!AP104)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thelittleledger._!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https://www.tiktok.com/@thelittleledger._/video/7523182379989519634]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4" s="63"/>
      <c r="K274" s="66" t="str">
        <f> "Hi " &amp; Sheet1!AO32 &amp; "! I hope you’re doing well 😊 I just wanted to follow up regarding the message I sent about requesting your permission to use your video on the trend “how to successfully kidnap me” [LINK: " &amp; IFERROR(LEFT(Sheet1!AP32, FIND("?", Sheet1!AP32)-1), Sheet1!AP32)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selina.shf! I hope you’re doing well 😊 I just wanted to follow up regarding the message I sent about requesting your permission to use your video on the trend “how to successfully kidnap me” [LINK: https://www.tiktok.com/@selina.shf/video/7470508950975237398]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5">
      <c r="G275" s="61"/>
      <c r="H275" s="66" t="str">
        <f> "Hi " &amp; Sheet1!AO105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IFERROR(LEFT(Sheet1!AP105, FIND("?", Sheet1!AP105)-1), Sheet1!AP105)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flaatch!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https://www.tiktok.com/@flaatch/video/7472839351370616086]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5" s="63"/>
      <c r="K275" s="66" t="str">
        <f> "Hi " &amp; Sheet1!AO33 &amp; "! I hope you’re doing well 😊 I just wanted to follow up regarding the message I sent about requesting your permission to use your video on the trend “how to successfully kidnap me” [LINK: " &amp; IFERROR(LEFT(Sheet1!AP33, FIND("?", Sheet1!AP33)-1), Sheet1!AP33)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eastgateness! I hope you’re doing well 😊 I just wanted to follow up regarding the message I sent about requesting your permission to use your video on the trend “how to successfully kidnap me” [LINK: https://www.tiktok.com/@eastgateness/video/7507251228879981846]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6">
      <c r="G276" s="61"/>
      <c r="H276" s="66" t="str">
        <f> "Hi " &amp; Sheet1!AO106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IFERROR(LEFT(Sheet1!AP106, FIND("?", Sheet1!AP106)-1), Sheet1!AP106)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abigail_maybe!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https://www.tiktok.com/@abigail_maybe/video/7469882487070543137]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6" s="63"/>
      <c r="K276" s="66" t="str">
        <f> "Hi " &amp; Sheet1!AO34 &amp; "! I hope you’re doing well 😊 I just wanted to follow up regarding the message I sent about requesting your permission to use your video on the trend “how to successfully kidnap me” [LINK: " &amp; IFERROR(LEFT(Sheet1!AP34, FIND("?", Sheet1!AP34)-1), Sheet1!AP34)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cosmetify! I hope you’re doing well 😊 I just wanted to follow up regarding the message I sent about requesting your permission to use your video on the trend “how to successfully kidnap me” [LINK: https://www.tiktok.com/@cosmetify/video/7471320711651691778]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7">
      <c r="G277" s="61"/>
      <c r="H277" s="66" t="str">
        <f> "Hi " &amp; Sheet1!AO107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IFERROR(LEFT(Sheet1!AP107, FIND("?", Sheet1!AP107)-1), Sheet1!AP107)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quelriveraa!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https://www.tiktok.com/@quelriveraa/video/7468488046334201119]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7" s="63"/>
      <c r="K277" s="66" t="str">
        <f> "Hi " &amp; Sheet1!AO35 &amp; "! I hope you’re doing well 😊 I just wanted to follow up regarding the message I sent about requesting your permission to use your video on the trend “how to successfully kidnap me” [LINK: " &amp; IFERROR(LEFT(Sheet1!AP35, FIND("?", Sheet1!AP35)-1), Sheet1!AP35)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crochetlin! I hope you’re doing well 😊 I just wanted to follow up regarding the message I sent about requesting your permission to use your video on the trend “how to successfully kidnap me” [LINK: https://www.tiktok.com/@crochetlin/video/7537654349737053462]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8">
      <c r="G278" s="61"/>
      <c r="H278" s="66" t="str">
        <f> "Hi " &amp; Sheet1!AO108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IFERROR(LEFT(Sheet1!AP108, FIND("?", Sheet1!AP108)-1), Sheet1!AP108)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avaareadsss!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https://www.tiktok.com/@avaareadsss/video/7481733247781670186]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8" s="63"/>
      <c r="K278" s="66" t="str">
        <f> "Hi " &amp; Sheet1!AO36 &amp; "! I hope you’re doing well 😊 I just wanted to follow up regarding the message I sent about requesting your permission to use your video on the trend “how to successfully kidnap me” [LINK: " &amp; IFERROR(LEFT(Sheet1!AP36, FIND("?", Sheet1!AP36)-1), Sheet1!AP36)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reformedbypilates! I hope you’re doing well 😊 I just wanted to follow up regarding the message I sent about requesting your permission to use your video on the trend “how to successfully kidnap me” [LINK: https://www.tiktok.com/@reformedbypilates/video/7514472512755928363]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79">
      <c r="G279" s="61"/>
      <c r="H279" s="66" t="str">
        <f> "Hi " &amp; Sheet1!AO109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IFERROR(LEFT(Sheet1!AP109, FIND("?", Sheet1!AP109)-1), Sheet1!AP109)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4ng3lofdeath!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https://www.tiktok.com/@4ng3lofdeath/video/7474866995838684446]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79" s="63"/>
      <c r="K279" s="66" t="str">
        <f> "Hi " &amp; Sheet1!AO37 &amp; "! I hope you’re doing well 😊 I just wanted to follow up regarding the message I sent about requesting your permission to use your video on the trend “how to successfully kidnap me” [LINK: " &amp; IFERROR(LEFT(Sheet1!AP37, FIND("?", Sheet1!AP37)-1), Sheet1!AP37)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laviniamincu! I hope you’re doing well 😊 I just wanted to follow up regarding the message I sent about requesting your permission to use your video on the trend “how to successfully kidnap me” [LINK: https://www.tiktok.com/@laviniamincu/video/7483458878059908374]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0">
      <c r="G280" s="61"/>
      <c r="H280" s="66" t="str">
        <f> "Hi " &amp; Sheet1!AO110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IFERROR(LEFT(Sheet1!AP110, FIND("?", Sheet1!AP110)-1), Sheet1!AP110)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julzinnovations!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https://www.tiktok.com/@julzinnovations/video/7502192886704868613]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80" s="63"/>
      <c r="K280" s="66" t="str">
        <f> "Hi " &amp; Sheet1!AO38 &amp; "! I hope you’re doing well 😊 I just wanted to follow up regarding the message I sent about requesting your permission to use your video on the trend “how to successfully kidnap me” [LINK: " &amp; IFERROR(LEFT(Sheet1!AP38, FIND("?", Sheet1!AP38)-1), Sheet1!AP38)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oliviaburtonlondon! I hope you’re doing well 😊 I just wanted to follow up regarding the message I sent about requesting your permission to use your video on the trend “how to successfully kidnap me” [LINK: https://www.tiktok.com/@oliviaburtonlondon/video/7481697559107489046]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1">
      <c r="G281" s="61"/>
      <c r="H281" s="66" t="str">
        <f> "Hi " &amp; Sheet1!AO111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IFERROR(LEFT(Sheet1!AP111, FIND("?", Sheet1!AP111)-1), Sheet1!AP111)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michelleraskin!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https://www.tiktok.com/@michelleraskin/video/7470773114905906462]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81" s="63"/>
      <c r="K281" s="66" t="str">
        <f> "Hi " &amp; Sheet1!AO39 &amp; "! I hope you’re doing well 😊 I just wanted to follow up regarding the message I sent about requesting your permission to use your video on the trend “how to successfully kidnap me” [LINK: " &amp; IFERROR(LEFT(Sheet1!AP39, FIND("?", Sheet1!AP39)-1), Sheet1!AP39)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__camilaleal! I hope you’re doing well 😊 I just wanted to follow up regarding the message I sent about requesting your permission to use your video on the trend “how to successfully kidnap me” [LINK: https://www.tiktok.com/@__camilaleal/video/7483363242685828360]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2">
      <c r="G282" s="61"/>
      <c r="H282" s="66" t="str">
        <f> "Hi " &amp; Sheet1!AO112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IFERROR(LEFT(Sheet1!AP112, FIND("?", Sheet1!AP112)-1), Sheet1!AP112)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robbiejay_somesay!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https://www.tiktok.com/@robbiejay_somesay/video/7470912449848429846]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82" s="63"/>
      <c r="K282" s="66" t="str">
        <f> "Hi " &amp; Sheet1!AO40 &amp; "! I hope you’re doing well 😊 I just wanted to follow up regarding the message I sent about requesting your permission to use your video on the trend “how to successfully kidnap me” [LINK: " &amp; IFERROR(LEFT(Sheet1!AP40, FIND("?", Sheet1!AP40)-1), Sheet1!AP40)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underdogauthors! I hope you’re doing well 😊 I just wanted to follow up regarding the message I sent about requesting your permission to use your video on the trend “how to successfully kidnap me” [LINK: https://www.tiktok.com/@underdogauthors/video/7468226522692832545]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3">
      <c r="G283" s="61"/>
      <c r="H283" s="66" t="str">
        <f> "Hi " &amp; Sheet1!AO113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IFERROR(LEFT(Sheet1!AP113, FIND("?", Sheet1!AP113)-1), Sheet1!AP113)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ilovemybf_158!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https://www.tiktok.com/@ilovemybf_158/video/7539091005350350094]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83" s="63"/>
      <c r="K283" s="66" t="str">
        <f> "Hi " &amp; Sheet1!AO41 &amp; "! I hope you’re doing well 😊 I just wanted to follow up regarding the message I sent about requesting your permission to use your video on the trend “how to successfully kidnap me” [LINK: " &amp; IFERROR(LEFT(Sheet1!AP41, FIND("?", Sheet1!AP41)-1), Sheet1!AP41)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mr.swartzberg! I hope you’re doing well 😊 I just wanted to follow up regarding the message I sent about requesting your permission to use your video on the trend “how to successfully kidnap me” [LINK: https://www.tiktok.com/@mr.swartzberg/video/7545138536907869470]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4">
      <c r="G284" s="61"/>
      <c r="H284" s="66" t="str">
        <f> "Hi " &amp; Sheet1!AO114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IFERROR(LEFT(Sheet1!AP114, FIND("?", Sheet1!AP114)-1), Sheet1!AP114)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revofitness!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https://www.tiktok.com/@revofitness/video/7480458900974734593]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84" s="63"/>
      <c r="K284" s="66" t="str">
        <f> "Hi " &amp; Sheet1!AO42 &amp; "! I hope you’re doing well 😊 I just wanted to follow up regarding the message I sent about requesting your permission to use your video on the trend “how to successfully kidnap me” [LINK: " &amp; IFERROR(LEFT(Sheet1!AP42, FIND("?", Sheet1!AP42)-1), Sheet1!AP42)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skinspce! I hope you’re doing well 😊 I just wanted to follow up regarding the message I sent about requesting your permission to use your video on the trend “how to successfully kidnap me” [LINK: https://www.tiktok.com/@skinspce/video/7472435579129548054]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5">
      <c r="G285" s="61"/>
      <c r="H285" s="66" t="str">
        <f> "Hi " &amp; Sheet1!AO115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IFERROR(LEFT(Sheet1!AP115, FIND("?", Sheet1!AP115)-1), Sheet1!AP115)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vievemuse!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https://www.tiktok.com/@vievemuse/video/7473920373990362390]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85" s="63"/>
      <c r="K285" s="66" t="str">
        <f> "Hi " &amp; Sheet1!AO43 &amp; "! I hope you’re doing well 😊 I just wanted to follow up regarding the message I sent about requesting your permission to use your video on the trend “how to successfully kidnap me” [LINK: " &amp; IFERROR(LEFT(Sheet1!AP43, FIND("?", Sheet1!AP43)-1), Sheet1!AP43)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tiiaalgans! I hope you’re doing well 😊 I just wanted to follow up regarding the message I sent about requesting your permission to use your video on the trend “how to successfully kidnap me” [LINK: https://www.tiktok.com/@tiiaalgans/video/7472772763946634518]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6">
      <c r="G286" s="61"/>
      <c r="H286" s="66" t="str">
        <f> "Hi " &amp; Sheet1!AO116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IFERROR(LEFT(Sheet1!AP116, FIND("?", Sheet1!AP116)-1), Sheet1!AP116)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vinyl.malte!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https://www.tiktok.com/@vinyl.malte/video/7527619628349099266]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86" s="63"/>
      <c r="K286" s="66" t="str">
        <f> "Hi " &amp; Sheet1!AO44 &amp; "! I hope you’re doing well 😊 I just wanted to follow up regarding the message I sent about requesting your permission to use your video on the trend “how to successfully kidnap me” [LINK: " &amp; IFERROR(LEFT(Sheet1!AP44, FIND("?", Sheet1!AP44)-1), Sheet1!AP44)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graciegirlhere! I hope you’re doing well 😊 I just wanted to follow up regarding the message I sent about requesting your permission to use your video on the trend “how to successfully kidnap me” [LINK: https://www.tiktok.com/@graciegirlhere/video/7467289187792784671]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7">
      <c r="G287" s="61"/>
      <c r="H287" s="66" t="str">
        <f> "Hi " &amp; Sheet1!AO117 &amp;"! I am Shanette Presas, a computer science major and researcher from the Dr. Andrew L. Tan Data Science Institute, De La Salle University in the Philippines. My group and I would like to ask your permission to use this video of yours about the trend ""how to successfully kidnap me"" [LINK: " &amp; IFERROR(LEFT(Sheet1!AP117, FIND("?", Sheet1!AP117)-1), Sheet1!AP117) &amp; "]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f>
        <v>Hi matchpointmatcha! I am Shanette Presas, a computer science major and researcher from the Dr. Andrew L. Tan Data Science Institute, De La Salle University in the Philippines. My group and I would like to ask your permission to use this video of yours about the trend "how to successfully kidnap me" [LINK: https://www.tiktok.com/@matchpointmatcha/video/7491726140726431007] as a resource for our undergraduate thesis project measures the relatedness of short-form videos. Below is an informed consent form explaining our thesis objectives further as well as detailing how exactly your video will be used.
https://drive.google.com/file/d/1N_8mi1LqEE-5HTS5bP_ywzUyxA_45aH4/view?usp=drivesdk
Should you consent to our use of your video, please reply with a message clearly indicating your consent to our use (i.e., "Sure, I consent to your use of my video."). Our contact details are included in the consent form, so please feel free to let us know if you have any questions or require more details about our research.
Thank you so much for your time! :))</v>
      </c>
      <c r="I287" s="63"/>
      <c r="K287" s="66" t="str">
        <f> "Hi " &amp; Sheet1!AO45 &amp; "! I hope you’re doing well 😊 I just wanted to follow up regarding the message I sent about requesting your permission to use your video on the trend “how to successfully kidnap me” [LINK: " &amp; IFERROR(LEFT(Sheet1!AP45, FIND("?", Sheet1!AP45)-1), Sheet1!AP45)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not_tash_s! I hope you’re doing well 😊 I just wanted to follow up regarding the message I sent about requesting your permission to use your video on the trend “how to successfully kidnap me” [LINK: https://www.tiktok.com/@not_tash_s/video/7475043555296283935]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8">
      <c r="G288" s="61"/>
      <c r="H288" s="66"/>
      <c r="I288" s="67"/>
      <c r="K288" s="66" t="str">
        <f> "Hi " &amp; Sheet1!AO46 &amp; "! I hope you’re doing well 😊 I just wanted to follow up regarding the message I sent about requesting your permission to use your video on the trend “how to successfully kidnap me” [LINK: " &amp; IFERROR(LEFT(Sheet1!AP46, FIND("?", Sheet1!AP46)-1), Sheet1!AP46)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sarah.spams.a.lot! I hope you’re doing well 😊 I just wanted to follow up regarding the message I sent about requesting your permission to use your video on the trend “how to successfully kidnap me” [LINK: https://www.tiktok.com/@sarah.spams.a.lot/video/7466507433767226666]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89">
      <c r="G289" s="61"/>
      <c r="H289" s="66"/>
      <c r="I289" s="67"/>
      <c r="K289" s="66" t="str">
        <f> "Hi " &amp; Sheet1!AO47 &amp; "! I hope you’re doing well 😊 I just wanted to follow up regarding the message I sent about requesting your permission to use your video on the trend “how to successfully kidnap me” [LINK: " &amp; IFERROR(LEFT(Sheet1!AP47, FIND("?", Sheet1!AP47)-1), Sheet1!AP47)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pooja.kisoensingh! I hope you’re doing well 😊 I just wanted to follow up regarding the message I sent about requesting your permission to use your video on the trend “how to successfully kidnap me” [LINK: https://www.tiktok.com/@pooja.kisoensingh/video/7513258145376914693]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0">
      <c r="G290" s="61">
        <v>1.0</v>
      </c>
      <c r="K290" s="66" t="str">
        <f> "Hi " &amp; Sheet1!AO48 &amp; "! I hope you’re doing well 😊 I just wanted to follow up regarding the message I sent about requesting your permission to use your video on the trend “how to successfully kidnap me” [LINK: " &amp; IFERROR(LEFT(Sheet1!AP48, FIND("?", Sheet1!AP48)-1), Sheet1!AP48)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skindaddie! I hope you’re doing well 😊 I just wanted to follow up regarding the message I sent about requesting your permission to use your video on the trend “how to successfully kidnap me” [LINK: https://www.tiktok.com/@skindaddie/video/7476592776478543147]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1">
      <c r="K291" s="66" t="str">
        <f> "Hi " &amp; Sheet1!AO49 &amp; "! I hope you’re doing well 😊 I just wanted to follow up regarding the message I sent about requesting your permission to use your video on the trend “how to successfully kidnap me” [LINK: " &amp; IFERROR(LEFT(Sheet1!AP49, FIND("?", Sheet1!AP49)-1), Sheet1!AP49)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megtruck! I hope you’re doing well 😊 I just wanted to follow up regarding the message I sent about requesting your permission to use your video on the trend “how to successfully kidnap me” [LINK: https://www.tiktok.com/@megtruck/video/7467430140843248938]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2">
      <c r="K292" s="66" t="str">
        <f> "Hi " &amp; Sheet1!AO50 &amp; "! I hope you’re doing well 😊 I just wanted to follow up regarding the message I sent about requesting your permission to use your video on the trend “how to successfully kidnap me” [LINK: " &amp; IFERROR(LEFT(Sheet1!AP50, FIND("?", Sheet1!AP50)-1), Sheet1!AP50)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oh.emmii! I hope you’re doing well 😊 I just wanted to follow up regarding the message I sent about requesting your permission to use your video on the trend “how to successfully kidnap me” [LINK: https://www.tiktok.com/@oh.emmii/video/7474157749669154094]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3">
      <c r="K293" s="66" t="str">
        <f> "Hi " &amp; Sheet1!AO51 &amp; "! I hope you’re doing well 😊 I just wanted to follow up regarding the message I sent about requesting your permission to use your video on the trend “how to successfully kidnap me” [LINK: " &amp; IFERROR(LEFT(Sheet1!AP51, FIND("?", Sheet1!AP51)-1), Sheet1!AP51)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housruk! I hope you’re doing well 😊 I just wanted to follow up regarding the message I sent about requesting your permission to use your video on the trend “how to successfully kidnap me” [LINK: https://www.tiktok.com/@housruk/video/7472704815672478998]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4">
      <c r="K294" s="66" t="str">
        <f> "Hi " &amp; Sheet1!AO52 &amp; "! I hope you’re doing well 😊 I just wanted to follow up regarding the message I sent about requesting your permission to use your video on the trend “how to successfully kidnap me” [LINK: " &amp; IFERROR(LEFT(Sheet1!AP52, FIND("?", Sheet1!AP52)-1), Sheet1!AP52)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jacscaveofwonders! I hope you’re doing well 😊 I just wanted to follow up regarding the message I sent about requesting your permission to use your video on the trend “how to successfully kidnap me” [LINK: https://www.tiktok.com/@jacscaveofwonders/video/7471833814537456914]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5">
      <c r="K295" s="66" t="str">
        <f> "Hi " &amp; Sheet1!AO53 &amp; "! I hope you’re doing well 😊 I just wanted to follow up regarding the message I sent about requesting your permission to use your video on the trend “how to successfully kidnap me” [LINK: " &amp; IFERROR(LEFT(Sheet1!AP53, FIND("?", Sheet1!AP53)-1), Sheet1!AP53)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alice_gigney! I hope you’re doing well 😊 I just wanted to follow up regarding the message I sent about requesting your permission to use your video on the trend “how to successfully kidnap me” [LINK: https://www.tiktok.com/@alice_gigney/video/7501010491242745110]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6">
      <c r="K296" s="66" t="str">
        <f> "Hi " &amp; Sheet1!AO54 &amp; "! I hope you’re doing well 😊 I just wanted to follow up regarding the message I sent about requesting your permission to use your video on the trend “how to successfully kidnap me” [LINK: " &amp; IFERROR(LEFT(Sheet1!AP54, FIND("?", Sheet1!AP54)-1), Sheet1!AP54)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mari_rebuilt! I hope you’re doing well 😊 I just wanted to follow up regarding the message I sent about requesting your permission to use your video on the trend “how to successfully kidnap me” [LINK: https://www.tiktok.com/@mari_rebuilt/video/7520389275926465798]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7">
      <c r="K297" s="66" t="str">
        <f> "Hi " &amp; Sheet1!AO55 &amp; "! I hope you’re doing well 😊 I just wanted to follow up regarding the message I sent about requesting your permission to use your video on the trend “how to successfully kidnap me” [LINK: " &amp; IFERROR(LEFT(Sheet1!AP55, FIND("?", Sheet1!AP55)-1), Sheet1!AP55)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microphonegoddesss! I hope you’re doing well 😊 I just wanted to follow up regarding the message I sent about requesting your permission to use your video on the trend “how to successfully kidnap me” [LINK: https://www.tiktok.com/@microphonegoddesss/video/7476080398078905622]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8">
      <c r="K298" s="66" t="str">
        <f> "Hi " &amp; Sheet1!AO56 &amp; "! I hope you’re doing well 😊 I just wanted to follow up regarding the message I sent about requesting your permission to use your video on the trend “how to successfully kidnap me” [LINK: " &amp; IFERROR(LEFT(Sheet1!AP56, FIND("?", Sheet1!AP56)-1), Sheet1!AP56)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texas_starch_co! I hope you’re doing well 😊 I just wanted to follow up regarding the message I sent about requesting your permission to use your video on the trend “how to successfully kidnap me” [LINK: https://www.tiktok.com/@texas_starch_co/video/7529418189613141262]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299">
      <c r="K299" s="66" t="str">
        <f> "Hi " &amp; Sheet1!AO57 &amp; "! I hope you’re doing well 😊 I just wanted to follow up regarding the message I sent about requesting your permission to use your video on the trend “how to successfully kidnap me” [LINK: " &amp; IFERROR(LEFT(Sheet1!AP57, FIND("?", Sheet1!AP57)-1), Sheet1!AP57)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12.gauge.n! I hope you’re doing well 😊 I just wanted to follow up regarding the message I sent about requesting your permission to use your video on the trend “how to successfully kidnap me” [LINK: https://www.tiktok.com/@12.gauge.n/video/7470768868496297262]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0">
      <c r="K300" s="66" t="str">
        <f> "Hi " &amp; Sheet1!AO58 &amp; "! I hope you’re doing well 😊 I just wanted to follow up regarding the message I sent about requesting your permission to use your video on the trend “how to successfully kidnap me” [LINK: " &amp; IFERROR(LEFT(Sheet1!AP58, FIND("?", Sheet1!AP58)-1), Sheet1!AP58)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dancecodemunich! I hope you’re doing well 😊 I just wanted to follow up regarding the message I sent about requesting your permission to use your video on the trend “how to successfully kidnap me” [LINK: https://www.tiktok.com/@dancecodemunich/video/7494361403499859222]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1">
      <c r="K301" s="66" t="str">
        <f> "Hi " &amp; Sheet1!AO59 &amp; "! I hope you’re doing well 😊 I just wanted to follow up regarding the message I sent about requesting your permission to use your video on the trend “how to successfully kidnap me” [LINK: " &amp; IFERROR(LEFT(Sheet1!AP59, FIND("?", Sheet1!AP59)-1), Sheet1!AP59)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ferbersamelisengarten! I hope you’re doing well 😊 I just wanted to follow up regarding the message I sent about requesting your permission to use your video on the trend “how to successfully kidnap me” [LINK: https://www.tiktok.com/@ferbersamelisengarten/video/7492863080737557782]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2">
      <c r="K302" s="66" t="str">
        <f> "Hi " &amp; Sheet1!AO60 &amp; "! I hope you’re doing well 😊 I just wanted to follow up regarding the message I sent about requesting your permission to use your video on the trend “how to successfully kidnap me” [LINK: " &amp; IFERROR(LEFT(Sheet1!AP60, FIND("?", Sheet1!AP60)-1), Sheet1!AP60)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its.christinne! I hope you’re doing well 😊 I just wanted to follow up regarding the message I sent about requesting your permission to use your video on the trend “how to successfully kidnap me” [LINK: https://www.tiktok.com/@its.christinne/video/7469759856216509703]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3">
      <c r="K303" s="66" t="str">
        <f> "Hi " &amp; Sheet1!AO61 &amp; "! I hope you’re doing well 😊 I just wanted to follow up regarding the message I sent about requesting your permission to use your video on the trend “how to successfully kidnap me” [LINK: " &amp; IFERROR(LEFT(Sheet1!AP61, FIND("?", Sheet1!AP61)-1), Sheet1!AP61)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mollymrynn! I hope you’re doing well 😊 I just wanted to follow up regarding the message I sent about requesting your permission to use your video on the trend “how to successfully kidnap me” [LINK: https://www.tiktok.com/@mollymrynn/video/7468720105896152352]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4">
      <c r="K304" s="66" t="str">
        <f> "Hi " &amp; Sheet1!AO62 &amp; "! I hope you’re doing well 😊 I just wanted to follow up regarding the message I sent about requesting your permission to use your video on the trend “how to successfully kidnap me” [LINK: " &amp; IFERROR(LEFT(Sheet1!AP62, FIND("?", Sheet1!AP62)-1), Sheet1!AP62)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gold.x.jewels! I hope you’re doing well 😊 I just wanted to follow up regarding the message I sent about requesting your permission to use your video on the trend “how to successfully kidnap me” [LINK: https://www.tiktok.com/@gold.x.jewels/video/7542498052209151264]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5">
      <c r="K305" s="66" t="str">
        <f> "Hi " &amp; Sheet1!AO63 &amp; "! I hope you’re doing well 😊 I just wanted to follow up regarding the message I sent about requesting your permission to use your video on the trend “how to successfully kidnap me” [LINK: " &amp; IFERROR(LEFT(Sheet1!AP63, FIND("?", Sheet1!AP63)-1), Sheet1!AP63)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liljellys! I hope you’re doing well 😊 I just wanted to follow up regarding the message I sent about requesting your permission to use your video on the trend “how to successfully kidnap me” [LINK: https://www.tiktok.com/@liljellys/video/7479964398237355310]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6">
      <c r="K306" s="66" t="str">
        <f> "Hi " &amp; Sheet1!AO64 &amp; "! I hope you’re doing well 😊 I just wanted to follow up regarding the message I sent about requesting your permission to use your video on the trend “how to successfully kidnap me” [LINK: " &amp; IFERROR(LEFT(Sheet1!AP64, FIND("?", Sheet1!AP64)-1), Sheet1!AP64)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torotoro131! I hope you’re doing well 😊 I just wanted to follow up regarding the message I sent about requesting your permission to use your video on the trend “how to successfully kidnap me” [LINK: https://www.tiktok.com/@torotoro131/video/7482566668749638943]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7">
      <c r="K307" s="66" t="str">
        <f> "Hi " &amp; Sheet1!AO65 &amp; "! I hope you’re doing well 😊 I just wanted to follow up regarding the message I sent about requesting your permission to use your video on the trend “how to successfully kidnap me” [LINK: " &amp; IFERROR(LEFT(Sheet1!AP65, FIND("?", Sheet1!AP65)-1), Sheet1!AP65)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mals.inspo! I hope you’re doing well 😊 I just wanted to follow up regarding the message I sent about requesting your permission to use your video on the trend “how to successfully kidnap me” [LINK: https://www.tiktok.com/@mals.inspo/video/7486546269389868319]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8">
      <c r="K308" s="66" t="str">
        <f> "Hi " &amp; Sheet1!AO66 &amp; "! I hope you’re doing well 😊 I just wanted to follow up regarding the message I sent about requesting your permission to use your video on the trend “how to successfully kidnap me” [LINK: " &amp; IFERROR(LEFT(Sheet1!AP66, FIND("?", Sheet1!AP66)-1), Sheet1!AP66)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whatyoudontsee.annie! I hope you’re doing well 😊 I just wanted to follow up regarding the message I sent about requesting your permission to use your video on the trend “how to successfully kidnap me” [LINK: https://www.tiktok.com/@whatyoudontsee.annie/video/7473750137131601157]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09">
      <c r="K309" s="66" t="str">
        <f> "Hi " &amp; Sheet1!AO67 &amp; "! I hope you’re doing well 😊 I just wanted to follow up regarding the message I sent about requesting your permission to use your video on the trend “how to successfully kidnap me” [LINK: " &amp; IFERROR(LEFT(Sheet1!AP67, FIND("?", Sheet1!AP67)-1), Sheet1!AP67)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angiewulala! I hope you’re doing well 😊 I just wanted to follow up regarding the message I sent about requesting your permission to use your video on the trend “how to successfully kidnap me” [LINK: https://www.tiktok.com/@angiewulala/video/7486227989483769134]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0">
      <c r="K310" s="66" t="str">
        <f> "Hi " &amp; Sheet1!AO68 &amp; "! I hope you’re doing well 😊 I just wanted to follow up regarding the message I sent about requesting your permission to use your video on the trend “how to successfully kidnap me” [LINK: " &amp; IFERROR(LEFT(Sheet1!AP68, FIND("?", Sheet1!AP68)-1), Sheet1!AP68)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angelicaeilish! I hope you’re doing well 😊 I just wanted to follow up regarding the message I sent about requesting your permission to use your video on the trend “how to successfully kidnap me” [LINK: https://www.tiktok.com/@angelicaeilish/video/7504224318021225750]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1">
      <c r="K311" s="66" t="str">
        <f> "Hi " &amp; Sheet1!AO69 &amp; "! I hope you’re doing well 😊 I just wanted to follow up regarding the message I sent about requesting your permission to use your video on the trend “how to successfully kidnap me” [LINK: " &amp; IFERROR(LEFT(Sheet1!AP69, FIND("?", Sheet1!AP69)-1), Sheet1!AP69)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jennifer.fnb! I hope you’re doing well 😊 I just wanted to follow up regarding the message I sent about requesting your permission to use your video on the trend “how to successfully kidnap me” [LINK: https://www.tiktok.com/@jennifer.fnb/video/7472789944163962134]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2">
      <c r="K312" s="66" t="str">
        <f> "Hi " &amp; Sheet1!AO70 &amp; "! I hope you’re doing well 😊 I just wanted to follow up regarding the message I sent about requesting your permission to use your video on the trend “how to successfully kidnap me” [LINK: " &amp; IFERROR(LEFT(Sheet1!AP70, FIND("?", Sheet1!AP70)-1), Sheet1!AP70)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saralesss! I hope you’re doing well 😊 I just wanted to follow up regarding the message I sent about requesting your permission to use your video on the trend “how to successfully kidnap me” [LINK: https://www.tiktok.com/@saralesss/video/7473496876919098642]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3">
      <c r="K313" s="66" t="str">
        <f> "Hi " &amp; Sheet1!AO71 &amp; "! I hope you’re doing well 😊 I just wanted to follow up regarding the message I sent about requesting your permission to use your video on the trend “how to successfully kidnap me” [LINK: " &amp; IFERROR(LEFT(Sheet1!AP71, FIND("?", Sheet1!AP71)-1), Sheet1!AP71)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rousseaus_room! I hope you’re doing well 😊 I just wanted to follow up regarding the message I sent about requesting your permission to use your video on the trend “how to successfully kidnap me” [LINK: https://www.tiktok.com/@rousseaus_room/video/7475337556016499973]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4">
      <c r="K314" s="66" t="str">
        <f> "Hi " &amp; Sheet1!AO72 &amp; "! I hope you’re doing well 😊 I just wanted to follow up regarding the message I sent about requesting your permission to use your video on the trend “how to successfully kidnap me” [LINK: " &amp; IFERROR(LEFT(Sheet1!AP72, FIND("?", Sheet1!AP72)-1), Sheet1!AP72)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metal_threads_and! I hope you’re doing well 😊 I just wanted to follow up regarding the message I sent about requesting your permission to use your video on the trend “how to successfully kidnap me” [LINK: https://www.tiktok.com/@metal_threads_and/video/7467330125550472494]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5">
      <c r="K315" s="66" t="str">
        <f> "Hi " &amp; Sheet1!AO73 &amp; "! I hope you’re doing well 😊 I just wanted to follow up regarding the message I sent about requesting your permission to use your video on the trend “how to successfully kidnap me” [LINK: " &amp; IFERROR(LEFT(Sheet1!AP73, FIND("?", Sheet1!AP73)-1), Sheet1!AP73)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i4_slow! I hope you’re doing well 😊 I just wanted to follow up regarding the message I sent about requesting your permission to use your video on the trend “how to successfully kidnap me” [LINK: https://www.tiktok.com/@i4_slow/video/7474441969524165918]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6">
      <c r="K316" s="66" t="str">
        <f> "Hi " &amp; Sheet1!AO74 &amp; "! I hope you’re doing well 😊 I just wanted to follow up regarding the message I sent about requesting your permission to use your video on the trend “how to successfully kidnap me” [LINK: " &amp; IFERROR(LEFT(Sheet1!AP74, FIND("?", Sheet1!AP74)-1), Sheet1!AP74)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mahitunam! I hope you’re doing well 😊 I just wanted to follow up regarding the message I sent about requesting your permission to use your video on the trend “how to successfully kidnap me” [LINK: https://www.tiktok.com/@mahitunam/video/7469815987987156242]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7">
      <c r="K317" s="66" t="str">
        <f> "Hi " &amp; Sheet1!AO75 &amp; "! I hope you’re doing well 😊 I just wanted to follow up regarding the message I sent about requesting your permission to use your video on the trend “how to successfully kidnap me” [LINK: " &amp; IFERROR(LEFT(Sheet1!AP75, FIND("?", Sheet1!AP75)-1), Sheet1!AP75)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newyorkeronline! I hope you’re doing well 😊 I just wanted to follow up regarding the message I sent about requesting your permission to use your video on the trend “how to successfully kidnap me” [LINK: https://www.tiktok.com/@newyorkeronline/video/7489012203673144598]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8">
      <c r="K318" s="66" t="str">
        <f> "Hi " &amp; Sheet1!AO76 &amp; "! I hope you’re doing well 😊 I just wanted to follow up regarding the message I sent about requesting your permission to use your video on the trend “how to successfully kidnap me” [LINK: " &amp; IFERROR(LEFT(Sheet1!AP76, FIND("?", Sheet1!AP76)-1), Sheet1!AP76)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victoriassecretitaly! I hope you’re doing well 😊 I just wanted to follow up regarding the message I sent about requesting your permission to use your video on the trend “how to successfully kidnap me” [LINK: https://www.tiktok.com/@victoriassecretitaly/video/7492333793731284246]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19">
      <c r="K319" s="66" t="str">
        <f> "Hi " &amp; Sheet1!AO77 &amp; "! I hope you’re doing well 😊 I just wanted to follow up regarding the message I sent about requesting your permission to use your video on the trend “how to successfully kidnap me” [LINK: " &amp; IFERROR(LEFT(Sheet1!AP77, FIND("?", Sheet1!AP77)-1), Sheet1!AP77)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pauline_brenner! I hope you’re doing well 😊 I just wanted to follow up regarding the message I sent about requesting your permission to use your video on the trend “how to successfully kidnap me” [LINK: https://www.tiktok.com/@pauline_brenner/video/7469862667302276374]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0">
      <c r="K320" s="66" t="str">
        <f> "Hi " &amp; Sheet1!AO78 &amp; "! I hope you’re doing well 😊 I just wanted to follow up regarding the message I sent about requesting your permission to use your video on the trend “how to successfully kidnap me” [LINK: " &amp; IFERROR(LEFT(Sheet1!AP78, FIND("?", Sheet1!AP78)-1), Sheet1!AP78)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caitzdurling! I hope you’re doing well 😊 I just wanted to follow up regarding the message I sent about requesting your permission to use your video on the trend “how to successfully kidnap me” [LINK: https://www.tiktok.com/@caitzdurling/video/7468623059348442400]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1">
      <c r="K321" s="66" t="str">
        <f> "Hi " &amp; Sheet1!AO79 &amp; "! I hope you’re doing well 😊 I just wanted to follow up regarding the message I sent about requesting your permission to use your video on the trend “how to successfully kidnap me” [LINK: " &amp; IFERROR(LEFT(Sheet1!AP79, FIND("?", Sheet1!AP79)-1), Sheet1!AP79)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inna_turadzhyk! I hope you’re doing well 😊 I just wanted to follow up regarding the message I sent about requesting your permission to use your video on the trend “how to successfully kidnap me” [LINK: https://www.tiktok.com/@inna_turadzhyk/video/7476778070968372485]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2">
      <c r="K322" s="66" t="str">
        <f> "Hi " &amp; Sheet1!AO80 &amp; "! I hope you’re doing well 😊 I just wanted to follow up regarding the message I sent about requesting your permission to use your video on the trend “how to successfully kidnap me” [LINK: " &amp; IFERROR(LEFT(Sheet1!AP80, FIND("?", Sheet1!AP80)-1), Sheet1!AP80)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katiemcev0y! I hope you’re doing well 😊 I just wanted to follow up regarding the message I sent about requesting your permission to use your video on the trend “how to successfully kidnap me” [LINK: https://www.tiktok.com/@katiemcev0y/video/7470967592627326238]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3">
      <c r="K323" s="66" t="str">
        <f> "Hi " &amp; Sheet1!AO81 &amp; "! I hope you’re doing well 😊 I just wanted to follow up regarding the message I sent about requesting your permission to use your video on the trend “how to successfully kidnap me” [LINK: " &amp; IFERROR(LEFT(Sheet1!AP81, FIND("?", Sheet1!AP81)-1), Sheet1!AP81)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lanolips! I hope you’re doing well 😊 I just wanted to follow up regarding the message I sent about requesting your permission to use your video on the trend “how to successfully kidnap me” [LINK: https://www.tiktok.com/@lanolips/video/7477447002754764039]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4">
      <c r="K324" s="66" t="str">
        <f> "Hi " &amp; Sheet1!AO82 &amp; "! I hope you’re doing well 😊 I just wanted to follow up regarding the message I sent about requesting your permission to use your video on the trend “how to successfully kidnap me” [LINK: " &amp; IFERROR(LEFT(Sheet1!AP82, FIND("?", Sheet1!AP82)-1), Sheet1!AP82)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saiebeauty! I hope you’re doing well 😊 I just wanted to follow up regarding the message I sent about requesting your permission to use your video on the trend “how to successfully kidnap me” [LINK: https://www.tiktok.com/@saiebeauty/video/7470274619619085614]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5">
      <c r="K325" s="66" t="str">
        <f> "Hi " &amp; Sheet1!AO83 &amp; "! I hope you’re doing well 😊 I just wanted to follow up regarding the message I sent about requesting your permission to use your video on the trend “how to successfully kidnap me” [LINK: " &amp; IFERROR(LEFT(Sheet1!AP83, FIND("?", Sheet1!AP83)-1), Sheet1!AP83)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sephoracanada! I hope you’re doing well 😊 I just wanted to follow up regarding the message I sent about requesting your permission to use your video on the trend “how to successfully kidnap me” [LINK: https://www.tiktok.com/@sephoracanada/video/7475467439430503735]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6">
      <c r="K326" s="66" t="str">
        <f> "Hi " &amp; Sheet1!AO84 &amp; "! I hope you’re doing well 😊 I just wanted to follow up regarding the message I sent about requesting your permission to use your video on the trend “how to successfully kidnap me” [LINK: " &amp; IFERROR(LEFT(Sheet1!AP84, FIND("?", Sheet1!AP84)-1), Sheet1!AP84)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snackje! I hope you’re doing well 😊 I just wanted to follow up regarding the message I sent about requesting your permission to use your video on the trend “how to successfully kidnap me” [LINK: https://www.tiktok.com/@snackje/video/7486481820071120150]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7">
      <c r="K327" s="66" t="str">
        <f> "Hi " &amp; Sheet1!AO85 &amp; "! I hope you’re doing well 😊 I just wanted to follow up regarding the message I sent about requesting your permission to use your video on the trend “how to successfully kidnap me” [LINK: " &amp; IFERROR(LEFT(Sheet1!AP85, FIND("?", Sheet1!AP85)-1), Sheet1!AP85)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oliviakennar! I hope you’re doing well 😊 I just wanted to follow up regarding the message I sent about requesting your permission to use your video on the trend “how to successfully kidnap me” [LINK: https://www.tiktok.com/@oliviakennar/video/7477130119300254978]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8">
      <c r="K328" s="66" t="str">
        <f> "Hi " &amp; Sheet1!AO86 &amp; "! I hope you’re doing well 😊 I just wanted to follow up regarding the message I sent about requesting your permission to use your video on the trend “how to successfully kidnap me” [LINK: " &amp; IFERROR(LEFT(Sheet1!AP86, FIND("?", Sheet1!AP86)-1), Sheet1!AP86)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lisagozlanjewelry! I hope you’re doing well 😊 I just wanted to follow up regarding the message I sent about requesting your permission to use your video on the trend “how to successfully kidnap me” [LINK: https://www.tiktok.com/@lisagozlanjewelry/video/7476219568713944366]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29">
      <c r="K329" s="66" t="str">
        <f> "Hi " &amp; Sheet1!AO87 &amp; "! I hope you’re doing well 😊 I just wanted to follow up regarding the message I sent about requesting your permission to use your video on the trend “how to successfully kidnap me” [LINK: " &amp; IFERROR(LEFT(Sheet1!AP87, FIND("?", Sheet1!AP87)-1), Sheet1!AP87)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lilsrtl! I hope you’re doing well 😊 I just wanted to follow up regarding the message I sent about requesting your permission to use your video on the trend “how to successfully kidnap me” [LINK: https://www.tiktok.com/@lilsrtl/video/7469913839375551766]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0">
      <c r="K330" s="66" t="str">
        <f> "Hi " &amp; Sheet1!AO88 &amp; "! I hope you’re doing well 😊 I just wanted to follow up regarding the message I sent about requesting your permission to use your video on the trend “how to successfully kidnap me” [LINK: " &amp; IFERROR(LEFT(Sheet1!AP88, FIND("?", Sheet1!AP88)-1), Sheet1!AP88)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luchy_wayne! I hope you’re doing well 😊 I just wanted to follow up regarding the message I sent about requesting your permission to use your video on the trend “how to successfully kidnap me” [LINK: https://www.tiktok.com/@luchy_wayne/video/7472082238847503621]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1">
      <c r="K331" s="66" t="str">
        <f> "Hi " &amp; Sheet1!AO89 &amp; "! I hope you’re doing well 😊 I just wanted to follow up regarding the message I sent about requesting your permission to use your video on the trend “how to successfully kidnap me” [LINK: " &amp; IFERROR(LEFT(Sheet1!AP89, FIND("?", Sheet1!AP89)-1), Sheet1!AP89)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kentsicecreamco! I hope you’re doing well 😊 I just wanted to follow up regarding the message I sent about requesting your permission to use your video on the trend “how to successfully kidnap me” [LINK: https://www.tiktok.com/@kentsicecreamco/video/7475117084159085830]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2">
      <c r="K332" s="66" t="str">
        <f> "Hi " &amp; Sheet1!AO90 &amp; "! I hope you’re doing well 😊 I just wanted to follow up regarding the message I sent about requesting your permission to use your video on the trend “how to successfully kidnap me” [LINK: " &amp; IFERROR(LEFT(Sheet1!AP90, FIND("?", Sheet1!AP90)-1), Sheet1!AP90)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brookies.haulss! I hope you’re doing well 😊 I just wanted to follow up regarding the message I sent about requesting your permission to use your video on the trend “how to successfully kidnap me” [LINK: https://www.tiktok.com/@brookies.haulss/video/7468781641809284398]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3">
      <c r="H333" s="66"/>
      <c r="I333" s="63"/>
      <c r="K333" s="66" t="str">
        <f> "Hi " &amp; Sheet1!AO91 &amp; "! I hope you’re doing well 😊 I just wanted to follow up regarding the message I sent about requesting your permission to use your video on the trend “how to successfully kidnap me” [LINK: " &amp; IFERROR(LEFT(Sheet1!AP91, FIND("?", Sheet1!AP91)-1), Sheet1!AP91)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magnetichillwinery! I hope you’re doing well 😊 I just wanted to follow up regarding the message I sent about requesting your permission to use your video on the trend “how to successfully kidnap me” [LINK: https://www.tiktok.com/@magnetichillwinery/video/7500017792729484549]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4">
      <c r="H334" s="66"/>
      <c r="I334" s="63"/>
      <c r="K334" s="66" t="str">
        <f> "Hi " &amp; Sheet1!AO92 &amp; "! I hope you’re doing well 😊 I just wanted to follow up regarding the message I sent about requesting your permission to use your video on the trend “how to successfully kidnap me” [LINK: " &amp; IFERROR(LEFT(Sheet1!AP92, FIND("?", Sheet1!AP92)-1), Sheet1!AP92)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mae.west! I hope you’re doing well 😊 I just wanted to follow up regarding the message I sent about requesting your permission to use your video on the trend “how to successfully kidnap me” [LINK: https://www.tiktok.com/@mae.west/video/7467732916202769670]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5">
      <c r="H335" s="66"/>
      <c r="I335" s="63"/>
      <c r="K335" s="66" t="str">
        <f> "Hi " &amp; Sheet1!AO93 &amp; "! I hope you’re doing well 😊 I just wanted to follow up regarding the message I sent about requesting your permission to use your video on the trend “how to successfully kidnap me” [LINK: " &amp; IFERROR(LEFT(Sheet1!AP93, FIND("?", Sheet1!AP93)-1), Sheet1!AP93)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kaysee786! I hope you’re doing well 😊 I just wanted to follow up regarding the message I sent about requesting your permission to use your video on the trend “how to successfully kidnap me” [LINK: https://www.tiktok.com/@kaysee786/video/7471774843491421462]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6">
      <c r="H336" s="66"/>
      <c r="I336" s="63"/>
      <c r="K336" s="66" t="str">
        <f> "Hi " &amp; Sheet1!AO94 &amp; "! I hope you’re doing well 😊 I just wanted to follow up regarding the message I sent about requesting your permission to use your video on the trend “how to successfully kidnap me” [LINK: " &amp; IFERROR(LEFT(Sheet1!AP94, FIND("?", Sheet1!AP94)-1), Sheet1!AP94)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natalieeena! I hope you’re doing well 😊 I just wanted to follow up regarding the message I sent about requesting your permission to use your video on the trend “how to successfully kidnap me” [LINK: https://www.tiktok.com/@natalieeena/video/7537200853023804679]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7">
      <c r="H337" s="66"/>
      <c r="I337" s="63"/>
      <c r="K337" s="66" t="str">
        <f> "Hi " &amp; Sheet1!AO95 &amp; "! I hope you’re doing well 😊 I just wanted to follow up regarding the message I sent about requesting your permission to use your video on the trend “how to successfully kidnap me” [LINK: " &amp; IFERROR(LEFT(Sheet1!AP95, FIND("?", Sheet1!AP95)-1), Sheet1!AP95)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rosekoreanbeauty! I hope you’re doing well 😊 I just wanted to follow up regarding the message I sent about requesting your permission to use your video on the trend “how to successfully kidnap me” [LINK: https://www.tiktok.com/@rosekoreanbeauty/video/7470125845341048087]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8">
      <c r="H338" s="66"/>
      <c r="I338" s="63"/>
      <c r="K338" s="66" t="str">
        <f> "Hi " &amp; Sheet1!AO96 &amp; "! I hope you’re doing well 😊 I just wanted to follow up regarding the message I sent about requesting your permission to use your video on the trend “how to successfully kidnap me” [LINK: " &amp; IFERROR(LEFT(Sheet1!AP96, FIND("?", Sheet1!AP96)-1), Sheet1!AP96)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annikaluciaaa! I hope you’re doing well 😊 I just wanted to follow up regarding the message I sent about requesting your permission to use your video on the trend “how to successfully kidnap me” [LINK: https://www.tiktok.com/@annikaluciaaa/video/7472072364860181782]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39">
      <c r="H339" s="66"/>
      <c r="I339" s="63"/>
      <c r="K339" s="66" t="str">
        <f> "Hi " &amp; Sheet1!AO97 &amp; "! I hope you’re doing well 😊 I just wanted to follow up regarding the message I sent about requesting your permission to use your video on the trend “how to successfully kidnap me” [LINK: " &amp; IFERROR(LEFT(Sheet1!AP97, FIND("?", Sheet1!AP97)-1), Sheet1!AP97)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kiara.3times! I hope you’re doing well 😊 I just wanted to follow up regarding the message I sent about requesting your permission to use your video on the trend “how to successfully kidnap me” [LINK: https://www.tiktok.com/@kiara.3times/video/7473943120632188202]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0">
      <c r="H340" s="66"/>
      <c r="I340" s="63"/>
      <c r="K340" s="66" t="str">
        <f> "Hi " &amp; Sheet1!AO98 &amp; "! I hope you’re doing well 😊 I just wanted to follow up regarding the message I sent about requesting your permission to use your video on the trend “how to successfully kidnap me” [LINK: " &amp; IFERROR(LEFT(Sheet1!AP98, FIND("?", Sheet1!AP98)-1), Sheet1!AP98)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stitchedby.soleil! I hope you’re doing well 😊 I just wanted to follow up regarding the message I sent about requesting your permission to use your video on the trend “how to successfully kidnap me” [LINK: https://www.tiktok.com/@stitchedby.soleil/video/7477644122694700331]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1">
      <c r="H341" s="66"/>
      <c r="I341" s="63"/>
      <c r="K341" s="66" t="str">
        <f> "Hi " &amp; Sheet1!AO99 &amp; "! I hope you’re doing well 😊 I just wanted to follow up regarding the message I sent about requesting your permission to use your video on the trend “how to successfully kidnap me” [LINK: " &amp; IFERROR(LEFT(Sheet1!AP99, FIND("?", Sheet1!AP99)-1), Sheet1!AP99)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atiyana.a! I hope you’re doing well 😊 I just wanted to follow up regarding the message I sent about requesting your permission to use your video on the trend “how to successfully kidnap me” [LINK: https://www.tiktok.com/@atiyana.a/video/7532256610312375607]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2">
      <c r="H342" s="66"/>
      <c r="I342" s="63"/>
      <c r="K342" s="66" t="str">
        <f> "Hi " &amp; Sheet1!AO100 &amp; "! I hope you’re doing well 😊 I just wanted to follow up regarding the message I sent about requesting your permission to use your video on the trend “how to successfully kidnap me” [LINK: " &amp; IFERROR(LEFT(Sheet1!AP100, FIND("?", Sheet1!AP100)-1), Sheet1!AP100)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bungeeandm22! I hope you’re doing well 😊 I just wanted to follow up regarding the message I sent about requesting your permission to use your video on the trend “how to successfully kidnap me” [LINK: https://www.tiktok.com/@bungeeandm22/video/7471887604171001095]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3">
      <c r="H343" s="66"/>
      <c r="I343" s="63"/>
      <c r="K343" s="66" t="str">
        <f> "Hi " &amp; Sheet1!AO101 &amp; "! I hope you’re doing well 😊 I just wanted to follow up regarding the message I sent about requesting your permission to use your video on the trend “how to successfully kidnap me” [LINK: " &amp; IFERROR(LEFT(Sheet1!AP101, FIND("?", Sheet1!AP101)-1), Sheet1!AP101)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fangirl_account7! I hope you’re doing well 😊 I just wanted to follow up regarding the message I sent about requesting your permission to use your video on the trend “how to successfully kidnap me” [LINK: https://www.tiktok.com/@fangirl_account7/video/7531776436458278166]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4">
      <c r="H344" s="66"/>
      <c r="I344" s="63"/>
      <c r="K344" s="66" t="str">
        <f> "Hi " &amp; Sheet1!AO102 &amp; "! I hope you’re doing well 😊 I just wanted to follow up regarding the message I sent about requesting your permission to use your video on the trend “how to successfully kidnap me” [LINK: " &amp; IFERROR(LEFT(Sheet1!AP102, FIND("?", Sheet1!AP102)-1), Sheet1!AP102)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_e.v08! I hope you’re doing well 😊 I just wanted to follow up regarding the message I sent about requesting your permission to use your video on the trend “how to successfully kidnap me” [LINK: https://www.tiktok.com/@_e.v08/video/7470155628086971681]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5">
      <c r="H345" s="62"/>
      <c r="I345" s="63"/>
      <c r="K345" s="66" t="str">
        <f> "Hi " &amp; Sheet1!AO103 &amp; "! I hope you’re doing well 😊 I just wanted to follow up regarding the message I sent about requesting your permission to use your video on the trend “how to successfully kidnap me” [LINK: " &amp; IFERROR(LEFT(Sheet1!AP103, FIND("?", Sheet1!AP103)-1), Sheet1!AP103)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taleasophiarogel! I hope you’re doing well 😊 I just wanted to follow up regarding the message I sent about requesting your permission to use your video on the trend “how to successfully kidnap me” [LINK: https://www.tiktok.com/@taleasophiarogel/video/7469460089041095958]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6">
      <c r="H346" s="62"/>
      <c r="I346" s="63"/>
      <c r="K346" s="66" t="str">
        <f> "Hi " &amp; Sheet1!AO104 &amp; "! I hope you’re doing well 😊 I just wanted to follow up regarding the message I sent about requesting your permission to use your video on the trend “how to successfully kidnap me” [LINK: " &amp; IFERROR(LEFT(Sheet1!AP104, FIND("?", Sheet1!AP104)-1), Sheet1!AP104)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thelittleledger._! I hope you’re doing well 😊 I just wanted to follow up regarding the message I sent about requesting your permission to use your video on the trend “how to successfully kidnap me” [LINK: https://www.tiktok.com/@thelittleledger._/video/7523182379989519634]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7">
      <c r="H347" s="62"/>
      <c r="I347" s="63"/>
      <c r="K347" s="66" t="str">
        <f> "Hi " &amp; Sheet1!AO105 &amp; "! I hope you’re doing well 😊 I just wanted to follow up regarding the message I sent about requesting your permission to use your video on the trend “how to successfully kidnap me” [LINK: " &amp; IFERROR(LEFT(Sheet1!AP105, FIND("?", Sheet1!AP105)-1), Sheet1!AP105)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flaatch! I hope you’re doing well 😊 I just wanted to follow up regarding the message I sent about requesting your permission to use your video on the trend “how to successfully kidnap me” [LINK: https://www.tiktok.com/@flaatch/video/7472839351370616086]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8">
      <c r="H348" s="62"/>
      <c r="I348" s="63"/>
      <c r="K348" s="66" t="str">
        <f> "Hi " &amp; Sheet1!AO106 &amp; "! I hope you’re doing well 😊 I just wanted to follow up regarding the message I sent about requesting your permission to use your video on the trend “how to successfully kidnap me” [LINK: " &amp; IFERROR(LEFT(Sheet1!AP106, FIND("?", Sheet1!AP106)-1), Sheet1!AP106)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abigail_maybe! I hope you’re doing well 😊 I just wanted to follow up regarding the message I sent about requesting your permission to use your video on the trend “how to successfully kidnap me” [LINK: https://www.tiktok.com/@abigail_maybe/video/7469882487070543137]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49">
      <c r="H349" s="62"/>
      <c r="I349" s="63"/>
      <c r="K349" s="66" t="str">
        <f> "Hi " &amp; Sheet1!AO107 &amp; "! I hope you’re doing well 😊 I just wanted to follow up regarding the message I sent about requesting your permission to use your video on the trend “how to successfully kidnap me” [LINK: " &amp; IFERROR(LEFT(Sheet1!AP107, FIND("?", Sheet1!AP107)-1), Sheet1!AP107)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quelriveraa! I hope you’re doing well 😊 I just wanted to follow up regarding the message I sent about requesting your permission to use your video on the trend “how to successfully kidnap me” [LINK: https://www.tiktok.com/@quelriveraa/video/7468488046334201119]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0">
      <c r="H350" s="62"/>
      <c r="I350" s="63"/>
      <c r="K350" s="66" t="str">
        <f> "Hi " &amp; Sheet1!AO108 &amp; "! I hope you’re doing well 😊 I just wanted to follow up regarding the message I sent about requesting your permission to use your video on the trend “how to successfully kidnap me” [LINK: " &amp; IFERROR(LEFT(Sheet1!AP108, FIND("?", Sheet1!AP108)-1), Sheet1!AP108)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avaareadsss! I hope you’re doing well 😊 I just wanted to follow up regarding the message I sent about requesting your permission to use your video on the trend “how to successfully kidnap me” [LINK: https://www.tiktok.com/@avaareadsss/video/7481733247781670186]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1">
      <c r="H351" s="62"/>
      <c r="I351" s="63"/>
      <c r="K351" s="66" t="str">
        <f> "Hi " &amp; Sheet1!AO109 &amp; "! I hope you’re doing well 😊 I just wanted to follow up regarding the message I sent about requesting your permission to use your video on the trend “how to successfully kidnap me” [LINK: " &amp; IFERROR(LEFT(Sheet1!AP109, FIND("?", Sheet1!AP109)-1), Sheet1!AP109)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4ng3lofdeath! I hope you’re doing well 😊 I just wanted to follow up regarding the message I sent about requesting your permission to use your video on the trend “how to successfully kidnap me” [LINK: https://www.tiktok.com/@4ng3lofdeath/video/7474866995838684446]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2">
      <c r="H352" s="62"/>
      <c r="I352" s="63"/>
      <c r="K352" s="66" t="str">
        <f> "Hi " &amp; Sheet1!AO110 &amp; "! I hope you’re doing well 😊 I just wanted to follow up regarding the message I sent about requesting your permission to use your video on the trend “how to successfully kidnap me” [LINK: " &amp; IFERROR(LEFT(Sheet1!AP110, FIND("?", Sheet1!AP110)-1), Sheet1!AP110)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julzinnovations! I hope you’re doing well 😊 I just wanted to follow up regarding the message I sent about requesting your permission to use your video on the trend “how to successfully kidnap me” [LINK: https://www.tiktok.com/@julzinnovations/video/7502192886704868613]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3">
      <c r="H353" s="62"/>
      <c r="I353" s="63"/>
      <c r="K353" s="66" t="str">
        <f> "Hi " &amp; Sheet1!AO111 &amp; "! I hope you’re doing well 😊 I just wanted to follow up regarding the message I sent about requesting your permission to use your video on the trend “how to successfully kidnap me” [LINK: " &amp; IFERROR(LEFT(Sheet1!AP111, FIND("?", Sheet1!AP111)-1), Sheet1!AP111)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michelleraskin! I hope you’re doing well 😊 I just wanted to follow up regarding the message I sent about requesting your permission to use your video on the trend “how to successfully kidnap me” [LINK: https://www.tiktok.com/@michelleraskin/video/7470773114905906462]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4">
      <c r="H354" s="62"/>
      <c r="I354" s="63"/>
      <c r="K354" s="66" t="str">
        <f> "Hi " &amp; Sheet1!AO112 &amp; "! I hope you’re doing well 😊 I just wanted to follow up regarding the message I sent about requesting your permission to use your video on the trend “how to successfully kidnap me” [LINK: " &amp; IFERROR(LEFT(Sheet1!AP112, FIND("?", Sheet1!AP112)-1), Sheet1!AP112)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robbiejay_somesay! I hope you’re doing well 😊 I just wanted to follow up regarding the message I sent about requesting your permission to use your video on the trend “how to successfully kidnap me” [LINK: https://www.tiktok.com/@robbiejay_somesay/video/7470912449848429846]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5">
      <c r="H355" s="62"/>
      <c r="I355" s="63"/>
      <c r="K355" s="66" t="str">
        <f> "Hi " &amp; Sheet1!AO113 &amp; "! I hope you’re doing well 😊 I just wanted to follow up regarding the message I sent about requesting your permission to use your video on the trend “how to successfully kidnap me” [LINK: " &amp; IFERROR(LEFT(Sheet1!AP113, FIND("?", Sheet1!AP113)-1), Sheet1!AP113)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ilovemybf_158! I hope you’re doing well 😊 I just wanted to follow up regarding the message I sent about requesting your permission to use your video on the trend “how to successfully kidnap me” [LINK: https://www.tiktok.com/@ilovemybf_158/video/7539091005350350094]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6">
      <c r="H356" s="62"/>
      <c r="I356" s="63"/>
      <c r="K356" s="66" t="str">
        <f> "Hi " &amp; Sheet1!AO114 &amp; "! I hope you’re doing well 😊 I just wanted to follow up regarding the message I sent about requesting your permission to use your video on the trend “how to successfully kidnap me” [LINK: " &amp; IFERROR(LEFT(Sheet1!AP114, FIND("?", Sheet1!AP114)-1), Sheet1!AP114)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revofitness! I hope you’re doing well 😊 I just wanted to follow up regarding the message I sent about requesting your permission to use your video on the trend “how to successfully kidnap me” [LINK: https://www.tiktok.com/@revofitness/video/7480458900974734593]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7">
      <c r="H357" s="62"/>
      <c r="I357" s="63"/>
      <c r="K357" s="66" t="str">
        <f> "Hi " &amp; Sheet1!AO115 &amp; "! I hope you’re doing well 😊 I just wanted to follow up regarding the message I sent about requesting your permission to use your video on the trend “how to successfully kidnap me” [LINK: " &amp; IFERROR(LEFT(Sheet1!AP115, FIND("?", Sheet1!AP115)-1), Sheet1!AP115)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vievemuse! I hope you’re doing well 😊 I just wanted to follow up regarding the message I sent about requesting your permission to use your video on the trend “how to successfully kidnap me” [LINK: https://www.tiktok.com/@vievemuse/video/7473920373990362390]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8">
      <c r="H358" s="62"/>
      <c r="I358" s="63"/>
      <c r="K358" s="66" t="str">
        <f> "Hi " &amp; Sheet1!AO116 &amp; "! I hope you’re doing well 😊 I just wanted to follow up regarding the message I sent about requesting your permission to use your video on the trend “how to successfully kidnap me” [LINK: " &amp; IFERROR(LEFT(Sheet1!AP116, FIND("?", Sheet1!AP116)-1), Sheet1!AP116)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vinyl.malte! I hope you’re doing well 😊 I just wanted to follow up regarding the message I sent about requesting your permission to use your video on the trend “how to successfully kidnap me” [LINK: https://www.tiktok.com/@vinyl.malte/video/7527619628349099266]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59">
      <c r="H359" s="62"/>
      <c r="I359" s="63"/>
      <c r="K359" s="66" t="str">
        <f> "Hi " &amp; Sheet1!AO117 &amp; "! I hope you’re doing well 😊 I just wanted to follow up regarding the message I sent about requesting your permission to use your video on the trend “how to successfully kidnap me” [LINK: " &amp; IFERROR(LEFT(Sheet1!AP117, FIND("?", Sheet1!AP117)-1), Sheet1!AP117)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matchpointmatcha! I hope you’re doing well 😊 I just wanted to follow up regarding the message I sent about requesting your permission to use your video on the trend “how to successfully kidnap me” [LINK: https://www.tiktok.com/@matchpointmatcha/video/7491726140726431007]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0">
      <c r="H360" s="62"/>
      <c r="I360" s="63"/>
      <c r="K360" s="66" t="str">
        <f> "Hi " &amp; Sheet1!AO136 &amp; "! I hope you’re doing well 😊 I just wanted to follow up regarding the message I sent about requesting your permission to use your video on the trend “how to successfully kidnap me” [LINK: " &amp; IFERROR(LEFT(Sheet1!AP136, FIND("?", Sheet1!AP136)-1), Sheet1!AP136)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 I hope you’re doing well 😊 I just wanted to follow up regarding the message I sent about requesting your permission to use your video on the trend “how to successfully kidnap me” [LINK: Total Consented:]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1">
      <c r="H361" s="62"/>
      <c r="I361" s="63"/>
      <c r="K361" s="66" t="str">
        <f> "Hi " &amp; Sheet1!AO137 &amp; "! I hope you’re doing well 😊 I just wanted to follow up regarding the message I sent about requesting your permission to use your video on the trend “how to successfully kidnap me” [LINK: " &amp; IFERROR(LEFT(Sheet1!AP137, FIND("?", Sheet1!AP137)-1), Sheet1!AP137)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 I hope you’re doing well 😊 I just wanted to follow up regarding the message I sent about requesting your permission to use your video on the trend “how to successfully kidnap me” [LINK: ]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2">
      <c r="H362" s="62"/>
      <c r="I362" s="63"/>
      <c r="K362" s="66" t="str">
        <f> "Hi " &amp; Sheet1!BI1 &amp; "! I hope you’re doing well 😊 I just wanted to follow up regarding the message I sent about requesting your permission to use your video on the trend “how to successfully kidnap me” [LINK: " &amp; IFERROR(LEFT(Sheet1!BJ1, FIND("?", Sheet1!BJ1)-1), Sheet1!BJ1)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Creator! I hope you’re doing well 😊 I just wanted to follow up regarding the message I sent about requesting your permission to use your video on the trend “how to successfully kidnap me” [LINK: TT Link]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3">
      <c r="H363" s="62"/>
      <c r="I363" s="63"/>
      <c r="K363" s="66" t="str">
        <f> "Hi " &amp; Sheet1!BI2 &amp; "! I hope you’re doing well 😊 I just wanted to follow up regarding the message I sent about requesting your permission to use your video on the trend “how to successfully kidnap me” [LINK: " &amp; IFERROR(LEFT(Sheet1!BJ2, FIND("?", Sheet1!BJ2)-1), Sheet1!BJ2)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#13: target challenge! I hope you’re doing well 😊 I just wanted to follow up regarding the message I sent about requesting your permission to use your video on the trend “how to successfully kidnap me” [LINK: ]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4">
      <c r="H364" s="62"/>
      <c r="I364" s="63"/>
      <c r="K364" s="66" t="str">
        <f> "Hi " &amp; Sheet1!BI3 &amp; "! I hope you’re doing well 😊 I just wanted to follow up regarding the message I sent about requesting your permission to use your video on the trend “how to successfully kidnap me” [LINK: " &amp; IFERROR(LEFT(Sheet1!BJ3, FIND("?", Sheet1!BJ3)-1), Sheet1!BJ3)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ashandwhit! I hope you’re doing well 😊 I just wanted to follow up regarding the message I sent about requesting your permission to use your video on the trend “how to successfully kidnap me” [LINK: https://www.tiktok.com/@ashandwhit/video/7526376199342312734]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5">
      <c r="H365" s="62"/>
      <c r="I365" s="63"/>
      <c r="K365" s="66" t="str">
        <f> "Hi " &amp; Sheet1!BI4 &amp; "! I hope you’re doing well 😊 I just wanted to follow up regarding the message I sent about requesting your permission to use your video on the trend “how to successfully kidnap me” [LINK: " &amp; IFERROR(LEFT(Sheet1!BJ4, FIND("?", Sheet1!BJ4)-1), Sheet1!BJ4)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kaylarosegibson! I hope you’re doing well 😊 I just wanted to follow up regarding the message I sent about requesting your permission to use your video on the trend “how to successfully kidnap me” [LINK: https://www.tiktok.com/@kaylarosegibson/video/7490299170658503954]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6">
      <c r="H366" s="62"/>
      <c r="I366" s="63"/>
      <c r="K366" s="66" t="str">
        <f> "Hi " &amp; Sheet1!BI5 &amp; "! I hope you’re doing well 😊 I just wanted to follow up regarding the message I sent about requesting your permission to use your video on the trend “how to successfully kidnap me” [LINK: " &amp; IFERROR(LEFT(Sheet1!BJ5, FIND("?", Sheet1!BJ5)-1), Sheet1!BJ5)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abbieherbert! I hope you’re doing well 😊 I just wanted to follow up regarding the message I sent about requesting your permission to use your video on the trend “how to successfully kidnap me” [LINK: https://www.tiktok.com/@abbieherbert/video/6869848082406821125]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7">
      <c r="H367" s="62"/>
      <c r="I367" s="63"/>
      <c r="K367" s="66" t="str">
        <f> "Hi " &amp; Sheet1!BI6 &amp; "! I hope you’re doing well 😊 I just wanted to follow up regarding the message I sent about requesting your permission to use your video on the trend “how to successfully kidnap me” [LINK: " &amp; IFERROR(LEFT(Sheet1!BJ6, FIND("?", Sheet1!BJ6)-1), Sheet1!BJ6)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simplyivee! I hope you’re doing well 😊 I just wanted to follow up regarding the message I sent about requesting your permission to use your video on the trend “how to successfully kidnap me” [LINK: https://www.tiktok.com/@simplyivee/video/7119152830182690091]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8">
      <c r="H368" s="62"/>
      <c r="I368" s="63"/>
      <c r="K368" s="66" t="str">
        <f> "Hi " &amp; Sheet1!BI7 &amp; "! I hope you’re doing well 😊 I just wanted to follow up regarding the message I sent about requesting your permission to use your video on the trend “how to successfully kidnap me” [LINK: " &amp; IFERROR(LEFT(Sheet1!BJ7, FIND("?", Sheet1!BJ7)-1), Sheet1!BJ7)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aili.likes.adventure! I hope you’re doing well 😊 I just wanted to follow up regarding the message I sent about requesting your permission to use your video on the trend “how to successfully kidnap me” [LINK: https://www.tiktok.com/@aili.likes.adventure/video/7514489015815441707]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69">
      <c r="H369" s="62"/>
      <c r="I369" s="63"/>
      <c r="K369" s="66" t="str">
        <f> "Hi " &amp; Sheet1!BI8 &amp; "! I hope you’re doing well 😊 I just wanted to follow up regarding the message I sent about requesting your permission to use your video on the trend “how to successfully kidnap me” [LINK: " &amp; IFERROR(LEFT(Sheet1!BJ8, FIND("?", Sheet1!BJ8)-1), Sheet1!BJ8)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jessicabaio! I hope you’re doing well 😊 I just wanted to follow up regarding the message I sent about requesting your permission to use your video on the trend “how to successfully kidnap me” [LINK: https://www.tiktok.com/@jessicabaio/video/6869488964395355398]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0">
      <c r="H370" s="62"/>
      <c r="I370" s="63"/>
      <c r="K370" s="66" t="str">
        <f> "Hi " &amp; Sheet1!BI9 &amp; "! I hope you’re doing well 😊 I just wanted to follow up regarding the message I sent about requesting your permission to use your video on the trend “how to successfully kidnap me” [LINK: " &amp; IFERROR(LEFT(Sheet1!BJ9, FIND("?", Sheet1!BJ9)-1), Sheet1!BJ9)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jrandblessie! I hope you’re doing well 😊 I just wanted to follow up regarding the message I sent about requesting your permission to use your video on the trend “how to successfully kidnap me” [LINK: https://www.tiktok.com/@jrandblessie/video/7471463047949733162]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1">
      <c r="H371" s="62"/>
      <c r="I371" s="63"/>
      <c r="K371" s="66" t="str">
        <f> "Hi " &amp; Sheet1!BI10 &amp; "! I hope you’re doing well 😊 I just wanted to follow up regarding the message I sent about requesting your permission to use your video on the trend “how to successfully kidnap me” [LINK: " &amp; IFERROR(LEFT(Sheet1!BJ10, FIND("?", Sheet1!BJ10)-1), Sheet1!BJ10)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_addirobertson_! I hope you’re doing well 😊 I just wanted to follow up regarding the message I sent about requesting your permission to use your video on the trend “how to successfully kidnap me” [LINK: https://www.tiktok.com/@_addirobertson_/video/7471383932672511278]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2">
      <c r="H372" s="62"/>
      <c r="I372" s="63"/>
      <c r="K372" s="66" t="str">
        <f> "Hi " &amp; Sheet1!BI11 &amp; "! I hope you’re doing well 😊 I just wanted to follow up regarding the message I sent about requesting your permission to use your video on the trend “how to successfully kidnap me” [LINK: " &amp; IFERROR(LEFT(Sheet1!BJ11, FIND("?", Sheet1!BJ11)-1), Sheet1!BJ11)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kaylarosegibson! I hope you’re doing well 😊 I just wanted to follow up regarding the message I sent about requesting your permission to use your video on the trend “how to successfully kidnap me” [LINK: https://www.tiktok.com/@kaylarosegibson/video/7498116646087724306]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3">
      <c r="H373" s="62"/>
      <c r="I373" s="63"/>
      <c r="K373" s="66" t="str">
        <f> "Hi " &amp; Sheet1!BI12 &amp; "! I hope you’re doing well 😊 I just wanted to follow up regarding the message I sent about requesting your permission to use your video on the trend “how to successfully kidnap me” [LINK: " &amp; IFERROR(LEFT(Sheet1!BJ12, FIND("?", Sheet1!BJ12)-1), Sheet1!BJ12)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kaylarosegibson! I hope you’re doing well 😊 I just wanted to follow up regarding the message I sent about requesting your permission to use your video on the trend “how to successfully kidnap me” [LINK: https://www.tiktok.com/@kaylarosegibson/video/7482502968000957704]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4">
      <c r="H374" s="62"/>
      <c r="I374" s="63"/>
      <c r="K374" s="66" t="str">
        <f> "Hi " &amp; Sheet1!BI13 &amp; "! I hope you’re doing well 😊 I just wanted to follow up regarding the message I sent about requesting your permission to use your video on the trend “how to successfully kidnap me” [LINK: " &amp; IFERROR(LEFT(Sheet1!BJ13, FIND("?", Sheet1!BJ13)-1), Sheet1!BJ13)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kaylarosegibson! I hope you’re doing well 😊 I just wanted to follow up regarding the message I sent about requesting your permission to use your video on the trend “how to successfully kidnap me” [LINK: https://www.tiktok.com/@kaylarosegibson/video/7494780860902690055]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5">
      <c r="H375" s="62"/>
      <c r="I375" s="63"/>
      <c r="K375" s="66" t="str">
        <f> "Hi " &amp; Sheet1!BI14 &amp; "! I hope you’re doing well 😊 I just wanted to follow up regarding the message I sent about requesting your permission to use your video on the trend “how to successfully kidnap me” [LINK: " &amp; IFERROR(LEFT(Sheet1!BJ14, FIND("?", Sheet1!BJ14)-1), Sheet1!BJ14)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thequistfamily! I hope you’re doing well 😊 I just wanted to follow up regarding the message I sent about requesting your permission to use your video on the trend “how to successfully kidnap me” [LINK: https://www.tiktok.com/@thequistfamily/video/7466983735309913390]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6">
      <c r="H376" s="62"/>
      <c r="I376" s="63"/>
      <c r="K376" s="66" t="str">
        <f> "Hi " &amp; Sheet1!BI15 &amp; "! I hope you’re doing well 😊 I just wanted to follow up regarding the message I sent about requesting your permission to use your video on the trend “how to successfully kidnap me” [LINK: " &amp; IFERROR(LEFT(Sheet1!BJ15, FIND("?", Sheet1!BJ15)-1), Sheet1!BJ15)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aubrayandbailey! I hope you’re doing well 😊 I just wanted to follow up regarding the message I sent about requesting your permission to use your video on the trend “how to successfully kidnap me” [LINK: https://www.tiktok.com/@aubrayandbailey/video/7277775628546395422]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7">
      <c r="H377" s="62"/>
      <c r="I377" s="63"/>
      <c r="K377" s="66" t="str">
        <f> "Hi " &amp; Sheet1!BI16 &amp; "! I hope you’re doing well 😊 I just wanted to follow up regarding the message I sent about requesting your permission to use your video on the trend “how to successfully kidnap me” [LINK: " &amp; IFERROR(LEFT(Sheet1!BJ16, FIND("?", Sheet1!BJ16)-1), Sheet1!BJ16)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andreaandlewis! I hope you’re doing well 😊 I just wanted to follow up regarding the message I sent about requesting your permission to use your video on the trend “how to successfully kidnap me” [LINK: https://www.tiktok.com/@andreaandlewis/video/6870581248448908549]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8">
      <c r="H378" s="62"/>
      <c r="I378" s="63"/>
      <c r="K378" s="66" t="str">
        <f> "Hi " &amp; Sheet1!BI17 &amp; "! I hope you’re doing well 😊 I just wanted to follow up regarding the message I sent about requesting your permission to use your video on the trend “how to successfully kidnap me” [LINK: " &amp; IFERROR(LEFT(Sheet1!BJ17, FIND("?", Sheet1!BJ17)-1), Sheet1!BJ17)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aileenchristineee! I hope you’re doing well 😊 I just wanted to follow up regarding the message I sent about requesting your permission to use your video on the trend “how to successfully kidnap me” [LINK: https://www.tiktok.com/@aileenchristineee/video/6867743685199596806]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79">
      <c r="H379" s="62"/>
      <c r="I379" s="63"/>
      <c r="K379" s="66" t="str">
        <f> "Hi " &amp; Sheet1!BI18 &amp; "! I hope you’re doing well 😊 I just wanted to follow up regarding the message I sent about requesting your permission to use your video on the trend “how to successfully kidnap me” [LINK: " &amp; IFERROR(LEFT(Sheet1!BJ18, FIND("?", Sheet1!BJ18)-1), Sheet1!BJ18)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matt_and_abby! I hope you’re doing well 😊 I just wanted to follow up regarding the message I sent about requesting your permission to use your video on the trend “how to successfully kidnap me” [LINK: https://www.tiktok.com/@matt_and_abby/video/6869099288610229509]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0">
      <c r="H380" s="62"/>
      <c r="I380" s="63"/>
      <c r="K380" s="66" t="str">
        <f> "Hi " &amp; Sheet1!BI19 &amp; "! I hope you’re doing well 😊 I just wanted to follow up regarding the message I sent about requesting your permission to use your video on the trend “how to successfully kidnap me” [LINK: " &amp; IFERROR(LEFT(Sheet1!BJ19, FIND("?", Sheet1!BJ19)-1), Sheet1!BJ19)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arissaadams! I hope you’re doing well 😊 I just wanted to follow up regarding the message I sent about requesting your permission to use your video on the trend “how to successfully kidnap me” [LINK: https://www.tiktok.com/@arissaadams/video/7163684708839378182]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1">
      <c r="H381" s="62"/>
      <c r="I381" s="63"/>
      <c r="K381" s="66" t="str">
        <f> "Hi " &amp; Sheet1!BI20 &amp; "! I hope you’re doing well 😊 I just wanted to follow up regarding the message I sent about requesting your permission to use your video on the trend “how to successfully kidnap me” [LINK: " &amp; IFERROR(LEFT(Sheet1!BJ20, FIND("?", Sheet1!BJ20)-1), Sheet1!BJ20)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laura88lee! I hope you’re doing well 😊 I just wanted to follow up regarding the message I sent about requesting your permission to use your video on the trend “how to successfully kidnap me” [LINK: https://www.tiktok.com/@laura88lee/video/7325856822592539934]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2">
      <c r="H382" s="62"/>
      <c r="I382" s="63"/>
      <c r="K382" s="66" t="str">
        <f> "Hi " &amp; Sheet1!BI21 &amp; "! I hope you’re doing well 😊 I just wanted to follow up regarding the message I sent about requesting your permission to use your video on the trend “how to successfully kidnap me” [LINK: " &amp; IFERROR(LEFT(Sheet1!BJ21, FIND("?", Sheet1!BJ21)-1), Sheet1!BJ21)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_thescottfamily! I hope you’re doing well 😊 I just wanted to follow up regarding the message I sent about requesting your permission to use your video on the trend “how to successfully kidnap me” [LINK: https://www.tiktok.com/@_thescottfamily/video/6870273964351016198]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3">
      <c r="H383" s="62"/>
      <c r="I383" s="63"/>
      <c r="K383" s="66" t="str">
        <f> "Hi " &amp; Sheet1!BI22 &amp; "! I hope you’re doing well 😊 I just wanted to follow up regarding the message I sent about requesting your permission to use your video on the trend “how to successfully kidnap me” [LINK: " &amp; IFERROR(LEFT(Sheet1!BJ22, FIND("?", Sheet1!BJ22)-1), Sheet1!BJ22)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brittany.xavier! I hope you’re doing well 😊 I just wanted to follow up regarding the message I sent about requesting your permission to use your video on the trend “how to successfully kidnap me” [LINK: https://www.tiktok.com/@brittany.xavier/video/6909256535436692737]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4">
      <c r="H384" s="62"/>
      <c r="I384" s="63"/>
      <c r="K384" s="66" t="str">
        <f> "Hi " &amp; Sheet1!BI23 &amp; "! I hope you’re doing well 😊 I just wanted to follow up regarding the message I sent about requesting your permission to use your video on the trend “how to successfully kidnap me” [LINK: " &amp; IFERROR(LEFT(Sheet1!BJ23, FIND("?", Sheet1!BJ23)-1), Sheet1!BJ23)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brittany.xavier! I hope you’re doing well 😊 I just wanted to follow up regarding the message I sent about requesting your permission to use your video on the trend “how to successfully kidnap me” [LINK: https://www.tiktok.com/@brittany.xavier/video/6902938334113303809]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5">
      <c r="H385" s="62"/>
      <c r="I385" s="63"/>
      <c r="K385" s="66" t="str">
        <f> "Hi " &amp; Sheet1!BI24 &amp; "! I hope you’re doing well 😊 I just wanted to follow up regarding the message I sent about requesting your permission to use your video on the trend “how to successfully kidnap me” [LINK: " &amp; IFERROR(LEFT(Sheet1!BJ24, FIND("?", Sheet1!BJ24)-1), Sheet1!BJ24)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julia.jo1! I hope you’re doing well 😊 I just wanted to follow up regarding the message I sent about requesting your permission to use your video on the trend “how to successfully kidnap me” [LINK: https://www.tiktok.com/@julia.jo1/video/6872061186486095109]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6">
      <c r="H386" s="62"/>
      <c r="I386" s="63"/>
      <c r="K386" s="66" t="str">
        <f> "Hi " &amp; Sheet1!BI25 &amp; "! I hope you’re doing well 😊 I just wanted to follow up regarding the message I sent about requesting your permission to use your video on the trend “how to successfully kidnap me” [LINK: " &amp; IFERROR(LEFT(Sheet1!BJ25, FIND("?", Sheet1!BJ25)-1), Sheet1!BJ25)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themontestwins! I hope you’re doing well 😊 I just wanted to follow up regarding the message I sent about requesting your permission to use your video on the trend “how to successfully kidnap me” [LINK: https://www.tiktok.com/@themontestwins/video/6903616059081788678]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7">
      <c r="H387" s="62"/>
      <c r="I387" s="63"/>
      <c r="K387" s="66" t="str">
        <f> "Hi " &amp; Sheet1!BI26 &amp; "! I hope you’re doing well 😊 I just wanted to follow up regarding the message I sent about requesting your permission to use your video on the trend “how to successfully kidnap me” [LINK: " &amp; IFERROR(LEFT(Sheet1!BJ26, FIND("?", Sheet1!BJ26)-1), Sheet1!BJ26)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fairviewofficial! I hope you’re doing well 😊 I just wanted to follow up regarding the message I sent about requesting your permission to use your video on the trend “how to successfully kidnap me” [LINK: https://www.tiktok.com/@fairviewofficial/video/6940055162392268038]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8">
      <c r="H388" s="62"/>
      <c r="I388" s="63"/>
      <c r="K388" s="66" t="str">
        <f> "Hi " &amp; Sheet1!BI27 &amp; "! I hope you’re doing well 😊 I just wanted to follow up regarding the message I sent about requesting your permission to use your video on the trend “how to successfully kidnap me” [LINK: " &amp; IFERROR(LEFT(Sheet1!BJ27, FIND("?", Sheet1!BJ27)-1), Sheet1!BJ27)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alyssarafael! I hope you’re doing well 😊 I just wanted to follow up regarding the message I sent about requesting your permission to use your video on the trend “how to successfully kidnap me” [LINK: https://www.tiktok.com/@alyssarafael/video/6879245557534067974]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89">
      <c r="H389" s="62"/>
      <c r="I389" s="63"/>
      <c r="K389" s="66" t="str">
        <f> "Hi " &amp; Sheet1!BI28 &amp; "! I hope you’re doing well 😊 I just wanted to follow up regarding the message I sent about requesting your permission to use your video on the trend “how to successfully kidnap me” [LINK: " &amp; IFERROR(LEFT(Sheet1!BJ28, FIND("?", Sheet1!BJ28)-1), Sheet1!BJ28)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sue.rose! I hope you’re doing well 😊 I just wanted to follow up regarding the message I sent about requesting your permission to use your video on the trend “how to successfully kidnap me” [LINK: https://www.tiktok.com/@sue.rose/video/6880244813120195845]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0">
      <c r="H390" s="62"/>
      <c r="I390" s="63"/>
      <c r="K390" s="66" t="str">
        <f> "Hi " &amp; Sheet1!BI29 &amp; "! I hope you’re doing well 😊 I just wanted to follow up regarding the message I sent about requesting your permission to use your video on the trend “how to successfully kidnap me” [LINK: " &amp; IFERROR(LEFT(Sheet1!BJ29, FIND("?", Sheet1!BJ29)-1), Sheet1!BJ29)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kimetherton99! I hope you’re doing well 😊 I just wanted to follow up regarding the message I sent about requesting your permission to use your video on the trend “how to successfully kidnap me” [LINK: https://www.tiktok.com/@kimetherton99/video/6880242982054825222]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1">
      <c r="H391" s="62"/>
      <c r="I391" s="63"/>
      <c r="K391" s="66" t="str">
        <f> "Hi " &amp; Sheet1!BI30 &amp; "! I hope you’re doing well 😊 I just wanted to follow up regarding the message I sent about requesting your permission to use your video on the trend “how to successfully kidnap me” [LINK: " &amp; IFERROR(LEFT(Sheet1!BJ30, FIND("?", Sheet1!BJ30)-1), Sheet1!BJ30)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juandchan! I hope you’re doing well 😊 I just wanted to follow up regarding the message I sent about requesting your permission to use your video on the trend “how to successfully kidnap me” [LINK: https://www.tiktok.com/@juandchan/video/6880320042005777669]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2">
      <c r="H392" s="62"/>
      <c r="I392" s="63"/>
      <c r="K392" s="66" t="str">
        <f> "Hi " &amp; Sheet1!BI31 &amp; "! I hope you’re doing well 😊 I just wanted to follow up regarding the message I sent about requesting your permission to use your video on the trend “how to successfully kidnap me” [LINK: " &amp; IFERROR(LEFT(Sheet1!BJ31, FIND("?", Sheet1!BJ31)-1), Sheet1!BJ31)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hunnaxlib! I hope you’re doing well 😊 I just wanted to follow up regarding the message I sent about requesting your permission to use your video on the trend “how to successfully kidnap me” [LINK: https://www.tiktok.com/@hunnaxlib/video/6872116913602825477]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3">
      <c r="H393" s="62"/>
      <c r="I393" s="63"/>
      <c r="K393" s="66" t="str">
        <f> "Hi " &amp; Sheet1!BI32 &amp; "! I hope you’re doing well 😊 I just wanted to follow up regarding the message I sent about requesting your permission to use your video on the trend “how to successfully kidnap me” [LINK: " &amp; IFERROR(LEFT(Sheet1!BJ32, FIND("?", Sheet1!BJ32)-1), Sheet1!BJ32)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rinispencer! I hope you’re doing well 😊 I just wanted to follow up regarding the message I sent about requesting your permission to use your video on the trend “how to successfully kidnap me” [LINK: https://www.tiktok.com/@rinispencer/video/6928941076367674629]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4">
      <c r="H394" s="62"/>
      <c r="I394" s="63"/>
      <c r="K394" s="66" t="str">
        <f> "Hi " &amp; Sheet1!BI33 &amp; "! I hope you’re doing well 😊 I just wanted to follow up regarding the message I sent about requesting your permission to use your video on the trend “how to successfully kidnap me” [LINK: " &amp; IFERROR(LEFT(Sheet1!BJ33, FIND("?", Sheet1!BJ33)-1), Sheet1!BJ33)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parkerehenry7! I hope you’re doing well 😊 I just wanted to follow up regarding the message I sent about requesting your permission to use your video on the trend “how to successfully kidnap me” [LINK: https://www.tiktok.com/@parkerehenry7/video/6885891850096413958]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5">
      <c r="H395" s="62"/>
      <c r="I395" s="63"/>
      <c r="K395" s="66" t="str">
        <f> "Hi " &amp; Sheet1!BI34 &amp; "! I hope you’re doing well 😊 I just wanted to follow up regarding the message I sent about requesting your permission to use your video on the trend “how to successfully kidnap me” [LINK: " &amp; IFERROR(LEFT(Sheet1!BJ34, FIND("?", Sheet1!BJ34)-1), Sheet1!BJ34)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its.namess! I hope you’re doing well 😊 I just wanted to follow up regarding the message I sent about requesting your permission to use your video on the trend “how to successfully kidnap me” [LINK: https://www.tiktok.com/@its.namess/video/6920522122670460161]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6">
      <c r="H396" s="62"/>
      <c r="I396" s="63"/>
      <c r="K396" s="66" t="str">
        <f> "Hi " &amp; Sheet1!BI35 &amp; "! I hope you’re doing well 😊 I just wanted to follow up regarding the message I sent about requesting your permission to use your video on the trend “how to successfully kidnap me” [LINK: " &amp; IFERROR(LEFT(Sheet1!BJ35, FIND("?", Sheet1!BJ35)-1), Sheet1!BJ35)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makenziedawn! I hope you’re doing well 😊 I just wanted to follow up regarding the message I sent about requesting your permission to use your video on the trend “how to successfully kidnap me” [LINK: https://www.tiktok.com/@makenziedawn/video/6929281274448284934]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7">
      <c r="H397" s="62"/>
      <c r="I397" s="63"/>
      <c r="K397" s="66" t="str">
        <f> "Hi " &amp; Sheet1!BI36 &amp; "! I hope you’re doing well 😊 I just wanted to follow up regarding the message I sent about requesting your permission to use your video on the trend “how to successfully kidnap me” [LINK: " &amp; IFERROR(LEFT(Sheet1!BJ36, FIND("?", Sheet1!BJ36)-1), Sheet1!BJ36)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chopluem! I hope you’re doing well 😊 I just wanted to follow up regarding the message I sent about requesting your permission to use your video on the trend “how to successfully kidnap me” [LINK: https://www.tiktok.com/@chopluem/video/6894552807484050690]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8">
      <c r="H398" s="62"/>
      <c r="I398" s="63"/>
      <c r="K398" s="66" t="str">
        <f> "Hi " &amp; Sheet1!BI37 &amp; "! I hope you’re doing well 😊 I just wanted to follow up regarding the message I sent about requesting your permission to use your video on the trend “how to successfully kidnap me” [LINK: " &amp; IFERROR(LEFT(Sheet1!BJ37, FIND("?", Sheet1!BJ37)-1), Sheet1!BJ37)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iamalilstitious! I hope you’re doing well 😊 I just wanted to follow up regarding the message I sent about requesting your permission to use your video on the trend “how to successfully kidnap me” [LINK: https://www.tiktok.com/@iamalilstitious/video/6918561254357437702]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399">
      <c r="H399" s="62"/>
      <c r="I399" s="63"/>
      <c r="K399" s="66" t="str">
        <f> "Hi " &amp; Sheet1!BI38 &amp; "! I hope you’re doing well 😊 I just wanted to follow up regarding the message I sent about requesting your permission to use your video on the trend “how to successfully kidnap me” [LINK: " &amp; IFERROR(LEFT(Sheet1!BJ38, FIND("?", Sheet1!BJ38)-1), Sheet1!BJ38)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espressomartiniqueeniee! I hope you’re doing well 😊 I just wanted to follow up regarding the message I sent about requesting your permission to use your video on the trend “how to successfully kidnap me” [LINK: https://www.tiktok.com/@espressomartiniqueeniee/video/6895143423309843718]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0">
      <c r="H400" s="62"/>
      <c r="I400" s="63"/>
      <c r="K400" s="66" t="str">
        <f> "Hi " &amp; Sheet1!BI39 &amp; "! I hope you’re doing well 😊 I just wanted to follow up regarding the message I sent about requesting your permission to use your video on the trend “how to successfully kidnap me” [LINK: " &amp; IFERROR(LEFT(Sheet1!BJ39, FIND("?", Sheet1!BJ39)-1), Sheet1!BJ39)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kaestlecastle! I hope you’re doing well 😊 I just wanted to follow up regarding the message I sent about requesting your permission to use your video on the trend “how to successfully kidnap me” [LINK: https://www.tiktok.com/@kaestlecastle/video/6859095156877004037]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1">
      <c r="H401" s="62"/>
      <c r="I401" s="63"/>
      <c r="K401" s="66" t="str">
        <f> "Hi " &amp; Sheet1!BI40 &amp; "! I hope you’re doing well 😊 I just wanted to follow up regarding the message I sent about requesting your permission to use your video on the trend “how to successfully kidnap me” [LINK: " &amp; IFERROR(LEFT(Sheet1!BJ40, FIND("?", Sheet1!BJ40)-1), Sheet1!BJ40)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50ragtop! I hope you’re doing well 😊 I just wanted to follow up regarding the message I sent about requesting your permission to use your video on the trend “how to successfully kidnap me” [LINK: https://www.tiktok.com/@50ragtop/video/6886972355294416130]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2">
      <c r="H402" s="62"/>
      <c r="I402" s="63"/>
      <c r="K402" s="66" t="str">
        <f> "Hi " &amp; Sheet1!BI41 &amp; "! I hope you’re doing well 😊 I just wanted to follow up regarding the message I sent about requesting your permission to use your video on the trend “how to successfully kidnap me” [LINK: " &amp; IFERROR(LEFT(Sheet1!BJ41, FIND("?", Sheet1!BJ41)-1), Sheet1!BJ41)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hayleyhacker6! I hope you’re doing well 😊 I just wanted to follow up regarding the message I sent about requesting your permission to use your video on the trend “how to successfully kidnap me” [LINK: https://www.tiktok.com/@hayleyhacker6/video/6874373406830152966]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3">
      <c r="H403" s="62"/>
      <c r="I403" s="63"/>
      <c r="K403" s="66" t="str">
        <f> "Hi " &amp; Sheet1!BI42 &amp; "! I hope you’re doing well 😊 I just wanted to follow up regarding the message I sent about requesting your permission to use your video on the trend “how to successfully kidnap me” [LINK: " &amp; IFERROR(LEFT(Sheet1!BJ42, FIND("?", Sheet1!BJ42)-1), Sheet1!BJ42)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galandjosh! I hope you’re doing well 😊 I just wanted to follow up regarding the message I sent about requesting your permission to use your video on the trend “how to successfully kidnap me” [LINK: https://www.tiktok.com/@galandjosh/video/6867305678373932294]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4">
      <c r="H404" s="62"/>
      <c r="I404" s="63"/>
      <c r="K404" s="66" t="str">
        <f> "Hi " &amp; Sheet1!BI43 &amp; "! I hope you’re doing well 😊 I just wanted to follow up regarding the message I sent about requesting your permission to use your video on the trend “how to successfully kidnap me” [LINK: " &amp; IFERROR(LEFT(Sheet1!BJ43, FIND("?", Sheet1!BJ43)-1), Sheet1!BJ43)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ysteb! I hope you’re doing well 😊 I just wanted to follow up regarding the message I sent about requesting your permission to use your video on the trend “how to successfully kidnap me” [LINK: https://www.tiktok.com/@ysteb/video/6924829233931980037]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5">
      <c r="H405" s="62"/>
      <c r="I405" s="63"/>
      <c r="K405" s="66" t="str">
        <f> "Hi " &amp; Sheet1!BI44 &amp; "! I hope you’re doing well 😊 I just wanted to follow up regarding the message I sent about requesting your permission to use your video on the trend “how to successfully kidnap me” [LINK: " &amp; IFERROR(LEFT(Sheet1!BJ44, FIND("?", Sheet1!BJ44)-1), Sheet1!BJ44)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anapaulaholla! I hope you’re doing well 😊 I just wanted to follow up regarding the message I sent about requesting your permission to use your video on the trend “how to successfully kidnap me” [LINK: https://www.tiktok.com/@anapaulaholla/video/6859116192091737349]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6">
      <c r="H406" s="62"/>
      <c r="I406" s="63"/>
      <c r="K406" s="66" t="str">
        <f> "Hi " &amp; Sheet1!BI45 &amp; "! I hope you’re doing well 😊 I just wanted to follow up regarding the message I sent about requesting your permission to use your video on the trend “how to successfully kidnap me” [LINK: " &amp; IFERROR(LEFT(Sheet1!BJ45, FIND("?", Sheet1!BJ45)-1), Sheet1!BJ45)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justin_glaze! I hope you’re doing well 😊 I just wanted to follow up regarding the message I sent about requesting your permission to use your video on the trend “how to successfully kidnap me” [LINK: https://www.tiktok.com/@justin_glaze/video/7256606886768708910]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7">
      <c r="H407" s="62"/>
      <c r="I407" s="63"/>
      <c r="K407" s="66" t="str">
        <f> "Hi " &amp; Sheet1!BI46 &amp; "! I hope you’re doing well 😊 I just wanted to follow up regarding the message I sent about requesting your permission to use your video on the trend “how to successfully kidnap me” [LINK: " &amp; IFERROR(LEFT(Sheet1!BJ46, FIND("?", Sheet1!BJ46)-1), Sheet1!BJ46)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thefitnessmarshall! I hope you’re doing well 😊 I just wanted to follow up regarding the message I sent about requesting your permission to use your video on the trend “how to successfully kidnap me” [LINK: https://www.tiktok.com/@thefitnessmarshall/video/7180781982111124782]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8">
      <c r="H408" s="62"/>
      <c r="I408" s="63"/>
      <c r="K408" s="66" t="str">
        <f> "Hi " &amp; Sheet1!BI47 &amp; "! I hope you’re doing well 😊 I just wanted to follow up regarding the message I sent about requesting your permission to use your video on the trend “how to successfully kidnap me” [LINK: " &amp; IFERROR(LEFT(Sheet1!BJ47, FIND("?", Sheet1!BJ47)-1), Sheet1!BJ47)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neeley_twins! I hope you’re doing well 😊 I just wanted to follow up regarding the message I sent about requesting your permission to use your video on the trend “how to successfully kidnap me” [LINK: https://www.tiktok.com/@neeley_twins/video/6878682036027051269]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09">
      <c r="H409" s="62"/>
      <c r="I409" s="63"/>
      <c r="K409" s="66" t="str">
        <f> "Hi " &amp; Sheet1!BI48 &amp; "! I hope you’re doing well 😊 I just wanted to follow up regarding the message I sent about requesting your permission to use your video on the trend “how to successfully kidnap me” [LINK: " &amp; IFERROR(LEFT(Sheet1!BJ48, FIND("?", Sheet1!BJ48)-1), Sheet1!BJ48)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famousblonde! I hope you’re doing well 😊 I just wanted to follow up regarding the message I sent about requesting your permission to use your video on the trend “how to successfully kidnap me” [LINK: https://www.tiktok.com/@famousblonde/video/6855800860400684293]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10">
      <c r="H410" s="62"/>
      <c r="I410" s="63"/>
      <c r="K410" s="66" t="str">
        <f> "Hi " &amp; Sheet1!BI49 &amp; "! I hope you’re doing well 😊 I just wanted to follow up regarding the message I sent about requesting your permission to use your video on the trend “how to successfully kidnap me” [LINK: " &amp; IFERROR(LEFT(Sheet1!BJ49, FIND("?", Sheet1!BJ49)-1), Sheet1!BJ49)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teacherthingsforthird! I hope you’re doing well 😊 I just wanted to follow up regarding the message I sent about requesting your permission to use your video on the trend “how to successfully kidnap me” [LINK: https://www.tiktok.com/@teacherthingsforthird/video/7118463776726289706]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11">
      <c r="H411" s="62"/>
      <c r="I411" s="63"/>
      <c r="K411" s="66" t="str">
        <f> "Hi " &amp; Sheet1!BI50 &amp; "! I hope you’re doing well 😊 I just wanted to follow up regarding the message I sent about requesting your permission to use your video on the trend “how to successfully kidnap me” [LINK: " &amp; IFERROR(LEFT(Sheet1!BJ50, FIND("?", Sheet1!BJ50)-1), Sheet1!BJ50)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georgieg2468! I hope you’re doing well 😊 I just wanted to follow up regarding the message I sent about requesting your permission to use your video on the trend “how to successfully kidnap me” [LINK: https://www.tiktok.com/@georgieg2468/video/6929022815102323970]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12">
      <c r="H412" s="62"/>
      <c r="I412" s="63"/>
      <c r="K412" s="66" t="str">
        <f> "Hi " &amp; Sheet1!BI51 &amp; "! I hope you’re doing well 😊 I just wanted to follow up regarding the message I sent about requesting your permission to use your video on the trend “how to successfully kidnap me” [LINK: " &amp; IFERROR(LEFT(Sheet1!BJ51, FIND("?", Sheet1!BJ51)-1), Sheet1!BJ51)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theploofs! I hope you’re doing well 😊 I just wanted to follow up regarding the message I sent about requesting your permission to use your video on the trend “how to successfully kidnap me” [LINK: https://www.tiktok.com/@theploofs/video/6869471377750117637]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13">
      <c r="H413" s="62"/>
      <c r="I413" s="63"/>
      <c r="K413" s="66" t="str">
        <f> "Hi " &amp; Sheet1!BI52 &amp; "! I hope you’re doing well 😊 I just wanted to follow up regarding the message I sent about requesting your permission to use your video on the trend “how to successfully kidnap me” [LINK: " &amp; IFERROR(LEFT(Sheet1!BJ52, FIND("?", Sheet1!BJ52)-1), Sheet1!BJ52)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brooke_lynnmilne! I hope you’re doing well 😊 I just wanted to follow up regarding the message I sent about requesting your permission to use your video on the trend “how to successfully kidnap me” [LINK: https://www.tiktok.com/@brooke_lynnmilne/video/7059608289847463214]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14">
      <c r="H414" s="62"/>
      <c r="I414" s="63"/>
      <c r="K414" s="66" t="str">
        <f> "Hi " &amp; Sheet1!BI53 &amp; "! I hope you’re doing well 😊 I just wanted to follow up regarding the message I sent about requesting your permission to use your video on the trend “how to successfully kidnap me” [LINK: " &amp; IFERROR(LEFT(Sheet1!BJ53, FIND("?", Sheet1!BJ53)-1), Sheet1!BJ53) &amp; "] for our undergraduate thesis.
No rush at all — we completely understand if you need more time, but we’d greatly appreciate it if you could let us know whether you consent. Please feel free to reach out if you have any questions or would like me to rese"&amp;"nd the consent form.
Thank you so much again for your time and consideration! 💚"</f>
        <v>Hi biankaalexis! I hope you’re doing well 😊 I just wanted to follow up regarding the message I sent about requesting your permission to use your video on the trend “how to successfully kidnap me” [LINK: https://www.tiktok.com/@biankaalexis/video/6856525009431661830] for our undergraduate thesis.
No rush at all — we completely understand if you need more time, but we’d greatly appreciate it if you could let us know whether you consent. Please feel free to reach out if you have any questions or would like me to resend the consent form.
Thank you so much again for your time and consideration! 💚</v>
      </c>
    </row>
    <row r="415">
      <c r="H415" s="62"/>
      <c r="I415" s="63"/>
    </row>
    <row r="416">
      <c r="H416" s="62"/>
      <c r="I416" s="63"/>
    </row>
    <row r="417">
      <c r="H417" s="62"/>
      <c r="I417" s="63"/>
    </row>
    <row r="418">
      <c r="H418" s="62"/>
      <c r="I418" s="63"/>
    </row>
    <row r="419">
      <c r="H419" s="62"/>
      <c r="I419" s="63"/>
    </row>
    <row r="420">
      <c r="H420" s="62"/>
      <c r="I420" s="63"/>
    </row>
    <row r="421">
      <c r="H421" s="62"/>
      <c r="I421" s="63"/>
    </row>
    <row r="422">
      <c r="H422" s="62"/>
      <c r="I422" s="63"/>
    </row>
    <row r="423">
      <c r="H423" s="62"/>
      <c r="I423" s="63"/>
    </row>
    <row r="424">
      <c r="H424" s="62"/>
      <c r="I424" s="63"/>
    </row>
    <row r="425">
      <c r="H425" s="62"/>
      <c r="I425" s="63"/>
    </row>
    <row r="426">
      <c r="H426" s="62"/>
      <c r="I426" s="63"/>
    </row>
    <row r="427">
      <c r="H427" s="62"/>
      <c r="I427" s="63"/>
    </row>
    <row r="428">
      <c r="H428" s="62"/>
      <c r="I428" s="63"/>
    </row>
    <row r="429">
      <c r="H429" s="62"/>
      <c r="I429" s="63"/>
    </row>
    <row r="430">
      <c r="H430" s="62"/>
      <c r="I430" s="63"/>
    </row>
    <row r="431">
      <c r="H431" s="62"/>
      <c r="I431" s="63"/>
    </row>
    <row r="432">
      <c r="H432" s="62"/>
      <c r="I432" s="63"/>
    </row>
    <row r="433">
      <c r="H433" s="62"/>
      <c r="I433" s="63"/>
    </row>
    <row r="434">
      <c r="H434" s="62"/>
      <c r="I434" s="63"/>
    </row>
    <row r="435">
      <c r="H435" s="62"/>
      <c r="I435" s="63"/>
    </row>
    <row r="436">
      <c r="H436" s="62"/>
      <c r="I436" s="63"/>
    </row>
    <row r="437">
      <c r="H437" s="62"/>
      <c r="I437" s="63"/>
    </row>
    <row r="438">
      <c r="H438" s="62"/>
      <c r="I438" s="63"/>
    </row>
    <row r="439">
      <c r="H439" s="62"/>
      <c r="I439" s="63"/>
    </row>
    <row r="440">
      <c r="H440" s="62"/>
      <c r="I440" s="63"/>
    </row>
    <row r="441">
      <c r="H441" s="62"/>
      <c r="I441" s="63"/>
    </row>
    <row r="442">
      <c r="H442" s="62"/>
      <c r="I442" s="63"/>
    </row>
    <row r="443">
      <c r="H443" s="62"/>
      <c r="I443" s="63"/>
    </row>
    <row r="444">
      <c r="H444" s="62"/>
      <c r="I444" s="63"/>
    </row>
    <row r="445">
      <c r="H445" s="62"/>
      <c r="I445" s="63"/>
    </row>
    <row r="446">
      <c r="H446" s="62"/>
      <c r="I446" s="63"/>
    </row>
    <row r="447">
      <c r="H447" s="62"/>
      <c r="I447" s="63"/>
    </row>
    <row r="448">
      <c r="H448" s="62"/>
      <c r="I448" s="63"/>
    </row>
    <row r="449">
      <c r="H449" s="62"/>
      <c r="I449" s="63"/>
    </row>
    <row r="450">
      <c r="H450" s="62"/>
      <c r="I450" s="63"/>
    </row>
    <row r="451">
      <c r="H451" s="62"/>
      <c r="I451" s="63"/>
    </row>
    <row r="452">
      <c r="H452" s="62"/>
      <c r="I452" s="63"/>
    </row>
    <row r="453">
      <c r="H453" s="62"/>
      <c r="I453" s="63"/>
    </row>
    <row r="454">
      <c r="H454" s="62"/>
      <c r="I454" s="63"/>
    </row>
    <row r="455">
      <c r="H455" s="62"/>
      <c r="I455" s="63"/>
    </row>
    <row r="456">
      <c r="H456" s="62"/>
      <c r="I456" s="63"/>
    </row>
    <row r="457">
      <c r="H457" s="62"/>
      <c r="I457" s="63"/>
    </row>
    <row r="458">
      <c r="H458" s="62"/>
      <c r="I458" s="63"/>
    </row>
    <row r="459">
      <c r="H459" s="62"/>
      <c r="I459" s="63"/>
    </row>
    <row r="460">
      <c r="H460" s="62"/>
      <c r="I460" s="63"/>
    </row>
    <row r="461">
      <c r="H461" s="62"/>
      <c r="I461" s="63"/>
    </row>
    <row r="462">
      <c r="H462" s="62"/>
      <c r="I462" s="63"/>
    </row>
    <row r="463">
      <c r="H463" s="62"/>
      <c r="I463" s="63"/>
    </row>
    <row r="464">
      <c r="H464" s="62"/>
      <c r="I464" s="63"/>
    </row>
    <row r="465">
      <c r="H465" s="62"/>
      <c r="I465" s="63"/>
    </row>
    <row r="466">
      <c r="H466" s="62"/>
      <c r="I466" s="63"/>
    </row>
    <row r="467">
      <c r="H467" s="62"/>
      <c r="I467" s="63"/>
    </row>
    <row r="468">
      <c r="H468" s="62"/>
      <c r="I468" s="63"/>
    </row>
    <row r="469">
      <c r="H469" s="62"/>
      <c r="I469" s="63"/>
    </row>
    <row r="470">
      <c r="H470" s="62"/>
      <c r="I470" s="63"/>
    </row>
    <row r="471">
      <c r="H471" s="62"/>
      <c r="I471" s="63"/>
    </row>
    <row r="472">
      <c r="H472" s="62"/>
      <c r="I472" s="63"/>
    </row>
    <row r="473">
      <c r="H473" s="62"/>
      <c r="I473" s="63"/>
    </row>
    <row r="474">
      <c r="H474" s="62"/>
      <c r="I474" s="63"/>
    </row>
    <row r="475">
      <c r="H475" s="62"/>
      <c r="I475" s="63"/>
    </row>
    <row r="476">
      <c r="H476" s="62"/>
      <c r="I476" s="63"/>
    </row>
    <row r="477">
      <c r="H477" s="62"/>
      <c r="I477" s="63"/>
    </row>
    <row r="478">
      <c r="H478" s="62"/>
      <c r="I478" s="63"/>
    </row>
    <row r="479">
      <c r="H479" s="62"/>
      <c r="I479" s="63"/>
    </row>
    <row r="480">
      <c r="H480" s="62"/>
      <c r="I480" s="63"/>
    </row>
    <row r="481">
      <c r="H481" s="62"/>
      <c r="I481" s="63"/>
    </row>
    <row r="482">
      <c r="H482" s="62"/>
      <c r="I482" s="63"/>
    </row>
    <row r="483">
      <c r="H483" s="62"/>
      <c r="I483" s="63"/>
    </row>
    <row r="484">
      <c r="H484" s="62"/>
      <c r="I484" s="63"/>
    </row>
    <row r="485">
      <c r="H485" s="62"/>
      <c r="I485" s="63"/>
    </row>
    <row r="486">
      <c r="H486" s="62"/>
      <c r="I486" s="63"/>
    </row>
    <row r="487">
      <c r="H487" s="62"/>
      <c r="I487" s="63"/>
    </row>
    <row r="488">
      <c r="H488" s="62"/>
      <c r="I488" s="63"/>
    </row>
    <row r="489">
      <c r="H489" s="62"/>
      <c r="I489" s="63"/>
    </row>
    <row r="490">
      <c r="H490" s="62"/>
      <c r="I490" s="63"/>
    </row>
    <row r="491">
      <c r="H491" s="62"/>
      <c r="I491" s="63"/>
    </row>
    <row r="492">
      <c r="H492" s="62"/>
      <c r="I492" s="63"/>
    </row>
    <row r="493">
      <c r="H493" s="62"/>
      <c r="I493" s="63"/>
    </row>
    <row r="494">
      <c r="H494" s="62"/>
      <c r="I494" s="63"/>
    </row>
    <row r="495">
      <c r="H495" s="62"/>
      <c r="I495" s="63"/>
    </row>
    <row r="496">
      <c r="H496" s="62"/>
      <c r="I496" s="63"/>
    </row>
    <row r="497">
      <c r="H497" s="62"/>
      <c r="I497" s="63"/>
    </row>
    <row r="498">
      <c r="H498" s="62"/>
      <c r="I498" s="63"/>
    </row>
    <row r="499">
      <c r="H499" s="62"/>
      <c r="I499" s="63"/>
    </row>
    <row r="500">
      <c r="H500" s="62"/>
      <c r="I500" s="63"/>
    </row>
    <row r="501">
      <c r="H501" s="62"/>
      <c r="I501" s="63"/>
    </row>
    <row r="502">
      <c r="H502" s="62"/>
      <c r="I502" s="63"/>
    </row>
    <row r="503">
      <c r="H503" s="62"/>
      <c r="I503" s="63"/>
    </row>
    <row r="504">
      <c r="H504" s="62"/>
      <c r="I504" s="63"/>
    </row>
    <row r="505">
      <c r="H505" s="62"/>
      <c r="I505" s="63"/>
    </row>
    <row r="506">
      <c r="H506" s="62"/>
      <c r="I506" s="63"/>
    </row>
    <row r="507">
      <c r="H507" s="62"/>
      <c r="I507" s="63"/>
    </row>
    <row r="508">
      <c r="H508" s="62"/>
      <c r="I508" s="63"/>
    </row>
    <row r="509">
      <c r="H509" s="62"/>
      <c r="I509" s="63"/>
    </row>
    <row r="510">
      <c r="H510" s="62"/>
      <c r="I510" s="63"/>
    </row>
    <row r="511">
      <c r="H511" s="62"/>
      <c r="I511" s="63"/>
    </row>
    <row r="512">
      <c r="H512" s="62"/>
      <c r="I512" s="63"/>
    </row>
    <row r="513">
      <c r="H513" s="62"/>
      <c r="I513" s="63"/>
    </row>
    <row r="514">
      <c r="H514" s="62"/>
      <c r="I514" s="63"/>
    </row>
    <row r="515">
      <c r="H515" s="62"/>
      <c r="I515" s="63"/>
    </row>
    <row r="516">
      <c r="H516" s="62"/>
      <c r="I516" s="63"/>
    </row>
    <row r="517">
      <c r="H517" s="62"/>
      <c r="I517" s="63"/>
    </row>
    <row r="518">
      <c r="H518" s="62"/>
      <c r="I518" s="63"/>
    </row>
    <row r="519">
      <c r="H519" s="62"/>
      <c r="I519" s="63"/>
    </row>
    <row r="520">
      <c r="H520" s="62"/>
      <c r="I520" s="63"/>
    </row>
    <row r="521">
      <c r="H521" s="62"/>
      <c r="I521" s="63"/>
    </row>
    <row r="522">
      <c r="H522" s="62"/>
      <c r="I522" s="63"/>
    </row>
    <row r="523">
      <c r="H523" s="62"/>
      <c r="I523" s="63"/>
    </row>
    <row r="524">
      <c r="H524" s="62"/>
      <c r="I524" s="63"/>
    </row>
    <row r="525">
      <c r="H525" s="62"/>
      <c r="I525" s="63"/>
    </row>
    <row r="526">
      <c r="H526" s="62"/>
      <c r="I526" s="63"/>
    </row>
    <row r="527">
      <c r="H527" s="62"/>
      <c r="I527" s="63"/>
    </row>
    <row r="528">
      <c r="H528" s="62"/>
      <c r="I528" s="63"/>
    </row>
    <row r="529">
      <c r="H529" s="62"/>
      <c r="I529" s="63"/>
    </row>
    <row r="530">
      <c r="H530" s="62"/>
      <c r="I530" s="63"/>
    </row>
    <row r="531">
      <c r="H531" s="62"/>
      <c r="I531" s="63"/>
    </row>
    <row r="532">
      <c r="H532" s="62"/>
      <c r="I532" s="63"/>
    </row>
    <row r="533">
      <c r="H533" s="62"/>
      <c r="I533" s="63"/>
    </row>
    <row r="534">
      <c r="H534" s="62"/>
      <c r="I534" s="63"/>
    </row>
    <row r="535">
      <c r="H535" s="62"/>
      <c r="I535" s="63"/>
    </row>
    <row r="536">
      <c r="H536" s="62"/>
      <c r="I536" s="63"/>
    </row>
    <row r="537">
      <c r="H537" s="62"/>
      <c r="I537" s="63"/>
    </row>
    <row r="538">
      <c r="H538" s="62"/>
      <c r="I538" s="63"/>
    </row>
    <row r="539">
      <c r="H539" s="62"/>
      <c r="I539" s="63"/>
    </row>
    <row r="540">
      <c r="H540" s="62"/>
      <c r="I540" s="63"/>
    </row>
    <row r="541">
      <c r="H541" s="62"/>
      <c r="I541" s="63"/>
    </row>
    <row r="542">
      <c r="H542" s="62"/>
      <c r="I542" s="63"/>
    </row>
    <row r="543">
      <c r="H543" s="62"/>
      <c r="I543" s="63"/>
    </row>
    <row r="544">
      <c r="H544" s="62"/>
      <c r="I544" s="63"/>
    </row>
    <row r="545">
      <c r="H545" s="62"/>
      <c r="I545" s="63"/>
    </row>
    <row r="546">
      <c r="H546" s="62"/>
      <c r="I546" s="63"/>
    </row>
    <row r="547">
      <c r="H547" s="62"/>
      <c r="I547" s="63"/>
    </row>
    <row r="548">
      <c r="H548" s="62"/>
      <c r="I548" s="63"/>
    </row>
    <row r="549">
      <c r="H549" s="62"/>
      <c r="I549" s="63"/>
    </row>
    <row r="550">
      <c r="H550" s="62"/>
      <c r="I550" s="63"/>
    </row>
    <row r="551">
      <c r="H551" s="62"/>
      <c r="I551" s="63"/>
    </row>
    <row r="552">
      <c r="H552" s="62"/>
      <c r="I552" s="63"/>
    </row>
    <row r="553">
      <c r="H553" s="62"/>
      <c r="I553" s="63"/>
    </row>
    <row r="554">
      <c r="H554" s="62"/>
      <c r="I554" s="63"/>
    </row>
    <row r="555">
      <c r="H555" s="62"/>
      <c r="I555" s="63"/>
    </row>
    <row r="556">
      <c r="H556" s="62"/>
      <c r="I556" s="63"/>
    </row>
    <row r="557">
      <c r="H557" s="62"/>
      <c r="I557" s="63"/>
    </row>
    <row r="558">
      <c r="H558" s="62"/>
      <c r="I558" s="63"/>
    </row>
    <row r="559">
      <c r="H559" s="62"/>
      <c r="I559" s="63"/>
    </row>
    <row r="560">
      <c r="H560" s="62"/>
      <c r="I560" s="63"/>
    </row>
    <row r="561">
      <c r="H561" s="62"/>
      <c r="I561" s="63"/>
    </row>
    <row r="562">
      <c r="H562" s="62"/>
      <c r="I562" s="63"/>
    </row>
    <row r="563">
      <c r="H563" s="62"/>
      <c r="I563" s="63"/>
    </row>
    <row r="564">
      <c r="H564" s="62"/>
      <c r="I564" s="63"/>
    </row>
    <row r="565">
      <c r="H565" s="62"/>
      <c r="I565" s="63"/>
    </row>
    <row r="566">
      <c r="H566" s="62"/>
      <c r="I566" s="63"/>
    </row>
    <row r="567">
      <c r="H567" s="62"/>
      <c r="I567" s="63"/>
    </row>
    <row r="568">
      <c r="H568" s="62"/>
      <c r="I568" s="63"/>
    </row>
    <row r="569">
      <c r="H569" s="62"/>
      <c r="I569" s="63"/>
    </row>
    <row r="570">
      <c r="H570" s="62"/>
      <c r="I570" s="63"/>
    </row>
    <row r="571">
      <c r="H571" s="62"/>
      <c r="I571" s="63"/>
    </row>
    <row r="572">
      <c r="H572" s="62"/>
      <c r="I572" s="63"/>
    </row>
    <row r="573">
      <c r="H573" s="62"/>
      <c r="I573" s="63"/>
    </row>
    <row r="574">
      <c r="H574" s="62"/>
      <c r="I574" s="63"/>
    </row>
    <row r="575">
      <c r="H575" s="62"/>
      <c r="I575" s="63"/>
    </row>
    <row r="576">
      <c r="H576" s="62"/>
      <c r="I576" s="63"/>
    </row>
    <row r="577">
      <c r="H577" s="62"/>
      <c r="I577" s="63"/>
    </row>
    <row r="578">
      <c r="H578" s="62"/>
      <c r="I578" s="63"/>
    </row>
    <row r="579">
      <c r="H579" s="62"/>
      <c r="I579" s="63"/>
    </row>
    <row r="580">
      <c r="H580" s="62"/>
      <c r="I580" s="63"/>
    </row>
    <row r="581">
      <c r="H581" s="62"/>
      <c r="I581" s="63"/>
    </row>
    <row r="582">
      <c r="H582" s="62"/>
      <c r="I582" s="63"/>
    </row>
    <row r="583">
      <c r="H583" s="62"/>
      <c r="I583" s="63"/>
    </row>
    <row r="584">
      <c r="H584" s="62"/>
      <c r="I584" s="63"/>
    </row>
    <row r="585">
      <c r="H585" s="62"/>
      <c r="I585" s="63"/>
    </row>
    <row r="586">
      <c r="H586" s="62"/>
      <c r="I586" s="63"/>
    </row>
    <row r="587">
      <c r="H587" s="62"/>
      <c r="I587" s="63"/>
    </row>
    <row r="588">
      <c r="H588" s="62"/>
      <c r="I588" s="63"/>
    </row>
    <row r="589">
      <c r="H589" s="62"/>
      <c r="I589" s="63"/>
    </row>
    <row r="590">
      <c r="H590" s="62"/>
      <c r="I590" s="63"/>
    </row>
    <row r="591">
      <c r="H591" s="62"/>
      <c r="I591" s="63"/>
    </row>
    <row r="592">
      <c r="H592" s="62"/>
      <c r="I592" s="63"/>
    </row>
    <row r="593">
      <c r="H593" s="62"/>
      <c r="I593" s="63"/>
    </row>
    <row r="594">
      <c r="H594" s="62"/>
      <c r="I594" s="63"/>
    </row>
    <row r="595">
      <c r="H595" s="62"/>
      <c r="I595" s="63"/>
    </row>
    <row r="596">
      <c r="H596" s="62"/>
      <c r="I596" s="63"/>
    </row>
    <row r="597">
      <c r="H597" s="62"/>
      <c r="I597" s="63"/>
    </row>
    <row r="598">
      <c r="H598" s="62"/>
      <c r="I598" s="63"/>
    </row>
    <row r="599">
      <c r="H599" s="62"/>
      <c r="I599" s="63"/>
    </row>
    <row r="600">
      <c r="H600" s="62"/>
      <c r="I600" s="63"/>
    </row>
    <row r="601">
      <c r="H601" s="62"/>
      <c r="I601" s="63"/>
    </row>
    <row r="602">
      <c r="H602" s="62"/>
      <c r="I602" s="63"/>
    </row>
    <row r="603">
      <c r="H603" s="62"/>
      <c r="I603" s="63"/>
    </row>
    <row r="604">
      <c r="H604" s="62"/>
      <c r="I604" s="63"/>
    </row>
    <row r="605">
      <c r="H605" s="62"/>
      <c r="I605" s="63"/>
    </row>
    <row r="606">
      <c r="H606" s="62"/>
      <c r="I606" s="63"/>
    </row>
    <row r="607">
      <c r="H607" s="62"/>
      <c r="I607" s="63"/>
    </row>
    <row r="608">
      <c r="H608" s="62"/>
      <c r="I608" s="63"/>
    </row>
    <row r="609">
      <c r="H609" s="62"/>
      <c r="I609" s="63"/>
    </row>
    <row r="610">
      <c r="H610" s="62"/>
      <c r="I610" s="63"/>
    </row>
    <row r="611">
      <c r="H611" s="62"/>
      <c r="I611" s="63"/>
    </row>
    <row r="612">
      <c r="H612" s="62"/>
      <c r="I612" s="63"/>
    </row>
    <row r="613">
      <c r="H613" s="62"/>
      <c r="I613" s="63"/>
    </row>
    <row r="614">
      <c r="H614" s="62"/>
      <c r="I614" s="63"/>
    </row>
    <row r="615">
      <c r="H615" s="62"/>
      <c r="I615" s="63"/>
    </row>
    <row r="616">
      <c r="H616" s="62"/>
      <c r="I616" s="63"/>
    </row>
    <row r="617">
      <c r="H617" s="62"/>
      <c r="I617" s="63"/>
    </row>
    <row r="618">
      <c r="H618" s="62"/>
      <c r="I618" s="63"/>
    </row>
    <row r="619">
      <c r="H619" s="62"/>
      <c r="I619" s="63"/>
    </row>
    <row r="620">
      <c r="H620" s="62"/>
      <c r="I620" s="63"/>
    </row>
    <row r="621">
      <c r="H621" s="62"/>
      <c r="I621" s="63"/>
    </row>
    <row r="622">
      <c r="H622" s="62"/>
      <c r="I622" s="63"/>
    </row>
    <row r="623">
      <c r="H623" s="62"/>
      <c r="I623" s="63"/>
    </row>
    <row r="624">
      <c r="H624" s="62"/>
      <c r="I624" s="63"/>
    </row>
    <row r="625">
      <c r="H625" s="62"/>
      <c r="I625" s="63"/>
    </row>
    <row r="626">
      <c r="H626" s="62"/>
      <c r="I626" s="63"/>
    </row>
    <row r="627">
      <c r="H627" s="62"/>
      <c r="I627" s="63"/>
    </row>
    <row r="628">
      <c r="H628" s="62"/>
      <c r="I628" s="63"/>
    </row>
    <row r="629">
      <c r="H629" s="62"/>
      <c r="I629" s="63"/>
    </row>
    <row r="630">
      <c r="H630" s="62"/>
      <c r="I630" s="63"/>
    </row>
    <row r="631">
      <c r="H631" s="62"/>
      <c r="I631" s="63"/>
    </row>
    <row r="632">
      <c r="H632" s="62"/>
      <c r="I632" s="63"/>
    </row>
    <row r="633">
      <c r="H633" s="62"/>
      <c r="I633" s="63"/>
    </row>
    <row r="634">
      <c r="H634" s="62"/>
      <c r="I634" s="63"/>
    </row>
    <row r="635">
      <c r="H635" s="62"/>
      <c r="I635" s="63"/>
    </row>
    <row r="636">
      <c r="H636" s="62"/>
      <c r="I636" s="63"/>
    </row>
    <row r="637">
      <c r="H637" s="62"/>
      <c r="I637" s="63"/>
    </row>
    <row r="638">
      <c r="H638" s="62"/>
      <c r="I638" s="63"/>
    </row>
    <row r="639">
      <c r="H639" s="62"/>
      <c r="I639" s="63"/>
    </row>
    <row r="640">
      <c r="H640" s="62"/>
      <c r="I640" s="63"/>
    </row>
    <row r="641">
      <c r="H641" s="62"/>
      <c r="I641" s="63"/>
    </row>
    <row r="642">
      <c r="H642" s="62"/>
      <c r="I642" s="63"/>
    </row>
    <row r="643">
      <c r="H643" s="62"/>
      <c r="I643" s="63"/>
    </row>
    <row r="644">
      <c r="H644" s="62"/>
      <c r="I644" s="63"/>
    </row>
    <row r="645">
      <c r="H645" s="62"/>
      <c r="I645" s="63"/>
    </row>
    <row r="646">
      <c r="H646" s="62"/>
      <c r="I646" s="63"/>
    </row>
    <row r="647">
      <c r="H647" s="62"/>
      <c r="I647" s="63"/>
    </row>
    <row r="648">
      <c r="H648" s="62"/>
      <c r="I648" s="63"/>
    </row>
    <row r="649">
      <c r="H649" s="62"/>
      <c r="I649" s="63"/>
    </row>
    <row r="650">
      <c r="H650" s="62"/>
      <c r="I650" s="63"/>
    </row>
    <row r="651">
      <c r="H651" s="62"/>
      <c r="I651" s="63"/>
    </row>
    <row r="652">
      <c r="H652" s="62"/>
      <c r="I652" s="63"/>
    </row>
    <row r="653">
      <c r="H653" s="62"/>
      <c r="I653" s="63"/>
    </row>
    <row r="654">
      <c r="H654" s="62"/>
      <c r="I654" s="63"/>
    </row>
    <row r="655">
      <c r="H655" s="62"/>
      <c r="I655" s="63"/>
    </row>
    <row r="656">
      <c r="H656" s="62"/>
      <c r="I656" s="63"/>
    </row>
    <row r="657">
      <c r="H657" s="62"/>
      <c r="I657" s="63"/>
    </row>
    <row r="658">
      <c r="H658" s="62"/>
      <c r="I658" s="63"/>
    </row>
    <row r="659">
      <c r="H659" s="62"/>
      <c r="I659" s="63"/>
    </row>
    <row r="660">
      <c r="H660" s="62"/>
      <c r="I660" s="63"/>
    </row>
    <row r="661">
      <c r="H661" s="62"/>
      <c r="I661" s="63"/>
    </row>
    <row r="662">
      <c r="H662" s="62"/>
      <c r="I662" s="63"/>
    </row>
    <row r="663">
      <c r="H663" s="62"/>
      <c r="I663" s="63"/>
    </row>
    <row r="664">
      <c r="H664" s="62"/>
      <c r="I664" s="63"/>
    </row>
    <row r="665">
      <c r="H665" s="62"/>
      <c r="I665" s="63"/>
    </row>
    <row r="666">
      <c r="H666" s="62"/>
      <c r="I666" s="63"/>
    </row>
    <row r="667">
      <c r="H667" s="62"/>
      <c r="I667" s="63"/>
    </row>
    <row r="668">
      <c r="H668" s="62"/>
      <c r="I668" s="63"/>
    </row>
    <row r="669">
      <c r="H669" s="62"/>
      <c r="I669" s="63"/>
    </row>
    <row r="670">
      <c r="H670" s="62"/>
      <c r="I670" s="63"/>
    </row>
    <row r="671">
      <c r="H671" s="62"/>
      <c r="I671" s="63"/>
    </row>
    <row r="672">
      <c r="H672" s="62"/>
      <c r="I672" s="63"/>
    </row>
    <row r="673">
      <c r="H673" s="62"/>
      <c r="I673" s="63"/>
    </row>
    <row r="674">
      <c r="H674" s="62"/>
      <c r="I674" s="63"/>
    </row>
    <row r="675">
      <c r="H675" s="62"/>
      <c r="I675" s="63"/>
    </row>
    <row r="676">
      <c r="H676" s="62"/>
      <c r="I676" s="63"/>
    </row>
    <row r="677">
      <c r="H677" s="62"/>
      <c r="I677" s="63"/>
    </row>
    <row r="678">
      <c r="H678" s="62"/>
      <c r="I678" s="63"/>
    </row>
    <row r="679">
      <c r="H679" s="62"/>
      <c r="I679" s="63"/>
    </row>
    <row r="680">
      <c r="H680" s="62"/>
      <c r="I680" s="63"/>
    </row>
    <row r="681">
      <c r="H681" s="62"/>
      <c r="I681" s="63"/>
    </row>
    <row r="682">
      <c r="H682" s="62"/>
      <c r="I682" s="63"/>
    </row>
    <row r="683">
      <c r="H683" s="62"/>
      <c r="I683" s="63"/>
    </row>
    <row r="684">
      <c r="H684" s="62"/>
      <c r="I684" s="63"/>
    </row>
    <row r="685">
      <c r="H685" s="62"/>
      <c r="I685" s="63"/>
    </row>
    <row r="686">
      <c r="H686" s="62"/>
      <c r="I686" s="63"/>
    </row>
    <row r="687">
      <c r="H687" s="62"/>
      <c r="I687" s="63"/>
    </row>
    <row r="688">
      <c r="H688" s="62"/>
      <c r="I688" s="63"/>
    </row>
    <row r="689">
      <c r="H689" s="62"/>
      <c r="I689" s="63"/>
    </row>
    <row r="690">
      <c r="H690" s="62"/>
      <c r="I690" s="63"/>
    </row>
    <row r="691">
      <c r="H691" s="62"/>
      <c r="I691" s="63"/>
    </row>
    <row r="692">
      <c r="H692" s="62"/>
      <c r="I692" s="63"/>
    </row>
    <row r="693">
      <c r="H693" s="62"/>
      <c r="I693" s="63"/>
    </row>
    <row r="694">
      <c r="H694" s="62"/>
      <c r="I694" s="63"/>
    </row>
    <row r="695">
      <c r="H695" s="62"/>
      <c r="I695" s="63"/>
    </row>
    <row r="696">
      <c r="H696" s="62"/>
      <c r="I696" s="63"/>
    </row>
    <row r="697">
      <c r="H697" s="62"/>
      <c r="I697" s="63"/>
    </row>
    <row r="698">
      <c r="H698" s="62"/>
      <c r="I698" s="63"/>
    </row>
    <row r="699">
      <c r="H699" s="62"/>
      <c r="I699" s="63"/>
    </row>
    <row r="700">
      <c r="H700" s="62"/>
      <c r="I700" s="63"/>
    </row>
    <row r="701">
      <c r="H701" s="62"/>
      <c r="I701" s="63"/>
    </row>
    <row r="702">
      <c r="H702" s="62"/>
      <c r="I702" s="63"/>
    </row>
    <row r="703">
      <c r="H703" s="62"/>
      <c r="I703" s="63"/>
    </row>
    <row r="704">
      <c r="H704" s="62"/>
      <c r="I704" s="63"/>
    </row>
    <row r="705">
      <c r="H705" s="62"/>
      <c r="I705" s="63"/>
    </row>
    <row r="706">
      <c r="H706" s="62"/>
      <c r="I706" s="63"/>
    </row>
    <row r="707">
      <c r="H707" s="62"/>
      <c r="I707" s="63"/>
    </row>
    <row r="708">
      <c r="H708" s="62"/>
      <c r="I708" s="63"/>
    </row>
    <row r="709">
      <c r="H709" s="62"/>
      <c r="I709" s="63"/>
    </row>
    <row r="710">
      <c r="H710" s="62"/>
      <c r="I710" s="63"/>
    </row>
    <row r="711">
      <c r="H711" s="62"/>
      <c r="I711" s="63"/>
    </row>
    <row r="712">
      <c r="H712" s="62"/>
      <c r="I712" s="63"/>
    </row>
    <row r="713">
      <c r="H713" s="62"/>
      <c r="I713" s="63"/>
    </row>
    <row r="714">
      <c r="H714" s="62"/>
      <c r="I714" s="63"/>
    </row>
    <row r="715">
      <c r="H715" s="62"/>
      <c r="I715" s="63"/>
    </row>
    <row r="716">
      <c r="H716" s="62"/>
      <c r="I716" s="63"/>
    </row>
    <row r="717">
      <c r="H717" s="62"/>
      <c r="I717" s="63"/>
    </row>
    <row r="718">
      <c r="H718" s="62"/>
      <c r="I718" s="63"/>
    </row>
    <row r="719">
      <c r="H719" s="62"/>
      <c r="I719" s="63"/>
    </row>
    <row r="720">
      <c r="H720" s="62"/>
      <c r="I720" s="63"/>
    </row>
    <row r="721">
      <c r="H721" s="62"/>
      <c r="I721" s="63"/>
    </row>
    <row r="722">
      <c r="H722" s="62"/>
      <c r="I722" s="63"/>
    </row>
    <row r="723">
      <c r="H723" s="62"/>
      <c r="I723" s="63"/>
    </row>
    <row r="724">
      <c r="H724" s="62"/>
      <c r="I724" s="63"/>
    </row>
    <row r="725">
      <c r="H725" s="62"/>
      <c r="I725" s="63"/>
    </row>
    <row r="726">
      <c r="H726" s="62"/>
      <c r="I726" s="63"/>
    </row>
    <row r="727">
      <c r="H727" s="62"/>
      <c r="I727" s="63"/>
    </row>
    <row r="728">
      <c r="H728" s="62"/>
      <c r="I728" s="63"/>
    </row>
    <row r="729">
      <c r="H729" s="62"/>
      <c r="I729" s="63"/>
    </row>
    <row r="730">
      <c r="H730" s="62"/>
      <c r="I730" s="63"/>
    </row>
    <row r="731">
      <c r="H731" s="62"/>
      <c r="I731" s="63"/>
    </row>
    <row r="732">
      <c r="H732" s="62"/>
      <c r="I732" s="63"/>
    </row>
    <row r="733">
      <c r="H733" s="62"/>
      <c r="I733" s="63"/>
    </row>
    <row r="734">
      <c r="H734" s="62"/>
      <c r="I734" s="63"/>
    </row>
    <row r="735">
      <c r="H735" s="62"/>
      <c r="I735" s="63"/>
    </row>
    <row r="736">
      <c r="H736" s="62"/>
      <c r="I736" s="63"/>
    </row>
    <row r="737">
      <c r="H737" s="62"/>
      <c r="I737" s="63"/>
    </row>
    <row r="738">
      <c r="H738" s="62"/>
      <c r="I738" s="63"/>
    </row>
    <row r="739">
      <c r="H739" s="62"/>
      <c r="I739" s="63"/>
    </row>
    <row r="740">
      <c r="H740" s="62"/>
      <c r="I740" s="63"/>
    </row>
    <row r="741">
      <c r="H741" s="62"/>
      <c r="I741" s="63"/>
    </row>
    <row r="742">
      <c r="H742" s="62"/>
      <c r="I742" s="63"/>
    </row>
    <row r="743">
      <c r="H743" s="62"/>
      <c r="I743" s="63"/>
    </row>
    <row r="744">
      <c r="H744" s="62"/>
      <c r="I744" s="63"/>
    </row>
    <row r="745">
      <c r="H745" s="62"/>
      <c r="I745" s="63"/>
    </row>
    <row r="746">
      <c r="H746" s="62"/>
      <c r="I746" s="63"/>
    </row>
    <row r="747">
      <c r="H747" s="62"/>
      <c r="I747" s="63"/>
    </row>
    <row r="748">
      <c r="H748" s="62"/>
      <c r="I748" s="63"/>
    </row>
    <row r="749">
      <c r="H749" s="62"/>
      <c r="I749" s="63"/>
    </row>
    <row r="750">
      <c r="H750" s="62"/>
      <c r="I750" s="63"/>
    </row>
    <row r="751">
      <c r="H751" s="62"/>
      <c r="I751" s="63"/>
    </row>
    <row r="752">
      <c r="H752" s="62"/>
      <c r="I752" s="63"/>
    </row>
    <row r="753">
      <c r="H753" s="62"/>
      <c r="I753" s="63"/>
    </row>
    <row r="754">
      <c r="H754" s="62"/>
      <c r="I754" s="63"/>
    </row>
    <row r="755">
      <c r="H755" s="62"/>
      <c r="I755" s="63"/>
    </row>
    <row r="756">
      <c r="H756" s="62"/>
      <c r="I756" s="63"/>
    </row>
    <row r="757">
      <c r="H757" s="62"/>
      <c r="I757" s="63"/>
    </row>
    <row r="758">
      <c r="H758" s="62"/>
      <c r="I758" s="63"/>
    </row>
    <row r="759">
      <c r="H759" s="62"/>
      <c r="I759" s="63"/>
    </row>
    <row r="760">
      <c r="H760" s="62"/>
      <c r="I760" s="63"/>
    </row>
    <row r="761">
      <c r="H761" s="62"/>
      <c r="I761" s="63"/>
    </row>
    <row r="762">
      <c r="H762" s="62"/>
      <c r="I762" s="63"/>
    </row>
    <row r="763">
      <c r="H763" s="62"/>
      <c r="I763" s="63"/>
    </row>
    <row r="764">
      <c r="H764" s="62"/>
      <c r="I764" s="63"/>
    </row>
    <row r="765">
      <c r="H765" s="62"/>
      <c r="I765" s="63"/>
    </row>
    <row r="766">
      <c r="H766" s="62"/>
      <c r="I766" s="63"/>
    </row>
    <row r="767">
      <c r="H767" s="62"/>
      <c r="I767" s="63"/>
    </row>
    <row r="768">
      <c r="H768" s="62"/>
      <c r="I768" s="63"/>
    </row>
    <row r="769">
      <c r="H769" s="62"/>
      <c r="I769" s="63"/>
    </row>
    <row r="770">
      <c r="H770" s="62"/>
      <c r="I770" s="63"/>
    </row>
    <row r="771">
      <c r="H771" s="62"/>
      <c r="I771" s="63"/>
    </row>
    <row r="772">
      <c r="H772" s="62"/>
      <c r="I772" s="63"/>
    </row>
    <row r="773">
      <c r="H773" s="62"/>
      <c r="I773" s="63"/>
    </row>
    <row r="774">
      <c r="H774" s="62"/>
      <c r="I774" s="63"/>
    </row>
    <row r="775">
      <c r="H775" s="62"/>
      <c r="I775" s="63"/>
    </row>
    <row r="776">
      <c r="H776" s="62"/>
      <c r="I776" s="63"/>
    </row>
    <row r="777">
      <c r="H777" s="62"/>
      <c r="I777" s="63"/>
    </row>
    <row r="778">
      <c r="H778" s="62"/>
      <c r="I778" s="63"/>
    </row>
    <row r="779">
      <c r="H779" s="62"/>
      <c r="I779" s="63"/>
    </row>
    <row r="780">
      <c r="H780" s="62"/>
      <c r="I780" s="63"/>
    </row>
    <row r="781">
      <c r="H781" s="62"/>
      <c r="I781" s="63"/>
    </row>
    <row r="782">
      <c r="H782" s="62"/>
      <c r="I782" s="63"/>
    </row>
    <row r="783">
      <c r="H783" s="62"/>
      <c r="I783" s="63"/>
    </row>
    <row r="784">
      <c r="H784" s="62"/>
      <c r="I784" s="63"/>
    </row>
    <row r="785">
      <c r="H785" s="62"/>
      <c r="I785" s="63"/>
    </row>
    <row r="786">
      <c r="H786" s="62"/>
      <c r="I786" s="63"/>
    </row>
    <row r="787">
      <c r="H787" s="62"/>
      <c r="I787" s="63"/>
    </row>
    <row r="788">
      <c r="H788" s="62"/>
      <c r="I788" s="63"/>
    </row>
    <row r="789">
      <c r="H789" s="62"/>
      <c r="I789" s="63"/>
    </row>
    <row r="790">
      <c r="H790" s="62"/>
      <c r="I790" s="63"/>
    </row>
    <row r="791">
      <c r="H791" s="62"/>
      <c r="I791" s="63"/>
    </row>
    <row r="792">
      <c r="H792" s="62"/>
      <c r="I792" s="63"/>
    </row>
    <row r="793">
      <c r="H793" s="62"/>
      <c r="I793" s="63"/>
    </row>
    <row r="794">
      <c r="H794" s="62"/>
      <c r="I794" s="63"/>
    </row>
    <row r="795">
      <c r="H795" s="62"/>
      <c r="I795" s="63"/>
    </row>
    <row r="796">
      <c r="H796" s="62"/>
      <c r="I796" s="63"/>
    </row>
    <row r="797">
      <c r="H797" s="62"/>
      <c r="I797" s="63"/>
    </row>
    <row r="798">
      <c r="H798" s="62"/>
      <c r="I798" s="63"/>
    </row>
    <row r="799">
      <c r="H799" s="62"/>
      <c r="I799" s="63"/>
    </row>
    <row r="800">
      <c r="H800" s="62"/>
      <c r="I800" s="63"/>
    </row>
    <row r="801">
      <c r="H801" s="62"/>
      <c r="I801" s="63"/>
    </row>
    <row r="802">
      <c r="H802" s="62"/>
      <c r="I802" s="63"/>
    </row>
    <row r="803">
      <c r="H803" s="62"/>
      <c r="I803" s="63"/>
    </row>
    <row r="804">
      <c r="H804" s="62"/>
      <c r="I804" s="63"/>
    </row>
    <row r="805">
      <c r="H805" s="62"/>
      <c r="I805" s="63"/>
    </row>
    <row r="806">
      <c r="H806" s="62"/>
      <c r="I806" s="63"/>
    </row>
    <row r="807">
      <c r="H807" s="62"/>
      <c r="I807" s="63"/>
    </row>
    <row r="808">
      <c r="H808" s="62"/>
      <c r="I808" s="63"/>
    </row>
    <row r="809">
      <c r="H809" s="62"/>
      <c r="I809" s="63"/>
    </row>
    <row r="810">
      <c r="H810" s="62"/>
      <c r="I810" s="63"/>
    </row>
    <row r="811">
      <c r="H811" s="62"/>
      <c r="I811" s="63"/>
    </row>
    <row r="812">
      <c r="H812" s="62"/>
      <c r="I812" s="63"/>
    </row>
    <row r="813">
      <c r="H813" s="62"/>
      <c r="I813" s="63"/>
    </row>
    <row r="814">
      <c r="H814" s="62"/>
      <c r="I814" s="63"/>
    </row>
    <row r="815">
      <c r="H815" s="62"/>
      <c r="I815" s="63"/>
    </row>
    <row r="816">
      <c r="H816" s="62"/>
      <c r="I816" s="63"/>
    </row>
    <row r="817">
      <c r="H817" s="62"/>
      <c r="I817" s="63"/>
    </row>
    <row r="818">
      <c r="H818" s="62"/>
      <c r="I818" s="63"/>
    </row>
    <row r="819">
      <c r="H819" s="62"/>
      <c r="I819" s="63"/>
    </row>
    <row r="820">
      <c r="H820" s="62"/>
      <c r="I820" s="63"/>
    </row>
    <row r="821">
      <c r="H821" s="62"/>
      <c r="I821" s="63"/>
    </row>
    <row r="822">
      <c r="H822" s="62"/>
      <c r="I822" s="63"/>
    </row>
    <row r="823">
      <c r="H823" s="62"/>
      <c r="I823" s="63"/>
    </row>
    <row r="824">
      <c r="H824" s="62"/>
      <c r="I824" s="63"/>
    </row>
    <row r="825">
      <c r="H825" s="62"/>
      <c r="I825" s="63"/>
    </row>
    <row r="826">
      <c r="H826" s="62"/>
      <c r="I826" s="63"/>
    </row>
    <row r="827">
      <c r="H827" s="62"/>
      <c r="I827" s="63"/>
    </row>
    <row r="828">
      <c r="H828" s="62"/>
      <c r="I828" s="63"/>
    </row>
    <row r="829">
      <c r="H829" s="62"/>
      <c r="I829" s="63"/>
    </row>
    <row r="830">
      <c r="H830" s="62"/>
      <c r="I830" s="63"/>
    </row>
    <row r="831">
      <c r="H831" s="62"/>
      <c r="I831" s="63"/>
    </row>
    <row r="832">
      <c r="H832" s="62"/>
      <c r="I832" s="63"/>
    </row>
    <row r="833">
      <c r="H833" s="62"/>
      <c r="I833" s="63"/>
    </row>
    <row r="834">
      <c r="H834" s="62"/>
      <c r="I834" s="63"/>
    </row>
    <row r="835">
      <c r="H835" s="62"/>
      <c r="I835" s="63"/>
    </row>
    <row r="836">
      <c r="H836" s="62"/>
      <c r="I836" s="63"/>
    </row>
    <row r="837">
      <c r="H837" s="62"/>
      <c r="I837" s="63"/>
    </row>
    <row r="838">
      <c r="H838" s="62"/>
      <c r="I838" s="63"/>
    </row>
    <row r="839">
      <c r="H839" s="62"/>
      <c r="I839" s="63"/>
    </row>
    <row r="840">
      <c r="H840" s="62"/>
      <c r="I840" s="63"/>
    </row>
    <row r="841">
      <c r="H841" s="62"/>
      <c r="I841" s="63"/>
    </row>
    <row r="842">
      <c r="H842" s="62"/>
      <c r="I842" s="63"/>
    </row>
    <row r="843">
      <c r="H843" s="62"/>
      <c r="I843" s="63"/>
    </row>
    <row r="844">
      <c r="H844" s="62"/>
      <c r="I844" s="63"/>
    </row>
    <row r="845">
      <c r="H845" s="62"/>
      <c r="I845" s="63"/>
    </row>
    <row r="846">
      <c r="H846" s="62"/>
      <c r="I846" s="63"/>
    </row>
    <row r="847">
      <c r="H847" s="62"/>
      <c r="I847" s="63"/>
    </row>
    <row r="848">
      <c r="H848" s="62"/>
      <c r="I848" s="63"/>
    </row>
    <row r="849">
      <c r="H849" s="62"/>
      <c r="I849" s="63"/>
    </row>
    <row r="850">
      <c r="H850" s="62"/>
      <c r="I850" s="63"/>
    </row>
    <row r="851">
      <c r="H851" s="62"/>
      <c r="I851" s="63"/>
    </row>
    <row r="852">
      <c r="H852" s="62"/>
      <c r="I852" s="63"/>
    </row>
    <row r="853">
      <c r="H853" s="62"/>
      <c r="I853" s="63"/>
    </row>
    <row r="854">
      <c r="H854" s="62"/>
      <c r="I854" s="63"/>
    </row>
    <row r="855">
      <c r="H855" s="62"/>
      <c r="I855" s="63"/>
    </row>
    <row r="856">
      <c r="H856" s="62"/>
      <c r="I856" s="63"/>
    </row>
    <row r="857">
      <c r="H857" s="62"/>
      <c r="I857" s="63"/>
    </row>
    <row r="858">
      <c r="H858" s="62"/>
      <c r="I858" s="63"/>
    </row>
    <row r="859">
      <c r="H859" s="62"/>
      <c r="I859" s="63"/>
    </row>
    <row r="860">
      <c r="H860" s="62"/>
      <c r="I860" s="63"/>
    </row>
    <row r="861">
      <c r="H861" s="62"/>
      <c r="I861" s="63"/>
    </row>
    <row r="862">
      <c r="H862" s="62"/>
      <c r="I862" s="63"/>
    </row>
    <row r="863">
      <c r="H863" s="62"/>
      <c r="I863" s="63"/>
    </row>
    <row r="864">
      <c r="H864" s="62"/>
      <c r="I864" s="63"/>
    </row>
    <row r="865">
      <c r="H865" s="62"/>
      <c r="I865" s="63"/>
    </row>
    <row r="866">
      <c r="H866" s="62"/>
      <c r="I866" s="63"/>
    </row>
    <row r="867">
      <c r="H867" s="62"/>
      <c r="I867" s="63"/>
    </row>
    <row r="868">
      <c r="H868" s="62"/>
      <c r="I868" s="63"/>
    </row>
    <row r="869">
      <c r="H869" s="62"/>
      <c r="I869" s="63"/>
    </row>
    <row r="870">
      <c r="H870" s="62"/>
      <c r="I870" s="63"/>
    </row>
    <row r="871">
      <c r="H871" s="62"/>
      <c r="I871" s="63"/>
    </row>
    <row r="872">
      <c r="H872" s="62"/>
      <c r="I872" s="63"/>
    </row>
    <row r="873">
      <c r="H873" s="62"/>
      <c r="I873" s="63"/>
    </row>
    <row r="874">
      <c r="H874" s="62"/>
      <c r="I874" s="63"/>
    </row>
    <row r="875">
      <c r="H875" s="62"/>
      <c r="I875" s="63"/>
    </row>
    <row r="876">
      <c r="H876" s="62"/>
      <c r="I876" s="63"/>
    </row>
    <row r="877">
      <c r="H877" s="62"/>
      <c r="I877" s="63"/>
    </row>
    <row r="878">
      <c r="H878" s="62"/>
      <c r="I878" s="63"/>
    </row>
    <row r="879">
      <c r="H879" s="62"/>
      <c r="I879" s="63"/>
    </row>
    <row r="880">
      <c r="H880" s="62"/>
      <c r="I880" s="63"/>
    </row>
    <row r="881">
      <c r="H881" s="62"/>
      <c r="I881" s="63"/>
    </row>
    <row r="882">
      <c r="H882" s="62"/>
      <c r="I882" s="63"/>
    </row>
    <row r="883">
      <c r="H883" s="62"/>
      <c r="I883" s="63"/>
    </row>
    <row r="884">
      <c r="H884" s="62"/>
      <c r="I884" s="63"/>
    </row>
    <row r="885">
      <c r="H885" s="62"/>
      <c r="I885" s="63"/>
    </row>
    <row r="886">
      <c r="H886" s="62"/>
      <c r="I886" s="63"/>
    </row>
    <row r="887">
      <c r="H887" s="62"/>
      <c r="I887" s="63"/>
    </row>
    <row r="888">
      <c r="H888" s="62"/>
      <c r="I888" s="63"/>
    </row>
    <row r="889">
      <c r="H889" s="62"/>
      <c r="I889" s="63"/>
    </row>
    <row r="890">
      <c r="H890" s="62"/>
      <c r="I890" s="63"/>
    </row>
    <row r="891">
      <c r="H891" s="62"/>
      <c r="I891" s="63"/>
    </row>
    <row r="892">
      <c r="H892" s="62"/>
      <c r="I892" s="63"/>
    </row>
    <row r="893">
      <c r="H893" s="62"/>
      <c r="I893" s="63"/>
    </row>
    <row r="894">
      <c r="H894" s="62"/>
      <c r="I894" s="63"/>
    </row>
    <row r="895">
      <c r="H895" s="62"/>
      <c r="I895" s="63"/>
    </row>
    <row r="896">
      <c r="H896" s="62"/>
      <c r="I896" s="63"/>
    </row>
    <row r="897">
      <c r="H897" s="62"/>
      <c r="I897" s="63"/>
    </row>
    <row r="898">
      <c r="H898" s="62"/>
      <c r="I898" s="63"/>
    </row>
    <row r="899">
      <c r="H899" s="62"/>
      <c r="I899" s="63"/>
    </row>
    <row r="900">
      <c r="H900" s="62"/>
      <c r="I900" s="63"/>
    </row>
    <row r="901">
      <c r="H901" s="62"/>
      <c r="I901" s="63"/>
    </row>
    <row r="902">
      <c r="H902" s="62"/>
      <c r="I902" s="63"/>
    </row>
    <row r="903">
      <c r="H903" s="62"/>
      <c r="I903" s="63"/>
    </row>
    <row r="904">
      <c r="H904" s="62"/>
      <c r="I904" s="63"/>
    </row>
    <row r="905">
      <c r="H905" s="62"/>
      <c r="I905" s="63"/>
    </row>
    <row r="906">
      <c r="H906" s="62"/>
      <c r="I906" s="63"/>
    </row>
    <row r="907">
      <c r="H907" s="62"/>
      <c r="I907" s="63"/>
    </row>
    <row r="908">
      <c r="H908" s="62"/>
      <c r="I908" s="63"/>
    </row>
    <row r="909">
      <c r="H909" s="62"/>
      <c r="I909" s="63"/>
    </row>
    <row r="910">
      <c r="H910" s="62"/>
      <c r="I910" s="63"/>
    </row>
    <row r="911">
      <c r="H911" s="62"/>
      <c r="I911" s="63"/>
    </row>
    <row r="912">
      <c r="H912" s="62"/>
      <c r="I912" s="63"/>
    </row>
    <row r="913">
      <c r="H913" s="62"/>
      <c r="I913" s="63"/>
    </row>
    <row r="914">
      <c r="H914" s="62"/>
      <c r="I914" s="63"/>
    </row>
    <row r="915">
      <c r="H915" s="62"/>
      <c r="I915" s="63"/>
    </row>
    <row r="916">
      <c r="H916" s="62"/>
      <c r="I916" s="63"/>
    </row>
    <row r="917">
      <c r="H917" s="62"/>
      <c r="I917" s="63"/>
    </row>
    <row r="918">
      <c r="H918" s="62"/>
      <c r="I918" s="63"/>
    </row>
    <row r="919">
      <c r="H919" s="62"/>
      <c r="I919" s="63"/>
    </row>
    <row r="920">
      <c r="H920" s="62"/>
      <c r="I920" s="63"/>
    </row>
    <row r="921">
      <c r="H921" s="62"/>
      <c r="I921" s="63"/>
    </row>
    <row r="922">
      <c r="H922" s="62"/>
      <c r="I922" s="63"/>
    </row>
    <row r="923">
      <c r="H923" s="62"/>
      <c r="I923" s="63"/>
    </row>
    <row r="924">
      <c r="H924" s="62"/>
      <c r="I924" s="63"/>
    </row>
    <row r="925">
      <c r="H925" s="62"/>
      <c r="I925" s="63"/>
    </row>
    <row r="926">
      <c r="H926" s="62"/>
      <c r="I926" s="63"/>
    </row>
    <row r="927">
      <c r="H927" s="62"/>
      <c r="I927" s="63"/>
    </row>
    <row r="928">
      <c r="H928" s="62"/>
      <c r="I928" s="63"/>
    </row>
    <row r="929">
      <c r="H929" s="62"/>
      <c r="I929" s="63"/>
    </row>
    <row r="930">
      <c r="H930" s="62"/>
      <c r="I930" s="63"/>
    </row>
    <row r="931">
      <c r="H931" s="62"/>
      <c r="I931" s="63"/>
    </row>
    <row r="932">
      <c r="H932" s="62"/>
      <c r="I932" s="63"/>
    </row>
    <row r="933">
      <c r="H933" s="62"/>
      <c r="I933" s="63"/>
    </row>
    <row r="934">
      <c r="H934" s="62"/>
      <c r="I934" s="63"/>
    </row>
    <row r="935">
      <c r="H935" s="62"/>
      <c r="I935" s="63"/>
    </row>
    <row r="936">
      <c r="H936" s="62"/>
      <c r="I936" s="63"/>
    </row>
    <row r="937">
      <c r="H937" s="62"/>
      <c r="I937" s="63"/>
    </row>
    <row r="938">
      <c r="H938" s="62"/>
      <c r="I938" s="63"/>
    </row>
    <row r="939">
      <c r="H939" s="62"/>
      <c r="I939" s="63"/>
    </row>
    <row r="940">
      <c r="H940" s="62"/>
      <c r="I940" s="63"/>
    </row>
    <row r="941">
      <c r="H941" s="62"/>
      <c r="I941" s="63"/>
    </row>
    <row r="942">
      <c r="H942" s="62"/>
      <c r="I942" s="63"/>
    </row>
    <row r="943">
      <c r="H943" s="62"/>
      <c r="I943" s="63"/>
    </row>
    <row r="944">
      <c r="H944" s="62"/>
      <c r="I944" s="63"/>
    </row>
    <row r="945">
      <c r="H945" s="62"/>
      <c r="I945" s="63"/>
    </row>
    <row r="946">
      <c r="H946" s="62"/>
      <c r="I946" s="63"/>
    </row>
    <row r="947">
      <c r="H947" s="62"/>
      <c r="I947" s="63"/>
    </row>
    <row r="948">
      <c r="H948" s="62"/>
      <c r="I948" s="63"/>
    </row>
    <row r="949">
      <c r="H949" s="62"/>
      <c r="I949" s="63"/>
    </row>
    <row r="950">
      <c r="H950" s="62"/>
      <c r="I950" s="63"/>
    </row>
    <row r="951">
      <c r="H951" s="62"/>
      <c r="I951" s="63"/>
    </row>
    <row r="952">
      <c r="H952" s="62"/>
      <c r="I952" s="63"/>
    </row>
    <row r="953">
      <c r="H953" s="62"/>
      <c r="I953" s="63"/>
    </row>
    <row r="954">
      <c r="H954" s="62"/>
      <c r="I954" s="63"/>
    </row>
    <row r="955">
      <c r="H955" s="62"/>
      <c r="I955" s="63"/>
    </row>
    <row r="956">
      <c r="H956" s="62"/>
      <c r="I956" s="63"/>
    </row>
    <row r="957">
      <c r="H957" s="62"/>
      <c r="I957" s="63"/>
    </row>
    <row r="958">
      <c r="H958" s="62"/>
      <c r="I958" s="63"/>
    </row>
    <row r="959">
      <c r="H959" s="62"/>
      <c r="I959" s="63"/>
    </row>
    <row r="960">
      <c r="H960" s="62"/>
      <c r="I960" s="63"/>
    </row>
    <row r="961">
      <c r="H961" s="62"/>
      <c r="I961" s="63"/>
    </row>
    <row r="962">
      <c r="H962" s="62"/>
      <c r="I962" s="63"/>
    </row>
    <row r="963">
      <c r="H963" s="62"/>
      <c r="I963" s="63"/>
    </row>
    <row r="964">
      <c r="H964" s="62"/>
      <c r="I964" s="63"/>
    </row>
    <row r="965">
      <c r="H965" s="62"/>
      <c r="I965" s="63"/>
    </row>
    <row r="966">
      <c r="H966" s="62"/>
      <c r="I966" s="63"/>
    </row>
    <row r="967">
      <c r="H967" s="62"/>
      <c r="I967" s="63"/>
    </row>
    <row r="968">
      <c r="H968" s="62"/>
      <c r="I968" s="63"/>
    </row>
    <row r="969">
      <c r="H969" s="62"/>
      <c r="I969" s="63"/>
    </row>
    <row r="970">
      <c r="H970" s="62"/>
      <c r="I970" s="63"/>
    </row>
    <row r="971">
      <c r="H971" s="62"/>
      <c r="I971" s="63"/>
    </row>
    <row r="972">
      <c r="H972" s="62"/>
      <c r="I972" s="63"/>
    </row>
    <row r="973">
      <c r="H973" s="62"/>
      <c r="I973" s="63"/>
    </row>
    <row r="974">
      <c r="H974" s="62"/>
      <c r="I974" s="63"/>
    </row>
    <row r="975">
      <c r="H975" s="62"/>
      <c r="I975" s="63"/>
    </row>
    <row r="976">
      <c r="H976" s="62"/>
      <c r="I976" s="63"/>
    </row>
    <row r="977">
      <c r="H977" s="62"/>
      <c r="I977" s="63"/>
    </row>
    <row r="978">
      <c r="H978" s="62"/>
      <c r="I978" s="63"/>
    </row>
    <row r="979">
      <c r="H979" s="62"/>
      <c r="I979" s="63"/>
    </row>
    <row r="980">
      <c r="H980" s="62"/>
      <c r="I980" s="63"/>
    </row>
    <row r="981">
      <c r="H981" s="62"/>
      <c r="I981" s="63"/>
    </row>
    <row r="982">
      <c r="H982" s="62"/>
      <c r="I982" s="63"/>
    </row>
    <row r="983">
      <c r="H983" s="62"/>
      <c r="I983" s="63"/>
    </row>
    <row r="984">
      <c r="H984" s="62"/>
      <c r="I984" s="63"/>
    </row>
    <row r="985">
      <c r="H985" s="62"/>
      <c r="I985" s="63"/>
    </row>
    <row r="986">
      <c r="H986" s="62"/>
      <c r="I986" s="63"/>
    </row>
    <row r="987">
      <c r="H987" s="62"/>
      <c r="I987" s="63"/>
    </row>
    <row r="988">
      <c r="H988" s="62"/>
      <c r="I988" s="63"/>
    </row>
    <row r="989">
      <c r="H989" s="62"/>
      <c r="I989" s="63"/>
    </row>
    <row r="990">
      <c r="H990" s="62"/>
      <c r="I990" s="63"/>
    </row>
    <row r="991">
      <c r="H991" s="62"/>
      <c r="I991" s="63"/>
    </row>
    <row r="992">
      <c r="H992" s="62"/>
      <c r="I992" s="63"/>
    </row>
    <row r="993">
      <c r="H993" s="62"/>
      <c r="I993" s="63"/>
    </row>
    <row r="994">
      <c r="H994" s="62"/>
      <c r="I994" s="63"/>
    </row>
    <row r="995">
      <c r="H995" s="62"/>
      <c r="I995" s="63"/>
    </row>
    <row r="996">
      <c r="H996" s="62"/>
      <c r="I996" s="63"/>
    </row>
    <row r="997">
      <c r="H997" s="62"/>
      <c r="I997" s="63"/>
    </row>
    <row r="998">
      <c r="H998" s="62"/>
      <c r="I998" s="63"/>
    </row>
    <row r="999">
      <c r="H999" s="62"/>
      <c r="I999" s="63"/>
    </row>
    <row r="1000">
      <c r="H1000" s="62"/>
      <c r="I1000" s="63"/>
    </row>
    <row r="1001">
      <c r="H1001" s="62"/>
      <c r="I1001" s="63"/>
    </row>
    <row r="1002">
      <c r="H1002" s="62"/>
      <c r="I1002" s="63"/>
    </row>
    <row r="1003">
      <c r="H1003" s="62"/>
      <c r="I1003" s="63"/>
    </row>
    <row r="1004">
      <c r="H1004" s="62"/>
      <c r="I1004" s="63"/>
    </row>
    <row r="1005">
      <c r="H1005" s="62"/>
      <c r="I1005" s="63"/>
    </row>
    <row r="1006">
      <c r="H1006" s="62"/>
      <c r="I1006" s="63"/>
    </row>
    <row r="1007">
      <c r="H1007" s="62"/>
      <c r="I1007" s="63"/>
    </row>
    <row r="1008">
      <c r="H1008" s="62"/>
      <c r="I1008" s="63"/>
    </row>
    <row r="1009">
      <c r="H1009" s="62"/>
      <c r="I1009" s="63"/>
    </row>
    <row r="1010">
      <c r="H1010" s="62"/>
      <c r="I1010" s="63"/>
    </row>
    <row r="1011">
      <c r="H1011" s="62"/>
      <c r="I1011" s="63"/>
    </row>
    <row r="1012">
      <c r="H1012" s="62"/>
      <c r="I1012" s="63"/>
    </row>
    <row r="1013">
      <c r="H1013" s="62"/>
      <c r="I1013" s="63"/>
    </row>
    <row r="1014">
      <c r="H1014" s="62"/>
      <c r="I1014" s="63"/>
    </row>
    <row r="1015">
      <c r="H1015" s="62"/>
      <c r="I1015" s="63"/>
    </row>
    <row r="1016">
      <c r="H1016" s="62"/>
      <c r="I1016" s="63"/>
    </row>
    <row r="1017">
      <c r="H1017" s="62"/>
      <c r="I1017" s="63"/>
    </row>
    <row r="1018">
      <c r="H1018" s="62"/>
      <c r="I1018" s="63"/>
    </row>
    <row r="1019">
      <c r="H1019" s="62"/>
      <c r="I1019" s="63"/>
    </row>
    <row r="1020">
      <c r="H1020" s="62"/>
      <c r="I1020" s="63"/>
    </row>
    <row r="1021">
      <c r="H1021" s="62"/>
      <c r="I1021" s="63"/>
    </row>
    <row r="1022">
      <c r="H1022" s="62"/>
      <c r="I1022" s="63"/>
    </row>
    <row r="1023">
      <c r="H1023" s="62"/>
      <c r="I1023" s="63"/>
    </row>
    <row r="1024">
      <c r="H1024" s="62"/>
      <c r="I1024" s="63"/>
    </row>
    <row r="1025">
      <c r="H1025" s="62"/>
      <c r="I1025" s="63"/>
    </row>
    <row r="1026">
      <c r="H1026" s="62"/>
      <c r="I1026" s="63"/>
    </row>
    <row r="1027">
      <c r="H1027" s="62"/>
      <c r="I1027" s="63"/>
    </row>
    <row r="1028">
      <c r="H1028" s="62"/>
      <c r="I1028" s="63"/>
    </row>
    <row r="1029">
      <c r="H1029" s="62"/>
      <c r="I1029" s="63"/>
    </row>
    <row r="1030">
      <c r="H1030" s="62"/>
      <c r="I1030" s="63"/>
    </row>
    <row r="1031">
      <c r="H1031" s="62"/>
      <c r="I1031" s="63"/>
    </row>
    <row r="1032">
      <c r="H1032" s="62"/>
      <c r="I1032" s="63"/>
    </row>
    <row r="1033">
      <c r="H1033" s="62"/>
      <c r="I1033" s="63"/>
    </row>
    <row r="1034">
      <c r="H1034" s="62"/>
      <c r="I1034" s="63"/>
    </row>
    <row r="1035">
      <c r="H1035" s="62"/>
      <c r="I1035" s="63"/>
    </row>
    <row r="1036">
      <c r="H1036" s="62"/>
      <c r="I1036" s="63"/>
    </row>
    <row r="1037">
      <c r="H1037" s="62"/>
      <c r="I1037" s="63"/>
    </row>
    <row r="1038">
      <c r="H1038" s="62"/>
      <c r="I1038" s="63"/>
    </row>
    <row r="1039">
      <c r="H1039" s="62"/>
      <c r="I1039" s="63"/>
    </row>
    <row r="1040">
      <c r="H1040" s="62"/>
      <c r="I1040" s="63"/>
    </row>
    <row r="1041">
      <c r="H1041" s="62"/>
      <c r="I1041" s="63"/>
    </row>
    <row r="1042">
      <c r="H1042" s="62"/>
      <c r="I1042" s="63"/>
    </row>
    <row r="1043">
      <c r="H1043" s="62"/>
      <c r="I1043" s="63"/>
    </row>
    <row r="1044">
      <c r="H1044" s="62"/>
      <c r="I1044" s="63"/>
    </row>
    <row r="1045">
      <c r="H1045" s="62"/>
      <c r="I1045" s="63"/>
    </row>
    <row r="1046">
      <c r="H1046" s="62"/>
      <c r="I1046" s="63"/>
    </row>
    <row r="1047">
      <c r="H1047" s="62"/>
      <c r="I1047" s="63"/>
    </row>
  </sheetData>
  <hyperlinks>
    <hyperlink r:id="rId1" ref="E18"/>
    <hyperlink r:id="rId2" ref="E144"/>
    <hyperlink r:id="rId3" ref="E163"/>
    <hyperlink r:id="rId4" ref="E174"/>
    <hyperlink r:id="rId5" ref="E199"/>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25"/>
    <col customWidth="1" min="2" max="11" width="30.13"/>
    <col hidden="1" min="14" max="26" width="12.63"/>
  </cols>
  <sheetData>
    <row r="1">
      <c r="A1" s="68"/>
      <c r="B1" s="69" t="s">
        <v>5</v>
      </c>
      <c r="C1" s="70" t="s">
        <v>6</v>
      </c>
      <c r="D1" s="70" t="s">
        <v>2677</v>
      </c>
      <c r="E1" s="70" t="s">
        <v>2678</v>
      </c>
      <c r="F1" s="70" t="s">
        <v>2679</v>
      </c>
      <c r="G1" s="69" t="s">
        <v>2680</v>
      </c>
      <c r="H1" s="69" t="s">
        <v>2681</v>
      </c>
      <c r="I1" s="70" t="s">
        <v>2682</v>
      </c>
      <c r="J1" s="69" t="s">
        <v>2683</v>
      </c>
      <c r="K1" s="69" t="s">
        <v>2684</v>
      </c>
      <c r="L1" s="68"/>
      <c r="M1" s="68"/>
      <c r="N1" s="68"/>
      <c r="O1" s="68"/>
      <c r="P1" s="68"/>
      <c r="Q1" s="68"/>
      <c r="R1" s="68"/>
      <c r="S1" s="68"/>
      <c r="T1" s="68"/>
      <c r="U1" s="68"/>
      <c r="V1" s="68"/>
      <c r="W1" s="68"/>
      <c r="X1" s="68"/>
      <c r="Y1" s="68"/>
      <c r="Z1" s="68"/>
    </row>
    <row r="2">
      <c r="A2" s="61">
        <v>1.0</v>
      </c>
      <c r="B2" s="15" t="s">
        <v>2272</v>
      </c>
      <c r="C2" s="17" t="s">
        <v>86</v>
      </c>
      <c r="D2" s="15" t="s">
        <v>31</v>
      </c>
      <c r="E2" s="15" t="s">
        <v>37</v>
      </c>
      <c r="F2" s="15" t="s">
        <v>161</v>
      </c>
      <c r="G2" s="15" t="s">
        <v>390</v>
      </c>
      <c r="H2" s="15" t="s">
        <v>335</v>
      </c>
      <c r="I2" s="15" t="s">
        <v>74</v>
      </c>
      <c r="J2" s="15" t="s">
        <v>1370</v>
      </c>
      <c r="K2" s="17" t="s">
        <v>1392</v>
      </c>
    </row>
    <row r="3">
      <c r="A3" s="61">
        <v>2.0</v>
      </c>
      <c r="B3" s="15" t="s">
        <v>2172</v>
      </c>
      <c r="C3" s="15" t="s">
        <v>149</v>
      </c>
      <c r="D3" s="15" t="s">
        <v>211</v>
      </c>
      <c r="E3" s="15" t="s">
        <v>66</v>
      </c>
      <c r="F3" s="15" t="s">
        <v>190</v>
      </c>
      <c r="G3" s="15" t="s">
        <v>538</v>
      </c>
      <c r="H3" s="15" t="s">
        <v>392</v>
      </c>
      <c r="I3" s="15" t="s">
        <v>1069</v>
      </c>
      <c r="J3" s="15" t="s">
        <v>859</v>
      </c>
      <c r="K3" s="15" t="s">
        <v>1589</v>
      </c>
    </row>
    <row r="4">
      <c r="A4" s="61">
        <v>3.0</v>
      </c>
      <c r="B4" s="15" t="s">
        <v>2192</v>
      </c>
      <c r="C4" s="17" t="s">
        <v>318</v>
      </c>
      <c r="D4" s="15" t="s">
        <v>240</v>
      </c>
      <c r="E4" s="15" t="s">
        <v>97</v>
      </c>
      <c r="F4" s="15" t="s">
        <v>248</v>
      </c>
      <c r="G4" s="15" t="s">
        <v>797</v>
      </c>
      <c r="H4" s="15" t="s">
        <v>450</v>
      </c>
      <c r="I4" s="15" t="s">
        <v>857</v>
      </c>
      <c r="J4" s="15" t="s">
        <v>1868</v>
      </c>
      <c r="K4" s="15" t="s">
        <v>2536</v>
      </c>
    </row>
    <row r="5">
      <c r="A5" s="61">
        <v>4.0</v>
      </c>
      <c r="B5" s="15" t="s">
        <v>2263</v>
      </c>
      <c r="C5" s="15" t="s">
        <v>462</v>
      </c>
      <c r="D5" s="15" t="s">
        <v>324</v>
      </c>
      <c r="E5" s="15" t="s">
        <v>329</v>
      </c>
      <c r="F5" s="71" t="s">
        <v>304</v>
      </c>
      <c r="G5" s="15" t="s">
        <v>938</v>
      </c>
      <c r="H5" s="15" t="s">
        <v>540</v>
      </c>
      <c r="I5" s="15" t="s">
        <v>915</v>
      </c>
      <c r="J5" s="15" t="s">
        <v>2367</v>
      </c>
      <c r="K5" s="15" t="s">
        <v>2540</v>
      </c>
    </row>
    <row r="6">
      <c r="A6" s="61">
        <v>5.0</v>
      </c>
      <c r="B6" s="15" t="s">
        <v>1573</v>
      </c>
      <c r="C6" s="15" t="s">
        <v>698</v>
      </c>
      <c r="D6" s="15" t="s">
        <v>411</v>
      </c>
      <c r="E6" s="15" t="s">
        <v>793</v>
      </c>
      <c r="F6" s="15" t="s">
        <v>388</v>
      </c>
      <c r="G6" s="15" t="s">
        <v>1524</v>
      </c>
      <c r="H6" s="15" t="s">
        <v>569</v>
      </c>
      <c r="I6" s="15" t="s">
        <v>772</v>
      </c>
      <c r="J6" s="15" t="s">
        <v>1333</v>
      </c>
      <c r="K6" s="15" t="s">
        <v>2551</v>
      </c>
    </row>
    <row r="7">
      <c r="A7" s="61">
        <v>6.0</v>
      </c>
      <c r="B7" s="15" t="s">
        <v>522</v>
      </c>
      <c r="C7" s="15" t="s">
        <v>753</v>
      </c>
      <c r="D7" s="15" t="s">
        <v>619</v>
      </c>
      <c r="E7" s="15" t="s">
        <v>1063</v>
      </c>
      <c r="F7" s="15" t="s">
        <v>595</v>
      </c>
      <c r="G7" s="15" t="s">
        <v>1555</v>
      </c>
      <c r="H7" s="15" t="s">
        <v>715</v>
      </c>
      <c r="I7" s="15" t="s">
        <v>1293</v>
      </c>
      <c r="J7" s="15" t="s">
        <v>830</v>
      </c>
      <c r="K7" s="17" t="s">
        <v>2557</v>
      </c>
    </row>
    <row r="8">
      <c r="A8" s="61">
        <v>7.0</v>
      </c>
      <c r="B8" s="15" t="s">
        <v>1412</v>
      </c>
      <c r="C8" s="17" t="s">
        <v>2685</v>
      </c>
      <c r="D8" s="15" t="s">
        <v>760</v>
      </c>
      <c r="E8" s="15" t="s">
        <v>1087</v>
      </c>
      <c r="F8" s="15" t="s">
        <v>625</v>
      </c>
      <c r="G8" s="15" t="s">
        <v>1584</v>
      </c>
      <c r="H8" s="15" t="s">
        <v>967</v>
      </c>
      <c r="I8" s="15" t="s">
        <v>1273</v>
      </c>
      <c r="J8" s="15" t="s">
        <v>2519</v>
      </c>
      <c r="K8" s="15" t="s">
        <v>2583</v>
      </c>
    </row>
    <row r="9">
      <c r="A9" s="61">
        <v>8.0</v>
      </c>
      <c r="B9" s="15" t="s">
        <v>1194</v>
      </c>
      <c r="C9" s="15" t="s">
        <v>1414</v>
      </c>
      <c r="D9" s="17" t="s">
        <v>903</v>
      </c>
      <c r="E9" s="15" t="s">
        <v>1247</v>
      </c>
      <c r="F9" s="15" t="s">
        <v>652</v>
      </c>
      <c r="G9" s="15" t="s">
        <v>2039</v>
      </c>
      <c r="H9" s="15" t="s">
        <v>1017</v>
      </c>
      <c r="I9" s="15" t="s">
        <v>1211</v>
      </c>
      <c r="J9" s="17" t="s">
        <v>285</v>
      </c>
      <c r="K9" s="15" t="s">
        <v>2626</v>
      </c>
    </row>
    <row r="10">
      <c r="A10" s="61">
        <v>9.0</v>
      </c>
      <c r="B10" s="15" t="s">
        <v>1761</v>
      </c>
      <c r="C10" s="15" t="s">
        <v>176</v>
      </c>
      <c r="D10" s="15" t="s">
        <v>984</v>
      </c>
      <c r="E10" s="67" t="s">
        <v>2686</v>
      </c>
      <c r="F10" s="15" t="s">
        <v>766</v>
      </c>
      <c r="G10" s="15" t="s">
        <v>1764</v>
      </c>
      <c r="H10" s="15" t="s">
        <v>1162</v>
      </c>
      <c r="I10" s="17" t="s">
        <v>138</v>
      </c>
      <c r="J10" s="15" t="s">
        <v>312</v>
      </c>
      <c r="K10" s="15" t="s">
        <v>2662</v>
      </c>
    </row>
    <row r="11">
      <c r="A11" s="61">
        <v>10.0</v>
      </c>
      <c r="B11" s="15" t="s">
        <v>83</v>
      </c>
      <c r="C11" s="15" t="s">
        <v>374</v>
      </c>
      <c r="D11" s="15" t="s">
        <v>1200</v>
      </c>
      <c r="E11" s="67" t="s">
        <v>1173</v>
      </c>
      <c r="F11" s="67" t="s">
        <v>2686</v>
      </c>
      <c r="G11" s="15" t="s">
        <v>1877</v>
      </c>
      <c r="H11" s="15" t="s">
        <v>1291</v>
      </c>
      <c r="I11" s="15" t="s">
        <v>224</v>
      </c>
      <c r="J11" s="15" t="s">
        <v>396</v>
      </c>
      <c r="K11" s="17" t="s">
        <v>142</v>
      </c>
    </row>
    <row r="12">
      <c r="B12" s="61" t="s">
        <v>2687</v>
      </c>
      <c r="C12" s="67" t="s">
        <v>2687</v>
      </c>
      <c r="D12" s="67" t="s">
        <v>2687</v>
      </c>
      <c r="E12" s="67" t="s">
        <v>2687</v>
      </c>
      <c r="F12" s="67" t="s">
        <v>2687</v>
      </c>
      <c r="G12" s="61" t="s">
        <v>2687</v>
      </c>
      <c r="H12" s="61" t="s">
        <v>2687</v>
      </c>
      <c r="I12" s="67" t="s">
        <v>2687</v>
      </c>
      <c r="J12" s="61" t="s">
        <v>2687</v>
      </c>
      <c r="K12" s="61" t="s">
        <v>2687</v>
      </c>
    </row>
    <row r="13">
      <c r="C13" s="63"/>
      <c r="D13" s="63"/>
      <c r="E13" s="63"/>
      <c r="F13" s="63"/>
      <c r="I13" s="63"/>
    </row>
    <row r="14">
      <c r="C14" s="72" t="s">
        <v>2688</v>
      </c>
      <c r="D14" s="73" t="s">
        <v>2689</v>
      </c>
      <c r="E14" s="72" t="s">
        <v>2690</v>
      </c>
      <c r="F14" s="72" t="s">
        <v>2691</v>
      </c>
      <c r="I14" s="72" t="s">
        <v>2692</v>
      </c>
    </row>
    <row r="15">
      <c r="C15" s="72" t="s">
        <v>2693</v>
      </c>
      <c r="D15" s="72" t="s">
        <v>2694</v>
      </c>
      <c r="E15" s="72" t="s">
        <v>2695</v>
      </c>
      <c r="F15" s="72" t="s">
        <v>2696</v>
      </c>
      <c r="I15" s="63"/>
    </row>
    <row r="16">
      <c r="C16" s="72" t="s">
        <v>2697</v>
      </c>
      <c r="D16" s="72" t="s">
        <v>2698</v>
      </c>
      <c r="E16" s="72" t="s">
        <v>2699</v>
      </c>
      <c r="F16" s="72" t="s">
        <v>2700</v>
      </c>
      <c r="I16" s="63"/>
    </row>
    <row r="17">
      <c r="C17" s="72" t="s">
        <v>2701</v>
      </c>
      <c r="D17" s="72" t="s">
        <v>2702</v>
      </c>
      <c r="E17" s="72" t="s">
        <v>2703</v>
      </c>
      <c r="F17" s="72" t="s">
        <v>2704</v>
      </c>
      <c r="I17" s="63"/>
    </row>
    <row r="18">
      <c r="C18" s="72" t="s">
        <v>2705</v>
      </c>
      <c r="D18" s="72" t="s">
        <v>2706</v>
      </c>
      <c r="E18" s="72" t="s">
        <v>2707</v>
      </c>
      <c r="F18" s="72" t="s">
        <v>2708</v>
      </c>
      <c r="I18" s="63"/>
    </row>
    <row r="19">
      <c r="C19" s="72" t="s">
        <v>2709</v>
      </c>
      <c r="D19" s="72" t="s">
        <v>2710</v>
      </c>
      <c r="E19" s="72" t="s">
        <v>2711</v>
      </c>
      <c r="F19" s="72" t="s">
        <v>2712</v>
      </c>
      <c r="I19" s="63"/>
    </row>
    <row r="20">
      <c r="C20" s="72" t="s">
        <v>2713</v>
      </c>
      <c r="D20" s="72" t="s">
        <v>2714</v>
      </c>
      <c r="E20" s="72" t="s">
        <v>2715</v>
      </c>
      <c r="F20" s="72" t="s">
        <v>2716</v>
      </c>
      <c r="I20" s="63"/>
    </row>
    <row r="21">
      <c r="C21" s="72" t="s">
        <v>2717</v>
      </c>
      <c r="D21" s="72" t="s">
        <v>2718</v>
      </c>
      <c r="E21" s="72" t="s">
        <v>2719</v>
      </c>
      <c r="F21" s="72" t="s">
        <v>2720</v>
      </c>
      <c r="I21" s="63"/>
    </row>
    <row r="22">
      <c r="C22" s="72" t="s">
        <v>2721</v>
      </c>
      <c r="D22" s="72" t="s">
        <v>2722</v>
      </c>
      <c r="E22" s="67" t="s">
        <v>2686</v>
      </c>
      <c r="F22" s="72" t="s">
        <v>2723</v>
      </c>
      <c r="I22" s="72" t="s">
        <v>2724</v>
      </c>
    </row>
    <row r="23">
      <c r="C23" s="72" t="s">
        <v>2725</v>
      </c>
      <c r="D23" s="67" t="s">
        <v>2726</v>
      </c>
      <c r="E23" s="67" t="s">
        <v>1173</v>
      </c>
      <c r="F23" s="67" t="s">
        <v>2686</v>
      </c>
      <c r="I23" s="72" t="s">
        <v>2727</v>
      </c>
    </row>
    <row r="24">
      <c r="C24" s="63"/>
      <c r="D24" s="63"/>
      <c r="E24" s="63"/>
      <c r="F24" s="63"/>
      <c r="I24" s="63"/>
    </row>
    <row r="25">
      <c r="C25" s="63"/>
      <c r="D25" s="63"/>
      <c r="E25" s="63"/>
      <c r="F25" s="63"/>
      <c r="I25" s="63"/>
    </row>
    <row r="26">
      <c r="C26" s="63"/>
      <c r="D26" s="63"/>
      <c r="E26" s="63"/>
      <c r="F26" s="63"/>
      <c r="I26" s="63"/>
    </row>
    <row r="27">
      <c r="A27" s="74"/>
      <c r="B27" s="75" t="s">
        <v>2728</v>
      </c>
      <c r="C27" s="76" t="s">
        <v>2728</v>
      </c>
      <c r="D27" s="76" t="s">
        <v>2728</v>
      </c>
      <c r="E27" s="76" t="s">
        <v>2728</v>
      </c>
      <c r="F27" s="76" t="s">
        <v>2728</v>
      </c>
      <c r="G27" s="75" t="s">
        <v>2728</v>
      </c>
      <c r="H27" s="75" t="s">
        <v>2728</v>
      </c>
      <c r="I27" s="76" t="s">
        <v>2728</v>
      </c>
      <c r="J27" s="75" t="s">
        <v>2728</v>
      </c>
      <c r="K27" s="75" t="s">
        <v>2728</v>
      </c>
      <c r="L27" s="74"/>
      <c r="M27" s="74"/>
      <c r="N27" s="74"/>
      <c r="O27" s="74"/>
      <c r="P27" s="74"/>
      <c r="Q27" s="74"/>
      <c r="R27" s="74"/>
      <c r="S27" s="74"/>
      <c r="T27" s="74"/>
      <c r="U27" s="74"/>
      <c r="V27" s="74"/>
      <c r="W27" s="74"/>
      <c r="X27" s="74"/>
      <c r="Y27" s="74"/>
      <c r="Z27" s="74"/>
    </row>
    <row r="28">
      <c r="A28" s="61">
        <v>1.0</v>
      </c>
      <c r="B28" s="64" t="str">
        <f t="shared" ref="B28:B37" si="4">IFERROR(MID(B2, FIND("/video/", B2) + 7, FIND("?", B2) - (FIND("/video/", B2) + 7)), MID(B2, FIND("/video/", B2) + 7, LEN(B2)))
</f>
        <v>7449499818063334699</v>
      </c>
      <c r="C28" s="64" t="str">
        <f t="shared" ref="C28:F28" si="1">IFERROR(MID(C14, FIND("/video/", C14) + 7, FIND("?", C14) - (FIND("/video/", C14) + 7)), MID(C14, FIND("/video/", C14) + 7, LEN(C14)))
</f>
        <v>7461954375372606738</v>
      </c>
      <c r="D28" s="64" t="str">
        <f t="shared" si="1"/>
        <v>7489696341958954245</v>
      </c>
      <c r="E28" s="64" t="str">
        <f t="shared" si="1"/>
        <v>7358112217222368518</v>
      </c>
      <c r="F28" s="64" t="str">
        <f t="shared" si="1"/>
        <v>7542360293356113160</v>
      </c>
      <c r="G28" s="64" t="str">
        <f t="shared" ref="G28:H28" si="2">IFERROR(MID(G2, FIND("/video/", G2) + 7, FIND("?", G2) - (FIND("/video/", G2) + 7)), MID(G2, FIND("/video/", G2) + 7, LEN(G2)))
</f>
        <v>7479268371700223240</v>
      </c>
      <c r="H28" s="64" t="str">
        <f t="shared" si="2"/>
        <v>7535085676858068231</v>
      </c>
      <c r="I28" s="63" t="str">
        <f>IFERROR(MID(I14, FIND("/video/", I14) + 7, FIND("?", I14) - (FIND("/video/", I14) + 7)), MID(I14, FIND("/video/", I14) + 7, LEN(I14)))
</f>
        <v>7539505423544552712</v>
      </c>
      <c r="J28" s="64" t="str">
        <f t="shared" ref="J28:K28" si="3">IFERROR(MID(J2, FIND("/video/", J2) + 7, FIND("?", J2) - (FIND("/video/", J2) + 7)), MID(J2, FIND("/video/", J2) + 7, LEN(J2)))
</f>
        <v>7549305642226421005</v>
      </c>
      <c r="K28" s="64" t="str">
        <f t="shared" si="3"/>
        <v>6889452204181163265</v>
      </c>
    </row>
    <row r="29">
      <c r="A29" s="61">
        <v>2.0</v>
      </c>
      <c r="B29" s="64" t="str">
        <f t="shared" si="4"/>
        <v>7466857100853923103</v>
      </c>
      <c r="C29" s="64" t="str">
        <f t="shared" ref="C29:F29" si="5">IFERROR(MID(C15, FIND("/video/", C15) + 7, FIND("?", C15) - (FIND("/video/", C15) + 7)), MID(C15, FIND("/video/", C15) + 7, LEN(C15)))
</f>
        <v>7465301641684618514</v>
      </c>
      <c r="D29" s="64" t="str">
        <f t="shared" si="5"/>
        <v>7470031622251810103</v>
      </c>
      <c r="E29" s="64" t="str">
        <f t="shared" si="5"/>
        <v>7380188818974018822</v>
      </c>
      <c r="F29" s="64" t="str">
        <f t="shared" si="5"/>
        <v>7316856457163558149</v>
      </c>
      <c r="G29" s="64" t="str">
        <f t="shared" ref="G29:K29" si="6">IFERROR(MID(G3, FIND("/video/", G3) + 7, FIND("?", G3) - (FIND("/video/", G3) + 7)), MID(G3, FIND("/video/", G3) + 7, LEN(G3)))
</f>
        <v>7471042913544195374</v>
      </c>
      <c r="H29" s="64" t="str">
        <f t="shared" si="6"/>
        <v>7534307314237443335</v>
      </c>
      <c r="I29" s="63" t="str">
        <f t="shared" si="6"/>
        <v>7512443472167587079</v>
      </c>
      <c r="J29" s="64" t="str">
        <f t="shared" si="6"/>
        <v>7516619536284552491</v>
      </c>
      <c r="K29" s="64" t="str">
        <f t="shared" si="6"/>
        <v>7286844552701316357</v>
      </c>
    </row>
    <row r="30">
      <c r="A30" s="61">
        <v>3.0</v>
      </c>
      <c r="B30" s="64" t="str">
        <f t="shared" si="4"/>
        <v>7540289472752291095</v>
      </c>
      <c r="C30" s="64" t="str">
        <f t="shared" ref="C30:F30" si="7">IFERROR(MID(C16, FIND("/video/", C16) + 7, FIND("?", C16) - (FIND("/video/", C16) + 7)), MID(C16, FIND("/video/", C16) + 7, LEN(C16)))
</f>
        <v>7467189731646803208</v>
      </c>
      <c r="D30" s="64" t="str">
        <f t="shared" si="7"/>
        <v>7471019949411028279</v>
      </c>
      <c r="E30" s="64" t="str">
        <f t="shared" si="7"/>
        <v>7366179516613430536</v>
      </c>
      <c r="F30" s="64" t="str">
        <f t="shared" si="7"/>
        <v>7419985255454625042</v>
      </c>
      <c r="G30" s="64" t="str">
        <f t="shared" ref="G30:K30" si="8">IFERROR(MID(G4, FIND("/video/", G4) + 7, FIND("?", G4) - (FIND("/video/", G4) + 7)), MID(G4, FIND("/video/", G4) + 7, LEN(G4)))
</f>
        <v>7469751409668361494</v>
      </c>
      <c r="H30" s="64" t="str">
        <f t="shared" si="8"/>
        <v>7541698829935054088</v>
      </c>
      <c r="I30" s="63" t="str">
        <f t="shared" si="8"/>
        <v>7519102183850151176</v>
      </c>
      <c r="J30" s="64" t="str">
        <f t="shared" si="8"/>
        <v>7515116091648085278</v>
      </c>
      <c r="K30" s="64" t="str">
        <f t="shared" si="8"/>
        <v>7308538339928444166</v>
      </c>
    </row>
    <row r="31">
      <c r="A31" s="61">
        <v>4.0</v>
      </c>
      <c r="B31" s="64" t="str">
        <f t="shared" si="4"/>
        <v>7510121835124641031</v>
      </c>
      <c r="C31" s="64" t="str">
        <f t="shared" ref="C31:F31" si="9">IFERROR(MID(C17, FIND("/video/", C17) + 7, FIND("?", C17) - (FIND("/video/", C17) + 7)), MID(C17, FIND("/video/", C17) + 7, LEN(C17)))
</f>
        <v>7529376216667720978</v>
      </c>
      <c r="D31" s="64" t="str">
        <f t="shared" si="9"/>
        <v>7470387738269715719</v>
      </c>
      <c r="E31" s="64" t="str">
        <f t="shared" si="9"/>
        <v>7349988820592381189</v>
      </c>
      <c r="F31" s="64" t="str">
        <f t="shared" si="9"/>
        <v>7542057761706675474</v>
      </c>
      <c r="G31" s="64" t="str">
        <f t="shared" ref="G31:K31" si="10">IFERROR(MID(G5, FIND("/video/", G5) + 7, FIND("?", G5) - (FIND("/video/", G5) + 7)), MID(G5, FIND("/video/", G5) + 7, LEN(G5)))
</f>
        <v>7471320711651691778</v>
      </c>
      <c r="H31" s="64" t="str">
        <f t="shared" si="10"/>
        <v>7541302079588011272</v>
      </c>
      <c r="I31" s="63" t="str">
        <f t="shared" si="10"/>
        <v>7510964090185993492</v>
      </c>
      <c r="J31" s="64" t="str">
        <f t="shared" si="10"/>
        <v>7516116393297775880</v>
      </c>
      <c r="K31" s="64" t="str">
        <f t="shared" si="10"/>
        <v>7516788871850429714</v>
      </c>
    </row>
    <row r="32">
      <c r="A32" s="61">
        <v>5.0</v>
      </c>
      <c r="B32" s="64" t="str">
        <f t="shared" si="4"/>
        <v>7547028611975482646</v>
      </c>
      <c r="C32" s="64" t="str">
        <f t="shared" ref="C32:F32" si="11">IFERROR(MID(C18, FIND("/video/", C18) + 7, FIND("?", C18) - (FIND("/video/", C18) + 7)), MID(C18, FIND("/video/", C18) + 7, LEN(C18)))
</f>
        <v>7464186444425252103</v>
      </c>
      <c r="D32" s="64" t="str">
        <f t="shared" si="11"/>
        <v>7475845247797431582</v>
      </c>
      <c r="E32" s="64" t="str">
        <f t="shared" si="11"/>
        <v>7350249556807814406</v>
      </c>
      <c r="F32" s="64" t="str">
        <f t="shared" si="11"/>
        <v>7542146785150651655</v>
      </c>
      <c r="G32" s="64" t="str">
        <f t="shared" ref="G32:K32" si="12">IFERROR(MID(G6, FIND("/video/", G6) + 7, FIND("?", G6) - (FIND("/video/", G6) + 7)), MID(G6, FIND("/video/", G6) + 7, LEN(G6)))
</f>
        <v>7486546269389868319</v>
      </c>
      <c r="H32" s="64" t="str">
        <f t="shared" si="12"/>
        <v>7528764177473719570</v>
      </c>
      <c r="I32" s="63" t="str">
        <f t="shared" si="12"/>
        <v>7517118935481797906</v>
      </c>
      <c r="J32" s="64" t="str">
        <f t="shared" si="12"/>
        <v>7510441723089276206</v>
      </c>
      <c r="K32" s="64" t="str">
        <f t="shared" si="12"/>
        <v>7182575057812688154</v>
      </c>
    </row>
    <row r="33">
      <c r="A33" s="61">
        <v>6.0</v>
      </c>
      <c r="B33" s="64" t="str">
        <f t="shared" si="4"/>
        <v>7516108400787295495</v>
      </c>
      <c r="C33" s="64" t="str">
        <f t="shared" ref="C33:F33" si="13">IFERROR(MID(C19, FIND("/video/", C19) + 7, FIND("?", C19) - (FIND("/video/", C19) + 7)), MID(C19, FIND("/video/", C19) + 7, LEN(C19)))
</f>
        <v>7464784291969436946</v>
      </c>
      <c r="D33" s="64" t="str">
        <f t="shared" si="13"/>
        <v>7465125336716463406</v>
      </c>
      <c r="E33" s="64" t="str">
        <f t="shared" si="13"/>
        <v>7347420388646849798</v>
      </c>
      <c r="F33" s="64" t="str">
        <f t="shared" si="13"/>
        <v>7247518357296024837</v>
      </c>
      <c r="G33" s="64" t="str">
        <f t="shared" ref="G33:J33" si="14">IFERROR(MID(G7, FIND("/video/", G7) + 7, FIND("?", G7) - (FIND("/video/", G7) + 7)), MID(G7, FIND("/video/", G7) + 7, LEN(G7)))
</f>
        <v>7504224318021225750</v>
      </c>
      <c r="H33" s="64" t="str">
        <f t="shared" si="14"/>
        <v>7534019039190912263</v>
      </c>
      <c r="I33" s="63" t="str">
        <f t="shared" si="14"/>
        <v>7511785253237787912</v>
      </c>
      <c r="J33" s="64" t="str">
        <f t="shared" si="14"/>
        <v>7467234532798909703</v>
      </c>
      <c r="K33" s="64" t="str">
        <f>IFERROR(MID(#REF!, FIND("/video/", #REF!) + 7, FIND("?", #REF!) - (FIND("/video/", #REF!) + 7)), MID(#REF!, FIND("/video/", #REF!) + 7, LEN(#REF!)))
</f>
        <v>#REF!</v>
      </c>
    </row>
    <row r="34">
      <c r="A34" s="61">
        <v>7.0</v>
      </c>
      <c r="B34" s="64" t="str">
        <f t="shared" si="4"/>
        <v>7505012201946631442</v>
      </c>
      <c r="C34" s="64" t="str">
        <f t="shared" ref="C34:F34" si="15">IFERROR(MID(C20, FIND("/video/", C20) + 7, FIND("?", C20) - (FIND("/video/", C20) + 7)), MID(C20, FIND("/video/", C20) + 7, LEN(C20)))
</f>
        <v>7465214181470457089</v>
      </c>
      <c r="D34" s="64" t="str">
        <f t="shared" si="15"/>
        <v>7485453977837112622</v>
      </c>
      <c r="E34" s="64" t="str">
        <f t="shared" si="15"/>
        <v>7399320768691145990</v>
      </c>
      <c r="F34" s="64" t="str">
        <f t="shared" si="15"/>
        <v>7235266313780759815</v>
      </c>
      <c r="G34" s="64" t="str">
        <f t="shared" ref="G34:J34" si="16">IFERROR(MID(G8, FIND("/video/", G8) + 7, FIND("?", G8) - (FIND("/video/", G8) + 7)), MID(G8, FIND("/video/", G8) + 7, LEN(G8)))
</f>
        <v>7475337556016499973</v>
      </c>
      <c r="H34" s="64" t="str">
        <f t="shared" si="16"/>
        <v>7540694502915181842</v>
      </c>
      <c r="I34" s="63" t="str">
        <f t="shared" si="16"/>
        <v>7514645395138563336</v>
      </c>
      <c r="J34" s="64" t="str">
        <f t="shared" si="16"/>
        <v>7496983807300504837</v>
      </c>
      <c r="K34" s="64" t="str">
        <f t="shared" ref="K34:K37" si="19">IFERROR(MID(K7, FIND("/video/", K7) + 7, FIND("?", K7) - (FIND("/video/", K7) + 7)), MID(K7, FIND("/video/", K7) + 7, LEN(K7)))
</f>
        <v>7218879386164956422</v>
      </c>
    </row>
    <row r="35">
      <c r="A35" s="61">
        <v>8.0</v>
      </c>
      <c r="B35" s="64" t="str">
        <f t="shared" si="4"/>
        <v>7523958234248383762</v>
      </c>
      <c r="C35" s="64" t="str">
        <f t="shared" ref="C35:F35" si="17">IFERROR(MID(C21, FIND("/video/", C21) + 7, FIND("?", C21) - (FIND("/video/", C21) + 7)), MID(C21, FIND("/video/", C21) + 7, LEN(C21)))
</f>
        <v>7464886168388111623</v>
      </c>
      <c r="D35" s="64" t="str">
        <f t="shared" si="17"/>
        <v>7530353428178930951</v>
      </c>
      <c r="E35" s="64" t="str">
        <f t="shared" si="17"/>
        <v>7374092429625937159</v>
      </c>
      <c r="F35" s="64" t="str">
        <f t="shared" si="17"/>
        <v>7298646672320597266</v>
      </c>
      <c r="G35" s="64" t="str">
        <f t="shared" ref="G35:J35" si="18">IFERROR(MID(G9, FIND("/video/", G9) + 7, FIND("?", G9) - (FIND("/video/", G9) + 7)), MID(G9, FIND("/video/", G9) + 7, LEN(G9)))
</f>
        <v>7472776896971918635</v>
      </c>
      <c r="H35" s="64" t="str">
        <f t="shared" si="18"/>
        <v>7543254738045848839</v>
      </c>
      <c r="I35" s="63" t="str">
        <f t="shared" si="18"/>
        <v>7513532073911553288</v>
      </c>
      <c r="J35" s="64" t="str">
        <f t="shared" si="18"/>
        <v>7519020169025375495</v>
      </c>
      <c r="K35" s="64" t="str">
        <f t="shared" si="19"/>
        <v>7076516889890966789</v>
      </c>
    </row>
    <row r="36">
      <c r="A36" s="61">
        <v>9.0</v>
      </c>
      <c r="B36" s="64" t="str">
        <f t="shared" si="4"/>
        <v>7547485881486085406</v>
      </c>
      <c r="C36" s="64" t="str">
        <f t="shared" ref="C36:D36" si="20">IFERROR(MID(C22, FIND("/video/", C22) + 7, FIND("?", C22) - (FIND("/video/", C22) + 7)), MID(C22, FIND("/video/", C22) + 7, LEN(C22)))
</f>
        <v>7533492687010286856</v>
      </c>
      <c r="D36" s="64" t="str">
        <f t="shared" si="20"/>
        <v>7489536311938845983</v>
      </c>
      <c r="E36" s="77" t="s">
        <v>2729</v>
      </c>
      <c r="F36" s="64" t="str">
        <f>IFERROR(MID(F22, FIND("/video/", F22) + 7, FIND("?", F22) - (FIND("/video/", F22) + 7)), MID(F22, FIND("/video/", F22) + 7, LEN(F22)))
</f>
        <v>7542122123360357650</v>
      </c>
      <c r="G36" s="64" t="str">
        <f t="shared" ref="G36:H36" si="21">IFERROR(MID(G10, FIND("/video/", G10) + 7, FIND("?", G10) - (FIND("/video/", G10) + 7)), MID(G10, FIND("/video/", G10) + 7, LEN(G10)))
</f>
        <v>7468781641809284398</v>
      </c>
      <c r="H36" s="64" t="str">
        <f t="shared" si="21"/>
        <v>7542880258853375240</v>
      </c>
      <c r="I36" s="63" t="str">
        <f t="shared" ref="I36:I37" si="23">IFERROR(MID(I22, FIND("/video/", I22) + 7, FIND("?", I22) - (FIND("/video/", I22) + 7)), MID(I22, FIND("/video/", I22) + 7, LEN(I22)))
</f>
        <v>7513608400496807173</v>
      </c>
      <c r="J36" s="64" t="str">
        <f t="shared" ref="J36:J37" si="24">IFERROR(MID(J10, FIND("/video/", J10) + 7, FIND("?", J10) - (FIND("/video/", J10) + 7)), MID(J10, FIND("/video/", J10) + 7, LEN(J10)))
</f>
        <v>7477958483552259336</v>
      </c>
      <c r="K36" s="64" t="str">
        <f t="shared" si="19"/>
        <v>7241565246220012806</v>
      </c>
    </row>
    <row r="37">
      <c r="A37" s="61">
        <v>10.0</v>
      </c>
      <c r="B37" s="64" t="str">
        <f t="shared" si="4"/>
        <v>7374153120483478827</v>
      </c>
      <c r="C37" s="64" t="str">
        <f>IFERROR(MID(C23, FIND("/video/", C23) + 7, FIND("?", C23) - (FIND("/video/", C23) + 7)), MID(C23, FIND("/video/", C23) + 7, LEN(C23)))
</f>
        <v>7469296068874882311</v>
      </c>
      <c r="D37" s="77" t="s">
        <v>2729</v>
      </c>
      <c r="E37" s="77" t="s">
        <v>2729</v>
      </c>
      <c r="F37" s="77" t="s">
        <v>2729</v>
      </c>
      <c r="G37" s="64" t="str">
        <f t="shared" ref="G37:H37" si="22">IFERROR(MID(G11, FIND("/video/", G11) + 7, FIND("?", G11) - (FIND("/video/", G11) + 7)), MID(G11, FIND("/video/", G11) + 7, LEN(G11)))
</f>
        <v>7470155628086971681</v>
      </c>
      <c r="H37" s="64" t="str">
        <f t="shared" si="22"/>
        <v>7543851865365089554</v>
      </c>
      <c r="I37" s="63" t="str">
        <f t="shared" si="23"/>
        <v>7508738317454773522</v>
      </c>
      <c r="J37" s="64" t="str">
        <f t="shared" si="24"/>
        <v>7487622680309419286</v>
      </c>
      <c r="K37" s="64" t="str">
        <f t="shared" si="19"/>
        <v>7459059637153713413</v>
      </c>
    </row>
    <row r="38">
      <c r="C38" s="63"/>
      <c r="D38" s="63"/>
      <c r="E38" s="63"/>
      <c r="F38" s="63"/>
      <c r="I38" s="63"/>
    </row>
    <row r="39">
      <c r="A39" s="74"/>
      <c r="B39" s="75" t="s">
        <v>2730</v>
      </c>
      <c r="C39" s="75" t="s">
        <v>2730</v>
      </c>
      <c r="D39" s="75" t="s">
        <v>2730</v>
      </c>
      <c r="E39" s="75" t="s">
        <v>2730</v>
      </c>
      <c r="F39" s="75" t="s">
        <v>2730</v>
      </c>
      <c r="G39" s="75" t="s">
        <v>2730</v>
      </c>
      <c r="H39" s="75" t="s">
        <v>2730</v>
      </c>
      <c r="I39" s="75" t="s">
        <v>2730</v>
      </c>
      <c r="J39" s="75" t="s">
        <v>2730</v>
      </c>
      <c r="K39" s="75" t="s">
        <v>2730</v>
      </c>
      <c r="L39" s="74"/>
      <c r="M39" s="74"/>
      <c r="N39" s="74"/>
      <c r="O39" s="74"/>
      <c r="P39" s="74"/>
      <c r="Q39" s="74"/>
      <c r="R39" s="74"/>
      <c r="S39" s="74"/>
      <c r="T39" s="74"/>
      <c r="U39" s="74"/>
      <c r="V39" s="74"/>
      <c r="W39" s="74"/>
      <c r="X39" s="74"/>
      <c r="Y39" s="74"/>
      <c r="Z39" s="74"/>
    </row>
    <row r="40">
      <c r="A40" s="61">
        <v>1.0</v>
      </c>
      <c r="B40" s="78" t="str">
        <f t="shared" ref="B40:K40" si="25">"""" &amp; B28 &amp; ""","</f>
        <v>"7449499818063334699",</v>
      </c>
      <c r="C40" s="78" t="str">
        <f t="shared" si="25"/>
        <v>"7461954375372606738",</v>
      </c>
      <c r="D40" s="78" t="str">
        <f t="shared" si="25"/>
        <v>"7489696341958954245",</v>
      </c>
      <c r="E40" s="78" t="str">
        <f t="shared" si="25"/>
        <v>"7358112217222368518",</v>
      </c>
      <c r="F40" s="78" t="str">
        <f t="shared" si="25"/>
        <v>"7542360293356113160",</v>
      </c>
      <c r="G40" s="78" t="str">
        <f t="shared" si="25"/>
        <v>"7479268371700223240",</v>
      </c>
      <c r="H40" s="78" t="str">
        <f t="shared" si="25"/>
        <v>"7535085676858068231",</v>
      </c>
      <c r="I40" s="78" t="str">
        <f t="shared" si="25"/>
        <v>"7539505423544552712",</v>
      </c>
      <c r="J40" s="78" t="str">
        <f t="shared" si="25"/>
        <v>"7549305642226421005",</v>
      </c>
      <c r="K40" s="78" t="str">
        <f t="shared" si="25"/>
        <v>"6889452204181163265",</v>
      </c>
    </row>
    <row r="41">
      <c r="A41" s="61">
        <v>2.0</v>
      </c>
      <c r="B41" s="78" t="str">
        <f t="shared" ref="B41:K41" si="26">"""" &amp; B29 &amp; ""","</f>
        <v>"7466857100853923103",</v>
      </c>
      <c r="C41" s="78" t="str">
        <f t="shared" si="26"/>
        <v>"7465301641684618514",</v>
      </c>
      <c r="D41" s="78" t="str">
        <f t="shared" si="26"/>
        <v>"7470031622251810103",</v>
      </c>
      <c r="E41" s="78" t="str">
        <f t="shared" si="26"/>
        <v>"7380188818974018822",</v>
      </c>
      <c r="F41" s="78" t="str">
        <f t="shared" si="26"/>
        <v>"7316856457163558149",</v>
      </c>
      <c r="G41" s="78" t="str">
        <f t="shared" si="26"/>
        <v>"7471042913544195374",</v>
      </c>
      <c r="H41" s="78" t="str">
        <f t="shared" si="26"/>
        <v>"7534307314237443335",</v>
      </c>
      <c r="I41" s="78" t="str">
        <f t="shared" si="26"/>
        <v>"7512443472167587079",</v>
      </c>
      <c r="J41" s="78" t="str">
        <f t="shared" si="26"/>
        <v>"7516619536284552491",</v>
      </c>
      <c r="K41" s="78" t="str">
        <f t="shared" si="26"/>
        <v>"7286844552701316357",</v>
      </c>
    </row>
    <row r="42">
      <c r="A42" s="61">
        <v>3.0</v>
      </c>
      <c r="B42" s="78" t="str">
        <f t="shared" ref="B42:K42" si="27">"""" &amp; B30 &amp; ""","</f>
        <v>"7540289472752291095",</v>
      </c>
      <c r="C42" s="78" t="str">
        <f t="shared" si="27"/>
        <v>"7467189731646803208",</v>
      </c>
      <c r="D42" s="78" t="str">
        <f t="shared" si="27"/>
        <v>"7471019949411028279",</v>
      </c>
      <c r="E42" s="78" t="str">
        <f t="shared" si="27"/>
        <v>"7366179516613430536",</v>
      </c>
      <c r="F42" s="78" t="str">
        <f t="shared" si="27"/>
        <v>"7419985255454625042",</v>
      </c>
      <c r="G42" s="78" t="str">
        <f t="shared" si="27"/>
        <v>"7469751409668361494",</v>
      </c>
      <c r="H42" s="78" t="str">
        <f t="shared" si="27"/>
        <v>"7541698829935054088",</v>
      </c>
      <c r="I42" s="78" t="str">
        <f t="shared" si="27"/>
        <v>"7519102183850151176",</v>
      </c>
      <c r="J42" s="78" t="str">
        <f t="shared" si="27"/>
        <v>"7515116091648085278",</v>
      </c>
      <c r="K42" s="78" t="str">
        <f t="shared" si="27"/>
        <v>"7308538339928444166",</v>
      </c>
    </row>
    <row r="43">
      <c r="A43" s="61">
        <v>4.0</v>
      </c>
      <c r="B43" s="78" t="str">
        <f t="shared" ref="B43:K43" si="28">"""" &amp; B31 &amp; ""","</f>
        <v>"7510121835124641031",</v>
      </c>
      <c r="C43" s="78" t="str">
        <f t="shared" si="28"/>
        <v>"7529376216667720978",</v>
      </c>
      <c r="D43" s="78" t="str">
        <f t="shared" si="28"/>
        <v>"7470387738269715719",</v>
      </c>
      <c r="E43" s="78" t="str">
        <f t="shared" si="28"/>
        <v>"7349988820592381189",</v>
      </c>
      <c r="F43" s="78" t="str">
        <f t="shared" si="28"/>
        <v>"7542057761706675474",</v>
      </c>
      <c r="G43" s="78" t="str">
        <f t="shared" si="28"/>
        <v>"7471320711651691778",</v>
      </c>
      <c r="H43" s="78" t="str">
        <f t="shared" si="28"/>
        <v>"7541302079588011272",</v>
      </c>
      <c r="I43" s="78" t="str">
        <f t="shared" si="28"/>
        <v>"7510964090185993492",</v>
      </c>
      <c r="J43" s="78" t="str">
        <f t="shared" si="28"/>
        <v>"7516116393297775880",</v>
      </c>
      <c r="K43" s="78" t="str">
        <f t="shared" si="28"/>
        <v>"7516788871850429714",</v>
      </c>
    </row>
    <row r="44">
      <c r="A44" s="61">
        <v>5.0</v>
      </c>
      <c r="B44" s="78" t="str">
        <f t="shared" ref="B44:K44" si="29">"""" &amp; B32 &amp; ""","</f>
        <v>"7547028611975482646",</v>
      </c>
      <c r="C44" s="78" t="str">
        <f t="shared" si="29"/>
        <v>"7464186444425252103",</v>
      </c>
      <c r="D44" s="78" t="str">
        <f t="shared" si="29"/>
        <v>"7475845247797431582",</v>
      </c>
      <c r="E44" s="78" t="str">
        <f t="shared" si="29"/>
        <v>"7350249556807814406",</v>
      </c>
      <c r="F44" s="78" t="str">
        <f t="shared" si="29"/>
        <v>"7542146785150651655",</v>
      </c>
      <c r="G44" s="78" t="str">
        <f t="shared" si="29"/>
        <v>"7486546269389868319",</v>
      </c>
      <c r="H44" s="78" t="str">
        <f t="shared" si="29"/>
        <v>"7528764177473719570",</v>
      </c>
      <c r="I44" s="78" t="str">
        <f t="shared" si="29"/>
        <v>"7517118935481797906",</v>
      </c>
      <c r="J44" s="78" t="str">
        <f t="shared" si="29"/>
        <v>"7510441723089276206",</v>
      </c>
      <c r="K44" s="78" t="str">
        <f t="shared" si="29"/>
        <v>"7182575057812688154",</v>
      </c>
    </row>
    <row r="45">
      <c r="A45" s="61">
        <v>6.0</v>
      </c>
      <c r="B45" s="78" t="str">
        <f t="shared" ref="B45:K45" si="30">"""" &amp; B33 &amp; ""","</f>
        <v>"7516108400787295495",</v>
      </c>
      <c r="C45" s="78" t="str">
        <f t="shared" si="30"/>
        <v>"7464784291969436946",</v>
      </c>
      <c r="D45" s="78" t="str">
        <f t="shared" si="30"/>
        <v>"7465125336716463406",</v>
      </c>
      <c r="E45" s="78" t="str">
        <f t="shared" si="30"/>
        <v>"7347420388646849798",</v>
      </c>
      <c r="F45" s="78" t="str">
        <f t="shared" si="30"/>
        <v>"7247518357296024837",</v>
      </c>
      <c r="G45" s="78" t="str">
        <f t="shared" si="30"/>
        <v>"7504224318021225750",</v>
      </c>
      <c r="H45" s="78" t="str">
        <f t="shared" si="30"/>
        <v>"7534019039190912263",</v>
      </c>
      <c r="I45" s="78" t="str">
        <f t="shared" si="30"/>
        <v>"7511785253237787912",</v>
      </c>
      <c r="J45" s="78" t="str">
        <f t="shared" si="30"/>
        <v>"7467234532798909703",</v>
      </c>
      <c r="K45" s="78" t="str">
        <f t="shared" si="30"/>
        <v>#REF!</v>
      </c>
    </row>
    <row r="46">
      <c r="A46" s="61">
        <v>7.0</v>
      </c>
      <c r="B46" s="78" t="str">
        <f t="shared" ref="B46:K46" si="31">"""" &amp; B34 &amp; ""","</f>
        <v>"7505012201946631442",</v>
      </c>
      <c r="C46" s="78" t="str">
        <f t="shared" si="31"/>
        <v>"7465214181470457089",</v>
      </c>
      <c r="D46" s="78" t="str">
        <f t="shared" si="31"/>
        <v>"7485453977837112622",</v>
      </c>
      <c r="E46" s="78" t="str">
        <f t="shared" si="31"/>
        <v>"7399320768691145990",</v>
      </c>
      <c r="F46" s="78" t="str">
        <f t="shared" si="31"/>
        <v>"7235266313780759815",</v>
      </c>
      <c r="G46" s="78" t="str">
        <f t="shared" si="31"/>
        <v>"7475337556016499973",</v>
      </c>
      <c r="H46" s="78" t="str">
        <f t="shared" si="31"/>
        <v>"7540694502915181842",</v>
      </c>
      <c r="I46" s="78" t="str">
        <f t="shared" si="31"/>
        <v>"7514645395138563336",</v>
      </c>
      <c r="J46" s="78" t="str">
        <f t="shared" si="31"/>
        <v>"7496983807300504837",</v>
      </c>
      <c r="K46" s="78" t="str">
        <f t="shared" si="31"/>
        <v>"7218879386164956422",</v>
      </c>
    </row>
    <row r="47">
      <c r="A47" s="61">
        <v>8.0</v>
      </c>
      <c r="B47" s="78" t="str">
        <f t="shared" ref="B47:K47" si="32">"""" &amp; B35 &amp; ""","</f>
        <v>"7523958234248383762",</v>
      </c>
      <c r="C47" s="78" t="str">
        <f t="shared" si="32"/>
        <v>"7464886168388111623",</v>
      </c>
      <c r="D47" s="78" t="str">
        <f t="shared" si="32"/>
        <v>"7530353428178930951",</v>
      </c>
      <c r="E47" s="78" t="str">
        <f t="shared" si="32"/>
        <v>"7374092429625937159",</v>
      </c>
      <c r="F47" s="78" t="str">
        <f t="shared" si="32"/>
        <v>"7298646672320597266",</v>
      </c>
      <c r="G47" s="78" t="str">
        <f t="shared" si="32"/>
        <v>"7472776896971918635",</v>
      </c>
      <c r="H47" s="78" t="str">
        <f t="shared" si="32"/>
        <v>"7543254738045848839",</v>
      </c>
      <c r="I47" s="78" t="str">
        <f t="shared" si="32"/>
        <v>"7513532073911553288",</v>
      </c>
      <c r="J47" s="78" t="str">
        <f t="shared" si="32"/>
        <v>"7519020169025375495",</v>
      </c>
      <c r="K47" s="78" t="str">
        <f t="shared" si="32"/>
        <v>"7076516889890966789",</v>
      </c>
    </row>
    <row r="48">
      <c r="A48" s="61">
        <v>9.0</v>
      </c>
      <c r="B48" s="78" t="str">
        <f t="shared" ref="B48:D48" si="33">"""" &amp; B36 &amp; ""","</f>
        <v>"7547485881486085406",</v>
      </c>
      <c r="C48" s="79" t="str">
        <f t="shared" si="33"/>
        <v>"7533492687010286856",</v>
      </c>
      <c r="D48" s="78" t="str">
        <f t="shared" si="33"/>
        <v>"7489536311938845983",</v>
      </c>
      <c r="E48" s="77" t="s">
        <v>2729</v>
      </c>
      <c r="F48" s="78" t="str">
        <f t="shared" ref="F48:K48" si="34">"""" &amp; F36 &amp; ""","</f>
        <v>"7542122123360357650",</v>
      </c>
      <c r="G48" s="78" t="str">
        <f t="shared" si="34"/>
        <v>"7468781641809284398",</v>
      </c>
      <c r="H48" s="78" t="str">
        <f t="shared" si="34"/>
        <v>"7542880258853375240",</v>
      </c>
      <c r="I48" s="78" t="str">
        <f t="shared" si="34"/>
        <v>"7513608400496807173",</v>
      </c>
      <c r="J48" s="78" t="str">
        <f t="shared" si="34"/>
        <v>"7477958483552259336",</v>
      </c>
      <c r="K48" s="78" t="str">
        <f t="shared" si="34"/>
        <v>"7241565246220012806",</v>
      </c>
    </row>
    <row r="49">
      <c r="A49" s="61">
        <v>10.0</v>
      </c>
      <c r="B49" s="78" t="str">
        <f t="shared" ref="B49:C49" si="35">"""" &amp; B37 &amp; ""","</f>
        <v>"7374153120483478827",</v>
      </c>
      <c r="C49" s="78" t="str">
        <f t="shared" si="35"/>
        <v>"7469296068874882311",</v>
      </c>
      <c r="D49" s="77" t="s">
        <v>2729</v>
      </c>
      <c r="E49" s="77" t="s">
        <v>2729</v>
      </c>
      <c r="F49" s="77" t="s">
        <v>2729</v>
      </c>
      <c r="G49" s="78" t="str">
        <f t="shared" ref="G49:K49" si="36">"""" &amp; G37 &amp; ""","</f>
        <v>"7470155628086971681",</v>
      </c>
      <c r="H49" s="78" t="str">
        <f t="shared" si="36"/>
        <v>"7543851865365089554",</v>
      </c>
      <c r="I49" s="78" t="str">
        <f t="shared" si="36"/>
        <v>"7508738317454773522",</v>
      </c>
      <c r="J49" s="78" t="str">
        <f t="shared" si="36"/>
        <v>"7487622680309419286",</v>
      </c>
      <c r="K49" s="78" t="str">
        <f t="shared" si="36"/>
        <v>"7459059637153713413",</v>
      </c>
    </row>
    <row r="50">
      <c r="C50" s="63"/>
      <c r="D50" s="63"/>
      <c r="E50" s="63"/>
      <c r="F50" s="63"/>
      <c r="I50" s="63"/>
    </row>
    <row r="51">
      <c r="C51" s="63"/>
      <c r="D51" s="63"/>
      <c r="E51" s="63"/>
      <c r="F51" s="63"/>
      <c r="I51" s="63"/>
    </row>
    <row r="52">
      <c r="C52" s="63"/>
      <c r="D52" s="63"/>
      <c r="E52" s="63"/>
      <c r="F52" s="63"/>
      <c r="I52" s="63"/>
    </row>
    <row r="53">
      <c r="C53" s="63"/>
      <c r="D53" s="63"/>
      <c r="E53" s="63"/>
      <c r="F53" s="63"/>
      <c r="I53" s="63"/>
    </row>
    <row r="54">
      <c r="C54" s="63"/>
      <c r="D54" s="63"/>
      <c r="E54" s="63"/>
      <c r="F54" s="63"/>
      <c r="I54" s="63"/>
    </row>
    <row r="55">
      <c r="C55" s="63"/>
      <c r="D55" s="63"/>
      <c r="E55" s="63"/>
      <c r="F55" s="63"/>
      <c r="I55" s="63"/>
    </row>
    <row r="56">
      <c r="C56" s="63"/>
      <c r="D56" s="63"/>
      <c r="E56" s="63"/>
      <c r="F56" s="63"/>
      <c r="I56" s="63"/>
    </row>
    <row r="57">
      <c r="C57" s="63"/>
      <c r="D57" s="63"/>
      <c r="E57" s="63"/>
      <c r="F57" s="63"/>
      <c r="I57" s="63"/>
    </row>
    <row r="58">
      <c r="C58" s="63"/>
      <c r="D58" s="63"/>
      <c r="E58" s="63"/>
      <c r="F58" s="63"/>
      <c r="I58" s="63"/>
    </row>
    <row r="59">
      <c r="C59" s="63"/>
      <c r="D59" s="63"/>
      <c r="E59" s="63"/>
      <c r="F59" s="63"/>
      <c r="I59" s="63"/>
    </row>
    <row r="60">
      <c r="C60" s="63"/>
      <c r="D60" s="63"/>
      <c r="E60" s="63"/>
      <c r="F60" s="63"/>
      <c r="I60" s="63"/>
    </row>
    <row r="61">
      <c r="C61" s="63"/>
      <c r="D61" s="63"/>
      <c r="E61" s="63"/>
      <c r="F61" s="63"/>
      <c r="I61" s="63"/>
    </row>
    <row r="62">
      <c r="C62" s="63"/>
      <c r="D62" s="63"/>
      <c r="E62" s="63"/>
      <c r="F62" s="63"/>
      <c r="I62" s="63"/>
    </row>
    <row r="63">
      <c r="C63" s="63"/>
      <c r="D63" s="63"/>
      <c r="E63" s="63"/>
      <c r="F63" s="63"/>
      <c r="I63" s="63"/>
    </row>
    <row r="64">
      <c r="C64" s="63"/>
      <c r="D64" s="63"/>
      <c r="E64" s="63"/>
      <c r="F64" s="63"/>
      <c r="I64" s="63"/>
    </row>
    <row r="65">
      <c r="C65" s="63"/>
      <c r="D65" s="63"/>
      <c r="E65" s="63"/>
      <c r="F65" s="63"/>
      <c r="I65" s="63"/>
    </row>
    <row r="66">
      <c r="C66" s="63"/>
      <c r="D66" s="63"/>
      <c r="E66" s="63"/>
      <c r="F66" s="63"/>
      <c r="I66" s="63"/>
    </row>
    <row r="67">
      <c r="C67" s="63"/>
      <c r="D67" s="63"/>
      <c r="E67" s="63"/>
      <c r="F67" s="63"/>
      <c r="I67" s="63"/>
    </row>
    <row r="68">
      <c r="C68" s="63"/>
      <c r="D68" s="63"/>
      <c r="E68" s="63"/>
      <c r="F68" s="63"/>
      <c r="I68" s="63"/>
    </row>
    <row r="69">
      <c r="C69" s="63"/>
      <c r="D69" s="63"/>
      <c r="E69" s="63"/>
      <c r="F69" s="63"/>
      <c r="I69" s="63"/>
    </row>
    <row r="70">
      <c r="C70" s="63"/>
      <c r="D70" s="63"/>
      <c r="E70" s="63"/>
      <c r="F70" s="63"/>
      <c r="I70" s="63"/>
    </row>
    <row r="71">
      <c r="C71" s="63"/>
      <c r="D71" s="63"/>
      <c r="E71" s="63"/>
      <c r="F71" s="63"/>
      <c r="I71" s="63"/>
    </row>
    <row r="72">
      <c r="C72" s="63"/>
      <c r="D72" s="63"/>
      <c r="E72" s="63"/>
      <c r="F72" s="63"/>
      <c r="I72" s="63"/>
    </row>
    <row r="73">
      <c r="C73" s="63"/>
      <c r="D73" s="63"/>
      <c r="E73" s="63"/>
      <c r="F73" s="63"/>
      <c r="I73" s="63"/>
    </row>
    <row r="74">
      <c r="C74" s="63"/>
      <c r="D74" s="63"/>
      <c r="E74" s="63"/>
      <c r="F74" s="63"/>
      <c r="I74" s="63"/>
    </row>
    <row r="75">
      <c r="C75" s="63"/>
      <c r="D75" s="63"/>
      <c r="E75" s="63"/>
      <c r="F75" s="63"/>
      <c r="I75" s="63"/>
    </row>
    <row r="76">
      <c r="C76" s="63"/>
      <c r="D76" s="63"/>
      <c r="E76" s="63"/>
      <c r="F76" s="63"/>
      <c r="I76" s="63"/>
    </row>
    <row r="77">
      <c r="C77" s="63"/>
      <c r="D77" s="63"/>
      <c r="E77" s="63"/>
      <c r="F77" s="63"/>
      <c r="I77" s="63"/>
    </row>
    <row r="78">
      <c r="C78" s="63"/>
      <c r="D78" s="63"/>
      <c r="E78" s="63"/>
      <c r="F78" s="63"/>
      <c r="I78" s="63"/>
    </row>
    <row r="79">
      <c r="C79" s="63"/>
      <c r="D79" s="63"/>
      <c r="E79" s="63"/>
      <c r="F79" s="63"/>
      <c r="I79" s="63"/>
    </row>
    <row r="80">
      <c r="C80" s="63"/>
      <c r="D80" s="63"/>
      <c r="E80" s="63"/>
      <c r="F80" s="63"/>
      <c r="I80" s="63"/>
    </row>
    <row r="81">
      <c r="C81" s="63"/>
      <c r="D81" s="63"/>
      <c r="E81" s="63"/>
      <c r="F81" s="63"/>
      <c r="I81" s="63"/>
    </row>
    <row r="82">
      <c r="C82" s="63"/>
      <c r="D82" s="63"/>
      <c r="E82" s="63"/>
      <c r="F82" s="63"/>
      <c r="I82" s="63"/>
    </row>
    <row r="83">
      <c r="C83" s="63"/>
      <c r="D83" s="63"/>
      <c r="E83" s="63"/>
      <c r="F83" s="63"/>
      <c r="I83" s="63"/>
    </row>
    <row r="84">
      <c r="C84" s="63"/>
      <c r="D84" s="63"/>
      <c r="E84" s="63"/>
      <c r="F84" s="63"/>
      <c r="I84" s="63"/>
    </row>
    <row r="85">
      <c r="C85" s="63"/>
      <c r="D85" s="63"/>
      <c r="E85" s="63"/>
      <c r="F85" s="63"/>
      <c r="I85" s="63"/>
    </row>
    <row r="86">
      <c r="C86" s="63"/>
      <c r="D86" s="63"/>
      <c r="E86" s="63"/>
      <c r="F86" s="63"/>
      <c r="I86" s="63"/>
    </row>
    <row r="87">
      <c r="C87" s="63"/>
      <c r="D87" s="63"/>
      <c r="E87" s="63"/>
      <c r="F87" s="63"/>
      <c r="I87" s="63"/>
    </row>
    <row r="88">
      <c r="C88" s="63"/>
      <c r="D88" s="63"/>
      <c r="E88" s="63"/>
      <c r="F88" s="63"/>
      <c r="I88" s="63"/>
    </row>
    <row r="89">
      <c r="C89" s="63"/>
      <c r="D89" s="63"/>
      <c r="E89" s="63"/>
      <c r="F89" s="63"/>
      <c r="I89" s="63"/>
    </row>
    <row r="90">
      <c r="C90" s="63"/>
      <c r="D90" s="63"/>
      <c r="E90" s="63"/>
      <c r="F90" s="63"/>
      <c r="I90" s="63"/>
    </row>
    <row r="91">
      <c r="C91" s="63"/>
      <c r="D91" s="63"/>
      <c r="E91" s="63"/>
      <c r="F91" s="63"/>
      <c r="I91" s="63"/>
    </row>
    <row r="92">
      <c r="C92" s="63"/>
      <c r="D92" s="63"/>
      <c r="E92" s="63"/>
      <c r="F92" s="63"/>
      <c r="I92" s="63"/>
    </row>
    <row r="93">
      <c r="C93" s="63"/>
      <c r="D93" s="63"/>
      <c r="E93" s="63"/>
      <c r="F93" s="63"/>
      <c r="I93" s="63"/>
    </row>
    <row r="94">
      <c r="C94" s="63"/>
      <c r="D94" s="63"/>
      <c r="E94" s="63"/>
      <c r="F94" s="63"/>
      <c r="I94" s="63"/>
    </row>
    <row r="95">
      <c r="C95" s="63"/>
      <c r="D95" s="63"/>
      <c r="E95" s="63"/>
      <c r="F95" s="63"/>
      <c r="I95" s="63"/>
    </row>
    <row r="96">
      <c r="C96" s="63"/>
      <c r="D96" s="63"/>
      <c r="E96" s="63"/>
      <c r="F96" s="63"/>
      <c r="I96" s="63"/>
    </row>
    <row r="97">
      <c r="C97" s="63"/>
      <c r="D97" s="63"/>
      <c r="E97" s="63"/>
      <c r="F97" s="63"/>
      <c r="I97" s="63"/>
    </row>
    <row r="98">
      <c r="C98" s="63"/>
      <c r="D98" s="63"/>
      <c r="E98" s="63"/>
      <c r="F98" s="63"/>
      <c r="I98" s="63"/>
    </row>
    <row r="99">
      <c r="C99" s="63"/>
      <c r="D99" s="63"/>
      <c r="E99" s="63"/>
      <c r="F99" s="63"/>
      <c r="I99" s="63"/>
    </row>
    <row r="100">
      <c r="C100" s="63"/>
      <c r="D100" s="63"/>
      <c r="E100" s="63"/>
      <c r="F100" s="63"/>
      <c r="I100" s="63"/>
    </row>
    <row r="101">
      <c r="C101" s="63"/>
      <c r="D101" s="63"/>
      <c r="E101" s="63"/>
      <c r="F101" s="63"/>
      <c r="I101" s="63"/>
    </row>
    <row r="102">
      <c r="C102" s="63"/>
      <c r="D102" s="63"/>
      <c r="E102" s="63"/>
      <c r="F102" s="63"/>
      <c r="I102" s="63"/>
    </row>
    <row r="103">
      <c r="C103" s="63"/>
      <c r="D103" s="63"/>
      <c r="E103" s="63"/>
      <c r="F103" s="63"/>
      <c r="I103" s="63"/>
    </row>
    <row r="104">
      <c r="C104" s="63"/>
      <c r="D104" s="63"/>
      <c r="E104" s="63"/>
      <c r="F104" s="63"/>
      <c r="I104" s="63"/>
    </row>
    <row r="105">
      <c r="C105" s="63"/>
      <c r="D105" s="63"/>
      <c r="E105" s="63"/>
      <c r="F105" s="63"/>
      <c r="I105" s="63"/>
    </row>
    <row r="106">
      <c r="C106" s="63"/>
      <c r="D106" s="63"/>
      <c r="E106" s="63"/>
      <c r="F106" s="63"/>
      <c r="I106" s="63"/>
    </row>
    <row r="107">
      <c r="C107" s="63"/>
      <c r="D107" s="63"/>
      <c r="E107" s="63"/>
      <c r="F107" s="63"/>
      <c r="I107" s="63"/>
    </row>
    <row r="108">
      <c r="C108" s="63"/>
      <c r="D108" s="63"/>
      <c r="E108" s="63"/>
      <c r="F108" s="63"/>
      <c r="I108" s="63"/>
    </row>
    <row r="109">
      <c r="C109" s="63"/>
      <c r="D109" s="63"/>
      <c r="E109" s="63"/>
      <c r="F109" s="63"/>
      <c r="I109" s="63"/>
    </row>
    <row r="110">
      <c r="C110" s="63"/>
      <c r="D110" s="63"/>
      <c r="E110" s="63"/>
      <c r="F110" s="63"/>
      <c r="I110" s="63"/>
    </row>
    <row r="111">
      <c r="C111" s="63"/>
      <c r="D111" s="63"/>
      <c r="E111" s="63"/>
      <c r="F111" s="63"/>
      <c r="I111" s="63"/>
    </row>
    <row r="112">
      <c r="C112" s="63"/>
      <c r="D112" s="63"/>
      <c r="E112" s="63"/>
      <c r="F112" s="63"/>
      <c r="I112" s="63"/>
    </row>
    <row r="113">
      <c r="C113" s="63"/>
      <c r="D113" s="63"/>
      <c r="E113" s="63"/>
      <c r="F113" s="63"/>
      <c r="I113" s="63"/>
    </row>
    <row r="114">
      <c r="C114" s="63"/>
      <c r="D114" s="63"/>
      <c r="E114" s="63"/>
      <c r="F114" s="63"/>
      <c r="I114" s="63"/>
    </row>
    <row r="115">
      <c r="C115" s="63"/>
      <c r="D115" s="63"/>
      <c r="E115" s="63"/>
      <c r="F115" s="63"/>
      <c r="I115" s="63"/>
    </row>
    <row r="116">
      <c r="C116" s="63"/>
      <c r="D116" s="63"/>
      <c r="E116" s="63"/>
      <c r="F116" s="63"/>
      <c r="I116" s="63"/>
    </row>
    <row r="117">
      <c r="C117" s="63"/>
      <c r="D117" s="63"/>
      <c r="E117" s="63"/>
      <c r="F117" s="63"/>
      <c r="I117" s="63"/>
    </row>
    <row r="118">
      <c r="C118" s="63"/>
      <c r="D118" s="63"/>
      <c r="E118" s="63"/>
      <c r="F118" s="63"/>
      <c r="I118" s="63"/>
    </row>
    <row r="119">
      <c r="C119" s="63"/>
      <c r="D119" s="63"/>
      <c r="E119" s="63"/>
      <c r="F119" s="63"/>
      <c r="I119" s="63"/>
    </row>
    <row r="120">
      <c r="C120" s="63"/>
      <c r="D120" s="63"/>
      <c r="E120" s="63"/>
      <c r="F120" s="63"/>
      <c r="I120" s="63"/>
    </row>
    <row r="121">
      <c r="C121" s="63"/>
      <c r="D121" s="63"/>
      <c r="E121" s="63"/>
      <c r="F121" s="63"/>
      <c r="I121" s="63"/>
    </row>
    <row r="122">
      <c r="C122" s="63"/>
      <c r="D122" s="63"/>
      <c r="E122" s="63"/>
      <c r="F122" s="63"/>
      <c r="I122" s="63"/>
    </row>
    <row r="123">
      <c r="C123" s="63"/>
      <c r="D123" s="63"/>
      <c r="E123" s="63"/>
      <c r="F123" s="63"/>
      <c r="I123" s="63"/>
    </row>
    <row r="124">
      <c r="C124" s="63"/>
      <c r="D124" s="63"/>
      <c r="E124" s="63"/>
      <c r="F124" s="63"/>
      <c r="I124" s="63"/>
    </row>
    <row r="125">
      <c r="C125" s="63"/>
      <c r="D125" s="63"/>
      <c r="E125" s="63"/>
      <c r="F125" s="63"/>
      <c r="I125" s="63"/>
    </row>
    <row r="126">
      <c r="C126" s="63"/>
      <c r="D126" s="63"/>
      <c r="E126" s="63"/>
      <c r="F126" s="63"/>
      <c r="I126" s="63"/>
    </row>
    <row r="127">
      <c r="C127" s="63"/>
      <c r="D127" s="63"/>
      <c r="E127" s="63"/>
      <c r="F127" s="63"/>
      <c r="I127" s="63"/>
    </row>
    <row r="128">
      <c r="C128" s="63"/>
      <c r="D128" s="63"/>
      <c r="E128" s="63"/>
      <c r="F128" s="63"/>
      <c r="I128" s="63"/>
    </row>
    <row r="129">
      <c r="C129" s="63"/>
      <c r="D129" s="63"/>
      <c r="E129" s="63"/>
      <c r="F129" s="63"/>
      <c r="I129" s="63"/>
    </row>
    <row r="130">
      <c r="C130" s="63"/>
      <c r="D130" s="63"/>
      <c r="E130" s="63"/>
      <c r="F130" s="63"/>
      <c r="I130" s="63"/>
    </row>
    <row r="131">
      <c r="C131" s="63"/>
      <c r="D131" s="63"/>
      <c r="E131" s="63"/>
      <c r="F131" s="63"/>
      <c r="I131" s="63"/>
    </row>
    <row r="132">
      <c r="C132" s="63"/>
      <c r="D132" s="63"/>
      <c r="E132" s="63"/>
      <c r="F132" s="63"/>
      <c r="I132" s="63"/>
    </row>
    <row r="133">
      <c r="C133" s="63"/>
      <c r="D133" s="63"/>
      <c r="E133" s="63"/>
      <c r="F133" s="63"/>
      <c r="I133" s="63"/>
    </row>
    <row r="134">
      <c r="C134" s="63"/>
      <c r="D134" s="63"/>
      <c r="E134" s="63"/>
      <c r="F134" s="63"/>
      <c r="I134" s="63"/>
    </row>
    <row r="135">
      <c r="C135" s="63"/>
      <c r="D135" s="63"/>
      <c r="E135" s="63"/>
      <c r="F135" s="63"/>
      <c r="I135" s="63"/>
    </row>
    <row r="136">
      <c r="C136" s="63"/>
      <c r="D136" s="63"/>
      <c r="E136" s="63"/>
      <c r="F136" s="63"/>
      <c r="I136" s="63"/>
    </row>
    <row r="137">
      <c r="C137" s="63"/>
      <c r="D137" s="63"/>
      <c r="E137" s="63"/>
      <c r="F137" s="63"/>
      <c r="I137" s="63"/>
    </row>
    <row r="138">
      <c r="C138" s="63"/>
      <c r="D138" s="63"/>
      <c r="E138" s="63"/>
      <c r="F138" s="63"/>
      <c r="I138" s="63"/>
    </row>
    <row r="139">
      <c r="C139" s="63"/>
      <c r="D139" s="63"/>
      <c r="E139" s="63"/>
      <c r="F139" s="63"/>
      <c r="I139" s="63"/>
    </row>
    <row r="140">
      <c r="C140" s="63"/>
      <c r="D140" s="63"/>
      <c r="E140" s="63"/>
      <c r="F140" s="63"/>
      <c r="I140" s="63"/>
    </row>
    <row r="141">
      <c r="C141" s="63"/>
      <c r="D141" s="63"/>
      <c r="E141" s="63"/>
      <c r="F141" s="63"/>
      <c r="I141" s="63"/>
    </row>
    <row r="142">
      <c r="C142" s="63"/>
      <c r="D142" s="63"/>
      <c r="E142" s="63"/>
      <c r="F142" s="63"/>
      <c r="I142" s="63"/>
    </row>
    <row r="143">
      <c r="C143" s="63"/>
      <c r="D143" s="63"/>
      <c r="E143" s="63"/>
      <c r="F143" s="63"/>
      <c r="I143" s="63"/>
    </row>
    <row r="144">
      <c r="C144" s="63"/>
      <c r="D144" s="63"/>
      <c r="E144" s="63"/>
      <c r="F144" s="63"/>
      <c r="I144" s="63"/>
    </row>
    <row r="145">
      <c r="C145" s="63"/>
      <c r="D145" s="63"/>
      <c r="E145" s="63"/>
      <c r="F145" s="63"/>
      <c r="I145" s="63"/>
    </row>
    <row r="146">
      <c r="C146" s="63"/>
      <c r="D146" s="63"/>
      <c r="E146" s="63"/>
      <c r="F146" s="63"/>
      <c r="I146" s="63"/>
    </row>
    <row r="147">
      <c r="C147" s="63"/>
      <c r="D147" s="63"/>
      <c r="E147" s="63"/>
      <c r="F147" s="63"/>
      <c r="I147" s="63"/>
    </row>
    <row r="148">
      <c r="C148" s="63"/>
      <c r="D148" s="63"/>
      <c r="E148" s="63"/>
      <c r="F148" s="63"/>
      <c r="I148" s="63"/>
    </row>
    <row r="149">
      <c r="C149" s="63"/>
      <c r="D149" s="63"/>
      <c r="E149" s="63"/>
      <c r="F149" s="63"/>
      <c r="I149" s="63"/>
    </row>
    <row r="150">
      <c r="C150" s="63"/>
      <c r="D150" s="63"/>
      <c r="E150" s="63"/>
      <c r="F150" s="63"/>
      <c r="I150" s="63"/>
    </row>
    <row r="151">
      <c r="C151" s="63"/>
      <c r="D151" s="63"/>
      <c r="E151" s="63"/>
      <c r="F151" s="63"/>
      <c r="I151" s="63"/>
    </row>
    <row r="152">
      <c r="C152" s="63"/>
      <c r="D152" s="63"/>
      <c r="E152" s="63"/>
      <c r="F152" s="63"/>
      <c r="I152" s="63"/>
    </row>
    <row r="153">
      <c r="C153" s="63"/>
      <c r="D153" s="63"/>
      <c r="E153" s="63"/>
      <c r="F153" s="63"/>
      <c r="I153" s="63"/>
    </row>
    <row r="154">
      <c r="C154" s="63"/>
      <c r="D154" s="63"/>
      <c r="E154" s="63"/>
      <c r="F154" s="63"/>
      <c r="I154" s="63"/>
    </row>
    <row r="155">
      <c r="C155" s="63"/>
      <c r="D155" s="63"/>
      <c r="E155" s="63"/>
      <c r="F155" s="63"/>
      <c r="I155" s="63"/>
    </row>
    <row r="156">
      <c r="C156" s="63"/>
      <c r="D156" s="63"/>
      <c r="E156" s="63"/>
      <c r="F156" s="63"/>
      <c r="I156" s="63"/>
    </row>
    <row r="157">
      <c r="C157" s="63"/>
      <c r="D157" s="63"/>
      <c r="E157" s="63"/>
      <c r="F157" s="63"/>
      <c r="I157" s="63"/>
    </row>
    <row r="158">
      <c r="C158" s="63"/>
      <c r="D158" s="63"/>
      <c r="E158" s="63"/>
      <c r="F158" s="63"/>
      <c r="I158" s="63"/>
    </row>
    <row r="159">
      <c r="C159" s="63"/>
      <c r="D159" s="63"/>
      <c r="E159" s="63"/>
      <c r="F159" s="63"/>
      <c r="I159" s="63"/>
    </row>
    <row r="160">
      <c r="C160" s="63"/>
      <c r="D160" s="63"/>
      <c r="E160" s="63"/>
      <c r="F160" s="63"/>
      <c r="I160" s="63"/>
    </row>
    <row r="161">
      <c r="C161" s="63"/>
      <c r="D161" s="63"/>
      <c r="E161" s="63"/>
      <c r="F161" s="63"/>
      <c r="I161" s="63"/>
    </row>
    <row r="162">
      <c r="C162" s="63"/>
      <c r="D162" s="63"/>
      <c r="E162" s="63"/>
      <c r="F162" s="63"/>
      <c r="I162" s="63"/>
    </row>
    <row r="163">
      <c r="C163" s="63"/>
      <c r="D163" s="63"/>
      <c r="E163" s="63"/>
      <c r="F163" s="63"/>
      <c r="I163" s="63"/>
    </row>
    <row r="164">
      <c r="C164" s="63"/>
      <c r="D164" s="63"/>
      <c r="E164" s="63"/>
      <c r="F164" s="63"/>
      <c r="I164" s="63"/>
    </row>
    <row r="165">
      <c r="C165" s="63"/>
      <c r="D165" s="63"/>
      <c r="E165" s="63"/>
      <c r="F165" s="63"/>
      <c r="I165" s="63"/>
    </row>
    <row r="166">
      <c r="C166" s="63"/>
      <c r="D166" s="63"/>
      <c r="E166" s="63"/>
      <c r="F166" s="63"/>
      <c r="I166" s="63"/>
    </row>
    <row r="167">
      <c r="C167" s="63"/>
      <c r="D167" s="63"/>
      <c r="E167" s="63"/>
      <c r="F167" s="63"/>
      <c r="I167" s="63"/>
    </row>
    <row r="168">
      <c r="C168" s="63"/>
      <c r="D168" s="63"/>
      <c r="E168" s="63"/>
      <c r="F168" s="63"/>
      <c r="I168" s="63"/>
    </row>
    <row r="169">
      <c r="C169" s="63"/>
      <c r="D169" s="63"/>
      <c r="E169" s="63"/>
      <c r="F169" s="63"/>
      <c r="I169" s="63"/>
    </row>
    <row r="170">
      <c r="C170" s="63"/>
      <c r="D170" s="63"/>
      <c r="E170" s="63"/>
      <c r="F170" s="63"/>
      <c r="I170" s="63"/>
    </row>
    <row r="171">
      <c r="C171" s="63"/>
      <c r="D171" s="63"/>
      <c r="E171" s="63"/>
      <c r="F171" s="63"/>
      <c r="I171" s="63"/>
    </row>
    <row r="172">
      <c r="C172" s="63"/>
      <c r="D172" s="63"/>
      <c r="E172" s="63"/>
      <c r="F172" s="63"/>
      <c r="I172" s="63"/>
    </row>
    <row r="173">
      <c r="C173" s="63"/>
      <c r="D173" s="63"/>
      <c r="E173" s="63"/>
      <c r="F173" s="63"/>
      <c r="I173" s="63"/>
    </row>
    <row r="174">
      <c r="C174" s="63"/>
      <c r="D174" s="63"/>
      <c r="E174" s="63"/>
      <c r="F174" s="63"/>
      <c r="I174" s="63"/>
    </row>
    <row r="175">
      <c r="C175" s="63"/>
      <c r="D175" s="63"/>
      <c r="E175" s="63"/>
      <c r="F175" s="63"/>
      <c r="I175" s="63"/>
    </row>
    <row r="176">
      <c r="C176" s="63"/>
      <c r="D176" s="63"/>
      <c r="E176" s="63"/>
      <c r="F176" s="63"/>
      <c r="I176" s="63"/>
    </row>
    <row r="177">
      <c r="C177" s="63"/>
      <c r="D177" s="63"/>
      <c r="E177" s="63"/>
      <c r="F177" s="63"/>
      <c r="I177" s="63"/>
    </row>
    <row r="178">
      <c r="C178" s="63"/>
      <c r="D178" s="63"/>
      <c r="E178" s="63"/>
      <c r="F178" s="63"/>
      <c r="I178" s="63"/>
    </row>
    <row r="179">
      <c r="C179" s="63"/>
      <c r="D179" s="63"/>
      <c r="E179" s="63"/>
      <c r="F179" s="63"/>
      <c r="I179" s="63"/>
    </row>
    <row r="180">
      <c r="C180" s="63"/>
      <c r="D180" s="63"/>
      <c r="E180" s="63"/>
      <c r="F180" s="63"/>
      <c r="I180" s="63"/>
    </row>
    <row r="181">
      <c r="C181" s="63"/>
      <c r="D181" s="63"/>
      <c r="E181" s="63"/>
      <c r="F181" s="63"/>
      <c r="I181" s="63"/>
    </row>
    <row r="182">
      <c r="C182" s="63"/>
      <c r="D182" s="63"/>
      <c r="E182" s="63"/>
      <c r="F182" s="63"/>
      <c r="I182" s="63"/>
    </row>
    <row r="183">
      <c r="C183" s="63"/>
      <c r="D183" s="63"/>
      <c r="E183" s="63"/>
      <c r="F183" s="63"/>
      <c r="I183" s="63"/>
    </row>
    <row r="184">
      <c r="C184" s="63"/>
      <c r="D184" s="63"/>
      <c r="E184" s="63"/>
      <c r="F184" s="63"/>
      <c r="I184" s="63"/>
    </row>
    <row r="185">
      <c r="C185" s="63"/>
      <c r="D185" s="63"/>
      <c r="E185" s="63"/>
      <c r="F185" s="63"/>
      <c r="I185" s="63"/>
    </row>
    <row r="186">
      <c r="C186" s="63"/>
      <c r="D186" s="63"/>
      <c r="E186" s="63"/>
      <c r="F186" s="63"/>
      <c r="I186" s="63"/>
    </row>
    <row r="187">
      <c r="C187" s="63"/>
      <c r="D187" s="63"/>
      <c r="E187" s="63"/>
      <c r="F187" s="63"/>
      <c r="I187" s="63"/>
    </row>
    <row r="188">
      <c r="C188" s="63"/>
      <c r="D188" s="63"/>
      <c r="E188" s="63"/>
      <c r="F188" s="63"/>
      <c r="I188" s="63"/>
    </row>
    <row r="189">
      <c r="C189" s="63"/>
      <c r="D189" s="63"/>
      <c r="E189" s="63"/>
      <c r="F189" s="63"/>
      <c r="I189" s="63"/>
    </row>
    <row r="190">
      <c r="C190" s="63"/>
      <c r="D190" s="63"/>
      <c r="E190" s="63"/>
      <c r="F190" s="63"/>
      <c r="I190" s="63"/>
    </row>
    <row r="191">
      <c r="C191" s="63"/>
      <c r="D191" s="63"/>
      <c r="E191" s="63"/>
      <c r="F191" s="63"/>
      <c r="I191" s="63"/>
    </row>
    <row r="192">
      <c r="C192" s="63"/>
      <c r="D192" s="63"/>
      <c r="E192" s="63"/>
      <c r="F192" s="63"/>
      <c r="I192" s="63"/>
    </row>
    <row r="193">
      <c r="C193" s="63"/>
      <c r="D193" s="63"/>
      <c r="E193" s="63"/>
      <c r="F193" s="63"/>
      <c r="I193" s="63"/>
    </row>
    <row r="194">
      <c r="C194" s="63"/>
      <c r="D194" s="63"/>
      <c r="E194" s="63"/>
      <c r="F194" s="63"/>
      <c r="I194" s="63"/>
    </row>
    <row r="195">
      <c r="C195" s="63"/>
      <c r="D195" s="63"/>
      <c r="E195" s="63"/>
      <c r="F195" s="63"/>
      <c r="I195" s="63"/>
    </row>
    <row r="196">
      <c r="C196" s="63"/>
      <c r="D196" s="63"/>
      <c r="E196" s="63"/>
      <c r="F196" s="63"/>
      <c r="I196" s="63"/>
    </row>
    <row r="197">
      <c r="C197" s="63"/>
      <c r="D197" s="63"/>
      <c r="E197" s="63"/>
      <c r="F197" s="63"/>
      <c r="I197" s="63"/>
    </row>
    <row r="198">
      <c r="C198" s="63"/>
      <c r="D198" s="63"/>
      <c r="E198" s="63"/>
      <c r="F198" s="63"/>
      <c r="I198" s="63"/>
    </row>
    <row r="199">
      <c r="C199" s="63"/>
      <c r="D199" s="63"/>
      <c r="E199" s="63"/>
      <c r="F199" s="63"/>
      <c r="I199" s="63"/>
    </row>
    <row r="200">
      <c r="C200" s="63"/>
      <c r="D200" s="63"/>
      <c r="E200" s="63"/>
      <c r="F200" s="63"/>
      <c r="I200" s="63"/>
    </row>
    <row r="201">
      <c r="C201" s="63"/>
      <c r="D201" s="63"/>
      <c r="E201" s="63"/>
      <c r="F201" s="63"/>
      <c r="I201" s="63"/>
    </row>
    <row r="202">
      <c r="C202" s="63"/>
      <c r="D202" s="63"/>
      <c r="E202" s="63"/>
      <c r="F202" s="63"/>
      <c r="I202" s="63"/>
    </row>
    <row r="203">
      <c r="C203" s="63"/>
      <c r="D203" s="63"/>
      <c r="E203" s="63"/>
      <c r="F203" s="63"/>
      <c r="I203" s="63"/>
    </row>
    <row r="204">
      <c r="C204" s="63"/>
      <c r="D204" s="63"/>
      <c r="E204" s="63"/>
      <c r="F204" s="63"/>
      <c r="I204" s="63"/>
    </row>
    <row r="205">
      <c r="C205" s="63"/>
      <c r="D205" s="63"/>
      <c r="E205" s="63"/>
      <c r="F205" s="63"/>
      <c r="I205" s="63"/>
    </row>
    <row r="206">
      <c r="C206" s="63"/>
      <c r="D206" s="63"/>
      <c r="E206" s="63"/>
      <c r="F206" s="63"/>
      <c r="I206" s="63"/>
    </row>
    <row r="207">
      <c r="C207" s="63"/>
      <c r="D207" s="63"/>
      <c r="E207" s="63"/>
      <c r="F207" s="63"/>
      <c r="I207" s="63"/>
    </row>
    <row r="208">
      <c r="C208" s="63"/>
      <c r="D208" s="63"/>
      <c r="E208" s="63"/>
      <c r="F208" s="63"/>
      <c r="I208" s="63"/>
    </row>
    <row r="209">
      <c r="C209" s="63"/>
      <c r="D209" s="63"/>
      <c r="E209" s="63"/>
      <c r="F209" s="63"/>
      <c r="I209" s="63"/>
    </row>
    <row r="210">
      <c r="C210" s="63"/>
      <c r="D210" s="63"/>
      <c r="E210" s="63"/>
      <c r="F210" s="63"/>
      <c r="I210" s="63"/>
    </row>
    <row r="211">
      <c r="C211" s="63"/>
      <c r="D211" s="63"/>
      <c r="E211" s="63"/>
      <c r="F211" s="63"/>
      <c r="I211" s="63"/>
    </row>
    <row r="212">
      <c r="C212" s="63"/>
      <c r="D212" s="63"/>
      <c r="E212" s="63"/>
      <c r="F212" s="63"/>
      <c r="I212" s="63"/>
    </row>
    <row r="213">
      <c r="C213" s="63"/>
      <c r="D213" s="63"/>
      <c r="E213" s="63"/>
      <c r="F213" s="63"/>
      <c r="I213" s="63"/>
    </row>
    <row r="214">
      <c r="C214" s="63"/>
      <c r="D214" s="63"/>
      <c r="E214" s="63"/>
      <c r="F214" s="63"/>
      <c r="I214" s="63"/>
    </row>
    <row r="215">
      <c r="C215" s="63"/>
      <c r="D215" s="63"/>
      <c r="E215" s="63"/>
      <c r="F215" s="63"/>
      <c r="I215" s="63"/>
    </row>
    <row r="216">
      <c r="C216" s="63"/>
      <c r="D216" s="63"/>
      <c r="E216" s="63"/>
      <c r="F216" s="63"/>
      <c r="I216" s="63"/>
    </row>
    <row r="217">
      <c r="C217" s="63"/>
      <c r="D217" s="63"/>
      <c r="E217" s="63"/>
      <c r="F217" s="63"/>
      <c r="I217" s="63"/>
    </row>
    <row r="218">
      <c r="C218" s="63"/>
      <c r="D218" s="63"/>
      <c r="E218" s="63"/>
      <c r="F218" s="63"/>
      <c r="I218" s="63"/>
    </row>
    <row r="219">
      <c r="C219" s="63"/>
      <c r="D219" s="63"/>
      <c r="E219" s="63"/>
      <c r="F219" s="63"/>
      <c r="I219" s="63"/>
    </row>
    <row r="220">
      <c r="C220" s="63"/>
      <c r="D220" s="63"/>
      <c r="E220" s="63"/>
      <c r="F220" s="63"/>
      <c r="I220" s="63"/>
    </row>
    <row r="221">
      <c r="C221" s="63"/>
      <c r="D221" s="63"/>
      <c r="E221" s="63"/>
      <c r="F221" s="63"/>
      <c r="I221" s="63"/>
    </row>
    <row r="222">
      <c r="C222" s="63"/>
      <c r="D222" s="63"/>
      <c r="E222" s="63"/>
      <c r="F222" s="63"/>
      <c r="I222" s="63"/>
    </row>
    <row r="223">
      <c r="C223" s="63"/>
      <c r="D223" s="63"/>
      <c r="E223" s="63"/>
      <c r="F223" s="63"/>
      <c r="I223" s="63"/>
    </row>
    <row r="224">
      <c r="C224" s="63"/>
      <c r="D224" s="63"/>
      <c r="E224" s="63"/>
      <c r="F224" s="63"/>
      <c r="I224" s="63"/>
    </row>
    <row r="225">
      <c r="C225" s="63"/>
      <c r="D225" s="63"/>
      <c r="E225" s="63"/>
      <c r="F225" s="63"/>
      <c r="I225" s="63"/>
    </row>
    <row r="226">
      <c r="C226" s="63"/>
      <c r="D226" s="63"/>
      <c r="E226" s="63"/>
      <c r="F226" s="63"/>
      <c r="I226" s="63"/>
    </row>
    <row r="227">
      <c r="C227" s="63"/>
      <c r="D227" s="63"/>
      <c r="E227" s="63"/>
      <c r="F227" s="63"/>
      <c r="I227" s="63"/>
    </row>
    <row r="228">
      <c r="C228" s="63"/>
      <c r="D228" s="63"/>
      <c r="E228" s="63"/>
      <c r="F228" s="63"/>
      <c r="I228" s="63"/>
    </row>
    <row r="229">
      <c r="C229" s="63"/>
      <c r="D229" s="63"/>
      <c r="E229" s="63"/>
      <c r="F229" s="63"/>
      <c r="I229" s="63"/>
    </row>
    <row r="230">
      <c r="C230" s="63"/>
      <c r="D230" s="63"/>
      <c r="E230" s="63"/>
      <c r="F230" s="63"/>
      <c r="I230" s="63"/>
    </row>
    <row r="231">
      <c r="C231" s="63"/>
      <c r="D231" s="63"/>
      <c r="E231" s="63"/>
      <c r="F231" s="63"/>
      <c r="I231" s="63"/>
    </row>
    <row r="232">
      <c r="C232" s="63"/>
      <c r="D232" s="63"/>
      <c r="E232" s="63"/>
      <c r="F232" s="63"/>
      <c r="I232" s="63"/>
    </row>
    <row r="233">
      <c r="C233" s="63"/>
      <c r="D233" s="63"/>
      <c r="E233" s="63"/>
      <c r="F233" s="63"/>
      <c r="I233" s="63"/>
    </row>
    <row r="234">
      <c r="C234" s="63"/>
      <c r="D234" s="63"/>
      <c r="E234" s="63"/>
      <c r="F234" s="63"/>
      <c r="I234" s="63"/>
    </row>
    <row r="235">
      <c r="C235" s="63"/>
      <c r="D235" s="63"/>
      <c r="E235" s="63"/>
      <c r="F235" s="63"/>
      <c r="I235" s="63"/>
    </row>
    <row r="236">
      <c r="C236" s="63"/>
      <c r="D236" s="63"/>
      <c r="E236" s="63"/>
      <c r="F236" s="63"/>
      <c r="I236" s="63"/>
    </row>
    <row r="237">
      <c r="C237" s="63"/>
      <c r="D237" s="63"/>
      <c r="E237" s="63"/>
      <c r="F237" s="63"/>
      <c r="I237" s="63"/>
    </row>
    <row r="238">
      <c r="C238" s="63"/>
      <c r="D238" s="63"/>
      <c r="E238" s="63"/>
      <c r="F238" s="63"/>
      <c r="I238" s="63"/>
    </row>
    <row r="239">
      <c r="C239" s="63"/>
      <c r="D239" s="63"/>
      <c r="E239" s="63"/>
      <c r="F239" s="63"/>
      <c r="I239" s="63"/>
    </row>
    <row r="240">
      <c r="C240" s="63"/>
      <c r="D240" s="63"/>
      <c r="E240" s="63"/>
      <c r="F240" s="63"/>
      <c r="I240" s="63"/>
    </row>
    <row r="241">
      <c r="C241" s="63"/>
      <c r="D241" s="63"/>
      <c r="E241" s="63"/>
      <c r="F241" s="63"/>
      <c r="I241" s="63"/>
    </row>
    <row r="242">
      <c r="C242" s="63"/>
      <c r="D242" s="63"/>
      <c r="E242" s="63"/>
      <c r="F242" s="63"/>
      <c r="I242" s="63"/>
    </row>
    <row r="243">
      <c r="C243" s="63"/>
      <c r="D243" s="63"/>
      <c r="E243" s="63"/>
      <c r="F243" s="63"/>
      <c r="I243" s="63"/>
    </row>
    <row r="244">
      <c r="C244" s="63"/>
      <c r="D244" s="63"/>
      <c r="E244" s="63"/>
      <c r="F244" s="63"/>
      <c r="I244" s="63"/>
    </row>
    <row r="245">
      <c r="C245" s="63"/>
      <c r="D245" s="63"/>
      <c r="E245" s="63"/>
      <c r="F245" s="63"/>
      <c r="I245" s="63"/>
    </row>
    <row r="246">
      <c r="C246" s="63"/>
      <c r="D246" s="63"/>
      <c r="E246" s="63"/>
      <c r="F246" s="63"/>
      <c r="I246" s="63"/>
    </row>
    <row r="247">
      <c r="C247" s="63"/>
      <c r="D247" s="63"/>
      <c r="E247" s="63"/>
      <c r="F247" s="63"/>
      <c r="I247" s="63"/>
    </row>
    <row r="248">
      <c r="C248" s="63"/>
      <c r="D248" s="63"/>
      <c r="E248" s="63"/>
      <c r="F248" s="63"/>
      <c r="I248" s="63"/>
    </row>
    <row r="249">
      <c r="C249" s="63"/>
      <c r="D249" s="63"/>
      <c r="E249" s="63"/>
      <c r="F249" s="63"/>
      <c r="I249" s="63"/>
    </row>
    <row r="250">
      <c r="C250" s="63"/>
      <c r="D250" s="63"/>
      <c r="E250" s="63"/>
      <c r="F250" s="63"/>
      <c r="I250" s="63"/>
    </row>
    <row r="251">
      <c r="C251" s="63"/>
      <c r="D251" s="63"/>
      <c r="E251" s="63"/>
      <c r="F251" s="63"/>
      <c r="I251" s="63"/>
    </row>
    <row r="252">
      <c r="C252" s="63"/>
      <c r="D252" s="63"/>
      <c r="E252" s="63"/>
      <c r="F252" s="63"/>
      <c r="I252" s="63"/>
    </row>
    <row r="253">
      <c r="C253" s="63"/>
      <c r="D253" s="63"/>
      <c r="E253" s="63"/>
      <c r="F253" s="63"/>
      <c r="I253" s="63"/>
    </row>
    <row r="254">
      <c r="C254" s="63"/>
      <c r="D254" s="63"/>
      <c r="E254" s="63"/>
      <c r="F254" s="63"/>
      <c r="I254" s="63"/>
    </row>
    <row r="255">
      <c r="C255" s="63"/>
      <c r="D255" s="63"/>
      <c r="E255" s="63"/>
      <c r="F255" s="63"/>
      <c r="I255" s="63"/>
    </row>
    <row r="256">
      <c r="C256" s="63"/>
      <c r="D256" s="63"/>
      <c r="E256" s="63"/>
      <c r="F256" s="63"/>
      <c r="I256" s="63"/>
    </row>
    <row r="257">
      <c r="C257" s="63"/>
      <c r="D257" s="63"/>
      <c r="E257" s="63"/>
      <c r="F257" s="63"/>
      <c r="I257" s="63"/>
    </row>
    <row r="258">
      <c r="C258" s="63"/>
      <c r="D258" s="63"/>
      <c r="E258" s="63"/>
      <c r="F258" s="63"/>
      <c r="I258" s="63"/>
    </row>
    <row r="259">
      <c r="C259" s="63"/>
      <c r="D259" s="63"/>
      <c r="E259" s="63"/>
      <c r="F259" s="63"/>
      <c r="I259" s="63"/>
    </row>
    <row r="260">
      <c r="C260" s="63"/>
      <c r="D260" s="63"/>
      <c r="E260" s="63"/>
      <c r="F260" s="63"/>
      <c r="I260" s="63"/>
    </row>
    <row r="261">
      <c r="C261" s="63"/>
      <c r="D261" s="63"/>
      <c r="E261" s="63"/>
      <c r="F261" s="63"/>
      <c r="I261" s="63"/>
    </row>
    <row r="262">
      <c r="C262" s="63"/>
      <c r="D262" s="63"/>
      <c r="E262" s="63"/>
      <c r="F262" s="63"/>
      <c r="I262" s="63"/>
    </row>
    <row r="263">
      <c r="C263" s="63"/>
      <c r="D263" s="63"/>
      <c r="E263" s="63"/>
      <c r="F263" s="63"/>
      <c r="I263" s="63"/>
    </row>
    <row r="264">
      <c r="C264" s="63"/>
      <c r="D264" s="63"/>
      <c r="E264" s="63"/>
      <c r="F264" s="63"/>
      <c r="I264" s="63"/>
    </row>
    <row r="265">
      <c r="C265" s="63"/>
      <c r="D265" s="63"/>
      <c r="E265" s="63"/>
      <c r="F265" s="63"/>
      <c r="I265" s="63"/>
    </row>
    <row r="266">
      <c r="C266" s="63"/>
      <c r="D266" s="63"/>
      <c r="E266" s="63"/>
      <c r="F266" s="63"/>
      <c r="I266" s="63"/>
    </row>
    <row r="267">
      <c r="C267" s="63"/>
      <c r="D267" s="63"/>
      <c r="E267" s="63"/>
      <c r="F267" s="63"/>
      <c r="I267" s="63"/>
    </row>
    <row r="268">
      <c r="C268" s="63"/>
      <c r="D268" s="63"/>
      <c r="E268" s="63"/>
      <c r="F268" s="63"/>
      <c r="I268" s="63"/>
    </row>
    <row r="269">
      <c r="C269" s="63"/>
      <c r="D269" s="63"/>
      <c r="E269" s="63"/>
      <c r="F269" s="63"/>
      <c r="I269" s="63"/>
    </row>
    <row r="270">
      <c r="C270" s="63"/>
      <c r="D270" s="63"/>
      <c r="E270" s="63"/>
      <c r="F270" s="63"/>
      <c r="I270" s="63"/>
    </row>
    <row r="271">
      <c r="C271" s="63"/>
      <c r="D271" s="63"/>
      <c r="E271" s="63"/>
      <c r="F271" s="63"/>
      <c r="I271" s="63"/>
    </row>
    <row r="272">
      <c r="C272" s="63"/>
      <c r="D272" s="63"/>
      <c r="E272" s="63"/>
      <c r="F272" s="63"/>
      <c r="I272" s="63"/>
    </row>
    <row r="273">
      <c r="C273" s="63"/>
      <c r="D273" s="63"/>
      <c r="E273" s="63"/>
      <c r="F273" s="63"/>
      <c r="I273" s="63"/>
    </row>
    <row r="274">
      <c r="C274" s="63"/>
      <c r="D274" s="63"/>
      <c r="E274" s="63"/>
      <c r="F274" s="63"/>
      <c r="I274" s="63"/>
    </row>
    <row r="275">
      <c r="C275" s="63"/>
      <c r="D275" s="63"/>
      <c r="E275" s="63"/>
      <c r="F275" s="63"/>
      <c r="I275" s="63"/>
    </row>
    <row r="276">
      <c r="C276" s="63"/>
      <c r="D276" s="63"/>
      <c r="E276" s="63"/>
      <c r="F276" s="63"/>
      <c r="I276" s="63"/>
    </row>
    <row r="277">
      <c r="C277" s="63"/>
      <c r="D277" s="63"/>
      <c r="E277" s="63"/>
      <c r="F277" s="63"/>
      <c r="I277" s="63"/>
    </row>
    <row r="278">
      <c r="C278" s="63"/>
      <c r="D278" s="63"/>
      <c r="E278" s="63"/>
      <c r="F278" s="63"/>
      <c r="I278" s="63"/>
    </row>
    <row r="279">
      <c r="C279" s="63"/>
      <c r="D279" s="63"/>
      <c r="E279" s="63"/>
      <c r="F279" s="63"/>
      <c r="I279" s="63"/>
    </row>
    <row r="280">
      <c r="C280" s="63"/>
      <c r="D280" s="63"/>
      <c r="E280" s="63"/>
      <c r="F280" s="63"/>
      <c r="I280" s="63"/>
    </row>
    <row r="281">
      <c r="C281" s="63"/>
      <c r="D281" s="63"/>
      <c r="E281" s="63"/>
      <c r="F281" s="63"/>
      <c r="I281" s="63"/>
    </row>
    <row r="282">
      <c r="C282" s="63"/>
      <c r="D282" s="63"/>
      <c r="E282" s="63"/>
      <c r="F282" s="63"/>
      <c r="I282" s="63"/>
    </row>
    <row r="283">
      <c r="C283" s="63"/>
      <c r="D283" s="63"/>
      <c r="E283" s="63"/>
      <c r="F283" s="63"/>
      <c r="I283" s="63"/>
    </row>
    <row r="284">
      <c r="C284" s="63"/>
      <c r="D284" s="63"/>
      <c r="E284" s="63"/>
      <c r="F284" s="63"/>
      <c r="I284" s="63"/>
    </row>
    <row r="285">
      <c r="C285" s="63"/>
      <c r="D285" s="63"/>
      <c r="E285" s="63"/>
      <c r="F285" s="63"/>
      <c r="I285" s="63"/>
    </row>
    <row r="286">
      <c r="C286" s="63"/>
      <c r="D286" s="63"/>
      <c r="E286" s="63"/>
      <c r="F286" s="63"/>
      <c r="I286" s="63"/>
    </row>
    <row r="287">
      <c r="C287" s="63"/>
      <c r="D287" s="63"/>
      <c r="E287" s="63"/>
      <c r="F287" s="63"/>
      <c r="I287" s="63"/>
    </row>
    <row r="288">
      <c r="C288" s="63"/>
      <c r="D288" s="63"/>
      <c r="E288" s="63"/>
      <c r="F288" s="63"/>
      <c r="I288" s="63"/>
    </row>
    <row r="289">
      <c r="C289" s="63"/>
      <c r="D289" s="63"/>
      <c r="E289" s="63"/>
      <c r="F289" s="63"/>
      <c r="I289" s="63"/>
    </row>
    <row r="290">
      <c r="C290" s="63"/>
      <c r="D290" s="63"/>
      <c r="E290" s="63"/>
      <c r="F290" s="63"/>
      <c r="I290" s="63"/>
    </row>
    <row r="291">
      <c r="C291" s="63"/>
      <c r="D291" s="63"/>
      <c r="E291" s="63"/>
      <c r="F291" s="63"/>
      <c r="I291" s="63"/>
    </row>
    <row r="292">
      <c r="C292" s="63"/>
      <c r="D292" s="63"/>
      <c r="E292" s="63"/>
      <c r="F292" s="63"/>
      <c r="I292" s="63"/>
    </row>
    <row r="293">
      <c r="C293" s="63"/>
      <c r="D293" s="63"/>
      <c r="E293" s="63"/>
      <c r="F293" s="63"/>
      <c r="I293" s="63"/>
    </row>
    <row r="294">
      <c r="C294" s="63"/>
      <c r="D294" s="63"/>
      <c r="E294" s="63"/>
      <c r="F294" s="63"/>
      <c r="I294" s="63"/>
    </row>
    <row r="295">
      <c r="C295" s="63"/>
      <c r="D295" s="63"/>
      <c r="E295" s="63"/>
      <c r="F295" s="63"/>
      <c r="I295" s="63"/>
    </row>
    <row r="296">
      <c r="C296" s="63"/>
      <c r="D296" s="63"/>
      <c r="E296" s="63"/>
      <c r="F296" s="63"/>
      <c r="I296" s="63"/>
    </row>
    <row r="297">
      <c r="C297" s="63"/>
      <c r="D297" s="63"/>
      <c r="E297" s="63"/>
      <c r="F297" s="63"/>
      <c r="I297" s="63"/>
    </row>
    <row r="298">
      <c r="C298" s="63"/>
      <c r="D298" s="63"/>
      <c r="E298" s="63"/>
      <c r="F298" s="63"/>
      <c r="I298" s="63"/>
    </row>
    <row r="299">
      <c r="C299" s="63"/>
      <c r="D299" s="63"/>
      <c r="E299" s="63"/>
      <c r="F299" s="63"/>
      <c r="I299" s="63"/>
    </row>
    <row r="300">
      <c r="C300" s="63"/>
      <c r="D300" s="63"/>
      <c r="E300" s="63"/>
      <c r="F300" s="63"/>
      <c r="I300" s="63"/>
    </row>
    <row r="301">
      <c r="C301" s="63"/>
      <c r="D301" s="63"/>
      <c r="E301" s="63"/>
      <c r="F301" s="63"/>
      <c r="I301" s="63"/>
    </row>
    <row r="302">
      <c r="C302" s="63"/>
      <c r="D302" s="63"/>
      <c r="E302" s="63"/>
      <c r="F302" s="63"/>
      <c r="I302" s="63"/>
    </row>
    <row r="303">
      <c r="C303" s="63"/>
      <c r="D303" s="63"/>
      <c r="E303" s="63"/>
      <c r="F303" s="63"/>
      <c r="I303" s="63"/>
    </row>
    <row r="304">
      <c r="C304" s="63"/>
      <c r="D304" s="63"/>
      <c r="E304" s="63"/>
      <c r="F304" s="63"/>
      <c r="I304" s="63"/>
    </row>
    <row r="305">
      <c r="C305" s="63"/>
      <c r="D305" s="63"/>
      <c r="E305" s="63"/>
      <c r="F305" s="63"/>
      <c r="I305" s="63"/>
    </row>
    <row r="306">
      <c r="C306" s="63"/>
      <c r="D306" s="63"/>
      <c r="E306" s="63"/>
      <c r="F306" s="63"/>
      <c r="I306" s="63"/>
    </row>
    <row r="307">
      <c r="C307" s="63"/>
      <c r="D307" s="63"/>
      <c r="E307" s="63"/>
      <c r="F307" s="63"/>
      <c r="I307" s="63"/>
    </row>
    <row r="308">
      <c r="C308" s="63"/>
      <c r="D308" s="63"/>
      <c r="E308" s="63"/>
      <c r="F308" s="63"/>
      <c r="I308" s="63"/>
    </row>
    <row r="309">
      <c r="C309" s="63"/>
      <c r="D309" s="63"/>
      <c r="E309" s="63"/>
      <c r="F309" s="63"/>
      <c r="I309" s="63"/>
    </row>
    <row r="310">
      <c r="C310" s="63"/>
      <c r="D310" s="63"/>
      <c r="E310" s="63"/>
      <c r="F310" s="63"/>
      <c r="I310" s="63"/>
    </row>
    <row r="311">
      <c r="C311" s="63"/>
      <c r="D311" s="63"/>
      <c r="E311" s="63"/>
      <c r="F311" s="63"/>
      <c r="I311" s="63"/>
    </row>
    <row r="312">
      <c r="C312" s="63"/>
      <c r="D312" s="63"/>
      <c r="E312" s="63"/>
      <c r="F312" s="63"/>
      <c r="I312" s="63"/>
    </row>
    <row r="313">
      <c r="C313" s="63"/>
      <c r="D313" s="63"/>
      <c r="E313" s="63"/>
      <c r="F313" s="63"/>
      <c r="I313" s="63"/>
    </row>
    <row r="314">
      <c r="C314" s="63"/>
      <c r="D314" s="63"/>
      <c r="E314" s="63"/>
      <c r="F314" s="63"/>
      <c r="I314" s="63"/>
    </row>
    <row r="315">
      <c r="C315" s="63"/>
      <c r="D315" s="63"/>
      <c r="E315" s="63"/>
      <c r="F315" s="63"/>
      <c r="I315" s="63"/>
    </row>
    <row r="316">
      <c r="C316" s="63"/>
      <c r="D316" s="63"/>
      <c r="E316" s="63"/>
      <c r="F316" s="63"/>
      <c r="I316" s="63"/>
    </row>
    <row r="317">
      <c r="C317" s="63"/>
      <c r="D317" s="63"/>
      <c r="E317" s="63"/>
      <c r="F317" s="63"/>
      <c r="I317" s="63"/>
    </row>
    <row r="318">
      <c r="C318" s="63"/>
      <c r="D318" s="63"/>
      <c r="E318" s="63"/>
      <c r="F318" s="63"/>
      <c r="I318" s="63"/>
    </row>
    <row r="319">
      <c r="C319" s="63"/>
      <c r="D319" s="63"/>
      <c r="E319" s="63"/>
      <c r="F319" s="63"/>
      <c r="I319" s="63"/>
    </row>
    <row r="320">
      <c r="C320" s="63"/>
      <c r="D320" s="63"/>
      <c r="E320" s="63"/>
      <c r="F320" s="63"/>
      <c r="I320" s="63"/>
    </row>
    <row r="321">
      <c r="C321" s="63"/>
      <c r="D321" s="63"/>
      <c r="E321" s="63"/>
      <c r="F321" s="63"/>
      <c r="I321" s="63"/>
    </row>
    <row r="322">
      <c r="C322" s="63"/>
      <c r="D322" s="63"/>
      <c r="E322" s="63"/>
      <c r="F322" s="63"/>
      <c r="I322" s="63"/>
    </row>
    <row r="323">
      <c r="C323" s="63"/>
      <c r="D323" s="63"/>
      <c r="E323" s="63"/>
      <c r="F323" s="63"/>
      <c r="I323" s="63"/>
    </row>
    <row r="324">
      <c r="C324" s="63"/>
      <c r="D324" s="63"/>
      <c r="E324" s="63"/>
      <c r="F324" s="63"/>
      <c r="I324" s="63"/>
    </row>
    <row r="325">
      <c r="C325" s="63"/>
      <c r="D325" s="63"/>
      <c r="E325" s="63"/>
      <c r="F325" s="63"/>
      <c r="I325" s="63"/>
    </row>
    <row r="326">
      <c r="C326" s="63"/>
      <c r="D326" s="63"/>
      <c r="E326" s="63"/>
      <c r="F326" s="63"/>
      <c r="I326" s="63"/>
    </row>
    <row r="327">
      <c r="C327" s="63"/>
      <c r="D327" s="63"/>
      <c r="E327" s="63"/>
      <c r="F327" s="63"/>
      <c r="I327" s="63"/>
    </row>
    <row r="328">
      <c r="C328" s="63"/>
      <c r="D328" s="63"/>
      <c r="E328" s="63"/>
      <c r="F328" s="63"/>
      <c r="I328" s="63"/>
    </row>
    <row r="329">
      <c r="C329" s="63"/>
      <c r="D329" s="63"/>
      <c r="E329" s="63"/>
      <c r="F329" s="63"/>
      <c r="I329" s="63"/>
    </row>
    <row r="330">
      <c r="C330" s="63"/>
      <c r="D330" s="63"/>
      <c r="E330" s="63"/>
      <c r="F330" s="63"/>
      <c r="I330" s="63"/>
    </row>
    <row r="331">
      <c r="C331" s="63"/>
      <c r="D331" s="63"/>
      <c r="E331" s="63"/>
      <c r="F331" s="63"/>
      <c r="I331" s="63"/>
    </row>
    <row r="332">
      <c r="C332" s="63"/>
      <c r="D332" s="63"/>
      <c r="E332" s="63"/>
      <c r="F332" s="63"/>
      <c r="I332" s="63"/>
    </row>
    <row r="333">
      <c r="C333" s="63"/>
      <c r="D333" s="63"/>
      <c r="E333" s="63"/>
      <c r="F333" s="63"/>
      <c r="I333" s="63"/>
    </row>
    <row r="334">
      <c r="C334" s="63"/>
      <c r="D334" s="63"/>
      <c r="E334" s="63"/>
      <c r="F334" s="63"/>
      <c r="I334" s="63"/>
    </row>
    <row r="335">
      <c r="C335" s="63"/>
      <c r="D335" s="63"/>
      <c r="E335" s="63"/>
      <c r="F335" s="63"/>
      <c r="I335" s="63"/>
    </row>
    <row r="336">
      <c r="C336" s="63"/>
      <c r="D336" s="63"/>
      <c r="E336" s="63"/>
      <c r="F336" s="63"/>
      <c r="I336" s="63"/>
    </row>
    <row r="337">
      <c r="C337" s="63"/>
      <c r="D337" s="63"/>
      <c r="E337" s="63"/>
      <c r="F337" s="63"/>
      <c r="I337" s="63"/>
    </row>
    <row r="338">
      <c r="C338" s="63"/>
      <c r="D338" s="63"/>
      <c r="E338" s="63"/>
      <c r="F338" s="63"/>
      <c r="I338" s="63"/>
    </row>
    <row r="339">
      <c r="C339" s="63"/>
      <c r="D339" s="63"/>
      <c r="E339" s="63"/>
      <c r="F339" s="63"/>
      <c r="I339" s="63"/>
    </row>
    <row r="340">
      <c r="C340" s="63"/>
      <c r="D340" s="63"/>
      <c r="E340" s="63"/>
      <c r="F340" s="63"/>
      <c r="I340" s="63"/>
    </row>
    <row r="341">
      <c r="C341" s="63"/>
      <c r="D341" s="63"/>
      <c r="E341" s="63"/>
      <c r="F341" s="63"/>
      <c r="I341" s="63"/>
    </row>
    <row r="342">
      <c r="C342" s="63"/>
      <c r="D342" s="63"/>
      <c r="E342" s="63"/>
      <c r="F342" s="63"/>
      <c r="I342" s="63"/>
    </row>
    <row r="343">
      <c r="C343" s="63"/>
      <c r="D343" s="63"/>
      <c r="E343" s="63"/>
      <c r="F343" s="63"/>
      <c r="I343" s="63"/>
    </row>
    <row r="344">
      <c r="C344" s="63"/>
      <c r="D344" s="63"/>
      <c r="E344" s="63"/>
      <c r="F344" s="63"/>
      <c r="I344" s="63"/>
    </row>
    <row r="345">
      <c r="C345" s="63"/>
      <c r="D345" s="63"/>
      <c r="E345" s="63"/>
      <c r="F345" s="63"/>
      <c r="I345" s="63"/>
    </row>
    <row r="346">
      <c r="C346" s="63"/>
      <c r="D346" s="63"/>
      <c r="E346" s="63"/>
      <c r="F346" s="63"/>
      <c r="I346" s="63"/>
    </row>
    <row r="347">
      <c r="C347" s="63"/>
      <c r="D347" s="63"/>
      <c r="E347" s="63"/>
      <c r="F347" s="63"/>
      <c r="I347" s="63"/>
    </row>
    <row r="348">
      <c r="C348" s="63"/>
      <c r="D348" s="63"/>
      <c r="E348" s="63"/>
      <c r="F348" s="63"/>
      <c r="I348" s="63"/>
    </row>
    <row r="349">
      <c r="C349" s="63"/>
      <c r="D349" s="63"/>
      <c r="E349" s="63"/>
      <c r="F349" s="63"/>
      <c r="I349" s="63"/>
    </row>
    <row r="350">
      <c r="C350" s="63"/>
      <c r="D350" s="63"/>
      <c r="E350" s="63"/>
      <c r="F350" s="63"/>
      <c r="I350" s="63"/>
    </row>
    <row r="351">
      <c r="C351" s="63"/>
      <c r="D351" s="63"/>
      <c r="E351" s="63"/>
      <c r="F351" s="63"/>
      <c r="I351" s="63"/>
    </row>
    <row r="352">
      <c r="C352" s="63"/>
      <c r="D352" s="63"/>
      <c r="E352" s="63"/>
      <c r="F352" s="63"/>
      <c r="I352" s="63"/>
    </row>
    <row r="353">
      <c r="C353" s="63"/>
      <c r="D353" s="63"/>
      <c r="E353" s="63"/>
      <c r="F353" s="63"/>
      <c r="I353" s="63"/>
    </row>
    <row r="354">
      <c r="C354" s="63"/>
      <c r="D354" s="63"/>
      <c r="E354" s="63"/>
      <c r="F354" s="63"/>
      <c r="I354" s="63"/>
    </row>
    <row r="355">
      <c r="C355" s="63"/>
      <c r="D355" s="63"/>
      <c r="E355" s="63"/>
      <c r="F355" s="63"/>
      <c r="I355" s="63"/>
    </row>
    <row r="356">
      <c r="C356" s="63"/>
      <c r="D356" s="63"/>
      <c r="E356" s="63"/>
      <c r="F356" s="63"/>
      <c r="I356" s="63"/>
    </row>
    <row r="357">
      <c r="C357" s="63"/>
      <c r="D357" s="63"/>
      <c r="E357" s="63"/>
      <c r="F357" s="63"/>
      <c r="I357" s="63"/>
    </row>
    <row r="358">
      <c r="C358" s="63"/>
      <c r="D358" s="63"/>
      <c r="E358" s="63"/>
      <c r="F358" s="63"/>
      <c r="I358" s="63"/>
    </row>
    <row r="359">
      <c r="C359" s="63"/>
      <c r="D359" s="63"/>
      <c r="E359" s="63"/>
      <c r="F359" s="63"/>
      <c r="I359" s="63"/>
    </row>
    <row r="360">
      <c r="C360" s="63"/>
      <c r="D360" s="63"/>
      <c r="E360" s="63"/>
      <c r="F360" s="63"/>
      <c r="I360" s="63"/>
    </row>
    <row r="361">
      <c r="C361" s="63"/>
      <c r="D361" s="63"/>
      <c r="E361" s="63"/>
      <c r="F361" s="63"/>
      <c r="I361" s="63"/>
    </row>
    <row r="362">
      <c r="C362" s="63"/>
      <c r="D362" s="63"/>
      <c r="E362" s="63"/>
      <c r="F362" s="63"/>
      <c r="I362" s="63"/>
    </row>
    <row r="363">
      <c r="C363" s="63"/>
      <c r="D363" s="63"/>
      <c r="E363" s="63"/>
      <c r="F363" s="63"/>
      <c r="I363" s="63"/>
    </row>
    <row r="364">
      <c r="C364" s="63"/>
      <c r="D364" s="63"/>
      <c r="E364" s="63"/>
      <c r="F364" s="63"/>
      <c r="I364" s="63"/>
    </row>
    <row r="365">
      <c r="C365" s="63"/>
      <c r="D365" s="63"/>
      <c r="E365" s="63"/>
      <c r="F365" s="63"/>
      <c r="I365" s="63"/>
    </row>
    <row r="366">
      <c r="C366" s="63"/>
      <c r="D366" s="63"/>
      <c r="E366" s="63"/>
      <c r="F366" s="63"/>
      <c r="I366" s="63"/>
    </row>
    <row r="367">
      <c r="C367" s="63"/>
      <c r="D367" s="63"/>
      <c r="E367" s="63"/>
      <c r="F367" s="63"/>
      <c r="I367" s="63"/>
    </row>
    <row r="368">
      <c r="C368" s="63"/>
      <c r="D368" s="63"/>
      <c r="E368" s="63"/>
      <c r="F368" s="63"/>
      <c r="I368" s="63"/>
    </row>
    <row r="369">
      <c r="C369" s="63"/>
      <c r="D369" s="63"/>
      <c r="E369" s="63"/>
      <c r="F369" s="63"/>
      <c r="I369" s="63"/>
    </row>
    <row r="370">
      <c r="C370" s="63"/>
      <c r="D370" s="63"/>
      <c r="E370" s="63"/>
      <c r="F370" s="63"/>
      <c r="I370" s="63"/>
    </row>
    <row r="371">
      <c r="C371" s="63"/>
      <c r="D371" s="63"/>
      <c r="E371" s="63"/>
      <c r="F371" s="63"/>
      <c r="I371" s="63"/>
    </row>
    <row r="372">
      <c r="C372" s="63"/>
      <c r="D372" s="63"/>
      <c r="E372" s="63"/>
      <c r="F372" s="63"/>
      <c r="I372" s="63"/>
    </row>
    <row r="373">
      <c r="C373" s="63"/>
      <c r="D373" s="63"/>
      <c r="E373" s="63"/>
      <c r="F373" s="63"/>
      <c r="I373" s="63"/>
    </row>
    <row r="374">
      <c r="C374" s="63"/>
      <c r="D374" s="63"/>
      <c r="E374" s="63"/>
      <c r="F374" s="63"/>
      <c r="I374" s="63"/>
    </row>
    <row r="375">
      <c r="C375" s="63"/>
      <c r="D375" s="63"/>
      <c r="E375" s="63"/>
      <c r="F375" s="63"/>
      <c r="I375" s="63"/>
    </row>
    <row r="376">
      <c r="C376" s="63"/>
      <c r="D376" s="63"/>
      <c r="E376" s="63"/>
      <c r="F376" s="63"/>
      <c r="I376" s="63"/>
    </row>
    <row r="377">
      <c r="C377" s="63"/>
      <c r="D377" s="63"/>
      <c r="E377" s="63"/>
      <c r="F377" s="63"/>
      <c r="I377" s="63"/>
    </row>
    <row r="378">
      <c r="C378" s="63"/>
      <c r="D378" s="63"/>
      <c r="E378" s="63"/>
      <c r="F378" s="63"/>
      <c r="I378" s="63"/>
    </row>
    <row r="379">
      <c r="C379" s="63"/>
      <c r="D379" s="63"/>
      <c r="E379" s="63"/>
      <c r="F379" s="63"/>
      <c r="I379" s="63"/>
    </row>
    <row r="380">
      <c r="C380" s="63"/>
      <c r="D380" s="63"/>
      <c r="E380" s="63"/>
      <c r="F380" s="63"/>
      <c r="I380" s="63"/>
    </row>
    <row r="381">
      <c r="C381" s="63"/>
      <c r="D381" s="63"/>
      <c r="E381" s="63"/>
      <c r="F381" s="63"/>
      <c r="I381" s="63"/>
    </row>
    <row r="382">
      <c r="C382" s="63"/>
      <c r="D382" s="63"/>
      <c r="E382" s="63"/>
      <c r="F382" s="63"/>
      <c r="I382" s="63"/>
    </row>
    <row r="383">
      <c r="C383" s="63"/>
      <c r="D383" s="63"/>
      <c r="E383" s="63"/>
      <c r="F383" s="63"/>
      <c r="I383" s="63"/>
    </row>
    <row r="384">
      <c r="C384" s="63"/>
      <c r="D384" s="63"/>
      <c r="E384" s="63"/>
      <c r="F384" s="63"/>
      <c r="I384" s="63"/>
    </row>
    <row r="385">
      <c r="C385" s="63"/>
      <c r="D385" s="63"/>
      <c r="E385" s="63"/>
      <c r="F385" s="63"/>
      <c r="I385" s="63"/>
    </row>
    <row r="386">
      <c r="C386" s="63"/>
      <c r="D386" s="63"/>
      <c r="E386" s="63"/>
      <c r="F386" s="63"/>
      <c r="I386" s="63"/>
    </row>
    <row r="387">
      <c r="C387" s="63"/>
      <c r="D387" s="63"/>
      <c r="E387" s="63"/>
      <c r="F387" s="63"/>
      <c r="I387" s="63"/>
    </row>
    <row r="388">
      <c r="C388" s="63"/>
      <c r="D388" s="63"/>
      <c r="E388" s="63"/>
      <c r="F388" s="63"/>
      <c r="I388" s="63"/>
    </row>
    <row r="389">
      <c r="C389" s="63"/>
      <c r="D389" s="63"/>
      <c r="E389" s="63"/>
      <c r="F389" s="63"/>
      <c r="I389" s="63"/>
    </row>
    <row r="390">
      <c r="C390" s="63"/>
      <c r="D390" s="63"/>
      <c r="E390" s="63"/>
      <c r="F390" s="63"/>
      <c r="I390" s="63"/>
    </row>
    <row r="391">
      <c r="C391" s="63"/>
      <c r="D391" s="63"/>
      <c r="E391" s="63"/>
      <c r="F391" s="63"/>
      <c r="I391" s="63"/>
    </row>
    <row r="392">
      <c r="C392" s="63"/>
      <c r="D392" s="63"/>
      <c r="E392" s="63"/>
      <c r="F392" s="63"/>
      <c r="I392" s="63"/>
    </row>
    <row r="393">
      <c r="C393" s="63"/>
      <c r="D393" s="63"/>
      <c r="E393" s="63"/>
      <c r="F393" s="63"/>
      <c r="I393" s="63"/>
    </row>
    <row r="394">
      <c r="C394" s="63"/>
      <c r="D394" s="63"/>
      <c r="E394" s="63"/>
      <c r="F394" s="63"/>
      <c r="I394" s="63"/>
    </row>
    <row r="395">
      <c r="C395" s="63"/>
      <c r="D395" s="63"/>
      <c r="E395" s="63"/>
      <c r="F395" s="63"/>
      <c r="I395" s="63"/>
    </row>
    <row r="396">
      <c r="C396" s="63"/>
      <c r="D396" s="63"/>
      <c r="E396" s="63"/>
      <c r="F396" s="63"/>
      <c r="I396" s="63"/>
    </row>
    <row r="397">
      <c r="C397" s="63"/>
      <c r="D397" s="63"/>
      <c r="E397" s="63"/>
      <c r="F397" s="63"/>
      <c r="I397" s="63"/>
    </row>
    <row r="398">
      <c r="C398" s="63"/>
      <c r="D398" s="63"/>
      <c r="E398" s="63"/>
      <c r="F398" s="63"/>
      <c r="I398" s="63"/>
    </row>
    <row r="399">
      <c r="C399" s="63"/>
      <c r="D399" s="63"/>
      <c r="E399" s="63"/>
      <c r="F399" s="63"/>
      <c r="I399" s="63"/>
    </row>
    <row r="400">
      <c r="C400" s="63"/>
      <c r="D400" s="63"/>
      <c r="E400" s="63"/>
      <c r="F400" s="63"/>
      <c r="I400" s="63"/>
    </row>
    <row r="401">
      <c r="C401" s="63"/>
      <c r="D401" s="63"/>
      <c r="E401" s="63"/>
      <c r="F401" s="63"/>
      <c r="I401" s="63"/>
    </row>
    <row r="402">
      <c r="C402" s="63"/>
      <c r="D402" s="63"/>
      <c r="E402" s="63"/>
      <c r="F402" s="63"/>
      <c r="I402" s="63"/>
    </row>
    <row r="403">
      <c r="C403" s="63"/>
      <c r="D403" s="63"/>
      <c r="E403" s="63"/>
      <c r="F403" s="63"/>
      <c r="I403" s="63"/>
    </row>
    <row r="404">
      <c r="C404" s="63"/>
      <c r="D404" s="63"/>
      <c r="E404" s="63"/>
      <c r="F404" s="63"/>
      <c r="I404" s="63"/>
    </row>
    <row r="405">
      <c r="C405" s="63"/>
      <c r="D405" s="63"/>
      <c r="E405" s="63"/>
      <c r="F405" s="63"/>
      <c r="I405" s="63"/>
    </row>
    <row r="406">
      <c r="C406" s="63"/>
      <c r="D406" s="63"/>
      <c r="E406" s="63"/>
      <c r="F406" s="63"/>
      <c r="I406" s="63"/>
    </row>
    <row r="407">
      <c r="C407" s="63"/>
      <c r="D407" s="63"/>
      <c r="E407" s="63"/>
      <c r="F407" s="63"/>
      <c r="I407" s="63"/>
    </row>
    <row r="408">
      <c r="C408" s="63"/>
      <c r="D408" s="63"/>
      <c r="E408" s="63"/>
      <c r="F408" s="63"/>
      <c r="I408" s="63"/>
    </row>
    <row r="409">
      <c r="C409" s="63"/>
      <c r="D409" s="63"/>
      <c r="E409" s="63"/>
      <c r="F409" s="63"/>
      <c r="I409" s="63"/>
    </row>
    <row r="410">
      <c r="C410" s="63"/>
      <c r="D410" s="63"/>
      <c r="E410" s="63"/>
      <c r="F410" s="63"/>
      <c r="I410" s="63"/>
    </row>
    <row r="411">
      <c r="C411" s="63"/>
      <c r="D411" s="63"/>
      <c r="E411" s="63"/>
      <c r="F411" s="63"/>
      <c r="I411" s="63"/>
    </row>
    <row r="412">
      <c r="C412" s="63"/>
      <c r="D412" s="63"/>
      <c r="E412" s="63"/>
      <c r="F412" s="63"/>
      <c r="I412" s="63"/>
    </row>
    <row r="413">
      <c r="C413" s="63"/>
      <c r="D413" s="63"/>
      <c r="E413" s="63"/>
      <c r="F413" s="63"/>
      <c r="I413" s="63"/>
    </row>
    <row r="414">
      <c r="C414" s="63"/>
      <c r="D414" s="63"/>
      <c r="E414" s="63"/>
      <c r="F414" s="63"/>
      <c r="I414" s="63"/>
    </row>
    <row r="415">
      <c r="C415" s="63"/>
      <c r="D415" s="63"/>
      <c r="E415" s="63"/>
      <c r="F415" s="63"/>
      <c r="I415" s="63"/>
    </row>
    <row r="416">
      <c r="C416" s="63"/>
      <c r="D416" s="63"/>
      <c r="E416" s="63"/>
      <c r="F416" s="63"/>
      <c r="I416" s="63"/>
    </row>
    <row r="417">
      <c r="C417" s="63"/>
      <c r="D417" s="63"/>
      <c r="E417" s="63"/>
      <c r="F417" s="63"/>
      <c r="I417" s="63"/>
    </row>
    <row r="418">
      <c r="C418" s="63"/>
      <c r="D418" s="63"/>
      <c r="E418" s="63"/>
      <c r="F418" s="63"/>
      <c r="I418" s="63"/>
    </row>
    <row r="419">
      <c r="C419" s="63"/>
      <c r="D419" s="63"/>
      <c r="E419" s="63"/>
      <c r="F419" s="63"/>
      <c r="I419" s="63"/>
    </row>
    <row r="420">
      <c r="C420" s="63"/>
      <c r="D420" s="63"/>
      <c r="E420" s="63"/>
      <c r="F420" s="63"/>
      <c r="I420" s="63"/>
    </row>
    <row r="421">
      <c r="C421" s="63"/>
      <c r="D421" s="63"/>
      <c r="E421" s="63"/>
      <c r="F421" s="63"/>
      <c r="I421" s="63"/>
    </row>
    <row r="422">
      <c r="C422" s="63"/>
      <c r="D422" s="63"/>
      <c r="E422" s="63"/>
      <c r="F422" s="63"/>
      <c r="I422" s="63"/>
    </row>
    <row r="423">
      <c r="C423" s="63"/>
      <c r="D423" s="63"/>
      <c r="E423" s="63"/>
      <c r="F423" s="63"/>
      <c r="I423" s="63"/>
    </row>
    <row r="424">
      <c r="C424" s="63"/>
      <c r="D424" s="63"/>
      <c r="E424" s="63"/>
      <c r="F424" s="63"/>
      <c r="I424" s="63"/>
    </row>
    <row r="425">
      <c r="C425" s="63"/>
      <c r="D425" s="63"/>
      <c r="E425" s="63"/>
      <c r="F425" s="63"/>
      <c r="I425" s="63"/>
    </row>
    <row r="426">
      <c r="C426" s="63"/>
      <c r="D426" s="63"/>
      <c r="E426" s="63"/>
      <c r="F426" s="63"/>
      <c r="I426" s="63"/>
    </row>
    <row r="427">
      <c r="C427" s="63"/>
      <c r="D427" s="63"/>
      <c r="E427" s="63"/>
      <c r="F427" s="63"/>
      <c r="I427" s="63"/>
    </row>
    <row r="428">
      <c r="C428" s="63"/>
      <c r="D428" s="63"/>
      <c r="E428" s="63"/>
      <c r="F428" s="63"/>
      <c r="I428" s="63"/>
    </row>
    <row r="429">
      <c r="C429" s="63"/>
      <c r="D429" s="63"/>
      <c r="E429" s="63"/>
      <c r="F429" s="63"/>
      <c r="I429" s="63"/>
    </row>
    <row r="430">
      <c r="C430" s="63"/>
      <c r="D430" s="63"/>
      <c r="E430" s="63"/>
      <c r="F430" s="63"/>
      <c r="I430" s="63"/>
    </row>
    <row r="431">
      <c r="C431" s="63"/>
      <c r="D431" s="63"/>
      <c r="E431" s="63"/>
      <c r="F431" s="63"/>
      <c r="I431" s="63"/>
    </row>
    <row r="432">
      <c r="C432" s="63"/>
      <c r="D432" s="63"/>
      <c r="E432" s="63"/>
      <c r="F432" s="63"/>
      <c r="I432" s="63"/>
    </row>
    <row r="433">
      <c r="C433" s="63"/>
      <c r="D433" s="63"/>
      <c r="E433" s="63"/>
      <c r="F433" s="63"/>
      <c r="I433" s="63"/>
    </row>
    <row r="434">
      <c r="C434" s="63"/>
      <c r="D434" s="63"/>
      <c r="E434" s="63"/>
      <c r="F434" s="63"/>
      <c r="I434" s="63"/>
    </row>
    <row r="435">
      <c r="C435" s="63"/>
      <c r="D435" s="63"/>
      <c r="E435" s="63"/>
      <c r="F435" s="63"/>
      <c r="I435" s="63"/>
    </row>
    <row r="436">
      <c r="C436" s="63"/>
      <c r="D436" s="63"/>
      <c r="E436" s="63"/>
      <c r="F436" s="63"/>
      <c r="I436" s="63"/>
    </row>
    <row r="437">
      <c r="C437" s="63"/>
      <c r="D437" s="63"/>
      <c r="E437" s="63"/>
      <c r="F437" s="63"/>
      <c r="I437" s="63"/>
    </row>
    <row r="438">
      <c r="C438" s="63"/>
      <c r="D438" s="63"/>
      <c r="E438" s="63"/>
      <c r="F438" s="63"/>
      <c r="I438" s="63"/>
    </row>
    <row r="439">
      <c r="C439" s="63"/>
      <c r="D439" s="63"/>
      <c r="E439" s="63"/>
      <c r="F439" s="63"/>
      <c r="I439" s="63"/>
    </row>
    <row r="440">
      <c r="C440" s="63"/>
      <c r="D440" s="63"/>
      <c r="E440" s="63"/>
      <c r="F440" s="63"/>
      <c r="I440" s="63"/>
    </row>
    <row r="441">
      <c r="C441" s="63"/>
      <c r="D441" s="63"/>
      <c r="E441" s="63"/>
      <c r="F441" s="63"/>
      <c r="I441" s="63"/>
    </row>
    <row r="442">
      <c r="C442" s="63"/>
      <c r="D442" s="63"/>
      <c r="E442" s="63"/>
      <c r="F442" s="63"/>
      <c r="I442" s="63"/>
    </row>
    <row r="443">
      <c r="C443" s="63"/>
      <c r="D443" s="63"/>
      <c r="E443" s="63"/>
      <c r="F443" s="63"/>
      <c r="I443" s="63"/>
    </row>
    <row r="444">
      <c r="C444" s="63"/>
      <c r="D444" s="63"/>
      <c r="E444" s="63"/>
      <c r="F444" s="63"/>
      <c r="I444" s="63"/>
    </row>
    <row r="445">
      <c r="C445" s="63"/>
      <c r="D445" s="63"/>
      <c r="E445" s="63"/>
      <c r="F445" s="63"/>
      <c r="I445" s="63"/>
    </row>
    <row r="446">
      <c r="C446" s="63"/>
      <c r="D446" s="63"/>
      <c r="E446" s="63"/>
      <c r="F446" s="63"/>
      <c r="I446" s="63"/>
    </row>
    <row r="447">
      <c r="C447" s="63"/>
      <c r="D447" s="63"/>
      <c r="E447" s="63"/>
      <c r="F447" s="63"/>
      <c r="I447" s="63"/>
    </row>
    <row r="448">
      <c r="C448" s="63"/>
      <c r="D448" s="63"/>
      <c r="E448" s="63"/>
      <c r="F448" s="63"/>
      <c r="I448" s="63"/>
    </row>
    <row r="449">
      <c r="C449" s="63"/>
      <c r="D449" s="63"/>
      <c r="E449" s="63"/>
      <c r="F449" s="63"/>
      <c r="I449" s="63"/>
    </row>
    <row r="450">
      <c r="C450" s="63"/>
      <c r="D450" s="63"/>
      <c r="E450" s="63"/>
      <c r="F450" s="63"/>
      <c r="I450" s="63"/>
    </row>
    <row r="451">
      <c r="C451" s="63"/>
      <c r="D451" s="63"/>
      <c r="E451" s="63"/>
      <c r="F451" s="63"/>
      <c r="I451" s="63"/>
    </row>
    <row r="452">
      <c r="C452" s="63"/>
      <c r="D452" s="63"/>
      <c r="E452" s="63"/>
      <c r="F452" s="63"/>
      <c r="I452" s="63"/>
    </row>
    <row r="453">
      <c r="C453" s="63"/>
      <c r="D453" s="63"/>
      <c r="E453" s="63"/>
      <c r="F453" s="63"/>
      <c r="I453" s="63"/>
    </row>
    <row r="454">
      <c r="C454" s="63"/>
      <c r="D454" s="63"/>
      <c r="E454" s="63"/>
      <c r="F454" s="63"/>
      <c r="I454" s="63"/>
    </row>
    <row r="455">
      <c r="C455" s="63"/>
      <c r="D455" s="63"/>
      <c r="E455" s="63"/>
      <c r="F455" s="63"/>
      <c r="I455" s="63"/>
    </row>
    <row r="456">
      <c r="C456" s="63"/>
      <c r="D456" s="63"/>
      <c r="E456" s="63"/>
      <c r="F456" s="63"/>
      <c r="I456" s="63"/>
    </row>
    <row r="457">
      <c r="C457" s="63"/>
      <c r="D457" s="63"/>
      <c r="E457" s="63"/>
      <c r="F457" s="63"/>
      <c r="I457" s="63"/>
    </row>
    <row r="458">
      <c r="C458" s="63"/>
      <c r="D458" s="63"/>
      <c r="E458" s="63"/>
      <c r="F458" s="63"/>
      <c r="I458" s="63"/>
    </row>
    <row r="459">
      <c r="C459" s="63"/>
      <c r="D459" s="63"/>
      <c r="E459" s="63"/>
      <c r="F459" s="63"/>
      <c r="I459" s="63"/>
    </row>
    <row r="460">
      <c r="C460" s="63"/>
      <c r="D460" s="63"/>
      <c r="E460" s="63"/>
      <c r="F460" s="63"/>
      <c r="I460" s="63"/>
    </row>
    <row r="461">
      <c r="C461" s="63"/>
      <c r="D461" s="63"/>
      <c r="E461" s="63"/>
      <c r="F461" s="63"/>
      <c r="I461" s="63"/>
    </row>
    <row r="462">
      <c r="C462" s="63"/>
      <c r="D462" s="63"/>
      <c r="E462" s="63"/>
      <c r="F462" s="63"/>
      <c r="I462" s="63"/>
    </row>
    <row r="463">
      <c r="C463" s="63"/>
      <c r="D463" s="63"/>
      <c r="E463" s="63"/>
      <c r="F463" s="63"/>
      <c r="I463" s="63"/>
    </row>
    <row r="464">
      <c r="C464" s="63"/>
      <c r="D464" s="63"/>
      <c r="E464" s="63"/>
      <c r="F464" s="63"/>
      <c r="I464" s="63"/>
    </row>
    <row r="465">
      <c r="C465" s="63"/>
      <c r="D465" s="63"/>
      <c r="E465" s="63"/>
      <c r="F465" s="63"/>
      <c r="I465" s="63"/>
    </row>
    <row r="466">
      <c r="C466" s="63"/>
      <c r="D466" s="63"/>
      <c r="E466" s="63"/>
      <c r="F466" s="63"/>
      <c r="I466" s="63"/>
    </row>
    <row r="467">
      <c r="C467" s="63"/>
      <c r="D467" s="63"/>
      <c r="E467" s="63"/>
      <c r="F467" s="63"/>
      <c r="I467" s="63"/>
    </row>
    <row r="468">
      <c r="C468" s="63"/>
      <c r="D468" s="63"/>
      <c r="E468" s="63"/>
      <c r="F468" s="63"/>
      <c r="I468" s="63"/>
    </row>
    <row r="469">
      <c r="C469" s="63"/>
      <c r="D469" s="63"/>
      <c r="E469" s="63"/>
      <c r="F469" s="63"/>
      <c r="I469" s="63"/>
    </row>
    <row r="470">
      <c r="C470" s="63"/>
      <c r="D470" s="63"/>
      <c r="E470" s="63"/>
      <c r="F470" s="63"/>
      <c r="I470" s="63"/>
    </row>
    <row r="471">
      <c r="C471" s="63"/>
      <c r="D471" s="63"/>
      <c r="E471" s="63"/>
      <c r="F471" s="63"/>
      <c r="I471" s="63"/>
    </row>
    <row r="472">
      <c r="C472" s="63"/>
      <c r="D472" s="63"/>
      <c r="E472" s="63"/>
      <c r="F472" s="63"/>
      <c r="I472" s="63"/>
    </row>
    <row r="473">
      <c r="C473" s="63"/>
      <c r="D473" s="63"/>
      <c r="E473" s="63"/>
      <c r="F473" s="63"/>
      <c r="I473" s="63"/>
    </row>
    <row r="474">
      <c r="C474" s="63"/>
      <c r="D474" s="63"/>
      <c r="E474" s="63"/>
      <c r="F474" s="63"/>
      <c r="I474" s="63"/>
    </row>
    <row r="475">
      <c r="C475" s="63"/>
      <c r="D475" s="63"/>
      <c r="E475" s="63"/>
      <c r="F475" s="63"/>
      <c r="I475" s="63"/>
    </row>
    <row r="476">
      <c r="C476" s="63"/>
      <c r="D476" s="63"/>
      <c r="E476" s="63"/>
      <c r="F476" s="63"/>
      <c r="I476" s="63"/>
    </row>
    <row r="477">
      <c r="C477" s="63"/>
      <c r="D477" s="63"/>
      <c r="E477" s="63"/>
      <c r="F477" s="63"/>
      <c r="I477" s="63"/>
    </row>
    <row r="478">
      <c r="C478" s="63"/>
      <c r="D478" s="63"/>
      <c r="E478" s="63"/>
      <c r="F478" s="63"/>
      <c r="I478" s="63"/>
    </row>
    <row r="479">
      <c r="C479" s="63"/>
      <c r="D479" s="63"/>
      <c r="E479" s="63"/>
      <c r="F479" s="63"/>
      <c r="I479" s="63"/>
    </row>
    <row r="480">
      <c r="C480" s="63"/>
      <c r="D480" s="63"/>
      <c r="E480" s="63"/>
      <c r="F480" s="63"/>
      <c r="I480" s="63"/>
    </row>
    <row r="481">
      <c r="C481" s="63"/>
      <c r="D481" s="63"/>
      <c r="E481" s="63"/>
      <c r="F481" s="63"/>
      <c r="I481" s="63"/>
    </row>
    <row r="482">
      <c r="C482" s="63"/>
      <c r="D482" s="63"/>
      <c r="E482" s="63"/>
      <c r="F482" s="63"/>
      <c r="I482" s="63"/>
    </row>
    <row r="483">
      <c r="C483" s="63"/>
      <c r="D483" s="63"/>
      <c r="E483" s="63"/>
      <c r="F483" s="63"/>
      <c r="I483" s="63"/>
    </row>
    <row r="484">
      <c r="C484" s="63"/>
      <c r="D484" s="63"/>
      <c r="E484" s="63"/>
      <c r="F484" s="63"/>
      <c r="I484" s="63"/>
    </row>
    <row r="485">
      <c r="C485" s="63"/>
      <c r="D485" s="63"/>
      <c r="E485" s="63"/>
      <c r="F485" s="63"/>
      <c r="I485" s="63"/>
    </row>
    <row r="486">
      <c r="C486" s="63"/>
      <c r="D486" s="63"/>
      <c r="E486" s="63"/>
      <c r="F486" s="63"/>
      <c r="I486" s="63"/>
    </row>
    <row r="487">
      <c r="C487" s="63"/>
      <c r="D487" s="63"/>
      <c r="E487" s="63"/>
      <c r="F487" s="63"/>
      <c r="I487" s="63"/>
    </row>
    <row r="488">
      <c r="C488" s="63"/>
      <c r="D488" s="63"/>
      <c r="E488" s="63"/>
      <c r="F488" s="63"/>
      <c r="I488" s="63"/>
    </row>
    <row r="489">
      <c r="C489" s="63"/>
      <c r="D489" s="63"/>
      <c r="E489" s="63"/>
      <c r="F489" s="63"/>
      <c r="I489" s="63"/>
    </row>
    <row r="490">
      <c r="C490" s="63"/>
      <c r="D490" s="63"/>
      <c r="E490" s="63"/>
      <c r="F490" s="63"/>
      <c r="I490" s="63"/>
    </row>
    <row r="491">
      <c r="C491" s="63"/>
      <c r="D491" s="63"/>
      <c r="E491" s="63"/>
      <c r="F491" s="63"/>
      <c r="I491" s="63"/>
    </row>
    <row r="492">
      <c r="C492" s="63"/>
      <c r="D492" s="63"/>
      <c r="E492" s="63"/>
      <c r="F492" s="63"/>
      <c r="I492" s="63"/>
    </row>
    <row r="493">
      <c r="C493" s="63"/>
      <c r="D493" s="63"/>
      <c r="E493" s="63"/>
      <c r="F493" s="63"/>
      <c r="I493" s="63"/>
    </row>
    <row r="494">
      <c r="C494" s="63"/>
      <c r="D494" s="63"/>
      <c r="E494" s="63"/>
      <c r="F494" s="63"/>
      <c r="I494" s="63"/>
    </row>
    <row r="495">
      <c r="C495" s="63"/>
      <c r="D495" s="63"/>
      <c r="E495" s="63"/>
      <c r="F495" s="63"/>
      <c r="I495" s="63"/>
    </row>
    <row r="496">
      <c r="C496" s="63"/>
      <c r="D496" s="63"/>
      <c r="E496" s="63"/>
      <c r="F496" s="63"/>
      <c r="I496" s="63"/>
    </row>
    <row r="497">
      <c r="C497" s="63"/>
      <c r="D497" s="63"/>
      <c r="E497" s="63"/>
      <c r="F497" s="63"/>
      <c r="I497" s="63"/>
    </row>
    <row r="498">
      <c r="C498" s="63"/>
      <c r="D498" s="63"/>
      <c r="E498" s="63"/>
      <c r="F498" s="63"/>
      <c r="I498" s="63"/>
    </row>
    <row r="499">
      <c r="C499" s="63"/>
      <c r="D499" s="63"/>
      <c r="E499" s="63"/>
      <c r="F499" s="63"/>
      <c r="I499" s="63"/>
    </row>
    <row r="500">
      <c r="C500" s="63"/>
      <c r="D500" s="63"/>
      <c r="E500" s="63"/>
      <c r="F500" s="63"/>
      <c r="I500" s="63"/>
    </row>
    <row r="501">
      <c r="C501" s="63"/>
      <c r="D501" s="63"/>
      <c r="E501" s="63"/>
      <c r="F501" s="63"/>
      <c r="I501" s="63"/>
    </row>
    <row r="502">
      <c r="C502" s="63"/>
      <c r="D502" s="63"/>
      <c r="E502" s="63"/>
      <c r="F502" s="63"/>
      <c r="I502" s="63"/>
    </row>
    <row r="503">
      <c r="C503" s="63"/>
      <c r="D503" s="63"/>
      <c r="E503" s="63"/>
      <c r="F503" s="63"/>
      <c r="I503" s="63"/>
    </row>
    <row r="504">
      <c r="C504" s="63"/>
      <c r="D504" s="63"/>
      <c r="E504" s="63"/>
      <c r="F504" s="63"/>
      <c r="I504" s="63"/>
    </row>
    <row r="505">
      <c r="C505" s="63"/>
      <c r="D505" s="63"/>
      <c r="E505" s="63"/>
      <c r="F505" s="63"/>
      <c r="I505" s="63"/>
    </row>
    <row r="506">
      <c r="C506" s="63"/>
      <c r="D506" s="63"/>
      <c r="E506" s="63"/>
      <c r="F506" s="63"/>
      <c r="I506" s="63"/>
    </row>
    <row r="507">
      <c r="C507" s="63"/>
      <c r="D507" s="63"/>
      <c r="E507" s="63"/>
      <c r="F507" s="63"/>
      <c r="I507" s="63"/>
    </row>
    <row r="508">
      <c r="C508" s="63"/>
      <c r="D508" s="63"/>
      <c r="E508" s="63"/>
      <c r="F508" s="63"/>
      <c r="I508" s="63"/>
    </row>
    <row r="509">
      <c r="C509" s="63"/>
      <c r="D509" s="63"/>
      <c r="E509" s="63"/>
      <c r="F509" s="63"/>
      <c r="I509" s="63"/>
    </row>
    <row r="510">
      <c r="C510" s="63"/>
      <c r="D510" s="63"/>
      <c r="E510" s="63"/>
      <c r="F510" s="63"/>
      <c r="I510" s="63"/>
    </row>
    <row r="511">
      <c r="C511" s="63"/>
      <c r="D511" s="63"/>
      <c r="E511" s="63"/>
      <c r="F511" s="63"/>
      <c r="I511" s="63"/>
    </row>
    <row r="512">
      <c r="C512" s="63"/>
      <c r="D512" s="63"/>
      <c r="E512" s="63"/>
      <c r="F512" s="63"/>
      <c r="I512" s="63"/>
    </row>
    <row r="513">
      <c r="C513" s="63"/>
      <c r="D513" s="63"/>
      <c r="E513" s="63"/>
      <c r="F513" s="63"/>
      <c r="I513" s="63"/>
    </row>
    <row r="514">
      <c r="C514" s="63"/>
      <c r="D514" s="63"/>
      <c r="E514" s="63"/>
      <c r="F514" s="63"/>
      <c r="I514" s="63"/>
    </row>
    <row r="515">
      <c r="C515" s="63"/>
      <c r="D515" s="63"/>
      <c r="E515" s="63"/>
      <c r="F515" s="63"/>
      <c r="I515" s="63"/>
    </row>
    <row r="516">
      <c r="C516" s="63"/>
      <c r="D516" s="63"/>
      <c r="E516" s="63"/>
      <c r="F516" s="63"/>
      <c r="I516" s="63"/>
    </row>
    <row r="517">
      <c r="C517" s="63"/>
      <c r="D517" s="63"/>
      <c r="E517" s="63"/>
      <c r="F517" s="63"/>
      <c r="I517" s="63"/>
    </row>
    <row r="518">
      <c r="C518" s="63"/>
      <c r="D518" s="63"/>
      <c r="E518" s="63"/>
      <c r="F518" s="63"/>
      <c r="I518" s="63"/>
    </row>
    <row r="519">
      <c r="C519" s="63"/>
      <c r="D519" s="63"/>
      <c r="E519" s="63"/>
      <c r="F519" s="63"/>
      <c r="I519" s="63"/>
    </row>
    <row r="520">
      <c r="C520" s="63"/>
      <c r="D520" s="63"/>
      <c r="E520" s="63"/>
      <c r="F520" s="63"/>
      <c r="I520" s="63"/>
    </row>
    <row r="521">
      <c r="C521" s="63"/>
      <c r="D521" s="63"/>
      <c r="E521" s="63"/>
      <c r="F521" s="63"/>
      <c r="I521" s="63"/>
    </row>
    <row r="522">
      <c r="C522" s="63"/>
      <c r="D522" s="63"/>
      <c r="E522" s="63"/>
      <c r="F522" s="63"/>
      <c r="I522" s="63"/>
    </row>
    <row r="523">
      <c r="C523" s="63"/>
      <c r="D523" s="63"/>
      <c r="E523" s="63"/>
      <c r="F523" s="63"/>
      <c r="I523" s="63"/>
    </row>
    <row r="524">
      <c r="C524" s="63"/>
      <c r="D524" s="63"/>
      <c r="E524" s="63"/>
      <c r="F524" s="63"/>
      <c r="I524" s="63"/>
    </row>
    <row r="525">
      <c r="C525" s="63"/>
      <c r="D525" s="63"/>
      <c r="E525" s="63"/>
      <c r="F525" s="63"/>
      <c r="I525" s="63"/>
    </row>
    <row r="526">
      <c r="C526" s="63"/>
      <c r="D526" s="63"/>
      <c r="E526" s="63"/>
      <c r="F526" s="63"/>
      <c r="I526" s="63"/>
    </row>
    <row r="527">
      <c r="C527" s="63"/>
      <c r="D527" s="63"/>
      <c r="E527" s="63"/>
      <c r="F527" s="63"/>
      <c r="I527" s="63"/>
    </row>
    <row r="528">
      <c r="C528" s="63"/>
      <c r="D528" s="63"/>
      <c r="E528" s="63"/>
      <c r="F528" s="63"/>
      <c r="I528" s="63"/>
    </row>
    <row r="529">
      <c r="C529" s="63"/>
      <c r="D529" s="63"/>
      <c r="E529" s="63"/>
      <c r="F529" s="63"/>
      <c r="I529" s="63"/>
    </row>
    <row r="530">
      <c r="C530" s="63"/>
      <c r="D530" s="63"/>
      <c r="E530" s="63"/>
      <c r="F530" s="63"/>
      <c r="I530" s="63"/>
    </row>
    <row r="531">
      <c r="C531" s="63"/>
      <c r="D531" s="63"/>
      <c r="E531" s="63"/>
      <c r="F531" s="63"/>
      <c r="I531" s="63"/>
    </row>
    <row r="532">
      <c r="C532" s="63"/>
      <c r="D532" s="63"/>
      <c r="E532" s="63"/>
      <c r="F532" s="63"/>
      <c r="I532" s="63"/>
    </row>
    <row r="533">
      <c r="C533" s="63"/>
      <c r="D533" s="63"/>
      <c r="E533" s="63"/>
      <c r="F533" s="63"/>
      <c r="I533" s="63"/>
    </row>
    <row r="534">
      <c r="C534" s="63"/>
      <c r="D534" s="63"/>
      <c r="E534" s="63"/>
      <c r="F534" s="63"/>
      <c r="I534" s="63"/>
    </row>
    <row r="535">
      <c r="C535" s="63"/>
      <c r="D535" s="63"/>
      <c r="E535" s="63"/>
      <c r="F535" s="63"/>
      <c r="I535" s="63"/>
    </row>
    <row r="536">
      <c r="C536" s="63"/>
      <c r="D536" s="63"/>
      <c r="E536" s="63"/>
      <c r="F536" s="63"/>
      <c r="I536" s="63"/>
    </row>
    <row r="537">
      <c r="C537" s="63"/>
      <c r="D537" s="63"/>
      <c r="E537" s="63"/>
      <c r="F537" s="63"/>
      <c r="I537" s="63"/>
    </row>
    <row r="538">
      <c r="C538" s="63"/>
      <c r="D538" s="63"/>
      <c r="E538" s="63"/>
      <c r="F538" s="63"/>
      <c r="I538" s="63"/>
    </row>
    <row r="539">
      <c r="C539" s="63"/>
      <c r="D539" s="63"/>
      <c r="E539" s="63"/>
      <c r="F539" s="63"/>
      <c r="I539" s="63"/>
    </row>
    <row r="540">
      <c r="C540" s="63"/>
      <c r="D540" s="63"/>
      <c r="E540" s="63"/>
      <c r="F540" s="63"/>
      <c r="I540" s="63"/>
    </row>
    <row r="541">
      <c r="C541" s="63"/>
      <c r="D541" s="63"/>
      <c r="E541" s="63"/>
      <c r="F541" s="63"/>
      <c r="I541" s="63"/>
    </row>
    <row r="542">
      <c r="C542" s="63"/>
      <c r="D542" s="63"/>
      <c r="E542" s="63"/>
      <c r="F542" s="63"/>
      <c r="I542" s="63"/>
    </row>
    <row r="543">
      <c r="C543" s="63"/>
      <c r="D543" s="63"/>
      <c r="E543" s="63"/>
      <c r="F543" s="63"/>
      <c r="I543" s="63"/>
    </row>
    <row r="544">
      <c r="C544" s="63"/>
      <c r="D544" s="63"/>
      <c r="E544" s="63"/>
      <c r="F544" s="63"/>
      <c r="I544" s="63"/>
    </row>
    <row r="545">
      <c r="C545" s="63"/>
      <c r="D545" s="63"/>
      <c r="E545" s="63"/>
      <c r="F545" s="63"/>
      <c r="I545" s="63"/>
    </row>
    <row r="546">
      <c r="C546" s="63"/>
      <c r="D546" s="63"/>
      <c r="E546" s="63"/>
      <c r="F546" s="63"/>
      <c r="I546" s="63"/>
    </row>
    <row r="547">
      <c r="C547" s="63"/>
      <c r="D547" s="63"/>
      <c r="E547" s="63"/>
      <c r="F547" s="63"/>
      <c r="I547" s="63"/>
    </row>
    <row r="548">
      <c r="C548" s="63"/>
      <c r="D548" s="63"/>
      <c r="E548" s="63"/>
      <c r="F548" s="63"/>
      <c r="I548" s="63"/>
    </row>
    <row r="549">
      <c r="C549" s="63"/>
      <c r="D549" s="63"/>
      <c r="E549" s="63"/>
      <c r="F549" s="63"/>
      <c r="I549" s="63"/>
    </row>
    <row r="550">
      <c r="C550" s="63"/>
      <c r="D550" s="63"/>
      <c r="E550" s="63"/>
      <c r="F550" s="63"/>
      <c r="I550" s="63"/>
    </row>
    <row r="551">
      <c r="C551" s="63"/>
      <c r="D551" s="63"/>
      <c r="E551" s="63"/>
      <c r="F551" s="63"/>
      <c r="I551" s="63"/>
    </row>
    <row r="552">
      <c r="C552" s="63"/>
      <c r="D552" s="63"/>
      <c r="E552" s="63"/>
      <c r="F552" s="63"/>
      <c r="I552" s="63"/>
    </row>
    <row r="553">
      <c r="C553" s="63"/>
      <c r="D553" s="63"/>
      <c r="E553" s="63"/>
      <c r="F553" s="63"/>
      <c r="I553" s="63"/>
    </row>
    <row r="554">
      <c r="C554" s="63"/>
      <c r="D554" s="63"/>
      <c r="E554" s="63"/>
      <c r="F554" s="63"/>
      <c r="I554" s="63"/>
    </row>
    <row r="555">
      <c r="C555" s="63"/>
      <c r="D555" s="63"/>
      <c r="E555" s="63"/>
      <c r="F555" s="63"/>
      <c r="I555" s="63"/>
    </row>
    <row r="556">
      <c r="C556" s="63"/>
      <c r="D556" s="63"/>
      <c r="E556" s="63"/>
      <c r="F556" s="63"/>
      <c r="I556" s="63"/>
    </row>
    <row r="557">
      <c r="C557" s="63"/>
      <c r="D557" s="63"/>
      <c r="E557" s="63"/>
      <c r="F557" s="63"/>
      <c r="I557" s="63"/>
    </row>
    <row r="558">
      <c r="C558" s="63"/>
      <c r="D558" s="63"/>
      <c r="E558" s="63"/>
      <c r="F558" s="63"/>
      <c r="I558" s="63"/>
    </row>
    <row r="559">
      <c r="C559" s="63"/>
      <c r="D559" s="63"/>
      <c r="E559" s="63"/>
      <c r="F559" s="63"/>
      <c r="I559" s="63"/>
    </row>
    <row r="560">
      <c r="C560" s="63"/>
      <c r="D560" s="63"/>
      <c r="E560" s="63"/>
      <c r="F560" s="63"/>
      <c r="I560" s="63"/>
    </row>
    <row r="561">
      <c r="C561" s="63"/>
      <c r="D561" s="63"/>
      <c r="E561" s="63"/>
      <c r="F561" s="63"/>
      <c r="I561" s="63"/>
    </row>
    <row r="562">
      <c r="C562" s="63"/>
      <c r="D562" s="63"/>
      <c r="E562" s="63"/>
      <c r="F562" s="63"/>
      <c r="I562" s="63"/>
    </row>
    <row r="563">
      <c r="C563" s="63"/>
      <c r="D563" s="63"/>
      <c r="E563" s="63"/>
      <c r="F563" s="63"/>
      <c r="I563" s="63"/>
    </row>
    <row r="564">
      <c r="C564" s="63"/>
      <c r="D564" s="63"/>
      <c r="E564" s="63"/>
      <c r="F564" s="63"/>
      <c r="I564" s="63"/>
    </row>
    <row r="565">
      <c r="C565" s="63"/>
      <c r="D565" s="63"/>
      <c r="E565" s="63"/>
      <c r="F565" s="63"/>
      <c r="I565" s="63"/>
    </row>
    <row r="566">
      <c r="C566" s="63"/>
      <c r="D566" s="63"/>
      <c r="E566" s="63"/>
      <c r="F566" s="63"/>
      <c r="I566" s="63"/>
    </row>
    <row r="567">
      <c r="C567" s="63"/>
      <c r="D567" s="63"/>
      <c r="E567" s="63"/>
      <c r="F567" s="63"/>
      <c r="I567" s="63"/>
    </row>
    <row r="568">
      <c r="C568" s="63"/>
      <c r="D568" s="63"/>
      <c r="E568" s="63"/>
      <c r="F568" s="63"/>
      <c r="I568" s="63"/>
    </row>
    <row r="569">
      <c r="C569" s="63"/>
      <c r="D569" s="63"/>
      <c r="E569" s="63"/>
      <c r="F569" s="63"/>
      <c r="I569" s="63"/>
    </row>
    <row r="570">
      <c r="C570" s="63"/>
      <c r="D570" s="63"/>
      <c r="E570" s="63"/>
      <c r="F570" s="63"/>
      <c r="I570" s="63"/>
    </row>
    <row r="571">
      <c r="C571" s="63"/>
      <c r="D571" s="63"/>
      <c r="E571" s="63"/>
      <c r="F571" s="63"/>
      <c r="I571" s="63"/>
    </row>
    <row r="572">
      <c r="C572" s="63"/>
      <c r="D572" s="63"/>
      <c r="E572" s="63"/>
      <c r="F572" s="63"/>
      <c r="I572" s="63"/>
    </row>
    <row r="573">
      <c r="C573" s="63"/>
      <c r="D573" s="63"/>
      <c r="E573" s="63"/>
      <c r="F573" s="63"/>
      <c r="I573" s="63"/>
    </row>
    <row r="574">
      <c r="C574" s="63"/>
      <c r="D574" s="63"/>
      <c r="E574" s="63"/>
      <c r="F574" s="63"/>
      <c r="I574" s="63"/>
    </row>
    <row r="575">
      <c r="C575" s="63"/>
      <c r="D575" s="63"/>
      <c r="E575" s="63"/>
      <c r="F575" s="63"/>
      <c r="I575" s="63"/>
    </row>
    <row r="576">
      <c r="C576" s="63"/>
      <c r="D576" s="63"/>
      <c r="E576" s="63"/>
      <c r="F576" s="63"/>
      <c r="I576" s="63"/>
    </row>
    <row r="577">
      <c r="C577" s="63"/>
      <c r="D577" s="63"/>
      <c r="E577" s="63"/>
      <c r="F577" s="63"/>
      <c r="I577" s="63"/>
    </row>
    <row r="578">
      <c r="C578" s="63"/>
      <c r="D578" s="63"/>
      <c r="E578" s="63"/>
      <c r="F578" s="63"/>
      <c r="I578" s="63"/>
    </row>
    <row r="579">
      <c r="C579" s="63"/>
      <c r="D579" s="63"/>
      <c r="E579" s="63"/>
      <c r="F579" s="63"/>
      <c r="I579" s="63"/>
    </row>
    <row r="580">
      <c r="C580" s="63"/>
      <c r="D580" s="63"/>
      <c r="E580" s="63"/>
      <c r="F580" s="63"/>
      <c r="I580" s="63"/>
    </row>
    <row r="581">
      <c r="C581" s="63"/>
      <c r="D581" s="63"/>
      <c r="E581" s="63"/>
      <c r="F581" s="63"/>
      <c r="I581" s="63"/>
    </row>
    <row r="582">
      <c r="C582" s="63"/>
      <c r="D582" s="63"/>
      <c r="E582" s="63"/>
      <c r="F582" s="63"/>
      <c r="I582" s="63"/>
    </row>
    <row r="583">
      <c r="C583" s="63"/>
      <c r="D583" s="63"/>
      <c r="E583" s="63"/>
      <c r="F583" s="63"/>
      <c r="I583" s="63"/>
    </row>
    <row r="584">
      <c r="C584" s="63"/>
      <c r="D584" s="63"/>
      <c r="E584" s="63"/>
      <c r="F584" s="63"/>
      <c r="I584" s="63"/>
    </row>
    <row r="585">
      <c r="C585" s="63"/>
      <c r="D585" s="63"/>
      <c r="E585" s="63"/>
      <c r="F585" s="63"/>
      <c r="I585" s="63"/>
    </row>
    <row r="586">
      <c r="C586" s="63"/>
      <c r="D586" s="63"/>
      <c r="E586" s="63"/>
      <c r="F586" s="63"/>
      <c r="I586" s="63"/>
    </row>
    <row r="587">
      <c r="C587" s="63"/>
      <c r="D587" s="63"/>
      <c r="E587" s="63"/>
      <c r="F587" s="63"/>
      <c r="I587" s="63"/>
    </row>
    <row r="588">
      <c r="C588" s="63"/>
      <c r="D588" s="63"/>
      <c r="E588" s="63"/>
      <c r="F588" s="63"/>
      <c r="I588" s="63"/>
    </row>
    <row r="589">
      <c r="C589" s="63"/>
      <c r="D589" s="63"/>
      <c r="E589" s="63"/>
      <c r="F589" s="63"/>
      <c r="I589" s="63"/>
    </row>
    <row r="590">
      <c r="C590" s="63"/>
      <c r="D590" s="63"/>
      <c r="E590" s="63"/>
      <c r="F590" s="63"/>
      <c r="I590" s="63"/>
    </row>
    <row r="591">
      <c r="C591" s="63"/>
      <c r="D591" s="63"/>
      <c r="E591" s="63"/>
      <c r="F591" s="63"/>
      <c r="I591" s="63"/>
    </row>
    <row r="592">
      <c r="C592" s="63"/>
      <c r="D592" s="63"/>
      <c r="E592" s="63"/>
      <c r="F592" s="63"/>
      <c r="I592" s="63"/>
    </row>
    <row r="593">
      <c r="C593" s="63"/>
      <c r="D593" s="63"/>
      <c r="E593" s="63"/>
      <c r="F593" s="63"/>
      <c r="I593" s="63"/>
    </row>
    <row r="594">
      <c r="C594" s="63"/>
      <c r="D594" s="63"/>
      <c r="E594" s="63"/>
      <c r="F594" s="63"/>
      <c r="I594" s="63"/>
    </row>
    <row r="595">
      <c r="C595" s="63"/>
      <c r="D595" s="63"/>
      <c r="E595" s="63"/>
      <c r="F595" s="63"/>
      <c r="I595" s="63"/>
    </row>
    <row r="596">
      <c r="C596" s="63"/>
      <c r="D596" s="63"/>
      <c r="E596" s="63"/>
      <c r="F596" s="63"/>
      <c r="I596" s="63"/>
    </row>
    <row r="597">
      <c r="C597" s="63"/>
      <c r="D597" s="63"/>
      <c r="E597" s="63"/>
      <c r="F597" s="63"/>
      <c r="I597" s="63"/>
    </row>
    <row r="598">
      <c r="C598" s="63"/>
      <c r="D598" s="63"/>
      <c r="E598" s="63"/>
      <c r="F598" s="63"/>
      <c r="I598" s="63"/>
    </row>
    <row r="599">
      <c r="C599" s="63"/>
      <c r="D599" s="63"/>
      <c r="E599" s="63"/>
      <c r="F599" s="63"/>
      <c r="I599" s="63"/>
    </row>
    <row r="600">
      <c r="C600" s="63"/>
      <c r="D600" s="63"/>
      <c r="E600" s="63"/>
      <c r="F600" s="63"/>
      <c r="I600" s="63"/>
    </row>
    <row r="601">
      <c r="C601" s="63"/>
      <c r="D601" s="63"/>
      <c r="E601" s="63"/>
      <c r="F601" s="63"/>
      <c r="I601" s="63"/>
    </row>
    <row r="602">
      <c r="C602" s="63"/>
      <c r="D602" s="63"/>
      <c r="E602" s="63"/>
      <c r="F602" s="63"/>
      <c r="I602" s="63"/>
    </row>
    <row r="603">
      <c r="C603" s="63"/>
      <c r="D603" s="63"/>
      <c r="E603" s="63"/>
      <c r="F603" s="63"/>
      <c r="I603" s="63"/>
    </row>
    <row r="604">
      <c r="C604" s="63"/>
      <c r="D604" s="63"/>
      <c r="E604" s="63"/>
      <c r="F604" s="63"/>
      <c r="I604" s="63"/>
    </row>
    <row r="605">
      <c r="C605" s="63"/>
      <c r="D605" s="63"/>
      <c r="E605" s="63"/>
      <c r="F605" s="63"/>
      <c r="I605" s="63"/>
    </row>
    <row r="606">
      <c r="C606" s="63"/>
      <c r="D606" s="63"/>
      <c r="E606" s="63"/>
      <c r="F606" s="63"/>
      <c r="I606" s="63"/>
    </row>
    <row r="607">
      <c r="C607" s="63"/>
      <c r="D607" s="63"/>
      <c r="E607" s="63"/>
      <c r="F607" s="63"/>
      <c r="I607" s="63"/>
    </row>
    <row r="608">
      <c r="C608" s="63"/>
      <c r="D608" s="63"/>
      <c r="E608" s="63"/>
      <c r="F608" s="63"/>
      <c r="I608" s="63"/>
    </row>
    <row r="609">
      <c r="C609" s="63"/>
      <c r="D609" s="63"/>
      <c r="E609" s="63"/>
      <c r="F609" s="63"/>
      <c r="I609" s="63"/>
    </row>
    <row r="610">
      <c r="C610" s="63"/>
      <c r="D610" s="63"/>
      <c r="E610" s="63"/>
      <c r="F610" s="63"/>
      <c r="I610" s="63"/>
    </row>
    <row r="611">
      <c r="C611" s="63"/>
      <c r="D611" s="63"/>
      <c r="E611" s="63"/>
      <c r="F611" s="63"/>
      <c r="I611" s="63"/>
    </row>
    <row r="612">
      <c r="C612" s="63"/>
      <c r="D612" s="63"/>
      <c r="E612" s="63"/>
      <c r="F612" s="63"/>
      <c r="I612" s="63"/>
    </row>
    <row r="613">
      <c r="C613" s="63"/>
      <c r="D613" s="63"/>
      <c r="E613" s="63"/>
      <c r="F613" s="63"/>
      <c r="I613" s="63"/>
    </row>
    <row r="614">
      <c r="C614" s="63"/>
      <c r="D614" s="63"/>
      <c r="E614" s="63"/>
      <c r="F614" s="63"/>
      <c r="I614" s="63"/>
    </row>
    <row r="615">
      <c r="C615" s="63"/>
      <c r="D615" s="63"/>
      <c r="E615" s="63"/>
      <c r="F615" s="63"/>
      <c r="I615" s="63"/>
    </row>
    <row r="616">
      <c r="C616" s="63"/>
      <c r="D616" s="63"/>
      <c r="E616" s="63"/>
      <c r="F616" s="63"/>
      <c r="I616" s="63"/>
    </row>
    <row r="617">
      <c r="C617" s="63"/>
      <c r="D617" s="63"/>
      <c r="E617" s="63"/>
      <c r="F617" s="63"/>
      <c r="I617" s="63"/>
    </row>
    <row r="618">
      <c r="C618" s="63"/>
      <c r="D618" s="63"/>
      <c r="E618" s="63"/>
      <c r="F618" s="63"/>
      <c r="I618" s="63"/>
    </row>
    <row r="619">
      <c r="C619" s="63"/>
      <c r="D619" s="63"/>
      <c r="E619" s="63"/>
      <c r="F619" s="63"/>
      <c r="I619" s="63"/>
    </row>
    <row r="620">
      <c r="C620" s="63"/>
      <c r="D620" s="63"/>
      <c r="E620" s="63"/>
      <c r="F620" s="63"/>
      <c r="I620" s="63"/>
    </row>
    <row r="621">
      <c r="C621" s="63"/>
      <c r="D621" s="63"/>
      <c r="E621" s="63"/>
      <c r="F621" s="63"/>
      <c r="I621" s="63"/>
    </row>
    <row r="622">
      <c r="C622" s="63"/>
      <c r="D622" s="63"/>
      <c r="E622" s="63"/>
      <c r="F622" s="63"/>
      <c r="I622" s="63"/>
    </row>
    <row r="623">
      <c r="C623" s="63"/>
      <c r="D623" s="63"/>
      <c r="E623" s="63"/>
      <c r="F623" s="63"/>
      <c r="I623" s="63"/>
    </row>
    <row r="624">
      <c r="C624" s="63"/>
      <c r="D624" s="63"/>
      <c r="E624" s="63"/>
      <c r="F624" s="63"/>
      <c r="I624" s="63"/>
    </row>
    <row r="625">
      <c r="C625" s="63"/>
      <c r="D625" s="63"/>
      <c r="E625" s="63"/>
      <c r="F625" s="63"/>
      <c r="I625" s="63"/>
    </row>
    <row r="626">
      <c r="C626" s="63"/>
      <c r="D626" s="63"/>
      <c r="E626" s="63"/>
      <c r="F626" s="63"/>
      <c r="I626" s="63"/>
    </row>
    <row r="627">
      <c r="C627" s="63"/>
      <c r="D627" s="63"/>
      <c r="E627" s="63"/>
      <c r="F627" s="63"/>
      <c r="I627" s="63"/>
    </row>
    <row r="628">
      <c r="C628" s="63"/>
      <c r="D628" s="63"/>
      <c r="E628" s="63"/>
      <c r="F628" s="63"/>
      <c r="I628" s="63"/>
    </row>
    <row r="629">
      <c r="C629" s="63"/>
      <c r="D629" s="63"/>
      <c r="E629" s="63"/>
      <c r="F629" s="63"/>
      <c r="I629" s="63"/>
    </row>
    <row r="630">
      <c r="C630" s="63"/>
      <c r="D630" s="63"/>
      <c r="E630" s="63"/>
      <c r="F630" s="63"/>
      <c r="I630" s="63"/>
    </row>
    <row r="631">
      <c r="C631" s="63"/>
      <c r="D631" s="63"/>
      <c r="E631" s="63"/>
      <c r="F631" s="63"/>
      <c r="I631" s="63"/>
    </row>
    <row r="632">
      <c r="C632" s="63"/>
      <c r="D632" s="63"/>
      <c r="E632" s="63"/>
      <c r="F632" s="63"/>
      <c r="I632" s="63"/>
    </row>
    <row r="633">
      <c r="C633" s="63"/>
      <c r="D633" s="63"/>
      <c r="E633" s="63"/>
      <c r="F633" s="63"/>
      <c r="I633" s="63"/>
    </row>
    <row r="634">
      <c r="C634" s="63"/>
      <c r="D634" s="63"/>
      <c r="E634" s="63"/>
      <c r="F634" s="63"/>
      <c r="I634" s="63"/>
    </row>
    <row r="635">
      <c r="C635" s="63"/>
      <c r="D635" s="63"/>
      <c r="E635" s="63"/>
      <c r="F635" s="63"/>
      <c r="I635" s="63"/>
    </row>
    <row r="636">
      <c r="C636" s="63"/>
      <c r="D636" s="63"/>
      <c r="E636" s="63"/>
      <c r="F636" s="63"/>
      <c r="I636" s="63"/>
    </row>
    <row r="637">
      <c r="C637" s="63"/>
      <c r="D637" s="63"/>
      <c r="E637" s="63"/>
      <c r="F637" s="63"/>
      <c r="I637" s="63"/>
    </row>
    <row r="638">
      <c r="C638" s="63"/>
      <c r="D638" s="63"/>
      <c r="E638" s="63"/>
      <c r="F638" s="63"/>
      <c r="I638" s="63"/>
    </row>
    <row r="639">
      <c r="C639" s="63"/>
      <c r="D639" s="63"/>
      <c r="E639" s="63"/>
      <c r="F639" s="63"/>
      <c r="I639" s="63"/>
    </row>
    <row r="640">
      <c r="C640" s="63"/>
      <c r="D640" s="63"/>
      <c r="E640" s="63"/>
      <c r="F640" s="63"/>
      <c r="I640" s="63"/>
    </row>
    <row r="641">
      <c r="C641" s="63"/>
      <c r="D641" s="63"/>
      <c r="E641" s="63"/>
      <c r="F641" s="63"/>
      <c r="I641" s="63"/>
    </row>
    <row r="642">
      <c r="C642" s="63"/>
      <c r="D642" s="63"/>
      <c r="E642" s="63"/>
      <c r="F642" s="63"/>
      <c r="I642" s="63"/>
    </row>
    <row r="643">
      <c r="C643" s="63"/>
      <c r="D643" s="63"/>
      <c r="E643" s="63"/>
      <c r="F643" s="63"/>
      <c r="I643" s="63"/>
    </row>
    <row r="644">
      <c r="C644" s="63"/>
      <c r="D644" s="63"/>
      <c r="E644" s="63"/>
      <c r="F644" s="63"/>
      <c r="I644" s="63"/>
    </row>
    <row r="645">
      <c r="C645" s="63"/>
      <c r="D645" s="63"/>
      <c r="E645" s="63"/>
      <c r="F645" s="63"/>
      <c r="I645" s="63"/>
    </row>
    <row r="646">
      <c r="C646" s="63"/>
      <c r="D646" s="63"/>
      <c r="E646" s="63"/>
      <c r="F646" s="63"/>
      <c r="I646" s="63"/>
    </row>
    <row r="647">
      <c r="C647" s="63"/>
      <c r="D647" s="63"/>
      <c r="E647" s="63"/>
      <c r="F647" s="63"/>
      <c r="I647" s="63"/>
    </row>
    <row r="648">
      <c r="C648" s="63"/>
      <c r="D648" s="63"/>
      <c r="E648" s="63"/>
      <c r="F648" s="63"/>
      <c r="I648" s="63"/>
    </row>
    <row r="649">
      <c r="C649" s="63"/>
      <c r="D649" s="63"/>
      <c r="E649" s="63"/>
      <c r="F649" s="63"/>
      <c r="I649" s="63"/>
    </row>
    <row r="650">
      <c r="C650" s="63"/>
      <c r="D650" s="63"/>
      <c r="E650" s="63"/>
      <c r="F650" s="63"/>
      <c r="I650" s="63"/>
    </row>
    <row r="651">
      <c r="C651" s="63"/>
      <c r="D651" s="63"/>
      <c r="E651" s="63"/>
      <c r="F651" s="63"/>
      <c r="I651" s="63"/>
    </row>
    <row r="652">
      <c r="C652" s="63"/>
      <c r="D652" s="63"/>
      <c r="E652" s="63"/>
      <c r="F652" s="63"/>
      <c r="I652" s="63"/>
    </row>
    <row r="653">
      <c r="C653" s="63"/>
      <c r="D653" s="63"/>
      <c r="E653" s="63"/>
      <c r="F653" s="63"/>
      <c r="I653" s="63"/>
    </row>
    <row r="654">
      <c r="C654" s="63"/>
      <c r="D654" s="63"/>
      <c r="E654" s="63"/>
      <c r="F654" s="63"/>
      <c r="I654" s="63"/>
    </row>
    <row r="655">
      <c r="C655" s="63"/>
      <c r="D655" s="63"/>
      <c r="E655" s="63"/>
      <c r="F655" s="63"/>
      <c r="I655" s="63"/>
    </row>
    <row r="656">
      <c r="C656" s="63"/>
      <c r="D656" s="63"/>
      <c r="E656" s="63"/>
      <c r="F656" s="63"/>
      <c r="I656" s="63"/>
    </row>
    <row r="657">
      <c r="C657" s="63"/>
      <c r="D657" s="63"/>
      <c r="E657" s="63"/>
      <c r="F657" s="63"/>
      <c r="I657" s="63"/>
    </row>
    <row r="658">
      <c r="C658" s="63"/>
      <c r="D658" s="63"/>
      <c r="E658" s="63"/>
      <c r="F658" s="63"/>
      <c r="I658" s="63"/>
    </row>
    <row r="659">
      <c r="C659" s="63"/>
      <c r="D659" s="63"/>
      <c r="E659" s="63"/>
      <c r="F659" s="63"/>
      <c r="I659" s="63"/>
    </row>
    <row r="660">
      <c r="C660" s="63"/>
      <c r="D660" s="63"/>
      <c r="E660" s="63"/>
      <c r="F660" s="63"/>
      <c r="I660" s="63"/>
    </row>
    <row r="661">
      <c r="C661" s="63"/>
      <c r="D661" s="63"/>
      <c r="E661" s="63"/>
      <c r="F661" s="63"/>
      <c r="I661" s="63"/>
    </row>
    <row r="662">
      <c r="C662" s="63"/>
      <c r="D662" s="63"/>
      <c r="E662" s="63"/>
      <c r="F662" s="63"/>
      <c r="I662" s="63"/>
    </row>
    <row r="663">
      <c r="C663" s="63"/>
      <c r="D663" s="63"/>
      <c r="E663" s="63"/>
      <c r="F663" s="63"/>
      <c r="I663" s="63"/>
    </row>
    <row r="664">
      <c r="C664" s="63"/>
      <c r="D664" s="63"/>
      <c r="E664" s="63"/>
      <c r="F664" s="63"/>
      <c r="I664" s="63"/>
    </row>
    <row r="665">
      <c r="C665" s="63"/>
      <c r="D665" s="63"/>
      <c r="E665" s="63"/>
      <c r="F665" s="63"/>
      <c r="I665" s="63"/>
    </row>
    <row r="666">
      <c r="C666" s="63"/>
      <c r="D666" s="63"/>
      <c r="E666" s="63"/>
      <c r="F666" s="63"/>
      <c r="I666" s="63"/>
    </row>
    <row r="667">
      <c r="C667" s="63"/>
      <c r="D667" s="63"/>
      <c r="E667" s="63"/>
      <c r="F667" s="63"/>
      <c r="I667" s="63"/>
    </row>
    <row r="668">
      <c r="C668" s="63"/>
      <c r="D668" s="63"/>
      <c r="E668" s="63"/>
      <c r="F668" s="63"/>
      <c r="I668" s="63"/>
    </row>
    <row r="669">
      <c r="C669" s="63"/>
      <c r="D669" s="63"/>
      <c r="E669" s="63"/>
      <c r="F669" s="63"/>
      <c r="I669" s="63"/>
    </row>
    <row r="670">
      <c r="C670" s="63"/>
      <c r="D670" s="63"/>
      <c r="E670" s="63"/>
      <c r="F670" s="63"/>
      <c r="I670" s="63"/>
    </row>
    <row r="671">
      <c r="C671" s="63"/>
      <c r="D671" s="63"/>
      <c r="E671" s="63"/>
      <c r="F671" s="63"/>
      <c r="I671" s="63"/>
    </row>
    <row r="672">
      <c r="C672" s="63"/>
      <c r="D672" s="63"/>
      <c r="E672" s="63"/>
      <c r="F672" s="63"/>
      <c r="I672" s="63"/>
    </row>
    <row r="673">
      <c r="C673" s="63"/>
      <c r="D673" s="63"/>
      <c r="E673" s="63"/>
      <c r="F673" s="63"/>
      <c r="I673" s="63"/>
    </row>
    <row r="674">
      <c r="C674" s="63"/>
      <c r="D674" s="63"/>
      <c r="E674" s="63"/>
      <c r="F674" s="63"/>
      <c r="I674" s="63"/>
    </row>
    <row r="675">
      <c r="C675" s="63"/>
      <c r="D675" s="63"/>
      <c r="E675" s="63"/>
      <c r="F675" s="63"/>
      <c r="I675" s="63"/>
    </row>
    <row r="676">
      <c r="C676" s="63"/>
      <c r="D676" s="63"/>
      <c r="E676" s="63"/>
      <c r="F676" s="63"/>
      <c r="I676" s="63"/>
    </row>
    <row r="677">
      <c r="C677" s="63"/>
      <c r="D677" s="63"/>
      <c r="E677" s="63"/>
      <c r="F677" s="63"/>
      <c r="I677" s="63"/>
    </row>
    <row r="678">
      <c r="C678" s="63"/>
      <c r="D678" s="63"/>
      <c r="E678" s="63"/>
      <c r="F678" s="63"/>
      <c r="I678" s="63"/>
    </row>
    <row r="679">
      <c r="C679" s="63"/>
      <c r="D679" s="63"/>
      <c r="E679" s="63"/>
      <c r="F679" s="63"/>
      <c r="I679" s="63"/>
    </row>
    <row r="680">
      <c r="C680" s="63"/>
      <c r="D680" s="63"/>
      <c r="E680" s="63"/>
      <c r="F680" s="63"/>
      <c r="I680" s="63"/>
    </row>
    <row r="681">
      <c r="C681" s="63"/>
      <c r="D681" s="63"/>
      <c r="E681" s="63"/>
      <c r="F681" s="63"/>
      <c r="I681" s="63"/>
    </row>
    <row r="682">
      <c r="C682" s="63"/>
      <c r="D682" s="63"/>
      <c r="E682" s="63"/>
      <c r="F682" s="63"/>
      <c r="I682" s="63"/>
    </row>
    <row r="683">
      <c r="C683" s="63"/>
      <c r="D683" s="63"/>
      <c r="E683" s="63"/>
      <c r="F683" s="63"/>
      <c r="I683" s="63"/>
    </row>
    <row r="684">
      <c r="C684" s="63"/>
      <c r="D684" s="63"/>
      <c r="E684" s="63"/>
      <c r="F684" s="63"/>
      <c r="I684" s="63"/>
    </row>
    <row r="685">
      <c r="C685" s="63"/>
      <c r="D685" s="63"/>
      <c r="E685" s="63"/>
      <c r="F685" s="63"/>
      <c r="I685" s="63"/>
    </row>
    <row r="686">
      <c r="C686" s="63"/>
      <c r="D686" s="63"/>
      <c r="E686" s="63"/>
      <c r="F686" s="63"/>
      <c r="I686" s="63"/>
    </row>
    <row r="687">
      <c r="C687" s="63"/>
      <c r="D687" s="63"/>
      <c r="E687" s="63"/>
      <c r="F687" s="63"/>
      <c r="I687" s="63"/>
    </row>
    <row r="688">
      <c r="C688" s="63"/>
      <c r="D688" s="63"/>
      <c r="E688" s="63"/>
      <c r="F688" s="63"/>
      <c r="I688" s="63"/>
    </row>
    <row r="689">
      <c r="C689" s="63"/>
      <c r="D689" s="63"/>
      <c r="E689" s="63"/>
      <c r="F689" s="63"/>
      <c r="I689" s="63"/>
    </row>
    <row r="690">
      <c r="C690" s="63"/>
      <c r="D690" s="63"/>
      <c r="E690" s="63"/>
      <c r="F690" s="63"/>
      <c r="I690" s="63"/>
    </row>
    <row r="691">
      <c r="C691" s="63"/>
      <c r="D691" s="63"/>
      <c r="E691" s="63"/>
      <c r="F691" s="63"/>
      <c r="I691" s="63"/>
    </row>
    <row r="692">
      <c r="C692" s="63"/>
      <c r="D692" s="63"/>
      <c r="E692" s="63"/>
      <c r="F692" s="63"/>
      <c r="I692" s="63"/>
    </row>
    <row r="693">
      <c r="C693" s="63"/>
      <c r="D693" s="63"/>
      <c r="E693" s="63"/>
      <c r="F693" s="63"/>
      <c r="I693" s="63"/>
    </row>
    <row r="694">
      <c r="C694" s="63"/>
      <c r="D694" s="63"/>
      <c r="E694" s="63"/>
      <c r="F694" s="63"/>
      <c r="I694" s="63"/>
    </row>
    <row r="695">
      <c r="C695" s="63"/>
      <c r="D695" s="63"/>
      <c r="E695" s="63"/>
      <c r="F695" s="63"/>
      <c r="I695" s="63"/>
    </row>
    <row r="696">
      <c r="C696" s="63"/>
      <c r="D696" s="63"/>
      <c r="E696" s="63"/>
      <c r="F696" s="63"/>
      <c r="I696" s="63"/>
    </row>
    <row r="697">
      <c r="C697" s="63"/>
      <c r="D697" s="63"/>
      <c r="E697" s="63"/>
      <c r="F697" s="63"/>
      <c r="I697" s="63"/>
    </row>
    <row r="698">
      <c r="C698" s="63"/>
      <c r="D698" s="63"/>
      <c r="E698" s="63"/>
      <c r="F698" s="63"/>
      <c r="I698" s="63"/>
    </row>
    <row r="699">
      <c r="C699" s="63"/>
      <c r="D699" s="63"/>
      <c r="E699" s="63"/>
      <c r="F699" s="63"/>
      <c r="I699" s="63"/>
    </row>
    <row r="700">
      <c r="C700" s="63"/>
      <c r="D700" s="63"/>
      <c r="E700" s="63"/>
      <c r="F700" s="63"/>
      <c r="I700" s="63"/>
    </row>
    <row r="701">
      <c r="C701" s="63"/>
      <c r="D701" s="63"/>
      <c r="E701" s="63"/>
      <c r="F701" s="63"/>
      <c r="I701" s="63"/>
    </row>
    <row r="702">
      <c r="C702" s="63"/>
      <c r="D702" s="63"/>
      <c r="E702" s="63"/>
      <c r="F702" s="63"/>
      <c r="I702" s="63"/>
    </row>
    <row r="703">
      <c r="C703" s="63"/>
      <c r="D703" s="63"/>
      <c r="E703" s="63"/>
      <c r="F703" s="63"/>
      <c r="I703" s="63"/>
    </row>
    <row r="704">
      <c r="C704" s="63"/>
      <c r="D704" s="63"/>
      <c r="E704" s="63"/>
      <c r="F704" s="63"/>
      <c r="I704" s="63"/>
    </row>
    <row r="705">
      <c r="C705" s="63"/>
      <c r="D705" s="63"/>
      <c r="E705" s="63"/>
      <c r="F705" s="63"/>
      <c r="I705" s="63"/>
    </row>
    <row r="706">
      <c r="C706" s="63"/>
      <c r="D706" s="63"/>
      <c r="E706" s="63"/>
      <c r="F706" s="63"/>
      <c r="I706" s="63"/>
    </row>
    <row r="707">
      <c r="C707" s="63"/>
      <c r="D707" s="63"/>
      <c r="E707" s="63"/>
      <c r="F707" s="63"/>
      <c r="I707" s="63"/>
    </row>
    <row r="708">
      <c r="C708" s="63"/>
      <c r="D708" s="63"/>
      <c r="E708" s="63"/>
      <c r="F708" s="63"/>
      <c r="I708" s="63"/>
    </row>
    <row r="709">
      <c r="C709" s="63"/>
      <c r="D709" s="63"/>
      <c r="E709" s="63"/>
      <c r="F709" s="63"/>
      <c r="I709" s="63"/>
    </row>
    <row r="710">
      <c r="C710" s="63"/>
      <c r="D710" s="63"/>
      <c r="E710" s="63"/>
      <c r="F710" s="63"/>
      <c r="I710" s="63"/>
    </row>
    <row r="711">
      <c r="C711" s="63"/>
      <c r="D711" s="63"/>
      <c r="E711" s="63"/>
      <c r="F711" s="63"/>
      <c r="I711" s="63"/>
    </row>
    <row r="712">
      <c r="C712" s="63"/>
      <c r="D712" s="63"/>
      <c r="E712" s="63"/>
      <c r="F712" s="63"/>
      <c r="I712" s="63"/>
    </row>
    <row r="713">
      <c r="C713" s="63"/>
      <c r="D713" s="63"/>
      <c r="E713" s="63"/>
      <c r="F713" s="63"/>
      <c r="I713" s="63"/>
    </row>
    <row r="714">
      <c r="C714" s="63"/>
      <c r="D714" s="63"/>
      <c r="E714" s="63"/>
      <c r="F714" s="63"/>
      <c r="I714" s="63"/>
    </row>
    <row r="715">
      <c r="C715" s="63"/>
      <c r="D715" s="63"/>
      <c r="E715" s="63"/>
      <c r="F715" s="63"/>
      <c r="I715" s="63"/>
    </row>
    <row r="716">
      <c r="C716" s="63"/>
      <c r="D716" s="63"/>
      <c r="E716" s="63"/>
      <c r="F716" s="63"/>
      <c r="I716" s="63"/>
    </row>
    <row r="717">
      <c r="C717" s="63"/>
      <c r="D717" s="63"/>
      <c r="E717" s="63"/>
      <c r="F717" s="63"/>
      <c r="I717" s="63"/>
    </row>
    <row r="718">
      <c r="C718" s="63"/>
      <c r="D718" s="63"/>
      <c r="E718" s="63"/>
      <c r="F718" s="63"/>
      <c r="I718" s="63"/>
    </row>
    <row r="719">
      <c r="C719" s="63"/>
      <c r="D719" s="63"/>
      <c r="E719" s="63"/>
      <c r="F719" s="63"/>
      <c r="I719" s="63"/>
    </row>
    <row r="720">
      <c r="C720" s="63"/>
      <c r="D720" s="63"/>
      <c r="E720" s="63"/>
      <c r="F720" s="63"/>
      <c r="I720" s="63"/>
    </row>
    <row r="721">
      <c r="C721" s="63"/>
      <c r="D721" s="63"/>
      <c r="E721" s="63"/>
      <c r="F721" s="63"/>
      <c r="I721" s="63"/>
    </row>
    <row r="722">
      <c r="C722" s="63"/>
      <c r="D722" s="63"/>
      <c r="E722" s="63"/>
      <c r="F722" s="63"/>
      <c r="I722" s="63"/>
    </row>
    <row r="723">
      <c r="C723" s="63"/>
      <c r="D723" s="63"/>
      <c r="E723" s="63"/>
      <c r="F723" s="63"/>
      <c r="I723" s="63"/>
    </row>
    <row r="724">
      <c r="C724" s="63"/>
      <c r="D724" s="63"/>
      <c r="E724" s="63"/>
      <c r="F724" s="63"/>
      <c r="I724" s="63"/>
    </row>
    <row r="725">
      <c r="C725" s="63"/>
      <c r="D725" s="63"/>
      <c r="E725" s="63"/>
      <c r="F725" s="63"/>
      <c r="I725" s="63"/>
    </row>
    <row r="726">
      <c r="C726" s="63"/>
      <c r="D726" s="63"/>
      <c r="E726" s="63"/>
      <c r="F726" s="63"/>
      <c r="I726" s="63"/>
    </row>
    <row r="727">
      <c r="C727" s="63"/>
      <c r="D727" s="63"/>
      <c r="E727" s="63"/>
      <c r="F727" s="63"/>
      <c r="I727" s="63"/>
    </row>
    <row r="728">
      <c r="C728" s="63"/>
      <c r="D728" s="63"/>
      <c r="E728" s="63"/>
      <c r="F728" s="63"/>
      <c r="I728" s="63"/>
    </row>
    <row r="729">
      <c r="C729" s="63"/>
      <c r="D729" s="63"/>
      <c r="E729" s="63"/>
      <c r="F729" s="63"/>
      <c r="I729" s="63"/>
    </row>
    <row r="730">
      <c r="C730" s="63"/>
      <c r="D730" s="63"/>
      <c r="E730" s="63"/>
      <c r="F730" s="63"/>
      <c r="I730" s="63"/>
    </row>
    <row r="731">
      <c r="C731" s="63"/>
      <c r="D731" s="63"/>
      <c r="E731" s="63"/>
      <c r="F731" s="63"/>
      <c r="I731" s="63"/>
    </row>
    <row r="732">
      <c r="C732" s="63"/>
      <c r="D732" s="63"/>
      <c r="E732" s="63"/>
      <c r="F732" s="63"/>
      <c r="I732" s="63"/>
    </row>
    <row r="733">
      <c r="C733" s="63"/>
      <c r="D733" s="63"/>
      <c r="E733" s="63"/>
      <c r="F733" s="63"/>
      <c r="I733" s="63"/>
    </row>
    <row r="734">
      <c r="C734" s="63"/>
      <c r="D734" s="63"/>
      <c r="E734" s="63"/>
      <c r="F734" s="63"/>
      <c r="I734" s="63"/>
    </row>
    <row r="735">
      <c r="C735" s="63"/>
      <c r="D735" s="63"/>
      <c r="E735" s="63"/>
      <c r="F735" s="63"/>
      <c r="I735" s="63"/>
    </row>
    <row r="736">
      <c r="C736" s="63"/>
      <c r="D736" s="63"/>
      <c r="E736" s="63"/>
      <c r="F736" s="63"/>
      <c r="I736" s="63"/>
    </row>
    <row r="737">
      <c r="C737" s="63"/>
      <c r="D737" s="63"/>
      <c r="E737" s="63"/>
      <c r="F737" s="63"/>
      <c r="I737" s="63"/>
    </row>
    <row r="738">
      <c r="C738" s="63"/>
      <c r="D738" s="63"/>
      <c r="E738" s="63"/>
      <c r="F738" s="63"/>
      <c r="I738" s="63"/>
    </row>
    <row r="739">
      <c r="C739" s="63"/>
      <c r="D739" s="63"/>
      <c r="E739" s="63"/>
      <c r="F739" s="63"/>
      <c r="I739" s="63"/>
    </row>
    <row r="740">
      <c r="C740" s="63"/>
      <c r="D740" s="63"/>
      <c r="E740" s="63"/>
      <c r="F740" s="63"/>
      <c r="I740" s="63"/>
    </row>
    <row r="741">
      <c r="C741" s="63"/>
      <c r="D741" s="63"/>
      <c r="E741" s="63"/>
      <c r="F741" s="63"/>
      <c r="I741" s="63"/>
    </row>
    <row r="742">
      <c r="C742" s="63"/>
      <c r="D742" s="63"/>
      <c r="E742" s="63"/>
      <c r="F742" s="63"/>
      <c r="I742" s="63"/>
    </row>
    <row r="743">
      <c r="C743" s="63"/>
      <c r="D743" s="63"/>
      <c r="E743" s="63"/>
      <c r="F743" s="63"/>
      <c r="I743" s="63"/>
    </row>
    <row r="744">
      <c r="C744" s="63"/>
      <c r="D744" s="63"/>
      <c r="E744" s="63"/>
      <c r="F744" s="63"/>
      <c r="I744" s="63"/>
    </row>
    <row r="745">
      <c r="C745" s="63"/>
      <c r="D745" s="63"/>
      <c r="E745" s="63"/>
      <c r="F745" s="63"/>
      <c r="I745" s="63"/>
    </row>
    <row r="746">
      <c r="C746" s="63"/>
      <c r="D746" s="63"/>
      <c r="E746" s="63"/>
      <c r="F746" s="63"/>
      <c r="I746" s="63"/>
    </row>
    <row r="747">
      <c r="C747" s="63"/>
      <c r="D747" s="63"/>
      <c r="E747" s="63"/>
      <c r="F747" s="63"/>
      <c r="I747" s="63"/>
    </row>
    <row r="748">
      <c r="C748" s="63"/>
      <c r="D748" s="63"/>
      <c r="E748" s="63"/>
      <c r="F748" s="63"/>
      <c r="I748" s="63"/>
    </row>
    <row r="749">
      <c r="C749" s="63"/>
      <c r="D749" s="63"/>
      <c r="E749" s="63"/>
      <c r="F749" s="63"/>
      <c r="I749" s="63"/>
    </row>
    <row r="750">
      <c r="C750" s="63"/>
      <c r="D750" s="63"/>
      <c r="E750" s="63"/>
      <c r="F750" s="63"/>
      <c r="I750" s="63"/>
    </row>
    <row r="751">
      <c r="C751" s="63"/>
      <c r="D751" s="63"/>
      <c r="E751" s="63"/>
      <c r="F751" s="63"/>
      <c r="I751" s="63"/>
    </row>
    <row r="752">
      <c r="C752" s="63"/>
      <c r="D752" s="63"/>
      <c r="E752" s="63"/>
      <c r="F752" s="63"/>
      <c r="I752" s="63"/>
    </row>
    <row r="753">
      <c r="C753" s="63"/>
      <c r="D753" s="63"/>
      <c r="E753" s="63"/>
      <c r="F753" s="63"/>
      <c r="I753" s="63"/>
    </row>
    <row r="754">
      <c r="C754" s="63"/>
      <c r="D754" s="63"/>
      <c r="E754" s="63"/>
      <c r="F754" s="63"/>
      <c r="I754" s="63"/>
    </row>
    <row r="755">
      <c r="C755" s="63"/>
      <c r="D755" s="63"/>
      <c r="E755" s="63"/>
      <c r="F755" s="63"/>
      <c r="I755" s="63"/>
    </row>
    <row r="756">
      <c r="C756" s="63"/>
      <c r="D756" s="63"/>
      <c r="E756" s="63"/>
      <c r="F756" s="63"/>
      <c r="I756" s="63"/>
    </row>
    <row r="757">
      <c r="C757" s="63"/>
      <c r="D757" s="63"/>
      <c r="E757" s="63"/>
      <c r="F757" s="63"/>
      <c r="I757" s="63"/>
    </row>
    <row r="758">
      <c r="C758" s="63"/>
      <c r="D758" s="63"/>
      <c r="E758" s="63"/>
      <c r="F758" s="63"/>
      <c r="I758" s="63"/>
    </row>
    <row r="759">
      <c r="C759" s="63"/>
      <c r="D759" s="63"/>
      <c r="E759" s="63"/>
      <c r="F759" s="63"/>
      <c r="I759" s="63"/>
    </row>
    <row r="760">
      <c r="C760" s="63"/>
      <c r="D760" s="63"/>
      <c r="E760" s="63"/>
      <c r="F760" s="63"/>
      <c r="I760" s="63"/>
    </row>
    <row r="761">
      <c r="C761" s="63"/>
      <c r="D761" s="63"/>
      <c r="E761" s="63"/>
      <c r="F761" s="63"/>
      <c r="I761" s="63"/>
    </row>
    <row r="762">
      <c r="C762" s="63"/>
      <c r="D762" s="63"/>
      <c r="E762" s="63"/>
      <c r="F762" s="63"/>
      <c r="I762" s="63"/>
    </row>
    <row r="763">
      <c r="C763" s="63"/>
      <c r="D763" s="63"/>
      <c r="E763" s="63"/>
      <c r="F763" s="63"/>
      <c r="I763" s="63"/>
    </row>
    <row r="764">
      <c r="C764" s="63"/>
      <c r="D764" s="63"/>
      <c r="E764" s="63"/>
      <c r="F764" s="63"/>
      <c r="I764" s="63"/>
    </row>
    <row r="765">
      <c r="C765" s="63"/>
      <c r="D765" s="63"/>
      <c r="E765" s="63"/>
      <c r="F765" s="63"/>
      <c r="I765" s="63"/>
    </row>
    <row r="766">
      <c r="C766" s="63"/>
      <c r="D766" s="63"/>
      <c r="E766" s="63"/>
      <c r="F766" s="63"/>
      <c r="I766" s="63"/>
    </row>
    <row r="767">
      <c r="C767" s="63"/>
      <c r="D767" s="63"/>
      <c r="E767" s="63"/>
      <c r="F767" s="63"/>
      <c r="I767" s="63"/>
    </row>
    <row r="768">
      <c r="C768" s="63"/>
      <c r="D768" s="63"/>
      <c r="E768" s="63"/>
      <c r="F768" s="63"/>
      <c r="I768" s="63"/>
    </row>
    <row r="769">
      <c r="C769" s="63"/>
      <c r="D769" s="63"/>
      <c r="E769" s="63"/>
      <c r="F769" s="63"/>
      <c r="I769" s="63"/>
    </row>
    <row r="770">
      <c r="C770" s="63"/>
      <c r="D770" s="63"/>
      <c r="E770" s="63"/>
      <c r="F770" s="63"/>
      <c r="I770" s="63"/>
    </row>
    <row r="771">
      <c r="C771" s="63"/>
      <c r="D771" s="63"/>
      <c r="E771" s="63"/>
      <c r="F771" s="63"/>
      <c r="I771" s="63"/>
    </row>
    <row r="772">
      <c r="C772" s="63"/>
      <c r="D772" s="63"/>
      <c r="E772" s="63"/>
      <c r="F772" s="63"/>
      <c r="I772" s="63"/>
    </row>
    <row r="773">
      <c r="C773" s="63"/>
      <c r="D773" s="63"/>
      <c r="E773" s="63"/>
      <c r="F773" s="63"/>
      <c r="I773" s="63"/>
    </row>
    <row r="774">
      <c r="C774" s="63"/>
      <c r="D774" s="63"/>
      <c r="E774" s="63"/>
      <c r="F774" s="63"/>
      <c r="I774" s="63"/>
    </row>
    <row r="775">
      <c r="C775" s="63"/>
      <c r="D775" s="63"/>
      <c r="E775" s="63"/>
      <c r="F775" s="63"/>
      <c r="I775" s="63"/>
    </row>
    <row r="776">
      <c r="C776" s="63"/>
      <c r="D776" s="63"/>
      <c r="E776" s="63"/>
      <c r="F776" s="63"/>
      <c r="I776" s="63"/>
    </row>
    <row r="777">
      <c r="C777" s="63"/>
      <c r="D777" s="63"/>
      <c r="E777" s="63"/>
      <c r="F777" s="63"/>
      <c r="I777" s="63"/>
    </row>
    <row r="778">
      <c r="C778" s="63"/>
      <c r="D778" s="63"/>
      <c r="E778" s="63"/>
      <c r="F778" s="63"/>
      <c r="I778" s="63"/>
    </row>
    <row r="779">
      <c r="C779" s="63"/>
      <c r="D779" s="63"/>
      <c r="E779" s="63"/>
      <c r="F779" s="63"/>
      <c r="I779" s="63"/>
    </row>
    <row r="780">
      <c r="C780" s="63"/>
      <c r="D780" s="63"/>
      <c r="E780" s="63"/>
      <c r="F780" s="63"/>
      <c r="I780" s="63"/>
    </row>
    <row r="781">
      <c r="C781" s="63"/>
      <c r="D781" s="63"/>
      <c r="E781" s="63"/>
      <c r="F781" s="63"/>
      <c r="I781" s="63"/>
    </row>
    <row r="782">
      <c r="C782" s="63"/>
      <c r="D782" s="63"/>
      <c r="E782" s="63"/>
      <c r="F782" s="63"/>
      <c r="I782" s="63"/>
    </row>
    <row r="783">
      <c r="C783" s="63"/>
      <c r="D783" s="63"/>
      <c r="E783" s="63"/>
      <c r="F783" s="63"/>
      <c r="I783" s="63"/>
    </row>
    <row r="784">
      <c r="C784" s="63"/>
      <c r="D784" s="63"/>
      <c r="E784" s="63"/>
      <c r="F784" s="63"/>
      <c r="I784" s="63"/>
    </row>
    <row r="785">
      <c r="C785" s="63"/>
      <c r="D785" s="63"/>
      <c r="E785" s="63"/>
      <c r="F785" s="63"/>
      <c r="I785" s="63"/>
    </row>
    <row r="786">
      <c r="C786" s="63"/>
      <c r="D786" s="63"/>
      <c r="E786" s="63"/>
      <c r="F786" s="63"/>
      <c r="I786" s="63"/>
    </row>
    <row r="787">
      <c r="C787" s="63"/>
      <c r="D787" s="63"/>
      <c r="E787" s="63"/>
      <c r="F787" s="63"/>
      <c r="I787" s="63"/>
    </row>
    <row r="788">
      <c r="C788" s="63"/>
      <c r="D788" s="63"/>
      <c r="E788" s="63"/>
      <c r="F788" s="63"/>
      <c r="I788" s="63"/>
    </row>
    <row r="789">
      <c r="C789" s="63"/>
      <c r="D789" s="63"/>
      <c r="E789" s="63"/>
      <c r="F789" s="63"/>
      <c r="I789" s="63"/>
    </row>
    <row r="790">
      <c r="C790" s="63"/>
      <c r="D790" s="63"/>
      <c r="E790" s="63"/>
      <c r="F790" s="63"/>
      <c r="I790" s="63"/>
    </row>
    <row r="791">
      <c r="C791" s="63"/>
      <c r="D791" s="63"/>
      <c r="E791" s="63"/>
      <c r="F791" s="63"/>
      <c r="I791" s="63"/>
    </row>
    <row r="792">
      <c r="C792" s="63"/>
      <c r="D792" s="63"/>
      <c r="E792" s="63"/>
      <c r="F792" s="63"/>
      <c r="I792" s="63"/>
    </row>
    <row r="793">
      <c r="C793" s="63"/>
      <c r="D793" s="63"/>
      <c r="E793" s="63"/>
      <c r="F793" s="63"/>
      <c r="I793" s="63"/>
    </row>
    <row r="794">
      <c r="C794" s="63"/>
      <c r="D794" s="63"/>
      <c r="E794" s="63"/>
      <c r="F794" s="63"/>
      <c r="I794" s="63"/>
    </row>
    <row r="795">
      <c r="C795" s="63"/>
      <c r="D795" s="63"/>
      <c r="E795" s="63"/>
      <c r="F795" s="63"/>
      <c r="I795" s="63"/>
    </row>
    <row r="796">
      <c r="C796" s="63"/>
      <c r="D796" s="63"/>
      <c r="E796" s="63"/>
      <c r="F796" s="63"/>
      <c r="I796" s="63"/>
    </row>
    <row r="797">
      <c r="C797" s="63"/>
      <c r="D797" s="63"/>
      <c r="E797" s="63"/>
      <c r="F797" s="63"/>
      <c r="I797" s="63"/>
    </row>
    <row r="798">
      <c r="C798" s="63"/>
      <c r="D798" s="63"/>
      <c r="E798" s="63"/>
      <c r="F798" s="63"/>
      <c r="I798" s="63"/>
    </row>
    <row r="799">
      <c r="C799" s="63"/>
      <c r="D799" s="63"/>
      <c r="E799" s="63"/>
      <c r="F799" s="63"/>
      <c r="I799" s="63"/>
    </row>
    <row r="800">
      <c r="C800" s="63"/>
      <c r="D800" s="63"/>
      <c r="E800" s="63"/>
      <c r="F800" s="63"/>
      <c r="I800" s="63"/>
    </row>
    <row r="801">
      <c r="C801" s="63"/>
      <c r="D801" s="63"/>
      <c r="E801" s="63"/>
      <c r="F801" s="63"/>
      <c r="I801" s="63"/>
    </row>
    <row r="802">
      <c r="C802" s="63"/>
      <c r="D802" s="63"/>
      <c r="E802" s="63"/>
      <c r="F802" s="63"/>
      <c r="I802" s="63"/>
    </row>
    <row r="803">
      <c r="C803" s="63"/>
      <c r="D803" s="63"/>
      <c r="E803" s="63"/>
      <c r="F803" s="63"/>
      <c r="I803" s="63"/>
    </row>
    <row r="804">
      <c r="C804" s="63"/>
      <c r="D804" s="63"/>
      <c r="E804" s="63"/>
      <c r="F804" s="63"/>
      <c r="I804" s="63"/>
    </row>
    <row r="805">
      <c r="C805" s="63"/>
      <c r="D805" s="63"/>
      <c r="E805" s="63"/>
      <c r="F805" s="63"/>
      <c r="I805" s="63"/>
    </row>
    <row r="806">
      <c r="C806" s="63"/>
      <c r="D806" s="63"/>
      <c r="E806" s="63"/>
      <c r="F806" s="63"/>
      <c r="I806" s="63"/>
    </row>
    <row r="807">
      <c r="C807" s="63"/>
      <c r="D807" s="63"/>
      <c r="E807" s="63"/>
      <c r="F807" s="63"/>
      <c r="I807" s="63"/>
    </row>
    <row r="808">
      <c r="C808" s="63"/>
      <c r="D808" s="63"/>
      <c r="E808" s="63"/>
      <c r="F808" s="63"/>
      <c r="I808" s="63"/>
    </row>
    <row r="809">
      <c r="C809" s="63"/>
      <c r="D809" s="63"/>
      <c r="E809" s="63"/>
      <c r="F809" s="63"/>
      <c r="I809" s="63"/>
    </row>
    <row r="810">
      <c r="C810" s="63"/>
      <c r="D810" s="63"/>
      <c r="E810" s="63"/>
      <c r="F810" s="63"/>
      <c r="I810" s="63"/>
    </row>
    <row r="811">
      <c r="C811" s="63"/>
      <c r="D811" s="63"/>
      <c r="E811" s="63"/>
      <c r="F811" s="63"/>
      <c r="I811" s="63"/>
    </row>
    <row r="812">
      <c r="C812" s="63"/>
      <c r="D812" s="63"/>
      <c r="E812" s="63"/>
      <c r="F812" s="63"/>
      <c r="I812" s="63"/>
    </row>
    <row r="813">
      <c r="C813" s="63"/>
      <c r="D813" s="63"/>
      <c r="E813" s="63"/>
      <c r="F813" s="63"/>
      <c r="I813" s="63"/>
    </row>
    <row r="814">
      <c r="C814" s="63"/>
      <c r="D814" s="63"/>
      <c r="E814" s="63"/>
      <c r="F814" s="63"/>
      <c r="I814" s="63"/>
    </row>
    <row r="815">
      <c r="C815" s="63"/>
      <c r="D815" s="63"/>
      <c r="E815" s="63"/>
      <c r="F815" s="63"/>
      <c r="I815" s="63"/>
    </row>
    <row r="816">
      <c r="C816" s="63"/>
      <c r="D816" s="63"/>
      <c r="E816" s="63"/>
      <c r="F816" s="63"/>
      <c r="I816" s="63"/>
    </row>
    <row r="817">
      <c r="C817" s="63"/>
      <c r="D817" s="63"/>
      <c r="E817" s="63"/>
      <c r="F817" s="63"/>
      <c r="I817" s="63"/>
    </row>
    <row r="818">
      <c r="C818" s="63"/>
      <c r="D818" s="63"/>
      <c r="E818" s="63"/>
      <c r="F818" s="63"/>
      <c r="I818" s="63"/>
    </row>
    <row r="819">
      <c r="C819" s="63"/>
      <c r="D819" s="63"/>
      <c r="E819" s="63"/>
      <c r="F819" s="63"/>
      <c r="I819" s="63"/>
    </row>
    <row r="820">
      <c r="C820" s="63"/>
      <c r="D820" s="63"/>
      <c r="E820" s="63"/>
      <c r="F820" s="63"/>
      <c r="I820" s="63"/>
    </row>
    <row r="821">
      <c r="C821" s="63"/>
      <c r="D821" s="63"/>
      <c r="E821" s="63"/>
      <c r="F821" s="63"/>
      <c r="I821" s="63"/>
    </row>
    <row r="822">
      <c r="C822" s="63"/>
      <c r="D822" s="63"/>
      <c r="E822" s="63"/>
      <c r="F822" s="63"/>
      <c r="I822" s="63"/>
    </row>
    <row r="823">
      <c r="C823" s="63"/>
      <c r="D823" s="63"/>
      <c r="E823" s="63"/>
      <c r="F823" s="63"/>
      <c r="I823" s="63"/>
    </row>
    <row r="824">
      <c r="C824" s="63"/>
      <c r="D824" s="63"/>
      <c r="E824" s="63"/>
      <c r="F824" s="63"/>
      <c r="I824" s="63"/>
    </row>
    <row r="825">
      <c r="C825" s="63"/>
      <c r="D825" s="63"/>
      <c r="E825" s="63"/>
      <c r="F825" s="63"/>
      <c r="I825" s="63"/>
    </row>
    <row r="826">
      <c r="C826" s="63"/>
      <c r="D826" s="63"/>
      <c r="E826" s="63"/>
      <c r="F826" s="63"/>
      <c r="I826" s="63"/>
    </row>
    <row r="827">
      <c r="C827" s="63"/>
      <c r="D827" s="63"/>
      <c r="E827" s="63"/>
      <c r="F827" s="63"/>
      <c r="I827" s="63"/>
    </row>
    <row r="828">
      <c r="C828" s="63"/>
      <c r="D828" s="63"/>
      <c r="E828" s="63"/>
      <c r="F828" s="63"/>
      <c r="I828" s="63"/>
    </row>
    <row r="829">
      <c r="C829" s="63"/>
      <c r="D829" s="63"/>
      <c r="E829" s="63"/>
      <c r="F829" s="63"/>
      <c r="I829" s="63"/>
    </row>
    <row r="830">
      <c r="C830" s="63"/>
      <c r="D830" s="63"/>
      <c r="E830" s="63"/>
      <c r="F830" s="63"/>
      <c r="I830" s="63"/>
    </row>
    <row r="831">
      <c r="C831" s="63"/>
      <c r="D831" s="63"/>
      <c r="E831" s="63"/>
      <c r="F831" s="63"/>
      <c r="I831" s="63"/>
    </row>
    <row r="832">
      <c r="C832" s="63"/>
      <c r="D832" s="63"/>
      <c r="E832" s="63"/>
      <c r="F832" s="63"/>
      <c r="I832" s="63"/>
    </row>
    <row r="833">
      <c r="C833" s="63"/>
      <c r="D833" s="63"/>
      <c r="E833" s="63"/>
      <c r="F833" s="63"/>
      <c r="I833" s="63"/>
    </row>
    <row r="834">
      <c r="C834" s="63"/>
      <c r="D834" s="63"/>
      <c r="E834" s="63"/>
      <c r="F834" s="63"/>
      <c r="I834" s="63"/>
    </row>
    <row r="835">
      <c r="C835" s="63"/>
      <c r="D835" s="63"/>
      <c r="E835" s="63"/>
      <c r="F835" s="63"/>
      <c r="I835" s="63"/>
    </row>
    <row r="836">
      <c r="C836" s="63"/>
      <c r="D836" s="63"/>
      <c r="E836" s="63"/>
      <c r="F836" s="63"/>
      <c r="I836" s="63"/>
    </row>
    <row r="837">
      <c r="C837" s="63"/>
      <c r="D837" s="63"/>
      <c r="E837" s="63"/>
      <c r="F837" s="63"/>
      <c r="I837" s="63"/>
    </row>
    <row r="838">
      <c r="C838" s="63"/>
      <c r="D838" s="63"/>
      <c r="E838" s="63"/>
      <c r="F838" s="63"/>
      <c r="I838" s="63"/>
    </row>
    <row r="839">
      <c r="C839" s="63"/>
      <c r="D839" s="63"/>
      <c r="E839" s="63"/>
      <c r="F839" s="63"/>
      <c r="I839" s="63"/>
    </row>
    <row r="840">
      <c r="C840" s="63"/>
      <c r="D840" s="63"/>
      <c r="E840" s="63"/>
      <c r="F840" s="63"/>
      <c r="I840" s="63"/>
    </row>
    <row r="841">
      <c r="C841" s="63"/>
      <c r="D841" s="63"/>
      <c r="E841" s="63"/>
      <c r="F841" s="63"/>
      <c r="I841" s="63"/>
    </row>
    <row r="842">
      <c r="C842" s="63"/>
      <c r="D842" s="63"/>
      <c r="E842" s="63"/>
      <c r="F842" s="63"/>
      <c r="I842" s="63"/>
    </row>
    <row r="843">
      <c r="C843" s="63"/>
      <c r="D843" s="63"/>
      <c r="E843" s="63"/>
      <c r="F843" s="63"/>
      <c r="I843" s="63"/>
    </row>
    <row r="844">
      <c r="C844" s="63"/>
      <c r="D844" s="63"/>
      <c r="E844" s="63"/>
      <c r="F844" s="63"/>
      <c r="I844" s="63"/>
    </row>
    <row r="845">
      <c r="C845" s="63"/>
      <c r="D845" s="63"/>
      <c r="E845" s="63"/>
      <c r="F845" s="63"/>
      <c r="I845" s="63"/>
    </row>
    <row r="846">
      <c r="C846" s="63"/>
      <c r="D846" s="63"/>
      <c r="E846" s="63"/>
      <c r="F846" s="63"/>
      <c r="I846" s="63"/>
    </row>
    <row r="847">
      <c r="C847" s="63"/>
      <c r="D847" s="63"/>
      <c r="E847" s="63"/>
      <c r="F847" s="63"/>
      <c r="I847" s="63"/>
    </row>
    <row r="848">
      <c r="C848" s="63"/>
      <c r="D848" s="63"/>
      <c r="E848" s="63"/>
      <c r="F848" s="63"/>
      <c r="I848" s="63"/>
    </row>
    <row r="849">
      <c r="C849" s="63"/>
      <c r="D849" s="63"/>
      <c r="E849" s="63"/>
      <c r="F849" s="63"/>
      <c r="I849" s="63"/>
    </row>
    <row r="850">
      <c r="C850" s="63"/>
      <c r="D850" s="63"/>
      <c r="E850" s="63"/>
      <c r="F850" s="63"/>
      <c r="I850" s="63"/>
    </row>
    <row r="851">
      <c r="C851" s="63"/>
      <c r="D851" s="63"/>
      <c r="E851" s="63"/>
      <c r="F851" s="63"/>
      <c r="I851" s="63"/>
    </row>
    <row r="852">
      <c r="C852" s="63"/>
      <c r="D852" s="63"/>
      <c r="E852" s="63"/>
      <c r="F852" s="63"/>
      <c r="I852" s="63"/>
    </row>
    <row r="853">
      <c r="C853" s="63"/>
      <c r="D853" s="63"/>
      <c r="E853" s="63"/>
      <c r="F853" s="63"/>
      <c r="I853" s="63"/>
    </row>
    <row r="854">
      <c r="C854" s="63"/>
      <c r="D854" s="63"/>
      <c r="E854" s="63"/>
      <c r="F854" s="63"/>
      <c r="I854" s="63"/>
    </row>
    <row r="855">
      <c r="C855" s="63"/>
      <c r="D855" s="63"/>
      <c r="E855" s="63"/>
      <c r="F855" s="63"/>
      <c r="I855" s="63"/>
    </row>
    <row r="856">
      <c r="C856" s="63"/>
      <c r="D856" s="63"/>
      <c r="E856" s="63"/>
      <c r="F856" s="63"/>
      <c r="I856" s="63"/>
    </row>
    <row r="857">
      <c r="C857" s="63"/>
      <c r="D857" s="63"/>
      <c r="E857" s="63"/>
      <c r="F857" s="63"/>
      <c r="I857" s="63"/>
    </row>
    <row r="858">
      <c r="C858" s="63"/>
      <c r="D858" s="63"/>
      <c r="E858" s="63"/>
      <c r="F858" s="63"/>
      <c r="I858" s="63"/>
    </row>
    <row r="859">
      <c r="C859" s="63"/>
      <c r="D859" s="63"/>
      <c r="E859" s="63"/>
      <c r="F859" s="63"/>
      <c r="I859" s="63"/>
    </row>
    <row r="860">
      <c r="C860" s="63"/>
      <c r="D860" s="63"/>
      <c r="E860" s="63"/>
      <c r="F860" s="63"/>
      <c r="I860" s="63"/>
    </row>
    <row r="861">
      <c r="C861" s="63"/>
      <c r="D861" s="63"/>
      <c r="E861" s="63"/>
      <c r="F861" s="63"/>
      <c r="I861" s="63"/>
    </row>
    <row r="862">
      <c r="C862" s="63"/>
      <c r="D862" s="63"/>
      <c r="E862" s="63"/>
      <c r="F862" s="63"/>
      <c r="I862" s="63"/>
    </row>
    <row r="863">
      <c r="C863" s="63"/>
      <c r="D863" s="63"/>
      <c r="E863" s="63"/>
      <c r="F863" s="63"/>
      <c r="I863" s="63"/>
    </row>
    <row r="864">
      <c r="C864" s="63"/>
      <c r="D864" s="63"/>
      <c r="E864" s="63"/>
      <c r="F864" s="63"/>
      <c r="I864" s="63"/>
    </row>
    <row r="865">
      <c r="C865" s="63"/>
      <c r="D865" s="63"/>
      <c r="E865" s="63"/>
      <c r="F865" s="63"/>
      <c r="I865" s="63"/>
    </row>
    <row r="866">
      <c r="C866" s="63"/>
      <c r="D866" s="63"/>
      <c r="E866" s="63"/>
      <c r="F866" s="63"/>
      <c r="I866" s="63"/>
    </row>
    <row r="867">
      <c r="C867" s="63"/>
      <c r="D867" s="63"/>
      <c r="E867" s="63"/>
      <c r="F867" s="63"/>
      <c r="I867" s="63"/>
    </row>
    <row r="868">
      <c r="C868" s="63"/>
      <c r="D868" s="63"/>
      <c r="E868" s="63"/>
      <c r="F868" s="63"/>
      <c r="I868" s="63"/>
    </row>
    <row r="869">
      <c r="C869" s="63"/>
      <c r="D869" s="63"/>
      <c r="E869" s="63"/>
      <c r="F869" s="63"/>
      <c r="I869" s="63"/>
    </row>
    <row r="870">
      <c r="C870" s="63"/>
      <c r="D870" s="63"/>
      <c r="E870" s="63"/>
      <c r="F870" s="63"/>
      <c r="I870" s="63"/>
    </row>
    <row r="871">
      <c r="C871" s="63"/>
      <c r="D871" s="63"/>
      <c r="E871" s="63"/>
      <c r="F871" s="63"/>
      <c r="I871" s="63"/>
    </row>
    <row r="872">
      <c r="C872" s="63"/>
      <c r="D872" s="63"/>
      <c r="E872" s="63"/>
      <c r="F872" s="63"/>
      <c r="I872" s="63"/>
    </row>
    <row r="873">
      <c r="C873" s="63"/>
      <c r="D873" s="63"/>
      <c r="E873" s="63"/>
      <c r="F873" s="63"/>
      <c r="I873" s="63"/>
    </row>
    <row r="874">
      <c r="C874" s="63"/>
      <c r="D874" s="63"/>
      <c r="E874" s="63"/>
      <c r="F874" s="63"/>
      <c r="I874" s="63"/>
    </row>
    <row r="875">
      <c r="C875" s="63"/>
      <c r="D875" s="63"/>
      <c r="E875" s="63"/>
      <c r="F875" s="63"/>
      <c r="I875" s="63"/>
    </row>
    <row r="876">
      <c r="C876" s="63"/>
      <c r="D876" s="63"/>
      <c r="E876" s="63"/>
      <c r="F876" s="63"/>
      <c r="I876" s="63"/>
    </row>
    <row r="877">
      <c r="C877" s="63"/>
      <c r="D877" s="63"/>
      <c r="E877" s="63"/>
      <c r="F877" s="63"/>
      <c r="I877" s="63"/>
    </row>
    <row r="878">
      <c r="C878" s="63"/>
      <c r="D878" s="63"/>
      <c r="E878" s="63"/>
      <c r="F878" s="63"/>
      <c r="I878" s="63"/>
    </row>
    <row r="879">
      <c r="C879" s="63"/>
      <c r="D879" s="63"/>
      <c r="E879" s="63"/>
      <c r="F879" s="63"/>
      <c r="I879" s="63"/>
    </row>
    <row r="880">
      <c r="C880" s="63"/>
      <c r="D880" s="63"/>
      <c r="E880" s="63"/>
      <c r="F880" s="63"/>
      <c r="I880" s="63"/>
    </row>
    <row r="881">
      <c r="C881" s="63"/>
      <c r="D881" s="63"/>
      <c r="E881" s="63"/>
      <c r="F881" s="63"/>
      <c r="I881" s="63"/>
    </row>
    <row r="882">
      <c r="C882" s="63"/>
      <c r="D882" s="63"/>
      <c r="E882" s="63"/>
      <c r="F882" s="63"/>
      <c r="I882" s="63"/>
    </row>
    <row r="883">
      <c r="C883" s="63"/>
      <c r="D883" s="63"/>
      <c r="E883" s="63"/>
      <c r="F883" s="63"/>
      <c r="I883" s="63"/>
    </row>
    <row r="884">
      <c r="C884" s="63"/>
      <c r="D884" s="63"/>
      <c r="E884" s="63"/>
      <c r="F884" s="63"/>
      <c r="I884" s="63"/>
    </row>
    <row r="885">
      <c r="C885" s="63"/>
      <c r="D885" s="63"/>
      <c r="E885" s="63"/>
      <c r="F885" s="63"/>
      <c r="I885" s="63"/>
    </row>
    <row r="886">
      <c r="C886" s="63"/>
      <c r="D886" s="63"/>
      <c r="E886" s="63"/>
      <c r="F886" s="63"/>
      <c r="I886" s="63"/>
    </row>
    <row r="887">
      <c r="C887" s="63"/>
      <c r="D887" s="63"/>
      <c r="E887" s="63"/>
      <c r="F887" s="63"/>
      <c r="I887" s="63"/>
    </row>
    <row r="888">
      <c r="C888" s="63"/>
      <c r="D888" s="63"/>
      <c r="E888" s="63"/>
      <c r="F888" s="63"/>
      <c r="I888" s="63"/>
    </row>
    <row r="889">
      <c r="C889" s="63"/>
      <c r="D889" s="63"/>
      <c r="E889" s="63"/>
      <c r="F889" s="63"/>
      <c r="I889" s="63"/>
    </row>
    <row r="890">
      <c r="C890" s="63"/>
      <c r="D890" s="63"/>
      <c r="E890" s="63"/>
      <c r="F890" s="63"/>
      <c r="I890" s="63"/>
    </row>
    <row r="891">
      <c r="C891" s="63"/>
      <c r="D891" s="63"/>
      <c r="E891" s="63"/>
      <c r="F891" s="63"/>
      <c r="I891" s="63"/>
    </row>
    <row r="892">
      <c r="C892" s="63"/>
      <c r="D892" s="63"/>
      <c r="E892" s="63"/>
      <c r="F892" s="63"/>
      <c r="I892" s="63"/>
    </row>
    <row r="893">
      <c r="C893" s="63"/>
      <c r="D893" s="63"/>
      <c r="E893" s="63"/>
      <c r="F893" s="63"/>
      <c r="I893" s="63"/>
    </row>
    <row r="894">
      <c r="C894" s="63"/>
      <c r="D894" s="63"/>
      <c r="E894" s="63"/>
      <c r="F894" s="63"/>
      <c r="I894" s="63"/>
    </row>
    <row r="895">
      <c r="C895" s="63"/>
      <c r="D895" s="63"/>
      <c r="E895" s="63"/>
      <c r="F895" s="63"/>
      <c r="I895" s="63"/>
    </row>
    <row r="896">
      <c r="C896" s="63"/>
      <c r="D896" s="63"/>
      <c r="E896" s="63"/>
      <c r="F896" s="63"/>
      <c r="I896" s="63"/>
    </row>
    <row r="897">
      <c r="C897" s="63"/>
      <c r="D897" s="63"/>
      <c r="E897" s="63"/>
      <c r="F897" s="63"/>
      <c r="I897" s="63"/>
    </row>
    <row r="898">
      <c r="C898" s="63"/>
      <c r="D898" s="63"/>
      <c r="E898" s="63"/>
      <c r="F898" s="63"/>
      <c r="I898" s="63"/>
    </row>
    <row r="899">
      <c r="C899" s="63"/>
      <c r="D899" s="63"/>
      <c r="E899" s="63"/>
      <c r="F899" s="63"/>
      <c r="I899" s="63"/>
    </row>
    <row r="900">
      <c r="C900" s="63"/>
      <c r="D900" s="63"/>
      <c r="E900" s="63"/>
      <c r="F900" s="63"/>
      <c r="I900" s="63"/>
    </row>
    <row r="901">
      <c r="C901" s="63"/>
      <c r="D901" s="63"/>
      <c r="E901" s="63"/>
      <c r="F901" s="63"/>
      <c r="I901" s="63"/>
    </row>
    <row r="902">
      <c r="C902" s="63"/>
      <c r="D902" s="63"/>
      <c r="E902" s="63"/>
      <c r="F902" s="63"/>
      <c r="I902" s="63"/>
    </row>
    <row r="903">
      <c r="C903" s="63"/>
      <c r="D903" s="63"/>
      <c r="E903" s="63"/>
      <c r="F903" s="63"/>
      <c r="I903" s="63"/>
    </row>
    <row r="904">
      <c r="C904" s="63"/>
      <c r="D904" s="63"/>
      <c r="E904" s="63"/>
      <c r="F904" s="63"/>
      <c r="I904" s="63"/>
    </row>
    <row r="905">
      <c r="C905" s="63"/>
      <c r="D905" s="63"/>
      <c r="E905" s="63"/>
      <c r="F905" s="63"/>
      <c r="I905" s="63"/>
    </row>
    <row r="906">
      <c r="C906" s="63"/>
      <c r="D906" s="63"/>
      <c r="E906" s="63"/>
      <c r="F906" s="63"/>
      <c r="I906" s="63"/>
    </row>
    <row r="907">
      <c r="C907" s="63"/>
      <c r="D907" s="63"/>
      <c r="E907" s="63"/>
      <c r="F907" s="63"/>
      <c r="I907" s="63"/>
    </row>
    <row r="908">
      <c r="C908" s="63"/>
      <c r="D908" s="63"/>
      <c r="E908" s="63"/>
      <c r="F908" s="63"/>
      <c r="I908" s="63"/>
    </row>
    <row r="909">
      <c r="C909" s="63"/>
      <c r="D909" s="63"/>
      <c r="E909" s="63"/>
      <c r="F909" s="63"/>
      <c r="I909" s="63"/>
    </row>
    <row r="910">
      <c r="C910" s="63"/>
      <c r="D910" s="63"/>
      <c r="E910" s="63"/>
      <c r="F910" s="63"/>
      <c r="I910" s="63"/>
    </row>
    <row r="911">
      <c r="C911" s="63"/>
      <c r="D911" s="63"/>
      <c r="E911" s="63"/>
      <c r="F911" s="63"/>
      <c r="I911" s="63"/>
    </row>
    <row r="912">
      <c r="C912" s="63"/>
      <c r="D912" s="63"/>
      <c r="E912" s="63"/>
      <c r="F912" s="63"/>
      <c r="I912" s="63"/>
    </row>
    <row r="913">
      <c r="C913" s="63"/>
      <c r="D913" s="63"/>
      <c r="E913" s="63"/>
      <c r="F913" s="63"/>
      <c r="I913" s="63"/>
    </row>
    <row r="914">
      <c r="C914" s="63"/>
      <c r="D914" s="63"/>
      <c r="E914" s="63"/>
      <c r="F914" s="63"/>
      <c r="I914" s="63"/>
    </row>
    <row r="915">
      <c r="C915" s="63"/>
      <c r="D915" s="63"/>
      <c r="E915" s="63"/>
      <c r="F915" s="63"/>
      <c r="I915" s="63"/>
    </row>
    <row r="916">
      <c r="C916" s="63"/>
      <c r="D916" s="63"/>
      <c r="E916" s="63"/>
      <c r="F916" s="63"/>
      <c r="I916" s="63"/>
    </row>
    <row r="917">
      <c r="C917" s="63"/>
      <c r="D917" s="63"/>
      <c r="E917" s="63"/>
      <c r="F917" s="63"/>
      <c r="I917" s="63"/>
    </row>
    <row r="918">
      <c r="C918" s="63"/>
      <c r="D918" s="63"/>
      <c r="E918" s="63"/>
      <c r="F918" s="63"/>
      <c r="I918" s="63"/>
    </row>
    <row r="919">
      <c r="C919" s="63"/>
      <c r="D919" s="63"/>
      <c r="E919" s="63"/>
      <c r="F919" s="63"/>
      <c r="I919" s="63"/>
    </row>
    <row r="920">
      <c r="C920" s="63"/>
      <c r="D920" s="63"/>
      <c r="E920" s="63"/>
      <c r="F920" s="63"/>
      <c r="I920" s="63"/>
    </row>
    <row r="921">
      <c r="C921" s="63"/>
      <c r="D921" s="63"/>
      <c r="E921" s="63"/>
      <c r="F921" s="63"/>
      <c r="I921" s="63"/>
    </row>
    <row r="922">
      <c r="C922" s="63"/>
      <c r="D922" s="63"/>
      <c r="E922" s="63"/>
      <c r="F922" s="63"/>
      <c r="I922" s="63"/>
    </row>
    <row r="923">
      <c r="C923" s="63"/>
      <c r="D923" s="63"/>
      <c r="E923" s="63"/>
      <c r="F923" s="63"/>
      <c r="I923" s="63"/>
    </row>
    <row r="924">
      <c r="C924" s="63"/>
      <c r="D924" s="63"/>
      <c r="E924" s="63"/>
      <c r="F924" s="63"/>
      <c r="I924" s="63"/>
    </row>
    <row r="925">
      <c r="C925" s="63"/>
      <c r="D925" s="63"/>
      <c r="E925" s="63"/>
      <c r="F925" s="63"/>
      <c r="I925" s="63"/>
    </row>
    <row r="926">
      <c r="C926" s="63"/>
      <c r="D926" s="63"/>
      <c r="E926" s="63"/>
      <c r="F926" s="63"/>
      <c r="I926" s="63"/>
    </row>
    <row r="927">
      <c r="C927" s="63"/>
      <c r="D927" s="63"/>
      <c r="E927" s="63"/>
      <c r="F927" s="63"/>
      <c r="I927" s="63"/>
    </row>
    <row r="928">
      <c r="C928" s="63"/>
      <c r="D928" s="63"/>
      <c r="E928" s="63"/>
      <c r="F928" s="63"/>
      <c r="I928" s="63"/>
    </row>
    <row r="929">
      <c r="C929" s="63"/>
      <c r="D929" s="63"/>
      <c r="E929" s="63"/>
      <c r="F929" s="63"/>
      <c r="I929" s="63"/>
    </row>
    <row r="930">
      <c r="C930" s="63"/>
      <c r="D930" s="63"/>
      <c r="E930" s="63"/>
      <c r="F930" s="63"/>
      <c r="I930" s="63"/>
    </row>
    <row r="931">
      <c r="C931" s="63"/>
      <c r="D931" s="63"/>
      <c r="E931" s="63"/>
      <c r="F931" s="63"/>
      <c r="I931" s="63"/>
    </row>
    <row r="932">
      <c r="C932" s="63"/>
      <c r="D932" s="63"/>
      <c r="E932" s="63"/>
      <c r="F932" s="63"/>
      <c r="I932" s="63"/>
    </row>
    <row r="933">
      <c r="C933" s="63"/>
      <c r="D933" s="63"/>
      <c r="E933" s="63"/>
      <c r="F933" s="63"/>
      <c r="I933" s="63"/>
    </row>
    <row r="934">
      <c r="C934" s="63"/>
      <c r="D934" s="63"/>
      <c r="E934" s="63"/>
      <c r="F934" s="63"/>
      <c r="I934" s="63"/>
    </row>
    <row r="935">
      <c r="C935" s="63"/>
      <c r="D935" s="63"/>
      <c r="E935" s="63"/>
      <c r="F935" s="63"/>
      <c r="I935" s="63"/>
    </row>
    <row r="936">
      <c r="C936" s="63"/>
      <c r="D936" s="63"/>
      <c r="E936" s="63"/>
      <c r="F936" s="63"/>
      <c r="I936" s="63"/>
    </row>
    <row r="937">
      <c r="C937" s="63"/>
      <c r="D937" s="63"/>
      <c r="E937" s="63"/>
      <c r="F937" s="63"/>
      <c r="I937" s="63"/>
    </row>
    <row r="938">
      <c r="C938" s="63"/>
      <c r="D938" s="63"/>
      <c r="E938" s="63"/>
      <c r="F938" s="63"/>
      <c r="I938" s="63"/>
    </row>
    <row r="939">
      <c r="C939" s="63"/>
      <c r="D939" s="63"/>
      <c r="E939" s="63"/>
      <c r="F939" s="63"/>
      <c r="I939" s="63"/>
    </row>
    <row r="940">
      <c r="C940" s="63"/>
      <c r="D940" s="63"/>
      <c r="E940" s="63"/>
      <c r="F940" s="63"/>
      <c r="I940" s="63"/>
    </row>
    <row r="941">
      <c r="C941" s="63"/>
      <c r="D941" s="63"/>
      <c r="E941" s="63"/>
      <c r="F941" s="63"/>
      <c r="I941" s="63"/>
    </row>
    <row r="942">
      <c r="C942" s="63"/>
      <c r="D942" s="63"/>
      <c r="E942" s="63"/>
      <c r="F942" s="63"/>
      <c r="I942" s="63"/>
    </row>
    <row r="943">
      <c r="C943" s="63"/>
      <c r="D943" s="63"/>
      <c r="E943" s="63"/>
      <c r="F943" s="63"/>
      <c r="I943" s="63"/>
    </row>
    <row r="944">
      <c r="C944" s="63"/>
      <c r="D944" s="63"/>
      <c r="E944" s="63"/>
      <c r="F944" s="63"/>
      <c r="I944" s="63"/>
    </row>
    <row r="945">
      <c r="C945" s="63"/>
      <c r="D945" s="63"/>
      <c r="E945" s="63"/>
      <c r="F945" s="63"/>
      <c r="I945" s="63"/>
    </row>
    <row r="946">
      <c r="C946" s="63"/>
      <c r="D946" s="63"/>
      <c r="E946" s="63"/>
      <c r="F946" s="63"/>
      <c r="I946" s="63"/>
    </row>
    <row r="947">
      <c r="C947" s="63"/>
      <c r="D947" s="63"/>
      <c r="E947" s="63"/>
      <c r="F947" s="63"/>
      <c r="I947" s="63"/>
    </row>
    <row r="948">
      <c r="C948" s="63"/>
      <c r="D948" s="63"/>
      <c r="E948" s="63"/>
      <c r="F948" s="63"/>
      <c r="I948" s="63"/>
    </row>
    <row r="949">
      <c r="C949" s="63"/>
      <c r="D949" s="63"/>
      <c r="E949" s="63"/>
      <c r="F949" s="63"/>
      <c r="I949" s="63"/>
    </row>
    <row r="950">
      <c r="C950" s="63"/>
      <c r="D950" s="63"/>
      <c r="E950" s="63"/>
      <c r="F950" s="63"/>
      <c r="I950" s="63"/>
    </row>
    <row r="951">
      <c r="C951" s="63"/>
      <c r="D951" s="63"/>
      <c r="E951" s="63"/>
      <c r="F951" s="63"/>
      <c r="I951" s="63"/>
    </row>
    <row r="952">
      <c r="C952" s="63"/>
      <c r="D952" s="63"/>
      <c r="E952" s="63"/>
      <c r="F952" s="63"/>
      <c r="I952" s="63"/>
    </row>
    <row r="953">
      <c r="C953" s="63"/>
      <c r="D953" s="63"/>
      <c r="E953" s="63"/>
      <c r="F953" s="63"/>
      <c r="I953" s="63"/>
    </row>
    <row r="954">
      <c r="C954" s="63"/>
      <c r="D954" s="63"/>
      <c r="E954" s="63"/>
      <c r="F954" s="63"/>
      <c r="I954" s="63"/>
    </row>
    <row r="955">
      <c r="C955" s="63"/>
      <c r="D955" s="63"/>
      <c r="E955" s="63"/>
      <c r="F955" s="63"/>
      <c r="I955" s="63"/>
    </row>
    <row r="956">
      <c r="C956" s="63"/>
      <c r="D956" s="63"/>
      <c r="E956" s="63"/>
      <c r="F956" s="63"/>
      <c r="I956" s="63"/>
    </row>
    <row r="957">
      <c r="C957" s="63"/>
      <c r="D957" s="63"/>
      <c r="E957" s="63"/>
      <c r="F957" s="63"/>
      <c r="I957" s="63"/>
    </row>
    <row r="958">
      <c r="C958" s="63"/>
      <c r="D958" s="63"/>
      <c r="E958" s="63"/>
      <c r="F958" s="63"/>
      <c r="I958" s="63"/>
    </row>
    <row r="959">
      <c r="C959" s="63"/>
      <c r="D959" s="63"/>
      <c r="E959" s="63"/>
      <c r="F959" s="63"/>
      <c r="I959" s="63"/>
    </row>
    <row r="960">
      <c r="C960" s="63"/>
      <c r="D960" s="63"/>
      <c r="E960" s="63"/>
      <c r="F960" s="63"/>
      <c r="I960" s="63"/>
    </row>
    <row r="961">
      <c r="C961" s="63"/>
      <c r="D961" s="63"/>
      <c r="E961" s="63"/>
      <c r="F961" s="63"/>
      <c r="I961" s="63"/>
    </row>
    <row r="962">
      <c r="C962" s="63"/>
      <c r="D962" s="63"/>
      <c r="E962" s="63"/>
      <c r="F962" s="63"/>
      <c r="I962" s="63"/>
    </row>
    <row r="963">
      <c r="C963" s="63"/>
      <c r="D963" s="63"/>
      <c r="E963" s="63"/>
      <c r="F963" s="63"/>
      <c r="I963" s="63"/>
    </row>
    <row r="964">
      <c r="C964" s="63"/>
      <c r="D964" s="63"/>
      <c r="E964" s="63"/>
      <c r="F964" s="63"/>
      <c r="I964" s="63"/>
    </row>
    <row r="965">
      <c r="C965" s="63"/>
      <c r="D965" s="63"/>
      <c r="E965" s="63"/>
      <c r="F965" s="63"/>
      <c r="I965" s="63"/>
    </row>
    <row r="966">
      <c r="C966" s="63"/>
      <c r="D966" s="63"/>
      <c r="E966" s="63"/>
      <c r="F966" s="63"/>
      <c r="I966" s="63"/>
    </row>
    <row r="967">
      <c r="C967" s="63"/>
      <c r="D967" s="63"/>
      <c r="E967" s="63"/>
      <c r="F967" s="63"/>
      <c r="I967" s="63"/>
    </row>
    <row r="968">
      <c r="C968" s="63"/>
      <c r="D968" s="63"/>
      <c r="E968" s="63"/>
      <c r="F968" s="63"/>
      <c r="I968" s="63"/>
    </row>
    <row r="969">
      <c r="C969" s="63"/>
      <c r="D969" s="63"/>
      <c r="E969" s="63"/>
      <c r="F969" s="63"/>
      <c r="I969" s="63"/>
    </row>
    <row r="970">
      <c r="C970" s="63"/>
      <c r="D970" s="63"/>
      <c r="E970" s="63"/>
      <c r="F970" s="63"/>
      <c r="I970" s="63"/>
    </row>
    <row r="971">
      <c r="C971" s="63"/>
      <c r="D971" s="63"/>
      <c r="E971" s="63"/>
      <c r="F971" s="63"/>
      <c r="I971" s="63"/>
    </row>
    <row r="972">
      <c r="C972" s="63"/>
      <c r="D972" s="63"/>
      <c r="E972" s="63"/>
      <c r="F972" s="63"/>
      <c r="I972" s="63"/>
    </row>
    <row r="973">
      <c r="C973" s="63"/>
      <c r="D973" s="63"/>
      <c r="E973" s="63"/>
      <c r="F973" s="63"/>
      <c r="I973" s="63"/>
    </row>
    <row r="974">
      <c r="C974" s="63"/>
      <c r="D974" s="63"/>
      <c r="E974" s="63"/>
      <c r="F974" s="63"/>
      <c r="I974" s="63"/>
    </row>
    <row r="975">
      <c r="C975" s="63"/>
      <c r="D975" s="63"/>
      <c r="E975" s="63"/>
      <c r="F975" s="63"/>
      <c r="I975" s="63"/>
    </row>
    <row r="976">
      <c r="C976" s="63"/>
      <c r="D976" s="63"/>
      <c r="E976" s="63"/>
      <c r="F976" s="63"/>
      <c r="I976" s="63"/>
    </row>
    <row r="977">
      <c r="C977" s="63"/>
      <c r="D977" s="63"/>
      <c r="E977" s="63"/>
      <c r="F977" s="63"/>
      <c r="I977" s="63"/>
    </row>
    <row r="978">
      <c r="C978" s="63"/>
      <c r="D978" s="63"/>
      <c r="E978" s="63"/>
      <c r="F978" s="63"/>
      <c r="I978" s="63"/>
    </row>
    <row r="979">
      <c r="C979" s="63"/>
      <c r="D979" s="63"/>
      <c r="E979" s="63"/>
      <c r="F979" s="63"/>
      <c r="I979" s="63"/>
    </row>
    <row r="980">
      <c r="C980" s="63"/>
      <c r="D980" s="63"/>
      <c r="E980" s="63"/>
      <c r="F980" s="63"/>
      <c r="I980" s="63"/>
    </row>
    <row r="981">
      <c r="C981" s="63"/>
      <c r="D981" s="63"/>
      <c r="E981" s="63"/>
      <c r="F981" s="63"/>
      <c r="I981" s="63"/>
    </row>
    <row r="982">
      <c r="C982" s="63"/>
      <c r="D982" s="63"/>
      <c r="E982" s="63"/>
      <c r="F982" s="63"/>
      <c r="I982" s="63"/>
    </row>
    <row r="983">
      <c r="C983" s="63"/>
      <c r="D983" s="63"/>
      <c r="E983" s="63"/>
      <c r="F983" s="63"/>
      <c r="I983" s="63"/>
    </row>
    <row r="984">
      <c r="C984" s="63"/>
      <c r="D984" s="63"/>
      <c r="E984" s="63"/>
      <c r="F984" s="63"/>
      <c r="I984" s="63"/>
    </row>
    <row r="985">
      <c r="C985" s="63"/>
      <c r="D985" s="63"/>
      <c r="E985" s="63"/>
      <c r="F985" s="63"/>
      <c r="I985" s="63"/>
    </row>
    <row r="986">
      <c r="C986" s="63"/>
      <c r="D986" s="63"/>
      <c r="E986" s="63"/>
      <c r="F986" s="63"/>
      <c r="I986" s="63"/>
    </row>
    <row r="987">
      <c r="C987" s="63"/>
      <c r="D987" s="63"/>
      <c r="E987" s="63"/>
      <c r="F987" s="63"/>
      <c r="I987" s="63"/>
    </row>
    <row r="988">
      <c r="C988" s="63"/>
      <c r="D988" s="63"/>
      <c r="E988" s="63"/>
      <c r="F988" s="63"/>
      <c r="I988" s="63"/>
    </row>
    <row r="989">
      <c r="C989" s="63"/>
      <c r="D989" s="63"/>
      <c r="E989" s="63"/>
      <c r="F989" s="63"/>
      <c r="I989" s="63"/>
    </row>
    <row r="990">
      <c r="C990" s="63"/>
      <c r="D990" s="63"/>
      <c r="E990" s="63"/>
      <c r="F990" s="63"/>
      <c r="I990" s="63"/>
    </row>
    <row r="991">
      <c r="C991" s="63"/>
      <c r="D991" s="63"/>
      <c r="E991" s="63"/>
      <c r="F991" s="63"/>
      <c r="I991" s="63"/>
    </row>
    <row r="992">
      <c r="C992" s="63"/>
      <c r="D992" s="63"/>
      <c r="E992" s="63"/>
      <c r="F992" s="63"/>
      <c r="I992" s="63"/>
    </row>
    <row r="993">
      <c r="C993" s="63"/>
      <c r="D993" s="63"/>
      <c r="E993" s="63"/>
      <c r="F993" s="63"/>
      <c r="I993" s="63"/>
    </row>
    <row r="994">
      <c r="C994" s="63"/>
      <c r="D994" s="63"/>
      <c r="E994" s="63"/>
      <c r="F994" s="63"/>
      <c r="I994" s="63"/>
    </row>
    <row r="995">
      <c r="C995" s="63"/>
      <c r="D995" s="63"/>
      <c r="E995" s="63"/>
      <c r="F995" s="63"/>
      <c r="I995" s="63"/>
    </row>
    <row r="996">
      <c r="C996" s="63"/>
      <c r="D996" s="63"/>
      <c r="E996" s="63"/>
      <c r="F996" s="63"/>
      <c r="I996" s="63"/>
    </row>
    <row r="997">
      <c r="C997" s="63"/>
      <c r="D997" s="63"/>
      <c r="E997" s="63"/>
      <c r="F997" s="63"/>
      <c r="I997" s="63"/>
    </row>
    <row r="998">
      <c r="C998" s="63"/>
      <c r="D998" s="63"/>
      <c r="E998" s="63"/>
      <c r="F998" s="63"/>
      <c r="I998" s="63"/>
    </row>
    <row r="999">
      <c r="C999" s="63"/>
      <c r="D999" s="63"/>
      <c r="E999" s="63"/>
      <c r="F999" s="63"/>
      <c r="I999" s="63"/>
    </row>
    <row r="1000">
      <c r="C1000" s="63"/>
      <c r="D1000" s="63"/>
      <c r="E1000" s="63"/>
      <c r="F1000" s="63"/>
      <c r="I1000" s="63"/>
    </row>
  </sheetData>
  <hyperlinks>
    <hyperlink r:id="rId4" ref="B2"/>
    <hyperlink r:id="rId5" ref="C2"/>
    <hyperlink r:id="rId6" ref="D2"/>
    <hyperlink r:id="rId7" ref="E2"/>
    <hyperlink r:id="rId8" ref="F2"/>
    <hyperlink r:id="rId9" ref="G2"/>
    <hyperlink r:id="rId10" ref="H2"/>
    <hyperlink r:id="rId11" ref="I2"/>
    <hyperlink r:id="rId12" ref="J2"/>
    <hyperlink r:id="rId13" ref="K2"/>
    <hyperlink r:id="rId14" ref="B3"/>
    <hyperlink r:id="rId15" ref="C3"/>
    <hyperlink r:id="rId16" ref="D3"/>
    <hyperlink r:id="rId17" ref="E3"/>
    <hyperlink r:id="rId18" ref="F3"/>
    <hyperlink r:id="rId19" ref="G3"/>
    <hyperlink r:id="rId20" ref="H3"/>
    <hyperlink r:id="rId21" ref="I3"/>
    <hyperlink r:id="rId22" ref="J3"/>
    <hyperlink r:id="rId23" ref="K3"/>
    <hyperlink r:id="rId24" ref="B4"/>
    <hyperlink r:id="rId25" ref="C4"/>
    <hyperlink r:id="rId26" ref="D4"/>
    <hyperlink r:id="rId27" ref="E4"/>
    <hyperlink r:id="rId28" ref="F4"/>
    <hyperlink r:id="rId29" ref="G4"/>
    <hyperlink r:id="rId30" ref="H4"/>
    <hyperlink r:id="rId31" ref="I4"/>
    <hyperlink r:id="rId32" ref="J4"/>
    <hyperlink r:id="rId33" ref="K4"/>
    <hyperlink r:id="rId34" ref="B5"/>
    <hyperlink r:id="rId35" ref="C5"/>
    <hyperlink r:id="rId36" ref="D5"/>
    <hyperlink r:id="rId37" ref="E5"/>
    <hyperlink r:id="rId38" ref="F5"/>
    <hyperlink r:id="rId39" ref="G5"/>
    <hyperlink r:id="rId40" ref="H5"/>
    <hyperlink r:id="rId41" ref="I5"/>
    <hyperlink r:id="rId42" ref="J5"/>
    <hyperlink r:id="rId43" ref="K5"/>
    <hyperlink r:id="rId44" ref="B6"/>
    <hyperlink r:id="rId45" ref="C6"/>
    <hyperlink r:id="rId46" ref="D6"/>
    <hyperlink r:id="rId47" ref="E6"/>
    <hyperlink r:id="rId48" ref="F6"/>
    <hyperlink r:id="rId49" ref="G6"/>
    <hyperlink r:id="rId50" ref="H6"/>
    <hyperlink r:id="rId51" ref="I6"/>
    <hyperlink r:id="rId52" ref="J6"/>
    <hyperlink r:id="rId53" ref="K6"/>
    <hyperlink r:id="rId54" ref="B7"/>
    <hyperlink r:id="rId55" ref="C7"/>
    <hyperlink r:id="rId56" ref="D7"/>
    <hyperlink r:id="rId57" ref="E7"/>
    <hyperlink r:id="rId58" ref="F7"/>
    <hyperlink r:id="rId59" ref="G7"/>
    <hyperlink r:id="rId60" ref="H7"/>
    <hyperlink r:id="rId61" ref="I7"/>
    <hyperlink r:id="rId62" ref="J7"/>
    <hyperlink r:id="rId63" ref="K7"/>
    <hyperlink r:id="rId64" ref="B8"/>
    <hyperlink r:id="rId65" ref="C8"/>
    <hyperlink r:id="rId66" ref="D8"/>
    <hyperlink r:id="rId67" ref="E8"/>
    <hyperlink r:id="rId68" ref="F8"/>
    <hyperlink r:id="rId69" ref="G8"/>
    <hyperlink r:id="rId70" ref="H8"/>
    <hyperlink r:id="rId71" ref="I8"/>
    <hyperlink r:id="rId72" ref="J8"/>
    <hyperlink r:id="rId73" ref="K8"/>
    <hyperlink r:id="rId74" ref="B9"/>
    <hyperlink r:id="rId75" ref="C9"/>
    <hyperlink r:id="rId76" ref="D9"/>
    <hyperlink r:id="rId77" ref="E9"/>
    <hyperlink r:id="rId78" ref="F9"/>
    <hyperlink r:id="rId79" ref="G9"/>
    <hyperlink r:id="rId80" ref="H9"/>
    <hyperlink r:id="rId81" ref="I9"/>
    <hyperlink r:id="rId82" ref="J9"/>
    <hyperlink r:id="rId83" ref="K9"/>
    <hyperlink r:id="rId84" ref="B10"/>
    <hyperlink r:id="rId85" ref="C10"/>
    <hyperlink r:id="rId86" ref="D10"/>
    <hyperlink r:id="rId87" ref="F10"/>
    <hyperlink r:id="rId88" ref="G10"/>
    <hyperlink r:id="rId89" ref="H10"/>
    <hyperlink r:id="rId90" ref="I10"/>
    <hyperlink r:id="rId91" ref="J10"/>
    <hyperlink r:id="rId92" ref="K10"/>
    <hyperlink r:id="rId93" ref="B11"/>
    <hyperlink r:id="rId94" ref="C11"/>
    <hyperlink r:id="rId95" ref="D11"/>
    <hyperlink r:id="rId96" ref="G11"/>
    <hyperlink r:id="rId97" ref="H11"/>
    <hyperlink r:id="rId98" ref="I11"/>
    <hyperlink r:id="rId99" ref="J11"/>
    <hyperlink r:id="rId100" ref="K11"/>
    <hyperlink r:id="rId101" ref="C14"/>
    <hyperlink r:id="rId102" ref="D14"/>
    <hyperlink r:id="rId103" ref="E14"/>
    <hyperlink r:id="rId104" ref="F14"/>
    <hyperlink r:id="rId105" ref="I14"/>
    <hyperlink r:id="rId106" ref="C15"/>
    <hyperlink r:id="rId107" ref="D15"/>
    <hyperlink r:id="rId108" ref="E15"/>
    <hyperlink r:id="rId109" ref="F15"/>
    <hyperlink r:id="rId110" ref="C16"/>
    <hyperlink r:id="rId111" ref="D16"/>
    <hyperlink r:id="rId112" ref="E16"/>
    <hyperlink r:id="rId113" ref="F16"/>
    <hyperlink r:id="rId114" ref="C17"/>
    <hyperlink r:id="rId115" ref="D17"/>
    <hyperlink r:id="rId116" ref="E17"/>
    <hyperlink r:id="rId117" ref="F17"/>
    <hyperlink r:id="rId118" ref="C18"/>
    <hyperlink r:id="rId119" ref="D18"/>
    <hyperlink r:id="rId120" ref="E18"/>
    <hyperlink r:id="rId121" ref="F18"/>
    <hyperlink r:id="rId122" ref="C19"/>
    <hyperlink r:id="rId123" ref="D19"/>
    <hyperlink r:id="rId124" ref="E19"/>
    <hyperlink r:id="rId125" ref="F19"/>
    <hyperlink r:id="rId126" ref="C20"/>
    <hyperlink r:id="rId127" ref="D20"/>
    <hyperlink r:id="rId128" ref="E20"/>
    <hyperlink r:id="rId129" ref="F20"/>
    <hyperlink r:id="rId130" ref="C21"/>
    <hyperlink r:id="rId131" ref="D21"/>
    <hyperlink r:id="rId132" ref="E21"/>
    <hyperlink r:id="rId133" ref="F21"/>
    <hyperlink r:id="rId134" ref="C22"/>
    <hyperlink r:id="rId135" ref="D22"/>
    <hyperlink r:id="rId136" ref="F22"/>
    <hyperlink r:id="rId137" ref="I22"/>
    <hyperlink r:id="rId138" ref="C23"/>
    <hyperlink r:id="rId139" ref="I23"/>
  </hyperlinks>
  <drawing r:id="rId140"/>
  <legacyDrawing r:id="rId14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3" max="3" width="50.38"/>
  </cols>
  <sheetData>
    <row r="1">
      <c r="A1" s="75" t="s">
        <v>2731</v>
      </c>
      <c r="B1" s="75" t="s">
        <v>2732</v>
      </c>
      <c r="C1" s="76" t="s">
        <v>2733</v>
      </c>
      <c r="D1" s="61" t="s">
        <v>2734</v>
      </c>
      <c r="E1" s="61" t="s">
        <v>2735</v>
      </c>
      <c r="F1" s="61" t="s">
        <v>2736</v>
      </c>
      <c r="G1" s="61" t="s">
        <v>2737</v>
      </c>
      <c r="H1" s="61" t="s">
        <v>2738</v>
      </c>
    </row>
    <row r="2">
      <c r="A2" s="80" t="s">
        <v>2739</v>
      </c>
      <c r="B2" s="61" t="s">
        <v>2740</v>
      </c>
      <c r="C2" s="72" t="s">
        <v>2741</v>
      </c>
      <c r="D2" s="61" t="b">
        <v>1</v>
      </c>
      <c r="E2" s="61" t="b">
        <v>1</v>
      </c>
      <c r="F2" s="61" t="b">
        <v>1</v>
      </c>
      <c r="G2" s="61" t="b">
        <v>1</v>
      </c>
      <c r="H2" s="61" t="s">
        <v>2742</v>
      </c>
    </row>
    <row r="3">
      <c r="A3" s="61" t="s">
        <v>2743</v>
      </c>
      <c r="B3" s="61" t="s">
        <v>2740</v>
      </c>
      <c r="C3" s="72" t="s">
        <v>2744</v>
      </c>
      <c r="D3" s="61" t="b">
        <v>1</v>
      </c>
      <c r="E3" s="61" t="b">
        <v>1</v>
      </c>
      <c r="F3" s="61" t="b">
        <v>1</v>
      </c>
      <c r="G3" s="61" t="b">
        <v>1</v>
      </c>
      <c r="H3" s="61" t="s">
        <v>2745</v>
      </c>
    </row>
    <row r="4">
      <c r="A4" s="61" t="s">
        <v>2746</v>
      </c>
      <c r="B4" s="61" t="s">
        <v>2747</v>
      </c>
      <c r="C4" s="72" t="s">
        <v>2748</v>
      </c>
      <c r="D4" s="61" t="b">
        <v>1</v>
      </c>
      <c r="E4" s="61" t="b">
        <v>1</v>
      </c>
      <c r="F4" s="61" t="b">
        <v>1</v>
      </c>
      <c r="G4" s="61" t="b">
        <v>1</v>
      </c>
      <c r="H4" s="61" t="s">
        <v>2749</v>
      </c>
    </row>
    <row r="5">
      <c r="A5" s="61" t="s">
        <v>2750</v>
      </c>
      <c r="B5" s="61" t="s">
        <v>2747</v>
      </c>
      <c r="C5" s="72" t="s">
        <v>2751</v>
      </c>
      <c r="D5" s="61" t="b">
        <v>1</v>
      </c>
      <c r="E5" s="61" t="b">
        <v>1</v>
      </c>
      <c r="F5" s="61" t="b">
        <v>1</v>
      </c>
      <c r="G5" s="61" t="b">
        <v>1</v>
      </c>
      <c r="H5" s="61" t="s">
        <v>2752</v>
      </c>
    </row>
    <row r="6">
      <c r="A6" s="81" t="s">
        <v>2753</v>
      </c>
      <c r="B6" s="61" t="s">
        <v>2754</v>
      </c>
      <c r="C6" s="72" t="s">
        <v>2755</v>
      </c>
      <c r="D6" s="61" t="b">
        <v>1</v>
      </c>
      <c r="E6" s="61" t="b">
        <v>1</v>
      </c>
      <c r="F6" s="61" t="b">
        <v>1</v>
      </c>
      <c r="G6" s="61" t="b">
        <v>1</v>
      </c>
      <c r="H6" s="61" t="s">
        <v>2756</v>
      </c>
    </row>
    <row r="7">
      <c r="A7" s="81" t="s">
        <v>2757</v>
      </c>
      <c r="B7" s="61" t="s">
        <v>2754</v>
      </c>
      <c r="C7" s="72" t="s">
        <v>2758</v>
      </c>
      <c r="D7" s="61" t="b">
        <v>1</v>
      </c>
      <c r="E7" s="61" t="b">
        <v>1</v>
      </c>
      <c r="F7" s="61" t="b">
        <v>1</v>
      </c>
      <c r="G7" s="61" t="b">
        <v>1</v>
      </c>
      <c r="H7" s="61" t="s">
        <v>2759</v>
      </c>
    </row>
    <row r="8">
      <c r="A8" s="81" t="s">
        <v>2760</v>
      </c>
      <c r="B8" s="61" t="s">
        <v>2761</v>
      </c>
      <c r="C8" s="82" t="s">
        <v>2762</v>
      </c>
      <c r="D8" s="61" t="b">
        <v>1</v>
      </c>
      <c r="E8" s="61" t="b">
        <v>1</v>
      </c>
      <c r="F8" s="61" t="b">
        <v>1</v>
      </c>
      <c r="G8" s="61" t="b">
        <v>1</v>
      </c>
      <c r="H8" s="61" t="s">
        <v>2763</v>
      </c>
    </row>
    <row r="9">
      <c r="A9" s="61" t="s">
        <v>2764</v>
      </c>
      <c r="B9" s="61" t="s">
        <v>2761</v>
      </c>
      <c r="C9" s="72" t="s">
        <v>2765</v>
      </c>
      <c r="D9" s="61" t="b">
        <v>1</v>
      </c>
      <c r="E9" s="61" t="b">
        <v>1</v>
      </c>
      <c r="F9" s="61" t="b">
        <v>1</v>
      </c>
      <c r="G9" s="61" t="b">
        <v>1</v>
      </c>
      <c r="H9" s="61" t="s">
        <v>2766</v>
      </c>
    </row>
    <row r="10">
      <c r="A10" s="61" t="s">
        <v>2767</v>
      </c>
      <c r="B10" s="61" t="s">
        <v>2768</v>
      </c>
      <c r="C10" s="72" t="s">
        <v>2769</v>
      </c>
      <c r="D10" s="61" t="b">
        <v>1</v>
      </c>
      <c r="E10" s="61" t="b">
        <v>1</v>
      </c>
      <c r="F10" s="61" t="b">
        <v>1</v>
      </c>
      <c r="G10" s="61" t="b">
        <v>1</v>
      </c>
      <c r="H10" s="61" t="s">
        <v>2770</v>
      </c>
    </row>
    <row r="11">
      <c r="A11" s="61" t="s">
        <v>2771</v>
      </c>
      <c r="B11" s="61" t="s">
        <v>2768</v>
      </c>
      <c r="C11" s="72" t="s">
        <v>2772</v>
      </c>
      <c r="D11" s="61" t="b">
        <v>1</v>
      </c>
      <c r="E11" s="61" t="b">
        <v>1</v>
      </c>
      <c r="F11" s="61" t="b">
        <v>1</v>
      </c>
      <c r="G11" s="61" t="b">
        <v>1</v>
      </c>
      <c r="H11" s="61" t="s">
        <v>2773</v>
      </c>
    </row>
    <row r="12">
      <c r="A12" s="81" t="s">
        <v>2774</v>
      </c>
      <c r="B12" s="61" t="s">
        <v>2775</v>
      </c>
      <c r="C12" s="72" t="s">
        <v>2776</v>
      </c>
      <c r="D12" s="61" t="b">
        <v>1</v>
      </c>
      <c r="E12" s="61" t="b">
        <v>1</v>
      </c>
      <c r="F12" s="61" t="b">
        <v>1</v>
      </c>
      <c r="G12" s="61" t="b">
        <v>1</v>
      </c>
      <c r="H12" s="61" t="s">
        <v>2777</v>
      </c>
    </row>
    <row r="13">
      <c r="A13" s="81" t="s">
        <v>2778</v>
      </c>
      <c r="B13" s="61" t="s">
        <v>2775</v>
      </c>
      <c r="C13" s="72" t="s">
        <v>2779</v>
      </c>
      <c r="D13" s="61" t="b">
        <v>1</v>
      </c>
      <c r="E13" s="61" t="b">
        <v>1</v>
      </c>
      <c r="F13" s="61" t="b">
        <v>1</v>
      </c>
      <c r="G13" s="61" t="b">
        <v>1</v>
      </c>
      <c r="H13" s="61" t="s">
        <v>2780</v>
      </c>
    </row>
    <row r="14">
      <c r="A14" s="61" t="s">
        <v>2781</v>
      </c>
      <c r="B14" s="61" t="s">
        <v>2782</v>
      </c>
      <c r="C14" s="72" t="s">
        <v>2783</v>
      </c>
      <c r="D14" s="61" t="b">
        <v>1</v>
      </c>
      <c r="E14" s="61" t="b">
        <v>1</v>
      </c>
      <c r="F14" s="61" t="b">
        <v>1</v>
      </c>
      <c r="G14" s="61" t="b">
        <v>1</v>
      </c>
      <c r="H14" s="61" t="s">
        <v>2784</v>
      </c>
    </row>
    <row r="15">
      <c r="A15" s="61" t="s">
        <v>2785</v>
      </c>
      <c r="B15" s="61" t="s">
        <v>2782</v>
      </c>
      <c r="C15" s="72" t="s">
        <v>2786</v>
      </c>
      <c r="D15" s="61" t="b">
        <v>1</v>
      </c>
      <c r="E15" s="61" t="b">
        <v>1</v>
      </c>
      <c r="F15" s="61" t="b">
        <v>1</v>
      </c>
      <c r="G15" s="61" t="b">
        <v>1</v>
      </c>
      <c r="H15" s="61" t="s">
        <v>2787</v>
      </c>
    </row>
    <row r="16">
      <c r="A16" s="61" t="s">
        <v>2788</v>
      </c>
      <c r="B16" s="61" t="s">
        <v>2789</v>
      </c>
      <c r="C16" s="72" t="s">
        <v>2790</v>
      </c>
      <c r="D16" s="61" t="b">
        <v>1</v>
      </c>
      <c r="E16" s="61" t="b">
        <v>1</v>
      </c>
      <c r="F16" s="61" t="b">
        <v>1</v>
      </c>
      <c r="G16" s="61" t="b">
        <v>1</v>
      </c>
      <c r="H16" s="61" t="s">
        <v>2791</v>
      </c>
    </row>
    <row r="17">
      <c r="A17" s="61" t="s">
        <v>2792</v>
      </c>
      <c r="B17" s="61" t="s">
        <v>2789</v>
      </c>
      <c r="C17" s="72" t="s">
        <v>2793</v>
      </c>
      <c r="D17" s="61" t="b">
        <v>1</v>
      </c>
      <c r="E17" s="61" t="b">
        <v>1</v>
      </c>
      <c r="F17" s="61" t="b">
        <v>1</v>
      </c>
      <c r="G17" s="61" t="b">
        <v>1</v>
      </c>
      <c r="H17" s="61" t="s">
        <v>2794</v>
      </c>
    </row>
    <row r="18">
      <c r="A18" s="61" t="s">
        <v>2795</v>
      </c>
      <c r="B18" s="61" t="s">
        <v>2796</v>
      </c>
      <c r="C18" s="72" t="s">
        <v>2797</v>
      </c>
      <c r="D18" s="61" t="b">
        <v>1</v>
      </c>
      <c r="E18" s="61" t="b">
        <v>1</v>
      </c>
      <c r="F18" s="61" t="b">
        <v>1</v>
      </c>
      <c r="G18" s="61" t="b">
        <v>1</v>
      </c>
      <c r="H18" s="61" t="s">
        <v>2798</v>
      </c>
    </row>
    <row r="19">
      <c r="A19" s="61" t="s">
        <v>2799</v>
      </c>
      <c r="B19" s="61" t="s">
        <v>2796</v>
      </c>
      <c r="C19" s="82" t="s">
        <v>2800</v>
      </c>
      <c r="D19" s="61" t="b">
        <v>1</v>
      </c>
      <c r="E19" s="61" t="b">
        <v>1</v>
      </c>
      <c r="F19" s="61" t="b">
        <v>1</v>
      </c>
      <c r="G19" s="61" t="b">
        <v>1</v>
      </c>
      <c r="H19" s="61" t="s">
        <v>2801</v>
      </c>
    </row>
    <row r="20">
      <c r="A20" s="61" t="s">
        <v>2802</v>
      </c>
      <c r="B20" s="61" t="s">
        <v>2803</v>
      </c>
      <c r="C20" s="72" t="s">
        <v>2804</v>
      </c>
      <c r="D20" s="61" t="b">
        <v>1</v>
      </c>
      <c r="E20" s="61" t="b">
        <v>1</v>
      </c>
      <c r="F20" s="61" t="b">
        <v>1</v>
      </c>
      <c r="G20" s="61" t="b">
        <v>1</v>
      </c>
      <c r="H20" s="61" t="s">
        <v>2805</v>
      </c>
    </row>
    <row r="21">
      <c r="A21" s="61" t="s">
        <v>2806</v>
      </c>
      <c r="B21" s="61" t="s">
        <v>2803</v>
      </c>
      <c r="C21" s="72" t="s">
        <v>2807</v>
      </c>
      <c r="D21" s="61" t="b">
        <v>1</v>
      </c>
      <c r="E21" s="61" t="b">
        <v>1</v>
      </c>
      <c r="F21" s="61" t="b">
        <v>1</v>
      </c>
      <c r="G21" s="61" t="b">
        <v>1</v>
      </c>
      <c r="H21" s="61" t="s">
        <v>2808</v>
      </c>
    </row>
    <row r="22">
      <c r="A22" s="81" t="s">
        <v>2809</v>
      </c>
      <c r="B22" s="61" t="s">
        <v>2810</v>
      </c>
      <c r="C22" s="72" t="s">
        <v>2811</v>
      </c>
      <c r="D22" s="61" t="b">
        <v>1</v>
      </c>
      <c r="E22" s="61" t="b">
        <v>1</v>
      </c>
      <c r="F22" s="61" t="b">
        <v>1</v>
      </c>
      <c r="G22" s="61" t="b">
        <v>1</v>
      </c>
      <c r="H22" s="61" t="s">
        <v>2812</v>
      </c>
    </row>
    <row r="23">
      <c r="A23" s="81" t="s">
        <v>2813</v>
      </c>
      <c r="B23" s="61" t="s">
        <v>2810</v>
      </c>
      <c r="C23" s="72" t="s">
        <v>2814</v>
      </c>
      <c r="D23" s="61" t="b">
        <v>1</v>
      </c>
      <c r="E23" s="61" t="b">
        <v>1</v>
      </c>
      <c r="F23" s="61" t="b">
        <v>1</v>
      </c>
      <c r="G23" s="61" t="b">
        <v>1</v>
      </c>
      <c r="H23" s="61" t="s">
        <v>2815</v>
      </c>
    </row>
    <row r="24">
      <c r="A24" s="61" t="s">
        <v>2816</v>
      </c>
      <c r="B24" s="61" t="s">
        <v>2817</v>
      </c>
      <c r="C24" s="72" t="s">
        <v>2818</v>
      </c>
      <c r="D24" s="61" t="b">
        <v>1</v>
      </c>
      <c r="E24" s="61" t="b">
        <v>1</v>
      </c>
      <c r="F24" s="61" t="b">
        <v>1</v>
      </c>
      <c r="G24" s="61" t="b">
        <v>1</v>
      </c>
      <c r="H24" s="61" t="s">
        <v>2819</v>
      </c>
    </row>
    <row r="25">
      <c r="A25" s="61" t="s">
        <v>2820</v>
      </c>
      <c r="B25" s="61" t="s">
        <v>2817</v>
      </c>
      <c r="C25" s="72" t="s">
        <v>2821</v>
      </c>
      <c r="D25" s="61" t="b">
        <v>1</v>
      </c>
      <c r="E25" s="61" t="b">
        <v>1</v>
      </c>
      <c r="F25" s="61" t="b">
        <v>1</v>
      </c>
      <c r="G25" s="61" t="b">
        <v>1</v>
      </c>
      <c r="H25" s="61" t="s">
        <v>2822</v>
      </c>
    </row>
    <row r="26">
      <c r="A26" s="61" t="s">
        <v>2823</v>
      </c>
      <c r="B26" s="61" t="s">
        <v>2824</v>
      </c>
      <c r="C26" s="72" t="s">
        <v>2825</v>
      </c>
      <c r="D26" s="61" t="b">
        <v>1</v>
      </c>
      <c r="E26" s="61" t="b">
        <v>1</v>
      </c>
      <c r="F26" s="61" t="b">
        <v>1</v>
      </c>
      <c r="G26" s="61" t="b">
        <v>1</v>
      </c>
      <c r="H26" s="61" t="s">
        <v>2826</v>
      </c>
    </row>
    <row r="27">
      <c r="A27" s="61" t="s">
        <v>2827</v>
      </c>
      <c r="B27" s="61" t="s">
        <v>2824</v>
      </c>
      <c r="C27" s="72" t="s">
        <v>2828</v>
      </c>
      <c r="D27" s="61" t="b">
        <v>1</v>
      </c>
      <c r="E27" s="61" t="b">
        <v>1</v>
      </c>
      <c r="F27" s="61" t="b">
        <v>1</v>
      </c>
      <c r="G27" s="61" t="b">
        <v>1</v>
      </c>
      <c r="H27" s="61" t="s">
        <v>2829</v>
      </c>
    </row>
    <row r="28">
      <c r="A28" s="61" t="s">
        <v>2830</v>
      </c>
      <c r="B28" s="61" t="s">
        <v>2831</v>
      </c>
      <c r="C28" s="72" t="s">
        <v>2832</v>
      </c>
      <c r="D28" s="61" t="b">
        <v>1</v>
      </c>
      <c r="E28" s="61" t="b">
        <v>1</v>
      </c>
      <c r="F28" s="61" t="b">
        <v>1</v>
      </c>
      <c r="G28" s="61" t="b">
        <v>1</v>
      </c>
      <c r="H28" s="61" t="s">
        <v>2833</v>
      </c>
    </row>
    <row r="29">
      <c r="A29" s="61" t="s">
        <v>2834</v>
      </c>
      <c r="B29" s="61" t="s">
        <v>2831</v>
      </c>
      <c r="C29" s="72" t="s">
        <v>2835</v>
      </c>
      <c r="D29" s="61" t="b">
        <v>1</v>
      </c>
      <c r="E29" s="61" t="b">
        <v>1</v>
      </c>
      <c r="F29" s="61" t="b">
        <v>1</v>
      </c>
      <c r="G29" s="61" t="b">
        <v>1</v>
      </c>
      <c r="H29" s="61" t="s">
        <v>2836</v>
      </c>
    </row>
    <row r="30">
      <c r="A30" s="61" t="s">
        <v>2837</v>
      </c>
      <c r="B30" s="61" t="s">
        <v>2838</v>
      </c>
      <c r="C30" s="82" t="s">
        <v>2839</v>
      </c>
      <c r="D30" s="61" t="b">
        <v>1</v>
      </c>
      <c r="E30" s="61" t="b">
        <v>1</v>
      </c>
      <c r="F30" s="61" t="b">
        <v>1</v>
      </c>
      <c r="G30" s="61" t="b">
        <v>1</v>
      </c>
      <c r="H30" s="61" t="s">
        <v>2840</v>
      </c>
    </row>
    <row r="31">
      <c r="A31" s="61" t="s">
        <v>2841</v>
      </c>
      <c r="B31" s="61" t="s">
        <v>2838</v>
      </c>
      <c r="C31" s="72" t="s">
        <v>2842</v>
      </c>
      <c r="D31" s="61" t="b">
        <v>1</v>
      </c>
      <c r="E31" s="61" t="b">
        <v>1</v>
      </c>
      <c r="F31" s="61" t="b">
        <v>1</v>
      </c>
      <c r="G31" s="61" t="b">
        <v>1</v>
      </c>
      <c r="H31" s="61" t="s">
        <v>2843</v>
      </c>
    </row>
    <row r="32">
      <c r="A32" s="61" t="s">
        <v>2844</v>
      </c>
      <c r="B32" s="61" t="s">
        <v>2845</v>
      </c>
      <c r="C32" s="72" t="s">
        <v>2846</v>
      </c>
      <c r="D32" s="61" t="b">
        <v>1</v>
      </c>
      <c r="E32" s="61" t="b">
        <v>1</v>
      </c>
      <c r="F32" s="61" t="b">
        <v>1</v>
      </c>
      <c r="G32" s="61" t="b">
        <v>1</v>
      </c>
      <c r="H32" s="61" t="s">
        <v>2847</v>
      </c>
    </row>
    <row r="33">
      <c r="A33" s="61" t="s">
        <v>2848</v>
      </c>
      <c r="B33" s="61" t="s">
        <v>2845</v>
      </c>
      <c r="C33" s="72" t="s">
        <v>2849</v>
      </c>
      <c r="D33" s="61" t="b">
        <v>1</v>
      </c>
      <c r="E33" s="61" t="b">
        <v>1</v>
      </c>
      <c r="F33" s="61" t="b">
        <v>1</v>
      </c>
      <c r="G33" s="61" t="b">
        <v>1</v>
      </c>
      <c r="H33" s="61" t="s">
        <v>2850</v>
      </c>
    </row>
    <row r="34">
      <c r="A34" s="61" t="s">
        <v>2851</v>
      </c>
      <c r="B34" s="61" t="s">
        <v>2852</v>
      </c>
      <c r="C34" s="72" t="s">
        <v>2853</v>
      </c>
      <c r="D34" s="61" t="b">
        <v>1</v>
      </c>
      <c r="E34" s="61" t="b">
        <v>1</v>
      </c>
      <c r="F34" s="61" t="b">
        <v>1</v>
      </c>
      <c r="G34" s="61" t="b">
        <v>1</v>
      </c>
      <c r="H34" s="61" t="s">
        <v>2854</v>
      </c>
    </row>
    <row r="35">
      <c r="A35" s="61" t="s">
        <v>2855</v>
      </c>
      <c r="B35" s="61" t="s">
        <v>2852</v>
      </c>
      <c r="C35" s="72" t="s">
        <v>2856</v>
      </c>
      <c r="D35" s="61" t="b">
        <v>1</v>
      </c>
      <c r="E35" s="61" t="b">
        <v>1</v>
      </c>
      <c r="F35" s="61" t="b">
        <v>1</v>
      </c>
      <c r="G35" s="61" t="b">
        <v>1</v>
      </c>
      <c r="H35" s="61" t="s">
        <v>2857</v>
      </c>
    </row>
    <row r="36">
      <c r="A36" s="61" t="s">
        <v>2858</v>
      </c>
      <c r="B36" s="61" t="s">
        <v>2859</v>
      </c>
      <c r="C36" s="72" t="s">
        <v>2860</v>
      </c>
      <c r="D36" s="61" t="b">
        <v>1</v>
      </c>
      <c r="E36" s="61" t="b">
        <v>1</v>
      </c>
      <c r="F36" s="61" t="b">
        <v>1</v>
      </c>
      <c r="G36" s="61" t="b">
        <v>1</v>
      </c>
      <c r="H36" s="61" t="s">
        <v>2861</v>
      </c>
    </row>
    <row r="37">
      <c r="A37" s="61" t="s">
        <v>2862</v>
      </c>
      <c r="B37" s="61" t="s">
        <v>2859</v>
      </c>
      <c r="C37" s="72" t="s">
        <v>2863</v>
      </c>
      <c r="D37" s="61" t="b">
        <v>1</v>
      </c>
      <c r="E37" s="61" t="b">
        <v>1</v>
      </c>
      <c r="F37" s="61" t="b">
        <v>1</v>
      </c>
      <c r="G37" s="61" t="b">
        <v>1</v>
      </c>
      <c r="H37" s="61" t="s">
        <v>2864</v>
      </c>
    </row>
    <row r="38">
      <c r="A38" s="61" t="s">
        <v>2865</v>
      </c>
      <c r="B38" s="61" t="s">
        <v>2866</v>
      </c>
      <c r="C38" s="72" t="s">
        <v>2867</v>
      </c>
      <c r="D38" s="61" t="b">
        <v>1</v>
      </c>
      <c r="E38" s="61" t="b">
        <v>1</v>
      </c>
      <c r="F38" s="61" t="b">
        <v>1</v>
      </c>
      <c r="G38" s="61" t="b">
        <v>1</v>
      </c>
      <c r="H38" s="61" t="s">
        <v>2868</v>
      </c>
    </row>
    <row r="39">
      <c r="A39" s="61" t="s">
        <v>2869</v>
      </c>
      <c r="B39" s="61" t="s">
        <v>2866</v>
      </c>
      <c r="C39" s="82" t="s">
        <v>2870</v>
      </c>
      <c r="D39" s="61" t="b">
        <v>1</v>
      </c>
      <c r="E39" s="61" t="b">
        <v>1</v>
      </c>
      <c r="F39" s="61" t="b">
        <v>1</v>
      </c>
      <c r="G39" s="61" t="b">
        <v>1</v>
      </c>
      <c r="H39" s="61" t="s">
        <v>2871</v>
      </c>
    </row>
    <row r="40">
      <c r="A40" s="61" t="s">
        <v>2872</v>
      </c>
      <c r="B40" s="61" t="s">
        <v>2873</v>
      </c>
      <c r="C40" s="72" t="s">
        <v>2874</v>
      </c>
      <c r="D40" s="61" t="b">
        <v>1</v>
      </c>
      <c r="E40" s="61" t="b">
        <v>1</v>
      </c>
      <c r="F40" s="61" t="b">
        <v>1</v>
      </c>
      <c r="G40" s="61" t="b">
        <v>1</v>
      </c>
      <c r="H40" s="61" t="s">
        <v>2875</v>
      </c>
    </row>
    <row r="41">
      <c r="A41" s="61" t="s">
        <v>2876</v>
      </c>
      <c r="B41" s="61" t="s">
        <v>2873</v>
      </c>
      <c r="C41" s="72" t="s">
        <v>2877</v>
      </c>
      <c r="D41" s="61" t="b">
        <v>1</v>
      </c>
      <c r="E41" s="61" t="b">
        <v>1</v>
      </c>
      <c r="F41" s="61" t="b">
        <v>1</v>
      </c>
      <c r="G41" s="61" t="b">
        <v>1</v>
      </c>
      <c r="H41" s="61" t="s">
        <v>2878</v>
      </c>
    </row>
    <row r="42">
      <c r="C42" s="63"/>
    </row>
    <row r="43">
      <c r="C43" s="63"/>
    </row>
    <row r="44">
      <c r="C44" s="63"/>
    </row>
    <row r="45">
      <c r="C45" s="63"/>
    </row>
    <row r="46">
      <c r="C46" s="63"/>
    </row>
    <row r="47">
      <c r="C47" s="63"/>
    </row>
    <row r="48">
      <c r="C48" s="63"/>
    </row>
    <row r="49">
      <c r="C49" s="63"/>
    </row>
    <row r="50">
      <c r="C50" s="63"/>
    </row>
    <row r="51">
      <c r="C51" s="63"/>
    </row>
    <row r="52">
      <c r="C52" s="63"/>
    </row>
    <row r="53">
      <c r="C53" s="63"/>
    </row>
    <row r="54">
      <c r="C54" s="63"/>
    </row>
    <row r="55">
      <c r="C55" s="63"/>
    </row>
    <row r="56">
      <c r="C56" s="63"/>
    </row>
    <row r="57">
      <c r="C57" s="63"/>
    </row>
    <row r="58">
      <c r="C58" s="63"/>
    </row>
    <row r="59">
      <c r="C59" s="63"/>
    </row>
    <row r="60">
      <c r="C60" s="63"/>
    </row>
    <row r="61">
      <c r="C61" s="63"/>
    </row>
    <row r="62">
      <c r="C62" s="63"/>
    </row>
    <row r="63">
      <c r="C63" s="63"/>
    </row>
    <row r="64">
      <c r="C64" s="63"/>
    </row>
    <row r="65">
      <c r="C65" s="63"/>
    </row>
    <row r="66">
      <c r="C66" s="63"/>
    </row>
    <row r="67">
      <c r="C67" s="63"/>
    </row>
    <row r="68">
      <c r="C68" s="63"/>
    </row>
    <row r="69">
      <c r="C69" s="63"/>
    </row>
    <row r="70">
      <c r="C70" s="63"/>
    </row>
    <row r="71">
      <c r="C71" s="63"/>
    </row>
    <row r="72">
      <c r="C72" s="63"/>
    </row>
    <row r="73">
      <c r="C73" s="63"/>
    </row>
    <row r="74">
      <c r="C74" s="63"/>
    </row>
    <row r="75">
      <c r="C75" s="63"/>
    </row>
    <row r="76">
      <c r="C76" s="63"/>
    </row>
    <row r="77">
      <c r="C77" s="63"/>
    </row>
    <row r="78">
      <c r="C78" s="63"/>
    </row>
    <row r="79">
      <c r="C79" s="63"/>
    </row>
    <row r="80">
      <c r="C80" s="63"/>
    </row>
    <row r="81">
      <c r="C81" s="63"/>
    </row>
    <row r="82">
      <c r="C82" s="63"/>
    </row>
    <row r="83">
      <c r="C83" s="63"/>
    </row>
    <row r="84">
      <c r="C84" s="63"/>
    </row>
    <row r="85">
      <c r="C85" s="63"/>
    </row>
    <row r="86">
      <c r="C86" s="63"/>
    </row>
    <row r="87">
      <c r="C87" s="63"/>
    </row>
    <row r="88">
      <c r="C88" s="63"/>
    </row>
    <row r="89">
      <c r="C89" s="63"/>
    </row>
    <row r="90">
      <c r="C90" s="63"/>
    </row>
    <row r="91">
      <c r="C91" s="63"/>
    </row>
    <row r="92">
      <c r="C92" s="63"/>
    </row>
    <row r="93">
      <c r="C93" s="63"/>
    </row>
    <row r="94">
      <c r="C94" s="63"/>
    </row>
    <row r="95">
      <c r="C95" s="63"/>
    </row>
    <row r="96">
      <c r="C96" s="63"/>
    </row>
    <row r="97">
      <c r="C97" s="63"/>
    </row>
    <row r="98">
      <c r="C98" s="63"/>
    </row>
    <row r="99">
      <c r="C99" s="63"/>
    </row>
    <row r="100">
      <c r="C100" s="63"/>
    </row>
    <row r="101">
      <c r="C101" s="63"/>
    </row>
    <row r="102">
      <c r="C102" s="63"/>
    </row>
    <row r="103">
      <c r="C103" s="63"/>
    </row>
    <row r="104">
      <c r="C104" s="63"/>
    </row>
    <row r="105">
      <c r="C105" s="63"/>
    </row>
    <row r="106">
      <c r="C106" s="63"/>
    </row>
    <row r="107">
      <c r="C107" s="63"/>
    </row>
    <row r="108">
      <c r="C108" s="63"/>
    </row>
    <row r="109">
      <c r="C109" s="63"/>
    </row>
    <row r="110">
      <c r="C110" s="63"/>
    </row>
    <row r="111">
      <c r="C111" s="63"/>
    </row>
    <row r="112">
      <c r="C112" s="63"/>
    </row>
    <row r="113">
      <c r="C113" s="63"/>
    </row>
    <row r="114">
      <c r="C114" s="63"/>
    </row>
    <row r="115">
      <c r="C115" s="63"/>
    </row>
    <row r="116">
      <c r="C116" s="63"/>
    </row>
    <row r="117">
      <c r="C117" s="63"/>
    </row>
    <row r="118">
      <c r="C118" s="63"/>
    </row>
    <row r="119">
      <c r="C119" s="63"/>
    </row>
    <row r="120">
      <c r="C120" s="63"/>
    </row>
    <row r="121">
      <c r="C121" s="63"/>
    </row>
    <row r="122">
      <c r="C122" s="63"/>
    </row>
    <row r="123">
      <c r="C123" s="63"/>
    </row>
    <row r="124">
      <c r="C124" s="63"/>
    </row>
    <row r="125">
      <c r="C125" s="63"/>
    </row>
    <row r="126">
      <c r="C126" s="63"/>
    </row>
    <row r="127">
      <c r="C127" s="63"/>
    </row>
    <row r="128">
      <c r="C128" s="63"/>
    </row>
    <row r="129">
      <c r="C129" s="63"/>
    </row>
    <row r="130">
      <c r="C130" s="63"/>
    </row>
    <row r="131">
      <c r="C131" s="63"/>
    </row>
    <row r="132">
      <c r="C132" s="63"/>
    </row>
    <row r="133">
      <c r="C133" s="63"/>
    </row>
    <row r="134">
      <c r="C134" s="63"/>
    </row>
    <row r="135">
      <c r="C135" s="63"/>
    </row>
    <row r="136">
      <c r="C136" s="63"/>
    </row>
    <row r="137">
      <c r="C137" s="63"/>
    </row>
    <row r="138">
      <c r="C138" s="63"/>
    </row>
    <row r="139">
      <c r="C139" s="63"/>
    </row>
    <row r="140">
      <c r="C140" s="63"/>
    </row>
    <row r="141">
      <c r="C141" s="63"/>
    </row>
    <row r="142">
      <c r="C142" s="63"/>
    </row>
    <row r="143">
      <c r="C143" s="63"/>
    </row>
    <row r="144">
      <c r="C144" s="63"/>
    </row>
    <row r="145">
      <c r="C145" s="63"/>
    </row>
    <row r="146">
      <c r="C146" s="63"/>
    </row>
    <row r="147">
      <c r="C147" s="63"/>
    </row>
    <row r="148">
      <c r="C148" s="63"/>
    </row>
    <row r="149">
      <c r="C149" s="63"/>
    </row>
    <row r="150">
      <c r="C150" s="63"/>
    </row>
    <row r="151">
      <c r="C151" s="63"/>
    </row>
    <row r="152">
      <c r="C152" s="63"/>
    </row>
    <row r="153">
      <c r="C153" s="63"/>
    </row>
    <row r="154">
      <c r="C154" s="63"/>
    </row>
    <row r="155">
      <c r="C155" s="63"/>
    </row>
    <row r="156">
      <c r="C156" s="63"/>
    </row>
    <row r="157">
      <c r="C157" s="63"/>
    </row>
    <row r="158">
      <c r="C158" s="63"/>
    </row>
    <row r="159">
      <c r="C159" s="63"/>
    </row>
    <row r="160">
      <c r="C160" s="63"/>
    </row>
    <row r="161">
      <c r="C161" s="63"/>
    </row>
    <row r="162">
      <c r="C162" s="63"/>
    </row>
    <row r="163">
      <c r="C163" s="63"/>
    </row>
    <row r="164">
      <c r="C164" s="63"/>
    </row>
    <row r="165">
      <c r="C165" s="63"/>
    </row>
    <row r="166">
      <c r="C166" s="63"/>
    </row>
    <row r="167">
      <c r="C167" s="63"/>
    </row>
    <row r="168">
      <c r="C168" s="63"/>
    </row>
    <row r="169">
      <c r="C169" s="63"/>
    </row>
    <row r="170">
      <c r="C170" s="63"/>
    </row>
    <row r="171">
      <c r="C171" s="63"/>
    </row>
    <row r="172">
      <c r="C172" s="63"/>
    </row>
    <row r="173">
      <c r="C173" s="63"/>
    </row>
    <row r="174">
      <c r="C174" s="63"/>
    </row>
    <row r="175">
      <c r="C175" s="63"/>
    </row>
    <row r="176">
      <c r="C176" s="63"/>
    </row>
    <row r="177">
      <c r="C177" s="63"/>
    </row>
    <row r="178">
      <c r="C178" s="63"/>
    </row>
    <row r="179">
      <c r="C179" s="63"/>
    </row>
    <row r="180">
      <c r="C180" s="63"/>
    </row>
    <row r="181">
      <c r="C181" s="63"/>
    </row>
    <row r="182">
      <c r="C182" s="63"/>
    </row>
    <row r="183">
      <c r="C183" s="63"/>
    </row>
    <row r="184">
      <c r="C184" s="63"/>
    </row>
    <row r="185">
      <c r="C185" s="63"/>
    </row>
    <row r="186">
      <c r="C186" s="63"/>
    </row>
    <row r="187">
      <c r="C187" s="63"/>
    </row>
    <row r="188">
      <c r="C188" s="63"/>
    </row>
    <row r="189">
      <c r="C189" s="63"/>
    </row>
    <row r="190">
      <c r="C190" s="63"/>
    </row>
    <row r="191">
      <c r="C191" s="63"/>
    </row>
    <row r="192">
      <c r="C192" s="63"/>
    </row>
    <row r="193">
      <c r="C193" s="63"/>
    </row>
    <row r="194">
      <c r="C194" s="63"/>
    </row>
    <row r="195">
      <c r="C195" s="63"/>
    </row>
    <row r="196">
      <c r="C196" s="63"/>
    </row>
    <row r="197">
      <c r="C197" s="63"/>
    </row>
    <row r="198">
      <c r="C198" s="63"/>
    </row>
    <row r="199">
      <c r="C199" s="63"/>
    </row>
    <row r="200">
      <c r="C200" s="63"/>
    </row>
    <row r="201">
      <c r="C201" s="63"/>
    </row>
    <row r="202">
      <c r="C202" s="63"/>
    </row>
    <row r="203">
      <c r="C203" s="63"/>
    </row>
    <row r="204">
      <c r="C204" s="63"/>
    </row>
    <row r="205">
      <c r="C205" s="63"/>
    </row>
    <row r="206">
      <c r="C206" s="63"/>
    </row>
    <row r="207">
      <c r="C207" s="63"/>
    </row>
    <row r="208">
      <c r="C208" s="63"/>
    </row>
    <row r="209">
      <c r="C209" s="63"/>
    </row>
    <row r="210">
      <c r="C210" s="63"/>
    </row>
    <row r="211">
      <c r="C211" s="63"/>
    </row>
    <row r="212">
      <c r="C212" s="63"/>
    </row>
    <row r="213">
      <c r="C213" s="63"/>
    </row>
    <row r="214">
      <c r="C214" s="63"/>
    </row>
    <row r="215">
      <c r="C215" s="63"/>
    </row>
    <row r="216">
      <c r="C216" s="63"/>
    </row>
    <row r="217">
      <c r="C217" s="63"/>
    </row>
    <row r="218">
      <c r="C218" s="63"/>
    </row>
    <row r="219">
      <c r="C219" s="63"/>
    </row>
    <row r="220">
      <c r="C220" s="63"/>
    </row>
    <row r="221">
      <c r="C221" s="63"/>
    </row>
    <row r="222">
      <c r="C222" s="63"/>
    </row>
    <row r="223">
      <c r="C223" s="63"/>
    </row>
    <row r="224">
      <c r="C224" s="63"/>
    </row>
    <row r="225">
      <c r="C225" s="63"/>
    </row>
    <row r="226">
      <c r="C226" s="63"/>
    </row>
    <row r="227">
      <c r="C227" s="63"/>
    </row>
    <row r="228">
      <c r="C228" s="63"/>
    </row>
    <row r="229">
      <c r="C229" s="63"/>
    </row>
    <row r="230">
      <c r="C230" s="63"/>
    </row>
    <row r="231">
      <c r="C231" s="63"/>
    </row>
    <row r="232">
      <c r="C232" s="63"/>
    </row>
    <row r="233">
      <c r="C233" s="63"/>
    </row>
    <row r="234">
      <c r="C234" s="63"/>
    </row>
    <row r="235">
      <c r="C235" s="63"/>
    </row>
    <row r="236">
      <c r="C236" s="63"/>
    </row>
    <row r="237">
      <c r="C237" s="63"/>
    </row>
    <row r="238">
      <c r="C238" s="63"/>
    </row>
    <row r="239">
      <c r="C239" s="63"/>
    </row>
    <row r="240">
      <c r="C240" s="63"/>
    </row>
    <row r="241">
      <c r="C241" s="63"/>
    </row>
    <row r="242">
      <c r="C242" s="63"/>
    </row>
    <row r="243">
      <c r="C243" s="63"/>
    </row>
    <row r="244">
      <c r="C244" s="63"/>
    </row>
    <row r="245">
      <c r="C245" s="63"/>
    </row>
    <row r="246">
      <c r="C246" s="63"/>
    </row>
    <row r="247">
      <c r="C247" s="63"/>
    </row>
    <row r="248">
      <c r="C248" s="63"/>
    </row>
    <row r="249">
      <c r="C249" s="63"/>
    </row>
    <row r="250">
      <c r="C250" s="63"/>
    </row>
    <row r="251">
      <c r="C251" s="63"/>
    </row>
    <row r="252">
      <c r="C252" s="63"/>
    </row>
    <row r="253">
      <c r="C253" s="63"/>
    </row>
    <row r="254">
      <c r="C254" s="63"/>
    </row>
    <row r="255">
      <c r="C255" s="63"/>
    </row>
    <row r="256">
      <c r="C256" s="63"/>
    </row>
    <row r="257">
      <c r="C257" s="63"/>
    </row>
    <row r="258">
      <c r="C258" s="63"/>
    </row>
    <row r="259">
      <c r="C259" s="63"/>
    </row>
    <row r="260">
      <c r="C260" s="63"/>
    </row>
    <row r="261">
      <c r="C261" s="63"/>
    </row>
    <row r="262">
      <c r="C262" s="63"/>
    </row>
    <row r="263">
      <c r="C263" s="63"/>
    </row>
    <row r="264">
      <c r="C264" s="63"/>
    </row>
    <row r="265">
      <c r="C265" s="63"/>
    </row>
    <row r="266">
      <c r="C266" s="63"/>
    </row>
    <row r="267">
      <c r="C267" s="63"/>
    </row>
    <row r="268">
      <c r="C268" s="63"/>
    </row>
    <row r="269">
      <c r="C269" s="63"/>
    </row>
    <row r="270">
      <c r="C270" s="63"/>
    </row>
    <row r="271">
      <c r="C271" s="63"/>
    </row>
    <row r="272">
      <c r="C272" s="63"/>
    </row>
    <row r="273">
      <c r="C273" s="63"/>
    </row>
    <row r="274">
      <c r="C274" s="63"/>
    </row>
    <row r="275">
      <c r="C275" s="63"/>
    </row>
    <row r="276">
      <c r="C276" s="63"/>
    </row>
    <row r="277">
      <c r="C277" s="63"/>
    </row>
    <row r="278">
      <c r="C278" s="63"/>
    </row>
    <row r="279">
      <c r="C279" s="63"/>
    </row>
    <row r="280">
      <c r="C280" s="63"/>
    </row>
    <row r="281">
      <c r="C281" s="63"/>
    </row>
    <row r="282">
      <c r="C282" s="63"/>
    </row>
    <row r="283">
      <c r="C283" s="63"/>
    </row>
    <row r="284">
      <c r="C284" s="63"/>
    </row>
    <row r="285">
      <c r="C285" s="63"/>
    </row>
    <row r="286">
      <c r="C286" s="63"/>
    </row>
    <row r="287">
      <c r="C287" s="63"/>
    </row>
    <row r="288">
      <c r="C288" s="63"/>
    </row>
    <row r="289">
      <c r="C289" s="63"/>
    </row>
    <row r="290">
      <c r="C290" s="63"/>
    </row>
    <row r="291">
      <c r="C291" s="63"/>
    </row>
    <row r="292">
      <c r="C292" s="63"/>
    </row>
    <row r="293">
      <c r="C293" s="63"/>
    </row>
    <row r="294">
      <c r="C294" s="63"/>
    </row>
    <row r="295">
      <c r="C295" s="63"/>
    </row>
    <row r="296">
      <c r="C296" s="63"/>
    </row>
    <row r="297">
      <c r="C297" s="63"/>
    </row>
    <row r="298">
      <c r="C298" s="63"/>
    </row>
    <row r="299">
      <c r="C299" s="63"/>
    </row>
    <row r="300">
      <c r="C300" s="63"/>
    </row>
    <row r="301">
      <c r="C301" s="63"/>
    </row>
    <row r="302">
      <c r="C302" s="63"/>
    </row>
    <row r="303">
      <c r="C303" s="63"/>
    </row>
    <row r="304">
      <c r="C304" s="63"/>
    </row>
    <row r="305">
      <c r="C305" s="63"/>
    </row>
    <row r="306">
      <c r="C306" s="63"/>
    </row>
    <row r="307">
      <c r="C307" s="63"/>
    </row>
    <row r="308">
      <c r="C308" s="63"/>
    </row>
    <row r="309">
      <c r="C309" s="63"/>
    </row>
    <row r="310">
      <c r="C310" s="63"/>
    </row>
    <row r="311">
      <c r="C311" s="63"/>
    </row>
    <row r="312">
      <c r="C312" s="63"/>
    </row>
    <row r="313">
      <c r="C313" s="63"/>
    </row>
    <row r="314">
      <c r="C314" s="63"/>
    </row>
    <row r="315">
      <c r="C315" s="63"/>
    </row>
    <row r="316">
      <c r="C316" s="63"/>
    </row>
    <row r="317">
      <c r="C317" s="63"/>
    </row>
    <row r="318">
      <c r="C318" s="63"/>
    </row>
    <row r="319">
      <c r="C319" s="63"/>
    </row>
    <row r="320">
      <c r="C320" s="63"/>
    </row>
    <row r="321">
      <c r="C321" s="63"/>
    </row>
    <row r="322">
      <c r="C322" s="63"/>
    </row>
    <row r="323">
      <c r="C323" s="63"/>
    </row>
    <row r="324">
      <c r="C324" s="63"/>
    </row>
    <row r="325">
      <c r="C325" s="63"/>
    </row>
    <row r="326">
      <c r="C326" s="63"/>
    </row>
    <row r="327">
      <c r="C327" s="63"/>
    </row>
    <row r="328">
      <c r="C328" s="63"/>
    </row>
    <row r="329">
      <c r="C329" s="63"/>
    </row>
    <row r="330">
      <c r="C330" s="63"/>
    </row>
    <row r="331">
      <c r="C331" s="63"/>
    </row>
    <row r="332">
      <c r="C332" s="63"/>
    </row>
    <row r="333">
      <c r="C333" s="63"/>
    </row>
    <row r="334">
      <c r="C334" s="63"/>
    </row>
    <row r="335">
      <c r="C335" s="63"/>
    </row>
    <row r="336">
      <c r="C336" s="63"/>
    </row>
    <row r="337">
      <c r="C337" s="63"/>
    </row>
    <row r="338">
      <c r="C338" s="63"/>
    </row>
    <row r="339">
      <c r="C339" s="63"/>
    </row>
    <row r="340">
      <c r="C340" s="63"/>
    </row>
    <row r="341">
      <c r="C341" s="63"/>
    </row>
    <row r="342">
      <c r="C342" s="63"/>
    </row>
    <row r="343">
      <c r="C343" s="63"/>
    </row>
    <row r="344">
      <c r="C344" s="63"/>
    </row>
    <row r="345">
      <c r="C345" s="63"/>
    </row>
    <row r="346">
      <c r="C346" s="63"/>
    </row>
    <row r="347">
      <c r="C347" s="63"/>
    </row>
    <row r="348">
      <c r="C348" s="63"/>
    </row>
    <row r="349">
      <c r="C349" s="63"/>
    </row>
    <row r="350">
      <c r="C350" s="63"/>
    </row>
    <row r="351">
      <c r="C351" s="63"/>
    </row>
    <row r="352">
      <c r="C352" s="63"/>
    </row>
    <row r="353">
      <c r="C353" s="63"/>
    </row>
    <row r="354">
      <c r="C354" s="63"/>
    </row>
    <row r="355">
      <c r="C355" s="63"/>
    </row>
    <row r="356">
      <c r="C356" s="63"/>
    </row>
    <row r="357">
      <c r="C357" s="63"/>
    </row>
    <row r="358">
      <c r="C358" s="63"/>
    </row>
    <row r="359">
      <c r="C359" s="63"/>
    </row>
    <row r="360">
      <c r="C360" s="63"/>
    </row>
    <row r="361">
      <c r="C361" s="63"/>
    </row>
    <row r="362">
      <c r="C362" s="63"/>
    </row>
    <row r="363">
      <c r="C363" s="63"/>
    </row>
    <row r="364">
      <c r="C364" s="63"/>
    </row>
    <row r="365">
      <c r="C365" s="63"/>
    </row>
    <row r="366">
      <c r="C366" s="63"/>
    </row>
    <row r="367">
      <c r="C367" s="63"/>
    </row>
    <row r="368">
      <c r="C368" s="63"/>
    </row>
    <row r="369">
      <c r="C369" s="63"/>
    </row>
    <row r="370">
      <c r="C370" s="63"/>
    </row>
    <row r="371">
      <c r="C371" s="63"/>
    </row>
    <row r="372">
      <c r="C372" s="63"/>
    </row>
    <row r="373">
      <c r="C373" s="63"/>
    </row>
    <row r="374">
      <c r="C374" s="63"/>
    </row>
    <row r="375">
      <c r="C375" s="63"/>
    </row>
    <row r="376">
      <c r="C376" s="63"/>
    </row>
    <row r="377">
      <c r="C377" s="63"/>
    </row>
    <row r="378">
      <c r="C378" s="63"/>
    </row>
    <row r="379">
      <c r="C379" s="63"/>
    </row>
    <row r="380">
      <c r="C380" s="63"/>
    </row>
    <row r="381">
      <c r="C381" s="63"/>
    </row>
    <row r="382">
      <c r="C382" s="63"/>
    </row>
    <row r="383">
      <c r="C383" s="63"/>
    </row>
    <row r="384">
      <c r="C384" s="63"/>
    </row>
    <row r="385">
      <c r="C385" s="63"/>
    </row>
    <row r="386">
      <c r="C386" s="63"/>
    </row>
    <row r="387">
      <c r="C387" s="63"/>
    </row>
    <row r="388">
      <c r="C388" s="63"/>
    </row>
    <row r="389">
      <c r="C389" s="63"/>
    </row>
    <row r="390">
      <c r="C390" s="63"/>
    </row>
    <row r="391">
      <c r="C391" s="63"/>
    </row>
    <row r="392">
      <c r="C392" s="63"/>
    </row>
    <row r="393">
      <c r="C393" s="63"/>
    </row>
    <row r="394">
      <c r="C394" s="63"/>
    </row>
    <row r="395">
      <c r="C395" s="63"/>
    </row>
    <row r="396">
      <c r="C396" s="63"/>
    </row>
    <row r="397">
      <c r="C397" s="63"/>
    </row>
    <row r="398">
      <c r="C398" s="63"/>
    </row>
    <row r="399">
      <c r="C399" s="63"/>
    </row>
    <row r="400">
      <c r="C400" s="63"/>
    </row>
    <row r="401">
      <c r="C401" s="63"/>
    </row>
    <row r="402">
      <c r="C402" s="63"/>
    </row>
    <row r="403">
      <c r="C403" s="63"/>
    </row>
    <row r="404">
      <c r="C404" s="63"/>
    </row>
    <row r="405">
      <c r="C405" s="63"/>
    </row>
    <row r="406">
      <c r="C406" s="63"/>
    </row>
    <row r="407">
      <c r="C407" s="63"/>
    </row>
    <row r="408">
      <c r="C408" s="63"/>
    </row>
    <row r="409">
      <c r="C409" s="63"/>
    </row>
    <row r="410">
      <c r="C410" s="63"/>
    </row>
    <row r="411">
      <c r="C411" s="63"/>
    </row>
    <row r="412">
      <c r="C412" s="63"/>
    </row>
    <row r="413">
      <c r="C413" s="63"/>
    </row>
    <row r="414">
      <c r="C414" s="63"/>
    </row>
    <row r="415">
      <c r="C415" s="63"/>
    </row>
    <row r="416">
      <c r="C416" s="63"/>
    </row>
    <row r="417">
      <c r="C417" s="63"/>
    </row>
    <row r="418">
      <c r="C418" s="63"/>
    </row>
    <row r="419">
      <c r="C419" s="63"/>
    </row>
    <row r="420">
      <c r="C420" s="63"/>
    </row>
    <row r="421">
      <c r="C421" s="63"/>
    </row>
    <row r="422">
      <c r="C422" s="63"/>
    </row>
    <row r="423">
      <c r="C423" s="63"/>
    </row>
    <row r="424">
      <c r="C424" s="63"/>
    </row>
    <row r="425">
      <c r="C425" s="63"/>
    </row>
    <row r="426">
      <c r="C426" s="63"/>
    </row>
    <row r="427">
      <c r="C427" s="63"/>
    </row>
    <row r="428">
      <c r="C428" s="63"/>
    </row>
    <row r="429">
      <c r="C429" s="63"/>
    </row>
    <row r="430">
      <c r="C430" s="63"/>
    </row>
    <row r="431">
      <c r="C431" s="63"/>
    </row>
    <row r="432">
      <c r="C432" s="63"/>
    </row>
    <row r="433">
      <c r="C433" s="63"/>
    </row>
    <row r="434">
      <c r="C434" s="63"/>
    </row>
    <row r="435">
      <c r="C435" s="63"/>
    </row>
    <row r="436">
      <c r="C436" s="63"/>
    </row>
    <row r="437">
      <c r="C437" s="63"/>
    </row>
    <row r="438">
      <c r="C438" s="63"/>
    </row>
    <row r="439">
      <c r="C439" s="63"/>
    </row>
    <row r="440">
      <c r="C440" s="63"/>
    </row>
    <row r="441">
      <c r="C441" s="63"/>
    </row>
    <row r="442">
      <c r="C442" s="63"/>
    </row>
    <row r="443">
      <c r="C443" s="63"/>
    </row>
    <row r="444">
      <c r="C444" s="63"/>
    </row>
    <row r="445">
      <c r="C445" s="63"/>
    </row>
    <row r="446">
      <c r="C446" s="63"/>
    </row>
    <row r="447">
      <c r="C447" s="63"/>
    </row>
    <row r="448">
      <c r="C448" s="63"/>
    </row>
    <row r="449">
      <c r="C449" s="63"/>
    </row>
    <row r="450">
      <c r="C450" s="63"/>
    </row>
    <row r="451">
      <c r="C451" s="63"/>
    </row>
    <row r="452">
      <c r="C452" s="63"/>
    </row>
    <row r="453">
      <c r="C453" s="63"/>
    </row>
    <row r="454">
      <c r="C454" s="63"/>
    </row>
    <row r="455">
      <c r="C455" s="63"/>
    </row>
    <row r="456">
      <c r="C456" s="63"/>
    </row>
    <row r="457">
      <c r="C457" s="63"/>
    </row>
    <row r="458">
      <c r="C458" s="63"/>
    </row>
    <row r="459">
      <c r="C459" s="63"/>
    </row>
    <row r="460">
      <c r="C460" s="63"/>
    </row>
    <row r="461">
      <c r="C461" s="63"/>
    </row>
    <row r="462">
      <c r="C462" s="63"/>
    </row>
    <row r="463">
      <c r="C463" s="63"/>
    </row>
    <row r="464">
      <c r="C464" s="63"/>
    </row>
    <row r="465">
      <c r="C465" s="63"/>
    </row>
    <row r="466">
      <c r="C466" s="63"/>
    </row>
    <row r="467">
      <c r="C467" s="63"/>
    </row>
    <row r="468">
      <c r="C468" s="63"/>
    </row>
    <row r="469">
      <c r="C469" s="63"/>
    </row>
    <row r="470">
      <c r="C470" s="63"/>
    </row>
    <row r="471">
      <c r="C471" s="63"/>
    </row>
    <row r="472">
      <c r="C472" s="63"/>
    </row>
    <row r="473">
      <c r="C473" s="63"/>
    </row>
    <row r="474">
      <c r="C474" s="63"/>
    </row>
    <row r="475">
      <c r="C475" s="63"/>
    </row>
    <row r="476">
      <c r="C476" s="63"/>
    </row>
    <row r="477">
      <c r="C477" s="63"/>
    </row>
    <row r="478">
      <c r="C478" s="63"/>
    </row>
    <row r="479">
      <c r="C479" s="63"/>
    </row>
    <row r="480">
      <c r="C480" s="63"/>
    </row>
    <row r="481">
      <c r="C481" s="63"/>
    </row>
    <row r="482">
      <c r="C482" s="63"/>
    </row>
    <row r="483">
      <c r="C483" s="63"/>
    </row>
    <row r="484">
      <c r="C484" s="63"/>
    </row>
    <row r="485">
      <c r="C485" s="63"/>
    </row>
    <row r="486">
      <c r="C486" s="63"/>
    </row>
    <row r="487">
      <c r="C487" s="63"/>
    </row>
    <row r="488">
      <c r="C488" s="63"/>
    </row>
    <row r="489">
      <c r="C489" s="63"/>
    </row>
    <row r="490">
      <c r="C490" s="63"/>
    </row>
    <row r="491">
      <c r="C491" s="63"/>
    </row>
    <row r="492">
      <c r="C492" s="63"/>
    </row>
    <row r="493">
      <c r="C493" s="63"/>
    </row>
    <row r="494">
      <c r="C494" s="63"/>
    </row>
    <row r="495">
      <c r="C495" s="63"/>
    </row>
    <row r="496">
      <c r="C496" s="63"/>
    </row>
    <row r="497">
      <c r="C497" s="63"/>
    </row>
    <row r="498">
      <c r="C498" s="63"/>
    </row>
    <row r="499">
      <c r="C499" s="63"/>
    </row>
    <row r="500">
      <c r="C500" s="63"/>
    </row>
    <row r="501">
      <c r="C501" s="63"/>
    </row>
    <row r="502">
      <c r="C502" s="63"/>
    </row>
    <row r="503">
      <c r="C503" s="63"/>
    </row>
    <row r="504">
      <c r="C504" s="63"/>
    </row>
    <row r="505">
      <c r="C505" s="63"/>
    </row>
    <row r="506">
      <c r="C506" s="63"/>
    </row>
    <row r="507">
      <c r="C507" s="63"/>
    </row>
    <row r="508">
      <c r="C508" s="63"/>
    </row>
    <row r="509">
      <c r="C509" s="63"/>
    </row>
    <row r="510">
      <c r="C510" s="63"/>
    </row>
    <row r="511">
      <c r="C511" s="63"/>
    </row>
    <row r="512">
      <c r="C512" s="63"/>
    </row>
    <row r="513">
      <c r="C513" s="63"/>
    </row>
    <row r="514">
      <c r="C514" s="63"/>
    </row>
    <row r="515">
      <c r="C515" s="63"/>
    </row>
    <row r="516">
      <c r="C516" s="63"/>
    </row>
    <row r="517">
      <c r="C517" s="63"/>
    </row>
    <row r="518">
      <c r="C518" s="63"/>
    </row>
    <row r="519">
      <c r="C519" s="63"/>
    </row>
    <row r="520">
      <c r="C520" s="63"/>
    </row>
    <row r="521">
      <c r="C521" s="63"/>
    </row>
    <row r="522">
      <c r="C522" s="63"/>
    </row>
    <row r="523">
      <c r="C523" s="63"/>
    </row>
    <row r="524">
      <c r="C524" s="63"/>
    </row>
    <row r="525">
      <c r="C525" s="63"/>
    </row>
    <row r="526">
      <c r="C526" s="63"/>
    </row>
    <row r="527">
      <c r="C527" s="63"/>
    </row>
    <row r="528">
      <c r="C528" s="63"/>
    </row>
    <row r="529">
      <c r="C529" s="63"/>
    </row>
    <row r="530">
      <c r="C530" s="63"/>
    </row>
    <row r="531">
      <c r="C531" s="63"/>
    </row>
    <row r="532">
      <c r="C532" s="63"/>
    </row>
    <row r="533">
      <c r="C533" s="63"/>
    </row>
    <row r="534">
      <c r="C534" s="63"/>
    </row>
    <row r="535">
      <c r="C535" s="63"/>
    </row>
    <row r="536">
      <c r="C536" s="63"/>
    </row>
    <row r="537">
      <c r="C537" s="63"/>
    </row>
    <row r="538">
      <c r="C538" s="63"/>
    </row>
    <row r="539">
      <c r="C539" s="63"/>
    </row>
    <row r="540">
      <c r="C540" s="63"/>
    </row>
    <row r="541">
      <c r="C541" s="63"/>
    </row>
    <row r="542">
      <c r="C542" s="63"/>
    </row>
    <row r="543">
      <c r="C543" s="63"/>
    </row>
    <row r="544">
      <c r="C544" s="63"/>
    </row>
    <row r="545">
      <c r="C545" s="63"/>
    </row>
    <row r="546">
      <c r="C546" s="63"/>
    </row>
    <row r="547">
      <c r="C547" s="63"/>
    </row>
    <row r="548">
      <c r="C548" s="63"/>
    </row>
    <row r="549">
      <c r="C549" s="63"/>
    </row>
    <row r="550">
      <c r="C550" s="63"/>
    </row>
    <row r="551">
      <c r="C551" s="63"/>
    </row>
    <row r="552">
      <c r="C552" s="63"/>
    </row>
    <row r="553">
      <c r="C553" s="63"/>
    </row>
    <row r="554">
      <c r="C554" s="63"/>
    </row>
    <row r="555">
      <c r="C555" s="63"/>
    </row>
    <row r="556">
      <c r="C556" s="63"/>
    </row>
    <row r="557">
      <c r="C557" s="63"/>
    </row>
    <row r="558">
      <c r="C558" s="63"/>
    </row>
    <row r="559">
      <c r="C559" s="63"/>
    </row>
    <row r="560">
      <c r="C560" s="63"/>
    </row>
    <row r="561">
      <c r="C561" s="63"/>
    </row>
    <row r="562">
      <c r="C562" s="63"/>
    </row>
    <row r="563">
      <c r="C563" s="63"/>
    </row>
    <row r="564">
      <c r="C564" s="63"/>
    </row>
    <row r="565">
      <c r="C565" s="63"/>
    </row>
    <row r="566">
      <c r="C566" s="63"/>
    </row>
    <row r="567">
      <c r="C567" s="63"/>
    </row>
    <row r="568">
      <c r="C568" s="63"/>
    </row>
    <row r="569">
      <c r="C569" s="63"/>
    </row>
    <row r="570">
      <c r="C570" s="63"/>
    </row>
    <row r="571">
      <c r="C571" s="63"/>
    </row>
    <row r="572">
      <c r="C572" s="63"/>
    </row>
    <row r="573">
      <c r="C573" s="63"/>
    </row>
    <row r="574">
      <c r="C574" s="63"/>
    </row>
    <row r="575">
      <c r="C575" s="63"/>
    </row>
    <row r="576">
      <c r="C576" s="63"/>
    </row>
    <row r="577">
      <c r="C577" s="63"/>
    </row>
    <row r="578">
      <c r="C578" s="63"/>
    </row>
    <row r="579">
      <c r="C579" s="63"/>
    </row>
    <row r="580">
      <c r="C580" s="63"/>
    </row>
    <row r="581">
      <c r="C581" s="63"/>
    </row>
    <row r="582">
      <c r="C582" s="63"/>
    </row>
    <row r="583">
      <c r="C583" s="63"/>
    </row>
    <row r="584">
      <c r="C584" s="63"/>
    </row>
    <row r="585">
      <c r="C585" s="63"/>
    </row>
    <row r="586">
      <c r="C586" s="63"/>
    </row>
    <row r="587">
      <c r="C587" s="63"/>
    </row>
    <row r="588">
      <c r="C588" s="63"/>
    </row>
    <row r="589">
      <c r="C589" s="63"/>
    </row>
    <row r="590">
      <c r="C590" s="63"/>
    </row>
    <row r="591">
      <c r="C591" s="63"/>
    </row>
    <row r="592">
      <c r="C592" s="63"/>
    </row>
    <row r="593">
      <c r="C593" s="63"/>
    </row>
    <row r="594">
      <c r="C594" s="63"/>
    </row>
    <row r="595">
      <c r="C595" s="63"/>
    </row>
    <row r="596">
      <c r="C596" s="63"/>
    </row>
    <row r="597">
      <c r="C597" s="63"/>
    </row>
    <row r="598">
      <c r="C598" s="63"/>
    </row>
    <row r="599">
      <c r="C599" s="63"/>
    </row>
    <row r="600">
      <c r="C600" s="63"/>
    </row>
    <row r="601">
      <c r="C601" s="63"/>
    </row>
    <row r="602">
      <c r="C602" s="63"/>
    </row>
    <row r="603">
      <c r="C603" s="63"/>
    </row>
    <row r="604">
      <c r="C604" s="63"/>
    </row>
    <row r="605">
      <c r="C605" s="63"/>
    </row>
    <row r="606">
      <c r="C606" s="63"/>
    </row>
    <row r="607">
      <c r="C607" s="63"/>
    </row>
    <row r="608">
      <c r="C608" s="63"/>
    </row>
    <row r="609">
      <c r="C609" s="63"/>
    </row>
    <row r="610">
      <c r="C610" s="63"/>
    </row>
    <row r="611">
      <c r="C611" s="63"/>
    </row>
    <row r="612">
      <c r="C612" s="63"/>
    </row>
    <row r="613">
      <c r="C613" s="63"/>
    </row>
    <row r="614">
      <c r="C614" s="63"/>
    </row>
    <row r="615">
      <c r="C615" s="63"/>
    </row>
    <row r="616">
      <c r="C616" s="63"/>
    </row>
    <row r="617">
      <c r="C617" s="63"/>
    </row>
    <row r="618">
      <c r="C618" s="63"/>
    </row>
    <row r="619">
      <c r="C619" s="63"/>
    </row>
    <row r="620">
      <c r="C620" s="63"/>
    </row>
    <row r="621">
      <c r="C621" s="63"/>
    </row>
    <row r="622">
      <c r="C622" s="63"/>
    </row>
    <row r="623">
      <c r="C623" s="63"/>
    </row>
    <row r="624">
      <c r="C624" s="63"/>
    </row>
    <row r="625">
      <c r="C625" s="63"/>
    </row>
    <row r="626">
      <c r="C626" s="63"/>
    </row>
    <row r="627">
      <c r="C627" s="63"/>
    </row>
    <row r="628">
      <c r="C628" s="63"/>
    </row>
    <row r="629">
      <c r="C629" s="63"/>
    </row>
    <row r="630">
      <c r="C630" s="63"/>
    </row>
    <row r="631">
      <c r="C631" s="63"/>
    </row>
    <row r="632">
      <c r="C632" s="63"/>
    </row>
    <row r="633">
      <c r="C633" s="63"/>
    </row>
    <row r="634">
      <c r="C634" s="63"/>
    </row>
    <row r="635">
      <c r="C635" s="63"/>
    </row>
    <row r="636">
      <c r="C636" s="63"/>
    </row>
    <row r="637">
      <c r="C637" s="63"/>
    </row>
    <row r="638">
      <c r="C638" s="63"/>
    </row>
    <row r="639">
      <c r="C639" s="63"/>
    </row>
    <row r="640">
      <c r="C640" s="63"/>
    </row>
    <row r="641">
      <c r="C641" s="63"/>
    </row>
    <row r="642">
      <c r="C642" s="63"/>
    </row>
    <row r="643">
      <c r="C643" s="63"/>
    </row>
    <row r="644">
      <c r="C644" s="63"/>
    </row>
    <row r="645">
      <c r="C645" s="63"/>
    </row>
    <row r="646">
      <c r="C646" s="63"/>
    </row>
    <row r="647">
      <c r="C647" s="63"/>
    </row>
    <row r="648">
      <c r="C648" s="63"/>
    </row>
    <row r="649">
      <c r="C649" s="63"/>
    </row>
    <row r="650">
      <c r="C650" s="63"/>
    </row>
    <row r="651">
      <c r="C651" s="63"/>
    </row>
    <row r="652">
      <c r="C652" s="63"/>
    </row>
    <row r="653">
      <c r="C653" s="63"/>
    </row>
    <row r="654">
      <c r="C654" s="63"/>
    </row>
    <row r="655">
      <c r="C655" s="63"/>
    </row>
    <row r="656">
      <c r="C656" s="63"/>
    </row>
    <row r="657">
      <c r="C657" s="63"/>
    </row>
    <row r="658">
      <c r="C658" s="63"/>
    </row>
    <row r="659">
      <c r="C659" s="63"/>
    </row>
    <row r="660">
      <c r="C660" s="63"/>
    </row>
    <row r="661">
      <c r="C661" s="63"/>
    </row>
    <row r="662">
      <c r="C662" s="63"/>
    </row>
    <row r="663">
      <c r="C663" s="63"/>
    </row>
    <row r="664">
      <c r="C664" s="63"/>
    </row>
    <row r="665">
      <c r="C665" s="63"/>
    </row>
    <row r="666">
      <c r="C666" s="63"/>
    </row>
    <row r="667">
      <c r="C667" s="63"/>
    </row>
    <row r="668">
      <c r="C668" s="63"/>
    </row>
    <row r="669">
      <c r="C669" s="63"/>
    </row>
    <row r="670">
      <c r="C670" s="63"/>
    </row>
    <row r="671">
      <c r="C671" s="63"/>
    </row>
    <row r="672">
      <c r="C672" s="63"/>
    </row>
    <row r="673">
      <c r="C673" s="63"/>
    </row>
    <row r="674">
      <c r="C674" s="63"/>
    </row>
    <row r="675">
      <c r="C675" s="63"/>
    </row>
    <row r="676">
      <c r="C676" s="63"/>
    </row>
    <row r="677">
      <c r="C677" s="63"/>
    </row>
    <row r="678">
      <c r="C678" s="63"/>
    </row>
    <row r="679">
      <c r="C679" s="63"/>
    </row>
    <row r="680">
      <c r="C680" s="63"/>
    </row>
    <row r="681">
      <c r="C681" s="63"/>
    </row>
    <row r="682">
      <c r="C682" s="63"/>
    </row>
    <row r="683">
      <c r="C683" s="63"/>
    </row>
    <row r="684">
      <c r="C684" s="63"/>
    </row>
    <row r="685">
      <c r="C685" s="63"/>
    </row>
    <row r="686">
      <c r="C686" s="63"/>
    </row>
    <row r="687">
      <c r="C687" s="63"/>
    </row>
    <row r="688">
      <c r="C688" s="63"/>
    </row>
    <row r="689">
      <c r="C689" s="63"/>
    </row>
    <row r="690">
      <c r="C690" s="63"/>
    </row>
    <row r="691">
      <c r="C691" s="63"/>
    </row>
    <row r="692">
      <c r="C692" s="63"/>
    </row>
    <row r="693">
      <c r="C693" s="63"/>
    </row>
    <row r="694">
      <c r="C694" s="63"/>
    </row>
    <row r="695">
      <c r="C695" s="63"/>
    </row>
    <row r="696">
      <c r="C696" s="63"/>
    </row>
    <row r="697">
      <c r="C697" s="63"/>
    </row>
    <row r="698">
      <c r="C698" s="63"/>
    </row>
    <row r="699">
      <c r="C699" s="63"/>
    </row>
    <row r="700">
      <c r="C700" s="63"/>
    </row>
    <row r="701">
      <c r="C701" s="63"/>
    </row>
    <row r="702">
      <c r="C702" s="63"/>
    </row>
    <row r="703">
      <c r="C703" s="63"/>
    </row>
    <row r="704">
      <c r="C704" s="63"/>
    </row>
    <row r="705">
      <c r="C705" s="63"/>
    </row>
    <row r="706">
      <c r="C706" s="63"/>
    </row>
    <row r="707">
      <c r="C707" s="63"/>
    </row>
    <row r="708">
      <c r="C708" s="63"/>
    </row>
    <row r="709">
      <c r="C709" s="63"/>
    </row>
    <row r="710">
      <c r="C710" s="63"/>
    </row>
    <row r="711">
      <c r="C711" s="63"/>
    </row>
    <row r="712">
      <c r="C712" s="63"/>
    </row>
    <row r="713">
      <c r="C713" s="63"/>
    </row>
    <row r="714">
      <c r="C714" s="63"/>
    </row>
    <row r="715">
      <c r="C715" s="63"/>
    </row>
    <row r="716">
      <c r="C716" s="63"/>
    </row>
    <row r="717">
      <c r="C717" s="63"/>
    </row>
    <row r="718">
      <c r="C718" s="63"/>
    </row>
    <row r="719">
      <c r="C719" s="63"/>
    </row>
    <row r="720">
      <c r="C720" s="63"/>
    </row>
    <row r="721">
      <c r="C721" s="63"/>
    </row>
    <row r="722">
      <c r="C722" s="63"/>
    </row>
    <row r="723">
      <c r="C723" s="63"/>
    </row>
    <row r="724">
      <c r="C724" s="63"/>
    </row>
    <row r="725">
      <c r="C725" s="63"/>
    </row>
    <row r="726">
      <c r="C726" s="63"/>
    </row>
    <row r="727">
      <c r="C727" s="63"/>
    </row>
    <row r="728">
      <c r="C728" s="63"/>
    </row>
    <row r="729">
      <c r="C729" s="63"/>
    </row>
    <row r="730">
      <c r="C730" s="63"/>
    </row>
    <row r="731">
      <c r="C731" s="63"/>
    </row>
    <row r="732">
      <c r="C732" s="63"/>
    </row>
    <row r="733">
      <c r="C733" s="63"/>
    </row>
    <row r="734">
      <c r="C734" s="63"/>
    </row>
    <row r="735">
      <c r="C735" s="63"/>
    </row>
    <row r="736">
      <c r="C736" s="63"/>
    </row>
    <row r="737">
      <c r="C737" s="63"/>
    </row>
    <row r="738">
      <c r="C738" s="63"/>
    </row>
    <row r="739">
      <c r="C739" s="63"/>
    </row>
    <row r="740">
      <c r="C740" s="63"/>
    </row>
    <row r="741">
      <c r="C741" s="63"/>
    </row>
    <row r="742">
      <c r="C742" s="63"/>
    </row>
    <row r="743">
      <c r="C743" s="63"/>
    </row>
    <row r="744">
      <c r="C744" s="63"/>
    </row>
    <row r="745">
      <c r="C745" s="63"/>
    </row>
    <row r="746">
      <c r="C746" s="63"/>
    </row>
    <row r="747">
      <c r="C747" s="63"/>
    </row>
    <row r="748">
      <c r="C748" s="63"/>
    </row>
    <row r="749">
      <c r="C749" s="63"/>
    </row>
    <row r="750">
      <c r="C750" s="63"/>
    </row>
    <row r="751">
      <c r="C751" s="63"/>
    </row>
    <row r="752">
      <c r="C752" s="63"/>
    </row>
    <row r="753">
      <c r="C753" s="63"/>
    </row>
    <row r="754">
      <c r="C754" s="63"/>
    </row>
    <row r="755">
      <c r="C755" s="63"/>
    </row>
    <row r="756">
      <c r="C756" s="63"/>
    </row>
    <row r="757">
      <c r="C757" s="63"/>
    </row>
    <row r="758">
      <c r="C758" s="63"/>
    </row>
    <row r="759">
      <c r="C759" s="63"/>
    </row>
    <row r="760">
      <c r="C760" s="63"/>
    </row>
    <row r="761">
      <c r="C761" s="63"/>
    </row>
    <row r="762">
      <c r="C762" s="63"/>
    </row>
    <row r="763">
      <c r="C763" s="63"/>
    </row>
    <row r="764">
      <c r="C764" s="63"/>
    </row>
    <row r="765">
      <c r="C765" s="63"/>
    </row>
    <row r="766">
      <c r="C766" s="63"/>
    </row>
    <row r="767">
      <c r="C767" s="63"/>
    </row>
    <row r="768">
      <c r="C768" s="63"/>
    </row>
    <row r="769">
      <c r="C769" s="63"/>
    </row>
    <row r="770">
      <c r="C770" s="63"/>
    </row>
    <row r="771">
      <c r="C771" s="63"/>
    </row>
    <row r="772">
      <c r="C772" s="63"/>
    </row>
    <row r="773">
      <c r="C773" s="63"/>
    </row>
    <row r="774">
      <c r="C774" s="63"/>
    </row>
    <row r="775">
      <c r="C775" s="63"/>
    </row>
    <row r="776">
      <c r="C776" s="63"/>
    </row>
    <row r="777">
      <c r="C777" s="63"/>
    </row>
    <row r="778">
      <c r="C778" s="63"/>
    </row>
    <row r="779">
      <c r="C779" s="63"/>
    </row>
    <row r="780">
      <c r="C780" s="63"/>
    </row>
    <row r="781">
      <c r="C781" s="63"/>
    </row>
    <row r="782">
      <c r="C782" s="63"/>
    </row>
    <row r="783">
      <c r="C783" s="63"/>
    </row>
    <row r="784">
      <c r="C784" s="63"/>
    </row>
    <row r="785">
      <c r="C785" s="63"/>
    </row>
    <row r="786">
      <c r="C786" s="63"/>
    </row>
    <row r="787">
      <c r="C787" s="63"/>
    </row>
    <row r="788">
      <c r="C788" s="63"/>
    </row>
    <row r="789">
      <c r="C789" s="63"/>
    </row>
    <row r="790">
      <c r="C790" s="63"/>
    </row>
    <row r="791">
      <c r="C791" s="63"/>
    </row>
    <row r="792">
      <c r="C792" s="63"/>
    </row>
    <row r="793">
      <c r="C793" s="63"/>
    </row>
    <row r="794">
      <c r="C794" s="63"/>
    </row>
    <row r="795">
      <c r="C795" s="63"/>
    </row>
    <row r="796">
      <c r="C796" s="63"/>
    </row>
    <row r="797">
      <c r="C797" s="63"/>
    </row>
    <row r="798">
      <c r="C798" s="63"/>
    </row>
    <row r="799">
      <c r="C799" s="63"/>
    </row>
    <row r="800">
      <c r="C800" s="63"/>
    </row>
    <row r="801">
      <c r="C801" s="63"/>
    </row>
    <row r="802">
      <c r="C802" s="63"/>
    </row>
    <row r="803">
      <c r="C803" s="63"/>
    </row>
    <row r="804">
      <c r="C804" s="63"/>
    </row>
    <row r="805">
      <c r="C805" s="63"/>
    </row>
    <row r="806">
      <c r="C806" s="63"/>
    </row>
    <row r="807">
      <c r="C807" s="63"/>
    </row>
    <row r="808">
      <c r="C808" s="63"/>
    </row>
    <row r="809">
      <c r="C809" s="63"/>
    </row>
    <row r="810">
      <c r="C810" s="63"/>
    </row>
    <row r="811">
      <c r="C811" s="63"/>
    </row>
    <row r="812">
      <c r="C812" s="63"/>
    </row>
    <row r="813">
      <c r="C813" s="63"/>
    </row>
    <row r="814">
      <c r="C814" s="63"/>
    </row>
    <row r="815">
      <c r="C815" s="63"/>
    </row>
    <row r="816">
      <c r="C816" s="63"/>
    </row>
    <row r="817">
      <c r="C817" s="63"/>
    </row>
    <row r="818">
      <c r="C818" s="63"/>
    </row>
    <row r="819">
      <c r="C819" s="63"/>
    </row>
    <row r="820">
      <c r="C820" s="63"/>
    </row>
    <row r="821">
      <c r="C821" s="63"/>
    </row>
    <row r="822">
      <c r="C822" s="63"/>
    </row>
    <row r="823">
      <c r="C823" s="63"/>
    </row>
    <row r="824">
      <c r="C824" s="63"/>
    </row>
    <row r="825">
      <c r="C825" s="63"/>
    </row>
    <row r="826">
      <c r="C826" s="63"/>
    </row>
    <row r="827">
      <c r="C827" s="63"/>
    </row>
    <row r="828">
      <c r="C828" s="63"/>
    </row>
    <row r="829">
      <c r="C829" s="63"/>
    </row>
    <row r="830">
      <c r="C830" s="63"/>
    </row>
    <row r="831">
      <c r="C831" s="63"/>
    </row>
    <row r="832">
      <c r="C832" s="63"/>
    </row>
    <row r="833">
      <c r="C833" s="63"/>
    </row>
    <row r="834">
      <c r="C834" s="63"/>
    </row>
    <row r="835">
      <c r="C835" s="63"/>
    </row>
    <row r="836">
      <c r="C836" s="63"/>
    </row>
    <row r="837">
      <c r="C837" s="63"/>
    </row>
    <row r="838">
      <c r="C838" s="63"/>
    </row>
    <row r="839">
      <c r="C839" s="63"/>
    </row>
    <row r="840">
      <c r="C840" s="63"/>
    </row>
    <row r="841">
      <c r="C841" s="63"/>
    </row>
    <row r="842">
      <c r="C842" s="63"/>
    </row>
    <row r="843">
      <c r="C843" s="63"/>
    </row>
    <row r="844">
      <c r="C844" s="63"/>
    </row>
    <row r="845">
      <c r="C845" s="63"/>
    </row>
    <row r="846">
      <c r="C846" s="63"/>
    </row>
    <row r="847">
      <c r="C847" s="63"/>
    </row>
    <row r="848">
      <c r="C848" s="63"/>
    </row>
    <row r="849">
      <c r="C849" s="63"/>
    </row>
    <row r="850">
      <c r="C850" s="63"/>
    </row>
    <row r="851">
      <c r="C851" s="63"/>
    </row>
    <row r="852">
      <c r="C852" s="63"/>
    </row>
    <row r="853">
      <c r="C853" s="63"/>
    </row>
    <row r="854">
      <c r="C854" s="63"/>
    </row>
    <row r="855">
      <c r="C855" s="63"/>
    </row>
    <row r="856">
      <c r="C856" s="63"/>
    </row>
    <row r="857">
      <c r="C857" s="63"/>
    </row>
    <row r="858">
      <c r="C858" s="63"/>
    </row>
    <row r="859">
      <c r="C859" s="63"/>
    </row>
    <row r="860">
      <c r="C860" s="63"/>
    </row>
    <row r="861">
      <c r="C861" s="63"/>
    </row>
    <row r="862">
      <c r="C862" s="63"/>
    </row>
    <row r="863">
      <c r="C863" s="63"/>
    </row>
    <row r="864">
      <c r="C864" s="63"/>
    </row>
    <row r="865">
      <c r="C865" s="63"/>
    </row>
    <row r="866">
      <c r="C866" s="63"/>
    </row>
    <row r="867">
      <c r="C867" s="63"/>
    </row>
    <row r="868">
      <c r="C868" s="63"/>
    </row>
    <row r="869">
      <c r="C869" s="63"/>
    </row>
    <row r="870">
      <c r="C870" s="63"/>
    </row>
    <row r="871">
      <c r="C871" s="63"/>
    </row>
    <row r="872">
      <c r="C872" s="63"/>
    </row>
    <row r="873">
      <c r="C873" s="63"/>
    </row>
    <row r="874">
      <c r="C874" s="63"/>
    </row>
    <row r="875">
      <c r="C875" s="63"/>
    </row>
    <row r="876">
      <c r="C876" s="63"/>
    </row>
    <row r="877">
      <c r="C877" s="63"/>
    </row>
    <row r="878">
      <c r="C878" s="63"/>
    </row>
    <row r="879">
      <c r="C879" s="63"/>
    </row>
    <row r="880">
      <c r="C880" s="63"/>
    </row>
    <row r="881">
      <c r="C881" s="63"/>
    </row>
    <row r="882">
      <c r="C882" s="63"/>
    </row>
    <row r="883">
      <c r="C883" s="63"/>
    </row>
    <row r="884">
      <c r="C884" s="63"/>
    </row>
    <row r="885">
      <c r="C885" s="63"/>
    </row>
    <row r="886">
      <c r="C886" s="63"/>
    </row>
    <row r="887">
      <c r="C887" s="63"/>
    </row>
    <row r="888">
      <c r="C888" s="63"/>
    </row>
    <row r="889">
      <c r="C889" s="63"/>
    </row>
    <row r="890">
      <c r="C890" s="63"/>
    </row>
    <row r="891">
      <c r="C891" s="63"/>
    </row>
    <row r="892">
      <c r="C892" s="63"/>
    </row>
    <row r="893">
      <c r="C893" s="63"/>
    </row>
    <row r="894">
      <c r="C894" s="63"/>
    </row>
    <row r="895">
      <c r="C895" s="63"/>
    </row>
    <row r="896">
      <c r="C896" s="63"/>
    </row>
    <row r="897">
      <c r="C897" s="63"/>
    </row>
    <row r="898">
      <c r="C898" s="63"/>
    </row>
    <row r="899">
      <c r="C899" s="63"/>
    </row>
    <row r="900">
      <c r="C900" s="63"/>
    </row>
    <row r="901">
      <c r="C901" s="63"/>
    </row>
    <row r="902">
      <c r="C902" s="63"/>
    </row>
    <row r="903">
      <c r="C903" s="63"/>
    </row>
    <row r="904">
      <c r="C904" s="63"/>
    </row>
    <row r="905">
      <c r="C905" s="63"/>
    </row>
    <row r="906">
      <c r="C906" s="63"/>
    </row>
    <row r="907">
      <c r="C907" s="63"/>
    </row>
    <row r="908">
      <c r="C908" s="63"/>
    </row>
    <row r="909">
      <c r="C909" s="63"/>
    </row>
    <row r="910">
      <c r="C910" s="63"/>
    </row>
    <row r="911">
      <c r="C911" s="63"/>
    </row>
    <row r="912">
      <c r="C912" s="63"/>
    </row>
    <row r="913">
      <c r="C913" s="63"/>
    </row>
    <row r="914">
      <c r="C914" s="63"/>
    </row>
    <row r="915">
      <c r="C915" s="63"/>
    </row>
    <row r="916">
      <c r="C916" s="63"/>
    </row>
    <row r="917">
      <c r="C917" s="63"/>
    </row>
    <row r="918">
      <c r="C918" s="63"/>
    </row>
    <row r="919">
      <c r="C919" s="63"/>
    </row>
    <row r="920">
      <c r="C920" s="63"/>
    </row>
    <row r="921">
      <c r="C921" s="63"/>
    </row>
    <row r="922">
      <c r="C922" s="63"/>
    </row>
    <row r="923">
      <c r="C923" s="63"/>
    </row>
    <row r="924">
      <c r="C924" s="63"/>
    </row>
    <row r="925">
      <c r="C925" s="63"/>
    </row>
    <row r="926">
      <c r="C926" s="63"/>
    </row>
    <row r="927">
      <c r="C927" s="63"/>
    </row>
    <row r="928">
      <c r="C928" s="63"/>
    </row>
    <row r="929">
      <c r="C929" s="63"/>
    </row>
    <row r="930">
      <c r="C930" s="63"/>
    </row>
    <row r="931">
      <c r="C931" s="63"/>
    </row>
    <row r="932">
      <c r="C932" s="63"/>
    </row>
    <row r="933">
      <c r="C933" s="63"/>
    </row>
    <row r="934">
      <c r="C934" s="63"/>
    </row>
    <row r="935">
      <c r="C935" s="63"/>
    </row>
    <row r="936">
      <c r="C936" s="63"/>
    </row>
    <row r="937">
      <c r="C937" s="63"/>
    </row>
    <row r="938">
      <c r="C938" s="63"/>
    </row>
    <row r="939">
      <c r="C939" s="63"/>
    </row>
    <row r="940">
      <c r="C940" s="63"/>
    </row>
    <row r="941">
      <c r="C941" s="63"/>
    </row>
    <row r="942">
      <c r="C942" s="63"/>
    </row>
    <row r="943">
      <c r="C943" s="63"/>
    </row>
    <row r="944">
      <c r="C944" s="63"/>
    </row>
    <row r="945">
      <c r="C945" s="63"/>
    </row>
    <row r="946">
      <c r="C946" s="63"/>
    </row>
    <row r="947">
      <c r="C947" s="63"/>
    </row>
    <row r="948">
      <c r="C948" s="63"/>
    </row>
    <row r="949">
      <c r="C949" s="63"/>
    </row>
    <row r="950">
      <c r="C950" s="63"/>
    </row>
    <row r="951">
      <c r="C951" s="63"/>
    </row>
    <row r="952">
      <c r="C952" s="63"/>
    </row>
    <row r="953">
      <c r="C953" s="63"/>
    </row>
    <row r="954">
      <c r="C954" s="63"/>
    </row>
    <row r="955">
      <c r="C955" s="63"/>
    </row>
    <row r="956">
      <c r="C956" s="63"/>
    </row>
    <row r="957">
      <c r="C957" s="63"/>
    </row>
    <row r="958">
      <c r="C958" s="63"/>
    </row>
    <row r="959">
      <c r="C959" s="63"/>
    </row>
    <row r="960">
      <c r="C960" s="63"/>
    </row>
    <row r="961">
      <c r="C961" s="63"/>
    </row>
    <row r="962">
      <c r="C962" s="63"/>
    </row>
    <row r="963">
      <c r="C963" s="63"/>
    </row>
    <row r="964">
      <c r="C964" s="63"/>
    </row>
    <row r="965">
      <c r="C965" s="63"/>
    </row>
    <row r="966">
      <c r="C966" s="63"/>
    </row>
    <row r="967">
      <c r="C967" s="63"/>
    </row>
    <row r="968">
      <c r="C968" s="63"/>
    </row>
    <row r="969">
      <c r="C969" s="63"/>
    </row>
    <row r="970">
      <c r="C970" s="63"/>
    </row>
    <row r="971">
      <c r="C971" s="63"/>
    </row>
    <row r="972">
      <c r="C972" s="63"/>
    </row>
    <row r="973">
      <c r="C973" s="63"/>
    </row>
    <row r="974">
      <c r="C974" s="63"/>
    </row>
    <row r="975">
      <c r="C975" s="63"/>
    </row>
    <row r="976">
      <c r="C976" s="63"/>
    </row>
    <row r="977">
      <c r="C977" s="63"/>
    </row>
    <row r="978">
      <c r="C978" s="63"/>
    </row>
    <row r="979">
      <c r="C979" s="63"/>
    </row>
    <row r="980">
      <c r="C980" s="63"/>
    </row>
    <row r="981">
      <c r="C981" s="63"/>
    </row>
    <row r="982">
      <c r="C982" s="63"/>
    </row>
    <row r="983">
      <c r="C983" s="63"/>
    </row>
    <row r="984">
      <c r="C984" s="63"/>
    </row>
    <row r="985">
      <c r="C985" s="63"/>
    </row>
    <row r="986">
      <c r="C986" s="63"/>
    </row>
    <row r="987">
      <c r="C987" s="63"/>
    </row>
    <row r="988">
      <c r="C988" s="63"/>
    </row>
    <row r="989">
      <c r="C989" s="63"/>
    </row>
    <row r="990">
      <c r="C990" s="63"/>
    </row>
    <row r="991">
      <c r="C991" s="63"/>
    </row>
    <row r="992">
      <c r="C992" s="63"/>
    </row>
    <row r="993">
      <c r="C993" s="63"/>
    </row>
    <row r="994">
      <c r="C994" s="63"/>
    </row>
    <row r="995">
      <c r="C995" s="63"/>
    </row>
    <row r="996">
      <c r="C996" s="63"/>
    </row>
    <row r="997">
      <c r="C997" s="63"/>
    </row>
    <row r="998">
      <c r="C998" s="63"/>
    </row>
    <row r="999">
      <c r="C999" s="63"/>
    </row>
    <row r="1000">
      <c r="C1000" s="63"/>
    </row>
  </sheetData>
  <conditionalFormatting sqref="A2:A31">
    <cfRule type="expression" dxfId="1" priority="1">
      <formula>D2:D31</formula>
    </cfRule>
  </conditionalFormatting>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s>
  <drawing r:id="rId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3" max="3" width="7.88"/>
    <col customWidth="1" min="4" max="4" width="30.0"/>
    <col customWidth="1" min="5" max="5" width="28.38"/>
  </cols>
  <sheetData>
    <row r="1">
      <c r="A1" s="75" t="s">
        <v>2879</v>
      </c>
      <c r="B1" s="75" t="s">
        <v>2880</v>
      </c>
      <c r="C1" s="83"/>
    </row>
    <row r="2">
      <c r="A2" s="84" t="s">
        <v>2881</v>
      </c>
      <c r="B2" s="85" t="s">
        <v>2882</v>
      </c>
    </row>
    <row r="3">
      <c r="A3" s="84" t="s">
        <v>2883</v>
      </c>
      <c r="B3" s="85" t="s">
        <v>2884</v>
      </c>
      <c r="D3" s="84"/>
    </row>
    <row r="4">
      <c r="A4" s="84" t="s">
        <v>2885</v>
      </c>
      <c r="B4" s="85" t="s">
        <v>2886</v>
      </c>
      <c r="D4" s="84"/>
    </row>
    <row r="5">
      <c r="A5" s="84" t="s">
        <v>2887</v>
      </c>
      <c r="B5" s="84" t="s">
        <v>2888</v>
      </c>
      <c r="D5" s="84"/>
    </row>
    <row r="6">
      <c r="A6" s="84" t="s">
        <v>2889</v>
      </c>
      <c r="B6" s="85" t="s">
        <v>2890</v>
      </c>
      <c r="D6" s="84"/>
    </row>
    <row r="7">
      <c r="A7" s="84" t="s">
        <v>2891</v>
      </c>
      <c r="B7" s="85" t="s">
        <v>2892</v>
      </c>
      <c r="D7" s="84"/>
    </row>
    <row r="8">
      <c r="A8" s="84" t="s">
        <v>2893</v>
      </c>
      <c r="B8" s="84" t="s">
        <v>2894</v>
      </c>
      <c r="D8" s="84"/>
    </row>
    <row r="9">
      <c r="A9" s="84" t="s">
        <v>2895</v>
      </c>
      <c r="B9" s="85" t="s">
        <v>2896</v>
      </c>
      <c r="D9" s="84"/>
    </row>
    <row r="10">
      <c r="A10" s="84" t="s">
        <v>2897</v>
      </c>
      <c r="B10" s="84" t="s">
        <v>2898</v>
      </c>
      <c r="D10" s="84"/>
    </row>
    <row r="11">
      <c r="A11" s="84" t="s">
        <v>2899</v>
      </c>
      <c r="B11" s="85" t="s">
        <v>2900</v>
      </c>
      <c r="D11" s="84"/>
    </row>
    <row r="12">
      <c r="A12" s="84" t="s">
        <v>2901</v>
      </c>
      <c r="B12" s="84" t="s">
        <v>2902</v>
      </c>
      <c r="C12" s="86"/>
    </row>
    <row r="13">
      <c r="A13" s="84" t="s">
        <v>2903</v>
      </c>
      <c r="B13" s="84" t="s">
        <v>2904</v>
      </c>
      <c r="C13" s="86"/>
    </row>
    <row r="14">
      <c r="A14" s="84" t="s">
        <v>2905</v>
      </c>
      <c r="B14" s="84" t="s">
        <v>2906</v>
      </c>
      <c r="C14" s="86"/>
    </row>
    <row r="15">
      <c r="A15" s="84" t="s">
        <v>2907</v>
      </c>
      <c r="B15" s="85" t="s">
        <v>2908</v>
      </c>
      <c r="C15" s="86"/>
    </row>
    <row r="16">
      <c r="A16" s="84" t="s">
        <v>2909</v>
      </c>
      <c r="B16" s="85" t="s">
        <v>2910</v>
      </c>
    </row>
    <row r="17">
      <c r="A17" s="87" t="s">
        <v>2911</v>
      </c>
      <c r="B17" s="87" t="s">
        <v>2912</v>
      </c>
      <c r="C17" s="88" t="s">
        <v>2913</v>
      </c>
      <c r="E17" s="61" t="s">
        <v>2914</v>
      </c>
    </row>
    <row r="18">
      <c r="A18" s="87" t="s">
        <v>2915</v>
      </c>
      <c r="B18" s="87" t="s">
        <v>2916</v>
      </c>
      <c r="E18" s="61" t="s">
        <v>2917</v>
      </c>
    </row>
    <row r="19">
      <c r="A19" s="89" t="s">
        <v>2918</v>
      </c>
      <c r="B19" s="89" t="s">
        <v>2919</v>
      </c>
      <c r="C19" s="90" t="s">
        <v>2920</v>
      </c>
      <c r="E19" s="61" t="s">
        <v>2921</v>
      </c>
    </row>
    <row r="20">
      <c r="A20" s="89" t="s">
        <v>2922</v>
      </c>
      <c r="B20" s="89" t="s">
        <v>2923</v>
      </c>
      <c r="E20" s="61" t="s">
        <v>2924</v>
      </c>
    </row>
    <row r="21">
      <c r="A21" s="89" t="s">
        <v>2925</v>
      </c>
      <c r="B21" s="89" t="s">
        <v>2926</v>
      </c>
      <c r="E21" s="61" t="s">
        <v>2927</v>
      </c>
    </row>
  </sheetData>
  <mergeCells count="2">
    <mergeCell ref="C17:D18"/>
    <mergeCell ref="C19:D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5.75"/>
  </cols>
  <sheetData>
    <row r="2" ht="15.0" customHeight="1">
      <c r="A2" s="91" t="s">
        <v>2928</v>
      </c>
    </row>
    <row r="3" ht="27.0" customHeight="1">
      <c r="A3" s="92" t="s">
        <v>2929</v>
      </c>
      <c r="B3" s="61">
        <v>1.0</v>
      </c>
      <c r="C3" s="61">
        <v>2.0</v>
      </c>
      <c r="D3" s="61">
        <v>3.0</v>
      </c>
      <c r="E3" s="61">
        <v>4.0</v>
      </c>
      <c r="F3" s="61">
        <v>5.0</v>
      </c>
      <c r="G3" s="61">
        <v>6.0</v>
      </c>
      <c r="H3" s="61">
        <v>7.0</v>
      </c>
      <c r="I3" s="61">
        <v>8.0</v>
      </c>
      <c r="J3" s="61">
        <v>9.0</v>
      </c>
      <c r="K3" s="61">
        <v>10.0</v>
      </c>
      <c r="L3" s="93" t="s">
        <v>2930</v>
      </c>
      <c r="M3" s="61" t="s">
        <v>2931</v>
      </c>
    </row>
    <row r="4" ht="27.0" customHeight="1">
      <c r="A4" s="61">
        <v>1.0</v>
      </c>
      <c r="B4" s="94">
        <v>9.0</v>
      </c>
      <c r="C4" s="95">
        <v>2.0</v>
      </c>
      <c r="D4" s="96">
        <v>2.0</v>
      </c>
      <c r="E4" s="95">
        <v>2.0</v>
      </c>
      <c r="F4" s="95">
        <v>5.0</v>
      </c>
      <c r="G4" s="95">
        <v>5.0</v>
      </c>
      <c r="H4" s="95">
        <v>2.0</v>
      </c>
      <c r="I4" s="95">
        <v>2.0</v>
      </c>
      <c r="J4" s="95">
        <v>5.0</v>
      </c>
      <c r="K4" s="95">
        <v>2.0</v>
      </c>
      <c r="L4" s="74">
        <f t="shared" ref="L4:L13" si="1">SUM(B4:K4)</f>
        <v>36</v>
      </c>
    </row>
    <row r="5" ht="27.0" customHeight="1">
      <c r="A5" s="61">
        <v>2.0</v>
      </c>
      <c r="B5" s="95">
        <v>2.0</v>
      </c>
      <c r="C5" s="94">
        <v>7.0</v>
      </c>
      <c r="D5" s="95">
        <v>2.0</v>
      </c>
      <c r="E5" s="95">
        <v>2.0</v>
      </c>
      <c r="F5" s="95">
        <v>3.0</v>
      </c>
      <c r="G5" s="95">
        <v>3.0</v>
      </c>
      <c r="H5" s="95">
        <v>3.0</v>
      </c>
      <c r="I5" s="95">
        <v>2.0</v>
      </c>
      <c r="J5" s="95">
        <v>2.0</v>
      </c>
      <c r="K5" s="95">
        <v>2.0</v>
      </c>
      <c r="L5" s="74">
        <f t="shared" si="1"/>
        <v>28</v>
      </c>
    </row>
    <row r="6" ht="27.0" customHeight="1">
      <c r="A6" s="61">
        <v>3.0</v>
      </c>
      <c r="B6" s="96">
        <v>2.0</v>
      </c>
      <c r="C6" s="95">
        <v>2.0</v>
      </c>
      <c r="D6" s="94">
        <v>8.0</v>
      </c>
      <c r="E6" s="95">
        <v>4.0</v>
      </c>
      <c r="F6" s="95">
        <v>2.0</v>
      </c>
      <c r="G6" s="95">
        <v>2.0</v>
      </c>
      <c r="H6" s="95">
        <v>4.0</v>
      </c>
      <c r="I6" s="95">
        <v>3.0</v>
      </c>
      <c r="J6" s="95">
        <v>2.0</v>
      </c>
      <c r="K6" s="95">
        <v>3.0</v>
      </c>
      <c r="L6" s="74">
        <f t="shared" si="1"/>
        <v>32</v>
      </c>
    </row>
    <row r="7" ht="27.0" customHeight="1">
      <c r="A7" s="61">
        <v>4.0</v>
      </c>
      <c r="B7" s="95">
        <v>2.0</v>
      </c>
      <c r="C7" s="95">
        <v>2.0</v>
      </c>
      <c r="D7" s="95">
        <v>4.0</v>
      </c>
      <c r="E7" s="94">
        <v>8.0</v>
      </c>
      <c r="F7" s="95">
        <v>2.0</v>
      </c>
      <c r="G7" s="96">
        <v>2.0</v>
      </c>
      <c r="H7" s="95">
        <v>5.0</v>
      </c>
      <c r="I7" s="95">
        <v>2.0</v>
      </c>
      <c r="J7" s="95">
        <v>3.0</v>
      </c>
      <c r="K7" s="95">
        <v>2.0</v>
      </c>
      <c r="L7" s="74">
        <f t="shared" si="1"/>
        <v>32</v>
      </c>
    </row>
    <row r="8" ht="27.0" customHeight="1">
      <c r="A8" s="61">
        <v>5.0</v>
      </c>
      <c r="B8" s="95">
        <v>4.0</v>
      </c>
      <c r="C8" s="95">
        <v>3.0</v>
      </c>
      <c r="D8" s="95">
        <v>2.0</v>
      </c>
      <c r="E8" s="95">
        <v>2.0</v>
      </c>
      <c r="F8" s="94">
        <v>9.0</v>
      </c>
      <c r="G8" s="95">
        <v>3.0</v>
      </c>
      <c r="H8" s="95">
        <v>2.0</v>
      </c>
      <c r="I8" s="95">
        <v>5.0</v>
      </c>
      <c r="J8" s="95">
        <v>3.0</v>
      </c>
      <c r="K8" s="95">
        <v>2.0</v>
      </c>
      <c r="L8" s="74">
        <f t="shared" si="1"/>
        <v>35</v>
      </c>
    </row>
    <row r="9" ht="27.0" customHeight="1">
      <c r="A9" s="61">
        <v>6.0</v>
      </c>
      <c r="B9" s="95">
        <v>5.0</v>
      </c>
      <c r="C9" s="95">
        <v>3.0</v>
      </c>
      <c r="D9" s="95">
        <v>2.0</v>
      </c>
      <c r="E9" s="96">
        <v>2.0</v>
      </c>
      <c r="F9" s="95">
        <v>3.0</v>
      </c>
      <c r="G9" s="94">
        <v>8.0</v>
      </c>
      <c r="H9" s="95">
        <v>2.0</v>
      </c>
      <c r="I9" s="95">
        <v>3.0</v>
      </c>
      <c r="J9" s="95">
        <v>2.0</v>
      </c>
      <c r="K9" s="95">
        <v>2.0</v>
      </c>
      <c r="L9" s="74">
        <f t="shared" si="1"/>
        <v>32</v>
      </c>
    </row>
    <row r="10" ht="27.0" customHeight="1">
      <c r="A10" s="61">
        <v>7.0</v>
      </c>
      <c r="B10" s="95">
        <v>2.0</v>
      </c>
      <c r="C10" s="95">
        <v>3.0</v>
      </c>
      <c r="D10" s="95">
        <v>4.0</v>
      </c>
      <c r="E10" s="95">
        <v>5.0</v>
      </c>
      <c r="F10" s="95">
        <v>2.0</v>
      </c>
      <c r="G10" s="95">
        <v>2.0</v>
      </c>
      <c r="H10" s="94">
        <v>8.0</v>
      </c>
      <c r="I10" s="95">
        <v>2.0</v>
      </c>
      <c r="J10" s="95">
        <v>2.0</v>
      </c>
      <c r="K10" s="95">
        <v>2.0</v>
      </c>
      <c r="L10" s="74">
        <f t="shared" si="1"/>
        <v>32</v>
      </c>
      <c r="O10" s="61">
        <v>1357.0</v>
      </c>
    </row>
    <row r="11" ht="27.0" customHeight="1">
      <c r="A11" s="61">
        <v>8.0</v>
      </c>
      <c r="B11" s="95">
        <v>2.0</v>
      </c>
      <c r="C11" s="95">
        <v>2.0</v>
      </c>
      <c r="D11" s="95">
        <v>3.0</v>
      </c>
      <c r="E11" s="95">
        <v>2.0</v>
      </c>
      <c r="F11" s="95">
        <v>5.0</v>
      </c>
      <c r="G11" s="95">
        <v>3.0</v>
      </c>
      <c r="H11" s="95">
        <v>2.0</v>
      </c>
      <c r="I11" s="94">
        <v>8.0</v>
      </c>
      <c r="J11" s="96">
        <v>2.0</v>
      </c>
      <c r="K11" s="95">
        <v>3.0</v>
      </c>
      <c r="L11" s="74">
        <f t="shared" si="1"/>
        <v>32</v>
      </c>
      <c r="O11" s="61">
        <v>2467.0</v>
      </c>
    </row>
    <row r="12" ht="27.0" customHeight="1">
      <c r="A12" s="61">
        <v>9.0</v>
      </c>
      <c r="B12" s="95">
        <v>5.0</v>
      </c>
      <c r="C12" s="95">
        <v>2.0</v>
      </c>
      <c r="D12" s="95">
        <v>2.0</v>
      </c>
      <c r="E12" s="95">
        <v>3.0</v>
      </c>
      <c r="F12" s="95">
        <v>3.0</v>
      </c>
      <c r="G12" s="95">
        <v>2.0</v>
      </c>
      <c r="H12" s="95">
        <v>2.0</v>
      </c>
      <c r="I12" s="96">
        <v>2.0</v>
      </c>
      <c r="J12" s="94">
        <v>8.0</v>
      </c>
      <c r="K12" s="95">
        <v>3.0</v>
      </c>
      <c r="L12" s="74">
        <f t="shared" si="1"/>
        <v>32</v>
      </c>
      <c r="O12" s="61">
        <v>58910.0</v>
      </c>
    </row>
    <row r="13" ht="27.0" customHeight="1">
      <c r="A13" s="61">
        <v>10.0</v>
      </c>
      <c r="B13" s="95">
        <v>2.0</v>
      </c>
      <c r="C13" s="95">
        <v>2.0</v>
      </c>
      <c r="D13" s="95">
        <v>3.0</v>
      </c>
      <c r="E13" s="95">
        <v>2.0</v>
      </c>
      <c r="F13" s="95">
        <v>2.0</v>
      </c>
      <c r="G13" s="95">
        <v>2.0</v>
      </c>
      <c r="H13" s="95">
        <v>2.0</v>
      </c>
      <c r="I13" s="95">
        <v>3.0</v>
      </c>
      <c r="J13" s="95">
        <v>3.0</v>
      </c>
      <c r="K13" s="94">
        <v>7.0</v>
      </c>
      <c r="L13" s="74">
        <f t="shared" si="1"/>
        <v>28</v>
      </c>
    </row>
    <row r="15" ht="15.0" customHeight="1">
      <c r="A15" s="91" t="s">
        <v>2932</v>
      </c>
    </row>
    <row r="16" ht="27.0" customHeight="1">
      <c r="A16" s="92" t="s">
        <v>2929</v>
      </c>
      <c r="B16" s="61">
        <v>1.0</v>
      </c>
      <c r="C16" s="61">
        <v>2.0</v>
      </c>
      <c r="D16" s="61">
        <v>3.0</v>
      </c>
      <c r="E16" s="61">
        <v>4.0</v>
      </c>
      <c r="F16" s="61">
        <v>5.0</v>
      </c>
      <c r="G16" s="61">
        <v>6.0</v>
      </c>
      <c r="H16" s="61">
        <v>7.0</v>
      </c>
      <c r="I16" s="61">
        <v>8.0</v>
      </c>
      <c r="J16" s="61">
        <v>9.0</v>
      </c>
      <c r="K16" s="61">
        <v>10.0</v>
      </c>
      <c r="L16" s="93" t="s">
        <v>2930</v>
      </c>
    </row>
    <row r="17" ht="27.0" customHeight="1">
      <c r="A17" s="61">
        <v>1.0</v>
      </c>
      <c r="B17" s="94">
        <f t="shared" ref="B17:K17" si="2">B4*2</f>
        <v>18</v>
      </c>
      <c r="C17" s="95">
        <f t="shared" si="2"/>
        <v>4</v>
      </c>
      <c r="D17" s="96">
        <f t="shared" si="2"/>
        <v>4</v>
      </c>
      <c r="E17" s="95">
        <f t="shared" si="2"/>
        <v>4</v>
      </c>
      <c r="F17" s="95">
        <f t="shared" si="2"/>
        <v>10</v>
      </c>
      <c r="G17" s="95">
        <f t="shared" si="2"/>
        <v>10</v>
      </c>
      <c r="H17" s="95">
        <f t="shared" si="2"/>
        <v>4</v>
      </c>
      <c r="I17" s="95">
        <f t="shared" si="2"/>
        <v>4</v>
      </c>
      <c r="J17" s="95">
        <f t="shared" si="2"/>
        <v>10</v>
      </c>
      <c r="K17" s="95">
        <f t="shared" si="2"/>
        <v>4</v>
      </c>
      <c r="L17" s="74">
        <f t="shared" ref="L17:L26" si="4">SUM(B17:K17)</f>
        <v>72</v>
      </c>
    </row>
    <row r="18" ht="27.0" customHeight="1">
      <c r="A18" s="61">
        <v>2.0</v>
      </c>
      <c r="B18" s="95">
        <f t="shared" ref="B18:K18" si="3">B5*2</f>
        <v>4</v>
      </c>
      <c r="C18" s="94">
        <f t="shared" si="3"/>
        <v>14</v>
      </c>
      <c r="D18" s="95">
        <f t="shared" si="3"/>
        <v>4</v>
      </c>
      <c r="E18" s="95">
        <f t="shared" si="3"/>
        <v>4</v>
      </c>
      <c r="F18" s="95">
        <f t="shared" si="3"/>
        <v>6</v>
      </c>
      <c r="G18" s="95">
        <f t="shared" si="3"/>
        <v>6</v>
      </c>
      <c r="H18" s="95">
        <f t="shared" si="3"/>
        <v>6</v>
      </c>
      <c r="I18" s="95">
        <f t="shared" si="3"/>
        <v>4</v>
      </c>
      <c r="J18" s="95">
        <f t="shared" si="3"/>
        <v>4</v>
      </c>
      <c r="K18" s="95">
        <f t="shared" si="3"/>
        <v>4</v>
      </c>
      <c r="L18" s="74">
        <f t="shared" si="4"/>
        <v>56</v>
      </c>
    </row>
    <row r="19" ht="27.0" customHeight="1">
      <c r="A19" s="61">
        <v>3.0</v>
      </c>
      <c r="B19" s="96">
        <f t="shared" ref="B19:K19" si="5">B6*2</f>
        <v>4</v>
      </c>
      <c r="C19" s="95">
        <f t="shared" si="5"/>
        <v>4</v>
      </c>
      <c r="D19" s="94">
        <f t="shared" si="5"/>
        <v>16</v>
      </c>
      <c r="E19" s="95">
        <f t="shared" si="5"/>
        <v>8</v>
      </c>
      <c r="F19" s="95">
        <f t="shared" si="5"/>
        <v>4</v>
      </c>
      <c r="G19" s="95">
        <f t="shared" si="5"/>
        <v>4</v>
      </c>
      <c r="H19" s="95">
        <f t="shared" si="5"/>
        <v>8</v>
      </c>
      <c r="I19" s="95">
        <f t="shared" si="5"/>
        <v>6</v>
      </c>
      <c r="J19" s="96">
        <f t="shared" si="5"/>
        <v>4</v>
      </c>
      <c r="K19" s="95">
        <f t="shared" si="5"/>
        <v>6</v>
      </c>
      <c r="L19" s="74">
        <f t="shared" si="4"/>
        <v>64</v>
      </c>
    </row>
    <row r="20" ht="27.0" customHeight="1">
      <c r="A20" s="61">
        <v>4.0</v>
      </c>
      <c r="B20" s="95">
        <f t="shared" ref="B20:K20" si="6">B7*2</f>
        <v>4</v>
      </c>
      <c r="C20" s="95">
        <f t="shared" si="6"/>
        <v>4</v>
      </c>
      <c r="D20" s="95">
        <f t="shared" si="6"/>
        <v>8</v>
      </c>
      <c r="E20" s="94">
        <f t="shared" si="6"/>
        <v>16</v>
      </c>
      <c r="F20" s="95">
        <f t="shared" si="6"/>
        <v>4</v>
      </c>
      <c r="G20" s="96">
        <f t="shared" si="6"/>
        <v>4</v>
      </c>
      <c r="H20" s="95">
        <f t="shared" si="6"/>
        <v>10</v>
      </c>
      <c r="I20" s="95">
        <f t="shared" si="6"/>
        <v>4</v>
      </c>
      <c r="J20" s="95">
        <f t="shared" si="6"/>
        <v>6</v>
      </c>
      <c r="K20" s="95">
        <f t="shared" si="6"/>
        <v>4</v>
      </c>
      <c r="L20" s="74">
        <f t="shared" si="4"/>
        <v>64</v>
      </c>
    </row>
    <row r="21" ht="27.0" customHeight="1">
      <c r="A21" s="61">
        <v>5.0</v>
      </c>
      <c r="B21" s="95">
        <f t="shared" ref="B21:K21" si="7">B8*2</f>
        <v>8</v>
      </c>
      <c r="C21" s="95">
        <f t="shared" si="7"/>
        <v>6</v>
      </c>
      <c r="D21" s="95">
        <f t="shared" si="7"/>
        <v>4</v>
      </c>
      <c r="E21" s="95">
        <f t="shared" si="7"/>
        <v>4</v>
      </c>
      <c r="F21" s="94">
        <f t="shared" si="7"/>
        <v>18</v>
      </c>
      <c r="G21" s="95">
        <f t="shared" si="7"/>
        <v>6</v>
      </c>
      <c r="H21" s="95">
        <f t="shared" si="7"/>
        <v>4</v>
      </c>
      <c r="I21" s="95">
        <f t="shared" si="7"/>
        <v>10</v>
      </c>
      <c r="J21" s="95">
        <f t="shared" si="7"/>
        <v>6</v>
      </c>
      <c r="K21" s="95">
        <f t="shared" si="7"/>
        <v>4</v>
      </c>
      <c r="L21" s="74">
        <f t="shared" si="4"/>
        <v>70</v>
      </c>
    </row>
    <row r="22" ht="27.0" customHeight="1">
      <c r="A22" s="61">
        <v>6.0</v>
      </c>
      <c r="B22" s="95">
        <f t="shared" ref="B22:K22" si="8">B9*2</f>
        <v>10</v>
      </c>
      <c r="C22" s="95">
        <f t="shared" si="8"/>
        <v>6</v>
      </c>
      <c r="D22" s="95">
        <f t="shared" si="8"/>
        <v>4</v>
      </c>
      <c r="E22" s="96">
        <f t="shared" si="8"/>
        <v>4</v>
      </c>
      <c r="F22" s="95">
        <f t="shared" si="8"/>
        <v>6</v>
      </c>
      <c r="G22" s="94">
        <f t="shared" si="8"/>
        <v>16</v>
      </c>
      <c r="H22" s="95">
        <f t="shared" si="8"/>
        <v>4</v>
      </c>
      <c r="I22" s="95">
        <f t="shared" si="8"/>
        <v>6</v>
      </c>
      <c r="J22" s="95">
        <f t="shared" si="8"/>
        <v>4</v>
      </c>
      <c r="K22" s="95">
        <f t="shared" si="8"/>
        <v>4</v>
      </c>
      <c r="L22" s="74">
        <f t="shared" si="4"/>
        <v>64</v>
      </c>
    </row>
    <row r="23" ht="27.0" customHeight="1">
      <c r="A23" s="61">
        <v>7.0</v>
      </c>
      <c r="B23" s="95">
        <f t="shared" ref="B23:K23" si="9">B10*2</f>
        <v>4</v>
      </c>
      <c r="C23" s="95">
        <f t="shared" si="9"/>
        <v>6</v>
      </c>
      <c r="D23" s="95">
        <f t="shared" si="9"/>
        <v>8</v>
      </c>
      <c r="E23" s="95">
        <f t="shared" si="9"/>
        <v>10</v>
      </c>
      <c r="F23" s="95">
        <f t="shared" si="9"/>
        <v>4</v>
      </c>
      <c r="G23" s="95">
        <f t="shared" si="9"/>
        <v>4</v>
      </c>
      <c r="H23" s="94">
        <f t="shared" si="9"/>
        <v>16</v>
      </c>
      <c r="I23" s="95">
        <f t="shared" si="9"/>
        <v>4</v>
      </c>
      <c r="J23" s="95">
        <f t="shared" si="9"/>
        <v>4</v>
      </c>
      <c r="K23" s="95">
        <f t="shared" si="9"/>
        <v>4</v>
      </c>
      <c r="L23" s="74">
        <f t="shared" si="4"/>
        <v>64</v>
      </c>
    </row>
    <row r="24" ht="27.0" customHeight="1">
      <c r="A24" s="61">
        <v>8.0</v>
      </c>
      <c r="B24" s="95">
        <f t="shared" ref="B24:K24" si="10">B11*2</f>
        <v>4</v>
      </c>
      <c r="C24" s="95">
        <f t="shared" si="10"/>
        <v>4</v>
      </c>
      <c r="D24" s="95">
        <f t="shared" si="10"/>
        <v>6</v>
      </c>
      <c r="E24" s="95">
        <f t="shared" si="10"/>
        <v>4</v>
      </c>
      <c r="F24" s="95">
        <f t="shared" si="10"/>
        <v>10</v>
      </c>
      <c r="G24" s="95">
        <f t="shared" si="10"/>
        <v>6</v>
      </c>
      <c r="H24" s="95">
        <f t="shared" si="10"/>
        <v>4</v>
      </c>
      <c r="I24" s="94">
        <f t="shared" si="10"/>
        <v>16</v>
      </c>
      <c r="J24" s="96">
        <f t="shared" si="10"/>
        <v>4</v>
      </c>
      <c r="K24" s="95">
        <f t="shared" si="10"/>
        <v>6</v>
      </c>
      <c r="L24" s="74">
        <f t="shared" si="4"/>
        <v>64</v>
      </c>
    </row>
    <row r="25" ht="27.0" customHeight="1">
      <c r="A25" s="61">
        <v>9.0</v>
      </c>
      <c r="B25" s="95">
        <f t="shared" ref="B25:K25" si="11">B12*2</f>
        <v>10</v>
      </c>
      <c r="C25" s="95">
        <f t="shared" si="11"/>
        <v>4</v>
      </c>
      <c r="D25" s="95">
        <f t="shared" si="11"/>
        <v>4</v>
      </c>
      <c r="E25" s="95">
        <f t="shared" si="11"/>
        <v>6</v>
      </c>
      <c r="F25" s="95">
        <f t="shared" si="11"/>
        <v>6</v>
      </c>
      <c r="G25" s="95">
        <f t="shared" si="11"/>
        <v>4</v>
      </c>
      <c r="H25" s="95">
        <f t="shared" si="11"/>
        <v>4</v>
      </c>
      <c r="I25" s="96">
        <f t="shared" si="11"/>
        <v>4</v>
      </c>
      <c r="J25" s="94">
        <f t="shared" si="11"/>
        <v>16</v>
      </c>
      <c r="K25" s="95">
        <f t="shared" si="11"/>
        <v>6</v>
      </c>
      <c r="L25" s="74">
        <f t="shared" si="4"/>
        <v>64</v>
      </c>
    </row>
    <row r="26" ht="27.0" customHeight="1">
      <c r="A26" s="61">
        <v>10.0</v>
      </c>
      <c r="B26" s="95">
        <f t="shared" ref="B26:K26" si="12">B13*2</f>
        <v>4</v>
      </c>
      <c r="C26" s="95">
        <f t="shared" si="12"/>
        <v>4</v>
      </c>
      <c r="D26" s="95">
        <f t="shared" si="12"/>
        <v>6</v>
      </c>
      <c r="E26" s="95">
        <f t="shared" si="12"/>
        <v>4</v>
      </c>
      <c r="F26" s="95">
        <f t="shared" si="12"/>
        <v>4</v>
      </c>
      <c r="G26" s="95">
        <f t="shared" si="12"/>
        <v>4</v>
      </c>
      <c r="H26" s="95">
        <f t="shared" si="12"/>
        <v>4</v>
      </c>
      <c r="I26" s="95">
        <f t="shared" si="12"/>
        <v>6</v>
      </c>
      <c r="J26" s="95">
        <f t="shared" si="12"/>
        <v>6</v>
      </c>
      <c r="K26" s="94">
        <f t="shared" si="12"/>
        <v>14</v>
      </c>
      <c r="L26" s="74">
        <f t="shared" si="4"/>
        <v>56</v>
      </c>
    </row>
  </sheetData>
  <mergeCells count="2">
    <mergeCell ref="A2:K2"/>
    <mergeCell ref="A15:K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5.75"/>
  </cols>
  <sheetData>
    <row r="2" ht="15.0" customHeight="1">
      <c r="A2" s="91" t="s">
        <v>2928</v>
      </c>
    </row>
    <row r="3" ht="27.0" customHeight="1">
      <c r="A3" s="92" t="s">
        <v>2929</v>
      </c>
      <c r="B3" s="61">
        <v>1.0</v>
      </c>
      <c r="C3" s="61">
        <v>2.0</v>
      </c>
      <c r="D3" s="61">
        <v>3.0</v>
      </c>
      <c r="E3" s="61">
        <v>4.0</v>
      </c>
      <c r="F3" s="61">
        <v>5.0</v>
      </c>
      <c r="G3" s="61">
        <v>6.0</v>
      </c>
      <c r="H3" s="61">
        <v>7.0</v>
      </c>
      <c r="I3" s="61">
        <v>8.0</v>
      </c>
      <c r="J3" s="61">
        <v>9.0</v>
      </c>
      <c r="K3" s="61">
        <v>10.0</v>
      </c>
      <c r="L3" s="93" t="s">
        <v>2930</v>
      </c>
      <c r="M3" s="61" t="s">
        <v>2931</v>
      </c>
    </row>
    <row r="4" ht="27.0" customHeight="1">
      <c r="A4" s="61">
        <v>1.0</v>
      </c>
      <c r="B4" s="94">
        <v>9.0</v>
      </c>
      <c r="C4" s="95">
        <v>2.0</v>
      </c>
      <c r="D4" s="95">
        <v>2.0</v>
      </c>
      <c r="E4" s="95">
        <v>2.0</v>
      </c>
      <c r="F4" s="95">
        <v>5.0</v>
      </c>
      <c r="G4" s="95">
        <v>5.0</v>
      </c>
      <c r="H4" s="95">
        <v>2.0</v>
      </c>
      <c r="I4" s="95">
        <v>2.0</v>
      </c>
      <c r="J4" s="95">
        <v>5.0</v>
      </c>
      <c r="K4" s="95">
        <v>2.0</v>
      </c>
      <c r="L4" s="74">
        <f t="shared" ref="L4:L13" si="1">SUM(B4:K4)</f>
        <v>36</v>
      </c>
    </row>
    <row r="5" ht="27.0" customHeight="1">
      <c r="A5" s="61">
        <v>2.0</v>
      </c>
      <c r="B5" s="95">
        <v>2.0</v>
      </c>
      <c r="C5" s="94">
        <v>7.0</v>
      </c>
      <c r="D5" s="95">
        <v>2.0</v>
      </c>
      <c r="E5" s="95">
        <v>2.0</v>
      </c>
      <c r="F5" s="95">
        <v>3.0</v>
      </c>
      <c r="G5" s="95">
        <v>3.0</v>
      </c>
      <c r="H5" s="95">
        <v>3.0</v>
      </c>
      <c r="I5" s="95">
        <v>2.0</v>
      </c>
      <c r="J5" s="95">
        <v>2.0</v>
      </c>
      <c r="K5" s="95">
        <v>2.0</v>
      </c>
      <c r="L5" s="74">
        <f t="shared" si="1"/>
        <v>28</v>
      </c>
    </row>
    <row r="6" ht="27.0" customHeight="1">
      <c r="A6" s="61">
        <v>3.0</v>
      </c>
      <c r="B6" s="95">
        <v>2.0</v>
      </c>
      <c r="C6" s="95">
        <v>2.0</v>
      </c>
      <c r="D6" s="94">
        <v>8.0</v>
      </c>
      <c r="E6" s="95">
        <v>4.0</v>
      </c>
      <c r="F6" s="95">
        <v>2.0</v>
      </c>
      <c r="G6" s="95">
        <v>2.0</v>
      </c>
      <c r="H6" s="95">
        <v>4.0</v>
      </c>
      <c r="I6" s="95">
        <v>3.0</v>
      </c>
      <c r="J6" s="95">
        <v>2.0</v>
      </c>
      <c r="K6" s="95">
        <v>3.0</v>
      </c>
      <c r="L6" s="74">
        <f t="shared" si="1"/>
        <v>32</v>
      </c>
    </row>
    <row r="7" ht="27.0" customHeight="1">
      <c r="A7" s="61">
        <v>4.0</v>
      </c>
      <c r="B7" s="95">
        <v>2.0</v>
      </c>
      <c r="C7" s="95">
        <v>2.0</v>
      </c>
      <c r="D7" s="95">
        <v>4.0</v>
      </c>
      <c r="E7" s="94">
        <v>8.0</v>
      </c>
      <c r="F7" s="95">
        <v>2.0</v>
      </c>
      <c r="G7" s="95">
        <v>2.0</v>
      </c>
      <c r="H7" s="95">
        <v>5.0</v>
      </c>
      <c r="I7" s="95">
        <v>2.0</v>
      </c>
      <c r="J7" s="95">
        <v>3.0</v>
      </c>
      <c r="K7" s="95">
        <v>2.0</v>
      </c>
      <c r="L7" s="74">
        <f t="shared" si="1"/>
        <v>32</v>
      </c>
      <c r="N7" s="61">
        <v>1346.0</v>
      </c>
      <c r="O7" s="61" t="s">
        <v>2933</v>
      </c>
    </row>
    <row r="8" ht="27.0" customHeight="1">
      <c r="A8" s="61">
        <v>5.0</v>
      </c>
      <c r="B8" s="95">
        <v>5.0</v>
      </c>
      <c r="C8" s="95">
        <v>3.0</v>
      </c>
      <c r="D8" s="95">
        <v>2.0</v>
      </c>
      <c r="E8" s="95">
        <v>2.0</v>
      </c>
      <c r="F8" s="94">
        <v>9.0</v>
      </c>
      <c r="G8" s="95">
        <v>3.0</v>
      </c>
      <c r="H8" s="95">
        <v>2.0</v>
      </c>
      <c r="I8" s="95">
        <v>5.0</v>
      </c>
      <c r="J8" s="95">
        <v>3.0</v>
      </c>
      <c r="K8" s="95">
        <v>2.0</v>
      </c>
      <c r="L8" s="74">
        <f t="shared" si="1"/>
        <v>36</v>
      </c>
      <c r="N8" s="61">
        <v>1589.0</v>
      </c>
      <c r="O8" s="61" t="s">
        <v>2933</v>
      </c>
    </row>
    <row r="9" ht="27.0" customHeight="1">
      <c r="A9" s="61">
        <v>6.0</v>
      </c>
      <c r="B9" s="95">
        <v>5.0</v>
      </c>
      <c r="C9" s="95">
        <v>3.0</v>
      </c>
      <c r="D9" s="95">
        <v>2.0</v>
      </c>
      <c r="E9" s="95">
        <v>2.0</v>
      </c>
      <c r="F9" s="95">
        <v>3.0</v>
      </c>
      <c r="G9" s="94">
        <v>8.0</v>
      </c>
      <c r="H9" s="95">
        <v>2.0</v>
      </c>
      <c r="I9" s="95">
        <v>3.0</v>
      </c>
      <c r="J9" s="95">
        <v>2.0</v>
      </c>
      <c r="K9" s="95">
        <v>2.0</v>
      </c>
      <c r="L9" s="74">
        <f t="shared" si="1"/>
        <v>32</v>
      </c>
      <c r="N9" s="61">
        <v>1357.0</v>
      </c>
      <c r="O9" s="61" t="s">
        <v>2933</v>
      </c>
    </row>
    <row r="10" ht="27.0" customHeight="1">
      <c r="A10" s="61">
        <v>7.0</v>
      </c>
      <c r="B10" s="95">
        <v>2.0</v>
      </c>
      <c r="C10" s="95">
        <v>3.0</v>
      </c>
      <c r="D10" s="95">
        <v>4.0</v>
      </c>
      <c r="E10" s="95">
        <v>5.0</v>
      </c>
      <c r="F10" s="95">
        <v>2.0</v>
      </c>
      <c r="G10" s="95">
        <v>2.0</v>
      </c>
      <c r="H10" s="94">
        <v>8.0</v>
      </c>
      <c r="I10" s="95">
        <v>2.0</v>
      </c>
      <c r="J10" s="95">
        <v>2.0</v>
      </c>
      <c r="K10" s="95">
        <v>2.0</v>
      </c>
      <c r="L10" s="74">
        <f t="shared" si="1"/>
        <v>32</v>
      </c>
      <c r="N10" s="61">
        <v>2467.0</v>
      </c>
      <c r="O10" s="61" t="s">
        <v>2933</v>
      </c>
    </row>
    <row r="11" ht="27.0" customHeight="1">
      <c r="A11" s="61">
        <v>8.0</v>
      </c>
      <c r="B11" s="95">
        <v>2.0</v>
      </c>
      <c r="C11" s="95">
        <v>2.0</v>
      </c>
      <c r="D11" s="95">
        <v>3.0</v>
      </c>
      <c r="E11" s="95">
        <v>2.0</v>
      </c>
      <c r="F11" s="95">
        <v>5.0</v>
      </c>
      <c r="G11" s="95">
        <v>3.0</v>
      </c>
      <c r="H11" s="95">
        <v>2.0</v>
      </c>
      <c r="I11" s="94">
        <v>8.0</v>
      </c>
      <c r="J11" s="95">
        <v>2.0</v>
      </c>
      <c r="K11" s="95">
        <v>3.0</v>
      </c>
      <c r="L11" s="74">
        <f t="shared" si="1"/>
        <v>32</v>
      </c>
      <c r="N11" s="61">
        <v>58910.0</v>
      </c>
      <c r="O11" s="61" t="s">
        <v>2933</v>
      </c>
    </row>
    <row r="12" ht="27.0" customHeight="1">
      <c r="A12" s="61">
        <v>9.0</v>
      </c>
      <c r="B12" s="95">
        <v>5.0</v>
      </c>
      <c r="C12" s="95">
        <v>2.0</v>
      </c>
      <c r="D12" s="95">
        <v>2.0</v>
      </c>
      <c r="E12" s="95">
        <v>3.0</v>
      </c>
      <c r="F12" s="95">
        <v>3.0</v>
      </c>
      <c r="G12" s="95">
        <v>2.0</v>
      </c>
      <c r="H12" s="95">
        <v>2.0</v>
      </c>
      <c r="I12" s="95">
        <v>2.0</v>
      </c>
      <c r="J12" s="94">
        <v>8.0</v>
      </c>
      <c r="K12" s="95">
        <v>3.0</v>
      </c>
      <c r="L12" s="74">
        <f t="shared" si="1"/>
        <v>32</v>
      </c>
    </row>
    <row r="13" ht="27.0" customHeight="1">
      <c r="A13" s="61">
        <v>10.0</v>
      </c>
      <c r="B13" s="95">
        <v>2.0</v>
      </c>
      <c r="C13" s="95">
        <v>2.0</v>
      </c>
      <c r="D13" s="95">
        <v>3.0</v>
      </c>
      <c r="E13" s="95">
        <v>2.0</v>
      </c>
      <c r="F13" s="95">
        <v>2.0</v>
      </c>
      <c r="G13" s="95">
        <v>2.0</v>
      </c>
      <c r="H13" s="95">
        <v>2.0</v>
      </c>
      <c r="I13" s="95">
        <v>3.0</v>
      </c>
      <c r="J13" s="95">
        <v>3.0</v>
      </c>
      <c r="K13" s="94">
        <v>7.0</v>
      </c>
      <c r="L13" s="74">
        <f t="shared" si="1"/>
        <v>28</v>
      </c>
    </row>
    <row r="15" ht="15.0" customHeight="1">
      <c r="A15" s="91" t="s">
        <v>2932</v>
      </c>
    </row>
    <row r="16" ht="27.0" customHeight="1">
      <c r="A16" s="92" t="s">
        <v>2929</v>
      </c>
      <c r="B16" s="61">
        <v>1.0</v>
      </c>
      <c r="C16" s="61">
        <v>2.0</v>
      </c>
      <c r="D16" s="61">
        <v>3.0</v>
      </c>
      <c r="E16" s="61">
        <v>4.0</v>
      </c>
      <c r="F16" s="61">
        <v>5.0</v>
      </c>
      <c r="G16" s="61">
        <v>6.0</v>
      </c>
      <c r="H16" s="61">
        <v>7.0</v>
      </c>
      <c r="I16" s="61">
        <v>8.0</v>
      </c>
      <c r="J16" s="61">
        <v>9.0</v>
      </c>
      <c r="K16" s="61">
        <v>10.0</v>
      </c>
      <c r="L16" s="93" t="s">
        <v>2930</v>
      </c>
    </row>
    <row r="17" ht="27.0" customHeight="1">
      <c r="A17" s="61">
        <v>1.0</v>
      </c>
      <c r="B17" s="94">
        <f t="shared" ref="B17:K17" si="2">B4*2</f>
        <v>18</v>
      </c>
      <c r="C17" s="95">
        <f t="shared" si="2"/>
        <v>4</v>
      </c>
      <c r="D17" s="95">
        <f t="shared" si="2"/>
        <v>4</v>
      </c>
      <c r="E17" s="95">
        <f t="shared" si="2"/>
        <v>4</v>
      </c>
      <c r="F17" s="95">
        <f t="shared" si="2"/>
        <v>10</v>
      </c>
      <c r="G17" s="95">
        <f t="shared" si="2"/>
        <v>10</v>
      </c>
      <c r="H17" s="95">
        <f t="shared" si="2"/>
        <v>4</v>
      </c>
      <c r="I17" s="95">
        <f t="shared" si="2"/>
        <v>4</v>
      </c>
      <c r="J17" s="95">
        <f t="shared" si="2"/>
        <v>10</v>
      </c>
      <c r="K17" s="95">
        <f t="shared" si="2"/>
        <v>4</v>
      </c>
      <c r="L17" s="74">
        <f t="shared" ref="L17:L26" si="4">SUM(B17:K17)</f>
        <v>72</v>
      </c>
    </row>
    <row r="18" ht="27.0" customHeight="1">
      <c r="A18" s="61">
        <v>2.0</v>
      </c>
      <c r="B18" s="95">
        <f t="shared" ref="B18:K18" si="3">B5*2</f>
        <v>4</v>
      </c>
      <c r="C18" s="94">
        <f t="shared" si="3"/>
        <v>14</v>
      </c>
      <c r="D18" s="95">
        <f t="shared" si="3"/>
        <v>4</v>
      </c>
      <c r="E18" s="95">
        <f t="shared" si="3"/>
        <v>4</v>
      </c>
      <c r="F18" s="95">
        <f t="shared" si="3"/>
        <v>6</v>
      </c>
      <c r="G18" s="95">
        <f t="shared" si="3"/>
        <v>6</v>
      </c>
      <c r="H18" s="95">
        <f t="shared" si="3"/>
        <v>6</v>
      </c>
      <c r="I18" s="95">
        <f t="shared" si="3"/>
        <v>4</v>
      </c>
      <c r="J18" s="95">
        <f t="shared" si="3"/>
        <v>4</v>
      </c>
      <c r="K18" s="95">
        <f t="shared" si="3"/>
        <v>4</v>
      </c>
      <c r="L18" s="74">
        <f t="shared" si="4"/>
        <v>56</v>
      </c>
    </row>
    <row r="19" ht="27.0" customHeight="1">
      <c r="A19" s="61">
        <v>3.0</v>
      </c>
      <c r="B19" s="95">
        <f t="shared" ref="B19:K19" si="5">B6*2</f>
        <v>4</v>
      </c>
      <c r="C19" s="95">
        <f t="shared" si="5"/>
        <v>4</v>
      </c>
      <c r="D19" s="94">
        <f t="shared" si="5"/>
        <v>16</v>
      </c>
      <c r="E19" s="95">
        <f t="shared" si="5"/>
        <v>8</v>
      </c>
      <c r="F19" s="95">
        <f t="shared" si="5"/>
        <v>4</v>
      </c>
      <c r="G19" s="95">
        <f t="shared" si="5"/>
        <v>4</v>
      </c>
      <c r="H19" s="95">
        <f t="shared" si="5"/>
        <v>8</v>
      </c>
      <c r="I19" s="95">
        <f t="shared" si="5"/>
        <v>6</v>
      </c>
      <c r="J19" s="95">
        <f t="shared" si="5"/>
        <v>4</v>
      </c>
      <c r="K19" s="95">
        <f t="shared" si="5"/>
        <v>6</v>
      </c>
      <c r="L19" s="74">
        <f t="shared" si="4"/>
        <v>64</v>
      </c>
    </row>
    <row r="20" ht="27.0" customHeight="1">
      <c r="A20" s="61">
        <v>4.0</v>
      </c>
      <c r="B20" s="95">
        <f t="shared" ref="B20:K20" si="6">B7*2</f>
        <v>4</v>
      </c>
      <c r="C20" s="95">
        <f t="shared" si="6"/>
        <v>4</v>
      </c>
      <c r="D20" s="95">
        <f t="shared" si="6"/>
        <v>8</v>
      </c>
      <c r="E20" s="94">
        <f t="shared" si="6"/>
        <v>16</v>
      </c>
      <c r="F20" s="95">
        <f t="shared" si="6"/>
        <v>4</v>
      </c>
      <c r="G20" s="95">
        <f t="shared" si="6"/>
        <v>4</v>
      </c>
      <c r="H20" s="95">
        <f t="shared" si="6"/>
        <v>10</v>
      </c>
      <c r="I20" s="95">
        <f t="shared" si="6"/>
        <v>4</v>
      </c>
      <c r="J20" s="95">
        <f t="shared" si="6"/>
        <v>6</v>
      </c>
      <c r="K20" s="95">
        <f t="shared" si="6"/>
        <v>4</v>
      </c>
      <c r="L20" s="74">
        <f t="shared" si="4"/>
        <v>64</v>
      </c>
    </row>
    <row r="21" ht="27.0" customHeight="1">
      <c r="A21" s="61">
        <v>5.0</v>
      </c>
      <c r="B21" s="95">
        <f t="shared" ref="B21:K21" si="7">B8*2</f>
        <v>10</v>
      </c>
      <c r="C21" s="95">
        <f t="shared" si="7"/>
        <v>6</v>
      </c>
      <c r="D21" s="95">
        <f t="shared" si="7"/>
        <v>4</v>
      </c>
      <c r="E21" s="95">
        <f t="shared" si="7"/>
        <v>4</v>
      </c>
      <c r="F21" s="94">
        <f t="shared" si="7"/>
        <v>18</v>
      </c>
      <c r="G21" s="95">
        <f t="shared" si="7"/>
        <v>6</v>
      </c>
      <c r="H21" s="95">
        <f t="shared" si="7"/>
        <v>4</v>
      </c>
      <c r="I21" s="95">
        <f t="shared" si="7"/>
        <v>10</v>
      </c>
      <c r="J21" s="95">
        <f t="shared" si="7"/>
        <v>6</v>
      </c>
      <c r="K21" s="95">
        <f t="shared" si="7"/>
        <v>4</v>
      </c>
      <c r="L21" s="74">
        <f t="shared" si="4"/>
        <v>72</v>
      </c>
    </row>
    <row r="22" ht="27.0" customHeight="1">
      <c r="A22" s="61">
        <v>6.0</v>
      </c>
      <c r="B22" s="95">
        <f t="shared" ref="B22:K22" si="8">B9*2</f>
        <v>10</v>
      </c>
      <c r="C22" s="95">
        <f t="shared" si="8"/>
        <v>6</v>
      </c>
      <c r="D22" s="95">
        <f t="shared" si="8"/>
        <v>4</v>
      </c>
      <c r="E22" s="95">
        <f t="shared" si="8"/>
        <v>4</v>
      </c>
      <c r="F22" s="95">
        <f t="shared" si="8"/>
        <v>6</v>
      </c>
      <c r="G22" s="94">
        <f t="shared" si="8"/>
        <v>16</v>
      </c>
      <c r="H22" s="95">
        <f t="shared" si="8"/>
        <v>4</v>
      </c>
      <c r="I22" s="95">
        <f t="shared" si="8"/>
        <v>6</v>
      </c>
      <c r="J22" s="95">
        <f t="shared" si="8"/>
        <v>4</v>
      </c>
      <c r="K22" s="95">
        <f t="shared" si="8"/>
        <v>4</v>
      </c>
      <c r="L22" s="74">
        <f t="shared" si="4"/>
        <v>64</v>
      </c>
    </row>
    <row r="23" ht="27.0" customHeight="1">
      <c r="A23" s="61">
        <v>7.0</v>
      </c>
      <c r="B23" s="95">
        <f t="shared" ref="B23:K23" si="9">B10*2</f>
        <v>4</v>
      </c>
      <c r="C23" s="95">
        <f t="shared" si="9"/>
        <v>6</v>
      </c>
      <c r="D23" s="95">
        <f t="shared" si="9"/>
        <v>8</v>
      </c>
      <c r="E23" s="95">
        <f t="shared" si="9"/>
        <v>10</v>
      </c>
      <c r="F23" s="95">
        <f t="shared" si="9"/>
        <v>4</v>
      </c>
      <c r="G23" s="95">
        <f t="shared" si="9"/>
        <v>4</v>
      </c>
      <c r="H23" s="94">
        <f t="shared" si="9"/>
        <v>16</v>
      </c>
      <c r="I23" s="95">
        <f t="shared" si="9"/>
        <v>4</v>
      </c>
      <c r="J23" s="95">
        <f t="shared" si="9"/>
        <v>4</v>
      </c>
      <c r="K23" s="95">
        <f t="shared" si="9"/>
        <v>4</v>
      </c>
      <c r="L23" s="74">
        <f t="shared" si="4"/>
        <v>64</v>
      </c>
    </row>
    <row r="24" ht="27.0" customHeight="1">
      <c r="A24" s="61">
        <v>8.0</v>
      </c>
      <c r="B24" s="95">
        <f t="shared" ref="B24:K24" si="10">B11*2</f>
        <v>4</v>
      </c>
      <c r="C24" s="95">
        <f t="shared" si="10"/>
        <v>4</v>
      </c>
      <c r="D24" s="95">
        <f t="shared" si="10"/>
        <v>6</v>
      </c>
      <c r="E24" s="95">
        <f t="shared" si="10"/>
        <v>4</v>
      </c>
      <c r="F24" s="95">
        <f t="shared" si="10"/>
        <v>10</v>
      </c>
      <c r="G24" s="95">
        <f t="shared" si="10"/>
        <v>6</v>
      </c>
      <c r="H24" s="95">
        <f t="shared" si="10"/>
        <v>4</v>
      </c>
      <c r="I24" s="94">
        <f t="shared" si="10"/>
        <v>16</v>
      </c>
      <c r="J24" s="95">
        <f t="shared" si="10"/>
        <v>4</v>
      </c>
      <c r="K24" s="95">
        <f t="shared" si="10"/>
        <v>6</v>
      </c>
      <c r="L24" s="74">
        <f t="shared" si="4"/>
        <v>64</v>
      </c>
    </row>
    <row r="25" ht="27.0" customHeight="1">
      <c r="A25" s="61">
        <v>9.0</v>
      </c>
      <c r="B25" s="95">
        <f t="shared" ref="B25:K25" si="11">B12*2</f>
        <v>10</v>
      </c>
      <c r="C25" s="95">
        <f t="shared" si="11"/>
        <v>4</v>
      </c>
      <c r="D25" s="95">
        <f t="shared" si="11"/>
        <v>4</v>
      </c>
      <c r="E25" s="95">
        <f t="shared" si="11"/>
        <v>6</v>
      </c>
      <c r="F25" s="95">
        <f t="shared" si="11"/>
        <v>6</v>
      </c>
      <c r="G25" s="95">
        <f t="shared" si="11"/>
        <v>4</v>
      </c>
      <c r="H25" s="95">
        <f t="shared" si="11"/>
        <v>4</v>
      </c>
      <c r="I25" s="95">
        <f t="shared" si="11"/>
        <v>4</v>
      </c>
      <c r="J25" s="94">
        <f t="shared" si="11"/>
        <v>16</v>
      </c>
      <c r="K25" s="95">
        <f t="shared" si="11"/>
        <v>6</v>
      </c>
      <c r="L25" s="74">
        <f t="shared" si="4"/>
        <v>64</v>
      </c>
    </row>
    <row r="26" ht="27.0" customHeight="1">
      <c r="A26" s="61">
        <v>10.0</v>
      </c>
      <c r="B26" s="95">
        <f t="shared" ref="B26:K26" si="12">B13*2</f>
        <v>4</v>
      </c>
      <c r="C26" s="95">
        <f t="shared" si="12"/>
        <v>4</v>
      </c>
      <c r="D26" s="95">
        <f t="shared" si="12"/>
        <v>6</v>
      </c>
      <c r="E26" s="95">
        <f t="shared" si="12"/>
        <v>4</v>
      </c>
      <c r="F26" s="95">
        <f t="shared" si="12"/>
        <v>4</v>
      </c>
      <c r="G26" s="95">
        <f t="shared" si="12"/>
        <v>4</v>
      </c>
      <c r="H26" s="95">
        <f t="shared" si="12"/>
        <v>4</v>
      </c>
      <c r="I26" s="95">
        <f t="shared" si="12"/>
        <v>6</v>
      </c>
      <c r="J26" s="95">
        <f t="shared" si="12"/>
        <v>6</v>
      </c>
      <c r="K26" s="94">
        <f t="shared" si="12"/>
        <v>14</v>
      </c>
      <c r="L26" s="74">
        <f t="shared" si="4"/>
        <v>56</v>
      </c>
    </row>
  </sheetData>
  <mergeCells count="2">
    <mergeCell ref="A2:K2"/>
    <mergeCell ref="A15:K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63"/>
    <col customWidth="1" min="2" max="2" width="6.63"/>
    <col customWidth="1" min="3" max="102" width="6.13"/>
    <col customWidth="1" min="103" max="104" width="5.38"/>
  </cols>
  <sheetData>
    <row r="1" ht="32.25" customHeight="1">
      <c r="A1" s="97" t="s">
        <v>2934</v>
      </c>
      <c r="B1" s="98"/>
      <c r="C1" s="99" t="s">
        <v>2935</v>
      </c>
      <c r="M1" s="100" t="s">
        <v>2936</v>
      </c>
      <c r="W1" s="101" t="s">
        <v>2937</v>
      </c>
      <c r="AG1" s="100" t="s">
        <v>2938</v>
      </c>
      <c r="AQ1" s="101" t="s">
        <v>2939</v>
      </c>
      <c r="BA1" s="100" t="s">
        <v>2940</v>
      </c>
      <c r="BK1" s="101" t="s">
        <v>2941</v>
      </c>
      <c r="BU1" s="100" t="s">
        <v>2942</v>
      </c>
      <c r="CE1" s="101" t="s">
        <v>2943</v>
      </c>
      <c r="CO1" s="100" t="s">
        <v>2944</v>
      </c>
      <c r="CX1" s="102"/>
      <c r="CY1" s="75"/>
      <c r="CZ1" s="74"/>
    </row>
    <row r="2" ht="33.75" customHeight="1">
      <c r="A2" s="103"/>
      <c r="B2" s="104"/>
      <c r="C2" s="105">
        <v>45658.0</v>
      </c>
      <c r="D2" s="106">
        <v>45689.0</v>
      </c>
      <c r="E2" s="106">
        <v>45717.0</v>
      </c>
      <c r="F2" s="106">
        <v>45748.0</v>
      </c>
      <c r="G2" s="106">
        <v>45778.0</v>
      </c>
      <c r="H2" s="106">
        <v>45809.0</v>
      </c>
      <c r="I2" s="106">
        <v>45839.0</v>
      </c>
      <c r="J2" s="106">
        <v>45870.0</v>
      </c>
      <c r="K2" s="106">
        <v>45901.0</v>
      </c>
      <c r="L2" s="106">
        <v>45931.0</v>
      </c>
      <c r="M2" s="107">
        <v>45659.0</v>
      </c>
      <c r="N2" s="106">
        <v>45690.0</v>
      </c>
      <c r="O2" s="106">
        <v>45718.0</v>
      </c>
      <c r="P2" s="106">
        <v>45749.0</v>
      </c>
      <c r="Q2" s="106">
        <v>45779.0</v>
      </c>
      <c r="R2" s="106">
        <v>45810.0</v>
      </c>
      <c r="S2" s="106">
        <v>45840.0</v>
      </c>
      <c r="T2" s="106">
        <v>45871.0</v>
      </c>
      <c r="U2" s="106">
        <v>45902.0</v>
      </c>
      <c r="V2" s="106">
        <v>45932.0</v>
      </c>
      <c r="W2" s="107">
        <v>45660.0</v>
      </c>
      <c r="X2" s="106">
        <v>45691.0</v>
      </c>
      <c r="Y2" s="106">
        <v>45719.0</v>
      </c>
      <c r="Z2" s="106">
        <v>45750.0</v>
      </c>
      <c r="AA2" s="106">
        <v>45780.0</v>
      </c>
      <c r="AB2" s="106">
        <v>45811.0</v>
      </c>
      <c r="AC2" s="106">
        <v>45841.0</v>
      </c>
      <c r="AD2" s="106">
        <v>45872.0</v>
      </c>
      <c r="AE2" s="106">
        <v>45903.0</v>
      </c>
      <c r="AF2" s="106">
        <v>45933.0</v>
      </c>
      <c r="AG2" s="107">
        <v>45661.0</v>
      </c>
      <c r="AH2" s="106">
        <v>45692.0</v>
      </c>
      <c r="AI2" s="106">
        <v>45720.0</v>
      </c>
      <c r="AJ2" s="106">
        <v>45751.0</v>
      </c>
      <c r="AK2" s="106">
        <v>45781.0</v>
      </c>
      <c r="AL2" s="106">
        <v>45812.0</v>
      </c>
      <c r="AM2" s="106">
        <v>45842.0</v>
      </c>
      <c r="AN2" s="106">
        <v>45873.0</v>
      </c>
      <c r="AO2" s="106">
        <v>45904.0</v>
      </c>
      <c r="AP2" s="106">
        <v>45934.0</v>
      </c>
      <c r="AQ2" s="107">
        <v>45662.0</v>
      </c>
      <c r="AR2" s="106">
        <v>45693.0</v>
      </c>
      <c r="AS2" s="106">
        <v>45721.0</v>
      </c>
      <c r="AT2" s="106">
        <v>45752.0</v>
      </c>
      <c r="AU2" s="106">
        <v>45782.0</v>
      </c>
      <c r="AV2" s="106">
        <v>45813.0</v>
      </c>
      <c r="AW2" s="106">
        <v>45843.0</v>
      </c>
      <c r="AX2" s="106">
        <v>45874.0</v>
      </c>
      <c r="AY2" s="106">
        <v>45905.0</v>
      </c>
      <c r="AZ2" s="106">
        <v>45935.0</v>
      </c>
      <c r="BA2" s="107">
        <v>45663.0</v>
      </c>
      <c r="BB2" s="106">
        <v>45694.0</v>
      </c>
      <c r="BC2" s="106">
        <v>45722.0</v>
      </c>
      <c r="BD2" s="106">
        <v>45753.0</v>
      </c>
      <c r="BE2" s="106">
        <v>45783.0</v>
      </c>
      <c r="BF2" s="106">
        <v>45814.0</v>
      </c>
      <c r="BG2" s="106">
        <v>45844.0</v>
      </c>
      <c r="BH2" s="106">
        <v>45875.0</v>
      </c>
      <c r="BI2" s="106">
        <v>45906.0</v>
      </c>
      <c r="BJ2" s="106">
        <v>45936.0</v>
      </c>
      <c r="BK2" s="107">
        <v>45664.0</v>
      </c>
      <c r="BL2" s="106">
        <v>45695.0</v>
      </c>
      <c r="BM2" s="106">
        <v>45723.0</v>
      </c>
      <c r="BN2" s="106">
        <v>45754.0</v>
      </c>
      <c r="BO2" s="106">
        <v>45784.0</v>
      </c>
      <c r="BP2" s="106">
        <v>45815.0</v>
      </c>
      <c r="BQ2" s="106">
        <v>45845.0</v>
      </c>
      <c r="BR2" s="106">
        <v>45876.0</v>
      </c>
      <c r="BS2" s="106">
        <v>45907.0</v>
      </c>
      <c r="BT2" s="106">
        <v>45937.0</v>
      </c>
      <c r="BU2" s="107">
        <v>45665.0</v>
      </c>
      <c r="BV2" s="106">
        <v>45696.0</v>
      </c>
      <c r="BW2" s="106">
        <v>45724.0</v>
      </c>
      <c r="BX2" s="106">
        <v>45755.0</v>
      </c>
      <c r="BY2" s="106">
        <v>45785.0</v>
      </c>
      <c r="BZ2" s="106">
        <v>45816.0</v>
      </c>
      <c r="CA2" s="106">
        <v>45846.0</v>
      </c>
      <c r="CB2" s="106">
        <v>45877.0</v>
      </c>
      <c r="CC2" s="106">
        <v>45908.0</v>
      </c>
      <c r="CD2" s="106">
        <v>45938.0</v>
      </c>
      <c r="CE2" s="107">
        <v>45666.0</v>
      </c>
      <c r="CF2" s="106">
        <v>45697.0</v>
      </c>
      <c r="CG2" s="106">
        <v>45725.0</v>
      </c>
      <c r="CH2" s="106">
        <v>45756.0</v>
      </c>
      <c r="CI2" s="106">
        <v>45786.0</v>
      </c>
      <c r="CJ2" s="106">
        <v>45817.0</v>
      </c>
      <c r="CK2" s="106">
        <v>45847.0</v>
      </c>
      <c r="CL2" s="106">
        <v>45878.0</v>
      </c>
      <c r="CM2" s="106">
        <v>45909.0</v>
      </c>
      <c r="CN2" s="106">
        <v>45939.0</v>
      </c>
      <c r="CO2" s="107">
        <v>45667.0</v>
      </c>
      <c r="CP2" s="106">
        <v>45698.0</v>
      </c>
      <c r="CQ2" s="106">
        <v>45726.0</v>
      </c>
      <c r="CR2" s="106">
        <v>45757.0</v>
      </c>
      <c r="CS2" s="106">
        <v>45787.0</v>
      </c>
      <c r="CT2" s="106">
        <v>45818.0</v>
      </c>
      <c r="CU2" s="106">
        <v>45848.0</v>
      </c>
      <c r="CV2" s="106">
        <v>45879.0</v>
      </c>
      <c r="CW2" s="106">
        <v>45910.0</v>
      </c>
      <c r="CX2" s="108">
        <v>45940.0</v>
      </c>
    </row>
    <row r="3" ht="35.25" customHeight="1">
      <c r="A3" s="109" t="s">
        <v>2935</v>
      </c>
      <c r="B3" s="110">
        <f t="array" ref="B3:B102">transpose(C2:CX2)</f>
        <v>45658</v>
      </c>
      <c r="C3" s="111"/>
      <c r="D3" s="112">
        <v>4.0</v>
      </c>
      <c r="E3" s="112">
        <v>1.0</v>
      </c>
      <c r="F3" s="112">
        <v>2.0</v>
      </c>
      <c r="G3" s="112">
        <v>8.0</v>
      </c>
      <c r="H3" s="112">
        <v>7.0</v>
      </c>
      <c r="I3" s="112">
        <v>2.0</v>
      </c>
      <c r="J3" s="112">
        <v>3.0</v>
      </c>
      <c r="K3" s="112">
        <v>8.0</v>
      </c>
      <c r="L3" s="112">
        <v>4.0</v>
      </c>
      <c r="M3" s="113"/>
      <c r="N3" s="114"/>
      <c r="O3" s="115"/>
      <c r="P3" s="115"/>
      <c r="Q3" s="115"/>
      <c r="R3" s="115"/>
      <c r="S3" s="115"/>
      <c r="T3" s="115"/>
      <c r="U3" s="115"/>
      <c r="V3" s="115"/>
      <c r="W3" s="113"/>
      <c r="X3" s="115"/>
      <c r="Y3" s="115"/>
      <c r="Z3" s="115"/>
      <c r="AA3" s="115"/>
      <c r="AB3" s="115"/>
      <c r="AC3" s="115"/>
      <c r="AD3" s="115"/>
      <c r="AE3" s="115"/>
      <c r="AF3" s="115"/>
      <c r="AG3" s="113"/>
      <c r="AH3" s="115"/>
      <c r="AI3" s="115"/>
      <c r="AJ3" s="115"/>
      <c r="AK3" s="115"/>
      <c r="AL3" s="115"/>
      <c r="AM3" s="115"/>
      <c r="AN3" s="115"/>
      <c r="AO3" s="115"/>
      <c r="AP3" s="115"/>
      <c r="AQ3" s="113"/>
      <c r="AR3" s="115"/>
      <c r="AS3" s="115"/>
      <c r="AT3" s="115"/>
      <c r="AU3" s="115"/>
      <c r="AV3" s="115"/>
      <c r="AW3" s="115"/>
      <c r="AX3" s="115"/>
      <c r="AY3" s="115"/>
      <c r="AZ3" s="115"/>
      <c r="BA3" s="116">
        <v>1.0</v>
      </c>
      <c r="BB3" s="115"/>
      <c r="BC3" s="115"/>
      <c r="BD3" s="115"/>
      <c r="BE3" s="112">
        <v>1.0</v>
      </c>
      <c r="BF3" s="112">
        <v>1.0</v>
      </c>
      <c r="BG3" s="115"/>
      <c r="BH3" s="115"/>
      <c r="BI3" s="115"/>
      <c r="BJ3" s="112">
        <v>1.0</v>
      </c>
      <c r="BK3" s="113"/>
      <c r="BL3" s="115"/>
      <c r="BM3" s="115"/>
      <c r="BN3" s="115"/>
      <c r="BO3" s="115"/>
      <c r="BP3" s="115"/>
      <c r="BQ3" s="115"/>
      <c r="BR3" s="115"/>
      <c r="BS3" s="115"/>
      <c r="BT3" s="115"/>
      <c r="BU3" s="113"/>
      <c r="BV3" s="115"/>
      <c r="BW3" s="115"/>
      <c r="BX3" s="115"/>
      <c r="BY3" s="115"/>
      <c r="BZ3" s="115"/>
      <c r="CA3" s="115"/>
      <c r="CB3" s="115"/>
      <c r="CC3" s="115"/>
      <c r="CD3" s="115"/>
      <c r="CE3" s="113"/>
      <c r="CF3" s="115"/>
      <c r="CG3" s="115"/>
      <c r="CH3" s="115"/>
      <c r="CI3" s="115"/>
      <c r="CJ3" s="115"/>
      <c r="CK3" s="115"/>
      <c r="CL3" s="115"/>
      <c r="CM3" s="115"/>
      <c r="CN3" s="115"/>
      <c r="CO3" s="113"/>
      <c r="CP3" s="115"/>
      <c r="CQ3" s="115"/>
      <c r="CR3" s="115"/>
      <c r="CS3" s="115"/>
      <c r="CT3" s="115"/>
      <c r="CU3" s="115"/>
      <c r="CV3" s="115"/>
      <c r="CW3" s="115"/>
      <c r="CX3" s="117"/>
    </row>
    <row r="4" ht="35.25" customHeight="1">
      <c r="B4" s="118">
        <v>45689.0</v>
      </c>
      <c r="C4" s="116">
        <v>4.0</v>
      </c>
      <c r="D4" s="119"/>
      <c r="E4" s="120">
        <v>4.0</v>
      </c>
      <c r="F4" s="120">
        <v>4.0</v>
      </c>
      <c r="G4" s="120">
        <v>6.0</v>
      </c>
      <c r="H4" s="120">
        <v>6.0</v>
      </c>
      <c r="I4" s="120">
        <v>5.0</v>
      </c>
      <c r="J4" s="120">
        <v>3.0</v>
      </c>
      <c r="K4" s="120">
        <v>4.0</v>
      </c>
      <c r="L4" s="120">
        <v>4.0</v>
      </c>
      <c r="M4" s="113"/>
      <c r="N4" s="121"/>
      <c r="O4" s="122"/>
      <c r="P4" s="122"/>
      <c r="Q4" s="122"/>
      <c r="R4" s="122"/>
      <c r="S4" s="122"/>
      <c r="T4" s="122"/>
      <c r="U4" s="122"/>
      <c r="V4" s="122"/>
      <c r="W4" s="113"/>
      <c r="X4" s="122"/>
      <c r="Y4" s="120"/>
      <c r="Z4" s="122"/>
      <c r="AA4" s="122"/>
      <c r="AB4" s="122"/>
      <c r="AC4" s="122"/>
      <c r="AD4" s="122"/>
      <c r="AE4" s="122"/>
      <c r="AF4" s="122"/>
      <c r="AG4" s="113"/>
      <c r="AH4" s="122"/>
      <c r="AI4" s="122"/>
      <c r="AJ4" s="122"/>
      <c r="AK4" s="122"/>
      <c r="AL4" s="122"/>
      <c r="AM4" s="122"/>
      <c r="AN4" s="122"/>
      <c r="AO4" s="122"/>
      <c r="AP4" s="122"/>
      <c r="AQ4" s="113"/>
      <c r="AR4" s="122"/>
      <c r="AS4" s="122"/>
      <c r="AT4" s="122"/>
      <c r="AU4" s="122"/>
      <c r="AV4" s="122"/>
      <c r="AW4" s="122"/>
      <c r="AX4" s="120">
        <v>1.0</v>
      </c>
      <c r="AY4" s="122"/>
      <c r="AZ4" s="122"/>
      <c r="BA4" s="113"/>
      <c r="BB4" s="122"/>
      <c r="BC4" s="122"/>
      <c r="BD4" s="122"/>
      <c r="BE4" s="122"/>
      <c r="BF4" s="122"/>
      <c r="BG4" s="122"/>
      <c r="BH4" s="122"/>
      <c r="BI4" s="122"/>
      <c r="BJ4" s="122"/>
      <c r="BK4" s="113"/>
      <c r="BL4" s="122"/>
      <c r="BM4" s="122"/>
      <c r="BN4" s="122"/>
      <c r="BO4" s="122"/>
      <c r="BP4" s="122"/>
      <c r="BQ4" s="122"/>
      <c r="BR4" s="122"/>
      <c r="BS4" s="122"/>
      <c r="BT4" s="122"/>
      <c r="BU4" s="113"/>
      <c r="BV4" s="120">
        <v>1.0</v>
      </c>
      <c r="BW4" s="122"/>
      <c r="BX4" s="122"/>
      <c r="BY4" s="122"/>
      <c r="BZ4" s="122"/>
      <c r="CA4" s="122"/>
      <c r="CB4" s="122"/>
      <c r="CC4" s="122"/>
      <c r="CD4" s="120">
        <v>1.0</v>
      </c>
      <c r="CE4" s="113"/>
      <c r="CF4" s="122"/>
      <c r="CG4" s="122"/>
      <c r="CH4" s="122"/>
      <c r="CI4" s="122"/>
      <c r="CJ4" s="122"/>
      <c r="CK4" s="122"/>
      <c r="CL4" s="122"/>
      <c r="CM4" s="122"/>
      <c r="CN4" s="122"/>
      <c r="CO4" s="113"/>
      <c r="CP4" s="122"/>
      <c r="CQ4" s="122"/>
      <c r="CR4" s="122"/>
      <c r="CS4" s="122"/>
      <c r="CT4" s="122"/>
      <c r="CU4" s="122"/>
      <c r="CV4" s="122"/>
      <c r="CW4" s="122"/>
      <c r="CX4" s="123"/>
    </row>
    <row r="5" ht="35.25" customHeight="1">
      <c r="B5" s="118">
        <v>45717.0</v>
      </c>
      <c r="C5" s="116">
        <v>1.0</v>
      </c>
      <c r="D5" s="120">
        <v>4.0</v>
      </c>
      <c r="E5" s="119"/>
      <c r="F5" s="120">
        <v>7.0</v>
      </c>
      <c r="G5" s="120">
        <v>3.0</v>
      </c>
      <c r="H5" s="120">
        <v>2.0</v>
      </c>
      <c r="I5" s="120">
        <v>8.0</v>
      </c>
      <c r="J5" s="120">
        <v>5.0</v>
      </c>
      <c r="K5" s="120">
        <v>2.0</v>
      </c>
      <c r="L5" s="120">
        <v>4.0</v>
      </c>
      <c r="M5" s="113"/>
      <c r="N5" s="121"/>
      <c r="O5" s="122"/>
      <c r="P5" s="122"/>
      <c r="Q5" s="122"/>
      <c r="R5" s="122"/>
      <c r="S5" s="122"/>
      <c r="T5" s="122"/>
      <c r="U5" s="122"/>
      <c r="V5" s="122"/>
      <c r="W5" s="113"/>
      <c r="X5" s="122"/>
      <c r="Y5" s="122"/>
      <c r="Z5" s="122"/>
      <c r="AA5" s="122"/>
      <c r="AB5" s="122"/>
      <c r="AC5" s="122"/>
      <c r="AD5" s="122"/>
      <c r="AE5" s="122"/>
      <c r="AF5" s="122"/>
      <c r="AG5" s="113"/>
      <c r="AH5" s="122"/>
      <c r="AI5" s="122"/>
      <c r="AJ5" s="122"/>
      <c r="AK5" s="122"/>
      <c r="AL5" s="122"/>
      <c r="AM5" s="122"/>
      <c r="AN5" s="122"/>
      <c r="AO5" s="122"/>
      <c r="AP5" s="122"/>
      <c r="AQ5" s="113"/>
      <c r="AR5" s="122"/>
      <c r="AS5" s="122"/>
      <c r="AT5" s="122"/>
      <c r="AU5" s="122"/>
      <c r="AV5" s="122"/>
      <c r="AW5" s="122"/>
      <c r="AX5" s="120">
        <v>1.0</v>
      </c>
      <c r="AY5" s="122"/>
      <c r="AZ5" s="122"/>
      <c r="BA5" s="113"/>
      <c r="BB5" s="122"/>
      <c r="BC5" s="122"/>
      <c r="BD5" s="122"/>
      <c r="BE5" s="122"/>
      <c r="BF5" s="122"/>
      <c r="BG5" s="122"/>
      <c r="BH5" s="122"/>
      <c r="BI5" s="122"/>
      <c r="BJ5" s="122"/>
      <c r="BK5" s="113"/>
      <c r="BL5" s="122"/>
      <c r="BM5" s="122"/>
      <c r="BN5" s="122"/>
      <c r="BO5" s="122"/>
      <c r="BP5" s="122"/>
      <c r="BQ5" s="122"/>
      <c r="BR5" s="122"/>
      <c r="BS5" s="122"/>
      <c r="BT5" s="122"/>
      <c r="BU5" s="113"/>
      <c r="BV5" s="120">
        <v>1.0</v>
      </c>
      <c r="BW5" s="122"/>
      <c r="BX5" s="122"/>
      <c r="BY5" s="122"/>
      <c r="BZ5" s="122"/>
      <c r="CA5" s="122"/>
      <c r="CB5" s="122"/>
      <c r="CC5" s="122"/>
      <c r="CD5" s="120">
        <v>1.0</v>
      </c>
      <c r="CE5" s="113"/>
      <c r="CF5" s="122"/>
      <c r="CG5" s="122"/>
      <c r="CH5" s="122"/>
      <c r="CI5" s="122"/>
      <c r="CJ5" s="122"/>
      <c r="CK5" s="122"/>
      <c r="CL5" s="122"/>
      <c r="CM5" s="122"/>
      <c r="CN5" s="122"/>
      <c r="CO5" s="113"/>
      <c r="CP5" s="122"/>
      <c r="CQ5" s="122"/>
      <c r="CR5" s="122"/>
      <c r="CS5" s="122"/>
      <c r="CT5" s="122"/>
      <c r="CU5" s="122"/>
      <c r="CV5" s="122"/>
      <c r="CW5" s="122"/>
      <c r="CX5" s="123"/>
    </row>
    <row r="6" ht="35.25" customHeight="1">
      <c r="B6" s="118">
        <v>45748.0</v>
      </c>
      <c r="C6" s="116">
        <v>2.0</v>
      </c>
      <c r="D6" s="120">
        <v>4.0</v>
      </c>
      <c r="E6" s="120">
        <v>7.0</v>
      </c>
      <c r="F6" s="119"/>
      <c r="G6" s="120">
        <v>4.0</v>
      </c>
      <c r="H6" s="120">
        <v>2.0</v>
      </c>
      <c r="I6" s="120">
        <v>9.0</v>
      </c>
      <c r="J6" s="120">
        <v>4.0</v>
      </c>
      <c r="K6" s="120">
        <v>4.0</v>
      </c>
      <c r="L6" s="120">
        <v>2.0</v>
      </c>
      <c r="M6" s="113"/>
      <c r="N6" s="121"/>
      <c r="O6" s="122"/>
      <c r="P6" s="122"/>
      <c r="Q6" s="122"/>
      <c r="R6" s="122"/>
      <c r="S6" s="122"/>
      <c r="T6" s="122"/>
      <c r="U6" s="122"/>
      <c r="V6" s="122"/>
      <c r="W6" s="113"/>
      <c r="X6" s="122"/>
      <c r="Y6" s="122"/>
      <c r="Z6" s="122"/>
      <c r="AA6" s="122"/>
      <c r="AB6" s="122"/>
      <c r="AC6" s="122"/>
      <c r="AD6" s="122"/>
      <c r="AE6" s="122"/>
      <c r="AF6" s="122"/>
      <c r="AG6" s="113"/>
      <c r="AH6" s="122"/>
      <c r="AI6" s="122"/>
      <c r="AJ6" s="122"/>
      <c r="AK6" s="122"/>
      <c r="AL6" s="122"/>
      <c r="AM6" s="122"/>
      <c r="AN6" s="122"/>
      <c r="AO6" s="122"/>
      <c r="AP6" s="122"/>
      <c r="AQ6" s="113"/>
      <c r="AR6" s="122"/>
      <c r="AS6" s="122"/>
      <c r="AT6" s="122"/>
      <c r="AU6" s="122"/>
      <c r="AV6" s="122"/>
      <c r="AW6" s="122"/>
      <c r="AX6" s="120">
        <v>1.0</v>
      </c>
      <c r="AY6" s="122"/>
      <c r="AZ6" s="122"/>
      <c r="BA6" s="113"/>
      <c r="BB6" s="122"/>
      <c r="BC6" s="122"/>
      <c r="BD6" s="122"/>
      <c r="BE6" s="122"/>
      <c r="BF6" s="122"/>
      <c r="BG6" s="122"/>
      <c r="BH6" s="122"/>
      <c r="BI6" s="122"/>
      <c r="BJ6" s="122"/>
      <c r="BK6" s="113"/>
      <c r="BL6" s="122"/>
      <c r="BM6" s="122"/>
      <c r="BN6" s="122"/>
      <c r="BO6" s="122"/>
      <c r="BP6" s="122"/>
      <c r="BQ6" s="122"/>
      <c r="BR6" s="122"/>
      <c r="BS6" s="122"/>
      <c r="BT6" s="122"/>
      <c r="BU6" s="113"/>
      <c r="BV6" s="122"/>
      <c r="BW6" s="122"/>
      <c r="BX6" s="122"/>
      <c r="BY6" s="122"/>
      <c r="BZ6" s="122"/>
      <c r="CA6" s="122"/>
      <c r="CB6" s="122"/>
      <c r="CC6" s="122"/>
      <c r="CD6" s="122"/>
      <c r="CE6" s="113"/>
      <c r="CF6" s="122"/>
      <c r="CG6" s="122"/>
      <c r="CH6" s="122"/>
      <c r="CI6" s="122"/>
      <c r="CJ6" s="122"/>
      <c r="CK6" s="122"/>
      <c r="CL6" s="122"/>
      <c r="CM6" s="122"/>
      <c r="CN6" s="122"/>
      <c r="CO6" s="113"/>
      <c r="CP6" s="122"/>
      <c r="CQ6" s="122"/>
      <c r="CR6" s="122"/>
      <c r="CS6" s="122"/>
      <c r="CT6" s="122"/>
      <c r="CU6" s="122"/>
      <c r="CV6" s="122"/>
      <c r="CW6" s="122"/>
      <c r="CX6" s="123"/>
    </row>
    <row r="7" ht="35.25" customHeight="1">
      <c r="B7" s="124">
        <v>45778.0</v>
      </c>
      <c r="C7" s="116">
        <v>8.0</v>
      </c>
      <c r="D7" s="120">
        <v>6.0</v>
      </c>
      <c r="E7" s="120">
        <v>3.0</v>
      </c>
      <c r="F7" s="120">
        <v>4.0</v>
      </c>
      <c r="G7" s="119"/>
      <c r="H7" s="120">
        <v>6.0</v>
      </c>
      <c r="I7" s="120">
        <v>2.0</v>
      </c>
      <c r="J7" s="120">
        <v>8.0</v>
      </c>
      <c r="K7" s="120">
        <v>5.0</v>
      </c>
      <c r="L7" s="120">
        <v>4.0</v>
      </c>
      <c r="M7" s="113"/>
      <c r="N7" s="121"/>
      <c r="O7" s="122"/>
      <c r="P7" s="122"/>
      <c r="Q7" s="122"/>
      <c r="R7" s="122"/>
      <c r="S7" s="122"/>
      <c r="T7" s="122"/>
      <c r="U7" s="122"/>
      <c r="V7" s="122"/>
      <c r="W7" s="113"/>
      <c r="X7" s="122"/>
      <c r="Y7" s="122"/>
      <c r="Z7" s="122"/>
      <c r="AA7" s="122"/>
      <c r="AB7" s="122"/>
      <c r="AC7" s="122"/>
      <c r="AD7" s="122"/>
      <c r="AE7" s="122"/>
      <c r="AF7" s="122"/>
      <c r="AG7" s="113"/>
      <c r="AH7" s="122"/>
      <c r="AI7" s="122"/>
      <c r="AJ7" s="122"/>
      <c r="AK7" s="122"/>
      <c r="AL7" s="122"/>
      <c r="AM7" s="122"/>
      <c r="AN7" s="122"/>
      <c r="AO7" s="122"/>
      <c r="AP7" s="122"/>
      <c r="AQ7" s="113"/>
      <c r="AR7" s="122"/>
      <c r="AS7" s="122"/>
      <c r="AT7" s="122"/>
      <c r="AU7" s="122"/>
      <c r="AV7" s="122"/>
      <c r="AW7" s="122"/>
      <c r="AX7" s="120">
        <v>1.0</v>
      </c>
      <c r="AY7" s="122"/>
      <c r="AZ7" s="122"/>
      <c r="BA7" s="116">
        <v>1.0</v>
      </c>
      <c r="BB7" s="122"/>
      <c r="BC7" s="122"/>
      <c r="BD7" s="122"/>
      <c r="BE7" s="120">
        <v>1.0</v>
      </c>
      <c r="BF7" s="120">
        <v>1.0</v>
      </c>
      <c r="BG7" s="122"/>
      <c r="BH7" s="122"/>
      <c r="BI7" s="122"/>
      <c r="BJ7" s="120">
        <v>1.0</v>
      </c>
      <c r="BK7" s="113"/>
      <c r="BL7" s="122"/>
      <c r="BM7" s="122"/>
      <c r="BN7" s="122"/>
      <c r="BO7" s="122"/>
      <c r="BP7" s="122"/>
      <c r="BQ7" s="122"/>
      <c r="BR7" s="122"/>
      <c r="BS7" s="122"/>
      <c r="BT7" s="122"/>
      <c r="BU7" s="113"/>
      <c r="BV7" s="120">
        <v>1.0</v>
      </c>
      <c r="BW7" s="122"/>
      <c r="BX7" s="122"/>
      <c r="BY7" s="122"/>
      <c r="BZ7" s="122"/>
      <c r="CA7" s="122"/>
      <c r="CB7" s="122"/>
      <c r="CC7" s="122"/>
      <c r="CD7" s="122"/>
      <c r="CE7" s="113"/>
      <c r="CF7" s="122"/>
      <c r="CG7" s="122"/>
      <c r="CH7" s="122"/>
      <c r="CI7" s="122"/>
      <c r="CJ7" s="122"/>
      <c r="CK7" s="122"/>
      <c r="CL7" s="122"/>
      <c r="CM7" s="122"/>
      <c r="CN7" s="122"/>
      <c r="CO7" s="113"/>
      <c r="CP7" s="122"/>
      <c r="CQ7" s="122"/>
      <c r="CR7" s="122"/>
      <c r="CS7" s="122"/>
      <c r="CT7" s="122"/>
      <c r="CU7" s="122"/>
      <c r="CV7" s="122"/>
      <c r="CW7" s="122"/>
      <c r="CX7" s="123"/>
    </row>
    <row r="8" ht="35.25" customHeight="1">
      <c r="B8" s="124">
        <v>45809.0</v>
      </c>
      <c r="C8" s="116">
        <v>7.0</v>
      </c>
      <c r="D8" s="120">
        <v>6.0</v>
      </c>
      <c r="E8" s="120">
        <v>2.0</v>
      </c>
      <c r="F8" s="120">
        <v>2.0</v>
      </c>
      <c r="G8" s="120">
        <v>6.0</v>
      </c>
      <c r="H8" s="119"/>
      <c r="I8" s="120">
        <v>3.0</v>
      </c>
      <c r="J8" s="120">
        <v>5.0</v>
      </c>
      <c r="K8" s="120">
        <v>3.0</v>
      </c>
      <c r="L8" s="120">
        <v>3.0</v>
      </c>
      <c r="M8" s="113"/>
      <c r="N8" s="121"/>
      <c r="O8" s="122"/>
      <c r="P8" s="122"/>
      <c r="Q8" s="122"/>
      <c r="R8" s="122"/>
      <c r="S8" s="122"/>
      <c r="T8" s="122"/>
      <c r="U8" s="122"/>
      <c r="V8" s="122"/>
      <c r="W8" s="113"/>
      <c r="X8" s="122"/>
      <c r="Y8" s="122"/>
      <c r="Z8" s="122"/>
      <c r="AA8" s="122"/>
      <c r="AB8" s="122"/>
      <c r="AC8" s="122"/>
      <c r="AD8" s="122"/>
      <c r="AE8" s="122"/>
      <c r="AF8" s="122"/>
      <c r="AG8" s="113"/>
      <c r="AH8" s="122"/>
      <c r="AI8" s="122"/>
      <c r="AJ8" s="122"/>
      <c r="AK8" s="122"/>
      <c r="AL8" s="122"/>
      <c r="AM8" s="122"/>
      <c r="AN8" s="122"/>
      <c r="AO8" s="122"/>
      <c r="AP8" s="122"/>
      <c r="AQ8" s="113"/>
      <c r="AR8" s="122"/>
      <c r="AS8" s="122"/>
      <c r="AT8" s="122"/>
      <c r="AU8" s="122"/>
      <c r="AV8" s="122"/>
      <c r="AW8" s="122"/>
      <c r="AX8" s="122"/>
      <c r="AY8" s="122"/>
      <c r="AZ8" s="122"/>
      <c r="BA8" s="116">
        <v>1.0</v>
      </c>
      <c r="BB8" s="122"/>
      <c r="BC8" s="122"/>
      <c r="BD8" s="122"/>
      <c r="BE8" s="120">
        <v>1.0</v>
      </c>
      <c r="BF8" s="120">
        <v>1.0</v>
      </c>
      <c r="BG8" s="122"/>
      <c r="BH8" s="122"/>
      <c r="BI8" s="122"/>
      <c r="BJ8" s="120">
        <v>1.0</v>
      </c>
      <c r="BK8" s="113"/>
      <c r="BL8" s="122"/>
      <c r="BM8" s="122"/>
      <c r="BN8" s="122"/>
      <c r="BO8" s="122"/>
      <c r="BP8" s="122"/>
      <c r="BQ8" s="122"/>
      <c r="BR8" s="122"/>
      <c r="BS8" s="122"/>
      <c r="BT8" s="122"/>
      <c r="BU8" s="113"/>
      <c r="BV8" s="122"/>
      <c r="BW8" s="122"/>
      <c r="BX8" s="122"/>
      <c r="BY8" s="122"/>
      <c r="BZ8" s="122"/>
      <c r="CA8" s="122"/>
      <c r="CB8" s="122"/>
      <c r="CC8" s="122"/>
      <c r="CD8" s="122"/>
      <c r="CE8" s="113"/>
      <c r="CF8" s="122"/>
      <c r="CG8" s="122"/>
      <c r="CH8" s="122"/>
      <c r="CI8" s="122"/>
      <c r="CJ8" s="122"/>
      <c r="CK8" s="122"/>
      <c r="CL8" s="122"/>
      <c r="CM8" s="122"/>
      <c r="CN8" s="122"/>
      <c r="CO8" s="113"/>
      <c r="CP8" s="122"/>
      <c r="CQ8" s="122"/>
      <c r="CR8" s="122"/>
      <c r="CS8" s="122"/>
      <c r="CT8" s="122"/>
      <c r="CU8" s="122"/>
      <c r="CV8" s="122"/>
      <c r="CW8" s="122"/>
      <c r="CX8" s="123"/>
    </row>
    <row r="9" ht="35.25" customHeight="1">
      <c r="B9" s="124">
        <v>45839.0</v>
      </c>
      <c r="C9" s="116">
        <v>2.0</v>
      </c>
      <c r="D9" s="120">
        <v>5.0</v>
      </c>
      <c r="E9" s="120">
        <v>8.0</v>
      </c>
      <c r="F9" s="120">
        <v>9.0</v>
      </c>
      <c r="G9" s="120">
        <v>2.0</v>
      </c>
      <c r="H9" s="120">
        <v>3.0</v>
      </c>
      <c r="I9" s="119"/>
      <c r="J9" s="120">
        <v>4.0</v>
      </c>
      <c r="K9" s="120">
        <v>2.0</v>
      </c>
      <c r="L9" s="120">
        <v>3.0</v>
      </c>
      <c r="M9" s="113"/>
      <c r="N9" s="121"/>
      <c r="O9" s="122"/>
      <c r="P9" s="122"/>
      <c r="Q9" s="122"/>
      <c r="R9" s="122"/>
      <c r="S9" s="122"/>
      <c r="T9" s="122"/>
      <c r="U9" s="122"/>
      <c r="V9" s="122"/>
      <c r="W9" s="113"/>
      <c r="X9" s="122"/>
      <c r="Y9" s="122"/>
      <c r="Z9" s="122"/>
      <c r="AA9" s="122"/>
      <c r="AB9" s="122"/>
      <c r="AC9" s="122"/>
      <c r="AD9" s="122"/>
      <c r="AE9" s="122"/>
      <c r="AF9" s="122"/>
      <c r="AG9" s="116">
        <v>1.0</v>
      </c>
      <c r="AH9" s="122"/>
      <c r="AI9" s="122"/>
      <c r="AJ9" s="122"/>
      <c r="AK9" s="122"/>
      <c r="AL9" s="122"/>
      <c r="AM9" s="122"/>
      <c r="AN9" s="122"/>
      <c r="AO9" s="122"/>
      <c r="AP9" s="120">
        <v>1.0</v>
      </c>
      <c r="AQ9" s="113"/>
      <c r="AR9" s="122"/>
      <c r="AS9" s="122"/>
      <c r="AT9" s="122"/>
      <c r="AU9" s="122"/>
      <c r="AV9" s="122"/>
      <c r="AW9" s="122"/>
      <c r="AX9" s="122"/>
      <c r="AY9" s="122"/>
      <c r="AZ9" s="122"/>
      <c r="BA9" s="116">
        <v>1.0</v>
      </c>
      <c r="BB9" s="120">
        <v>1.0</v>
      </c>
      <c r="BC9" s="122"/>
      <c r="BD9" s="120">
        <v>1.0</v>
      </c>
      <c r="BE9" s="120">
        <v>1.0</v>
      </c>
      <c r="BF9" s="122"/>
      <c r="BG9" s="120">
        <v>1.0</v>
      </c>
      <c r="BH9" s="122"/>
      <c r="BI9" s="122"/>
      <c r="BJ9" s="122"/>
      <c r="BK9" s="113"/>
      <c r="BL9" s="122"/>
      <c r="BM9" s="122"/>
      <c r="BN9" s="122"/>
      <c r="BO9" s="122"/>
      <c r="BP9" s="122"/>
      <c r="BQ9" s="122"/>
      <c r="BR9" s="122"/>
      <c r="BS9" s="122"/>
      <c r="BT9" s="122"/>
      <c r="BU9" s="113"/>
      <c r="BV9" s="122"/>
      <c r="BW9" s="122"/>
      <c r="BX9" s="122"/>
      <c r="BY9" s="122"/>
      <c r="BZ9" s="122"/>
      <c r="CA9" s="120">
        <v>1.0</v>
      </c>
      <c r="CB9" s="122"/>
      <c r="CC9" s="122"/>
      <c r="CD9" s="120">
        <v>1.0</v>
      </c>
      <c r="CE9" s="113"/>
      <c r="CF9" s="122"/>
      <c r="CG9" s="122"/>
      <c r="CH9" s="122"/>
      <c r="CI9" s="122"/>
      <c r="CJ9" s="122"/>
      <c r="CK9" s="122"/>
      <c r="CL9" s="122"/>
      <c r="CM9" s="122"/>
      <c r="CN9" s="122"/>
      <c r="CO9" s="113"/>
      <c r="CP9" s="122"/>
      <c r="CQ9" s="122"/>
      <c r="CR9" s="122"/>
      <c r="CS9" s="122"/>
      <c r="CT9" s="122"/>
      <c r="CU9" s="122"/>
      <c r="CV9" s="122"/>
      <c r="CW9" s="122"/>
      <c r="CX9" s="123"/>
    </row>
    <row r="10" ht="35.25" customHeight="1">
      <c r="B10" s="124">
        <v>45870.0</v>
      </c>
      <c r="C10" s="116">
        <v>3.0</v>
      </c>
      <c r="D10" s="120">
        <v>3.0</v>
      </c>
      <c r="E10" s="120">
        <v>5.0</v>
      </c>
      <c r="F10" s="120">
        <v>4.0</v>
      </c>
      <c r="G10" s="120">
        <v>8.0</v>
      </c>
      <c r="H10" s="120">
        <v>5.0</v>
      </c>
      <c r="I10" s="120">
        <v>4.0</v>
      </c>
      <c r="J10" s="119"/>
      <c r="K10" s="120">
        <v>3.0</v>
      </c>
      <c r="L10" s="120">
        <v>6.0</v>
      </c>
      <c r="M10" s="113"/>
      <c r="N10" s="121"/>
      <c r="O10" s="122"/>
      <c r="P10" s="122"/>
      <c r="Q10" s="122"/>
      <c r="R10" s="122"/>
      <c r="S10" s="122"/>
      <c r="T10" s="122"/>
      <c r="U10" s="122"/>
      <c r="V10" s="122"/>
      <c r="W10" s="113"/>
      <c r="X10" s="122"/>
      <c r="Y10" s="122"/>
      <c r="Z10" s="122"/>
      <c r="AA10" s="122"/>
      <c r="AB10" s="122"/>
      <c r="AC10" s="122"/>
      <c r="AD10" s="122"/>
      <c r="AE10" s="122"/>
      <c r="AF10" s="122"/>
      <c r="AG10" s="113"/>
      <c r="AH10" s="122"/>
      <c r="AI10" s="122"/>
      <c r="AJ10" s="122"/>
      <c r="AK10" s="122"/>
      <c r="AL10" s="122"/>
      <c r="AM10" s="120">
        <v>1.0</v>
      </c>
      <c r="AN10" s="122"/>
      <c r="AO10" s="122"/>
      <c r="AP10" s="122"/>
      <c r="AQ10" s="113"/>
      <c r="AR10" s="122"/>
      <c r="AS10" s="122"/>
      <c r="AT10" s="122"/>
      <c r="AU10" s="122"/>
      <c r="AV10" s="122"/>
      <c r="AW10" s="120">
        <v>1.0</v>
      </c>
      <c r="AX10" s="122"/>
      <c r="AY10" s="122"/>
      <c r="AZ10" s="122"/>
      <c r="BA10" s="113"/>
      <c r="BB10" s="120">
        <v>1.0</v>
      </c>
      <c r="BC10" s="120">
        <v>1.0</v>
      </c>
      <c r="BD10" s="122"/>
      <c r="BE10" s="120">
        <v>1.0</v>
      </c>
      <c r="BF10" s="122"/>
      <c r="BG10" s="120">
        <v>1.0</v>
      </c>
      <c r="BH10" s="120">
        <v>3.0</v>
      </c>
      <c r="BI10" s="122"/>
      <c r="BJ10" s="120">
        <v>1.0</v>
      </c>
      <c r="BK10" s="113"/>
      <c r="BL10" s="122"/>
      <c r="BM10" s="122"/>
      <c r="BN10" s="122"/>
      <c r="BO10" s="122"/>
      <c r="BP10" s="122"/>
      <c r="BQ10" s="122"/>
      <c r="BR10" s="122"/>
      <c r="BS10" s="122"/>
      <c r="BT10" s="122"/>
      <c r="BU10" s="113"/>
      <c r="BV10" s="122"/>
      <c r="BW10" s="122"/>
      <c r="BX10" s="122"/>
      <c r="BY10" s="122"/>
      <c r="BZ10" s="122"/>
      <c r="CA10" s="122"/>
      <c r="CB10" s="122"/>
      <c r="CC10" s="122"/>
      <c r="CD10" s="122"/>
      <c r="CE10" s="113"/>
      <c r="CF10" s="122"/>
      <c r="CG10" s="122"/>
      <c r="CH10" s="122"/>
      <c r="CI10" s="122"/>
      <c r="CJ10" s="122"/>
      <c r="CK10" s="122"/>
      <c r="CL10" s="122"/>
      <c r="CM10" s="122"/>
      <c r="CN10" s="122"/>
      <c r="CO10" s="113"/>
      <c r="CP10" s="122"/>
      <c r="CQ10" s="122"/>
      <c r="CR10" s="122"/>
      <c r="CS10" s="122"/>
      <c r="CT10" s="122"/>
      <c r="CU10" s="122"/>
      <c r="CV10" s="122"/>
      <c r="CW10" s="122"/>
      <c r="CX10" s="123"/>
    </row>
    <row r="11" ht="35.25" customHeight="1">
      <c r="B11" s="124">
        <v>45901.0</v>
      </c>
      <c r="C11" s="116">
        <v>8.0</v>
      </c>
      <c r="D11" s="120">
        <v>4.0</v>
      </c>
      <c r="E11" s="120">
        <v>2.0</v>
      </c>
      <c r="F11" s="120">
        <v>4.0</v>
      </c>
      <c r="G11" s="120">
        <v>5.0</v>
      </c>
      <c r="H11" s="120">
        <v>3.0</v>
      </c>
      <c r="I11" s="120">
        <v>2.0</v>
      </c>
      <c r="J11" s="120">
        <v>3.0</v>
      </c>
      <c r="K11" s="119"/>
      <c r="L11" s="120">
        <v>5.0</v>
      </c>
      <c r="M11" s="113"/>
      <c r="N11" s="121"/>
      <c r="O11" s="122"/>
      <c r="P11" s="122"/>
      <c r="Q11" s="122"/>
      <c r="R11" s="122"/>
      <c r="S11" s="122"/>
      <c r="T11" s="122"/>
      <c r="U11" s="122"/>
      <c r="V11" s="122"/>
      <c r="W11" s="113"/>
      <c r="X11" s="122"/>
      <c r="Y11" s="122"/>
      <c r="Z11" s="122"/>
      <c r="AA11" s="122"/>
      <c r="AB11" s="122"/>
      <c r="AC11" s="122"/>
      <c r="AD11" s="122"/>
      <c r="AE11" s="122"/>
      <c r="AF11" s="122"/>
      <c r="AG11" s="113"/>
      <c r="AH11" s="122"/>
      <c r="AI11" s="122"/>
      <c r="AJ11" s="122"/>
      <c r="AK11" s="122"/>
      <c r="AL11" s="122"/>
      <c r="AM11" s="122"/>
      <c r="AN11" s="122"/>
      <c r="AO11" s="122"/>
      <c r="AP11" s="122"/>
      <c r="AQ11" s="113"/>
      <c r="AR11" s="122"/>
      <c r="AS11" s="122"/>
      <c r="AT11" s="122"/>
      <c r="AU11" s="122"/>
      <c r="AV11" s="122"/>
      <c r="AW11" s="122"/>
      <c r="AX11" s="122"/>
      <c r="AY11" s="122"/>
      <c r="AZ11" s="122"/>
      <c r="BA11" s="113"/>
      <c r="BB11" s="122"/>
      <c r="BC11" s="122"/>
      <c r="BD11" s="122"/>
      <c r="BE11" s="122"/>
      <c r="BF11" s="122"/>
      <c r="BG11" s="122"/>
      <c r="BH11" s="122"/>
      <c r="BI11" s="122"/>
      <c r="BJ11" s="122"/>
      <c r="BK11" s="113"/>
      <c r="BL11" s="122"/>
      <c r="BM11" s="122"/>
      <c r="BN11" s="122"/>
      <c r="BO11" s="122"/>
      <c r="BP11" s="122"/>
      <c r="BQ11" s="122"/>
      <c r="BR11" s="122"/>
      <c r="BS11" s="122"/>
      <c r="BT11" s="122"/>
      <c r="BU11" s="113"/>
      <c r="BV11" s="122"/>
      <c r="BW11" s="120">
        <v>1.0</v>
      </c>
      <c r="BX11" s="122"/>
      <c r="BY11" s="122"/>
      <c r="BZ11" s="122"/>
      <c r="CA11" s="122"/>
      <c r="CB11" s="122"/>
      <c r="CC11" s="120">
        <v>1.0</v>
      </c>
      <c r="CD11" s="122"/>
      <c r="CE11" s="113"/>
      <c r="CF11" s="122"/>
      <c r="CG11" s="122"/>
      <c r="CH11" s="122"/>
      <c r="CI11" s="122"/>
      <c r="CJ11" s="122"/>
      <c r="CK11" s="122"/>
      <c r="CL11" s="122"/>
      <c r="CM11" s="122"/>
      <c r="CN11" s="122"/>
      <c r="CO11" s="113"/>
      <c r="CP11" s="122"/>
      <c r="CQ11" s="122"/>
      <c r="CR11" s="122"/>
      <c r="CS11" s="122"/>
      <c r="CT11" s="122"/>
      <c r="CU11" s="122"/>
      <c r="CV11" s="122"/>
      <c r="CW11" s="122"/>
      <c r="CX11" s="123"/>
    </row>
    <row r="12" ht="35.25" customHeight="1">
      <c r="A12" s="125"/>
      <c r="B12" s="126">
        <v>45931.0</v>
      </c>
      <c r="C12" s="127">
        <v>4.0</v>
      </c>
      <c r="D12" s="128">
        <v>4.0</v>
      </c>
      <c r="E12" s="128">
        <v>4.0</v>
      </c>
      <c r="F12" s="128">
        <v>2.0</v>
      </c>
      <c r="G12" s="128">
        <v>4.0</v>
      </c>
      <c r="H12" s="128">
        <v>3.0</v>
      </c>
      <c r="I12" s="128">
        <v>3.0</v>
      </c>
      <c r="J12" s="128">
        <v>6.0</v>
      </c>
      <c r="K12" s="128">
        <v>5.0</v>
      </c>
      <c r="L12" s="129"/>
      <c r="M12" s="130"/>
      <c r="N12" s="131"/>
      <c r="O12" s="132"/>
      <c r="P12" s="132"/>
      <c r="Q12" s="132"/>
      <c r="R12" s="132"/>
      <c r="S12" s="132"/>
      <c r="T12" s="132"/>
      <c r="U12" s="132"/>
      <c r="V12" s="132"/>
      <c r="W12" s="130"/>
      <c r="X12" s="132"/>
      <c r="Y12" s="132"/>
      <c r="Z12" s="132"/>
      <c r="AA12" s="132"/>
      <c r="AB12" s="132"/>
      <c r="AC12" s="132"/>
      <c r="AD12" s="132"/>
      <c r="AE12" s="132"/>
      <c r="AF12" s="132"/>
      <c r="AG12" s="130"/>
      <c r="AH12" s="132"/>
      <c r="AI12" s="132"/>
      <c r="AJ12" s="132"/>
      <c r="AK12" s="132"/>
      <c r="AL12" s="132"/>
      <c r="AM12" s="128">
        <v>1.0</v>
      </c>
      <c r="AN12" s="132"/>
      <c r="AO12" s="132"/>
      <c r="AP12" s="132"/>
      <c r="AQ12" s="130"/>
      <c r="AR12" s="132"/>
      <c r="AS12" s="132"/>
      <c r="AT12" s="132"/>
      <c r="AU12" s="132"/>
      <c r="AV12" s="132"/>
      <c r="AW12" s="128">
        <v>1.0</v>
      </c>
      <c r="AX12" s="132"/>
      <c r="AY12" s="132"/>
      <c r="AZ12" s="132"/>
      <c r="BA12" s="127">
        <v>1.0</v>
      </c>
      <c r="BB12" s="132"/>
      <c r="BC12" s="132"/>
      <c r="BD12" s="132"/>
      <c r="BE12" s="128">
        <v>1.0</v>
      </c>
      <c r="BF12" s="128">
        <v>1.0</v>
      </c>
      <c r="BG12" s="128">
        <v>1.0</v>
      </c>
      <c r="BH12" s="128">
        <v>2.0</v>
      </c>
      <c r="BI12" s="132"/>
      <c r="BJ12" s="128">
        <v>1.0</v>
      </c>
      <c r="BK12" s="130"/>
      <c r="BL12" s="132"/>
      <c r="BM12" s="132"/>
      <c r="BN12" s="132"/>
      <c r="BO12" s="132"/>
      <c r="BP12" s="132"/>
      <c r="BQ12" s="132"/>
      <c r="BR12" s="132"/>
      <c r="BS12" s="132"/>
      <c r="BT12" s="132"/>
      <c r="BU12" s="130"/>
      <c r="BV12" s="132"/>
      <c r="BW12" s="132"/>
      <c r="BX12" s="132"/>
      <c r="BY12" s="132"/>
      <c r="BZ12" s="132"/>
      <c r="CA12" s="128"/>
      <c r="CB12" s="132"/>
      <c r="CC12" s="132"/>
      <c r="CD12" s="128">
        <v>1.0</v>
      </c>
      <c r="CE12" s="130"/>
      <c r="CF12" s="132"/>
      <c r="CG12" s="132"/>
      <c r="CH12" s="132"/>
      <c r="CI12" s="132"/>
      <c r="CJ12" s="132"/>
      <c r="CK12" s="132"/>
      <c r="CL12" s="132"/>
      <c r="CM12" s="132"/>
      <c r="CN12" s="132"/>
      <c r="CO12" s="130"/>
      <c r="CP12" s="132"/>
      <c r="CQ12" s="132"/>
      <c r="CR12" s="132"/>
      <c r="CS12" s="132"/>
      <c r="CT12" s="132"/>
      <c r="CU12" s="132"/>
      <c r="CV12" s="132"/>
      <c r="CW12" s="132"/>
      <c r="CX12" s="133"/>
    </row>
    <row r="13" ht="35.25" customHeight="1">
      <c r="A13" s="134" t="s">
        <v>2936</v>
      </c>
      <c r="B13" s="124">
        <v>45659.0</v>
      </c>
      <c r="C13" s="114"/>
      <c r="D13" s="115"/>
      <c r="E13" s="115"/>
      <c r="F13" s="115"/>
      <c r="G13" s="115"/>
      <c r="H13" s="115"/>
      <c r="I13" s="115"/>
      <c r="J13" s="115"/>
      <c r="K13" s="115"/>
      <c r="L13" s="135"/>
      <c r="M13" s="111"/>
      <c r="N13" s="112">
        <v>4.0</v>
      </c>
      <c r="O13" s="112">
        <v>1.0</v>
      </c>
      <c r="P13" s="112">
        <v>2.0</v>
      </c>
      <c r="Q13" s="112">
        <v>7.0</v>
      </c>
      <c r="R13" s="112">
        <v>7.0</v>
      </c>
      <c r="S13" s="112">
        <v>3.0</v>
      </c>
      <c r="T13" s="112">
        <v>3.0</v>
      </c>
      <c r="U13" s="112">
        <v>9.0</v>
      </c>
      <c r="V13" s="112">
        <v>3.0</v>
      </c>
      <c r="W13" s="116">
        <v>1.0</v>
      </c>
      <c r="X13" s="115"/>
      <c r="Y13" s="115"/>
      <c r="Z13" s="115"/>
      <c r="AA13" s="112">
        <v>1.0</v>
      </c>
      <c r="AB13" s="112">
        <v>1.0</v>
      </c>
      <c r="AC13" s="115"/>
      <c r="AD13" s="115"/>
      <c r="AE13" s="115"/>
      <c r="AF13" s="112">
        <v>1.0</v>
      </c>
      <c r="AG13" s="113"/>
      <c r="AH13" s="115"/>
      <c r="AI13" s="115"/>
      <c r="AJ13" s="115"/>
      <c r="AK13" s="115"/>
      <c r="AL13" s="115"/>
      <c r="AM13" s="115"/>
      <c r="AN13" s="115"/>
      <c r="AO13" s="115"/>
      <c r="AP13" s="115"/>
      <c r="AQ13" s="113"/>
      <c r="AR13" s="115"/>
      <c r="AS13" s="115"/>
      <c r="AT13" s="115"/>
      <c r="AU13" s="115"/>
      <c r="AV13" s="112">
        <v>1.0</v>
      </c>
      <c r="AW13" s="115"/>
      <c r="AX13" s="115"/>
      <c r="AY13" s="115"/>
      <c r="AZ13" s="115"/>
      <c r="BA13" s="113"/>
      <c r="BB13" s="115"/>
      <c r="BC13" s="115"/>
      <c r="BD13" s="115"/>
      <c r="BE13" s="115"/>
      <c r="BF13" s="115"/>
      <c r="BG13" s="115"/>
      <c r="BH13" s="115"/>
      <c r="BI13" s="115"/>
      <c r="BJ13" s="115"/>
      <c r="BK13" s="113"/>
      <c r="BL13" s="115"/>
      <c r="BM13" s="115"/>
      <c r="BN13" s="115"/>
      <c r="BO13" s="115"/>
      <c r="BP13" s="115"/>
      <c r="BQ13" s="115"/>
      <c r="BR13" s="115"/>
      <c r="BS13" s="115"/>
      <c r="BT13" s="115"/>
      <c r="BU13" s="113"/>
      <c r="BV13" s="115"/>
      <c r="BW13" s="115"/>
      <c r="BX13" s="115"/>
      <c r="BY13" s="115"/>
      <c r="BZ13" s="115"/>
      <c r="CA13" s="115"/>
      <c r="CB13" s="115"/>
      <c r="CC13" s="115"/>
      <c r="CD13" s="115"/>
      <c r="CE13" s="113"/>
      <c r="CF13" s="115"/>
      <c r="CG13" s="115"/>
      <c r="CH13" s="115"/>
      <c r="CI13" s="115"/>
      <c r="CJ13" s="115"/>
      <c r="CK13" s="115"/>
      <c r="CL13" s="115"/>
      <c r="CM13" s="115"/>
      <c r="CN13" s="115"/>
      <c r="CO13" s="113"/>
      <c r="CP13" s="115"/>
      <c r="CQ13" s="115"/>
      <c r="CR13" s="115"/>
      <c r="CS13" s="115"/>
      <c r="CT13" s="115"/>
      <c r="CU13" s="115"/>
      <c r="CV13" s="115"/>
      <c r="CW13" s="115"/>
      <c r="CX13" s="117"/>
    </row>
    <row r="14" ht="35.25" customHeight="1">
      <c r="B14" s="124">
        <v>45690.0</v>
      </c>
      <c r="C14" s="121"/>
      <c r="D14" s="122"/>
      <c r="E14" s="122"/>
      <c r="F14" s="122"/>
      <c r="G14" s="122"/>
      <c r="H14" s="122"/>
      <c r="I14" s="122"/>
      <c r="J14" s="122"/>
      <c r="K14" s="122"/>
      <c r="L14" s="136"/>
      <c r="M14" s="116">
        <v>4.0</v>
      </c>
      <c r="N14" s="119"/>
      <c r="O14" s="120">
        <v>4.0</v>
      </c>
      <c r="P14" s="120">
        <v>4.0</v>
      </c>
      <c r="Q14" s="120">
        <v>6.0</v>
      </c>
      <c r="R14" s="120">
        <v>6.0</v>
      </c>
      <c r="S14" s="120">
        <v>6.0</v>
      </c>
      <c r="T14" s="120">
        <v>4.0</v>
      </c>
      <c r="U14" s="120">
        <v>4.0</v>
      </c>
      <c r="V14" s="120">
        <v>4.0</v>
      </c>
      <c r="W14" s="113"/>
      <c r="X14" s="122"/>
      <c r="Y14" s="122"/>
      <c r="Z14" s="122"/>
      <c r="AA14" s="122"/>
      <c r="AB14" s="122"/>
      <c r="AC14" s="122"/>
      <c r="AD14" s="122"/>
      <c r="AE14" s="122"/>
      <c r="AF14" s="122"/>
      <c r="AG14" s="113"/>
      <c r="AH14" s="122"/>
      <c r="AI14" s="122"/>
      <c r="AJ14" s="122"/>
      <c r="AK14" s="122"/>
      <c r="AL14" s="122"/>
      <c r="AM14" s="122"/>
      <c r="AN14" s="122"/>
      <c r="AO14" s="122"/>
      <c r="AP14" s="122"/>
      <c r="AQ14" s="113"/>
      <c r="AR14" s="122"/>
      <c r="AS14" s="122"/>
      <c r="AT14" s="122"/>
      <c r="AU14" s="120">
        <v>1.0</v>
      </c>
      <c r="AV14" s="122"/>
      <c r="AW14" s="120">
        <v>2.0</v>
      </c>
      <c r="AX14" s="122"/>
      <c r="AY14" s="122"/>
      <c r="AZ14" s="122"/>
      <c r="BA14" s="113"/>
      <c r="BB14" s="122"/>
      <c r="BC14" s="122"/>
      <c r="BD14" s="122"/>
      <c r="BE14" s="122"/>
      <c r="BF14" s="122"/>
      <c r="BG14" s="122"/>
      <c r="BH14" s="122"/>
      <c r="BI14" s="122"/>
      <c r="BJ14" s="122"/>
      <c r="BK14" s="113"/>
      <c r="BL14" s="122"/>
      <c r="BM14" s="122"/>
      <c r="BN14" s="122"/>
      <c r="BO14" s="122"/>
      <c r="BP14" s="122"/>
      <c r="BQ14" s="122"/>
      <c r="BR14" s="122"/>
      <c r="BS14" s="122"/>
      <c r="BT14" s="122"/>
      <c r="BU14" s="113"/>
      <c r="BV14" s="122"/>
      <c r="BW14" s="120">
        <v>1.0</v>
      </c>
      <c r="BX14" s="122"/>
      <c r="BY14" s="122"/>
      <c r="BZ14" s="122"/>
      <c r="CA14" s="122"/>
      <c r="CB14" s="122"/>
      <c r="CC14" s="122"/>
      <c r="CD14" s="122"/>
      <c r="CE14" s="113"/>
      <c r="CF14" s="120">
        <v>1.0</v>
      </c>
      <c r="CG14" s="122"/>
      <c r="CH14" s="120">
        <v>1.0</v>
      </c>
      <c r="CI14" s="120">
        <v>1.0</v>
      </c>
      <c r="CJ14" s="122"/>
      <c r="CK14" s="120">
        <v>1.0</v>
      </c>
      <c r="CL14" s="122"/>
      <c r="CM14" s="122"/>
      <c r="CN14" s="122"/>
      <c r="CO14" s="113"/>
      <c r="CP14" s="122"/>
      <c r="CQ14" s="122"/>
      <c r="CR14" s="122"/>
      <c r="CS14" s="122"/>
      <c r="CT14" s="122"/>
      <c r="CU14" s="122"/>
      <c r="CV14" s="122"/>
      <c r="CW14" s="122"/>
      <c r="CX14" s="123"/>
    </row>
    <row r="15" ht="35.25" customHeight="1">
      <c r="B15" s="124">
        <v>45718.0</v>
      </c>
      <c r="C15" s="121"/>
      <c r="D15" s="122"/>
      <c r="E15" s="122"/>
      <c r="F15" s="122"/>
      <c r="G15" s="122"/>
      <c r="H15" s="122"/>
      <c r="I15" s="122"/>
      <c r="J15" s="122"/>
      <c r="K15" s="122"/>
      <c r="L15" s="136"/>
      <c r="M15" s="116">
        <v>1.0</v>
      </c>
      <c r="N15" s="120">
        <v>4.0</v>
      </c>
      <c r="O15" s="119"/>
      <c r="P15" s="120">
        <v>6.0</v>
      </c>
      <c r="Q15" s="120">
        <v>3.0</v>
      </c>
      <c r="R15" s="120">
        <v>1.0</v>
      </c>
      <c r="S15" s="120">
        <v>7.0</v>
      </c>
      <c r="T15" s="120">
        <v>6.0</v>
      </c>
      <c r="U15" s="120">
        <v>4.0</v>
      </c>
      <c r="V15" s="120">
        <v>5.0</v>
      </c>
      <c r="W15" s="113"/>
      <c r="X15" s="122"/>
      <c r="Y15" s="122"/>
      <c r="Z15" s="122"/>
      <c r="AA15" s="122"/>
      <c r="AB15" s="122"/>
      <c r="AC15" s="122"/>
      <c r="AD15" s="122"/>
      <c r="AE15" s="122"/>
      <c r="AF15" s="122"/>
      <c r="AG15" s="113"/>
      <c r="AH15" s="122"/>
      <c r="AI15" s="122"/>
      <c r="AJ15" s="122"/>
      <c r="AK15" s="122"/>
      <c r="AL15" s="122"/>
      <c r="AM15" s="122"/>
      <c r="AN15" s="122"/>
      <c r="AO15" s="122"/>
      <c r="AP15" s="122"/>
      <c r="AQ15" s="113"/>
      <c r="AR15" s="122"/>
      <c r="AS15" s="122"/>
      <c r="AT15" s="122"/>
      <c r="AU15" s="122"/>
      <c r="AV15" s="122"/>
      <c r="AW15" s="120">
        <v>1.0</v>
      </c>
      <c r="AX15" s="122"/>
      <c r="AY15" s="122"/>
      <c r="AZ15" s="122"/>
      <c r="BA15" s="113"/>
      <c r="BB15" s="122"/>
      <c r="BC15" s="122"/>
      <c r="BD15" s="122"/>
      <c r="BE15" s="122"/>
      <c r="BF15" s="122"/>
      <c r="BG15" s="122"/>
      <c r="BH15" s="122"/>
      <c r="BI15" s="122"/>
      <c r="BJ15" s="122"/>
      <c r="BK15" s="113"/>
      <c r="BL15" s="122"/>
      <c r="BM15" s="122"/>
      <c r="BN15" s="122"/>
      <c r="BO15" s="122"/>
      <c r="BP15" s="122"/>
      <c r="BQ15" s="122"/>
      <c r="BR15" s="122"/>
      <c r="BS15" s="122"/>
      <c r="BT15" s="122"/>
      <c r="BU15" s="113"/>
      <c r="BV15" s="122"/>
      <c r="BW15" s="120">
        <v>1.0</v>
      </c>
      <c r="BX15" s="122"/>
      <c r="BY15" s="122"/>
      <c r="BZ15" s="122"/>
      <c r="CA15" s="122"/>
      <c r="CB15" s="122"/>
      <c r="CC15" s="122"/>
      <c r="CD15" s="122"/>
      <c r="CE15" s="113"/>
      <c r="CF15" s="122"/>
      <c r="CG15" s="122"/>
      <c r="CH15" s="122"/>
      <c r="CI15" s="122"/>
      <c r="CJ15" s="122"/>
      <c r="CK15" s="122"/>
      <c r="CL15" s="122"/>
      <c r="CM15" s="122"/>
      <c r="CN15" s="122"/>
      <c r="CO15" s="113"/>
      <c r="CP15" s="122"/>
      <c r="CQ15" s="122"/>
      <c r="CR15" s="122"/>
      <c r="CS15" s="122"/>
      <c r="CT15" s="122"/>
      <c r="CU15" s="122"/>
      <c r="CV15" s="122"/>
      <c r="CW15" s="122"/>
      <c r="CX15" s="123"/>
    </row>
    <row r="16" ht="35.25" customHeight="1">
      <c r="B16" s="124">
        <v>45749.0</v>
      </c>
      <c r="C16" s="121"/>
      <c r="D16" s="122"/>
      <c r="E16" s="122"/>
      <c r="F16" s="122"/>
      <c r="G16" s="122"/>
      <c r="H16" s="122"/>
      <c r="I16" s="122"/>
      <c r="J16" s="122"/>
      <c r="K16" s="122"/>
      <c r="L16" s="136"/>
      <c r="M16" s="116">
        <v>2.0</v>
      </c>
      <c r="N16" s="120">
        <v>4.0</v>
      </c>
      <c r="O16" s="120">
        <v>6.0</v>
      </c>
      <c r="P16" s="119"/>
      <c r="Q16" s="120">
        <v>4.0</v>
      </c>
      <c r="R16" s="120">
        <v>2.0</v>
      </c>
      <c r="S16" s="120">
        <v>9.0</v>
      </c>
      <c r="T16" s="120">
        <v>3.0</v>
      </c>
      <c r="U16" s="120">
        <v>6.0</v>
      </c>
      <c r="V16" s="120">
        <v>3.0</v>
      </c>
      <c r="W16" s="113"/>
      <c r="X16" s="122"/>
      <c r="Y16" s="122"/>
      <c r="Z16" s="122"/>
      <c r="AA16" s="122"/>
      <c r="AB16" s="122"/>
      <c r="AC16" s="122"/>
      <c r="AD16" s="122"/>
      <c r="AE16" s="122"/>
      <c r="AF16" s="122"/>
      <c r="AG16" s="113"/>
      <c r="AH16" s="122"/>
      <c r="AI16" s="122"/>
      <c r="AJ16" s="122"/>
      <c r="AK16" s="122"/>
      <c r="AL16" s="122"/>
      <c r="AM16" s="122"/>
      <c r="AN16" s="122"/>
      <c r="AO16" s="122"/>
      <c r="AP16" s="122"/>
      <c r="AQ16" s="113"/>
      <c r="AR16" s="122"/>
      <c r="AS16" s="122"/>
      <c r="AT16" s="122"/>
      <c r="AU16" s="120">
        <v>1.0</v>
      </c>
      <c r="AV16" s="122"/>
      <c r="AW16" s="120">
        <v>1.0</v>
      </c>
      <c r="AX16" s="122"/>
      <c r="AY16" s="122"/>
      <c r="AZ16" s="122"/>
      <c r="BA16" s="113"/>
      <c r="BB16" s="122"/>
      <c r="BC16" s="122"/>
      <c r="BD16" s="122"/>
      <c r="BE16" s="122"/>
      <c r="BF16" s="122"/>
      <c r="BG16" s="122"/>
      <c r="BH16" s="122"/>
      <c r="BI16" s="122"/>
      <c r="BJ16" s="122"/>
      <c r="BK16" s="113"/>
      <c r="BL16" s="122"/>
      <c r="BM16" s="122"/>
      <c r="BN16" s="122"/>
      <c r="BO16" s="122"/>
      <c r="BP16" s="122"/>
      <c r="BQ16" s="122"/>
      <c r="BR16" s="122"/>
      <c r="BS16" s="122"/>
      <c r="BT16" s="122"/>
      <c r="BU16" s="113"/>
      <c r="BV16" s="122"/>
      <c r="BW16" s="122"/>
      <c r="BX16" s="122"/>
      <c r="BY16" s="122"/>
      <c r="BZ16" s="122"/>
      <c r="CA16" s="122"/>
      <c r="CB16" s="122"/>
      <c r="CC16" s="122"/>
      <c r="CD16" s="122"/>
      <c r="CE16" s="113"/>
      <c r="CF16" s="120">
        <v>1.0</v>
      </c>
      <c r="CG16" s="122"/>
      <c r="CH16" s="120">
        <v>1.0</v>
      </c>
      <c r="CI16" s="120">
        <v>1.0</v>
      </c>
      <c r="CJ16" s="122"/>
      <c r="CK16" s="120">
        <v>1.0</v>
      </c>
      <c r="CL16" s="122"/>
      <c r="CM16" s="122"/>
      <c r="CN16" s="122"/>
      <c r="CO16" s="113"/>
      <c r="CP16" s="122"/>
      <c r="CQ16" s="122"/>
      <c r="CR16" s="120">
        <v>1.0</v>
      </c>
      <c r="CS16" s="122"/>
      <c r="CT16" s="122"/>
      <c r="CU16" s="120">
        <v>1.0</v>
      </c>
      <c r="CV16" s="120">
        <v>1.0</v>
      </c>
      <c r="CW16" s="122"/>
      <c r="CX16" s="123"/>
    </row>
    <row r="17" ht="35.25" customHeight="1">
      <c r="B17" s="124">
        <v>45779.0</v>
      </c>
      <c r="C17" s="121"/>
      <c r="D17" s="122"/>
      <c r="E17" s="122"/>
      <c r="F17" s="122"/>
      <c r="G17" s="122"/>
      <c r="H17" s="122"/>
      <c r="I17" s="122"/>
      <c r="J17" s="122"/>
      <c r="K17" s="122"/>
      <c r="L17" s="136"/>
      <c r="M17" s="116">
        <v>7.0</v>
      </c>
      <c r="N17" s="120">
        <v>6.0</v>
      </c>
      <c r="O17" s="120">
        <v>3.0</v>
      </c>
      <c r="P17" s="120">
        <v>4.0</v>
      </c>
      <c r="Q17" s="119"/>
      <c r="R17" s="120">
        <v>5.0</v>
      </c>
      <c r="S17" s="120">
        <v>3.0</v>
      </c>
      <c r="T17" s="120">
        <v>9.0</v>
      </c>
      <c r="U17" s="120">
        <v>5.0</v>
      </c>
      <c r="V17" s="120">
        <v>3.0</v>
      </c>
      <c r="W17" s="116">
        <v>1.0</v>
      </c>
      <c r="X17" s="122"/>
      <c r="Y17" s="122"/>
      <c r="Z17" s="122"/>
      <c r="AA17" s="120">
        <v>1.0</v>
      </c>
      <c r="AB17" s="120">
        <v>1.0</v>
      </c>
      <c r="AC17" s="122"/>
      <c r="AD17" s="122"/>
      <c r="AE17" s="122"/>
      <c r="AF17" s="120">
        <v>1.0</v>
      </c>
      <c r="AG17" s="113"/>
      <c r="AH17" s="122"/>
      <c r="AI17" s="122"/>
      <c r="AJ17" s="122"/>
      <c r="AK17" s="122"/>
      <c r="AL17" s="122"/>
      <c r="AM17" s="122"/>
      <c r="AN17" s="122"/>
      <c r="AO17" s="122"/>
      <c r="AP17" s="122"/>
      <c r="AQ17" s="113"/>
      <c r="AR17" s="122"/>
      <c r="AS17" s="122"/>
      <c r="AT17" s="122"/>
      <c r="AU17" s="120">
        <v>1.0</v>
      </c>
      <c r="AV17" s="122"/>
      <c r="AW17" s="120">
        <v>1.0</v>
      </c>
      <c r="AX17" s="122"/>
      <c r="AY17" s="122"/>
      <c r="AZ17" s="122"/>
      <c r="BA17" s="113"/>
      <c r="BB17" s="122"/>
      <c r="BC17" s="122"/>
      <c r="BD17" s="122"/>
      <c r="BE17" s="122"/>
      <c r="BF17" s="122"/>
      <c r="BG17" s="122"/>
      <c r="BH17" s="122"/>
      <c r="BI17" s="122"/>
      <c r="BJ17" s="122"/>
      <c r="BK17" s="113"/>
      <c r="BL17" s="122"/>
      <c r="BM17" s="122"/>
      <c r="BN17" s="122"/>
      <c r="BO17" s="122"/>
      <c r="BP17" s="122"/>
      <c r="BQ17" s="122"/>
      <c r="BR17" s="122"/>
      <c r="BS17" s="122"/>
      <c r="BT17" s="122"/>
      <c r="BU17" s="113"/>
      <c r="BV17" s="122"/>
      <c r="BW17" s="122"/>
      <c r="BX17" s="122"/>
      <c r="BY17" s="122"/>
      <c r="BZ17" s="122"/>
      <c r="CA17" s="122"/>
      <c r="CB17" s="122"/>
      <c r="CC17" s="122"/>
      <c r="CD17" s="122"/>
      <c r="CE17" s="113"/>
      <c r="CF17" s="120">
        <v>1.0</v>
      </c>
      <c r="CG17" s="122"/>
      <c r="CH17" s="120">
        <v>1.0</v>
      </c>
      <c r="CI17" s="120">
        <v>1.0</v>
      </c>
      <c r="CJ17" s="122"/>
      <c r="CK17" s="120">
        <v>1.0</v>
      </c>
      <c r="CL17" s="122"/>
      <c r="CM17" s="122"/>
      <c r="CN17" s="122"/>
      <c r="CO17" s="113"/>
      <c r="CP17" s="122"/>
      <c r="CQ17" s="122"/>
      <c r="CR17" s="122"/>
      <c r="CS17" s="122"/>
      <c r="CT17" s="122"/>
      <c r="CU17" s="122"/>
      <c r="CV17" s="122"/>
      <c r="CW17" s="122"/>
      <c r="CX17" s="123"/>
    </row>
    <row r="18" ht="35.25" customHeight="1">
      <c r="B18" s="124">
        <v>45810.0</v>
      </c>
      <c r="C18" s="121"/>
      <c r="D18" s="122"/>
      <c r="E18" s="122"/>
      <c r="F18" s="122"/>
      <c r="G18" s="122"/>
      <c r="H18" s="122"/>
      <c r="I18" s="122"/>
      <c r="J18" s="122"/>
      <c r="K18" s="122"/>
      <c r="L18" s="136"/>
      <c r="M18" s="116">
        <v>7.0</v>
      </c>
      <c r="N18" s="120">
        <v>6.0</v>
      </c>
      <c r="O18" s="120">
        <v>1.0</v>
      </c>
      <c r="P18" s="120">
        <v>2.0</v>
      </c>
      <c r="Q18" s="120">
        <v>5.0</v>
      </c>
      <c r="R18" s="119"/>
      <c r="S18" s="120">
        <v>4.0</v>
      </c>
      <c r="T18" s="120">
        <v>5.0</v>
      </c>
      <c r="U18" s="120">
        <v>3.0</v>
      </c>
      <c r="V18" s="120">
        <v>3.0</v>
      </c>
      <c r="W18" s="116">
        <v>1.0</v>
      </c>
      <c r="X18" s="122"/>
      <c r="Y18" s="122"/>
      <c r="Z18" s="122"/>
      <c r="AA18" s="120">
        <v>1.0</v>
      </c>
      <c r="AB18" s="120">
        <v>1.0</v>
      </c>
      <c r="AC18" s="122"/>
      <c r="AD18" s="122"/>
      <c r="AE18" s="122"/>
      <c r="AF18" s="120">
        <v>1.0</v>
      </c>
      <c r="AG18" s="113"/>
      <c r="AH18" s="122"/>
      <c r="AI18" s="122"/>
      <c r="AJ18" s="122"/>
      <c r="AK18" s="122"/>
      <c r="AL18" s="122"/>
      <c r="AM18" s="122"/>
      <c r="AN18" s="122"/>
      <c r="AO18" s="122"/>
      <c r="AP18" s="122"/>
      <c r="AQ18" s="113"/>
      <c r="AR18" s="122"/>
      <c r="AS18" s="122"/>
      <c r="AT18" s="122"/>
      <c r="AU18" s="122"/>
      <c r="AV18" s="120">
        <v>1.0</v>
      </c>
      <c r="AW18" s="122"/>
      <c r="AX18" s="122"/>
      <c r="AY18" s="122"/>
      <c r="AZ18" s="122"/>
      <c r="BA18" s="113"/>
      <c r="BB18" s="122"/>
      <c r="BC18" s="122"/>
      <c r="BD18" s="122"/>
      <c r="BE18" s="122"/>
      <c r="BF18" s="122"/>
      <c r="BG18" s="122"/>
      <c r="BH18" s="122"/>
      <c r="BI18" s="122"/>
      <c r="BJ18" s="122"/>
      <c r="BK18" s="113"/>
      <c r="BL18" s="122"/>
      <c r="BM18" s="122"/>
      <c r="BN18" s="122"/>
      <c r="BO18" s="122"/>
      <c r="BP18" s="122"/>
      <c r="BQ18" s="122"/>
      <c r="BR18" s="122"/>
      <c r="BS18" s="122"/>
      <c r="BT18" s="122"/>
      <c r="BU18" s="113"/>
      <c r="BV18" s="122"/>
      <c r="BW18" s="122"/>
      <c r="BX18" s="122"/>
      <c r="BY18" s="122"/>
      <c r="BZ18" s="122"/>
      <c r="CA18" s="122"/>
      <c r="CB18" s="122"/>
      <c r="CC18" s="122"/>
      <c r="CD18" s="122"/>
      <c r="CE18" s="113"/>
      <c r="CF18" s="122"/>
      <c r="CG18" s="122"/>
      <c r="CH18" s="122"/>
      <c r="CI18" s="122"/>
      <c r="CJ18" s="122"/>
      <c r="CK18" s="122"/>
      <c r="CL18" s="122"/>
      <c r="CM18" s="122"/>
      <c r="CN18" s="122"/>
      <c r="CO18" s="113"/>
      <c r="CP18" s="122"/>
      <c r="CQ18" s="122"/>
      <c r="CR18" s="122"/>
      <c r="CS18" s="122"/>
      <c r="CT18" s="122"/>
      <c r="CU18" s="122"/>
      <c r="CV18" s="122"/>
      <c r="CW18" s="122"/>
      <c r="CX18" s="123"/>
    </row>
    <row r="19" ht="35.25" customHeight="1">
      <c r="B19" s="124">
        <v>45840.0</v>
      </c>
      <c r="C19" s="121"/>
      <c r="D19" s="122"/>
      <c r="E19" s="122"/>
      <c r="F19" s="122"/>
      <c r="G19" s="122"/>
      <c r="H19" s="122"/>
      <c r="I19" s="122"/>
      <c r="J19" s="122"/>
      <c r="K19" s="122"/>
      <c r="L19" s="136"/>
      <c r="M19" s="116">
        <v>3.0</v>
      </c>
      <c r="N19" s="120">
        <v>6.0</v>
      </c>
      <c r="O19" s="120">
        <v>7.0</v>
      </c>
      <c r="P19" s="120">
        <v>9.0</v>
      </c>
      <c r="Q19" s="120">
        <v>3.0</v>
      </c>
      <c r="R19" s="120">
        <v>4.0</v>
      </c>
      <c r="S19" s="119"/>
      <c r="T19" s="120">
        <v>4.0</v>
      </c>
      <c r="U19" s="120">
        <v>4.0</v>
      </c>
      <c r="V19" s="120">
        <v>4.0</v>
      </c>
      <c r="W19" s="113"/>
      <c r="X19" s="122"/>
      <c r="Y19" s="122"/>
      <c r="Z19" s="122"/>
      <c r="AA19" s="122"/>
      <c r="AB19" s="122"/>
      <c r="AC19" s="122"/>
      <c r="AD19" s="122"/>
      <c r="AE19" s="122"/>
      <c r="AF19" s="122"/>
      <c r="AG19" s="113"/>
      <c r="AH19" s="122"/>
      <c r="AI19" s="122"/>
      <c r="AJ19" s="122"/>
      <c r="AK19" s="122"/>
      <c r="AL19" s="122"/>
      <c r="AM19" s="122"/>
      <c r="AN19" s="122"/>
      <c r="AO19" s="122"/>
      <c r="AP19" s="122"/>
      <c r="AQ19" s="113"/>
      <c r="AR19" s="122"/>
      <c r="AS19" s="122"/>
      <c r="AT19" s="122"/>
      <c r="AU19" s="120">
        <v>1.0</v>
      </c>
      <c r="AV19" s="120">
        <v>1.0</v>
      </c>
      <c r="AW19" s="120">
        <v>2.0</v>
      </c>
      <c r="AX19" s="122"/>
      <c r="AY19" s="122"/>
      <c r="AZ19" s="122"/>
      <c r="BA19" s="113"/>
      <c r="BB19" s="122"/>
      <c r="BC19" s="122"/>
      <c r="BD19" s="122"/>
      <c r="BE19" s="122"/>
      <c r="BF19" s="122"/>
      <c r="BG19" s="122"/>
      <c r="BH19" s="122"/>
      <c r="BI19" s="122"/>
      <c r="BJ19" s="122"/>
      <c r="BK19" s="113"/>
      <c r="BL19" s="122"/>
      <c r="BM19" s="122"/>
      <c r="BN19" s="122"/>
      <c r="BO19" s="122"/>
      <c r="BP19" s="122"/>
      <c r="BQ19" s="122"/>
      <c r="BR19" s="122"/>
      <c r="BS19" s="122"/>
      <c r="BT19" s="122"/>
      <c r="BU19" s="113"/>
      <c r="BV19" s="122"/>
      <c r="BW19" s="120">
        <v>1.0</v>
      </c>
      <c r="BX19" s="122"/>
      <c r="BY19" s="122"/>
      <c r="BZ19" s="122"/>
      <c r="CA19" s="122"/>
      <c r="CB19" s="122"/>
      <c r="CC19" s="122"/>
      <c r="CD19" s="122"/>
      <c r="CE19" s="113"/>
      <c r="CF19" s="120">
        <v>1.0</v>
      </c>
      <c r="CG19" s="122"/>
      <c r="CH19" s="120">
        <v>2.0</v>
      </c>
      <c r="CI19" s="120">
        <v>1.0</v>
      </c>
      <c r="CJ19" s="122"/>
      <c r="CK19" s="120">
        <v>2.0</v>
      </c>
      <c r="CL19" s="120">
        <v>1.0</v>
      </c>
      <c r="CM19" s="122"/>
      <c r="CN19" s="122"/>
      <c r="CO19" s="113"/>
      <c r="CP19" s="122"/>
      <c r="CQ19" s="122"/>
      <c r="CR19" s="122"/>
      <c r="CS19" s="122"/>
      <c r="CT19" s="122"/>
      <c r="CU19" s="122"/>
      <c r="CV19" s="122"/>
      <c r="CW19" s="122"/>
      <c r="CX19" s="123"/>
    </row>
    <row r="20" ht="35.25" customHeight="1">
      <c r="B20" s="124">
        <v>45871.0</v>
      </c>
      <c r="C20" s="121"/>
      <c r="D20" s="122"/>
      <c r="E20" s="122"/>
      <c r="F20" s="122"/>
      <c r="G20" s="122"/>
      <c r="H20" s="122"/>
      <c r="I20" s="122"/>
      <c r="J20" s="122"/>
      <c r="K20" s="122"/>
      <c r="L20" s="136"/>
      <c r="M20" s="116">
        <v>3.0</v>
      </c>
      <c r="N20" s="120">
        <v>4.0</v>
      </c>
      <c r="O20" s="120">
        <v>6.0</v>
      </c>
      <c r="P20" s="120">
        <v>3.0</v>
      </c>
      <c r="Q20" s="120">
        <v>9.0</v>
      </c>
      <c r="R20" s="120">
        <v>5.0</v>
      </c>
      <c r="S20" s="120">
        <v>4.0</v>
      </c>
      <c r="T20" s="119"/>
      <c r="U20" s="120">
        <v>3.0</v>
      </c>
      <c r="V20" s="120">
        <v>5.0</v>
      </c>
      <c r="W20" s="113"/>
      <c r="X20" s="122"/>
      <c r="Y20" s="122"/>
      <c r="Z20" s="122"/>
      <c r="AA20" s="122"/>
      <c r="AB20" s="122"/>
      <c r="AC20" s="122"/>
      <c r="AD20" s="122"/>
      <c r="AE20" s="122"/>
      <c r="AF20" s="122"/>
      <c r="AG20" s="113"/>
      <c r="AH20" s="122"/>
      <c r="AI20" s="122"/>
      <c r="AJ20" s="122"/>
      <c r="AK20" s="122"/>
      <c r="AL20" s="122"/>
      <c r="AM20" s="122"/>
      <c r="AN20" s="122"/>
      <c r="AO20" s="122"/>
      <c r="AP20" s="122"/>
      <c r="AQ20" s="113"/>
      <c r="AR20" s="122"/>
      <c r="AS20" s="122"/>
      <c r="AT20" s="122"/>
      <c r="AU20" s="122"/>
      <c r="AV20" s="122"/>
      <c r="AW20" s="122"/>
      <c r="AX20" s="122"/>
      <c r="AY20" s="122"/>
      <c r="AZ20" s="122"/>
      <c r="BA20" s="113"/>
      <c r="BB20" s="122"/>
      <c r="BC20" s="122"/>
      <c r="BD20" s="122"/>
      <c r="BE20" s="122"/>
      <c r="BF20" s="122"/>
      <c r="BG20" s="122"/>
      <c r="BH20" s="122"/>
      <c r="BI20" s="122"/>
      <c r="BJ20" s="122"/>
      <c r="BK20" s="113"/>
      <c r="BL20" s="122"/>
      <c r="BM20" s="122"/>
      <c r="BN20" s="122"/>
      <c r="BO20" s="122"/>
      <c r="BP20" s="122"/>
      <c r="BQ20" s="122"/>
      <c r="BR20" s="122"/>
      <c r="BS20" s="122"/>
      <c r="BT20" s="122"/>
      <c r="BU20" s="113"/>
      <c r="BV20" s="122"/>
      <c r="BW20" s="122"/>
      <c r="BX20" s="122"/>
      <c r="BY20" s="122"/>
      <c r="BZ20" s="122"/>
      <c r="CA20" s="122"/>
      <c r="CB20" s="122"/>
      <c r="CC20" s="122"/>
      <c r="CD20" s="122"/>
      <c r="CE20" s="113"/>
      <c r="CF20" s="122"/>
      <c r="CG20" s="122"/>
      <c r="CH20" s="120">
        <v>1.0</v>
      </c>
      <c r="CI20" s="122"/>
      <c r="CJ20" s="122"/>
      <c r="CK20" s="120">
        <v>1.0</v>
      </c>
      <c r="CL20" s="120">
        <v>1.0</v>
      </c>
      <c r="CM20" s="122"/>
      <c r="CN20" s="122"/>
      <c r="CO20" s="113"/>
      <c r="CP20" s="122"/>
      <c r="CQ20" s="122"/>
      <c r="CR20" s="122"/>
      <c r="CS20" s="122"/>
      <c r="CT20" s="122"/>
      <c r="CU20" s="122"/>
      <c r="CV20" s="122"/>
      <c r="CW20" s="122"/>
      <c r="CX20" s="123"/>
    </row>
    <row r="21" ht="35.25" customHeight="1">
      <c r="B21" s="124">
        <v>45902.0</v>
      </c>
      <c r="C21" s="121"/>
      <c r="D21" s="122"/>
      <c r="E21" s="122"/>
      <c r="F21" s="122"/>
      <c r="G21" s="122"/>
      <c r="H21" s="122"/>
      <c r="I21" s="122"/>
      <c r="J21" s="122"/>
      <c r="K21" s="122"/>
      <c r="L21" s="136"/>
      <c r="M21" s="116">
        <v>9.0</v>
      </c>
      <c r="N21" s="120">
        <v>4.0</v>
      </c>
      <c r="O21" s="120">
        <v>3.0</v>
      </c>
      <c r="P21" s="120">
        <v>6.0</v>
      </c>
      <c r="Q21" s="120">
        <v>5.0</v>
      </c>
      <c r="R21" s="120">
        <v>4.0</v>
      </c>
      <c r="S21" s="120">
        <v>4.0</v>
      </c>
      <c r="T21" s="120">
        <v>3.0</v>
      </c>
      <c r="U21" s="119"/>
      <c r="V21" s="120">
        <v>6.0</v>
      </c>
      <c r="W21" s="113"/>
      <c r="X21" s="122"/>
      <c r="Y21" s="122"/>
      <c r="Z21" s="122"/>
      <c r="AA21" s="122"/>
      <c r="AB21" s="122"/>
      <c r="AC21" s="122"/>
      <c r="AD21" s="122"/>
      <c r="AE21" s="122"/>
      <c r="AF21" s="122"/>
      <c r="AG21" s="113"/>
      <c r="AH21" s="122"/>
      <c r="AI21" s="122"/>
      <c r="AJ21" s="122"/>
      <c r="AK21" s="122"/>
      <c r="AL21" s="122"/>
      <c r="AM21" s="122"/>
      <c r="AN21" s="122"/>
      <c r="AO21" s="122"/>
      <c r="AP21" s="122"/>
      <c r="AQ21" s="113"/>
      <c r="AR21" s="122"/>
      <c r="AS21" s="122"/>
      <c r="AT21" s="122"/>
      <c r="AU21" s="122"/>
      <c r="AV21" s="120">
        <v>1.0</v>
      </c>
      <c r="AW21" s="122"/>
      <c r="AX21" s="122"/>
      <c r="AY21" s="122"/>
      <c r="AZ21" s="122"/>
      <c r="BA21" s="113"/>
      <c r="BB21" s="122"/>
      <c r="BC21" s="122"/>
      <c r="BD21" s="122"/>
      <c r="BE21" s="122"/>
      <c r="BF21" s="122"/>
      <c r="BG21" s="122"/>
      <c r="BH21" s="122"/>
      <c r="BI21" s="122"/>
      <c r="BJ21" s="122"/>
      <c r="BK21" s="113"/>
      <c r="BL21" s="122"/>
      <c r="BM21" s="122"/>
      <c r="BN21" s="122"/>
      <c r="BO21" s="122"/>
      <c r="BP21" s="122"/>
      <c r="BQ21" s="122"/>
      <c r="BR21" s="122"/>
      <c r="BS21" s="122"/>
      <c r="BT21" s="122"/>
      <c r="BU21" s="113"/>
      <c r="BV21" s="122"/>
      <c r="BW21" s="122"/>
      <c r="BX21" s="122"/>
      <c r="BY21" s="122"/>
      <c r="BZ21" s="122"/>
      <c r="CA21" s="122"/>
      <c r="CB21" s="122"/>
      <c r="CC21" s="122"/>
      <c r="CD21" s="122"/>
      <c r="CE21" s="113"/>
      <c r="CF21" s="122"/>
      <c r="CG21" s="122"/>
      <c r="CH21" s="122"/>
      <c r="CI21" s="122"/>
      <c r="CJ21" s="122"/>
      <c r="CK21" s="122"/>
      <c r="CL21" s="122"/>
      <c r="CM21" s="122"/>
      <c r="CN21" s="122"/>
      <c r="CO21" s="113"/>
      <c r="CP21" s="122"/>
      <c r="CQ21" s="122"/>
      <c r="CR21" s="122"/>
      <c r="CS21" s="122"/>
      <c r="CT21" s="122"/>
      <c r="CU21" s="122"/>
      <c r="CV21" s="122"/>
      <c r="CW21" s="122"/>
      <c r="CX21" s="123"/>
    </row>
    <row r="22" ht="35.25" customHeight="1">
      <c r="A22" s="125"/>
      <c r="B22" s="126">
        <v>45932.0</v>
      </c>
      <c r="C22" s="131"/>
      <c r="D22" s="132"/>
      <c r="E22" s="132"/>
      <c r="F22" s="132"/>
      <c r="G22" s="132"/>
      <c r="H22" s="132"/>
      <c r="I22" s="132"/>
      <c r="J22" s="132"/>
      <c r="K22" s="132"/>
      <c r="L22" s="137"/>
      <c r="M22" s="127">
        <v>3.0</v>
      </c>
      <c r="N22" s="128">
        <v>4.0</v>
      </c>
      <c r="O22" s="128">
        <v>5.0</v>
      </c>
      <c r="P22" s="128">
        <v>3.0</v>
      </c>
      <c r="Q22" s="128">
        <v>3.0</v>
      </c>
      <c r="R22" s="128">
        <v>3.0</v>
      </c>
      <c r="S22" s="128">
        <v>4.0</v>
      </c>
      <c r="T22" s="128">
        <v>5.0</v>
      </c>
      <c r="U22" s="128">
        <v>6.0</v>
      </c>
      <c r="V22" s="129"/>
      <c r="W22" s="127">
        <v>1.0</v>
      </c>
      <c r="X22" s="132"/>
      <c r="Y22" s="132"/>
      <c r="Z22" s="132"/>
      <c r="AA22" s="128">
        <v>1.0</v>
      </c>
      <c r="AB22" s="128">
        <v>1.0</v>
      </c>
      <c r="AC22" s="132"/>
      <c r="AD22" s="132"/>
      <c r="AE22" s="132"/>
      <c r="AF22" s="128">
        <v>1.0</v>
      </c>
      <c r="AG22" s="130"/>
      <c r="AH22" s="132"/>
      <c r="AI22" s="132"/>
      <c r="AJ22" s="132"/>
      <c r="AK22" s="132"/>
      <c r="AL22" s="132"/>
      <c r="AM22" s="132"/>
      <c r="AN22" s="132"/>
      <c r="AO22" s="132"/>
      <c r="AP22" s="132"/>
      <c r="AQ22" s="130"/>
      <c r="AR22" s="132"/>
      <c r="AS22" s="132"/>
      <c r="AT22" s="132"/>
      <c r="AU22" s="132"/>
      <c r="AV22" s="132"/>
      <c r="AW22" s="128">
        <v>1.0</v>
      </c>
      <c r="AX22" s="132"/>
      <c r="AY22" s="132"/>
      <c r="AZ22" s="132"/>
      <c r="BA22" s="130"/>
      <c r="BB22" s="132"/>
      <c r="BC22" s="132"/>
      <c r="BD22" s="132"/>
      <c r="BE22" s="132"/>
      <c r="BF22" s="132"/>
      <c r="BG22" s="132"/>
      <c r="BH22" s="132"/>
      <c r="BI22" s="132"/>
      <c r="BJ22" s="132"/>
      <c r="BK22" s="130"/>
      <c r="BL22" s="132"/>
      <c r="BM22" s="132"/>
      <c r="BN22" s="132"/>
      <c r="BO22" s="132"/>
      <c r="BP22" s="132"/>
      <c r="BQ22" s="132"/>
      <c r="BR22" s="132"/>
      <c r="BS22" s="132"/>
      <c r="BT22" s="132"/>
      <c r="BU22" s="130"/>
      <c r="BV22" s="132"/>
      <c r="BW22" s="128">
        <v>1.0</v>
      </c>
      <c r="BX22" s="132"/>
      <c r="BY22" s="132"/>
      <c r="BZ22" s="132"/>
      <c r="CA22" s="132"/>
      <c r="CB22" s="132"/>
      <c r="CC22" s="132"/>
      <c r="CD22" s="132"/>
      <c r="CE22" s="130"/>
      <c r="CF22" s="132"/>
      <c r="CG22" s="132"/>
      <c r="CH22" s="128">
        <v>1.0</v>
      </c>
      <c r="CI22" s="132"/>
      <c r="CJ22" s="132"/>
      <c r="CK22" s="128">
        <v>1.0</v>
      </c>
      <c r="CL22" s="128">
        <v>1.0</v>
      </c>
      <c r="CM22" s="132"/>
      <c r="CN22" s="132"/>
      <c r="CO22" s="130"/>
      <c r="CP22" s="132"/>
      <c r="CQ22" s="132"/>
      <c r="CR22" s="132"/>
      <c r="CS22" s="132"/>
      <c r="CT22" s="132"/>
      <c r="CU22" s="132"/>
      <c r="CV22" s="132"/>
      <c r="CW22" s="132"/>
      <c r="CX22" s="133"/>
    </row>
    <row r="23" ht="35.25" customHeight="1">
      <c r="A23" s="138" t="s">
        <v>2937</v>
      </c>
      <c r="B23" s="124">
        <v>45660.0</v>
      </c>
      <c r="C23" s="114"/>
      <c r="D23" s="115"/>
      <c r="E23" s="115"/>
      <c r="F23" s="115"/>
      <c r="G23" s="115"/>
      <c r="H23" s="115"/>
      <c r="I23" s="115"/>
      <c r="J23" s="115"/>
      <c r="K23" s="115"/>
      <c r="L23" s="135"/>
      <c r="M23" s="116">
        <v>1.0</v>
      </c>
      <c r="N23" s="114"/>
      <c r="O23" s="115"/>
      <c r="P23" s="115"/>
      <c r="Q23" s="112">
        <v>1.0</v>
      </c>
      <c r="R23" s="112">
        <v>1.0</v>
      </c>
      <c r="S23" s="115"/>
      <c r="T23" s="115"/>
      <c r="U23" s="115"/>
      <c r="V23" s="112">
        <v>1.0</v>
      </c>
      <c r="W23" s="111"/>
      <c r="X23" s="112">
        <v>4.0</v>
      </c>
      <c r="Y23" s="112">
        <v>2.0</v>
      </c>
      <c r="Z23" s="112">
        <v>2.0</v>
      </c>
      <c r="AA23" s="112">
        <v>8.0</v>
      </c>
      <c r="AB23" s="112">
        <v>7.0</v>
      </c>
      <c r="AC23" s="112">
        <v>3.0</v>
      </c>
      <c r="AD23" s="112">
        <v>3.0</v>
      </c>
      <c r="AE23" s="112">
        <v>9.0</v>
      </c>
      <c r="AF23" s="112">
        <v>4.0</v>
      </c>
      <c r="AG23" s="113"/>
      <c r="AH23" s="115"/>
      <c r="AI23" s="115"/>
      <c r="AJ23" s="115"/>
      <c r="AK23" s="115"/>
      <c r="AL23" s="115"/>
      <c r="AM23" s="115"/>
      <c r="AN23" s="115"/>
      <c r="AO23" s="112">
        <v>1.0</v>
      </c>
      <c r="AP23" s="115"/>
      <c r="AQ23" s="113"/>
      <c r="AR23" s="115"/>
      <c r="AS23" s="115"/>
      <c r="AT23" s="115"/>
      <c r="AU23" s="115"/>
      <c r="AV23" s="115"/>
      <c r="AW23" s="115"/>
      <c r="AX23" s="115"/>
      <c r="AY23" s="115"/>
      <c r="AZ23" s="115"/>
      <c r="BA23" s="113"/>
      <c r="BB23" s="115"/>
      <c r="BC23" s="115"/>
      <c r="BD23" s="115"/>
      <c r="BE23" s="115"/>
      <c r="BF23" s="115"/>
      <c r="BG23" s="115"/>
      <c r="BH23" s="115"/>
      <c r="BI23" s="115"/>
      <c r="BJ23" s="115"/>
      <c r="BK23" s="113"/>
      <c r="BL23" s="115"/>
      <c r="BM23" s="115"/>
      <c r="BN23" s="115"/>
      <c r="BO23" s="115"/>
      <c r="BP23" s="115"/>
      <c r="BQ23" s="115"/>
      <c r="BR23" s="115"/>
      <c r="BS23" s="115"/>
      <c r="BT23" s="115"/>
      <c r="BU23" s="113"/>
      <c r="BV23" s="115"/>
      <c r="BW23" s="115"/>
      <c r="BX23" s="115"/>
      <c r="BY23" s="115"/>
      <c r="BZ23" s="115"/>
      <c r="CA23" s="115"/>
      <c r="CB23" s="115"/>
      <c r="CC23" s="115"/>
      <c r="CD23" s="115"/>
      <c r="CE23" s="113"/>
      <c r="CF23" s="115"/>
      <c r="CG23" s="115"/>
      <c r="CH23" s="115"/>
      <c r="CI23" s="115"/>
      <c r="CJ23" s="115"/>
      <c r="CK23" s="115"/>
      <c r="CL23" s="115"/>
      <c r="CM23" s="115"/>
      <c r="CN23" s="115"/>
      <c r="CO23" s="113"/>
      <c r="CP23" s="115"/>
      <c r="CQ23" s="115"/>
      <c r="CR23" s="115"/>
      <c r="CS23" s="115"/>
      <c r="CT23" s="115"/>
      <c r="CU23" s="115"/>
      <c r="CV23" s="115"/>
      <c r="CW23" s="115"/>
      <c r="CX23" s="117"/>
    </row>
    <row r="24" ht="35.25" customHeight="1">
      <c r="B24" s="124">
        <v>45691.0</v>
      </c>
      <c r="C24" s="121"/>
      <c r="D24" s="122"/>
      <c r="E24" s="122"/>
      <c r="F24" s="122"/>
      <c r="G24" s="122"/>
      <c r="H24" s="122"/>
      <c r="I24" s="122"/>
      <c r="J24" s="122"/>
      <c r="K24" s="122"/>
      <c r="L24" s="136"/>
      <c r="M24" s="113"/>
      <c r="N24" s="121"/>
      <c r="O24" s="122"/>
      <c r="P24" s="122"/>
      <c r="Q24" s="122"/>
      <c r="R24" s="122"/>
      <c r="S24" s="122"/>
      <c r="T24" s="122"/>
      <c r="U24" s="122"/>
      <c r="V24" s="122"/>
      <c r="W24" s="116">
        <v>4.0</v>
      </c>
      <c r="X24" s="119"/>
      <c r="Y24" s="120">
        <v>3.0</v>
      </c>
      <c r="Z24" s="120">
        <v>4.0</v>
      </c>
      <c r="AA24" s="120">
        <v>6.0</v>
      </c>
      <c r="AB24" s="120">
        <v>6.0</v>
      </c>
      <c r="AC24" s="120">
        <v>6.0</v>
      </c>
      <c r="AD24" s="120">
        <v>4.0</v>
      </c>
      <c r="AE24" s="120">
        <v>4.0</v>
      </c>
      <c r="AF24" s="120">
        <v>4.0</v>
      </c>
      <c r="AG24" s="113"/>
      <c r="AH24" s="120">
        <v>3.0</v>
      </c>
      <c r="AI24" s="120">
        <v>2.0</v>
      </c>
      <c r="AJ24" s="122"/>
      <c r="AK24" s="122"/>
      <c r="AL24" s="122"/>
      <c r="AM24" s="122"/>
      <c r="AN24" s="122"/>
      <c r="AO24" s="122"/>
      <c r="AP24" s="122"/>
      <c r="AQ24" s="113"/>
      <c r="AR24" s="122"/>
      <c r="AS24" s="122"/>
      <c r="AT24" s="122"/>
      <c r="AU24" s="122"/>
      <c r="AV24" s="122"/>
      <c r="AW24" s="122"/>
      <c r="AX24" s="122"/>
      <c r="AY24" s="122"/>
      <c r="AZ24" s="122"/>
      <c r="BA24" s="113"/>
      <c r="BB24" s="122"/>
      <c r="BC24" s="122"/>
      <c r="BD24" s="122"/>
      <c r="BE24" s="122"/>
      <c r="BF24" s="122"/>
      <c r="BG24" s="122"/>
      <c r="BH24" s="122"/>
      <c r="BI24" s="122"/>
      <c r="BJ24" s="122"/>
      <c r="BK24" s="113"/>
      <c r="BL24" s="122"/>
      <c r="BM24" s="122"/>
      <c r="BN24" s="122"/>
      <c r="BO24" s="122"/>
      <c r="BP24" s="122"/>
      <c r="BQ24" s="122"/>
      <c r="BR24" s="122"/>
      <c r="BS24" s="122"/>
      <c r="BT24" s="122"/>
      <c r="BU24" s="113"/>
      <c r="BV24" s="122"/>
      <c r="BW24" s="122"/>
      <c r="BX24" s="122"/>
      <c r="BY24" s="122"/>
      <c r="BZ24" s="122"/>
      <c r="CA24" s="122"/>
      <c r="CB24" s="122"/>
      <c r="CC24" s="122"/>
      <c r="CD24" s="122"/>
      <c r="CE24" s="113"/>
      <c r="CF24" s="122"/>
      <c r="CG24" s="122"/>
      <c r="CH24" s="122"/>
      <c r="CI24" s="122"/>
      <c r="CJ24" s="122"/>
      <c r="CK24" s="122"/>
      <c r="CL24" s="122"/>
      <c r="CM24" s="122"/>
      <c r="CN24" s="122"/>
      <c r="CO24" s="113"/>
      <c r="CP24" s="122"/>
      <c r="CQ24" s="122"/>
      <c r="CR24" s="122"/>
      <c r="CS24" s="122"/>
      <c r="CT24" s="122"/>
      <c r="CU24" s="122"/>
      <c r="CV24" s="122"/>
      <c r="CW24" s="122"/>
      <c r="CX24" s="123"/>
    </row>
    <row r="25" ht="35.25" customHeight="1">
      <c r="B25" s="124">
        <v>45719.0</v>
      </c>
      <c r="C25" s="121"/>
      <c r="D25" s="122"/>
      <c r="E25" s="122"/>
      <c r="F25" s="122"/>
      <c r="G25" s="122"/>
      <c r="H25" s="122"/>
      <c r="I25" s="122"/>
      <c r="J25" s="122"/>
      <c r="K25" s="122"/>
      <c r="L25" s="136"/>
      <c r="M25" s="113"/>
      <c r="N25" s="121"/>
      <c r="O25" s="122"/>
      <c r="P25" s="122"/>
      <c r="Q25" s="122"/>
      <c r="R25" s="122"/>
      <c r="S25" s="122"/>
      <c r="T25" s="122"/>
      <c r="U25" s="122"/>
      <c r="V25" s="122"/>
      <c r="W25" s="116">
        <v>1.0</v>
      </c>
      <c r="X25" s="120">
        <v>3.0</v>
      </c>
      <c r="Y25" s="119"/>
      <c r="Z25" s="120">
        <v>6.0</v>
      </c>
      <c r="AA25" s="120">
        <v>2.0</v>
      </c>
      <c r="AB25" s="120">
        <v>2.0</v>
      </c>
      <c r="AC25" s="120">
        <v>7.0</v>
      </c>
      <c r="AD25" s="120">
        <v>5.0</v>
      </c>
      <c r="AE25" s="120">
        <v>4.0</v>
      </c>
      <c r="AF25" s="120">
        <v>6.0</v>
      </c>
      <c r="AG25" s="113"/>
      <c r="AH25" s="120">
        <v>3.0</v>
      </c>
      <c r="AI25" s="120">
        <v>4.0</v>
      </c>
      <c r="AJ25" s="122"/>
      <c r="AK25" s="122"/>
      <c r="AL25" s="122"/>
      <c r="AM25" s="122"/>
      <c r="AN25" s="122"/>
      <c r="AO25" s="122"/>
      <c r="AP25" s="122"/>
      <c r="AQ25" s="113"/>
      <c r="AR25" s="122"/>
      <c r="AS25" s="122"/>
      <c r="AT25" s="122"/>
      <c r="AU25" s="122"/>
      <c r="AV25" s="122"/>
      <c r="AW25" s="122"/>
      <c r="AX25" s="122"/>
      <c r="AY25" s="122"/>
      <c r="AZ25" s="122"/>
      <c r="BA25" s="113"/>
      <c r="BB25" s="122"/>
      <c r="BC25" s="122"/>
      <c r="BD25" s="122"/>
      <c r="BE25" s="122"/>
      <c r="BF25" s="122"/>
      <c r="BG25" s="122"/>
      <c r="BH25" s="122"/>
      <c r="BI25" s="122"/>
      <c r="BJ25" s="122"/>
      <c r="BK25" s="113"/>
      <c r="BL25" s="122"/>
      <c r="BM25" s="122"/>
      <c r="BN25" s="122"/>
      <c r="BO25" s="122"/>
      <c r="BP25" s="122"/>
      <c r="BQ25" s="122"/>
      <c r="BR25" s="122"/>
      <c r="BS25" s="122"/>
      <c r="BT25" s="122"/>
      <c r="BU25" s="113"/>
      <c r="BV25" s="122"/>
      <c r="BW25" s="122"/>
      <c r="BX25" s="122"/>
      <c r="BY25" s="122"/>
      <c r="BZ25" s="122"/>
      <c r="CA25" s="122"/>
      <c r="CB25" s="122"/>
      <c r="CC25" s="122"/>
      <c r="CD25" s="122"/>
      <c r="CE25" s="113"/>
      <c r="CF25" s="122"/>
      <c r="CG25" s="122"/>
      <c r="CH25" s="122"/>
      <c r="CI25" s="122"/>
      <c r="CJ25" s="122"/>
      <c r="CK25" s="122"/>
      <c r="CL25" s="122"/>
      <c r="CM25" s="122"/>
      <c r="CN25" s="122"/>
      <c r="CO25" s="113"/>
      <c r="CP25" s="122"/>
      <c r="CQ25" s="122"/>
      <c r="CR25" s="122"/>
      <c r="CS25" s="122"/>
      <c r="CT25" s="122"/>
      <c r="CU25" s="122"/>
      <c r="CV25" s="122"/>
      <c r="CW25" s="120">
        <v>1.0</v>
      </c>
      <c r="CX25" s="123"/>
    </row>
    <row r="26" ht="35.25" customHeight="1">
      <c r="B26" s="124">
        <v>45750.0</v>
      </c>
      <c r="C26" s="121"/>
      <c r="D26" s="122"/>
      <c r="E26" s="122"/>
      <c r="F26" s="122"/>
      <c r="G26" s="122"/>
      <c r="H26" s="122"/>
      <c r="I26" s="122"/>
      <c r="J26" s="122"/>
      <c r="K26" s="122"/>
      <c r="L26" s="136"/>
      <c r="M26" s="113"/>
      <c r="N26" s="121"/>
      <c r="O26" s="122"/>
      <c r="P26" s="122"/>
      <c r="Q26" s="122"/>
      <c r="R26" s="122"/>
      <c r="S26" s="122"/>
      <c r="T26" s="122"/>
      <c r="U26" s="122"/>
      <c r="V26" s="122"/>
      <c r="W26" s="116">
        <v>2.0</v>
      </c>
      <c r="X26" s="120">
        <v>4.0</v>
      </c>
      <c r="Y26" s="120">
        <v>6.0</v>
      </c>
      <c r="Z26" s="119"/>
      <c r="AA26" s="120">
        <v>4.0</v>
      </c>
      <c r="AB26" s="120">
        <v>2.0</v>
      </c>
      <c r="AC26" s="120">
        <v>10.0</v>
      </c>
      <c r="AD26" s="120">
        <v>4.0</v>
      </c>
      <c r="AE26" s="120">
        <v>6.0</v>
      </c>
      <c r="AF26" s="120">
        <v>4.0</v>
      </c>
      <c r="AG26" s="113"/>
      <c r="AH26" s="120">
        <v>1.0</v>
      </c>
      <c r="AI26" s="120">
        <v>1.0</v>
      </c>
      <c r="AJ26" s="122"/>
      <c r="AK26" s="122"/>
      <c r="AL26" s="122"/>
      <c r="AM26" s="122"/>
      <c r="AN26" s="122"/>
      <c r="AO26" s="122"/>
      <c r="AP26" s="122"/>
      <c r="AQ26" s="113"/>
      <c r="AR26" s="122"/>
      <c r="AS26" s="122"/>
      <c r="AT26" s="122"/>
      <c r="AU26" s="122"/>
      <c r="AV26" s="122"/>
      <c r="AW26" s="122"/>
      <c r="AX26" s="122"/>
      <c r="AY26" s="122"/>
      <c r="AZ26" s="122"/>
      <c r="BA26" s="113"/>
      <c r="BB26" s="122"/>
      <c r="BC26" s="122"/>
      <c r="BD26" s="122"/>
      <c r="BE26" s="122"/>
      <c r="BF26" s="122"/>
      <c r="BG26" s="122"/>
      <c r="BH26" s="122"/>
      <c r="BI26" s="122"/>
      <c r="BJ26" s="122"/>
      <c r="BK26" s="113"/>
      <c r="BL26" s="122"/>
      <c r="BM26" s="122"/>
      <c r="BN26" s="122"/>
      <c r="BO26" s="122"/>
      <c r="BP26" s="122"/>
      <c r="BQ26" s="122"/>
      <c r="BR26" s="122"/>
      <c r="BS26" s="122"/>
      <c r="BT26" s="122"/>
      <c r="BU26" s="113"/>
      <c r="BV26" s="122"/>
      <c r="BW26" s="122"/>
      <c r="BX26" s="122"/>
      <c r="BY26" s="122"/>
      <c r="BZ26" s="122"/>
      <c r="CA26" s="122"/>
      <c r="CB26" s="122"/>
      <c r="CC26" s="122"/>
      <c r="CD26" s="122"/>
      <c r="CE26" s="113"/>
      <c r="CF26" s="122"/>
      <c r="CG26" s="122"/>
      <c r="CH26" s="122"/>
      <c r="CI26" s="122"/>
      <c r="CJ26" s="122"/>
      <c r="CK26" s="122"/>
      <c r="CL26" s="122"/>
      <c r="CM26" s="122"/>
      <c r="CN26" s="122"/>
      <c r="CO26" s="113"/>
      <c r="CP26" s="122"/>
      <c r="CQ26" s="122"/>
      <c r="CR26" s="122"/>
      <c r="CS26" s="122"/>
      <c r="CT26" s="122"/>
      <c r="CU26" s="122"/>
      <c r="CV26" s="122"/>
      <c r="CW26" s="120">
        <v>1.0</v>
      </c>
      <c r="CX26" s="123"/>
    </row>
    <row r="27" ht="35.25" customHeight="1">
      <c r="B27" s="124">
        <v>45780.0</v>
      </c>
      <c r="C27" s="121"/>
      <c r="D27" s="122"/>
      <c r="E27" s="122"/>
      <c r="F27" s="122"/>
      <c r="G27" s="122"/>
      <c r="H27" s="122"/>
      <c r="I27" s="122"/>
      <c r="J27" s="122"/>
      <c r="K27" s="122"/>
      <c r="L27" s="136"/>
      <c r="M27" s="116">
        <v>1.0</v>
      </c>
      <c r="N27" s="121"/>
      <c r="O27" s="122"/>
      <c r="P27" s="122"/>
      <c r="Q27" s="120">
        <v>1.0</v>
      </c>
      <c r="R27" s="120">
        <v>1.0</v>
      </c>
      <c r="S27" s="122"/>
      <c r="T27" s="122"/>
      <c r="U27" s="122"/>
      <c r="V27" s="120">
        <v>1.0</v>
      </c>
      <c r="W27" s="116">
        <v>8.0</v>
      </c>
      <c r="X27" s="120">
        <v>6.0</v>
      </c>
      <c r="Y27" s="120">
        <v>2.0</v>
      </c>
      <c r="Z27" s="120">
        <v>4.0</v>
      </c>
      <c r="AA27" s="119"/>
      <c r="AB27" s="120">
        <v>6.0</v>
      </c>
      <c r="AC27" s="120">
        <v>3.0</v>
      </c>
      <c r="AD27" s="120">
        <v>9.0</v>
      </c>
      <c r="AE27" s="120">
        <v>5.0</v>
      </c>
      <c r="AF27" s="120">
        <v>4.0</v>
      </c>
      <c r="AG27" s="113"/>
      <c r="AH27" s="120">
        <v>1.0</v>
      </c>
      <c r="AI27" s="122"/>
      <c r="AJ27" s="122"/>
      <c r="AK27" s="122"/>
      <c r="AL27" s="122"/>
      <c r="AM27" s="122"/>
      <c r="AN27" s="122"/>
      <c r="AO27" s="122"/>
      <c r="AP27" s="122"/>
      <c r="AQ27" s="113"/>
      <c r="AR27" s="122"/>
      <c r="AS27" s="122"/>
      <c r="AT27" s="122"/>
      <c r="AU27" s="122"/>
      <c r="AV27" s="122"/>
      <c r="AW27" s="122"/>
      <c r="AX27" s="122"/>
      <c r="AY27" s="122"/>
      <c r="AZ27" s="122"/>
      <c r="BA27" s="113"/>
      <c r="BB27" s="122"/>
      <c r="BC27" s="122"/>
      <c r="BD27" s="122"/>
      <c r="BE27" s="122"/>
      <c r="BF27" s="122"/>
      <c r="BG27" s="122"/>
      <c r="BH27" s="122"/>
      <c r="BI27" s="122"/>
      <c r="BJ27" s="122"/>
      <c r="BK27" s="113"/>
      <c r="BL27" s="122"/>
      <c r="BM27" s="122"/>
      <c r="BN27" s="122"/>
      <c r="BO27" s="122"/>
      <c r="BP27" s="122"/>
      <c r="BQ27" s="122"/>
      <c r="BR27" s="122"/>
      <c r="BS27" s="122"/>
      <c r="BT27" s="122"/>
      <c r="BU27" s="113"/>
      <c r="BV27" s="122"/>
      <c r="BW27" s="122"/>
      <c r="BX27" s="122"/>
      <c r="BY27" s="122"/>
      <c r="BZ27" s="122"/>
      <c r="CA27" s="122"/>
      <c r="CB27" s="122"/>
      <c r="CC27" s="122"/>
      <c r="CD27" s="122"/>
      <c r="CE27" s="113"/>
      <c r="CF27" s="122"/>
      <c r="CG27" s="122"/>
      <c r="CH27" s="122"/>
      <c r="CI27" s="122"/>
      <c r="CJ27" s="122"/>
      <c r="CK27" s="122"/>
      <c r="CL27" s="122"/>
      <c r="CM27" s="122"/>
      <c r="CN27" s="122"/>
      <c r="CO27" s="113"/>
      <c r="CP27" s="122"/>
      <c r="CQ27" s="122"/>
      <c r="CR27" s="122"/>
      <c r="CS27" s="122"/>
      <c r="CT27" s="122"/>
      <c r="CU27" s="122"/>
      <c r="CV27" s="122"/>
      <c r="CW27" s="122"/>
      <c r="CX27" s="123"/>
    </row>
    <row r="28" ht="35.25" customHeight="1">
      <c r="B28" s="124">
        <v>45811.0</v>
      </c>
      <c r="C28" s="121"/>
      <c r="D28" s="122"/>
      <c r="E28" s="122"/>
      <c r="F28" s="122"/>
      <c r="G28" s="122"/>
      <c r="H28" s="122"/>
      <c r="I28" s="122"/>
      <c r="J28" s="122"/>
      <c r="K28" s="122"/>
      <c r="L28" s="136"/>
      <c r="M28" s="116">
        <v>1.0</v>
      </c>
      <c r="N28" s="121"/>
      <c r="O28" s="122"/>
      <c r="P28" s="122"/>
      <c r="Q28" s="120">
        <v>1.0</v>
      </c>
      <c r="R28" s="120">
        <v>1.0</v>
      </c>
      <c r="S28" s="122"/>
      <c r="T28" s="122"/>
      <c r="U28" s="122"/>
      <c r="V28" s="120">
        <v>1.0</v>
      </c>
      <c r="W28" s="116">
        <v>7.0</v>
      </c>
      <c r="X28" s="120">
        <v>6.0</v>
      </c>
      <c r="Y28" s="120">
        <v>2.0</v>
      </c>
      <c r="Z28" s="120">
        <v>2.0</v>
      </c>
      <c r="AA28" s="120">
        <v>6.0</v>
      </c>
      <c r="AB28" s="119"/>
      <c r="AC28" s="120">
        <v>4.0</v>
      </c>
      <c r="AD28" s="120">
        <v>6.0</v>
      </c>
      <c r="AE28" s="120">
        <v>4.0</v>
      </c>
      <c r="AF28" s="120">
        <v>4.0</v>
      </c>
      <c r="AG28" s="113"/>
      <c r="AH28" s="122"/>
      <c r="AI28" s="122"/>
      <c r="AJ28" s="122"/>
      <c r="AK28" s="122"/>
      <c r="AL28" s="122"/>
      <c r="AM28" s="122"/>
      <c r="AN28" s="122"/>
      <c r="AO28" s="120">
        <v>1.0</v>
      </c>
      <c r="AP28" s="122"/>
      <c r="AQ28" s="113"/>
      <c r="AR28" s="122"/>
      <c r="AS28" s="122"/>
      <c r="AT28" s="122"/>
      <c r="AU28" s="122"/>
      <c r="AV28" s="122"/>
      <c r="AW28" s="122"/>
      <c r="AX28" s="122"/>
      <c r="AY28" s="122"/>
      <c r="AZ28" s="122"/>
      <c r="BA28" s="113"/>
      <c r="BB28" s="122"/>
      <c r="BC28" s="122"/>
      <c r="BD28" s="122"/>
      <c r="BE28" s="122"/>
      <c r="BF28" s="122"/>
      <c r="BG28" s="122"/>
      <c r="BH28" s="122"/>
      <c r="BI28" s="122"/>
      <c r="BJ28" s="122"/>
      <c r="BK28" s="113"/>
      <c r="BL28" s="122"/>
      <c r="BM28" s="122"/>
      <c r="BN28" s="122"/>
      <c r="BO28" s="122"/>
      <c r="BP28" s="122"/>
      <c r="BQ28" s="122"/>
      <c r="BR28" s="122"/>
      <c r="BS28" s="122"/>
      <c r="BT28" s="122"/>
      <c r="BU28" s="113"/>
      <c r="BV28" s="122"/>
      <c r="BW28" s="122"/>
      <c r="BX28" s="122"/>
      <c r="BY28" s="122"/>
      <c r="BZ28" s="122"/>
      <c r="CA28" s="122"/>
      <c r="CB28" s="122"/>
      <c r="CC28" s="122"/>
      <c r="CD28" s="122"/>
      <c r="CE28" s="113"/>
      <c r="CF28" s="122"/>
      <c r="CG28" s="122"/>
      <c r="CH28" s="122"/>
      <c r="CI28" s="122"/>
      <c r="CJ28" s="122"/>
      <c r="CK28" s="122"/>
      <c r="CL28" s="122"/>
      <c r="CM28" s="122"/>
      <c r="CN28" s="122"/>
      <c r="CO28" s="113"/>
      <c r="CP28" s="122"/>
      <c r="CQ28" s="122"/>
      <c r="CR28" s="122"/>
      <c r="CS28" s="122"/>
      <c r="CT28" s="122"/>
      <c r="CU28" s="122"/>
      <c r="CV28" s="122"/>
      <c r="CW28" s="122"/>
      <c r="CX28" s="123"/>
    </row>
    <row r="29" ht="35.25" customHeight="1">
      <c r="B29" s="124">
        <v>45841.0</v>
      </c>
      <c r="C29" s="121"/>
      <c r="D29" s="122"/>
      <c r="E29" s="122"/>
      <c r="F29" s="122"/>
      <c r="G29" s="122"/>
      <c r="H29" s="122"/>
      <c r="I29" s="122"/>
      <c r="J29" s="122"/>
      <c r="K29" s="122"/>
      <c r="L29" s="136"/>
      <c r="M29" s="113"/>
      <c r="N29" s="121"/>
      <c r="O29" s="122"/>
      <c r="P29" s="122"/>
      <c r="Q29" s="122"/>
      <c r="R29" s="122"/>
      <c r="S29" s="122"/>
      <c r="T29" s="122"/>
      <c r="U29" s="122"/>
      <c r="V29" s="122"/>
      <c r="W29" s="116">
        <v>2.0</v>
      </c>
      <c r="X29" s="120">
        <v>6.0</v>
      </c>
      <c r="Y29" s="120">
        <v>7.0</v>
      </c>
      <c r="Z29" s="120">
        <v>10.0</v>
      </c>
      <c r="AA29" s="120">
        <v>3.0</v>
      </c>
      <c r="AB29" s="120">
        <v>3.0</v>
      </c>
      <c r="AC29" s="119"/>
      <c r="AD29" s="120">
        <v>4.0</v>
      </c>
      <c r="AE29" s="120">
        <v>4.0</v>
      </c>
      <c r="AF29" s="120">
        <v>4.0</v>
      </c>
      <c r="AG29" s="113"/>
      <c r="AH29" s="120">
        <v>3.0</v>
      </c>
      <c r="AI29" s="120">
        <v>3.0</v>
      </c>
      <c r="AJ29" s="122"/>
      <c r="AK29" s="122"/>
      <c r="AL29" s="122"/>
      <c r="AM29" s="122"/>
      <c r="AN29" s="122"/>
      <c r="AO29" s="120">
        <v>1.0</v>
      </c>
      <c r="AP29" s="122"/>
      <c r="AQ29" s="113"/>
      <c r="AR29" s="122"/>
      <c r="AS29" s="122"/>
      <c r="AT29" s="122"/>
      <c r="AU29" s="122"/>
      <c r="AV29" s="122"/>
      <c r="AW29" s="122"/>
      <c r="AX29" s="122"/>
      <c r="AY29" s="122"/>
      <c r="AZ29" s="122"/>
      <c r="BA29" s="113"/>
      <c r="BB29" s="122"/>
      <c r="BC29" s="122"/>
      <c r="BD29" s="122"/>
      <c r="BE29" s="122"/>
      <c r="BF29" s="122"/>
      <c r="BG29" s="122"/>
      <c r="BH29" s="122"/>
      <c r="BI29" s="122"/>
      <c r="BJ29" s="122"/>
      <c r="BK29" s="113"/>
      <c r="BL29" s="122"/>
      <c r="BM29" s="122"/>
      <c r="BN29" s="122"/>
      <c r="BO29" s="122"/>
      <c r="BP29" s="122"/>
      <c r="BQ29" s="122"/>
      <c r="BR29" s="122"/>
      <c r="BS29" s="122"/>
      <c r="BT29" s="122"/>
      <c r="BU29" s="113"/>
      <c r="BV29" s="122"/>
      <c r="BW29" s="122"/>
      <c r="BX29" s="122"/>
      <c r="BY29" s="122"/>
      <c r="BZ29" s="122"/>
      <c r="CA29" s="122"/>
      <c r="CB29" s="122"/>
      <c r="CC29" s="122"/>
      <c r="CD29" s="122"/>
      <c r="CE29" s="113"/>
      <c r="CF29" s="122"/>
      <c r="CG29" s="122"/>
      <c r="CH29" s="122"/>
      <c r="CI29" s="122"/>
      <c r="CJ29" s="122"/>
      <c r="CK29" s="122"/>
      <c r="CL29" s="122"/>
      <c r="CM29" s="122"/>
      <c r="CN29" s="122"/>
      <c r="CO29" s="113"/>
      <c r="CP29" s="122"/>
      <c r="CQ29" s="122"/>
      <c r="CR29" s="122"/>
      <c r="CS29" s="122"/>
      <c r="CT29" s="122"/>
      <c r="CU29" s="122"/>
      <c r="CV29" s="122"/>
      <c r="CW29" s="120">
        <v>1.0</v>
      </c>
      <c r="CX29" s="123"/>
    </row>
    <row r="30" ht="35.25" customHeight="1">
      <c r="B30" s="124">
        <v>45872.0</v>
      </c>
      <c r="C30" s="121"/>
      <c r="D30" s="122"/>
      <c r="E30" s="122"/>
      <c r="F30" s="122"/>
      <c r="G30" s="122"/>
      <c r="H30" s="122"/>
      <c r="I30" s="122"/>
      <c r="J30" s="122"/>
      <c r="K30" s="122"/>
      <c r="L30" s="136"/>
      <c r="M30" s="113"/>
      <c r="N30" s="121"/>
      <c r="O30" s="122"/>
      <c r="P30" s="122"/>
      <c r="Q30" s="122"/>
      <c r="R30" s="122"/>
      <c r="S30" s="122"/>
      <c r="T30" s="122"/>
      <c r="U30" s="122"/>
      <c r="V30" s="122"/>
      <c r="W30" s="116">
        <v>3.0</v>
      </c>
      <c r="X30" s="120">
        <v>4.0</v>
      </c>
      <c r="Y30" s="120">
        <v>5.0</v>
      </c>
      <c r="Z30" s="120">
        <v>4.0</v>
      </c>
      <c r="AA30" s="120">
        <v>9.0</v>
      </c>
      <c r="AB30" s="120">
        <v>6.0</v>
      </c>
      <c r="AC30" s="120">
        <v>4.0</v>
      </c>
      <c r="AD30" s="119"/>
      <c r="AE30" s="120">
        <v>3.0</v>
      </c>
      <c r="AF30" s="120">
        <v>6.0</v>
      </c>
      <c r="AG30" s="113"/>
      <c r="AH30" s="122"/>
      <c r="AI30" s="122"/>
      <c r="AJ30" s="122"/>
      <c r="AK30" s="122"/>
      <c r="AL30" s="122"/>
      <c r="AM30" s="122"/>
      <c r="AN30" s="122"/>
      <c r="AO30" s="122"/>
      <c r="AP30" s="122"/>
      <c r="AQ30" s="113"/>
      <c r="AR30" s="122"/>
      <c r="AS30" s="122"/>
      <c r="AT30" s="122"/>
      <c r="AU30" s="122"/>
      <c r="AV30" s="122"/>
      <c r="AW30" s="122"/>
      <c r="AX30" s="122"/>
      <c r="AY30" s="122"/>
      <c r="AZ30" s="122"/>
      <c r="BA30" s="113"/>
      <c r="BB30" s="122"/>
      <c r="BC30" s="122"/>
      <c r="BD30" s="122"/>
      <c r="BE30" s="122"/>
      <c r="BF30" s="122"/>
      <c r="BG30" s="122"/>
      <c r="BH30" s="122"/>
      <c r="BI30" s="122"/>
      <c r="BJ30" s="122"/>
      <c r="BK30" s="113"/>
      <c r="BL30" s="122"/>
      <c r="BM30" s="122"/>
      <c r="BN30" s="122"/>
      <c r="BO30" s="122"/>
      <c r="BP30" s="122"/>
      <c r="BQ30" s="122"/>
      <c r="BR30" s="122"/>
      <c r="BS30" s="122"/>
      <c r="BT30" s="122"/>
      <c r="BU30" s="113"/>
      <c r="BV30" s="122"/>
      <c r="BW30" s="122"/>
      <c r="BX30" s="122"/>
      <c r="BY30" s="122"/>
      <c r="BZ30" s="122"/>
      <c r="CA30" s="122"/>
      <c r="CB30" s="122"/>
      <c r="CC30" s="122"/>
      <c r="CD30" s="122"/>
      <c r="CE30" s="113"/>
      <c r="CF30" s="122"/>
      <c r="CG30" s="122"/>
      <c r="CH30" s="122"/>
      <c r="CI30" s="122"/>
      <c r="CJ30" s="122"/>
      <c r="CK30" s="122"/>
      <c r="CL30" s="122"/>
      <c r="CM30" s="122"/>
      <c r="CN30" s="122"/>
      <c r="CO30" s="113"/>
      <c r="CP30" s="122"/>
      <c r="CQ30" s="122"/>
      <c r="CR30" s="122"/>
      <c r="CS30" s="122"/>
      <c r="CT30" s="122"/>
      <c r="CU30" s="122"/>
      <c r="CV30" s="122"/>
      <c r="CW30" s="122"/>
      <c r="CX30" s="123"/>
    </row>
    <row r="31" ht="35.25" customHeight="1">
      <c r="B31" s="124">
        <v>45903.0</v>
      </c>
      <c r="C31" s="121"/>
      <c r="D31" s="122"/>
      <c r="E31" s="122"/>
      <c r="F31" s="122"/>
      <c r="G31" s="122"/>
      <c r="H31" s="122"/>
      <c r="I31" s="122"/>
      <c r="J31" s="122"/>
      <c r="K31" s="122"/>
      <c r="L31" s="136"/>
      <c r="M31" s="113"/>
      <c r="N31" s="121"/>
      <c r="O31" s="122"/>
      <c r="P31" s="122"/>
      <c r="Q31" s="122"/>
      <c r="R31" s="122"/>
      <c r="S31" s="122"/>
      <c r="T31" s="122"/>
      <c r="U31" s="122"/>
      <c r="V31" s="122"/>
      <c r="W31" s="116">
        <v>8.0</v>
      </c>
      <c r="X31" s="120">
        <v>4.0</v>
      </c>
      <c r="Y31" s="120">
        <v>3.0</v>
      </c>
      <c r="Z31" s="120">
        <v>6.0</v>
      </c>
      <c r="AA31" s="120">
        <v>5.0</v>
      </c>
      <c r="AB31" s="120">
        <v>3.0</v>
      </c>
      <c r="AC31" s="120">
        <v>4.0</v>
      </c>
      <c r="AD31" s="120">
        <v>3.0</v>
      </c>
      <c r="AE31" s="119"/>
      <c r="AF31" s="120">
        <v>6.0</v>
      </c>
      <c r="AG31" s="113"/>
      <c r="AH31" s="122"/>
      <c r="AI31" s="120">
        <v>1.0</v>
      </c>
      <c r="AJ31" s="122"/>
      <c r="AK31" s="122"/>
      <c r="AL31" s="122"/>
      <c r="AM31" s="122"/>
      <c r="AN31" s="122"/>
      <c r="AO31" s="120">
        <v>1.0</v>
      </c>
      <c r="AP31" s="122"/>
      <c r="AQ31" s="113"/>
      <c r="AR31" s="122"/>
      <c r="AS31" s="122"/>
      <c r="AT31" s="122"/>
      <c r="AU31" s="122"/>
      <c r="AV31" s="122"/>
      <c r="AW31" s="122"/>
      <c r="AX31" s="122"/>
      <c r="AY31" s="122"/>
      <c r="AZ31" s="122"/>
      <c r="BA31" s="113"/>
      <c r="BB31" s="122"/>
      <c r="BC31" s="122"/>
      <c r="BD31" s="122"/>
      <c r="BE31" s="122"/>
      <c r="BF31" s="122"/>
      <c r="BG31" s="122"/>
      <c r="BH31" s="122"/>
      <c r="BI31" s="122"/>
      <c r="BJ31" s="122"/>
      <c r="BK31" s="113"/>
      <c r="BL31" s="122"/>
      <c r="BM31" s="122"/>
      <c r="BN31" s="122"/>
      <c r="BO31" s="122"/>
      <c r="BP31" s="122"/>
      <c r="BQ31" s="122"/>
      <c r="BR31" s="122"/>
      <c r="BS31" s="122"/>
      <c r="BT31" s="122"/>
      <c r="BU31" s="113"/>
      <c r="BV31" s="122"/>
      <c r="BW31" s="122"/>
      <c r="BX31" s="122"/>
      <c r="BY31" s="122"/>
      <c r="BZ31" s="122"/>
      <c r="CA31" s="122"/>
      <c r="CB31" s="122"/>
      <c r="CC31" s="122"/>
      <c r="CD31" s="122"/>
      <c r="CE31" s="113"/>
      <c r="CF31" s="122"/>
      <c r="CG31" s="122"/>
      <c r="CH31" s="122"/>
      <c r="CI31" s="122"/>
      <c r="CJ31" s="122"/>
      <c r="CK31" s="122"/>
      <c r="CL31" s="122"/>
      <c r="CM31" s="122"/>
      <c r="CN31" s="122"/>
      <c r="CO31" s="113"/>
      <c r="CP31" s="122"/>
      <c r="CQ31" s="122"/>
      <c r="CR31" s="122"/>
      <c r="CS31" s="122"/>
      <c r="CT31" s="122"/>
      <c r="CU31" s="122"/>
      <c r="CV31" s="122"/>
      <c r="CW31" s="120">
        <v>1.0</v>
      </c>
      <c r="CX31" s="123"/>
    </row>
    <row r="32" ht="35.25" customHeight="1">
      <c r="A32" s="125"/>
      <c r="B32" s="126">
        <v>45933.0</v>
      </c>
      <c r="C32" s="131"/>
      <c r="D32" s="132"/>
      <c r="E32" s="132"/>
      <c r="F32" s="132"/>
      <c r="G32" s="132"/>
      <c r="H32" s="132"/>
      <c r="I32" s="132"/>
      <c r="J32" s="132"/>
      <c r="K32" s="132"/>
      <c r="L32" s="137"/>
      <c r="M32" s="127">
        <v>1.0</v>
      </c>
      <c r="N32" s="131"/>
      <c r="O32" s="132"/>
      <c r="P32" s="132"/>
      <c r="Q32" s="128">
        <v>1.0</v>
      </c>
      <c r="R32" s="128">
        <v>1.0</v>
      </c>
      <c r="S32" s="132"/>
      <c r="T32" s="132"/>
      <c r="U32" s="132"/>
      <c r="V32" s="128">
        <v>1.0</v>
      </c>
      <c r="W32" s="127">
        <v>4.0</v>
      </c>
      <c r="X32" s="128">
        <v>4.0</v>
      </c>
      <c r="Y32" s="128">
        <v>2.0</v>
      </c>
      <c r="Z32" s="128">
        <v>4.0</v>
      </c>
      <c r="AA32" s="128">
        <v>4.0</v>
      </c>
      <c r="AB32" s="128">
        <v>4.0</v>
      </c>
      <c r="AC32" s="128">
        <v>4.0</v>
      </c>
      <c r="AD32" s="128">
        <v>6.0</v>
      </c>
      <c r="AE32" s="128">
        <v>6.0</v>
      </c>
      <c r="AF32" s="129"/>
      <c r="AG32" s="130"/>
      <c r="AH32" s="128">
        <v>2.0</v>
      </c>
      <c r="AI32" s="128">
        <v>2.0</v>
      </c>
      <c r="AJ32" s="132"/>
      <c r="AK32" s="132"/>
      <c r="AL32" s="132"/>
      <c r="AM32" s="132"/>
      <c r="AN32" s="132"/>
      <c r="AO32" s="132"/>
      <c r="AP32" s="132"/>
      <c r="AQ32" s="130"/>
      <c r="AR32" s="132"/>
      <c r="AS32" s="132"/>
      <c r="AT32" s="132"/>
      <c r="AU32" s="132"/>
      <c r="AV32" s="132"/>
      <c r="AW32" s="132"/>
      <c r="AX32" s="132"/>
      <c r="AY32" s="132"/>
      <c r="AZ32" s="132"/>
      <c r="BA32" s="130"/>
      <c r="BB32" s="132"/>
      <c r="BC32" s="132"/>
      <c r="BD32" s="132"/>
      <c r="BE32" s="132"/>
      <c r="BF32" s="132"/>
      <c r="BG32" s="132"/>
      <c r="BH32" s="132"/>
      <c r="BI32" s="132"/>
      <c r="BJ32" s="132"/>
      <c r="BK32" s="130"/>
      <c r="BL32" s="132"/>
      <c r="BM32" s="132"/>
      <c r="BN32" s="132"/>
      <c r="BO32" s="132"/>
      <c r="BP32" s="132"/>
      <c r="BQ32" s="132"/>
      <c r="BR32" s="132"/>
      <c r="BS32" s="132"/>
      <c r="BT32" s="132"/>
      <c r="BU32" s="130"/>
      <c r="BV32" s="132"/>
      <c r="BW32" s="132"/>
      <c r="BX32" s="132"/>
      <c r="BY32" s="132"/>
      <c r="BZ32" s="132"/>
      <c r="CA32" s="132"/>
      <c r="CB32" s="132"/>
      <c r="CC32" s="132"/>
      <c r="CD32" s="132"/>
      <c r="CE32" s="130"/>
      <c r="CF32" s="132"/>
      <c r="CG32" s="132"/>
      <c r="CH32" s="132"/>
      <c r="CI32" s="132"/>
      <c r="CJ32" s="132"/>
      <c r="CK32" s="132"/>
      <c r="CL32" s="132"/>
      <c r="CM32" s="132"/>
      <c r="CN32" s="132"/>
      <c r="CO32" s="130"/>
      <c r="CP32" s="132"/>
      <c r="CQ32" s="132"/>
      <c r="CR32" s="132"/>
      <c r="CS32" s="132"/>
      <c r="CT32" s="132"/>
      <c r="CU32" s="132"/>
      <c r="CV32" s="132"/>
      <c r="CW32" s="132"/>
      <c r="CX32" s="133"/>
    </row>
    <row r="33" ht="35.25" customHeight="1">
      <c r="A33" s="134" t="s">
        <v>2938</v>
      </c>
      <c r="B33" s="124">
        <v>45661.0</v>
      </c>
      <c r="C33" s="114"/>
      <c r="D33" s="115"/>
      <c r="E33" s="115"/>
      <c r="F33" s="115"/>
      <c r="G33" s="115"/>
      <c r="H33" s="115"/>
      <c r="I33" s="112">
        <v>1.0</v>
      </c>
      <c r="J33" s="115"/>
      <c r="K33" s="115"/>
      <c r="L33" s="135"/>
      <c r="M33" s="113"/>
      <c r="N33" s="114"/>
      <c r="O33" s="115"/>
      <c r="P33" s="115"/>
      <c r="Q33" s="115"/>
      <c r="R33" s="115"/>
      <c r="S33" s="115"/>
      <c r="T33" s="115"/>
      <c r="U33" s="115"/>
      <c r="V33" s="115"/>
      <c r="W33" s="113"/>
      <c r="X33" s="115"/>
      <c r="Y33" s="115"/>
      <c r="Z33" s="115"/>
      <c r="AA33" s="115"/>
      <c r="AB33" s="115"/>
      <c r="AC33" s="115"/>
      <c r="AD33" s="115"/>
      <c r="AE33" s="115"/>
      <c r="AF33" s="115"/>
      <c r="AG33" s="139"/>
      <c r="AH33" s="112">
        <v>4.0</v>
      </c>
      <c r="AI33" s="112">
        <v>1.0</v>
      </c>
      <c r="AJ33" s="112">
        <v>2.0</v>
      </c>
      <c r="AK33" s="112">
        <v>8.0</v>
      </c>
      <c r="AL33" s="112">
        <v>7.0</v>
      </c>
      <c r="AM33" s="112">
        <v>2.0</v>
      </c>
      <c r="AN33" s="112">
        <v>3.0</v>
      </c>
      <c r="AO33" s="112">
        <v>8.0</v>
      </c>
      <c r="AP33" s="112">
        <v>4.0</v>
      </c>
      <c r="AQ33" s="113"/>
      <c r="AR33" s="115"/>
      <c r="AS33" s="115"/>
      <c r="AT33" s="115"/>
      <c r="AU33" s="115"/>
      <c r="AV33" s="115"/>
      <c r="AW33" s="115"/>
      <c r="AX33" s="115"/>
      <c r="AY33" s="115"/>
      <c r="AZ33" s="115"/>
      <c r="BA33" s="116">
        <v>1.0</v>
      </c>
      <c r="BB33" s="115"/>
      <c r="BC33" s="115"/>
      <c r="BD33" s="115"/>
      <c r="BE33" s="115"/>
      <c r="BF33" s="115"/>
      <c r="BG33" s="115"/>
      <c r="BH33" s="115"/>
      <c r="BI33" s="115"/>
      <c r="BJ33" s="115"/>
      <c r="BK33" s="113"/>
      <c r="BL33" s="115"/>
      <c r="BM33" s="115"/>
      <c r="BN33" s="115"/>
      <c r="BO33" s="115"/>
      <c r="BP33" s="115"/>
      <c r="BQ33" s="115"/>
      <c r="BR33" s="115"/>
      <c r="BS33" s="115"/>
      <c r="BT33" s="115"/>
      <c r="BU33" s="113"/>
      <c r="BV33" s="115"/>
      <c r="BW33" s="115"/>
      <c r="BX33" s="115"/>
      <c r="BY33" s="115"/>
      <c r="BZ33" s="115"/>
      <c r="CA33" s="115"/>
      <c r="CB33" s="115"/>
      <c r="CC33" s="115"/>
      <c r="CD33" s="115"/>
      <c r="CE33" s="113"/>
      <c r="CF33" s="115"/>
      <c r="CG33" s="115"/>
      <c r="CH33" s="115"/>
      <c r="CI33" s="115"/>
      <c r="CJ33" s="115"/>
      <c r="CK33" s="115"/>
      <c r="CL33" s="115"/>
      <c r="CM33" s="115"/>
      <c r="CN33" s="115"/>
      <c r="CO33" s="113"/>
      <c r="CP33" s="115"/>
      <c r="CQ33" s="115"/>
      <c r="CR33" s="115"/>
      <c r="CS33" s="115"/>
      <c r="CT33" s="115"/>
      <c r="CU33" s="115"/>
      <c r="CV33" s="115"/>
      <c r="CW33" s="115"/>
      <c r="CX33" s="117"/>
    </row>
    <row r="34" ht="35.25" customHeight="1">
      <c r="B34" s="124">
        <v>45692.0</v>
      </c>
      <c r="C34" s="121"/>
      <c r="D34" s="122"/>
      <c r="E34" s="122"/>
      <c r="F34" s="122"/>
      <c r="G34" s="122"/>
      <c r="H34" s="122"/>
      <c r="I34" s="122"/>
      <c r="J34" s="122"/>
      <c r="K34" s="122"/>
      <c r="L34" s="136"/>
      <c r="M34" s="113"/>
      <c r="N34" s="121"/>
      <c r="O34" s="122"/>
      <c r="P34" s="122"/>
      <c r="Q34" s="122"/>
      <c r="R34" s="122"/>
      <c r="S34" s="122"/>
      <c r="T34" s="122"/>
      <c r="U34" s="122"/>
      <c r="V34" s="122"/>
      <c r="W34" s="113"/>
      <c r="X34" s="120">
        <v>3.0</v>
      </c>
      <c r="Y34" s="120">
        <v>3.0</v>
      </c>
      <c r="Z34" s="120">
        <v>1.0</v>
      </c>
      <c r="AA34" s="120">
        <v>1.0</v>
      </c>
      <c r="AB34" s="122"/>
      <c r="AC34" s="120">
        <v>3.0</v>
      </c>
      <c r="AD34" s="122"/>
      <c r="AE34" s="122"/>
      <c r="AF34" s="120">
        <v>2.0</v>
      </c>
      <c r="AG34" s="116">
        <v>4.0</v>
      </c>
      <c r="AH34" s="119"/>
      <c r="AI34" s="120">
        <v>4.0</v>
      </c>
      <c r="AJ34" s="120">
        <v>4.0</v>
      </c>
      <c r="AK34" s="120">
        <v>4.0</v>
      </c>
      <c r="AL34" s="120">
        <v>6.0</v>
      </c>
      <c r="AM34" s="120">
        <v>4.0</v>
      </c>
      <c r="AN34" s="120">
        <v>3.0</v>
      </c>
      <c r="AO34" s="120">
        <v>4.0</v>
      </c>
      <c r="AP34" s="120">
        <v>2.0</v>
      </c>
      <c r="AQ34" s="113"/>
      <c r="AR34" s="122"/>
      <c r="AS34" s="122"/>
      <c r="AT34" s="122"/>
      <c r="AU34" s="122"/>
      <c r="AV34" s="122"/>
      <c r="AW34" s="122"/>
      <c r="AX34" s="122"/>
      <c r="AY34" s="122"/>
      <c r="AZ34" s="122"/>
      <c r="BA34" s="113"/>
      <c r="BB34" s="122"/>
      <c r="BC34" s="122"/>
      <c r="BD34" s="122"/>
      <c r="BE34" s="122"/>
      <c r="BF34" s="122"/>
      <c r="BG34" s="122"/>
      <c r="BH34" s="122"/>
      <c r="BI34" s="122"/>
      <c r="BJ34" s="122"/>
      <c r="BK34" s="113"/>
      <c r="BL34" s="122"/>
      <c r="BM34" s="122"/>
      <c r="BN34" s="122"/>
      <c r="BO34" s="122"/>
      <c r="BP34" s="122"/>
      <c r="BQ34" s="122"/>
      <c r="BR34" s="122"/>
      <c r="BS34" s="122"/>
      <c r="BT34" s="122"/>
      <c r="BU34" s="113"/>
      <c r="BV34" s="122"/>
      <c r="BW34" s="122"/>
      <c r="BX34" s="122"/>
      <c r="BY34" s="122"/>
      <c r="BZ34" s="122"/>
      <c r="CA34" s="122"/>
      <c r="CB34" s="122"/>
      <c r="CC34" s="122"/>
      <c r="CD34" s="122"/>
      <c r="CE34" s="113"/>
      <c r="CF34" s="122"/>
      <c r="CG34" s="122"/>
      <c r="CH34" s="122"/>
      <c r="CI34" s="122"/>
      <c r="CJ34" s="122"/>
      <c r="CK34" s="122"/>
      <c r="CL34" s="122"/>
      <c r="CM34" s="122"/>
      <c r="CN34" s="122"/>
      <c r="CO34" s="113"/>
      <c r="CP34" s="122"/>
      <c r="CQ34" s="122"/>
      <c r="CR34" s="122"/>
      <c r="CS34" s="122"/>
      <c r="CT34" s="122"/>
      <c r="CU34" s="122"/>
      <c r="CV34" s="122"/>
      <c r="CW34" s="122"/>
      <c r="CX34" s="123"/>
    </row>
    <row r="35" ht="35.25" customHeight="1">
      <c r="B35" s="124">
        <v>45720.0</v>
      </c>
      <c r="C35" s="121"/>
      <c r="D35" s="122"/>
      <c r="E35" s="122"/>
      <c r="F35" s="122"/>
      <c r="G35" s="122"/>
      <c r="H35" s="122"/>
      <c r="I35" s="122"/>
      <c r="J35" s="122"/>
      <c r="K35" s="122"/>
      <c r="L35" s="136"/>
      <c r="M35" s="113"/>
      <c r="N35" s="121"/>
      <c r="O35" s="122"/>
      <c r="P35" s="122"/>
      <c r="Q35" s="122"/>
      <c r="R35" s="122"/>
      <c r="S35" s="122"/>
      <c r="T35" s="122"/>
      <c r="U35" s="122"/>
      <c r="V35" s="122"/>
      <c r="W35" s="113"/>
      <c r="X35" s="120">
        <v>2.0</v>
      </c>
      <c r="Y35" s="120">
        <v>4.0</v>
      </c>
      <c r="Z35" s="120">
        <v>1.0</v>
      </c>
      <c r="AA35" s="122"/>
      <c r="AB35" s="122"/>
      <c r="AC35" s="120">
        <v>3.0</v>
      </c>
      <c r="AD35" s="122"/>
      <c r="AE35" s="120">
        <v>1.0</v>
      </c>
      <c r="AF35" s="120">
        <v>2.0</v>
      </c>
      <c r="AG35" s="116">
        <v>1.0</v>
      </c>
      <c r="AH35" s="120">
        <v>4.0</v>
      </c>
      <c r="AI35" s="119"/>
      <c r="AJ35" s="120">
        <v>4.0</v>
      </c>
      <c r="AK35" s="120">
        <v>2.0</v>
      </c>
      <c r="AL35" s="120">
        <v>2.0</v>
      </c>
      <c r="AM35" s="120">
        <v>3.0</v>
      </c>
      <c r="AN35" s="120">
        <v>5.0</v>
      </c>
      <c r="AO35" s="120">
        <v>3.0</v>
      </c>
      <c r="AP35" s="120">
        <v>4.0</v>
      </c>
      <c r="AQ35" s="113"/>
      <c r="AR35" s="122"/>
      <c r="AS35" s="122"/>
      <c r="AT35" s="122"/>
      <c r="AU35" s="122"/>
      <c r="AV35" s="122"/>
      <c r="AW35" s="122"/>
      <c r="AX35" s="122"/>
      <c r="AY35" s="122"/>
      <c r="AZ35" s="122"/>
      <c r="BA35" s="113"/>
      <c r="BB35" s="122"/>
      <c r="BC35" s="122"/>
      <c r="BD35" s="122"/>
      <c r="BE35" s="122"/>
      <c r="BF35" s="122"/>
      <c r="BG35" s="122"/>
      <c r="BH35" s="122"/>
      <c r="BI35" s="122"/>
      <c r="BJ35" s="122"/>
      <c r="BK35" s="113"/>
      <c r="BL35" s="122"/>
      <c r="BM35" s="122"/>
      <c r="BN35" s="122"/>
      <c r="BO35" s="122"/>
      <c r="BP35" s="122"/>
      <c r="BQ35" s="122"/>
      <c r="BR35" s="122"/>
      <c r="BS35" s="122"/>
      <c r="BT35" s="122"/>
      <c r="BU35" s="113"/>
      <c r="BV35" s="122"/>
      <c r="BW35" s="122"/>
      <c r="BX35" s="122"/>
      <c r="BY35" s="122"/>
      <c r="BZ35" s="122"/>
      <c r="CA35" s="122"/>
      <c r="CB35" s="122"/>
      <c r="CC35" s="122"/>
      <c r="CD35" s="122"/>
      <c r="CE35" s="113"/>
      <c r="CF35" s="122"/>
      <c r="CG35" s="122"/>
      <c r="CH35" s="122"/>
      <c r="CI35" s="122"/>
      <c r="CJ35" s="122"/>
      <c r="CK35" s="122"/>
      <c r="CL35" s="122"/>
      <c r="CM35" s="122"/>
      <c r="CN35" s="122"/>
      <c r="CO35" s="113"/>
      <c r="CP35" s="122"/>
      <c r="CQ35" s="122"/>
      <c r="CR35" s="122"/>
      <c r="CS35" s="122"/>
      <c r="CT35" s="122"/>
      <c r="CU35" s="122"/>
      <c r="CV35" s="122"/>
      <c r="CW35" s="120">
        <v>1.0</v>
      </c>
      <c r="CX35" s="123"/>
    </row>
    <row r="36" ht="35.25" customHeight="1">
      <c r="B36" s="124">
        <v>45751.0</v>
      </c>
      <c r="C36" s="121"/>
      <c r="D36" s="122"/>
      <c r="E36" s="122"/>
      <c r="F36" s="122"/>
      <c r="G36" s="122"/>
      <c r="H36" s="122"/>
      <c r="I36" s="122"/>
      <c r="J36" s="122"/>
      <c r="K36" s="122"/>
      <c r="L36" s="136"/>
      <c r="M36" s="113"/>
      <c r="N36" s="121"/>
      <c r="O36" s="122"/>
      <c r="P36" s="122"/>
      <c r="Q36" s="122"/>
      <c r="R36" s="122"/>
      <c r="S36" s="122"/>
      <c r="T36" s="122"/>
      <c r="U36" s="122"/>
      <c r="V36" s="122"/>
      <c r="W36" s="113"/>
      <c r="X36" s="122"/>
      <c r="Y36" s="122"/>
      <c r="Z36" s="122"/>
      <c r="AA36" s="122"/>
      <c r="AB36" s="122"/>
      <c r="AC36" s="122"/>
      <c r="AD36" s="122"/>
      <c r="AE36" s="122"/>
      <c r="AF36" s="122"/>
      <c r="AG36" s="116">
        <v>2.0</v>
      </c>
      <c r="AH36" s="120">
        <v>4.0</v>
      </c>
      <c r="AI36" s="120">
        <v>4.0</v>
      </c>
      <c r="AJ36" s="119"/>
      <c r="AK36" s="120">
        <v>4.0</v>
      </c>
      <c r="AL36" s="120">
        <v>3.0</v>
      </c>
      <c r="AM36" s="120">
        <v>10.0</v>
      </c>
      <c r="AN36" s="120">
        <v>4.0</v>
      </c>
      <c r="AO36" s="120">
        <v>4.0</v>
      </c>
      <c r="AP36" s="120">
        <v>3.0</v>
      </c>
      <c r="AQ36" s="113"/>
      <c r="AR36" s="122"/>
      <c r="AS36" s="122"/>
      <c r="AT36" s="122"/>
      <c r="AU36" s="122"/>
      <c r="AV36" s="122"/>
      <c r="AW36" s="122"/>
      <c r="AX36" s="122"/>
      <c r="AY36" s="122"/>
      <c r="AZ36" s="120">
        <v>1.0</v>
      </c>
      <c r="BA36" s="113"/>
      <c r="BB36" s="122"/>
      <c r="BC36" s="122"/>
      <c r="BD36" s="122"/>
      <c r="BE36" s="122"/>
      <c r="BF36" s="122"/>
      <c r="BG36" s="122"/>
      <c r="BH36" s="122"/>
      <c r="BI36" s="122"/>
      <c r="BJ36" s="122"/>
      <c r="BK36" s="113"/>
      <c r="BL36" s="122"/>
      <c r="BM36" s="122"/>
      <c r="BN36" s="122"/>
      <c r="BO36" s="122"/>
      <c r="BP36" s="122"/>
      <c r="BQ36" s="122"/>
      <c r="BR36" s="122"/>
      <c r="BS36" s="122"/>
      <c r="BT36" s="122"/>
      <c r="BU36" s="113"/>
      <c r="BV36" s="122"/>
      <c r="BW36" s="122"/>
      <c r="BX36" s="122"/>
      <c r="BY36" s="122"/>
      <c r="BZ36" s="122"/>
      <c r="CA36" s="122"/>
      <c r="CB36" s="122"/>
      <c r="CC36" s="122"/>
      <c r="CD36" s="122"/>
      <c r="CE36" s="113"/>
      <c r="CF36" s="122"/>
      <c r="CG36" s="122"/>
      <c r="CH36" s="122"/>
      <c r="CI36" s="122"/>
      <c r="CJ36" s="122"/>
      <c r="CK36" s="122"/>
      <c r="CL36" s="122"/>
      <c r="CM36" s="122"/>
      <c r="CN36" s="122"/>
      <c r="CO36" s="113"/>
      <c r="CP36" s="122"/>
      <c r="CQ36" s="122"/>
      <c r="CR36" s="122"/>
      <c r="CS36" s="122"/>
      <c r="CT36" s="122"/>
      <c r="CU36" s="122"/>
      <c r="CV36" s="122"/>
      <c r="CW36" s="122"/>
      <c r="CX36" s="140">
        <v>1.0</v>
      </c>
    </row>
    <row r="37" ht="35.25" customHeight="1">
      <c r="B37" s="124">
        <v>45781.0</v>
      </c>
      <c r="C37" s="121"/>
      <c r="D37" s="122"/>
      <c r="E37" s="122"/>
      <c r="F37" s="122"/>
      <c r="G37" s="122"/>
      <c r="H37" s="122"/>
      <c r="I37" s="122"/>
      <c r="J37" s="122"/>
      <c r="K37" s="122"/>
      <c r="L37" s="136"/>
      <c r="M37" s="113"/>
      <c r="N37" s="121"/>
      <c r="O37" s="122"/>
      <c r="P37" s="122"/>
      <c r="Q37" s="122"/>
      <c r="R37" s="122"/>
      <c r="S37" s="122"/>
      <c r="T37" s="122"/>
      <c r="U37" s="122"/>
      <c r="V37" s="122"/>
      <c r="W37" s="113"/>
      <c r="X37" s="122"/>
      <c r="Y37" s="122"/>
      <c r="Z37" s="122"/>
      <c r="AA37" s="122"/>
      <c r="AB37" s="122"/>
      <c r="AC37" s="122"/>
      <c r="AD37" s="122"/>
      <c r="AE37" s="122"/>
      <c r="AF37" s="122"/>
      <c r="AG37" s="116">
        <v>8.0</v>
      </c>
      <c r="AH37" s="120">
        <v>4.0</v>
      </c>
      <c r="AI37" s="120">
        <v>2.0</v>
      </c>
      <c r="AJ37" s="120">
        <v>4.0</v>
      </c>
      <c r="AK37" s="119"/>
      <c r="AL37" s="120">
        <v>6.0</v>
      </c>
      <c r="AM37" s="120">
        <v>3.0</v>
      </c>
      <c r="AN37" s="120">
        <v>9.0</v>
      </c>
      <c r="AO37" s="120">
        <v>5.0</v>
      </c>
      <c r="AP37" s="120">
        <v>4.0</v>
      </c>
      <c r="AQ37" s="113"/>
      <c r="AR37" s="122"/>
      <c r="AS37" s="122"/>
      <c r="AT37" s="122"/>
      <c r="AU37" s="122"/>
      <c r="AV37" s="122"/>
      <c r="AW37" s="122"/>
      <c r="AX37" s="122"/>
      <c r="AY37" s="122"/>
      <c r="AZ37" s="122"/>
      <c r="BA37" s="113"/>
      <c r="BB37" s="122"/>
      <c r="BC37" s="122"/>
      <c r="BD37" s="122"/>
      <c r="BE37" s="122"/>
      <c r="BF37" s="122"/>
      <c r="BG37" s="122"/>
      <c r="BH37" s="122"/>
      <c r="BI37" s="122"/>
      <c r="BJ37" s="122"/>
      <c r="BK37" s="113"/>
      <c r="BL37" s="122"/>
      <c r="BM37" s="122"/>
      <c r="BN37" s="122"/>
      <c r="BO37" s="122"/>
      <c r="BP37" s="122"/>
      <c r="BQ37" s="122"/>
      <c r="BR37" s="122"/>
      <c r="BS37" s="122"/>
      <c r="BT37" s="122"/>
      <c r="BU37" s="113"/>
      <c r="BV37" s="122"/>
      <c r="BW37" s="122"/>
      <c r="BX37" s="122"/>
      <c r="BY37" s="122"/>
      <c r="BZ37" s="122"/>
      <c r="CA37" s="122"/>
      <c r="CB37" s="122"/>
      <c r="CC37" s="122"/>
      <c r="CD37" s="122"/>
      <c r="CE37" s="113"/>
      <c r="CF37" s="122"/>
      <c r="CG37" s="122"/>
      <c r="CH37" s="122"/>
      <c r="CI37" s="122"/>
      <c r="CJ37" s="122"/>
      <c r="CK37" s="122"/>
      <c r="CL37" s="122"/>
      <c r="CM37" s="122"/>
      <c r="CN37" s="122"/>
      <c r="CO37" s="113"/>
      <c r="CP37" s="122"/>
      <c r="CQ37" s="122"/>
      <c r="CR37" s="122"/>
      <c r="CS37" s="122"/>
      <c r="CT37" s="122"/>
      <c r="CU37" s="122"/>
      <c r="CV37" s="122"/>
      <c r="CW37" s="122"/>
      <c r="CX37" s="123"/>
    </row>
    <row r="38" ht="35.25" customHeight="1">
      <c r="B38" s="124">
        <v>45812.0</v>
      </c>
      <c r="C38" s="121"/>
      <c r="D38" s="122"/>
      <c r="E38" s="122"/>
      <c r="F38" s="122"/>
      <c r="G38" s="122"/>
      <c r="H38" s="122"/>
      <c r="I38" s="122"/>
      <c r="J38" s="122"/>
      <c r="K38" s="122"/>
      <c r="L38" s="136"/>
      <c r="M38" s="113"/>
      <c r="N38" s="121"/>
      <c r="O38" s="122"/>
      <c r="P38" s="122"/>
      <c r="Q38" s="122"/>
      <c r="R38" s="122"/>
      <c r="S38" s="122"/>
      <c r="T38" s="122"/>
      <c r="U38" s="122"/>
      <c r="V38" s="122"/>
      <c r="W38" s="113"/>
      <c r="X38" s="122"/>
      <c r="Y38" s="122"/>
      <c r="Z38" s="122"/>
      <c r="AA38" s="122"/>
      <c r="AB38" s="122"/>
      <c r="AC38" s="122"/>
      <c r="AD38" s="122"/>
      <c r="AE38" s="122"/>
      <c r="AF38" s="122"/>
      <c r="AG38" s="116">
        <v>7.0</v>
      </c>
      <c r="AH38" s="120">
        <v>6.0</v>
      </c>
      <c r="AI38" s="120">
        <v>2.0</v>
      </c>
      <c r="AJ38" s="120">
        <v>3.0</v>
      </c>
      <c r="AK38" s="120">
        <v>6.0</v>
      </c>
      <c r="AL38" s="119"/>
      <c r="AM38" s="120">
        <v>4.0</v>
      </c>
      <c r="AN38" s="120">
        <v>6.0</v>
      </c>
      <c r="AO38" s="120">
        <v>3.0</v>
      </c>
      <c r="AP38" s="120">
        <v>4.0</v>
      </c>
      <c r="AQ38" s="113"/>
      <c r="AR38" s="122"/>
      <c r="AS38" s="122"/>
      <c r="AT38" s="122"/>
      <c r="AU38" s="122"/>
      <c r="AV38" s="122"/>
      <c r="AW38" s="122"/>
      <c r="AX38" s="122"/>
      <c r="AY38" s="122"/>
      <c r="AZ38" s="122"/>
      <c r="BA38" s="113"/>
      <c r="BB38" s="122"/>
      <c r="BC38" s="122"/>
      <c r="BD38" s="122"/>
      <c r="BE38" s="122"/>
      <c r="BF38" s="122"/>
      <c r="BG38" s="122"/>
      <c r="BH38" s="122"/>
      <c r="BI38" s="120">
        <v>1.0</v>
      </c>
      <c r="BJ38" s="122"/>
      <c r="BK38" s="113"/>
      <c r="BL38" s="122"/>
      <c r="BM38" s="122"/>
      <c r="BN38" s="122"/>
      <c r="BO38" s="122"/>
      <c r="BP38" s="122"/>
      <c r="BQ38" s="122"/>
      <c r="BR38" s="122"/>
      <c r="BS38" s="122"/>
      <c r="BT38" s="122"/>
      <c r="BU38" s="113"/>
      <c r="BV38" s="122"/>
      <c r="BW38" s="122"/>
      <c r="BX38" s="122"/>
      <c r="BY38" s="122"/>
      <c r="BZ38" s="122"/>
      <c r="CA38" s="122"/>
      <c r="CB38" s="122"/>
      <c r="CC38" s="122"/>
      <c r="CD38" s="122"/>
      <c r="CE38" s="113"/>
      <c r="CF38" s="122"/>
      <c r="CG38" s="122"/>
      <c r="CH38" s="122"/>
      <c r="CI38" s="122"/>
      <c r="CJ38" s="122"/>
      <c r="CK38" s="122"/>
      <c r="CL38" s="122"/>
      <c r="CM38" s="122"/>
      <c r="CN38" s="122"/>
      <c r="CO38" s="113"/>
      <c r="CP38" s="122"/>
      <c r="CQ38" s="122"/>
      <c r="CR38" s="122"/>
      <c r="CS38" s="122"/>
      <c r="CT38" s="122"/>
      <c r="CU38" s="122"/>
      <c r="CV38" s="122"/>
      <c r="CW38" s="122"/>
      <c r="CX38" s="123"/>
    </row>
    <row r="39" ht="35.25" customHeight="1">
      <c r="B39" s="124">
        <v>45842.0</v>
      </c>
      <c r="C39" s="121"/>
      <c r="D39" s="122"/>
      <c r="E39" s="122"/>
      <c r="F39" s="122"/>
      <c r="G39" s="122"/>
      <c r="H39" s="122"/>
      <c r="I39" s="122"/>
      <c r="J39" s="120">
        <v>1.0</v>
      </c>
      <c r="K39" s="122"/>
      <c r="L39" s="141">
        <v>1.0</v>
      </c>
      <c r="M39" s="113"/>
      <c r="N39" s="121"/>
      <c r="O39" s="122"/>
      <c r="P39" s="122"/>
      <c r="Q39" s="122"/>
      <c r="R39" s="122"/>
      <c r="S39" s="122"/>
      <c r="T39" s="122"/>
      <c r="U39" s="122"/>
      <c r="V39" s="122"/>
      <c r="W39" s="113"/>
      <c r="X39" s="122"/>
      <c r="Y39" s="122"/>
      <c r="Z39" s="122"/>
      <c r="AA39" s="122"/>
      <c r="AB39" s="122"/>
      <c r="AC39" s="122"/>
      <c r="AD39" s="122"/>
      <c r="AE39" s="122"/>
      <c r="AF39" s="122"/>
      <c r="AG39" s="116">
        <v>2.0</v>
      </c>
      <c r="AH39" s="120">
        <v>4.0</v>
      </c>
      <c r="AI39" s="120">
        <v>3.0</v>
      </c>
      <c r="AJ39" s="120">
        <v>10.0</v>
      </c>
      <c r="AK39" s="120">
        <v>3.0</v>
      </c>
      <c r="AL39" s="120">
        <v>4.0</v>
      </c>
      <c r="AM39" s="119"/>
      <c r="AN39" s="120">
        <v>3.0</v>
      </c>
      <c r="AO39" s="120">
        <v>1.0</v>
      </c>
      <c r="AP39" s="120">
        <v>2.0</v>
      </c>
      <c r="AQ39" s="113"/>
      <c r="AR39" s="122"/>
      <c r="AS39" s="122"/>
      <c r="AT39" s="122"/>
      <c r="AU39" s="122"/>
      <c r="AV39" s="122"/>
      <c r="AW39" s="120">
        <v>1.0</v>
      </c>
      <c r="AX39" s="122"/>
      <c r="AY39" s="122"/>
      <c r="AZ39" s="122"/>
      <c r="BA39" s="113"/>
      <c r="BB39" s="120">
        <v>1.0</v>
      </c>
      <c r="BC39" s="122"/>
      <c r="BD39" s="122"/>
      <c r="BE39" s="122"/>
      <c r="BF39" s="122"/>
      <c r="BG39" s="120">
        <v>1.0</v>
      </c>
      <c r="BH39" s="120">
        <v>1.0</v>
      </c>
      <c r="BI39" s="120">
        <v>1.0</v>
      </c>
      <c r="BJ39" s="120">
        <v>1.0</v>
      </c>
      <c r="BK39" s="113"/>
      <c r="BL39" s="122"/>
      <c r="BM39" s="122"/>
      <c r="BN39" s="122"/>
      <c r="BO39" s="122"/>
      <c r="BP39" s="122"/>
      <c r="BQ39" s="122"/>
      <c r="BR39" s="122"/>
      <c r="BS39" s="122"/>
      <c r="BT39" s="122"/>
      <c r="BU39" s="113"/>
      <c r="BV39" s="122"/>
      <c r="BW39" s="122"/>
      <c r="BX39" s="122"/>
      <c r="BY39" s="122"/>
      <c r="BZ39" s="122"/>
      <c r="CA39" s="122"/>
      <c r="CB39" s="122"/>
      <c r="CC39" s="122"/>
      <c r="CD39" s="122"/>
      <c r="CE39" s="113"/>
      <c r="CF39" s="122"/>
      <c r="CG39" s="122"/>
      <c r="CH39" s="122"/>
      <c r="CI39" s="122"/>
      <c r="CJ39" s="122"/>
      <c r="CK39" s="122"/>
      <c r="CL39" s="122"/>
      <c r="CM39" s="122"/>
      <c r="CN39" s="122"/>
      <c r="CO39" s="113"/>
      <c r="CP39" s="122"/>
      <c r="CQ39" s="122"/>
      <c r="CR39" s="122"/>
      <c r="CS39" s="122"/>
      <c r="CT39" s="122"/>
      <c r="CU39" s="122"/>
      <c r="CV39" s="122"/>
      <c r="CW39" s="122"/>
      <c r="CX39" s="123"/>
    </row>
    <row r="40" ht="35.25" customHeight="1">
      <c r="B40" s="124">
        <v>45873.0</v>
      </c>
      <c r="C40" s="121"/>
      <c r="D40" s="122"/>
      <c r="E40" s="122"/>
      <c r="F40" s="122"/>
      <c r="G40" s="122"/>
      <c r="H40" s="122"/>
      <c r="I40" s="122"/>
      <c r="J40" s="122"/>
      <c r="K40" s="122"/>
      <c r="L40" s="136"/>
      <c r="M40" s="113"/>
      <c r="N40" s="121"/>
      <c r="O40" s="122"/>
      <c r="P40" s="122"/>
      <c r="Q40" s="122"/>
      <c r="R40" s="122"/>
      <c r="S40" s="122"/>
      <c r="T40" s="122"/>
      <c r="U40" s="122"/>
      <c r="V40" s="122"/>
      <c r="W40" s="113"/>
      <c r="X40" s="122"/>
      <c r="Y40" s="122"/>
      <c r="Z40" s="122"/>
      <c r="AA40" s="122"/>
      <c r="AB40" s="122"/>
      <c r="AC40" s="122"/>
      <c r="AD40" s="122"/>
      <c r="AE40" s="122"/>
      <c r="AF40" s="122"/>
      <c r="AG40" s="116">
        <v>3.0</v>
      </c>
      <c r="AH40" s="120">
        <v>3.0</v>
      </c>
      <c r="AI40" s="120">
        <v>5.0</v>
      </c>
      <c r="AJ40" s="120">
        <v>4.0</v>
      </c>
      <c r="AK40" s="120">
        <v>9.0</v>
      </c>
      <c r="AL40" s="120">
        <v>6.0</v>
      </c>
      <c r="AM40" s="120">
        <v>3.0</v>
      </c>
      <c r="AN40" s="119"/>
      <c r="AO40" s="120">
        <v>3.0</v>
      </c>
      <c r="AP40" s="120">
        <v>5.0</v>
      </c>
      <c r="AQ40" s="113"/>
      <c r="AR40" s="122"/>
      <c r="AS40" s="122"/>
      <c r="AT40" s="122"/>
      <c r="AU40" s="122"/>
      <c r="AV40" s="122"/>
      <c r="AW40" s="122"/>
      <c r="AX40" s="122"/>
      <c r="AY40" s="122"/>
      <c r="AZ40" s="120">
        <v>1.0</v>
      </c>
      <c r="BA40" s="113"/>
      <c r="BB40" s="122"/>
      <c r="BC40" s="122"/>
      <c r="BD40" s="122"/>
      <c r="BE40" s="122"/>
      <c r="BF40" s="122"/>
      <c r="BG40" s="122"/>
      <c r="BH40" s="122"/>
      <c r="BI40" s="122"/>
      <c r="BJ40" s="122"/>
      <c r="BK40" s="113"/>
      <c r="BL40" s="122"/>
      <c r="BM40" s="122"/>
      <c r="BN40" s="122"/>
      <c r="BO40" s="122"/>
      <c r="BP40" s="122"/>
      <c r="BQ40" s="122"/>
      <c r="BR40" s="122"/>
      <c r="BS40" s="122"/>
      <c r="BT40" s="122"/>
      <c r="BU40" s="113"/>
      <c r="BV40" s="122"/>
      <c r="BW40" s="122"/>
      <c r="BX40" s="122"/>
      <c r="BY40" s="122"/>
      <c r="BZ40" s="122"/>
      <c r="CA40" s="122"/>
      <c r="CB40" s="122"/>
      <c r="CC40" s="122"/>
      <c r="CD40" s="122"/>
      <c r="CE40" s="113"/>
      <c r="CF40" s="122"/>
      <c r="CG40" s="122"/>
      <c r="CH40" s="122"/>
      <c r="CI40" s="122"/>
      <c r="CJ40" s="122"/>
      <c r="CK40" s="122"/>
      <c r="CL40" s="122"/>
      <c r="CM40" s="122"/>
      <c r="CN40" s="122"/>
      <c r="CO40" s="113"/>
      <c r="CP40" s="122"/>
      <c r="CQ40" s="122"/>
      <c r="CR40" s="122"/>
      <c r="CS40" s="122"/>
      <c r="CT40" s="122"/>
      <c r="CU40" s="122"/>
      <c r="CV40" s="122"/>
      <c r="CW40" s="122"/>
      <c r="CX40" s="140">
        <v>1.0</v>
      </c>
    </row>
    <row r="41" ht="35.25" customHeight="1">
      <c r="B41" s="124">
        <v>45904.0</v>
      </c>
      <c r="C41" s="121"/>
      <c r="D41" s="122"/>
      <c r="E41" s="122"/>
      <c r="F41" s="122"/>
      <c r="G41" s="122"/>
      <c r="H41" s="122"/>
      <c r="I41" s="122"/>
      <c r="J41" s="122"/>
      <c r="K41" s="122"/>
      <c r="L41" s="136"/>
      <c r="M41" s="113"/>
      <c r="N41" s="121"/>
      <c r="O41" s="122"/>
      <c r="P41" s="122"/>
      <c r="Q41" s="122"/>
      <c r="R41" s="122"/>
      <c r="S41" s="122"/>
      <c r="T41" s="122"/>
      <c r="U41" s="122"/>
      <c r="V41" s="122"/>
      <c r="W41" s="113"/>
      <c r="X41" s="122"/>
      <c r="Y41" s="122"/>
      <c r="Z41" s="122"/>
      <c r="AA41" s="122"/>
      <c r="AB41" s="122"/>
      <c r="AC41" s="120">
        <v>1.0</v>
      </c>
      <c r="AD41" s="122"/>
      <c r="AE41" s="120">
        <v>1.0</v>
      </c>
      <c r="AF41" s="122"/>
      <c r="AG41" s="116">
        <v>8.0</v>
      </c>
      <c r="AH41" s="120">
        <v>4.0</v>
      </c>
      <c r="AI41" s="120">
        <v>4.0</v>
      </c>
      <c r="AJ41" s="120">
        <v>3.0</v>
      </c>
      <c r="AK41" s="120">
        <v>5.0</v>
      </c>
      <c r="AL41" s="120">
        <v>3.0</v>
      </c>
      <c r="AM41" s="120">
        <v>1.0</v>
      </c>
      <c r="AN41" s="120">
        <v>3.0</v>
      </c>
      <c r="AO41" s="119"/>
      <c r="AP41" s="120">
        <v>6.0</v>
      </c>
      <c r="AQ41" s="113"/>
      <c r="AR41" s="122"/>
      <c r="AS41" s="122"/>
      <c r="AT41" s="122"/>
      <c r="AU41" s="122"/>
      <c r="AV41" s="122"/>
      <c r="AW41" s="122"/>
      <c r="AX41" s="122"/>
      <c r="AY41" s="122"/>
      <c r="AZ41" s="122"/>
      <c r="BA41" s="113"/>
      <c r="BB41" s="122"/>
      <c r="BC41" s="122"/>
      <c r="BD41" s="122"/>
      <c r="BE41" s="122"/>
      <c r="BF41" s="122"/>
      <c r="BG41" s="122"/>
      <c r="BH41" s="122"/>
      <c r="BI41" s="122"/>
      <c r="BJ41" s="122"/>
      <c r="BK41" s="113"/>
      <c r="BL41" s="122"/>
      <c r="BM41" s="122"/>
      <c r="BN41" s="122"/>
      <c r="BO41" s="122"/>
      <c r="BP41" s="122"/>
      <c r="BQ41" s="122"/>
      <c r="BR41" s="122"/>
      <c r="BS41" s="122"/>
      <c r="BT41" s="122"/>
      <c r="BU41" s="113"/>
      <c r="BV41" s="122"/>
      <c r="BW41" s="122"/>
      <c r="BX41" s="122"/>
      <c r="BY41" s="122"/>
      <c r="BZ41" s="122"/>
      <c r="CA41" s="122"/>
      <c r="CB41" s="122"/>
      <c r="CC41" s="122"/>
      <c r="CD41" s="122"/>
      <c r="CE41" s="113"/>
      <c r="CF41" s="122"/>
      <c r="CG41" s="122"/>
      <c r="CH41" s="122"/>
      <c r="CI41" s="122"/>
      <c r="CJ41" s="122"/>
      <c r="CK41" s="122"/>
      <c r="CL41" s="122"/>
      <c r="CM41" s="122"/>
      <c r="CN41" s="122"/>
      <c r="CO41" s="113"/>
      <c r="CP41" s="122"/>
      <c r="CQ41" s="122"/>
      <c r="CR41" s="122"/>
      <c r="CS41" s="122"/>
      <c r="CT41" s="122"/>
      <c r="CU41" s="122"/>
      <c r="CV41" s="122"/>
      <c r="CW41" s="122"/>
      <c r="CX41" s="123"/>
    </row>
    <row r="42" ht="35.25" customHeight="1">
      <c r="A42" s="125"/>
      <c r="B42" s="126">
        <v>45934.0</v>
      </c>
      <c r="C42" s="131"/>
      <c r="D42" s="132"/>
      <c r="E42" s="132"/>
      <c r="F42" s="132"/>
      <c r="G42" s="132"/>
      <c r="H42" s="132"/>
      <c r="I42" s="128">
        <v>1.0</v>
      </c>
      <c r="J42" s="132"/>
      <c r="K42" s="132"/>
      <c r="L42" s="137"/>
      <c r="M42" s="130"/>
      <c r="N42" s="131"/>
      <c r="O42" s="132"/>
      <c r="P42" s="132"/>
      <c r="Q42" s="132"/>
      <c r="R42" s="132"/>
      <c r="S42" s="132"/>
      <c r="T42" s="132"/>
      <c r="U42" s="132"/>
      <c r="V42" s="132"/>
      <c r="W42" s="130"/>
      <c r="X42" s="132"/>
      <c r="Y42" s="132"/>
      <c r="Z42" s="132"/>
      <c r="AA42" s="132"/>
      <c r="AB42" s="132"/>
      <c r="AC42" s="132"/>
      <c r="AD42" s="132"/>
      <c r="AE42" s="132"/>
      <c r="AF42" s="132"/>
      <c r="AG42" s="127">
        <v>4.0</v>
      </c>
      <c r="AH42" s="128">
        <v>2.0</v>
      </c>
      <c r="AI42" s="128">
        <v>4.0</v>
      </c>
      <c r="AJ42" s="128">
        <v>2.0</v>
      </c>
      <c r="AK42" s="128">
        <v>4.0</v>
      </c>
      <c r="AL42" s="128">
        <v>4.0</v>
      </c>
      <c r="AM42" s="128">
        <v>2.0</v>
      </c>
      <c r="AN42" s="128">
        <v>5.0</v>
      </c>
      <c r="AO42" s="128">
        <v>6.0</v>
      </c>
      <c r="AP42" s="129"/>
      <c r="AQ42" s="130"/>
      <c r="AR42" s="128">
        <v>1.0</v>
      </c>
      <c r="AS42" s="128">
        <v>1.0</v>
      </c>
      <c r="AT42" s="132"/>
      <c r="AU42" s="132"/>
      <c r="AV42" s="132"/>
      <c r="AW42" s="132"/>
      <c r="AX42" s="132"/>
      <c r="AY42" s="132"/>
      <c r="AZ42" s="132"/>
      <c r="BA42" s="130"/>
      <c r="BB42" s="132"/>
      <c r="BC42" s="132"/>
      <c r="BD42" s="128">
        <v>1.0</v>
      </c>
      <c r="BE42" s="132"/>
      <c r="BF42" s="132"/>
      <c r="BG42" s="132"/>
      <c r="BH42" s="132"/>
      <c r="BI42" s="132"/>
      <c r="BJ42" s="132"/>
      <c r="BK42" s="130"/>
      <c r="BL42" s="132"/>
      <c r="BM42" s="132"/>
      <c r="BN42" s="132"/>
      <c r="BO42" s="132"/>
      <c r="BP42" s="132"/>
      <c r="BQ42" s="132"/>
      <c r="BR42" s="132"/>
      <c r="BS42" s="132"/>
      <c r="BT42" s="132"/>
      <c r="BU42" s="130"/>
      <c r="BV42" s="132"/>
      <c r="BW42" s="132"/>
      <c r="BX42" s="132"/>
      <c r="BY42" s="132"/>
      <c r="BZ42" s="132"/>
      <c r="CA42" s="132"/>
      <c r="CB42" s="132"/>
      <c r="CC42" s="132"/>
      <c r="CD42" s="132"/>
      <c r="CE42" s="130"/>
      <c r="CF42" s="132"/>
      <c r="CG42" s="132"/>
      <c r="CH42" s="132"/>
      <c r="CI42" s="132"/>
      <c r="CJ42" s="132"/>
      <c r="CK42" s="132"/>
      <c r="CL42" s="132"/>
      <c r="CM42" s="132"/>
      <c r="CN42" s="132"/>
      <c r="CO42" s="130"/>
      <c r="CP42" s="132"/>
      <c r="CQ42" s="132"/>
      <c r="CR42" s="132"/>
      <c r="CS42" s="132"/>
      <c r="CT42" s="132"/>
      <c r="CU42" s="132"/>
      <c r="CV42" s="132"/>
      <c r="CW42" s="132"/>
      <c r="CX42" s="133"/>
    </row>
    <row r="43" ht="35.25" customHeight="1">
      <c r="A43" s="138" t="s">
        <v>2939</v>
      </c>
      <c r="B43" s="124">
        <v>45662.0</v>
      </c>
      <c r="C43" s="114"/>
      <c r="D43" s="115"/>
      <c r="E43" s="115"/>
      <c r="F43" s="115"/>
      <c r="G43" s="115"/>
      <c r="H43" s="115"/>
      <c r="I43" s="115"/>
      <c r="J43" s="115"/>
      <c r="K43" s="115"/>
      <c r="L43" s="135"/>
      <c r="M43" s="113"/>
      <c r="N43" s="114"/>
      <c r="O43" s="115"/>
      <c r="P43" s="115"/>
      <c r="Q43" s="115"/>
      <c r="R43" s="115"/>
      <c r="S43" s="115"/>
      <c r="T43" s="115"/>
      <c r="U43" s="115"/>
      <c r="V43" s="115"/>
      <c r="W43" s="113"/>
      <c r="X43" s="115"/>
      <c r="Y43" s="115"/>
      <c r="Z43" s="115"/>
      <c r="AA43" s="115"/>
      <c r="AB43" s="115"/>
      <c r="AC43" s="115"/>
      <c r="AD43" s="115"/>
      <c r="AE43" s="115"/>
      <c r="AF43" s="115"/>
      <c r="AG43" s="113"/>
      <c r="AH43" s="115"/>
      <c r="AI43" s="115"/>
      <c r="AJ43" s="115"/>
      <c r="AK43" s="115"/>
      <c r="AL43" s="115"/>
      <c r="AM43" s="115"/>
      <c r="AN43" s="115"/>
      <c r="AO43" s="115"/>
      <c r="AP43" s="115"/>
      <c r="AQ43" s="111"/>
      <c r="AR43" s="112">
        <v>4.0</v>
      </c>
      <c r="AS43" s="112">
        <v>1.0</v>
      </c>
      <c r="AT43" s="112">
        <v>2.0</v>
      </c>
      <c r="AU43" s="112">
        <v>8.0</v>
      </c>
      <c r="AV43" s="112">
        <v>7.0</v>
      </c>
      <c r="AW43" s="112">
        <v>3.0</v>
      </c>
      <c r="AX43" s="112">
        <v>3.0</v>
      </c>
      <c r="AY43" s="112">
        <v>9.0</v>
      </c>
      <c r="AZ43" s="112">
        <v>4.0</v>
      </c>
      <c r="BA43" s="113"/>
      <c r="BB43" s="115"/>
      <c r="BC43" s="115"/>
      <c r="BD43" s="115"/>
      <c r="BE43" s="115"/>
      <c r="BF43" s="115"/>
      <c r="BG43" s="115"/>
      <c r="BH43" s="115"/>
      <c r="BI43" s="115"/>
      <c r="BJ43" s="115"/>
      <c r="BK43" s="113"/>
      <c r="BL43" s="115"/>
      <c r="BM43" s="115"/>
      <c r="BN43" s="115"/>
      <c r="BO43" s="115"/>
      <c r="BP43" s="115"/>
      <c r="BQ43" s="115"/>
      <c r="BR43" s="115"/>
      <c r="BS43" s="115"/>
      <c r="BT43" s="115"/>
      <c r="BU43" s="113"/>
      <c r="BV43" s="115"/>
      <c r="BW43" s="115"/>
      <c r="BX43" s="115"/>
      <c r="BY43" s="115"/>
      <c r="BZ43" s="115"/>
      <c r="CA43" s="115"/>
      <c r="CB43" s="115"/>
      <c r="CC43" s="115"/>
      <c r="CD43" s="115"/>
      <c r="CE43" s="116">
        <v>1.0</v>
      </c>
      <c r="CF43" s="115"/>
      <c r="CG43" s="115"/>
      <c r="CH43" s="115"/>
      <c r="CI43" s="115"/>
      <c r="CJ43" s="115"/>
      <c r="CK43" s="115"/>
      <c r="CL43" s="115"/>
      <c r="CM43" s="115"/>
      <c r="CN43" s="115"/>
      <c r="CO43" s="113"/>
      <c r="CP43" s="115"/>
      <c r="CQ43" s="115"/>
      <c r="CR43" s="115"/>
      <c r="CS43" s="115"/>
      <c r="CT43" s="115"/>
      <c r="CU43" s="115"/>
      <c r="CV43" s="115"/>
      <c r="CW43" s="115"/>
      <c r="CX43" s="117"/>
    </row>
    <row r="44" ht="35.25" customHeight="1">
      <c r="B44" s="124">
        <v>45693.0</v>
      </c>
      <c r="C44" s="121"/>
      <c r="D44" s="122"/>
      <c r="E44" s="122"/>
      <c r="F44" s="122"/>
      <c r="G44" s="122"/>
      <c r="H44" s="122"/>
      <c r="I44" s="122"/>
      <c r="J44" s="122"/>
      <c r="K44" s="122"/>
      <c r="L44" s="136"/>
      <c r="M44" s="113"/>
      <c r="N44" s="121"/>
      <c r="O44" s="122"/>
      <c r="P44" s="122"/>
      <c r="Q44" s="122"/>
      <c r="R44" s="122"/>
      <c r="S44" s="122"/>
      <c r="T44" s="122"/>
      <c r="U44" s="122"/>
      <c r="V44" s="122"/>
      <c r="W44" s="113"/>
      <c r="X44" s="122"/>
      <c r="Y44" s="122"/>
      <c r="Z44" s="122"/>
      <c r="AA44" s="122"/>
      <c r="AB44" s="122"/>
      <c r="AC44" s="122"/>
      <c r="AD44" s="122"/>
      <c r="AE44" s="122"/>
      <c r="AF44" s="122"/>
      <c r="AG44" s="113"/>
      <c r="AH44" s="122"/>
      <c r="AI44" s="122"/>
      <c r="AJ44" s="122"/>
      <c r="AK44" s="122"/>
      <c r="AL44" s="122"/>
      <c r="AM44" s="122"/>
      <c r="AN44" s="122"/>
      <c r="AO44" s="122"/>
      <c r="AP44" s="120">
        <v>1.0</v>
      </c>
      <c r="AQ44" s="116">
        <v>4.0</v>
      </c>
      <c r="AR44" s="119"/>
      <c r="AS44" s="120">
        <v>4.0</v>
      </c>
      <c r="AT44" s="120">
        <v>4.0</v>
      </c>
      <c r="AU44" s="120">
        <v>5.0</v>
      </c>
      <c r="AV44" s="120">
        <v>6.0</v>
      </c>
      <c r="AW44" s="120">
        <v>3.0</v>
      </c>
      <c r="AX44" s="120">
        <v>3.0</v>
      </c>
      <c r="AY44" s="120">
        <v>4.0</v>
      </c>
      <c r="AZ44" s="120">
        <v>2.0</v>
      </c>
      <c r="BA44" s="113"/>
      <c r="BB44" s="122"/>
      <c r="BC44" s="122"/>
      <c r="BD44" s="120">
        <v>1.0</v>
      </c>
      <c r="BE44" s="122"/>
      <c r="BF44" s="122"/>
      <c r="BG44" s="122"/>
      <c r="BH44" s="122"/>
      <c r="BI44" s="122"/>
      <c r="BJ44" s="122"/>
      <c r="BK44" s="113"/>
      <c r="BL44" s="122"/>
      <c r="BM44" s="122"/>
      <c r="BN44" s="122"/>
      <c r="BO44" s="122"/>
      <c r="BP44" s="122"/>
      <c r="BQ44" s="122"/>
      <c r="BR44" s="122"/>
      <c r="BS44" s="122"/>
      <c r="BT44" s="122"/>
      <c r="BU44" s="113"/>
      <c r="BV44" s="122"/>
      <c r="BW44" s="122"/>
      <c r="BX44" s="122"/>
      <c r="BY44" s="122"/>
      <c r="BZ44" s="122"/>
      <c r="CA44" s="122"/>
      <c r="CB44" s="122"/>
      <c r="CC44" s="122"/>
      <c r="CD44" s="122"/>
      <c r="CE44" s="113"/>
      <c r="CF44" s="120">
        <v>1.0</v>
      </c>
      <c r="CG44" s="122"/>
      <c r="CH44" s="122"/>
      <c r="CI44" s="122"/>
      <c r="CJ44" s="122"/>
      <c r="CK44" s="120">
        <v>1.0</v>
      </c>
      <c r="CL44" s="122"/>
      <c r="CM44" s="122"/>
      <c r="CN44" s="120">
        <v>1.0</v>
      </c>
      <c r="CO44" s="113"/>
      <c r="CP44" s="122"/>
      <c r="CQ44" s="122"/>
      <c r="CR44" s="122"/>
      <c r="CS44" s="122"/>
      <c r="CT44" s="122"/>
      <c r="CU44" s="120">
        <v>1.0</v>
      </c>
      <c r="CV44" s="122"/>
      <c r="CW44" s="122"/>
      <c r="CX44" s="123"/>
    </row>
    <row r="45" ht="35.25" customHeight="1">
      <c r="B45" s="124">
        <v>45721.0</v>
      </c>
      <c r="C45" s="121"/>
      <c r="D45" s="122"/>
      <c r="E45" s="122"/>
      <c r="F45" s="122"/>
      <c r="G45" s="122"/>
      <c r="H45" s="122"/>
      <c r="I45" s="122"/>
      <c r="J45" s="122"/>
      <c r="K45" s="122"/>
      <c r="L45" s="136"/>
      <c r="M45" s="113"/>
      <c r="N45" s="121"/>
      <c r="O45" s="122"/>
      <c r="P45" s="122"/>
      <c r="Q45" s="122"/>
      <c r="R45" s="122"/>
      <c r="S45" s="122"/>
      <c r="T45" s="122"/>
      <c r="U45" s="122"/>
      <c r="V45" s="122"/>
      <c r="W45" s="113"/>
      <c r="X45" s="122"/>
      <c r="Y45" s="122"/>
      <c r="Z45" s="122"/>
      <c r="AA45" s="122"/>
      <c r="AB45" s="122"/>
      <c r="AC45" s="122"/>
      <c r="AD45" s="122"/>
      <c r="AE45" s="122"/>
      <c r="AF45" s="122"/>
      <c r="AG45" s="113"/>
      <c r="AH45" s="122"/>
      <c r="AI45" s="122"/>
      <c r="AJ45" s="122"/>
      <c r="AK45" s="122"/>
      <c r="AL45" s="122"/>
      <c r="AM45" s="122"/>
      <c r="AN45" s="122"/>
      <c r="AO45" s="122"/>
      <c r="AP45" s="120">
        <v>1.0</v>
      </c>
      <c r="AQ45" s="116">
        <v>1.0</v>
      </c>
      <c r="AR45" s="120">
        <v>4.0</v>
      </c>
      <c r="AS45" s="119"/>
      <c r="AT45" s="120">
        <v>6.0</v>
      </c>
      <c r="AU45" s="120">
        <v>3.0</v>
      </c>
      <c r="AV45" s="120">
        <v>2.0</v>
      </c>
      <c r="AW45" s="120">
        <v>5.0</v>
      </c>
      <c r="AX45" s="120">
        <v>5.0</v>
      </c>
      <c r="AY45" s="120">
        <v>4.0</v>
      </c>
      <c r="AZ45" s="120">
        <v>4.0</v>
      </c>
      <c r="BA45" s="113"/>
      <c r="BB45" s="122"/>
      <c r="BC45" s="122"/>
      <c r="BD45" s="122"/>
      <c r="BE45" s="122"/>
      <c r="BF45" s="122"/>
      <c r="BG45" s="122"/>
      <c r="BH45" s="122"/>
      <c r="BI45" s="122"/>
      <c r="BJ45" s="122"/>
      <c r="BK45" s="113"/>
      <c r="BL45" s="122"/>
      <c r="BM45" s="122"/>
      <c r="BN45" s="122"/>
      <c r="BO45" s="122"/>
      <c r="BP45" s="122"/>
      <c r="BQ45" s="122"/>
      <c r="BR45" s="122"/>
      <c r="BS45" s="122"/>
      <c r="BT45" s="122"/>
      <c r="BU45" s="113"/>
      <c r="BV45" s="122"/>
      <c r="BW45" s="122"/>
      <c r="BX45" s="122"/>
      <c r="BY45" s="122"/>
      <c r="BZ45" s="122"/>
      <c r="CA45" s="122"/>
      <c r="CB45" s="122"/>
      <c r="CC45" s="122"/>
      <c r="CD45" s="122"/>
      <c r="CE45" s="113"/>
      <c r="CF45" s="120">
        <v>1.0</v>
      </c>
      <c r="CG45" s="120"/>
      <c r="CH45" s="122"/>
      <c r="CI45" s="122"/>
      <c r="CJ45" s="122"/>
      <c r="CK45" s="120">
        <v>1.0</v>
      </c>
      <c r="CL45" s="122"/>
      <c r="CM45" s="122"/>
      <c r="CN45" s="120">
        <v>2.0</v>
      </c>
      <c r="CO45" s="113"/>
      <c r="CP45" s="122"/>
      <c r="CQ45" s="122"/>
      <c r="CR45" s="122"/>
      <c r="CS45" s="122"/>
      <c r="CT45" s="122"/>
      <c r="CU45" s="120">
        <v>1.0</v>
      </c>
      <c r="CV45" s="122"/>
      <c r="CW45" s="122"/>
      <c r="CX45" s="123"/>
    </row>
    <row r="46" ht="35.25" customHeight="1">
      <c r="B46" s="124">
        <v>45752.0</v>
      </c>
      <c r="C46" s="121"/>
      <c r="D46" s="122"/>
      <c r="E46" s="122"/>
      <c r="F46" s="122"/>
      <c r="G46" s="122"/>
      <c r="H46" s="122"/>
      <c r="I46" s="122"/>
      <c r="J46" s="122"/>
      <c r="K46" s="122"/>
      <c r="L46" s="136"/>
      <c r="M46" s="113"/>
      <c r="N46" s="121"/>
      <c r="O46" s="122"/>
      <c r="P46" s="122"/>
      <c r="Q46" s="122"/>
      <c r="R46" s="122"/>
      <c r="S46" s="122"/>
      <c r="T46" s="122"/>
      <c r="U46" s="122"/>
      <c r="V46" s="122"/>
      <c r="W46" s="113"/>
      <c r="X46" s="122"/>
      <c r="Y46" s="122"/>
      <c r="Z46" s="122"/>
      <c r="AA46" s="122"/>
      <c r="AB46" s="122"/>
      <c r="AC46" s="122"/>
      <c r="AD46" s="122"/>
      <c r="AE46" s="122"/>
      <c r="AF46" s="122"/>
      <c r="AG46" s="113"/>
      <c r="AH46" s="122"/>
      <c r="AI46" s="122"/>
      <c r="AJ46" s="122"/>
      <c r="AK46" s="122"/>
      <c r="AL46" s="122"/>
      <c r="AM46" s="122"/>
      <c r="AN46" s="122"/>
      <c r="AO46" s="122"/>
      <c r="AP46" s="122"/>
      <c r="AQ46" s="116">
        <v>2.0</v>
      </c>
      <c r="AR46" s="120">
        <v>4.0</v>
      </c>
      <c r="AS46" s="120">
        <v>6.0</v>
      </c>
      <c r="AT46" s="119"/>
      <c r="AU46" s="120">
        <v>3.0</v>
      </c>
      <c r="AV46" s="120">
        <v>2.0</v>
      </c>
      <c r="AW46" s="120">
        <v>7.0</v>
      </c>
      <c r="AX46" s="120">
        <v>3.0</v>
      </c>
      <c r="AY46" s="120">
        <v>6.0</v>
      </c>
      <c r="AZ46" s="120">
        <v>3.0</v>
      </c>
      <c r="BA46" s="113"/>
      <c r="BB46" s="122"/>
      <c r="BC46" s="122"/>
      <c r="BD46" s="120">
        <v>1.0</v>
      </c>
      <c r="BE46" s="122"/>
      <c r="BF46" s="122"/>
      <c r="BG46" s="122"/>
      <c r="BH46" s="122"/>
      <c r="BI46" s="122"/>
      <c r="BJ46" s="122"/>
      <c r="BK46" s="113"/>
      <c r="BL46" s="122"/>
      <c r="BM46" s="122"/>
      <c r="BN46" s="122"/>
      <c r="BO46" s="122"/>
      <c r="BP46" s="122"/>
      <c r="BQ46" s="122"/>
      <c r="BR46" s="122"/>
      <c r="BS46" s="122"/>
      <c r="BT46" s="122"/>
      <c r="BU46" s="113"/>
      <c r="BV46" s="122"/>
      <c r="BW46" s="122"/>
      <c r="BX46" s="122"/>
      <c r="BY46" s="122"/>
      <c r="BZ46" s="122"/>
      <c r="CA46" s="122"/>
      <c r="CB46" s="122"/>
      <c r="CC46" s="122"/>
      <c r="CD46" s="122"/>
      <c r="CE46" s="113"/>
      <c r="CF46" s="122"/>
      <c r="CG46" s="122"/>
      <c r="CH46" s="122"/>
      <c r="CI46" s="122"/>
      <c r="CJ46" s="122"/>
      <c r="CK46" s="122"/>
      <c r="CL46" s="122"/>
      <c r="CM46" s="122"/>
      <c r="CN46" s="122"/>
      <c r="CO46" s="113"/>
      <c r="CP46" s="122"/>
      <c r="CQ46" s="122"/>
      <c r="CR46" s="120">
        <v>1.0</v>
      </c>
      <c r="CS46" s="122"/>
      <c r="CT46" s="122"/>
      <c r="CU46" s="120">
        <v>1.0</v>
      </c>
      <c r="CV46" s="122"/>
      <c r="CW46" s="122"/>
      <c r="CX46" s="140">
        <v>1.0</v>
      </c>
    </row>
    <row r="47" ht="35.25" customHeight="1">
      <c r="B47" s="124">
        <v>45782.0</v>
      </c>
      <c r="C47" s="121"/>
      <c r="D47" s="122"/>
      <c r="E47" s="122"/>
      <c r="F47" s="122"/>
      <c r="G47" s="122"/>
      <c r="H47" s="122"/>
      <c r="I47" s="122"/>
      <c r="J47" s="122"/>
      <c r="K47" s="122"/>
      <c r="L47" s="136"/>
      <c r="M47" s="113"/>
      <c r="N47" s="142">
        <v>1.0</v>
      </c>
      <c r="O47" s="122"/>
      <c r="P47" s="120">
        <v>1.0</v>
      </c>
      <c r="Q47" s="120">
        <v>1.0</v>
      </c>
      <c r="R47" s="122"/>
      <c r="S47" s="120">
        <v>1.0</v>
      </c>
      <c r="T47" s="122"/>
      <c r="U47" s="122"/>
      <c r="V47" s="122"/>
      <c r="W47" s="113"/>
      <c r="X47" s="122"/>
      <c r="Y47" s="122"/>
      <c r="Z47" s="122"/>
      <c r="AA47" s="122"/>
      <c r="AB47" s="122"/>
      <c r="AC47" s="122"/>
      <c r="AD47" s="122"/>
      <c r="AE47" s="122"/>
      <c r="AF47" s="122"/>
      <c r="AG47" s="113"/>
      <c r="AH47" s="122"/>
      <c r="AI47" s="122"/>
      <c r="AJ47" s="122"/>
      <c r="AK47" s="122"/>
      <c r="AL47" s="122"/>
      <c r="AM47" s="122"/>
      <c r="AN47" s="122"/>
      <c r="AO47" s="122"/>
      <c r="AP47" s="122"/>
      <c r="AQ47" s="116">
        <v>8.0</v>
      </c>
      <c r="AR47" s="120">
        <v>5.0</v>
      </c>
      <c r="AS47" s="120">
        <v>3.0</v>
      </c>
      <c r="AT47" s="120">
        <v>3.0</v>
      </c>
      <c r="AU47" s="119"/>
      <c r="AV47" s="120">
        <v>6.0</v>
      </c>
      <c r="AW47" s="120">
        <v>3.0</v>
      </c>
      <c r="AX47" s="120">
        <v>8.0</v>
      </c>
      <c r="AY47" s="120">
        <v>5.0</v>
      </c>
      <c r="AZ47" s="120">
        <v>4.0</v>
      </c>
      <c r="BA47" s="113"/>
      <c r="BB47" s="122"/>
      <c r="BC47" s="122"/>
      <c r="BD47" s="122"/>
      <c r="BE47" s="122"/>
      <c r="BF47" s="122"/>
      <c r="BG47" s="122"/>
      <c r="BH47" s="122"/>
      <c r="BI47" s="122"/>
      <c r="BJ47" s="122"/>
      <c r="BK47" s="113"/>
      <c r="BL47" s="122"/>
      <c r="BM47" s="122"/>
      <c r="BN47" s="122"/>
      <c r="BO47" s="122"/>
      <c r="BP47" s="122"/>
      <c r="BQ47" s="122"/>
      <c r="BR47" s="122"/>
      <c r="BS47" s="122"/>
      <c r="BT47" s="122"/>
      <c r="BU47" s="113"/>
      <c r="BV47" s="122"/>
      <c r="BW47" s="122"/>
      <c r="BX47" s="122"/>
      <c r="BY47" s="122"/>
      <c r="BZ47" s="122"/>
      <c r="CA47" s="122"/>
      <c r="CB47" s="122"/>
      <c r="CC47" s="122"/>
      <c r="CD47" s="122"/>
      <c r="CE47" s="116">
        <v>1.0</v>
      </c>
      <c r="CF47" s="122"/>
      <c r="CG47" s="122"/>
      <c r="CH47" s="122"/>
      <c r="CI47" s="122"/>
      <c r="CJ47" s="122"/>
      <c r="CK47" s="122"/>
      <c r="CL47" s="122"/>
      <c r="CM47" s="122"/>
      <c r="CN47" s="122"/>
      <c r="CO47" s="113"/>
      <c r="CP47" s="122"/>
      <c r="CQ47" s="122"/>
      <c r="CR47" s="122"/>
      <c r="CS47" s="122"/>
      <c r="CT47" s="122"/>
      <c r="CU47" s="122"/>
      <c r="CV47" s="122"/>
      <c r="CW47" s="122"/>
      <c r="CX47" s="123"/>
    </row>
    <row r="48" ht="35.25" customHeight="1">
      <c r="B48" s="124">
        <v>45813.0</v>
      </c>
      <c r="C48" s="121"/>
      <c r="D48" s="122"/>
      <c r="E48" s="122"/>
      <c r="F48" s="122"/>
      <c r="G48" s="122"/>
      <c r="H48" s="122"/>
      <c r="I48" s="122"/>
      <c r="J48" s="122"/>
      <c r="K48" s="122"/>
      <c r="L48" s="136"/>
      <c r="M48" s="116">
        <v>1.0</v>
      </c>
      <c r="N48" s="121"/>
      <c r="O48" s="122"/>
      <c r="P48" s="122"/>
      <c r="Q48" s="122"/>
      <c r="R48" s="120">
        <v>1.0</v>
      </c>
      <c r="S48" s="120">
        <v>1.0</v>
      </c>
      <c r="T48" s="122"/>
      <c r="U48" s="120">
        <v>1.0</v>
      </c>
      <c r="V48" s="122"/>
      <c r="W48" s="113"/>
      <c r="X48" s="122"/>
      <c r="Y48" s="122"/>
      <c r="Z48" s="122"/>
      <c r="AA48" s="122"/>
      <c r="AB48" s="122"/>
      <c r="AC48" s="122"/>
      <c r="AD48" s="122"/>
      <c r="AE48" s="122"/>
      <c r="AF48" s="122"/>
      <c r="AG48" s="113"/>
      <c r="AH48" s="122"/>
      <c r="AI48" s="122"/>
      <c r="AJ48" s="122"/>
      <c r="AK48" s="122"/>
      <c r="AL48" s="122"/>
      <c r="AM48" s="122"/>
      <c r="AN48" s="122"/>
      <c r="AO48" s="122"/>
      <c r="AP48" s="122"/>
      <c r="AQ48" s="116">
        <v>7.0</v>
      </c>
      <c r="AR48" s="120">
        <v>6.0</v>
      </c>
      <c r="AS48" s="120">
        <v>2.0</v>
      </c>
      <c r="AT48" s="120">
        <v>2.0</v>
      </c>
      <c r="AU48" s="120">
        <v>6.0</v>
      </c>
      <c r="AV48" s="119"/>
      <c r="AW48" s="120">
        <v>3.0</v>
      </c>
      <c r="AX48" s="120">
        <v>6.0</v>
      </c>
      <c r="AY48" s="120">
        <v>3.0</v>
      </c>
      <c r="AZ48" s="120">
        <v>4.0</v>
      </c>
      <c r="BA48" s="113"/>
      <c r="BB48" s="122"/>
      <c r="BC48" s="122"/>
      <c r="BD48" s="122"/>
      <c r="BE48" s="122"/>
      <c r="BF48" s="122"/>
      <c r="BG48" s="122"/>
      <c r="BH48" s="122"/>
      <c r="BI48" s="122"/>
      <c r="BJ48" s="122"/>
      <c r="BK48" s="113"/>
      <c r="BL48" s="122"/>
      <c r="BM48" s="122"/>
      <c r="BN48" s="122"/>
      <c r="BO48" s="122"/>
      <c r="BP48" s="122"/>
      <c r="BQ48" s="122"/>
      <c r="BR48" s="122"/>
      <c r="BS48" s="122"/>
      <c r="BT48" s="122"/>
      <c r="BU48" s="113"/>
      <c r="BV48" s="122"/>
      <c r="BW48" s="122"/>
      <c r="BX48" s="122"/>
      <c r="BY48" s="122"/>
      <c r="BZ48" s="122"/>
      <c r="CA48" s="122"/>
      <c r="CB48" s="122"/>
      <c r="CC48" s="122"/>
      <c r="CD48" s="122"/>
      <c r="CE48" s="116">
        <v>1.0</v>
      </c>
      <c r="CF48" s="122"/>
      <c r="CG48" s="122"/>
      <c r="CH48" s="122"/>
      <c r="CI48" s="122"/>
      <c r="CJ48" s="122"/>
      <c r="CK48" s="122"/>
      <c r="CL48" s="122"/>
      <c r="CM48" s="122"/>
      <c r="CN48" s="120">
        <v>1.0</v>
      </c>
      <c r="CO48" s="113"/>
      <c r="CP48" s="122"/>
      <c r="CQ48" s="122"/>
      <c r="CR48" s="122"/>
      <c r="CS48" s="122"/>
      <c r="CT48" s="122"/>
      <c r="CU48" s="122"/>
      <c r="CV48" s="122"/>
      <c r="CW48" s="122"/>
      <c r="CX48" s="123"/>
    </row>
    <row r="49" ht="35.25" customHeight="1">
      <c r="B49" s="124">
        <v>45843.0</v>
      </c>
      <c r="C49" s="121"/>
      <c r="D49" s="122"/>
      <c r="E49" s="122"/>
      <c r="F49" s="122"/>
      <c r="G49" s="122"/>
      <c r="H49" s="122"/>
      <c r="I49" s="122"/>
      <c r="J49" s="120">
        <v>1.0</v>
      </c>
      <c r="K49" s="122"/>
      <c r="L49" s="141">
        <v>1.0</v>
      </c>
      <c r="M49" s="113"/>
      <c r="N49" s="142">
        <v>2.0</v>
      </c>
      <c r="O49" s="120">
        <v>1.0</v>
      </c>
      <c r="P49" s="120">
        <v>1.0</v>
      </c>
      <c r="Q49" s="120">
        <v>1.0</v>
      </c>
      <c r="R49" s="122"/>
      <c r="S49" s="120">
        <v>2.0</v>
      </c>
      <c r="T49" s="122"/>
      <c r="U49" s="122"/>
      <c r="V49" s="120">
        <v>1.0</v>
      </c>
      <c r="W49" s="113"/>
      <c r="X49" s="122"/>
      <c r="Y49" s="122"/>
      <c r="Z49" s="122"/>
      <c r="AA49" s="122"/>
      <c r="AB49" s="122"/>
      <c r="AC49" s="122"/>
      <c r="AD49" s="122"/>
      <c r="AE49" s="122"/>
      <c r="AF49" s="122"/>
      <c r="AG49" s="113"/>
      <c r="AH49" s="122"/>
      <c r="AI49" s="122"/>
      <c r="AJ49" s="122"/>
      <c r="AK49" s="122"/>
      <c r="AL49" s="122"/>
      <c r="AM49" s="120">
        <v>1.0</v>
      </c>
      <c r="AN49" s="122"/>
      <c r="AO49" s="122"/>
      <c r="AP49" s="122"/>
      <c r="AQ49" s="116">
        <v>3.0</v>
      </c>
      <c r="AR49" s="120">
        <v>3.0</v>
      </c>
      <c r="AS49" s="120">
        <v>5.0</v>
      </c>
      <c r="AT49" s="120">
        <v>8.0</v>
      </c>
      <c r="AU49" s="120">
        <v>3.0</v>
      </c>
      <c r="AV49" s="120">
        <v>3.0</v>
      </c>
      <c r="AW49" s="119"/>
      <c r="AX49" s="120">
        <v>3.0</v>
      </c>
      <c r="AY49" s="120">
        <v>4.0</v>
      </c>
      <c r="AZ49" s="120">
        <v>2.0</v>
      </c>
      <c r="BA49" s="113"/>
      <c r="BB49" s="122"/>
      <c r="BC49" s="122"/>
      <c r="BD49" s="122"/>
      <c r="BE49" s="122"/>
      <c r="BF49" s="122"/>
      <c r="BG49" s="120">
        <v>1.0</v>
      </c>
      <c r="BH49" s="120">
        <v>1.0</v>
      </c>
      <c r="BI49" s="122"/>
      <c r="BJ49" s="120">
        <v>1.0</v>
      </c>
      <c r="BK49" s="113"/>
      <c r="BL49" s="122"/>
      <c r="BM49" s="122"/>
      <c r="BN49" s="122"/>
      <c r="BO49" s="122"/>
      <c r="BP49" s="122"/>
      <c r="BQ49" s="122"/>
      <c r="BR49" s="122"/>
      <c r="BS49" s="122"/>
      <c r="BT49" s="122"/>
      <c r="BU49" s="113"/>
      <c r="BV49" s="122"/>
      <c r="BW49" s="122"/>
      <c r="BX49" s="122"/>
      <c r="BY49" s="122"/>
      <c r="BZ49" s="122"/>
      <c r="CA49" s="122"/>
      <c r="CB49" s="122"/>
      <c r="CC49" s="122"/>
      <c r="CD49" s="122"/>
      <c r="CE49" s="113"/>
      <c r="CF49" s="122"/>
      <c r="CG49" s="120">
        <v>1.0</v>
      </c>
      <c r="CH49" s="122"/>
      <c r="CI49" s="122"/>
      <c r="CJ49" s="122"/>
      <c r="CK49" s="122"/>
      <c r="CL49" s="122"/>
      <c r="CM49" s="122"/>
      <c r="CN49" s="122"/>
      <c r="CO49" s="113"/>
      <c r="CP49" s="120">
        <v>1.0</v>
      </c>
      <c r="CQ49" s="120">
        <v>1.0</v>
      </c>
      <c r="CR49" s="122"/>
      <c r="CS49" s="122"/>
      <c r="CT49" s="122"/>
      <c r="CU49" s="122"/>
      <c r="CV49" s="122"/>
      <c r="CW49" s="122"/>
      <c r="CX49" s="140">
        <v>1.0</v>
      </c>
    </row>
    <row r="50" ht="35.25" customHeight="1">
      <c r="B50" s="124">
        <v>45874.0</v>
      </c>
      <c r="C50" s="121"/>
      <c r="D50" s="120">
        <v>1.0</v>
      </c>
      <c r="E50" s="120">
        <v>1.0</v>
      </c>
      <c r="F50" s="120">
        <v>1.0</v>
      </c>
      <c r="G50" s="120">
        <v>1.0</v>
      </c>
      <c r="H50" s="122"/>
      <c r="I50" s="122"/>
      <c r="J50" s="122"/>
      <c r="K50" s="122"/>
      <c r="L50" s="136"/>
      <c r="M50" s="113"/>
      <c r="N50" s="121"/>
      <c r="O50" s="122"/>
      <c r="P50" s="122"/>
      <c r="Q50" s="122"/>
      <c r="R50" s="122"/>
      <c r="S50" s="122"/>
      <c r="T50" s="122"/>
      <c r="U50" s="122"/>
      <c r="V50" s="122"/>
      <c r="W50" s="113"/>
      <c r="X50" s="122"/>
      <c r="Y50" s="122"/>
      <c r="Z50" s="122"/>
      <c r="AA50" s="122"/>
      <c r="AB50" s="122"/>
      <c r="AC50" s="122"/>
      <c r="AD50" s="122"/>
      <c r="AE50" s="122"/>
      <c r="AF50" s="122"/>
      <c r="AG50" s="113"/>
      <c r="AH50" s="122"/>
      <c r="AI50" s="122"/>
      <c r="AJ50" s="122"/>
      <c r="AK50" s="122"/>
      <c r="AL50" s="122"/>
      <c r="AM50" s="122"/>
      <c r="AN50" s="122"/>
      <c r="AO50" s="122"/>
      <c r="AP50" s="122"/>
      <c r="AQ50" s="116">
        <v>3.0</v>
      </c>
      <c r="AR50" s="120">
        <v>3.0</v>
      </c>
      <c r="AS50" s="120">
        <v>5.0</v>
      </c>
      <c r="AT50" s="120">
        <v>3.0</v>
      </c>
      <c r="AU50" s="120">
        <v>8.0</v>
      </c>
      <c r="AV50" s="120">
        <v>6.0</v>
      </c>
      <c r="AW50" s="120">
        <v>3.0</v>
      </c>
      <c r="AX50" s="119"/>
      <c r="AY50" s="120">
        <v>3.0</v>
      </c>
      <c r="AZ50" s="120">
        <v>5.0</v>
      </c>
      <c r="BA50" s="113"/>
      <c r="BB50" s="122"/>
      <c r="BC50" s="122"/>
      <c r="BD50" s="122"/>
      <c r="BE50" s="122"/>
      <c r="BF50" s="122"/>
      <c r="BG50" s="122"/>
      <c r="BH50" s="122"/>
      <c r="BI50" s="122"/>
      <c r="BJ50" s="122"/>
      <c r="BK50" s="113"/>
      <c r="BL50" s="122"/>
      <c r="BM50" s="122"/>
      <c r="BN50" s="122"/>
      <c r="BO50" s="122"/>
      <c r="BP50" s="122"/>
      <c r="BQ50" s="122"/>
      <c r="BR50" s="122"/>
      <c r="BS50" s="122"/>
      <c r="BT50" s="122"/>
      <c r="BU50" s="113"/>
      <c r="BV50" s="120">
        <v>1.0</v>
      </c>
      <c r="BW50" s="122"/>
      <c r="BX50" s="122"/>
      <c r="BY50" s="122"/>
      <c r="BZ50" s="122"/>
      <c r="CA50" s="122"/>
      <c r="CB50" s="122"/>
      <c r="CC50" s="122"/>
      <c r="CD50" s="122"/>
      <c r="CE50" s="113"/>
      <c r="CF50" s="122"/>
      <c r="CG50" s="122"/>
      <c r="CH50" s="122"/>
      <c r="CI50" s="122"/>
      <c r="CJ50" s="122"/>
      <c r="CK50" s="122"/>
      <c r="CL50" s="122"/>
      <c r="CM50" s="122"/>
      <c r="CN50" s="120">
        <v>1.0</v>
      </c>
      <c r="CO50" s="113"/>
      <c r="CP50" s="122"/>
      <c r="CQ50" s="122"/>
      <c r="CR50" s="122"/>
      <c r="CS50" s="122"/>
      <c r="CT50" s="122"/>
      <c r="CU50" s="122"/>
      <c r="CV50" s="122"/>
      <c r="CW50" s="122"/>
      <c r="CX50" s="123"/>
    </row>
    <row r="51" ht="35.25" customHeight="1">
      <c r="B51" s="124">
        <v>45905.0</v>
      </c>
      <c r="C51" s="121"/>
      <c r="D51" s="122"/>
      <c r="E51" s="122"/>
      <c r="F51" s="122"/>
      <c r="G51" s="122"/>
      <c r="H51" s="122"/>
      <c r="I51" s="122"/>
      <c r="J51" s="122"/>
      <c r="K51" s="122"/>
      <c r="L51" s="136"/>
      <c r="M51" s="113"/>
      <c r="N51" s="121"/>
      <c r="O51" s="122"/>
      <c r="P51" s="122"/>
      <c r="Q51" s="122"/>
      <c r="R51" s="122"/>
      <c r="S51" s="122"/>
      <c r="T51" s="122"/>
      <c r="U51" s="122"/>
      <c r="V51" s="122"/>
      <c r="W51" s="113"/>
      <c r="X51" s="122"/>
      <c r="Y51" s="122"/>
      <c r="Z51" s="122"/>
      <c r="AA51" s="122"/>
      <c r="AB51" s="122"/>
      <c r="AC51" s="122"/>
      <c r="AD51" s="122"/>
      <c r="AE51" s="122"/>
      <c r="AF51" s="122"/>
      <c r="AG51" s="113"/>
      <c r="AH51" s="122"/>
      <c r="AI51" s="122"/>
      <c r="AJ51" s="122"/>
      <c r="AK51" s="122"/>
      <c r="AL51" s="122"/>
      <c r="AM51" s="122"/>
      <c r="AN51" s="122"/>
      <c r="AO51" s="122"/>
      <c r="AP51" s="122"/>
      <c r="AQ51" s="116">
        <v>9.0</v>
      </c>
      <c r="AR51" s="120">
        <v>4.0</v>
      </c>
      <c r="AS51" s="120">
        <v>4.0</v>
      </c>
      <c r="AT51" s="120">
        <v>6.0</v>
      </c>
      <c r="AU51" s="120">
        <v>5.0</v>
      </c>
      <c r="AV51" s="120">
        <v>3.0</v>
      </c>
      <c r="AW51" s="120">
        <v>4.0</v>
      </c>
      <c r="AX51" s="120">
        <v>3.0</v>
      </c>
      <c r="AY51" s="119"/>
      <c r="AZ51" s="120">
        <v>6.0</v>
      </c>
      <c r="BA51" s="113"/>
      <c r="BB51" s="122"/>
      <c r="BC51" s="122"/>
      <c r="BD51" s="122"/>
      <c r="BE51" s="122"/>
      <c r="BF51" s="122"/>
      <c r="BG51" s="122"/>
      <c r="BH51" s="122"/>
      <c r="BI51" s="122"/>
      <c r="BJ51" s="122"/>
      <c r="BK51" s="113"/>
      <c r="BL51" s="122"/>
      <c r="BM51" s="122"/>
      <c r="BN51" s="122"/>
      <c r="BO51" s="122"/>
      <c r="BP51" s="122"/>
      <c r="BQ51" s="122"/>
      <c r="BR51" s="122"/>
      <c r="BS51" s="122"/>
      <c r="BT51" s="122"/>
      <c r="BU51" s="113"/>
      <c r="BV51" s="122"/>
      <c r="BW51" s="122"/>
      <c r="BX51" s="122"/>
      <c r="BY51" s="122"/>
      <c r="BZ51" s="122"/>
      <c r="CA51" s="122"/>
      <c r="CB51" s="122"/>
      <c r="CC51" s="122"/>
      <c r="CD51" s="122"/>
      <c r="CE51" s="113"/>
      <c r="CF51" s="122"/>
      <c r="CG51" s="122"/>
      <c r="CH51" s="122"/>
      <c r="CI51" s="122"/>
      <c r="CJ51" s="122"/>
      <c r="CK51" s="122"/>
      <c r="CL51" s="122"/>
      <c r="CM51" s="122"/>
      <c r="CN51" s="122"/>
      <c r="CO51" s="113"/>
      <c r="CP51" s="122"/>
      <c r="CQ51" s="122"/>
      <c r="CR51" s="122"/>
      <c r="CS51" s="122"/>
      <c r="CT51" s="122"/>
      <c r="CU51" s="122"/>
      <c r="CV51" s="122"/>
      <c r="CW51" s="122"/>
      <c r="CX51" s="123"/>
    </row>
    <row r="52" ht="35.25" customHeight="1">
      <c r="A52" s="125"/>
      <c r="B52" s="126">
        <v>45935.0</v>
      </c>
      <c r="C52" s="131"/>
      <c r="D52" s="132"/>
      <c r="E52" s="132"/>
      <c r="F52" s="132"/>
      <c r="G52" s="132"/>
      <c r="H52" s="132"/>
      <c r="I52" s="132"/>
      <c r="J52" s="132"/>
      <c r="K52" s="132"/>
      <c r="L52" s="137"/>
      <c r="M52" s="130"/>
      <c r="N52" s="131"/>
      <c r="O52" s="132"/>
      <c r="P52" s="132"/>
      <c r="Q52" s="132"/>
      <c r="R52" s="132"/>
      <c r="S52" s="132"/>
      <c r="T52" s="132"/>
      <c r="U52" s="132"/>
      <c r="V52" s="132"/>
      <c r="W52" s="130"/>
      <c r="X52" s="132"/>
      <c r="Y52" s="132"/>
      <c r="Z52" s="132"/>
      <c r="AA52" s="132"/>
      <c r="AB52" s="132"/>
      <c r="AC52" s="132"/>
      <c r="AD52" s="132"/>
      <c r="AE52" s="132"/>
      <c r="AF52" s="132"/>
      <c r="AG52" s="130"/>
      <c r="AH52" s="132"/>
      <c r="AI52" s="132"/>
      <c r="AJ52" s="128">
        <v>1.0</v>
      </c>
      <c r="AK52" s="132"/>
      <c r="AL52" s="132"/>
      <c r="AM52" s="132"/>
      <c r="AN52" s="128">
        <v>1.0</v>
      </c>
      <c r="AO52" s="132"/>
      <c r="AP52" s="132"/>
      <c r="AQ52" s="127">
        <v>4.0</v>
      </c>
      <c r="AR52" s="128">
        <v>2.0</v>
      </c>
      <c r="AS52" s="128">
        <v>4.0</v>
      </c>
      <c r="AT52" s="128">
        <v>3.0</v>
      </c>
      <c r="AU52" s="128">
        <v>4.0</v>
      </c>
      <c r="AV52" s="128">
        <v>4.0</v>
      </c>
      <c r="AW52" s="128">
        <v>2.0</v>
      </c>
      <c r="AX52" s="128">
        <v>5.0</v>
      </c>
      <c r="AY52" s="128">
        <v>6.0</v>
      </c>
      <c r="AZ52" s="129"/>
      <c r="BA52" s="130"/>
      <c r="BB52" s="132"/>
      <c r="BC52" s="132"/>
      <c r="BD52" s="132"/>
      <c r="BE52" s="132"/>
      <c r="BF52" s="132"/>
      <c r="BG52" s="132"/>
      <c r="BH52" s="132"/>
      <c r="BI52" s="132"/>
      <c r="BJ52" s="132"/>
      <c r="BK52" s="130"/>
      <c r="BL52" s="132"/>
      <c r="BM52" s="132"/>
      <c r="BN52" s="132"/>
      <c r="BO52" s="132"/>
      <c r="BP52" s="132"/>
      <c r="BQ52" s="132"/>
      <c r="BR52" s="132"/>
      <c r="BS52" s="132"/>
      <c r="BT52" s="132"/>
      <c r="BU52" s="130"/>
      <c r="BV52" s="132"/>
      <c r="BW52" s="132"/>
      <c r="BX52" s="132"/>
      <c r="BY52" s="132"/>
      <c r="BZ52" s="132"/>
      <c r="CA52" s="132"/>
      <c r="CB52" s="132"/>
      <c r="CC52" s="132"/>
      <c r="CD52" s="132"/>
      <c r="CE52" s="127">
        <v>1.0</v>
      </c>
      <c r="CF52" s="128">
        <v>1.0</v>
      </c>
      <c r="CG52" s="128">
        <v>2.0</v>
      </c>
      <c r="CH52" s="132"/>
      <c r="CI52" s="132"/>
      <c r="CJ52" s="132"/>
      <c r="CK52" s="128">
        <v>1.0</v>
      </c>
      <c r="CL52" s="132"/>
      <c r="CM52" s="132"/>
      <c r="CN52" s="128">
        <v>2.0</v>
      </c>
      <c r="CO52" s="130"/>
      <c r="CP52" s="128">
        <v>1.0</v>
      </c>
      <c r="CQ52" s="128">
        <v>1.0</v>
      </c>
      <c r="CR52" s="132"/>
      <c r="CS52" s="132"/>
      <c r="CT52" s="132"/>
      <c r="CU52" s="132"/>
      <c r="CV52" s="132"/>
      <c r="CW52" s="132"/>
      <c r="CX52" s="143">
        <v>2.0</v>
      </c>
    </row>
    <row r="53" ht="35.25" customHeight="1">
      <c r="A53" s="134" t="s">
        <v>2940</v>
      </c>
      <c r="B53" s="124">
        <v>45663.0</v>
      </c>
      <c r="C53" s="144">
        <v>1.0</v>
      </c>
      <c r="D53" s="115"/>
      <c r="E53" s="115"/>
      <c r="F53" s="115"/>
      <c r="G53" s="112">
        <v>1.0</v>
      </c>
      <c r="H53" s="112">
        <v>1.0</v>
      </c>
      <c r="I53" s="112">
        <v>1.0</v>
      </c>
      <c r="J53" s="115"/>
      <c r="K53" s="115"/>
      <c r="L53" s="145">
        <v>1.0</v>
      </c>
      <c r="M53" s="113"/>
      <c r="N53" s="114"/>
      <c r="O53" s="115"/>
      <c r="P53" s="115"/>
      <c r="Q53" s="115"/>
      <c r="R53" s="115"/>
      <c r="S53" s="115"/>
      <c r="T53" s="115"/>
      <c r="U53" s="115"/>
      <c r="V53" s="115"/>
      <c r="W53" s="113"/>
      <c r="X53" s="115"/>
      <c r="Y53" s="115"/>
      <c r="Z53" s="115"/>
      <c r="AA53" s="115"/>
      <c r="AB53" s="115"/>
      <c r="AC53" s="115"/>
      <c r="AD53" s="115"/>
      <c r="AE53" s="115"/>
      <c r="AF53" s="115"/>
      <c r="AG53" s="116">
        <v>1.0</v>
      </c>
      <c r="AH53" s="115"/>
      <c r="AI53" s="115"/>
      <c r="AJ53" s="115"/>
      <c r="AK53" s="115"/>
      <c r="AL53" s="115"/>
      <c r="AM53" s="115"/>
      <c r="AN53" s="115"/>
      <c r="AO53" s="115"/>
      <c r="AP53" s="115"/>
      <c r="AQ53" s="113"/>
      <c r="AR53" s="115"/>
      <c r="AS53" s="115"/>
      <c r="AT53" s="115"/>
      <c r="AU53" s="115"/>
      <c r="AV53" s="115"/>
      <c r="AW53" s="115"/>
      <c r="AX53" s="115"/>
      <c r="AY53" s="115"/>
      <c r="AZ53" s="115"/>
      <c r="BA53" s="111"/>
      <c r="BB53" s="112">
        <v>4.0</v>
      </c>
      <c r="BC53" s="112">
        <v>1.0</v>
      </c>
      <c r="BD53" s="112">
        <v>2.0</v>
      </c>
      <c r="BE53" s="112">
        <v>6.0</v>
      </c>
      <c r="BF53" s="112">
        <v>6.0</v>
      </c>
      <c r="BG53" s="112">
        <v>2.0</v>
      </c>
      <c r="BH53" s="112">
        <v>3.0</v>
      </c>
      <c r="BI53" s="112">
        <v>8.0</v>
      </c>
      <c r="BJ53" s="112">
        <v>3.0</v>
      </c>
      <c r="BK53" s="113"/>
      <c r="BL53" s="115"/>
      <c r="BM53" s="115"/>
      <c r="BN53" s="115"/>
      <c r="BO53" s="115"/>
      <c r="BP53" s="115"/>
      <c r="BQ53" s="115"/>
      <c r="BR53" s="115"/>
      <c r="BS53" s="115"/>
      <c r="BT53" s="115"/>
      <c r="BU53" s="113"/>
      <c r="BV53" s="115"/>
      <c r="BW53" s="115"/>
      <c r="BX53" s="115"/>
      <c r="BY53" s="115"/>
      <c r="BZ53" s="115"/>
      <c r="CA53" s="115"/>
      <c r="CB53" s="115"/>
      <c r="CC53" s="115"/>
      <c r="CD53" s="115"/>
      <c r="CE53" s="113"/>
      <c r="CF53" s="115"/>
      <c r="CG53" s="115"/>
      <c r="CH53" s="115"/>
      <c r="CI53" s="115"/>
      <c r="CJ53" s="115"/>
      <c r="CK53" s="115"/>
      <c r="CL53" s="115"/>
      <c r="CM53" s="115"/>
      <c r="CN53" s="115"/>
      <c r="CO53" s="113"/>
      <c r="CP53" s="115"/>
      <c r="CQ53" s="115"/>
      <c r="CR53" s="115"/>
      <c r="CS53" s="115"/>
      <c r="CT53" s="115"/>
      <c r="CU53" s="115"/>
      <c r="CV53" s="115"/>
      <c r="CW53" s="115"/>
      <c r="CX53" s="117"/>
    </row>
    <row r="54" ht="35.25" customHeight="1">
      <c r="B54" s="124">
        <v>45694.0</v>
      </c>
      <c r="C54" s="121"/>
      <c r="D54" s="122"/>
      <c r="E54" s="122"/>
      <c r="F54" s="122"/>
      <c r="G54" s="122"/>
      <c r="H54" s="122"/>
      <c r="I54" s="120">
        <v>1.0</v>
      </c>
      <c r="J54" s="120">
        <v>1.0</v>
      </c>
      <c r="K54" s="122"/>
      <c r="L54" s="136"/>
      <c r="M54" s="113"/>
      <c r="N54" s="121"/>
      <c r="O54" s="122"/>
      <c r="P54" s="122"/>
      <c r="Q54" s="122"/>
      <c r="R54" s="122"/>
      <c r="S54" s="122"/>
      <c r="T54" s="122"/>
      <c r="U54" s="122"/>
      <c r="V54" s="122"/>
      <c r="W54" s="113"/>
      <c r="X54" s="122"/>
      <c r="Y54" s="122"/>
      <c r="Z54" s="122"/>
      <c r="AA54" s="122"/>
      <c r="AB54" s="122"/>
      <c r="AC54" s="122"/>
      <c r="AD54" s="122"/>
      <c r="AE54" s="122"/>
      <c r="AF54" s="122"/>
      <c r="AG54" s="113"/>
      <c r="AH54" s="122"/>
      <c r="AI54" s="122"/>
      <c r="AJ54" s="122"/>
      <c r="AK54" s="122"/>
      <c r="AL54" s="122"/>
      <c r="AM54" s="120">
        <v>1.0</v>
      </c>
      <c r="AN54" s="122"/>
      <c r="AO54" s="122"/>
      <c r="AP54" s="122"/>
      <c r="AQ54" s="113"/>
      <c r="AR54" s="122"/>
      <c r="AS54" s="122"/>
      <c r="AT54" s="122"/>
      <c r="AU54" s="122"/>
      <c r="AV54" s="122"/>
      <c r="AW54" s="122"/>
      <c r="AX54" s="122"/>
      <c r="AY54" s="122"/>
      <c r="AZ54" s="122"/>
      <c r="BA54" s="116">
        <v>4.0</v>
      </c>
      <c r="BB54" s="119"/>
      <c r="BC54" s="120">
        <v>3.0</v>
      </c>
      <c r="BD54" s="120">
        <v>2.0</v>
      </c>
      <c r="BE54" s="120">
        <v>5.0</v>
      </c>
      <c r="BF54" s="120">
        <v>5.0</v>
      </c>
      <c r="BG54" s="120">
        <v>3.0</v>
      </c>
      <c r="BH54" s="120">
        <v>4.0</v>
      </c>
      <c r="BI54" s="120">
        <v>4.0</v>
      </c>
      <c r="BJ54" s="120">
        <v>3.0</v>
      </c>
      <c r="BK54" s="113"/>
      <c r="BL54" s="122"/>
      <c r="BM54" s="122"/>
      <c r="BN54" s="122"/>
      <c r="BO54" s="122"/>
      <c r="BP54" s="122"/>
      <c r="BQ54" s="122"/>
      <c r="BR54" s="122"/>
      <c r="BS54" s="122"/>
      <c r="BT54" s="122"/>
      <c r="BU54" s="113"/>
      <c r="BV54" s="122"/>
      <c r="BW54" s="122"/>
      <c r="BX54" s="122"/>
      <c r="BY54" s="122"/>
      <c r="BZ54" s="122"/>
      <c r="CA54" s="122"/>
      <c r="CB54" s="122"/>
      <c r="CC54" s="122"/>
      <c r="CD54" s="122"/>
      <c r="CE54" s="113"/>
      <c r="CF54" s="122"/>
      <c r="CG54" s="122"/>
      <c r="CH54" s="122"/>
      <c r="CI54" s="122"/>
      <c r="CJ54" s="122"/>
      <c r="CK54" s="122"/>
      <c r="CL54" s="122"/>
      <c r="CM54" s="122"/>
      <c r="CN54" s="122"/>
      <c r="CO54" s="113"/>
      <c r="CP54" s="122"/>
      <c r="CQ54" s="122"/>
      <c r="CR54" s="122"/>
      <c r="CS54" s="122"/>
      <c r="CT54" s="122"/>
      <c r="CU54" s="122"/>
      <c r="CV54" s="122"/>
      <c r="CW54" s="122"/>
      <c r="CX54" s="123"/>
    </row>
    <row r="55" ht="35.25" customHeight="1">
      <c r="B55" s="124">
        <v>45722.0</v>
      </c>
      <c r="C55" s="121"/>
      <c r="D55" s="122"/>
      <c r="E55" s="122"/>
      <c r="F55" s="122"/>
      <c r="G55" s="122"/>
      <c r="H55" s="122"/>
      <c r="I55" s="122"/>
      <c r="J55" s="120">
        <v>1.0</v>
      </c>
      <c r="K55" s="122"/>
      <c r="L55" s="136"/>
      <c r="M55" s="113"/>
      <c r="N55" s="121"/>
      <c r="O55" s="122"/>
      <c r="P55" s="122"/>
      <c r="Q55" s="122"/>
      <c r="R55" s="122"/>
      <c r="S55" s="122"/>
      <c r="T55" s="122"/>
      <c r="U55" s="122"/>
      <c r="V55" s="122"/>
      <c r="W55" s="113"/>
      <c r="X55" s="122"/>
      <c r="Y55" s="122"/>
      <c r="Z55" s="122"/>
      <c r="AA55" s="122"/>
      <c r="AB55" s="122"/>
      <c r="AC55" s="122"/>
      <c r="AD55" s="122"/>
      <c r="AE55" s="122"/>
      <c r="AF55" s="122"/>
      <c r="AG55" s="113"/>
      <c r="AH55" s="122"/>
      <c r="AI55" s="122"/>
      <c r="AJ55" s="122"/>
      <c r="AK55" s="122"/>
      <c r="AL55" s="122"/>
      <c r="AM55" s="122"/>
      <c r="AN55" s="122"/>
      <c r="AO55" s="122"/>
      <c r="AP55" s="122"/>
      <c r="AQ55" s="113"/>
      <c r="AR55" s="122"/>
      <c r="AS55" s="122"/>
      <c r="AT55" s="122"/>
      <c r="AU55" s="122"/>
      <c r="AV55" s="122"/>
      <c r="AW55" s="122"/>
      <c r="AX55" s="122"/>
      <c r="AY55" s="122"/>
      <c r="AZ55" s="122"/>
      <c r="BA55" s="116">
        <v>1.0</v>
      </c>
      <c r="BB55" s="120">
        <v>3.0</v>
      </c>
      <c r="BC55" s="119"/>
      <c r="BD55" s="120">
        <v>6.0</v>
      </c>
      <c r="BE55" s="120">
        <v>3.0</v>
      </c>
      <c r="BF55" s="120">
        <v>2.0</v>
      </c>
      <c r="BG55" s="120">
        <v>6.0</v>
      </c>
      <c r="BH55" s="120">
        <v>5.0</v>
      </c>
      <c r="BI55" s="120">
        <v>3.0</v>
      </c>
      <c r="BJ55" s="120">
        <v>5.0</v>
      </c>
      <c r="BK55" s="113"/>
      <c r="BL55" s="120">
        <v>1.0</v>
      </c>
      <c r="BM55" s="120">
        <v>1.0</v>
      </c>
      <c r="BN55" s="122"/>
      <c r="BO55" s="122"/>
      <c r="BP55" s="122"/>
      <c r="BQ55" s="120">
        <v>1.0</v>
      </c>
      <c r="BR55" s="122"/>
      <c r="BS55" s="122"/>
      <c r="BT55" s="120">
        <v>1.0</v>
      </c>
      <c r="BU55" s="113"/>
      <c r="BV55" s="122"/>
      <c r="BW55" s="122"/>
      <c r="BX55" s="122"/>
      <c r="BY55" s="122"/>
      <c r="BZ55" s="122"/>
      <c r="CA55" s="122"/>
      <c r="CB55" s="122"/>
      <c r="CC55" s="122"/>
      <c r="CD55" s="122"/>
      <c r="CE55" s="113"/>
      <c r="CF55" s="122"/>
      <c r="CG55" s="122"/>
      <c r="CH55" s="122"/>
      <c r="CI55" s="122"/>
      <c r="CJ55" s="122"/>
      <c r="CK55" s="122"/>
      <c r="CL55" s="122"/>
      <c r="CM55" s="122"/>
      <c r="CN55" s="122"/>
      <c r="CO55" s="113"/>
      <c r="CP55" s="122"/>
      <c r="CQ55" s="122"/>
      <c r="CR55" s="122"/>
      <c r="CS55" s="122"/>
      <c r="CT55" s="122"/>
      <c r="CU55" s="122"/>
      <c r="CV55" s="122"/>
      <c r="CW55" s="122"/>
      <c r="CX55" s="123"/>
    </row>
    <row r="56" ht="35.25" customHeight="1">
      <c r="B56" s="124">
        <v>45753.0</v>
      </c>
      <c r="C56" s="121"/>
      <c r="D56" s="122"/>
      <c r="E56" s="122"/>
      <c r="F56" s="122"/>
      <c r="G56" s="122"/>
      <c r="H56" s="122"/>
      <c r="I56" s="120">
        <v>1.0</v>
      </c>
      <c r="J56" s="122"/>
      <c r="K56" s="122"/>
      <c r="L56" s="136"/>
      <c r="M56" s="113"/>
      <c r="N56" s="121"/>
      <c r="O56" s="122"/>
      <c r="P56" s="122"/>
      <c r="Q56" s="122"/>
      <c r="R56" s="122"/>
      <c r="S56" s="122"/>
      <c r="T56" s="122"/>
      <c r="U56" s="122"/>
      <c r="V56" s="122"/>
      <c r="W56" s="113"/>
      <c r="X56" s="122"/>
      <c r="Y56" s="122"/>
      <c r="Z56" s="122"/>
      <c r="AA56" s="122"/>
      <c r="AB56" s="122"/>
      <c r="AC56" s="122"/>
      <c r="AD56" s="122"/>
      <c r="AE56" s="122"/>
      <c r="AF56" s="122"/>
      <c r="AG56" s="113"/>
      <c r="AH56" s="122"/>
      <c r="AI56" s="122"/>
      <c r="AJ56" s="122"/>
      <c r="AK56" s="122"/>
      <c r="AL56" s="122"/>
      <c r="AM56" s="122"/>
      <c r="AN56" s="122"/>
      <c r="AO56" s="122"/>
      <c r="AP56" s="120">
        <v>1.0</v>
      </c>
      <c r="AQ56" s="113"/>
      <c r="AR56" s="120">
        <v>1.0</v>
      </c>
      <c r="AS56" s="122"/>
      <c r="AT56" s="120">
        <v>1.0</v>
      </c>
      <c r="AU56" s="122"/>
      <c r="AV56" s="122"/>
      <c r="AW56" s="122"/>
      <c r="AX56" s="122"/>
      <c r="AY56" s="122"/>
      <c r="AZ56" s="122"/>
      <c r="BA56" s="116">
        <v>2.0</v>
      </c>
      <c r="BB56" s="120">
        <v>2.0</v>
      </c>
      <c r="BC56" s="120">
        <v>5.0</v>
      </c>
      <c r="BD56" s="119"/>
      <c r="BE56" s="120">
        <v>3.0</v>
      </c>
      <c r="BF56" s="120">
        <v>1.0</v>
      </c>
      <c r="BG56" s="120">
        <v>7.0</v>
      </c>
      <c r="BH56" s="120">
        <v>3.0</v>
      </c>
      <c r="BI56" s="120">
        <v>5.0</v>
      </c>
      <c r="BJ56" s="120">
        <v>2.0</v>
      </c>
      <c r="BK56" s="113"/>
      <c r="BL56" s="122"/>
      <c r="BM56" s="122"/>
      <c r="BN56" s="122"/>
      <c r="BO56" s="122"/>
      <c r="BP56" s="122"/>
      <c r="BQ56" s="122"/>
      <c r="BR56" s="122"/>
      <c r="BS56" s="122"/>
      <c r="BT56" s="122"/>
      <c r="BU56" s="113"/>
      <c r="BV56" s="122"/>
      <c r="BW56" s="122"/>
      <c r="BX56" s="122"/>
      <c r="BY56" s="122"/>
      <c r="BZ56" s="122"/>
      <c r="CA56" s="122"/>
      <c r="CB56" s="122"/>
      <c r="CC56" s="122"/>
      <c r="CD56" s="122"/>
      <c r="CE56" s="113"/>
      <c r="CF56" s="122"/>
      <c r="CG56" s="122"/>
      <c r="CH56" s="122"/>
      <c r="CI56" s="122"/>
      <c r="CJ56" s="122"/>
      <c r="CK56" s="122"/>
      <c r="CL56" s="122"/>
      <c r="CM56" s="122"/>
      <c r="CN56" s="122"/>
      <c r="CO56" s="113"/>
      <c r="CP56" s="122"/>
      <c r="CQ56" s="122"/>
      <c r="CR56" s="122"/>
      <c r="CS56" s="122"/>
      <c r="CT56" s="122"/>
      <c r="CU56" s="122"/>
      <c r="CV56" s="122"/>
      <c r="CW56" s="122"/>
      <c r="CX56" s="123"/>
    </row>
    <row r="57" ht="35.25" customHeight="1">
      <c r="B57" s="124">
        <v>45783.0</v>
      </c>
      <c r="C57" s="142">
        <v>1.0</v>
      </c>
      <c r="D57" s="122"/>
      <c r="E57" s="122"/>
      <c r="F57" s="122"/>
      <c r="G57" s="120">
        <v>1.0</v>
      </c>
      <c r="H57" s="120">
        <v>1.0</v>
      </c>
      <c r="I57" s="120">
        <v>1.0</v>
      </c>
      <c r="J57" s="120">
        <v>1.0</v>
      </c>
      <c r="K57" s="122"/>
      <c r="L57" s="141">
        <v>1.0</v>
      </c>
      <c r="M57" s="113"/>
      <c r="N57" s="121"/>
      <c r="O57" s="122"/>
      <c r="P57" s="122"/>
      <c r="Q57" s="122"/>
      <c r="R57" s="122"/>
      <c r="S57" s="122"/>
      <c r="T57" s="122"/>
      <c r="U57" s="122"/>
      <c r="V57" s="122"/>
      <c r="W57" s="113"/>
      <c r="X57" s="122"/>
      <c r="Y57" s="122"/>
      <c r="Z57" s="122"/>
      <c r="AA57" s="122"/>
      <c r="AB57" s="122"/>
      <c r="AC57" s="122"/>
      <c r="AD57" s="122"/>
      <c r="AE57" s="122"/>
      <c r="AF57" s="122"/>
      <c r="AG57" s="113"/>
      <c r="AH57" s="122"/>
      <c r="AI57" s="122"/>
      <c r="AJ57" s="122"/>
      <c r="AK57" s="122"/>
      <c r="AL57" s="122"/>
      <c r="AM57" s="122"/>
      <c r="AN57" s="122"/>
      <c r="AO57" s="122"/>
      <c r="AP57" s="122"/>
      <c r="AQ57" s="113"/>
      <c r="AR57" s="122"/>
      <c r="AS57" s="122"/>
      <c r="AT57" s="122"/>
      <c r="AU57" s="122"/>
      <c r="AV57" s="122"/>
      <c r="AW57" s="122"/>
      <c r="AX57" s="122"/>
      <c r="AY57" s="122"/>
      <c r="AZ57" s="122"/>
      <c r="BA57" s="116">
        <v>7.0</v>
      </c>
      <c r="BB57" s="120">
        <v>5.0</v>
      </c>
      <c r="BC57" s="120">
        <v>3.0</v>
      </c>
      <c r="BD57" s="120">
        <v>3.0</v>
      </c>
      <c r="BE57" s="119"/>
      <c r="BF57" s="120">
        <v>5.0</v>
      </c>
      <c r="BG57" s="120">
        <v>2.0</v>
      </c>
      <c r="BH57" s="120">
        <v>9.0</v>
      </c>
      <c r="BI57" s="120">
        <v>5.0</v>
      </c>
      <c r="BJ57" s="120">
        <v>3.0</v>
      </c>
      <c r="BK57" s="113"/>
      <c r="BL57" s="122"/>
      <c r="BM57" s="122"/>
      <c r="BN57" s="122"/>
      <c r="BO57" s="122"/>
      <c r="BP57" s="122"/>
      <c r="BQ57" s="122"/>
      <c r="BR57" s="122"/>
      <c r="BS57" s="122"/>
      <c r="BT57" s="122"/>
      <c r="BU57" s="113"/>
      <c r="BV57" s="122"/>
      <c r="BW57" s="122"/>
      <c r="BX57" s="122"/>
      <c r="BY57" s="122"/>
      <c r="BZ57" s="122"/>
      <c r="CA57" s="122"/>
      <c r="CB57" s="122"/>
      <c r="CC57" s="122"/>
      <c r="CD57" s="122"/>
      <c r="CE57" s="113"/>
      <c r="CF57" s="122"/>
      <c r="CG57" s="122"/>
      <c r="CH57" s="122"/>
      <c r="CI57" s="122"/>
      <c r="CJ57" s="122"/>
      <c r="CK57" s="122"/>
      <c r="CL57" s="122"/>
      <c r="CM57" s="122"/>
      <c r="CN57" s="122"/>
      <c r="CO57" s="113"/>
      <c r="CP57" s="122"/>
      <c r="CQ57" s="122"/>
      <c r="CR57" s="122"/>
      <c r="CS57" s="122"/>
      <c r="CT57" s="122"/>
      <c r="CU57" s="122"/>
      <c r="CV57" s="122"/>
      <c r="CW57" s="122"/>
      <c r="CX57" s="123"/>
    </row>
    <row r="58" ht="35.25" customHeight="1">
      <c r="B58" s="124">
        <v>45814.0</v>
      </c>
      <c r="C58" s="142">
        <v>1.0</v>
      </c>
      <c r="D58" s="122"/>
      <c r="E58" s="122"/>
      <c r="F58" s="122"/>
      <c r="G58" s="120">
        <v>1.0</v>
      </c>
      <c r="H58" s="120">
        <v>1.0</v>
      </c>
      <c r="I58" s="122"/>
      <c r="J58" s="122"/>
      <c r="K58" s="122"/>
      <c r="L58" s="141">
        <v>1.0</v>
      </c>
      <c r="M58" s="113"/>
      <c r="N58" s="121"/>
      <c r="O58" s="122"/>
      <c r="P58" s="122"/>
      <c r="Q58" s="122"/>
      <c r="R58" s="122"/>
      <c r="S58" s="122"/>
      <c r="T58" s="122"/>
      <c r="U58" s="122"/>
      <c r="V58" s="122"/>
      <c r="W58" s="113"/>
      <c r="X58" s="122"/>
      <c r="Y58" s="122"/>
      <c r="Z58" s="122"/>
      <c r="AA58" s="122"/>
      <c r="AB58" s="122"/>
      <c r="AC58" s="122"/>
      <c r="AD58" s="122"/>
      <c r="AE58" s="122"/>
      <c r="AF58" s="122"/>
      <c r="AG58" s="113"/>
      <c r="AH58" s="122"/>
      <c r="AI58" s="122"/>
      <c r="AJ58" s="122"/>
      <c r="AK58" s="122"/>
      <c r="AL58" s="122"/>
      <c r="AM58" s="122"/>
      <c r="AN58" s="122"/>
      <c r="AO58" s="122"/>
      <c r="AP58" s="122"/>
      <c r="AQ58" s="113"/>
      <c r="AR58" s="122"/>
      <c r="AS58" s="122"/>
      <c r="AT58" s="122"/>
      <c r="AU58" s="122"/>
      <c r="AV58" s="122"/>
      <c r="AW58" s="122"/>
      <c r="AX58" s="122"/>
      <c r="AY58" s="122"/>
      <c r="AZ58" s="122"/>
      <c r="BA58" s="116">
        <v>6.0</v>
      </c>
      <c r="BB58" s="120">
        <v>5.0</v>
      </c>
      <c r="BC58" s="120">
        <v>2.0</v>
      </c>
      <c r="BD58" s="120">
        <v>1.0</v>
      </c>
      <c r="BE58" s="120">
        <v>5.0</v>
      </c>
      <c r="BF58" s="119"/>
      <c r="BG58" s="120">
        <v>2.0</v>
      </c>
      <c r="BH58" s="120">
        <v>5.0</v>
      </c>
      <c r="BI58" s="120">
        <v>3.0</v>
      </c>
      <c r="BJ58" s="120">
        <v>3.0</v>
      </c>
      <c r="BK58" s="113"/>
      <c r="BL58" s="122"/>
      <c r="BM58" s="122"/>
      <c r="BN58" s="122"/>
      <c r="BO58" s="122"/>
      <c r="BP58" s="122"/>
      <c r="BQ58" s="122"/>
      <c r="BR58" s="122"/>
      <c r="BS58" s="122"/>
      <c r="BT58" s="122"/>
      <c r="BU58" s="113"/>
      <c r="BV58" s="122"/>
      <c r="BW58" s="122"/>
      <c r="BX58" s="122"/>
      <c r="BY58" s="122"/>
      <c r="BZ58" s="122"/>
      <c r="CA58" s="122"/>
      <c r="CB58" s="122"/>
      <c r="CC58" s="122"/>
      <c r="CD58" s="122"/>
      <c r="CE58" s="113"/>
      <c r="CF58" s="122"/>
      <c r="CG58" s="122"/>
      <c r="CH58" s="122"/>
      <c r="CI58" s="122"/>
      <c r="CJ58" s="122"/>
      <c r="CK58" s="122"/>
      <c r="CL58" s="122"/>
      <c r="CM58" s="122"/>
      <c r="CN58" s="122"/>
      <c r="CO58" s="113"/>
      <c r="CP58" s="122"/>
      <c r="CQ58" s="122"/>
      <c r="CR58" s="122"/>
      <c r="CS58" s="122"/>
      <c r="CT58" s="122"/>
      <c r="CU58" s="122"/>
      <c r="CV58" s="122"/>
      <c r="CW58" s="122"/>
      <c r="CX58" s="123"/>
    </row>
    <row r="59" ht="35.25" customHeight="1">
      <c r="B59" s="124">
        <v>45844.0</v>
      </c>
      <c r="C59" s="121"/>
      <c r="D59" s="122"/>
      <c r="E59" s="122"/>
      <c r="F59" s="122"/>
      <c r="G59" s="122"/>
      <c r="H59" s="122"/>
      <c r="I59" s="120">
        <v>2.0</v>
      </c>
      <c r="J59" s="120">
        <v>2.0</v>
      </c>
      <c r="K59" s="122"/>
      <c r="L59" s="141">
        <v>1.0</v>
      </c>
      <c r="M59" s="113"/>
      <c r="N59" s="121"/>
      <c r="O59" s="122"/>
      <c r="P59" s="122"/>
      <c r="Q59" s="122"/>
      <c r="R59" s="122"/>
      <c r="S59" s="122"/>
      <c r="T59" s="122"/>
      <c r="U59" s="122"/>
      <c r="V59" s="122"/>
      <c r="W59" s="113"/>
      <c r="X59" s="122"/>
      <c r="Y59" s="122"/>
      <c r="Z59" s="122"/>
      <c r="AA59" s="122"/>
      <c r="AB59" s="122"/>
      <c r="AC59" s="122"/>
      <c r="AD59" s="122"/>
      <c r="AE59" s="122"/>
      <c r="AF59" s="122"/>
      <c r="AG59" s="116">
        <v>1.0</v>
      </c>
      <c r="AH59" s="122"/>
      <c r="AI59" s="122"/>
      <c r="AJ59" s="122"/>
      <c r="AK59" s="122"/>
      <c r="AL59" s="122"/>
      <c r="AM59" s="120">
        <v>1.0</v>
      </c>
      <c r="AN59" s="122"/>
      <c r="AO59" s="122"/>
      <c r="AP59" s="122"/>
      <c r="AQ59" s="113"/>
      <c r="AR59" s="122"/>
      <c r="AS59" s="122"/>
      <c r="AT59" s="122"/>
      <c r="AU59" s="122"/>
      <c r="AV59" s="122"/>
      <c r="AW59" s="120">
        <v>1.0</v>
      </c>
      <c r="AX59" s="122"/>
      <c r="AY59" s="122"/>
      <c r="AZ59" s="122"/>
      <c r="BA59" s="116">
        <v>3.0</v>
      </c>
      <c r="BB59" s="120">
        <v>3.0</v>
      </c>
      <c r="BC59" s="120">
        <v>6.0</v>
      </c>
      <c r="BD59" s="120">
        <v>7.0</v>
      </c>
      <c r="BE59" s="120">
        <v>2.0</v>
      </c>
      <c r="BF59" s="120">
        <v>2.0</v>
      </c>
      <c r="BG59" s="119"/>
      <c r="BH59" s="120">
        <v>4.0</v>
      </c>
      <c r="BI59" s="120">
        <v>3.0</v>
      </c>
      <c r="BJ59" s="120">
        <v>3.0</v>
      </c>
      <c r="BK59" s="113"/>
      <c r="BL59" s="122"/>
      <c r="BM59" s="122"/>
      <c r="BN59" s="122"/>
      <c r="BO59" s="122"/>
      <c r="BP59" s="122"/>
      <c r="BQ59" s="122"/>
      <c r="BR59" s="122"/>
      <c r="BS59" s="122"/>
      <c r="BT59" s="122"/>
      <c r="BU59" s="113"/>
      <c r="BV59" s="122"/>
      <c r="BW59" s="122"/>
      <c r="BX59" s="122"/>
      <c r="BY59" s="122"/>
      <c r="BZ59" s="122"/>
      <c r="CA59" s="122"/>
      <c r="CB59" s="122"/>
      <c r="CC59" s="122"/>
      <c r="CD59" s="122"/>
      <c r="CE59" s="113"/>
      <c r="CF59" s="122"/>
      <c r="CG59" s="122"/>
      <c r="CH59" s="122"/>
      <c r="CI59" s="122"/>
      <c r="CJ59" s="122"/>
      <c r="CK59" s="122"/>
      <c r="CL59" s="122"/>
      <c r="CM59" s="122"/>
      <c r="CN59" s="122"/>
      <c r="CO59" s="113"/>
      <c r="CP59" s="122"/>
      <c r="CQ59" s="122"/>
      <c r="CR59" s="122"/>
      <c r="CS59" s="122"/>
      <c r="CT59" s="122"/>
      <c r="CU59" s="122"/>
      <c r="CV59" s="122"/>
      <c r="CW59" s="122"/>
      <c r="CX59" s="123"/>
    </row>
    <row r="60" ht="35.25" customHeight="1">
      <c r="B60" s="124">
        <v>45875.0</v>
      </c>
      <c r="C60" s="121"/>
      <c r="D60" s="122"/>
      <c r="E60" s="122"/>
      <c r="F60" s="122"/>
      <c r="G60" s="122"/>
      <c r="H60" s="122"/>
      <c r="I60" s="122"/>
      <c r="J60" s="120">
        <v>3.0</v>
      </c>
      <c r="K60" s="122"/>
      <c r="L60" s="141">
        <v>2.0</v>
      </c>
      <c r="M60" s="113"/>
      <c r="N60" s="121"/>
      <c r="O60" s="122"/>
      <c r="P60" s="122"/>
      <c r="Q60" s="122"/>
      <c r="R60" s="122"/>
      <c r="S60" s="122"/>
      <c r="T60" s="122"/>
      <c r="U60" s="122"/>
      <c r="V60" s="122"/>
      <c r="W60" s="113"/>
      <c r="X60" s="122"/>
      <c r="Y60" s="122"/>
      <c r="Z60" s="122"/>
      <c r="AA60" s="122"/>
      <c r="AB60" s="122"/>
      <c r="AC60" s="122"/>
      <c r="AD60" s="122"/>
      <c r="AE60" s="122"/>
      <c r="AF60" s="122"/>
      <c r="AG60" s="113"/>
      <c r="AH60" s="122"/>
      <c r="AI60" s="122"/>
      <c r="AJ60" s="122"/>
      <c r="AK60" s="122"/>
      <c r="AL60" s="122"/>
      <c r="AM60" s="120">
        <v>1.0</v>
      </c>
      <c r="AN60" s="122"/>
      <c r="AO60" s="122"/>
      <c r="AP60" s="122"/>
      <c r="AQ60" s="113"/>
      <c r="AR60" s="122"/>
      <c r="AS60" s="122"/>
      <c r="AT60" s="122"/>
      <c r="AU60" s="122"/>
      <c r="AV60" s="122"/>
      <c r="AW60" s="120">
        <v>1.0</v>
      </c>
      <c r="AX60" s="122"/>
      <c r="AY60" s="122"/>
      <c r="AZ60" s="122"/>
      <c r="BA60" s="116">
        <v>3.0</v>
      </c>
      <c r="BB60" s="120">
        <v>4.0</v>
      </c>
      <c r="BC60" s="120">
        <v>5.0</v>
      </c>
      <c r="BD60" s="120">
        <v>3.0</v>
      </c>
      <c r="BE60" s="120">
        <v>8.0</v>
      </c>
      <c r="BF60" s="120">
        <v>5.0</v>
      </c>
      <c r="BG60" s="120">
        <v>4.0</v>
      </c>
      <c r="BH60" s="119"/>
      <c r="BI60" s="120">
        <v>3.0</v>
      </c>
      <c r="BJ60" s="120">
        <v>5.0</v>
      </c>
      <c r="BK60" s="113"/>
      <c r="BL60" s="122"/>
      <c r="BM60" s="122"/>
      <c r="BN60" s="122"/>
      <c r="BO60" s="122"/>
      <c r="BP60" s="122"/>
      <c r="BQ60" s="122"/>
      <c r="BR60" s="122"/>
      <c r="BS60" s="122"/>
      <c r="BT60" s="122"/>
      <c r="BU60" s="113"/>
      <c r="BV60" s="122"/>
      <c r="BW60" s="122"/>
      <c r="BX60" s="122"/>
      <c r="BY60" s="122"/>
      <c r="BZ60" s="122"/>
      <c r="CA60" s="122"/>
      <c r="CB60" s="122"/>
      <c r="CC60" s="122"/>
      <c r="CD60" s="122"/>
      <c r="CE60" s="113"/>
      <c r="CF60" s="122"/>
      <c r="CG60" s="122"/>
      <c r="CH60" s="122"/>
      <c r="CI60" s="122"/>
      <c r="CJ60" s="122"/>
      <c r="CK60" s="122"/>
      <c r="CL60" s="122"/>
      <c r="CM60" s="122"/>
      <c r="CN60" s="122"/>
      <c r="CO60" s="113"/>
      <c r="CP60" s="122"/>
      <c r="CQ60" s="122"/>
      <c r="CR60" s="122"/>
      <c r="CS60" s="122"/>
      <c r="CT60" s="122"/>
      <c r="CU60" s="122"/>
      <c r="CV60" s="122"/>
      <c r="CW60" s="122"/>
      <c r="CX60" s="123"/>
    </row>
    <row r="61" ht="35.25" customHeight="1">
      <c r="B61" s="124">
        <v>45906.0</v>
      </c>
      <c r="C61" s="121"/>
      <c r="D61" s="122"/>
      <c r="E61" s="122"/>
      <c r="F61" s="122"/>
      <c r="G61" s="122"/>
      <c r="H61" s="122"/>
      <c r="I61" s="122"/>
      <c r="J61" s="122"/>
      <c r="K61" s="122"/>
      <c r="L61" s="136"/>
      <c r="M61" s="113"/>
      <c r="N61" s="121"/>
      <c r="O61" s="122"/>
      <c r="P61" s="122"/>
      <c r="Q61" s="122"/>
      <c r="R61" s="122"/>
      <c r="S61" s="122"/>
      <c r="T61" s="122"/>
      <c r="U61" s="122"/>
      <c r="V61" s="122"/>
      <c r="W61" s="113"/>
      <c r="X61" s="122"/>
      <c r="Y61" s="122"/>
      <c r="Z61" s="122"/>
      <c r="AA61" s="122"/>
      <c r="AB61" s="122"/>
      <c r="AC61" s="122"/>
      <c r="AD61" s="122"/>
      <c r="AE61" s="122"/>
      <c r="AF61" s="122"/>
      <c r="AG61" s="113"/>
      <c r="AH61" s="122"/>
      <c r="AI61" s="122"/>
      <c r="AJ61" s="122"/>
      <c r="AK61" s="122"/>
      <c r="AL61" s="120">
        <v>1.0</v>
      </c>
      <c r="AM61" s="120">
        <v>1.0</v>
      </c>
      <c r="AN61" s="122"/>
      <c r="AO61" s="122"/>
      <c r="AP61" s="122"/>
      <c r="AQ61" s="113"/>
      <c r="AR61" s="122"/>
      <c r="AS61" s="122"/>
      <c r="AT61" s="122"/>
      <c r="AU61" s="122"/>
      <c r="AV61" s="122"/>
      <c r="AW61" s="122"/>
      <c r="AX61" s="122"/>
      <c r="AY61" s="122"/>
      <c r="AZ61" s="122"/>
      <c r="BA61" s="116">
        <v>8.0</v>
      </c>
      <c r="BB61" s="120">
        <v>4.0</v>
      </c>
      <c r="BC61" s="120">
        <v>4.0</v>
      </c>
      <c r="BD61" s="120">
        <v>5.0</v>
      </c>
      <c r="BE61" s="120">
        <v>5.0</v>
      </c>
      <c r="BF61" s="120">
        <v>3.0</v>
      </c>
      <c r="BG61" s="120">
        <v>3.0</v>
      </c>
      <c r="BH61" s="120">
        <v>3.0</v>
      </c>
      <c r="BI61" s="119"/>
      <c r="BJ61" s="120">
        <v>5.0</v>
      </c>
      <c r="BK61" s="113"/>
      <c r="BL61" s="122"/>
      <c r="BM61" s="122"/>
      <c r="BN61" s="122"/>
      <c r="BO61" s="122"/>
      <c r="BP61" s="122"/>
      <c r="BQ61" s="122"/>
      <c r="BR61" s="122"/>
      <c r="BS61" s="122"/>
      <c r="BT61" s="122"/>
      <c r="BU61" s="113"/>
      <c r="BV61" s="122"/>
      <c r="BW61" s="122"/>
      <c r="BX61" s="122"/>
      <c r="BY61" s="122"/>
      <c r="BZ61" s="122"/>
      <c r="CA61" s="122"/>
      <c r="CB61" s="122"/>
      <c r="CC61" s="122"/>
      <c r="CD61" s="122"/>
      <c r="CE61" s="113"/>
      <c r="CF61" s="122"/>
      <c r="CG61" s="122"/>
      <c r="CH61" s="122"/>
      <c r="CI61" s="122"/>
      <c r="CJ61" s="122"/>
      <c r="CK61" s="122"/>
      <c r="CL61" s="122"/>
      <c r="CM61" s="122"/>
      <c r="CN61" s="122"/>
      <c r="CO61" s="113"/>
      <c r="CP61" s="122"/>
      <c r="CQ61" s="122"/>
      <c r="CR61" s="122"/>
      <c r="CS61" s="122"/>
      <c r="CT61" s="122"/>
      <c r="CU61" s="122"/>
      <c r="CV61" s="122"/>
      <c r="CW61" s="122"/>
      <c r="CX61" s="123"/>
    </row>
    <row r="62" ht="35.25" customHeight="1">
      <c r="A62" s="125"/>
      <c r="B62" s="126">
        <v>45936.0</v>
      </c>
      <c r="C62" s="146">
        <v>1.0</v>
      </c>
      <c r="D62" s="132"/>
      <c r="E62" s="132"/>
      <c r="F62" s="132"/>
      <c r="G62" s="128">
        <v>1.0</v>
      </c>
      <c r="H62" s="128">
        <v>1.0</v>
      </c>
      <c r="I62" s="132"/>
      <c r="J62" s="128">
        <v>1.0</v>
      </c>
      <c r="K62" s="132"/>
      <c r="L62" s="147">
        <v>2.0</v>
      </c>
      <c r="M62" s="130"/>
      <c r="N62" s="131"/>
      <c r="O62" s="132"/>
      <c r="P62" s="132"/>
      <c r="Q62" s="132"/>
      <c r="R62" s="132"/>
      <c r="S62" s="132"/>
      <c r="T62" s="132"/>
      <c r="U62" s="132"/>
      <c r="V62" s="132"/>
      <c r="W62" s="130"/>
      <c r="X62" s="132"/>
      <c r="Y62" s="132"/>
      <c r="Z62" s="132"/>
      <c r="AA62" s="132"/>
      <c r="AB62" s="132"/>
      <c r="AC62" s="132"/>
      <c r="AD62" s="132"/>
      <c r="AE62" s="132"/>
      <c r="AF62" s="132"/>
      <c r="AG62" s="130"/>
      <c r="AH62" s="132"/>
      <c r="AI62" s="132"/>
      <c r="AJ62" s="132"/>
      <c r="AK62" s="132"/>
      <c r="AL62" s="132"/>
      <c r="AM62" s="128">
        <v>1.0</v>
      </c>
      <c r="AN62" s="132"/>
      <c r="AO62" s="132"/>
      <c r="AP62" s="132"/>
      <c r="AQ62" s="130"/>
      <c r="AR62" s="132"/>
      <c r="AS62" s="132"/>
      <c r="AT62" s="132"/>
      <c r="AU62" s="132"/>
      <c r="AV62" s="132"/>
      <c r="AW62" s="128">
        <v>1.0</v>
      </c>
      <c r="AX62" s="132"/>
      <c r="AY62" s="132"/>
      <c r="AZ62" s="132"/>
      <c r="BA62" s="127">
        <v>3.0</v>
      </c>
      <c r="BB62" s="128">
        <v>3.0</v>
      </c>
      <c r="BC62" s="128">
        <v>6.0</v>
      </c>
      <c r="BD62" s="128">
        <v>2.0</v>
      </c>
      <c r="BE62" s="128">
        <v>3.0</v>
      </c>
      <c r="BF62" s="128">
        <v>3.0</v>
      </c>
      <c r="BG62" s="128">
        <v>3.0</v>
      </c>
      <c r="BH62" s="128">
        <v>5.0</v>
      </c>
      <c r="BI62" s="128">
        <v>5.0</v>
      </c>
      <c r="BJ62" s="129"/>
      <c r="BK62" s="130"/>
      <c r="BL62" s="128">
        <v>1.0</v>
      </c>
      <c r="BM62" s="128">
        <v>1.0</v>
      </c>
      <c r="BN62" s="132"/>
      <c r="BO62" s="132"/>
      <c r="BP62" s="132"/>
      <c r="BQ62" s="128">
        <v>1.0</v>
      </c>
      <c r="BR62" s="132"/>
      <c r="BS62" s="132"/>
      <c r="BT62" s="128">
        <v>1.0</v>
      </c>
      <c r="BU62" s="130"/>
      <c r="BV62" s="132"/>
      <c r="BW62" s="132"/>
      <c r="BX62" s="132"/>
      <c r="BY62" s="132"/>
      <c r="BZ62" s="132"/>
      <c r="CA62" s="132"/>
      <c r="CB62" s="132"/>
      <c r="CC62" s="132"/>
      <c r="CD62" s="132"/>
      <c r="CE62" s="130"/>
      <c r="CF62" s="132"/>
      <c r="CG62" s="132"/>
      <c r="CH62" s="132"/>
      <c r="CI62" s="132"/>
      <c r="CJ62" s="132"/>
      <c r="CK62" s="132"/>
      <c r="CL62" s="132"/>
      <c r="CM62" s="132"/>
      <c r="CN62" s="132"/>
      <c r="CO62" s="130"/>
      <c r="CP62" s="132"/>
      <c r="CQ62" s="132"/>
      <c r="CR62" s="132"/>
      <c r="CS62" s="132"/>
      <c r="CT62" s="132"/>
      <c r="CU62" s="132"/>
      <c r="CV62" s="132"/>
      <c r="CW62" s="132"/>
      <c r="CX62" s="133"/>
    </row>
    <row r="63" ht="35.25" customHeight="1">
      <c r="A63" s="138" t="s">
        <v>2941</v>
      </c>
      <c r="B63" s="124">
        <v>45664.0</v>
      </c>
      <c r="C63" s="114"/>
      <c r="D63" s="115"/>
      <c r="E63" s="115"/>
      <c r="F63" s="115"/>
      <c r="G63" s="115"/>
      <c r="H63" s="115"/>
      <c r="I63" s="115"/>
      <c r="J63" s="115"/>
      <c r="K63" s="115"/>
      <c r="L63" s="135"/>
      <c r="M63" s="113"/>
      <c r="N63" s="114"/>
      <c r="O63" s="115"/>
      <c r="P63" s="115"/>
      <c r="Q63" s="115"/>
      <c r="R63" s="115"/>
      <c r="S63" s="115"/>
      <c r="T63" s="115"/>
      <c r="U63" s="115"/>
      <c r="V63" s="115"/>
      <c r="W63" s="113"/>
      <c r="X63" s="115"/>
      <c r="Y63" s="115"/>
      <c r="Z63" s="115"/>
      <c r="AA63" s="115"/>
      <c r="AB63" s="115"/>
      <c r="AC63" s="115"/>
      <c r="AD63" s="115"/>
      <c r="AE63" s="115"/>
      <c r="AF63" s="115"/>
      <c r="AG63" s="113"/>
      <c r="AH63" s="115"/>
      <c r="AI63" s="115"/>
      <c r="AJ63" s="115"/>
      <c r="AK63" s="115"/>
      <c r="AL63" s="115"/>
      <c r="AM63" s="115"/>
      <c r="AN63" s="115"/>
      <c r="AO63" s="115"/>
      <c r="AP63" s="115"/>
      <c r="AQ63" s="113"/>
      <c r="AR63" s="115"/>
      <c r="AS63" s="115"/>
      <c r="AT63" s="115"/>
      <c r="AU63" s="115"/>
      <c r="AV63" s="115"/>
      <c r="AW63" s="115"/>
      <c r="AX63" s="115"/>
      <c r="AY63" s="115"/>
      <c r="AZ63" s="115"/>
      <c r="BA63" s="113"/>
      <c r="BB63" s="115"/>
      <c r="BC63" s="115"/>
      <c r="BD63" s="115"/>
      <c r="BE63" s="115"/>
      <c r="BF63" s="115"/>
      <c r="BG63" s="115"/>
      <c r="BH63" s="115"/>
      <c r="BI63" s="115"/>
      <c r="BJ63" s="115"/>
      <c r="BK63" s="111"/>
      <c r="BL63" s="112">
        <v>4.0</v>
      </c>
      <c r="BM63" s="112">
        <v>1.0</v>
      </c>
      <c r="BN63" s="112">
        <v>2.0</v>
      </c>
      <c r="BO63" s="112">
        <v>8.0</v>
      </c>
      <c r="BP63" s="112">
        <v>8.0</v>
      </c>
      <c r="BQ63" s="112">
        <v>3.0</v>
      </c>
      <c r="BR63" s="112">
        <v>3.0</v>
      </c>
      <c r="BS63" s="112">
        <v>9.0</v>
      </c>
      <c r="BT63" s="112">
        <v>4.0</v>
      </c>
      <c r="BU63" s="116">
        <v>1.0</v>
      </c>
      <c r="BV63" s="115"/>
      <c r="BW63" s="115"/>
      <c r="BX63" s="115"/>
      <c r="BY63" s="115"/>
      <c r="BZ63" s="115"/>
      <c r="CA63" s="115"/>
      <c r="CB63" s="115"/>
      <c r="CC63" s="115"/>
      <c r="CD63" s="115"/>
      <c r="CE63" s="113"/>
      <c r="CF63" s="115"/>
      <c r="CG63" s="115"/>
      <c r="CH63" s="115"/>
      <c r="CI63" s="115"/>
      <c r="CJ63" s="115"/>
      <c r="CK63" s="115"/>
      <c r="CL63" s="115"/>
      <c r="CM63" s="115"/>
      <c r="CN63" s="115"/>
      <c r="CO63" s="113"/>
      <c r="CP63" s="115"/>
      <c r="CQ63" s="115"/>
      <c r="CR63" s="115"/>
      <c r="CS63" s="115"/>
      <c r="CT63" s="115"/>
      <c r="CU63" s="115"/>
      <c r="CV63" s="115"/>
      <c r="CW63" s="115"/>
      <c r="CX63" s="117"/>
    </row>
    <row r="64" ht="35.25" customHeight="1">
      <c r="B64" s="124">
        <v>45695.0</v>
      </c>
      <c r="C64" s="121"/>
      <c r="D64" s="122"/>
      <c r="E64" s="122"/>
      <c r="F64" s="122"/>
      <c r="G64" s="122"/>
      <c r="H64" s="122"/>
      <c r="I64" s="122"/>
      <c r="J64" s="122"/>
      <c r="K64" s="122"/>
      <c r="L64" s="136"/>
      <c r="M64" s="113"/>
      <c r="N64" s="121"/>
      <c r="O64" s="122"/>
      <c r="P64" s="122"/>
      <c r="Q64" s="122"/>
      <c r="R64" s="122"/>
      <c r="S64" s="122"/>
      <c r="T64" s="122"/>
      <c r="U64" s="122"/>
      <c r="V64" s="122"/>
      <c r="W64" s="113"/>
      <c r="X64" s="122"/>
      <c r="Y64" s="122"/>
      <c r="Z64" s="122"/>
      <c r="AA64" s="122"/>
      <c r="AB64" s="122"/>
      <c r="AC64" s="122"/>
      <c r="AD64" s="122"/>
      <c r="AE64" s="122"/>
      <c r="AF64" s="122"/>
      <c r="AG64" s="113"/>
      <c r="AH64" s="122"/>
      <c r="AI64" s="122"/>
      <c r="AJ64" s="122"/>
      <c r="AK64" s="122"/>
      <c r="AL64" s="122"/>
      <c r="AM64" s="122"/>
      <c r="AN64" s="122"/>
      <c r="AO64" s="122"/>
      <c r="AP64" s="122"/>
      <c r="AQ64" s="113"/>
      <c r="AR64" s="122"/>
      <c r="AS64" s="122"/>
      <c r="AT64" s="122"/>
      <c r="AU64" s="122"/>
      <c r="AV64" s="122"/>
      <c r="AW64" s="122"/>
      <c r="AX64" s="122"/>
      <c r="AY64" s="122"/>
      <c r="AZ64" s="122"/>
      <c r="BA64" s="113"/>
      <c r="BB64" s="122"/>
      <c r="BC64" s="120">
        <v>1.0</v>
      </c>
      <c r="BD64" s="122"/>
      <c r="BE64" s="122"/>
      <c r="BF64" s="122"/>
      <c r="BG64" s="122"/>
      <c r="BH64" s="120"/>
      <c r="BI64" s="122"/>
      <c r="BJ64" s="120">
        <v>1.0</v>
      </c>
      <c r="BK64" s="116">
        <v>4.0</v>
      </c>
      <c r="BL64" s="119"/>
      <c r="BM64" s="120">
        <v>4.0</v>
      </c>
      <c r="BN64" s="120">
        <v>4.0</v>
      </c>
      <c r="BO64" s="120">
        <v>6.0</v>
      </c>
      <c r="BP64" s="120">
        <v>6.0</v>
      </c>
      <c r="BQ64" s="120">
        <v>6.0</v>
      </c>
      <c r="BR64" s="120">
        <v>4.0</v>
      </c>
      <c r="BS64" s="120">
        <v>4.0</v>
      </c>
      <c r="BT64" s="120">
        <v>4.0</v>
      </c>
      <c r="BU64" s="113"/>
      <c r="BV64" s="122"/>
      <c r="BW64" s="122"/>
      <c r="BX64" s="122"/>
      <c r="BY64" s="122"/>
      <c r="BZ64" s="122"/>
      <c r="CA64" s="122"/>
      <c r="CB64" s="122"/>
      <c r="CC64" s="122"/>
      <c r="CD64" s="122"/>
      <c r="CE64" s="113"/>
      <c r="CF64" s="122"/>
      <c r="CG64" s="122"/>
      <c r="CH64" s="122"/>
      <c r="CI64" s="122"/>
      <c r="CJ64" s="122"/>
      <c r="CK64" s="122"/>
      <c r="CL64" s="122"/>
      <c r="CM64" s="122"/>
      <c r="CN64" s="122"/>
      <c r="CO64" s="113"/>
      <c r="CP64" s="122"/>
      <c r="CQ64" s="122"/>
      <c r="CR64" s="122"/>
      <c r="CS64" s="122"/>
      <c r="CT64" s="122"/>
      <c r="CU64" s="122"/>
      <c r="CV64" s="122"/>
      <c r="CW64" s="122"/>
      <c r="CX64" s="123"/>
    </row>
    <row r="65" ht="35.25" customHeight="1">
      <c r="B65" s="124">
        <v>45723.0</v>
      </c>
      <c r="C65" s="121"/>
      <c r="D65" s="122"/>
      <c r="E65" s="122"/>
      <c r="F65" s="122"/>
      <c r="G65" s="122"/>
      <c r="H65" s="122"/>
      <c r="I65" s="122"/>
      <c r="J65" s="122"/>
      <c r="K65" s="122"/>
      <c r="L65" s="136"/>
      <c r="M65" s="113"/>
      <c r="N65" s="121"/>
      <c r="O65" s="122"/>
      <c r="P65" s="122"/>
      <c r="Q65" s="122"/>
      <c r="R65" s="122"/>
      <c r="S65" s="122"/>
      <c r="T65" s="122"/>
      <c r="U65" s="122"/>
      <c r="V65" s="122"/>
      <c r="W65" s="113"/>
      <c r="X65" s="122"/>
      <c r="Y65" s="122"/>
      <c r="Z65" s="122"/>
      <c r="AA65" s="122"/>
      <c r="AB65" s="122"/>
      <c r="AC65" s="122"/>
      <c r="AD65" s="122"/>
      <c r="AE65" s="122"/>
      <c r="AF65" s="122"/>
      <c r="AG65" s="113"/>
      <c r="AH65" s="122"/>
      <c r="AI65" s="122"/>
      <c r="AJ65" s="122"/>
      <c r="AK65" s="122"/>
      <c r="AL65" s="122"/>
      <c r="AM65" s="122"/>
      <c r="AN65" s="122"/>
      <c r="AO65" s="122"/>
      <c r="AP65" s="122"/>
      <c r="AQ65" s="113"/>
      <c r="AR65" s="122"/>
      <c r="AS65" s="122"/>
      <c r="AT65" s="122"/>
      <c r="AU65" s="122"/>
      <c r="AV65" s="122"/>
      <c r="AW65" s="122"/>
      <c r="AX65" s="122"/>
      <c r="AY65" s="122"/>
      <c r="AZ65" s="122"/>
      <c r="BA65" s="113"/>
      <c r="BB65" s="122"/>
      <c r="BC65" s="120">
        <v>1.0</v>
      </c>
      <c r="BD65" s="122"/>
      <c r="BE65" s="122"/>
      <c r="BF65" s="122"/>
      <c r="BG65" s="122"/>
      <c r="BH65" s="120"/>
      <c r="BI65" s="122"/>
      <c r="BJ65" s="120">
        <v>1.0</v>
      </c>
      <c r="BK65" s="116">
        <v>1.0</v>
      </c>
      <c r="BL65" s="120">
        <v>4.0</v>
      </c>
      <c r="BM65" s="119"/>
      <c r="BN65" s="120">
        <v>6.0</v>
      </c>
      <c r="BO65" s="120">
        <v>3.0</v>
      </c>
      <c r="BP65" s="120">
        <v>2.0</v>
      </c>
      <c r="BQ65" s="120">
        <v>7.0</v>
      </c>
      <c r="BR65" s="120">
        <v>6.0</v>
      </c>
      <c r="BS65" s="120">
        <v>4.0</v>
      </c>
      <c r="BT65" s="120">
        <v>6.0</v>
      </c>
      <c r="BU65" s="113"/>
      <c r="BV65" s="122"/>
      <c r="BW65" s="122"/>
      <c r="BX65" s="122"/>
      <c r="BY65" s="122"/>
      <c r="BZ65" s="122"/>
      <c r="CA65" s="122"/>
      <c r="CB65" s="122"/>
      <c r="CC65" s="122"/>
      <c r="CD65" s="122"/>
      <c r="CE65" s="113"/>
      <c r="CF65" s="122"/>
      <c r="CG65" s="122"/>
      <c r="CH65" s="122"/>
      <c r="CI65" s="122"/>
      <c r="CJ65" s="122"/>
      <c r="CK65" s="122"/>
      <c r="CL65" s="122"/>
      <c r="CM65" s="122"/>
      <c r="CN65" s="122"/>
      <c r="CO65" s="113"/>
      <c r="CP65" s="122"/>
      <c r="CQ65" s="122"/>
      <c r="CR65" s="122"/>
      <c r="CS65" s="122"/>
      <c r="CT65" s="122"/>
      <c r="CU65" s="122"/>
      <c r="CV65" s="122"/>
      <c r="CW65" s="122"/>
      <c r="CX65" s="123"/>
    </row>
    <row r="66" ht="35.25" customHeight="1">
      <c r="B66" s="124">
        <v>45754.0</v>
      </c>
      <c r="C66" s="121"/>
      <c r="D66" s="122"/>
      <c r="E66" s="122"/>
      <c r="F66" s="122"/>
      <c r="G66" s="122"/>
      <c r="H66" s="122"/>
      <c r="I66" s="122"/>
      <c r="J66" s="122"/>
      <c r="K66" s="122"/>
      <c r="L66" s="136"/>
      <c r="M66" s="113"/>
      <c r="N66" s="121"/>
      <c r="O66" s="122"/>
      <c r="P66" s="122"/>
      <c r="Q66" s="122"/>
      <c r="R66" s="122"/>
      <c r="S66" s="122"/>
      <c r="T66" s="122"/>
      <c r="U66" s="122"/>
      <c r="V66" s="122"/>
      <c r="W66" s="113"/>
      <c r="X66" s="122"/>
      <c r="Y66" s="122"/>
      <c r="Z66" s="122"/>
      <c r="AA66" s="122"/>
      <c r="AB66" s="122"/>
      <c r="AC66" s="122"/>
      <c r="AD66" s="122"/>
      <c r="AE66" s="122"/>
      <c r="AF66" s="122"/>
      <c r="AG66" s="113"/>
      <c r="AH66" s="122"/>
      <c r="AI66" s="122"/>
      <c r="AJ66" s="122"/>
      <c r="AK66" s="122"/>
      <c r="AL66" s="122"/>
      <c r="AM66" s="122"/>
      <c r="AN66" s="122"/>
      <c r="AO66" s="122"/>
      <c r="AP66" s="122"/>
      <c r="AQ66" s="113"/>
      <c r="AR66" s="122"/>
      <c r="AS66" s="122"/>
      <c r="AT66" s="122"/>
      <c r="AU66" s="122"/>
      <c r="AV66" s="122"/>
      <c r="AW66" s="122"/>
      <c r="AX66" s="122"/>
      <c r="AY66" s="122"/>
      <c r="AZ66" s="122"/>
      <c r="BA66" s="113"/>
      <c r="BB66" s="122"/>
      <c r="BC66" s="122"/>
      <c r="BD66" s="122"/>
      <c r="BE66" s="122"/>
      <c r="BF66" s="122"/>
      <c r="BG66" s="122"/>
      <c r="BH66" s="122"/>
      <c r="BI66" s="122"/>
      <c r="BJ66" s="122"/>
      <c r="BK66" s="116">
        <v>2.0</v>
      </c>
      <c r="BL66" s="120">
        <v>4.0</v>
      </c>
      <c r="BM66" s="120">
        <v>6.0</v>
      </c>
      <c r="BN66" s="119"/>
      <c r="BO66" s="120">
        <v>4.0</v>
      </c>
      <c r="BP66" s="120">
        <v>2.0</v>
      </c>
      <c r="BQ66" s="120">
        <v>10.0</v>
      </c>
      <c r="BR66" s="120">
        <v>4.0</v>
      </c>
      <c r="BS66" s="120">
        <v>6.0</v>
      </c>
      <c r="BT66" s="120">
        <v>4.0</v>
      </c>
      <c r="BU66" s="113"/>
      <c r="BV66" s="122"/>
      <c r="BW66" s="122"/>
      <c r="BX66" s="122"/>
      <c r="BY66" s="122"/>
      <c r="BZ66" s="122"/>
      <c r="CA66" s="122"/>
      <c r="CB66" s="122"/>
      <c r="CC66" s="122"/>
      <c r="CD66" s="120">
        <v>1.0</v>
      </c>
      <c r="CE66" s="113"/>
      <c r="CF66" s="122"/>
      <c r="CG66" s="122"/>
      <c r="CH66" s="122"/>
      <c r="CI66" s="122"/>
      <c r="CJ66" s="122"/>
      <c r="CK66" s="122"/>
      <c r="CL66" s="122"/>
      <c r="CM66" s="122"/>
      <c r="CN66" s="122"/>
      <c r="CO66" s="113"/>
      <c r="CP66" s="122"/>
      <c r="CQ66" s="122"/>
      <c r="CR66" s="122"/>
      <c r="CS66" s="122"/>
      <c r="CT66" s="122"/>
      <c r="CU66" s="122"/>
      <c r="CV66" s="122"/>
      <c r="CW66" s="122"/>
      <c r="CX66" s="123"/>
    </row>
    <row r="67" ht="35.25" customHeight="1">
      <c r="B67" s="124">
        <v>45784.0</v>
      </c>
      <c r="C67" s="121"/>
      <c r="D67" s="122"/>
      <c r="E67" s="122"/>
      <c r="F67" s="122"/>
      <c r="G67" s="122"/>
      <c r="H67" s="122"/>
      <c r="I67" s="122"/>
      <c r="J67" s="122"/>
      <c r="K67" s="122"/>
      <c r="L67" s="136"/>
      <c r="M67" s="113"/>
      <c r="N67" s="121"/>
      <c r="O67" s="122"/>
      <c r="P67" s="122"/>
      <c r="Q67" s="122"/>
      <c r="R67" s="122"/>
      <c r="S67" s="122"/>
      <c r="T67" s="122"/>
      <c r="U67" s="122"/>
      <c r="V67" s="122"/>
      <c r="W67" s="113"/>
      <c r="X67" s="122"/>
      <c r="Y67" s="122"/>
      <c r="Z67" s="122"/>
      <c r="AA67" s="122"/>
      <c r="AB67" s="122"/>
      <c r="AC67" s="122"/>
      <c r="AD67" s="122"/>
      <c r="AE67" s="122"/>
      <c r="AF67" s="122"/>
      <c r="AG67" s="113"/>
      <c r="AH67" s="122"/>
      <c r="AI67" s="122"/>
      <c r="AJ67" s="122"/>
      <c r="AK67" s="122"/>
      <c r="AL67" s="122"/>
      <c r="AM67" s="122"/>
      <c r="AN67" s="122"/>
      <c r="AO67" s="122"/>
      <c r="AP67" s="122"/>
      <c r="AQ67" s="113"/>
      <c r="AR67" s="122"/>
      <c r="AS67" s="122"/>
      <c r="AT67" s="122"/>
      <c r="AU67" s="122"/>
      <c r="AV67" s="122"/>
      <c r="AW67" s="122"/>
      <c r="AX67" s="122"/>
      <c r="AY67" s="122"/>
      <c r="AZ67" s="122"/>
      <c r="BA67" s="113"/>
      <c r="BB67" s="122"/>
      <c r="BC67" s="122"/>
      <c r="BD67" s="122"/>
      <c r="BE67" s="122"/>
      <c r="BF67" s="122"/>
      <c r="BG67" s="122"/>
      <c r="BH67" s="120"/>
      <c r="BI67" s="122"/>
      <c r="BJ67" s="122"/>
      <c r="BK67" s="116">
        <v>8.0</v>
      </c>
      <c r="BL67" s="120">
        <v>6.0</v>
      </c>
      <c r="BM67" s="120">
        <v>3.0</v>
      </c>
      <c r="BN67" s="120">
        <v>4.0</v>
      </c>
      <c r="BO67" s="119"/>
      <c r="BP67" s="120">
        <v>6.0</v>
      </c>
      <c r="BQ67" s="120">
        <v>3.0</v>
      </c>
      <c r="BR67" s="120">
        <v>9.0</v>
      </c>
      <c r="BS67" s="120">
        <v>5.0</v>
      </c>
      <c r="BT67" s="120">
        <v>4.0</v>
      </c>
      <c r="BU67" s="113"/>
      <c r="BV67" s="122"/>
      <c r="BW67" s="122"/>
      <c r="BX67" s="122"/>
      <c r="BY67" s="122"/>
      <c r="BZ67" s="122"/>
      <c r="CA67" s="122"/>
      <c r="CB67" s="122"/>
      <c r="CC67" s="122"/>
      <c r="CD67" s="122"/>
      <c r="CE67" s="113"/>
      <c r="CF67" s="122"/>
      <c r="CG67" s="122"/>
      <c r="CH67" s="122"/>
      <c r="CI67" s="122"/>
      <c r="CJ67" s="122"/>
      <c r="CK67" s="122"/>
      <c r="CL67" s="122"/>
      <c r="CM67" s="122"/>
      <c r="CN67" s="122"/>
      <c r="CO67" s="113"/>
      <c r="CP67" s="122"/>
      <c r="CQ67" s="122"/>
      <c r="CR67" s="122"/>
      <c r="CS67" s="122"/>
      <c r="CT67" s="122"/>
      <c r="CU67" s="122"/>
      <c r="CV67" s="122"/>
      <c r="CW67" s="122"/>
      <c r="CX67" s="123"/>
    </row>
    <row r="68" ht="35.25" customHeight="1">
      <c r="B68" s="124">
        <v>45815.0</v>
      </c>
      <c r="C68" s="121"/>
      <c r="D68" s="122"/>
      <c r="E68" s="122"/>
      <c r="F68" s="122"/>
      <c r="G68" s="122"/>
      <c r="H68" s="122"/>
      <c r="I68" s="122"/>
      <c r="J68" s="122"/>
      <c r="K68" s="122"/>
      <c r="L68" s="136"/>
      <c r="M68" s="113"/>
      <c r="N68" s="121"/>
      <c r="O68" s="122"/>
      <c r="P68" s="122"/>
      <c r="Q68" s="122"/>
      <c r="R68" s="122"/>
      <c r="S68" s="122"/>
      <c r="T68" s="122"/>
      <c r="U68" s="122"/>
      <c r="V68" s="122"/>
      <c r="W68" s="113"/>
      <c r="X68" s="122"/>
      <c r="Y68" s="122"/>
      <c r="Z68" s="122"/>
      <c r="AA68" s="122"/>
      <c r="AB68" s="122"/>
      <c r="AC68" s="122"/>
      <c r="AD68" s="122"/>
      <c r="AE68" s="122"/>
      <c r="AF68" s="122"/>
      <c r="AG68" s="113"/>
      <c r="AH68" s="122"/>
      <c r="AI68" s="122"/>
      <c r="AJ68" s="122"/>
      <c r="AK68" s="122"/>
      <c r="AL68" s="122"/>
      <c r="AM68" s="122"/>
      <c r="AN68" s="122"/>
      <c r="AO68" s="122"/>
      <c r="AP68" s="122"/>
      <c r="AQ68" s="113"/>
      <c r="AR68" s="122"/>
      <c r="AS68" s="122"/>
      <c r="AT68" s="122"/>
      <c r="AU68" s="122"/>
      <c r="AV68" s="122"/>
      <c r="AW68" s="122"/>
      <c r="AX68" s="122"/>
      <c r="AY68" s="122"/>
      <c r="AZ68" s="122"/>
      <c r="BA68" s="113"/>
      <c r="BB68" s="122"/>
      <c r="BC68" s="122"/>
      <c r="BD68" s="122"/>
      <c r="BE68" s="122"/>
      <c r="BF68" s="122"/>
      <c r="BG68" s="122"/>
      <c r="BH68" s="122"/>
      <c r="BI68" s="122"/>
      <c r="BJ68" s="122"/>
      <c r="BK68" s="116">
        <v>8.0</v>
      </c>
      <c r="BL68" s="120">
        <v>6.0</v>
      </c>
      <c r="BM68" s="120">
        <v>2.0</v>
      </c>
      <c r="BN68" s="120">
        <v>2.0</v>
      </c>
      <c r="BO68" s="120">
        <v>6.0</v>
      </c>
      <c r="BP68" s="119"/>
      <c r="BQ68" s="120">
        <v>4.0</v>
      </c>
      <c r="BR68" s="120">
        <v>6.0</v>
      </c>
      <c r="BS68" s="120">
        <v>4.0</v>
      </c>
      <c r="BT68" s="120">
        <v>4.0</v>
      </c>
      <c r="BU68" s="116">
        <v>1.0</v>
      </c>
      <c r="BV68" s="122"/>
      <c r="BW68" s="122"/>
      <c r="BX68" s="122"/>
      <c r="BY68" s="122"/>
      <c r="BZ68" s="122"/>
      <c r="CA68" s="122"/>
      <c r="CB68" s="122"/>
      <c r="CC68" s="122"/>
      <c r="CD68" s="122"/>
      <c r="CE68" s="113"/>
      <c r="CF68" s="122"/>
      <c r="CG68" s="122"/>
      <c r="CH68" s="122"/>
      <c r="CI68" s="122"/>
      <c r="CJ68" s="122"/>
      <c r="CK68" s="122"/>
      <c r="CL68" s="122"/>
      <c r="CM68" s="122"/>
      <c r="CN68" s="122"/>
      <c r="CO68" s="113"/>
      <c r="CP68" s="122"/>
      <c r="CQ68" s="122"/>
      <c r="CR68" s="122"/>
      <c r="CS68" s="122"/>
      <c r="CT68" s="122"/>
      <c r="CU68" s="122"/>
      <c r="CV68" s="122"/>
      <c r="CW68" s="122"/>
      <c r="CX68" s="123"/>
    </row>
    <row r="69" ht="35.25" customHeight="1">
      <c r="B69" s="124">
        <v>45845.0</v>
      </c>
      <c r="C69" s="121"/>
      <c r="D69" s="122"/>
      <c r="E69" s="122"/>
      <c r="F69" s="122"/>
      <c r="G69" s="122"/>
      <c r="H69" s="122"/>
      <c r="I69" s="122"/>
      <c r="J69" s="122"/>
      <c r="K69" s="122"/>
      <c r="L69" s="136"/>
      <c r="M69" s="113"/>
      <c r="N69" s="121"/>
      <c r="O69" s="122"/>
      <c r="P69" s="122"/>
      <c r="Q69" s="122"/>
      <c r="R69" s="122"/>
      <c r="S69" s="122"/>
      <c r="T69" s="122"/>
      <c r="U69" s="122"/>
      <c r="V69" s="122"/>
      <c r="W69" s="113"/>
      <c r="X69" s="122"/>
      <c r="Y69" s="122"/>
      <c r="Z69" s="122"/>
      <c r="AA69" s="122"/>
      <c r="AB69" s="122"/>
      <c r="AC69" s="122"/>
      <c r="AD69" s="122"/>
      <c r="AE69" s="122"/>
      <c r="AF69" s="122"/>
      <c r="AG69" s="113"/>
      <c r="AH69" s="122"/>
      <c r="AI69" s="122"/>
      <c r="AJ69" s="122"/>
      <c r="AK69" s="122"/>
      <c r="AL69" s="122"/>
      <c r="AM69" s="122"/>
      <c r="AN69" s="122"/>
      <c r="AO69" s="122"/>
      <c r="AP69" s="122"/>
      <c r="AQ69" s="113"/>
      <c r="AR69" s="122"/>
      <c r="AS69" s="122"/>
      <c r="AT69" s="122"/>
      <c r="AU69" s="122"/>
      <c r="AV69" s="122"/>
      <c r="AW69" s="122"/>
      <c r="AX69" s="122"/>
      <c r="AY69" s="122"/>
      <c r="AZ69" s="122"/>
      <c r="BA69" s="113"/>
      <c r="BB69" s="122"/>
      <c r="BC69" s="120">
        <v>1.0</v>
      </c>
      <c r="BD69" s="122"/>
      <c r="BE69" s="122"/>
      <c r="BF69" s="122"/>
      <c r="BG69" s="122"/>
      <c r="BH69" s="122"/>
      <c r="BI69" s="122"/>
      <c r="BJ69" s="120">
        <v>1.0</v>
      </c>
      <c r="BK69" s="116">
        <v>3.0</v>
      </c>
      <c r="BL69" s="120">
        <v>6.0</v>
      </c>
      <c r="BM69" s="120">
        <v>7.0</v>
      </c>
      <c r="BN69" s="120">
        <v>10.0</v>
      </c>
      <c r="BO69" s="120">
        <v>3.0</v>
      </c>
      <c r="BP69" s="120">
        <v>4.0</v>
      </c>
      <c r="BQ69" s="119"/>
      <c r="BR69" s="120">
        <v>4.0</v>
      </c>
      <c r="BS69" s="120">
        <v>4.0</v>
      </c>
      <c r="BT69" s="120">
        <v>4.0</v>
      </c>
      <c r="BU69" s="116">
        <v>1.0</v>
      </c>
      <c r="BV69" s="122"/>
      <c r="BW69" s="122"/>
      <c r="BX69" s="122"/>
      <c r="BY69" s="122"/>
      <c r="BZ69" s="122"/>
      <c r="CA69" s="122"/>
      <c r="CB69" s="122"/>
      <c r="CC69" s="122"/>
      <c r="CD69" s="120">
        <v>1.0</v>
      </c>
      <c r="CE69" s="113"/>
      <c r="CF69" s="122"/>
      <c r="CG69" s="122"/>
      <c r="CH69" s="122"/>
      <c r="CI69" s="122"/>
      <c r="CJ69" s="122"/>
      <c r="CK69" s="122"/>
      <c r="CL69" s="122"/>
      <c r="CM69" s="122"/>
      <c r="CN69" s="122"/>
      <c r="CO69" s="113"/>
      <c r="CP69" s="122"/>
      <c r="CQ69" s="122"/>
      <c r="CR69" s="122"/>
      <c r="CS69" s="122"/>
      <c r="CT69" s="122"/>
      <c r="CU69" s="122"/>
      <c r="CV69" s="122"/>
      <c r="CW69" s="122"/>
      <c r="CX69" s="123"/>
    </row>
    <row r="70" ht="35.25" customHeight="1">
      <c r="B70" s="124">
        <v>45876.0</v>
      </c>
      <c r="C70" s="121"/>
      <c r="D70" s="122"/>
      <c r="E70" s="122"/>
      <c r="F70" s="122"/>
      <c r="G70" s="122"/>
      <c r="H70" s="122"/>
      <c r="I70" s="122"/>
      <c r="J70" s="122"/>
      <c r="K70" s="122"/>
      <c r="L70" s="136"/>
      <c r="M70" s="113"/>
      <c r="N70" s="121"/>
      <c r="O70" s="122"/>
      <c r="P70" s="122"/>
      <c r="Q70" s="122"/>
      <c r="R70" s="122"/>
      <c r="S70" s="122"/>
      <c r="T70" s="122"/>
      <c r="U70" s="122"/>
      <c r="V70" s="122"/>
      <c r="W70" s="113"/>
      <c r="X70" s="122"/>
      <c r="Y70" s="122"/>
      <c r="Z70" s="122"/>
      <c r="AA70" s="122"/>
      <c r="AB70" s="122"/>
      <c r="AC70" s="122"/>
      <c r="AD70" s="122"/>
      <c r="AE70" s="122"/>
      <c r="AF70" s="122"/>
      <c r="AG70" s="113"/>
      <c r="AH70" s="122"/>
      <c r="AI70" s="122"/>
      <c r="AJ70" s="122"/>
      <c r="AK70" s="122"/>
      <c r="AL70" s="122"/>
      <c r="AM70" s="122"/>
      <c r="AN70" s="122"/>
      <c r="AO70" s="122"/>
      <c r="AP70" s="122"/>
      <c r="AQ70" s="113"/>
      <c r="AR70" s="122"/>
      <c r="AS70" s="122"/>
      <c r="AT70" s="122"/>
      <c r="AU70" s="122"/>
      <c r="AV70" s="122"/>
      <c r="AW70" s="122"/>
      <c r="AX70" s="122"/>
      <c r="AY70" s="122"/>
      <c r="AZ70" s="122"/>
      <c r="BA70" s="113"/>
      <c r="BB70" s="122"/>
      <c r="BC70" s="122"/>
      <c r="BD70" s="122"/>
      <c r="BE70" s="122"/>
      <c r="BF70" s="122"/>
      <c r="BG70" s="122"/>
      <c r="BH70" s="122"/>
      <c r="BI70" s="122"/>
      <c r="BJ70" s="122"/>
      <c r="BK70" s="116">
        <v>3.0</v>
      </c>
      <c r="BL70" s="120">
        <v>4.0</v>
      </c>
      <c r="BM70" s="120">
        <v>6.0</v>
      </c>
      <c r="BN70" s="120">
        <v>4.0</v>
      </c>
      <c r="BO70" s="120">
        <v>9.0</v>
      </c>
      <c r="BP70" s="120">
        <v>6.0</v>
      </c>
      <c r="BQ70" s="120">
        <v>4.0</v>
      </c>
      <c r="BR70" s="119"/>
      <c r="BS70" s="120">
        <v>3.0</v>
      </c>
      <c r="BT70" s="120">
        <v>6.0</v>
      </c>
      <c r="BU70" s="113"/>
      <c r="BV70" s="122"/>
      <c r="BW70" s="122"/>
      <c r="BX70" s="122"/>
      <c r="BY70" s="122"/>
      <c r="BZ70" s="122"/>
      <c r="CA70" s="122"/>
      <c r="CB70" s="122"/>
      <c r="CC70" s="122"/>
      <c r="CD70" s="120">
        <v>1.0</v>
      </c>
      <c r="CE70" s="113"/>
      <c r="CF70" s="122"/>
      <c r="CG70" s="122"/>
      <c r="CH70" s="122"/>
      <c r="CI70" s="122"/>
      <c r="CJ70" s="122"/>
      <c r="CK70" s="122"/>
      <c r="CL70" s="122"/>
      <c r="CM70" s="122"/>
      <c r="CN70" s="122"/>
      <c r="CO70" s="113"/>
      <c r="CP70" s="122"/>
      <c r="CQ70" s="122"/>
      <c r="CR70" s="122"/>
      <c r="CS70" s="122"/>
      <c r="CT70" s="122"/>
      <c r="CU70" s="122"/>
      <c r="CV70" s="122"/>
      <c r="CW70" s="122"/>
      <c r="CX70" s="123"/>
    </row>
    <row r="71" ht="35.25" customHeight="1">
      <c r="B71" s="124">
        <v>45907.0</v>
      </c>
      <c r="C71" s="121"/>
      <c r="D71" s="122"/>
      <c r="E71" s="122"/>
      <c r="F71" s="122"/>
      <c r="G71" s="122"/>
      <c r="H71" s="122"/>
      <c r="I71" s="122"/>
      <c r="J71" s="122"/>
      <c r="K71" s="122"/>
      <c r="L71" s="136"/>
      <c r="M71" s="113"/>
      <c r="N71" s="121"/>
      <c r="O71" s="122"/>
      <c r="P71" s="122"/>
      <c r="Q71" s="122"/>
      <c r="R71" s="122"/>
      <c r="S71" s="122"/>
      <c r="T71" s="122"/>
      <c r="U71" s="122"/>
      <c r="V71" s="122"/>
      <c r="W71" s="113"/>
      <c r="X71" s="122"/>
      <c r="Y71" s="122"/>
      <c r="Z71" s="122"/>
      <c r="AA71" s="122"/>
      <c r="AB71" s="122"/>
      <c r="AC71" s="122"/>
      <c r="AD71" s="122"/>
      <c r="AE71" s="122"/>
      <c r="AF71" s="122"/>
      <c r="AG71" s="113"/>
      <c r="AH71" s="122"/>
      <c r="AI71" s="122"/>
      <c r="AJ71" s="122"/>
      <c r="AK71" s="122"/>
      <c r="AL71" s="122"/>
      <c r="AM71" s="122"/>
      <c r="AN71" s="122"/>
      <c r="AO71" s="122"/>
      <c r="AP71" s="122"/>
      <c r="AQ71" s="113"/>
      <c r="AR71" s="122"/>
      <c r="AS71" s="122"/>
      <c r="AT71" s="122"/>
      <c r="AU71" s="122"/>
      <c r="AV71" s="122"/>
      <c r="AW71" s="122"/>
      <c r="AX71" s="122"/>
      <c r="AY71" s="122"/>
      <c r="AZ71" s="122"/>
      <c r="BA71" s="113"/>
      <c r="BB71" s="122"/>
      <c r="BC71" s="122"/>
      <c r="BD71" s="122"/>
      <c r="BE71" s="122"/>
      <c r="BF71" s="122"/>
      <c r="BG71" s="122"/>
      <c r="BH71" s="122"/>
      <c r="BI71" s="122"/>
      <c r="BJ71" s="122"/>
      <c r="BK71" s="116">
        <v>9.0</v>
      </c>
      <c r="BL71" s="120">
        <v>4.0</v>
      </c>
      <c r="BM71" s="120">
        <v>4.0</v>
      </c>
      <c r="BN71" s="120">
        <v>6.0</v>
      </c>
      <c r="BO71" s="120">
        <v>5.0</v>
      </c>
      <c r="BP71" s="120">
        <v>4.0</v>
      </c>
      <c r="BQ71" s="120">
        <v>4.0</v>
      </c>
      <c r="BR71" s="120">
        <v>3.0</v>
      </c>
      <c r="BS71" s="119"/>
      <c r="BT71" s="120">
        <v>6.0</v>
      </c>
      <c r="BU71" s="116">
        <v>1.0</v>
      </c>
      <c r="BV71" s="122"/>
      <c r="BW71" s="122"/>
      <c r="BX71" s="122"/>
      <c r="BY71" s="122"/>
      <c r="BZ71" s="122"/>
      <c r="CA71" s="122"/>
      <c r="CB71" s="122"/>
      <c r="CC71" s="122"/>
      <c r="CD71" s="122"/>
      <c r="CE71" s="113"/>
      <c r="CF71" s="122"/>
      <c r="CG71" s="122"/>
      <c r="CH71" s="122"/>
      <c r="CI71" s="122"/>
      <c r="CJ71" s="122"/>
      <c r="CK71" s="122"/>
      <c r="CL71" s="122"/>
      <c r="CM71" s="122"/>
      <c r="CN71" s="122"/>
      <c r="CO71" s="113"/>
      <c r="CP71" s="122"/>
      <c r="CQ71" s="122"/>
      <c r="CR71" s="122"/>
      <c r="CS71" s="122"/>
      <c r="CT71" s="122"/>
      <c r="CU71" s="122"/>
      <c r="CV71" s="122"/>
      <c r="CW71" s="122"/>
      <c r="CX71" s="123"/>
    </row>
    <row r="72" ht="35.25" customHeight="1">
      <c r="A72" s="103"/>
      <c r="B72" s="126">
        <v>45937.0</v>
      </c>
      <c r="C72" s="131"/>
      <c r="D72" s="132"/>
      <c r="E72" s="132"/>
      <c r="F72" s="132"/>
      <c r="G72" s="132"/>
      <c r="H72" s="132"/>
      <c r="I72" s="132"/>
      <c r="J72" s="132"/>
      <c r="K72" s="132"/>
      <c r="L72" s="137"/>
      <c r="M72" s="130"/>
      <c r="N72" s="131"/>
      <c r="O72" s="132"/>
      <c r="P72" s="132"/>
      <c r="Q72" s="132"/>
      <c r="R72" s="132"/>
      <c r="S72" s="132"/>
      <c r="T72" s="132"/>
      <c r="U72" s="132"/>
      <c r="V72" s="132"/>
      <c r="W72" s="130"/>
      <c r="X72" s="132"/>
      <c r="Y72" s="132"/>
      <c r="Z72" s="132"/>
      <c r="AA72" s="132"/>
      <c r="AB72" s="132"/>
      <c r="AC72" s="132"/>
      <c r="AD72" s="132"/>
      <c r="AE72" s="132"/>
      <c r="AF72" s="132"/>
      <c r="AG72" s="130"/>
      <c r="AH72" s="132"/>
      <c r="AI72" s="132"/>
      <c r="AJ72" s="132"/>
      <c r="AK72" s="132"/>
      <c r="AL72" s="132"/>
      <c r="AM72" s="132"/>
      <c r="AN72" s="132"/>
      <c r="AO72" s="132"/>
      <c r="AP72" s="132"/>
      <c r="AQ72" s="130"/>
      <c r="AR72" s="132"/>
      <c r="AS72" s="132"/>
      <c r="AT72" s="132"/>
      <c r="AU72" s="132"/>
      <c r="AV72" s="132"/>
      <c r="AW72" s="132"/>
      <c r="AX72" s="132"/>
      <c r="AY72" s="132"/>
      <c r="AZ72" s="132"/>
      <c r="BA72" s="130"/>
      <c r="BB72" s="132"/>
      <c r="BC72" s="128">
        <v>1.0</v>
      </c>
      <c r="BD72" s="132"/>
      <c r="BE72" s="132"/>
      <c r="BF72" s="132"/>
      <c r="BG72" s="132"/>
      <c r="BH72" s="132"/>
      <c r="BI72" s="132"/>
      <c r="BJ72" s="128">
        <v>1.0</v>
      </c>
      <c r="BK72" s="127">
        <v>4.0</v>
      </c>
      <c r="BL72" s="128">
        <v>4.0</v>
      </c>
      <c r="BM72" s="128">
        <v>6.0</v>
      </c>
      <c r="BN72" s="128">
        <v>4.0</v>
      </c>
      <c r="BO72" s="128">
        <v>4.0</v>
      </c>
      <c r="BP72" s="128">
        <v>4.0</v>
      </c>
      <c r="BQ72" s="128">
        <v>4.0</v>
      </c>
      <c r="BR72" s="128">
        <v>6.0</v>
      </c>
      <c r="BS72" s="128">
        <v>6.0</v>
      </c>
      <c r="BT72" s="129"/>
      <c r="BU72" s="130"/>
      <c r="BV72" s="132"/>
      <c r="BW72" s="132"/>
      <c r="BX72" s="132"/>
      <c r="BY72" s="132"/>
      <c r="BZ72" s="132"/>
      <c r="CA72" s="132"/>
      <c r="CB72" s="132"/>
      <c r="CC72" s="132"/>
      <c r="CD72" s="128">
        <v>1.0</v>
      </c>
      <c r="CE72" s="130"/>
      <c r="CF72" s="132"/>
      <c r="CG72" s="132"/>
      <c r="CH72" s="132"/>
      <c r="CI72" s="132"/>
      <c r="CJ72" s="132"/>
      <c r="CK72" s="132"/>
      <c r="CL72" s="132"/>
      <c r="CM72" s="132"/>
      <c r="CN72" s="132"/>
      <c r="CO72" s="130"/>
      <c r="CP72" s="132"/>
      <c r="CQ72" s="132"/>
      <c r="CR72" s="132"/>
      <c r="CS72" s="132"/>
      <c r="CT72" s="132"/>
      <c r="CU72" s="132"/>
      <c r="CV72" s="132"/>
      <c r="CW72" s="132"/>
      <c r="CX72" s="133"/>
    </row>
    <row r="73" ht="35.25" customHeight="1">
      <c r="A73" s="134" t="s">
        <v>2942</v>
      </c>
      <c r="B73" s="124">
        <v>45665.0</v>
      </c>
      <c r="C73" s="114"/>
      <c r="D73" s="115"/>
      <c r="E73" s="115"/>
      <c r="F73" s="115"/>
      <c r="G73" s="115"/>
      <c r="H73" s="115"/>
      <c r="I73" s="115"/>
      <c r="J73" s="115"/>
      <c r="K73" s="115"/>
      <c r="L73" s="135"/>
      <c r="M73" s="113"/>
      <c r="N73" s="114"/>
      <c r="O73" s="115"/>
      <c r="P73" s="115"/>
      <c r="Q73" s="115"/>
      <c r="R73" s="115"/>
      <c r="S73" s="115"/>
      <c r="T73" s="115"/>
      <c r="U73" s="115"/>
      <c r="V73" s="115"/>
      <c r="W73" s="113"/>
      <c r="X73" s="115"/>
      <c r="Y73" s="115"/>
      <c r="Z73" s="115"/>
      <c r="AA73" s="115"/>
      <c r="AB73" s="115"/>
      <c r="AC73" s="115"/>
      <c r="AD73" s="115"/>
      <c r="AE73" s="115"/>
      <c r="AF73" s="115"/>
      <c r="AG73" s="113"/>
      <c r="AH73" s="115"/>
      <c r="AI73" s="115"/>
      <c r="AJ73" s="115"/>
      <c r="AK73" s="115"/>
      <c r="AL73" s="115"/>
      <c r="AM73" s="115"/>
      <c r="AN73" s="115"/>
      <c r="AO73" s="115"/>
      <c r="AP73" s="115"/>
      <c r="AQ73" s="113"/>
      <c r="AR73" s="115"/>
      <c r="AS73" s="115"/>
      <c r="AT73" s="115"/>
      <c r="AU73" s="115"/>
      <c r="AV73" s="115"/>
      <c r="AW73" s="115"/>
      <c r="AX73" s="115"/>
      <c r="AY73" s="115"/>
      <c r="AZ73" s="115"/>
      <c r="BA73" s="113"/>
      <c r="BB73" s="115"/>
      <c r="BC73" s="115"/>
      <c r="BD73" s="115"/>
      <c r="BE73" s="115"/>
      <c r="BF73" s="115"/>
      <c r="BG73" s="115"/>
      <c r="BH73" s="115"/>
      <c r="BI73" s="115"/>
      <c r="BJ73" s="115"/>
      <c r="BK73" s="116">
        <v>1.0</v>
      </c>
      <c r="BL73" s="115"/>
      <c r="BM73" s="115"/>
      <c r="BN73" s="115"/>
      <c r="BO73" s="115"/>
      <c r="BP73" s="112">
        <v>1.0</v>
      </c>
      <c r="BQ73" s="112">
        <v>1.0</v>
      </c>
      <c r="BR73" s="115"/>
      <c r="BS73" s="112">
        <v>1.0</v>
      </c>
      <c r="BT73" s="115"/>
      <c r="BU73" s="139"/>
      <c r="BV73" s="112">
        <v>4.0</v>
      </c>
      <c r="BW73" s="112">
        <v>1.0</v>
      </c>
      <c r="BX73" s="112">
        <v>2.0</v>
      </c>
      <c r="BY73" s="112">
        <v>8.0</v>
      </c>
      <c r="BZ73" s="112">
        <v>7.0</v>
      </c>
      <c r="CA73" s="112">
        <v>2.0</v>
      </c>
      <c r="CB73" s="112">
        <v>3.0</v>
      </c>
      <c r="CC73" s="112">
        <v>8.0</v>
      </c>
      <c r="CD73" s="112">
        <v>4.0</v>
      </c>
      <c r="CE73" s="113"/>
      <c r="CF73" s="115"/>
      <c r="CG73" s="115"/>
      <c r="CH73" s="115"/>
      <c r="CI73" s="115"/>
      <c r="CJ73" s="115"/>
      <c r="CK73" s="115"/>
      <c r="CL73" s="115"/>
      <c r="CM73" s="115"/>
      <c r="CN73" s="115"/>
      <c r="CO73" s="113"/>
      <c r="CP73" s="115"/>
      <c r="CQ73" s="115"/>
      <c r="CR73" s="115"/>
      <c r="CS73" s="115"/>
      <c r="CT73" s="115"/>
      <c r="CU73" s="115"/>
      <c r="CV73" s="115"/>
      <c r="CW73" s="115"/>
      <c r="CX73" s="117"/>
    </row>
    <row r="74" ht="35.25" customHeight="1">
      <c r="B74" s="124">
        <v>45696.0</v>
      </c>
      <c r="C74" s="121"/>
      <c r="D74" s="120">
        <v>1.0</v>
      </c>
      <c r="E74" s="120">
        <v>1.0</v>
      </c>
      <c r="F74" s="122"/>
      <c r="G74" s="120">
        <v>1.0</v>
      </c>
      <c r="H74" s="122"/>
      <c r="I74" s="122"/>
      <c r="J74" s="122"/>
      <c r="K74" s="122"/>
      <c r="L74" s="136"/>
      <c r="M74" s="113"/>
      <c r="N74" s="121"/>
      <c r="O74" s="122"/>
      <c r="P74" s="122"/>
      <c r="Q74" s="122"/>
      <c r="R74" s="122"/>
      <c r="S74" s="122"/>
      <c r="T74" s="122"/>
      <c r="U74" s="122"/>
      <c r="V74" s="122"/>
      <c r="W74" s="113"/>
      <c r="X74" s="122"/>
      <c r="Y74" s="122"/>
      <c r="Z74" s="122"/>
      <c r="AA74" s="122"/>
      <c r="AB74" s="122"/>
      <c r="AC74" s="122"/>
      <c r="AD74" s="122"/>
      <c r="AE74" s="122"/>
      <c r="AF74" s="122"/>
      <c r="AG74" s="113"/>
      <c r="AH74" s="122"/>
      <c r="AI74" s="122"/>
      <c r="AJ74" s="122"/>
      <c r="AK74" s="122"/>
      <c r="AL74" s="122"/>
      <c r="AM74" s="122"/>
      <c r="AN74" s="122"/>
      <c r="AO74" s="122"/>
      <c r="AP74" s="122"/>
      <c r="AQ74" s="113"/>
      <c r="AR74" s="122"/>
      <c r="AS74" s="122"/>
      <c r="AT74" s="122"/>
      <c r="AU74" s="122"/>
      <c r="AV74" s="122"/>
      <c r="AW74" s="122"/>
      <c r="AX74" s="120">
        <v>1.0</v>
      </c>
      <c r="AY74" s="122"/>
      <c r="AZ74" s="122"/>
      <c r="BA74" s="113"/>
      <c r="BB74" s="122"/>
      <c r="BC74" s="122"/>
      <c r="BD74" s="122"/>
      <c r="BE74" s="122"/>
      <c r="BF74" s="122"/>
      <c r="BG74" s="122"/>
      <c r="BH74" s="122"/>
      <c r="BI74" s="122"/>
      <c r="BJ74" s="122"/>
      <c r="BK74" s="113"/>
      <c r="BL74" s="122"/>
      <c r="BM74" s="122"/>
      <c r="BN74" s="122"/>
      <c r="BO74" s="122"/>
      <c r="BP74" s="122"/>
      <c r="BQ74" s="122"/>
      <c r="BR74" s="122"/>
      <c r="BS74" s="122"/>
      <c r="BT74" s="122"/>
      <c r="BU74" s="116">
        <v>4.0</v>
      </c>
      <c r="BV74" s="119"/>
      <c r="BW74" s="120">
        <v>2.0</v>
      </c>
      <c r="BX74" s="120">
        <v>4.0</v>
      </c>
      <c r="BY74" s="120">
        <v>5.0</v>
      </c>
      <c r="BZ74" s="120">
        <v>6.0</v>
      </c>
      <c r="CA74" s="120">
        <v>6.0</v>
      </c>
      <c r="CB74" s="120">
        <v>3.0</v>
      </c>
      <c r="CC74" s="120">
        <v>4.0</v>
      </c>
      <c r="CD74" s="120">
        <v>3.0</v>
      </c>
      <c r="CE74" s="113"/>
      <c r="CF74" s="122"/>
      <c r="CG74" s="122"/>
      <c r="CH74" s="122"/>
      <c r="CI74" s="122"/>
      <c r="CJ74" s="122"/>
      <c r="CK74" s="122"/>
      <c r="CL74" s="122"/>
      <c r="CM74" s="122"/>
      <c r="CN74" s="122"/>
      <c r="CO74" s="113"/>
      <c r="CP74" s="122"/>
      <c r="CQ74" s="122"/>
      <c r="CR74" s="122"/>
      <c r="CS74" s="122"/>
      <c r="CT74" s="122"/>
      <c r="CU74" s="122"/>
      <c r="CV74" s="122"/>
      <c r="CW74" s="122"/>
      <c r="CX74" s="123"/>
    </row>
    <row r="75" ht="35.25" customHeight="1">
      <c r="B75" s="124">
        <v>45724.0</v>
      </c>
      <c r="C75" s="121"/>
      <c r="D75" s="122"/>
      <c r="E75" s="122"/>
      <c r="F75" s="122"/>
      <c r="G75" s="122"/>
      <c r="H75" s="122"/>
      <c r="I75" s="122"/>
      <c r="J75" s="122"/>
      <c r="K75" s="120">
        <v>1.0</v>
      </c>
      <c r="L75" s="136"/>
      <c r="M75" s="113"/>
      <c r="N75" s="142">
        <v>1.0</v>
      </c>
      <c r="O75" s="120">
        <v>1.0</v>
      </c>
      <c r="P75" s="122"/>
      <c r="Q75" s="122"/>
      <c r="R75" s="122"/>
      <c r="S75" s="120">
        <v>1.0</v>
      </c>
      <c r="T75" s="122"/>
      <c r="U75" s="122"/>
      <c r="V75" s="120">
        <v>1.0</v>
      </c>
      <c r="W75" s="113"/>
      <c r="X75" s="122"/>
      <c r="Y75" s="122"/>
      <c r="Z75" s="122"/>
      <c r="AA75" s="122"/>
      <c r="AB75" s="122"/>
      <c r="AC75" s="122"/>
      <c r="AD75" s="122"/>
      <c r="AE75" s="122"/>
      <c r="AF75" s="122"/>
      <c r="AG75" s="113"/>
      <c r="AH75" s="122"/>
      <c r="AI75" s="122"/>
      <c r="AJ75" s="122"/>
      <c r="AK75" s="122"/>
      <c r="AL75" s="122"/>
      <c r="AM75" s="122"/>
      <c r="AN75" s="122"/>
      <c r="AO75" s="122"/>
      <c r="AP75" s="122"/>
      <c r="AQ75" s="113"/>
      <c r="AR75" s="122"/>
      <c r="AS75" s="122"/>
      <c r="AT75" s="122"/>
      <c r="AU75" s="122"/>
      <c r="AV75" s="122"/>
      <c r="AW75" s="122"/>
      <c r="AX75" s="122"/>
      <c r="AY75" s="122"/>
      <c r="AZ75" s="122"/>
      <c r="BA75" s="113"/>
      <c r="BB75" s="122"/>
      <c r="BC75" s="122"/>
      <c r="BD75" s="122"/>
      <c r="BE75" s="122"/>
      <c r="BF75" s="122"/>
      <c r="BG75" s="122"/>
      <c r="BH75" s="122"/>
      <c r="BI75" s="122"/>
      <c r="BJ75" s="122"/>
      <c r="BK75" s="113"/>
      <c r="BL75" s="122"/>
      <c r="BM75" s="122"/>
      <c r="BN75" s="122"/>
      <c r="BO75" s="122"/>
      <c r="BP75" s="122"/>
      <c r="BQ75" s="122"/>
      <c r="BR75" s="122"/>
      <c r="BS75" s="122"/>
      <c r="BT75" s="122"/>
      <c r="BU75" s="116">
        <v>1.0</v>
      </c>
      <c r="BV75" s="120">
        <v>2.0</v>
      </c>
      <c r="BW75" s="119"/>
      <c r="BX75" s="120">
        <v>5.0</v>
      </c>
      <c r="BY75" s="120">
        <v>3.0</v>
      </c>
      <c r="BZ75" s="120">
        <v>2.0</v>
      </c>
      <c r="CA75" s="120">
        <v>5.0</v>
      </c>
      <c r="CB75" s="120">
        <v>6.0</v>
      </c>
      <c r="CC75" s="120">
        <v>4.0</v>
      </c>
      <c r="CD75" s="120">
        <v>5.0</v>
      </c>
      <c r="CE75" s="113"/>
      <c r="CF75" s="122"/>
      <c r="CG75" s="120">
        <v>1.0</v>
      </c>
      <c r="CH75" s="122"/>
      <c r="CI75" s="122"/>
      <c r="CJ75" s="122"/>
      <c r="CK75" s="122"/>
      <c r="CL75" s="122"/>
      <c r="CM75" s="122"/>
      <c r="CN75" s="122"/>
      <c r="CO75" s="113"/>
      <c r="CP75" s="122"/>
      <c r="CQ75" s="122"/>
      <c r="CR75" s="122"/>
      <c r="CS75" s="122"/>
      <c r="CT75" s="122"/>
      <c r="CU75" s="122"/>
      <c r="CV75" s="122"/>
      <c r="CW75" s="122"/>
      <c r="CX75" s="123"/>
    </row>
    <row r="76" ht="35.25" customHeight="1">
      <c r="B76" s="124">
        <v>45755.0</v>
      </c>
      <c r="C76" s="121"/>
      <c r="D76" s="122"/>
      <c r="E76" s="122"/>
      <c r="F76" s="122"/>
      <c r="G76" s="122"/>
      <c r="H76" s="122"/>
      <c r="I76" s="122"/>
      <c r="J76" s="122"/>
      <c r="K76" s="122"/>
      <c r="L76" s="136"/>
      <c r="M76" s="113"/>
      <c r="N76" s="121"/>
      <c r="O76" s="122"/>
      <c r="P76" s="122"/>
      <c r="Q76" s="122"/>
      <c r="R76" s="122"/>
      <c r="S76" s="122"/>
      <c r="T76" s="122"/>
      <c r="U76" s="122"/>
      <c r="V76" s="122"/>
      <c r="W76" s="113"/>
      <c r="X76" s="122"/>
      <c r="Y76" s="122"/>
      <c r="Z76" s="122"/>
      <c r="AA76" s="122"/>
      <c r="AB76" s="122"/>
      <c r="AC76" s="122"/>
      <c r="AD76" s="122"/>
      <c r="AE76" s="122"/>
      <c r="AF76" s="122"/>
      <c r="AG76" s="113"/>
      <c r="AH76" s="122"/>
      <c r="AI76" s="122"/>
      <c r="AJ76" s="122"/>
      <c r="AK76" s="122"/>
      <c r="AL76" s="122"/>
      <c r="AM76" s="122"/>
      <c r="AN76" s="122"/>
      <c r="AO76" s="122"/>
      <c r="AP76" s="122"/>
      <c r="AQ76" s="113"/>
      <c r="AR76" s="122"/>
      <c r="AS76" s="122"/>
      <c r="AT76" s="122"/>
      <c r="AU76" s="122"/>
      <c r="AV76" s="122"/>
      <c r="AW76" s="122"/>
      <c r="AX76" s="122"/>
      <c r="AY76" s="122"/>
      <c r="AZ76" s="122"/>
      <c r="BA76" s="113"/>
      <c r="BB76" s="122"/>
      <c r="BC76" s="122"/>
      <c r="BD76" s="122"/>
      <c r="BE76" s="122"/>
      <c r="BF76" s="122"/>
      <c r="BG76" s="122"/>
      <c r="BH76" s="122"/>
      <c r="BI76" s="122"/>
      <c r="BJ76" s="122"/>
      <c r="BK76" s="113"/>
      <c r="BL76" s="122"/>
      <c r="BM76" s="122"/>
      <c r="BN76" s="122"/>
      <c r="BO76" s="122"/>
      <c r="BP76" s="122"/>
      <c r="BQ76" s="122"/>
      <c r="BR76" s="122"/>
      <c r="BS76" s="122"/>
      <c r="BT76" s="122"/>
      <c r="BU76" s="116">
        <v>2.0</v>
      </c>
      <c r="BV76" s="120">
        <v>4.0</v>
      </c>
      <c r="BW76" s="120">
        <v>5.0</v>
      </c>
      <c r="BX76" s="119"/>
      <c r="BY76" s="120">
        <v>4.0</v>
      </c>
      <c r="BZ76" s="120">
        <v>2.0</v>
      </c>
      <c r="CA76" s="120">
        <v>9.0</v>
      </c>
      <c r="CB76" s="120">
        <v>4.0</v>
      </c>
      <c r="CC76" s="120">
        <v>5.0</v>
      </c>
      <c r="CD76" s="120">
        <v>3.0</v>
      </c>
      <c r="CE76" s="113"/>
      <c r="CF76" s="122"/>
      <c r="CG76" s="122"/>
      <c r="CH76" s="122"/>
      <c r="CI76" s="122"/>
      <c r="CJ76" s="122"/>
      <c r="CK76" s="122"/>
      <c r="CL76" s="122"/>
      <c r="CM76" s="122"/>
      <c r="CN76" s="122"/>
      <c r="CO76" s="113"/>
      <c r="CP76" s="122"/>
      <c r="CQ76" s="122"/>
      <c r="CR76" s="122"/>
      <c r="CS76" s="122"/>
      <c r="CT76" s="122"/>
      <c r="CU76" s="122"/>
      <c r="CV76" s="122"/>
      <c r="CW76" s="122"/>
      <c r="CX76" s="123"/>
    </row>
    <row r="77" ht="35.25" customHeight="1">
      <c r="B77" s="124">
        <v>45785.0</v>
      </c>
      <c r="C77" s="121"/>
      <c r="D77" s="122"/>
      <c r="E77" s="122"/>
      <c r="F77" s="122"/>
      <c r="G77" s="122"/>
      <c r="H77" s="122"/>
      <c r="I77" s="122"/>
      <c r="J77" s="122"/>
      <c r="K77" s="122"/>
      <c r="L77" s="136"/>
      <c r="M77" s="113"/>
      <c r="N77" s="121"/>
      <c r="O77" s="122"/>
      <c r="P77" s="122"/>
      <c r="Q77" s="122"/>
      <c r="R77" s="122"/>
      <c r="S77" s="122"/>
      <c r="T77" s="122"/>
      <c r="U77" s="122"/>
      <c r="V77" s="122"/>
      <c r="W77" s="113"/>
      <c r="X77" s="122"/>
      <c r="Y77" s="122"/>
      <c r="Z77" s="122"/>
      <c r="AA77" s="122"/>
      <c r="AB77" s="122"/>
      <c r="AC77" s="122"/>
      <c r="AD77" s="122"/>
      <c r="AE77" s="122"/>
      <c r="AF77" s="122"/>
      <c r="AG77" s="113"/>
      <c r="AH77" s="122"/>
      <c r="AI77" s="122"/>
      <c r="AJ77" s="122"/>
      <c r="AK77" s="122"/>
      <c r="AL77" s="122"/>
      <c r="AM77" s="122"/>
      <c r="AN77" s="122"/>
      <c r="AO77" s="122"/>
      <c r="AP77" s="122"/>
      <c r="AQ77" s="113"/>
      <c r="AR77" s="122"/>
      <c r="AS77" s="122"/>
      <c r="AT77" s="122"/>
      <c r="AU77" s="122"/>
      <c r="AV77" s="122"/>
      <c r="AW77" s="122"/>
      <c r="AX77" s="122"/>
      <c r="AY77" s="122"/>
      <c r="AZ77" s="122"/>
      <c r="BA77" s="113"/>
      <c r="BB77" s="122"/>
      <c r="BC77" s="122"/>
      <c r="BD77" s="122"/>
      <c r="BE77" s="122"/>
      <c r="BF77" s="122"/>
      <c r="BG77" s="122"/>
      <c r="BH77" s="122"/>
      <c r="BI77" s="122"/>
      <c r="BJ77" s="122"/>
      <c r="BK77" s="113"/>
      <c r="BL77" s="122"/>
      <c r="BM77" s="122"/>
      <c r="BN77" s="122"/>
      <c r="BO77" s="122"/>
      <c r="BP77" s="122"/>
      <c r="BQ77" s="122"/>
      <c r="BR77" s="122"/>
      <c r="BS77" s="122"/>
      <c r="BT77" s="122"/>
      <c r="BU77" s="116">
        <v>8.0</v>
      </c>
      <c r="BV77" s="120">
        <v>5.0</v>
      </c>
      <c r="BW77" s="120">
        <v>3.0</v>
      </c>
      <c r="BX77" s="120">
        <v>4.0</v>
      </c>
      <c r="BY77" s="119"/>
      <c r="BZ77" s="120">
        <v>6.0</v>
      </c>
      <c r="CA77" s="120">
        <v>3.0</v>
      </c>
      <c r="CB77" s="120">
        <v>9.0</v>
      </c>
      <c r="CC77" s="120">
        <v>5.0</v>
      </c>
      <c r="CD77" s="120">
        <v>4.0</v>
      </c>
      <c r="CE77" s="113"/>
      <c r="CF77" s="122"/>
      <c r="CG77" s="120">
        <v>1.0</v>
      </c>
      <c r="CH77" s="122"/>
      <c r="CI77" s="122"/>
      <c r="CJ77" s="122"/>
      <c r="CK77" s="122"/>
      <c r="CL77" s="122"/>
      <c r="CM77" s="122"/>
      <c r="CN77" s="122"/>
      <c r="CO77" s="113"/>
      <c r="CP77" s="122"/>
      <c r="CQ77" s="122"/>
      <c r="CR77" s="122"/>
      <c r="CS77" s="122"/>
      <c r="CT77" s="122"/>
      <c r="CU77" s="122"/>
      <c r="CV77" s="122"/>
      <c r="CW77" s="122"/>
      <c r="CX77" s="123"/>
    </row>
    <row r="78" ht="35.25" customHeight="1">
      <c r="B78" s="124">
        <v>45816.0</v>
      </c>
      <c r="C78" s="121"/>
      <c r="D78" s="122"/>
      <c r="E78" s="122"/>
      <c r="F78" s="122"/>
      <c r="G78" s="122"/>
      <c r="H78" s="122"/>
      <c r="I78" s="122"/>
      <c r="J78" s="122"/>
      <c r="K78" s="122"/>
      <c r="L78" s="136"/>
      <c r="M78" s="113"/>
      <c r="N78" s="121"/>
      <c r="O78" s="122"/>
      <c r="P78" s="122"/>
      <c r="Q78" s="122"/>
      <c r="R78" s="122"/>
      <c r="S78" s="122"/>
      <c r="T78" s="122"/>
      <c r="U78" s="122"/>
      <c r="V78" s="122"/>
      <c r="W78" s="113"/>
      <c r="X78" s="122"/>
      <c r="Y78" s="122"/>
      <c r="Z78" s="122"/>
      <c r="AA78" s="122"/>
      <c r="AB78" s="122"/>
      <c r="AC78" s="122"/>
      <c r="AD78" s="122"/>
      <c r="AE78" s="122"/>
      <c r="AF78" s="122"/>
      <c r="AG78" s="113"/>
      <c r="AH78" s="122"/>
      <c r="AI78" s="122"/>
      <c r="AJ78" s="122"/>
      <c r="AK78" s="122"/>
      <c r="AL78" s="122"/>
      <c r="AM78" s="122"/>
      <c r="AN78" s="122"/>
      <c r="AO78" s="122"/>
      <c r="AP78" s="122"/>
      <c r="AQ78" s="113"/>
      <c r="AR78" s="122"/>
      <c r="AS78" s="122"/>
      <c r="AT78" s="122"/>
      <c r="AU78" s="122"/>
      <c r="AV78" s="122"/>
      <c r="AW78" s="122"/>
      <c r="AX78" s="122"/>
      <c r="AY78" s="122"/>
      <c r="AZ78" s="122"/>
      <c r="BA78" s="113"/>
      <c r="BB78" s="122"/>
      <c r="BC78" s="122"/>
      <c r="BD78" s="122"/>
      <c r="BE78" s="122"/>
      <c r="BF78" s="122"/>
      <c r="BG78" s="122"/>
      <c r="BH78" s="122"/>
      <c r="BI78" s="122"/>
      <c r="BJ78" s="122"/>
      <c r="BK78" s="113"/>
      <c r="BL78" s="122"/>
      <c r="BM78" s="122"/>
      <c r="BN78" s="122"/>
      <c r="BO78" s="122"/>
      <c r="BP78" s="122"/>
      <c r="BQ78" s="122"/>
      <c r="BR78" s="122"/>
      <c r="BS78" s="122"/>
      <c r="BT78" s="122"/>
      <c r="BU78" s="116">
        <v>7.0</v>
      </c>
      <c r="BV78" s="120">
        <v>6.0</v>
      </c>
      <c r="BW78" s="120">
        <v>2.0</v>
      </c>
      <c r="BX78" s="120">
        <v>2.0</v>
      </c>
      <c r="BY78" s="120">
        <v>6.0</v>
      </c>
      <c r="BZ78" s="119"/>
      <c r="CA78" s="120">
        <v>4.0</v>
      </c>
      <c r="CB78" s="120">
        <v>6.0</v>
      </c>
      <c r="CC78" s="120">
        <v>4.0</v>
      </c>
      <c r="CD78" s="120">
        <v>4.0</v>
      </c>
      <c r="CE78" s="113"/>
      <c r="CF78" s="122"/>
      <c r="CG78" s="122"/>
      <c r="CH78" s="122"/>
      <c r="CI78" s="122"/>
      <c r="CJ78" s="122"/>
      <c r="CK78" s="122"/>
      <c r="CL78" s="122"/>
      <c r="CM78" s="122"/>
      <c r="CN78" s="122"/>
      <c r="CO78" s="113"/>
      <c r="CP78" s="122"/>
      <c r="CQ78" s="122"/>
      <c r="CR78" s="122"/>
      <c r="CS78" s="122"/>
      <c r="CT78" s="122"/>
      <c r="CU78" s="122"/>
      <c r="CV78" s="122"/>
      <c r="CW78" s="122"/>
      <c r="CX78" s="123"/>
    </row>
    <row r="79" ht="35.25" customHeight="1">
      <c r="B79" s="124">
        <v>45846.0</v>
      </c>
      <c r="C79" s="121"/>
      <c r="D79" s="122"/>
      <c r="E79" s="122"/>
      <c r="F79" s="122"/>
      <c r="G79" s="122"/>
      <c r="H79" s="122"/>
      <c r="I79" s="120">
        <v>1.0</v>
      </c>
      <c r="J79" s="122"/>
      <c r="K79" s="122"/>
      <c r="L79" s="136"/>
      <c r="M79" s="113"/>
      <c r="N79" s="121"/>
      <c r="O79" s="122"/>
      <c r="P79" s="122"/>
      <c r="Q79" s="122"/>
      <c r="R79" s="122"/>
      <c r="S79" s="122"/>
      <c r="T79" s="122"/>
      <c r="U79" s="122"/>
      <c r="V79" s="122"/>
      <c r="W79" s="113"/>
      <c r="X79" s="122"/>
      <c r="Y79" s="122"/>
      <c r="Z79" s="122"/>
      <c r="AA79" s="122"/>
      <c r="AB79" s="122"/>
      <c r="AC79" s="122"/>
      <c r="AD79" s="122"/>
      <c r="AE79" s="122"/>
      <c r="AF79" s="122"/>
      <c r="AG79" s="113"/>
      <c r="AH79" s="122"/>
      <c r="AI79" s="122"/>
      <c r="AJ79" s="122"/>
      <c r="AK79" s="122"/>
      <c r="AL79" s="122"/>
      <c r="AM79" s="122"/>
      <c r="AN79" s="122"/>
      <c r="AO79" s="122"/>
      <c r="AP79" s="122"/>
      <c r="AQ79" s="113"/>
      <c r="AR79" s="122"/>
      <c r="AS79" s="122"/>
      <c r="AT79" s="122"/>
      <c r="AU79" s="122"/>
      <c r="AV79" s="122"/>
      <c r="AW79" s="122"/>
      <c r="AX79" s="122"/>
      <c r="AY79" s="122"/>
      <c r="AZ79" s="122"/>
      <c r="BA79" s="113"/>
      <c r="BB79" s="122"/>
      <c r="BC79" s="122"/>
      <c r="BD79" s="122"/>
      <c r="BE79" s="122"/>
      <c r="BF79" s="122"/>
      <c r="BG79" s="122"/>
      <c r="BH79" s="122"/>
      <c r="BI79" s="122"/>
      <c r="BJ79" s="122"/>
      <c r="BK79" s="113"/>
      <c r="BL79" s="122"/>
      <c r="BM79" s="122"/>
      <c r="BN79" s="122"/>
      <c r="BO79" s="122"/>
      <c r="BP79" s="122"/>
      <c r="BQ79" s="122"/>
      <c r="BR79" s="122"/>
      <c r="BS79" s="122"/>
      <c r="BT79" s="122"/>
      <c r="BU79" s="116">
        <v>2.0</v>
      </c>
      <c r="BV79" s="120">
        <v>6.0</v>
      </c>
      <c r="BW79" s="120">
        <v>5.0</v>
      </c>
      <c r="BX79" s="120">
        <v>9.0</v>
      </c>
      <c r="BY79" s="120">
        <v>3.0</v>
      </c>
      <c r="BZ79" s="120">
        <v>4.0</v>
      </c>
      <c r="CA79" s="119"/>
      <c r="CB79" s="120">
        <v>4.0</v>
      </c>
      <c r="CC79" s="120">
        <v>3.0</v>
      </c>
      <c r="CD79" s="120">
        <v>2.0</v>
      </c>
      <c r="CE79" s="113"/>
      <c r="CF79" s="122"/>
      <c r="CG79" s="122"/>
      <c r="CH79" s="122"/>
      <c r="CI79" s="122"/>
      <c r="CJ79" s="122"/>
      <c r="CK79" s="122"/>
      <c r="CL79" s="122"/>
      <c r="CM79" s="122"/>
      <c r="CN79" s="122"/>
      <c r="CO79" s="113"/>
      <c r="CP79" s="122"/>
      <c r="CQ79" s="122"/>
      <c r="CR79" s="122"/>
      <c r="CS79" s="122"/>
      <c r="CT79" s="122"/>
      <c r="CU79" s="122"/>
      <c r="CV79" s="122"/>
      <c r="CW79" s="122"/>
      <c r="CX79" s="123"/>
    </row>
    <row r="80" ht="35.25" customHeight="1">
      <c r="B80" s="124">
        <v>45877.0</v>
      </c>
      <c r="C80" s="121"/>
      <c r="D80" s="122"/>
      <c r="E80" s="122"/>
      <c r="F80" s="122"/>
      <c r="G80" s="122"/>
      <c r="H80" s="122"/>
      <c r="I80" s="122"/>
      <c r="J80" s="122"/>
      <c r="K80" s="122"/>
      <c r="L80" s="136"/>
      <c r="M80" s="113"/>
      <c r="N80" s="121"/>
      <c r="O80" s="122"/>
      <c r="P80" s="122"/>
      <c r="Q80" s="122"/>
      <c r="R80" s="122"/>
      <c r="S80" s="122"/>
      <c r="T80" s="122"/>
      <c r="U80" s="122"/>
      <c r="V80" s="122"/>
      <c r="W80" s="113"/>
      <c r="X80" s="122"/>
      <c r="Y80" s="122"/>
      <c r="Z80" s="122"/>
      <c r="AA80" s="122"/>
      <c r="AB80" s="122"/>
      <c r="AC80" s="122"/>
      <c r="AD80" s="122"/>
      <c r="AE80" s="122"/>
      <c r="AF80" s="122"/>
      <c r="AG80" s="113"/>
      <c r="AH80" s="122"/>
      <c r="AI80" s="122"/>
      <c r="AJ80" s="122"/>
      <c r="AK80" s="122"/>
      <c r="AL80" s="122"/>
      <c r="AM80" s="122"/>
      <c r="AN80" s="122"/>
      <c r="AO80" s="122"/>
      <c r="AP80" s="122"/>
      <c r="AQ80" s="113"/>
      <c r="AR80" s="122"/>
      <c r="AS80" s="122"/>
      <c r="AT80" s="122"/>
      <c r="AU80" s="122"/>
      <c r="AV80" s="122"/>
      <c r="AW80" s="122"/>
      <c r="AX80" s="122"/>
      <c r="AY80" s="122"/>
      <c r="AZ80" s="122"/>
      <c r="BA80" s="113"/>
      <c r="BB80" s="122"/>
      <c r="BC80" s="122"/>
      <c r="BD80" s="122"/>
      <c r="BE80" s="122"/>
      <c r="BF80" s="122"/>
      <c r="BG80" s="122"/>
      <c r="BH80" s="122"/>
      <c r="BI80" s="122"/>
      <c r="BJ80" s="122"/>
      <c r="BK80" s="113"/>
      <c r="BL80" s="122"/>
      <c r="BM80" s="122"/>
      <c r="BN80" s="122"/>
      <c r="BO80" s="122"/>
      <c r="BP80" s="122"/>
      <c r="BQ80" s="122"/>
      <c r="BR80" s="122"/>
      <c r="BS80" s="122"/>
      <c r="BT80" s="122"/>
      <c r="BU80" s="116">
        <v>3.0</v>
      </c>
      <c r="BV80" s="120">
        <v>3.0</v>
      </c>
      <c r="BW80" s="120">
        <v>6.0</v>
      </c>
      <c r="BX80" s="120">
        <v>4.0</v>
      </c>
      <c r="BY80" s="120">
        <v>9.0</v>
      </c>
      <c r="BZ80" s="120">
        <v>6.0</v>
      </c>
      <c r="CA80" s="120">
        <v>4.0</v>
      </c>
      <c r="CB80" s="119"/>
      <c r="CC80" s="120">
        <v>3.0</v>
      </c>
      <c r="CD80" s="120">
        <v>5.0</v>
      </c>
      <c r="CE80" s="113"/>
      <c r="CF80" s="122"/>
      <c r="CG80" s="120">
        <v>1.0</v>
      </c>
      <c r="CH80" s="122"/>
      <c r="CI80" s="122"/>
      <c r="CJ80" s="122"/>
      <c r="CK80" s="122"/>
      <c r="CL80" s="122"/>
      <c r="CM80" s="122"/>
      <c r="CN80" s="122"/>
      <c r="CO80" s="113"/>
      <c r="CP80" s="122"/>
      <c r="CQ80" s="122"/>
      <c r="CR80" s="122"/>
      <c r="CS80" s="122"/>
      <c r="CT80" s="122"/>
      <c r="CU80" s="122"/>
      <c r="CV80" s="122"/>
      <c r="CW80" s="122"/>
      <c r="CX80" s="123"/>
    </row>
    <row r="81" ht="35.25" customHeight="1">
      <c r="B81" s="124">
        <v>45908.0</v>
      </c>
      <c r="C81" s="121"/>
      <c r="D81" s="122"/>
      <c r="E81" s="122"/>
      <c r="F81" s="122"/>
      <c r="G81" s="122"/>
      <c r="H81" s="122"/>
      <c r="I81" s="122"/>
      <c r="J81" s="122"/>
      <c r="K81" s="120">
        <v>1.0</v>
      </c>
      <c r="L81" s="136"/>
      <c r="M81" s="113"/>
      <c r="N81" s="121"/>
      <c r="O81" s="122"/>
      <c r="P81" s="122"/>
      <c r="Q81" s="122"/>
      <c r="R81" s="122"/>
      <c r="S81" s="122"/>
      <c r="T81" s="122"/>
      <c r="U81" s="122"/>
      <c r="V81" s="122"/>
      <c r="W81" s="113"/>
      <c r="X81" s="122"/>
      <c r="Y81" s="122"/>
      <c r="Z81" s="122"/>
      <c r="AA81" s="122"/>
      <c r="AB81" s="122"/>
      <c r="AC81" s="122"/>
      <c r="AD81" s="122"/>
      <c r="AE81" s="122"/>
      <c r="AF81" s="122"/>
      <c r="AG81" s="113"/>
      <c r="AH81" s="122"/>
      <c r="AI81" s="122"/>
      <c r="AJ81" s="122"/>
      <c r="AK81" s="122"/>
      <c r="AL81" s="122"/>
      <c r="AM81" s="122"/>
      <c r="AN81" s="122"/>
      <c r="AO81" s="122"/>
      <c r="AP81" s="122"/>
      <c r="AQ81" s="113"/>
      <c r="AR81" s="122"/>
      <c r="AS81" s="122"/>
      <c r="AT81" s="122"/>
      <c r="AU81" s="122"/>
      <c r="AV81" s="122"/>
      <c r="AW81" s="122"/>
      <c r="AX81" s="122"/>
      <c r="AY81" s="122"/>
      <c r="AZ81" s="122"/>
      <c r="BA81" s="113"/>
      <c r="BB81" s="122"/>
      <c r="BC81" s="122"/>
      <c r="BD81" s="122"/>
      <c r="BE81" s="122"/>
      <c r="BF81" s="122"/>
      <c r="BG81" s="122"/>
      <c r="BH81" s="122"/>
      <c r="BI81" s="122"/>
      <c r="BJ81" s="122"/>
      <c r="BK81" s="113"/>
      <c r="BL81" s="122"/>
      <c r="BM81" s="122"/>
      <c r="BN81" s="122"/>
      <c r="BO81" s="122"/>
      <c r="BP81" s="122"/>
      <c r="BQ81" s="122"/>
      <c r="BR81" s="122"/>
      <c r="BS81" s="122"/>
      <c r="BT81" s="122"/>
      <c r="BU81" s="116">
        <v>8.0</v>
      </c>
      <c r="BV81" s="120">
        <v>4.0</v>
      </c>
      <c r="BW81" s="120">
        <v>4.0</v>
      </c>
      <c r="BX81" s="120">
        <v>5.0</v>
      </c>
      <c r="BY81" s="120">
        <v>5.0</v>
      </c>
      <c r="BZ81" s="120">
        <v>4.0</v>
      </c>
      <c r="CA81" s="120">
        <v>3.0</v>
      </c>
      <c r="CB81" s="120">
        <v>3.0</v>
      </c>
      <c r="CC81" s="119"/>
      <c r="CD81" s="120">
        <v>6.0</v>
      </c>
      <c r="CE81" s="113"/>
      <c r="CF81" s="122"/>
      <c r="CG81" s="122"/>
      <c r="CH81" s="122"/>
      <c r="CI81" s="122"/>
      <c r="CJ81" s="122"/>
      <c r="CK81" s="122"/>
      <c r="CL81" s="122"/>
      <c r="CM81" s="122"/>
      <c r="CN81" s="122"/>
      <c r="CO81" s="113"/>
      <c r="CP81" s="122"/>
      <c r="CQ81" s="122"/>
      <c r="CR81" s="122"/>
      <c r="CS81" s="122"/>
      <c r="CT81" s="122"/>
      <c r="CU81" s="122"/>
      <c r="CV81" s="122"/>
      <c r="CW81" s="122"/>
      <c r="CX81" s="123"/>
    </row>
    <row r="82" ht="35.25" customHeight="1">
      <c r="A82" s="125"/>
      <c r="B82" s="126">
        <v>45938.0</v>
      </c>
      <c r="C82" s="131"/>
      <c r="D82" s="128">
        <v>1.0</v>
      </c>
      <c r="E82" s="128">
        <v>1.0</v>
      </c>
      <c r="F82" s="132"/>
      <c r="G82" s="132"/>
      <c r="H82" s="132"/>
      <c r="I82" s="128">
        <v>1.0</v>
      </c>
      <c r="J82" s="132"/>
      <c r="K82" s="132"/>
      <c r="L82" s="147">
        <v>1.0</v>
      </c>
      <c r="M82" s="130"/>
      <c r="N82" s="131"/>
      <c r="O82" s="132"/>
      <c r="P82" s="132"/>
      <c r="Q82" s="132"/>
      <c r="R82" s="132"/>
      <c r="S82" s="132"/>
      <c r="T82" s="132"/>
      <c r="U82" s="132"/>
      <c r="V82" s="132"/>
      <c r="W82" s="130"/>
      <c r="X82" s="132"/>
      <c r="Y82" s="132"/>
      <c r="Z82" s="132"/>
      <c r="AA82" s="132"/>
      <c r="AB82" s="132"/>
      <c r="AC82" s="132"/>
      <c r="AD82" s="132"/>
      <c r="AE82" s="132"/>
      <c r="AF82" s="132"/>
      <c r="AG82" s="130"/>
      <c r="AH82" s="132"/>
      <c r="AI82" s="132"/>
      <c r="AJ82" s="132"/>
      <c r="AK82" s="132"/>
      <c r="AL82" s="132"/>
      <c r="AM82" s="132"/>
      <c r="AN82" s="132"/>
      <c r="AO82" s="132"/>
      <c r="AP82" s="132"/>
      <c r="AQ82" s="130"/>
      <c r="AR82" s="132"/>
      <c r="AS82" s="132"/>
      <c r="AT82" s="132"/>
      <c r="AU82" s="132"/>
      <c r="AV82" s="132"/>
      <c r="AW82" s="132"/>
      <c r="AX82" s="132"/>
      <c r="AY82" s="132"/>
      <c r="AZ82" s="132"/>
      <c r="BA82" s="130"/>
      <c r="BB82" s="132"/>
      <c r="BC82" s="132"/>
      <c r="BD82" s="132"/>
      <c r="BE82" s="132"/>
      <c r="BF82" s="132"/>
      <c r="BG82" s="132"/>
      <c r="BH82" s="132"/>
      <c r="BI82" s="132"/>
      <c r="BJ82" s="132"/>
      <c r="BK82" s="130"/>
      <c r="BL82" s="132"/>
      <c r="BM82" s="132"/>
      <c r="BN82" s="128">
        <v>1.0</v>
      </c>
      <c r="BO82" s="132"/>
      <c r="BP82" s="132"/>
      <c r="BQ82" s="128">
        <v>1.0</v>
      </c>
      <c r="BR82" s="128">
        <v>1.0</v>
      </c>
      <c r="BS82" s="132"/>
      <c r="BT82" s="128">
        <v>1.0</v>
      </c>
      <c r="BU82" s="127">
        <v>4.0</v>
      </c>
      <c r="BV82" s="128">
        <v>3.0</v>
      </c>
      <c r="BW82" s="128">
        <v>5.0</v>
      </c>
      <c r="BX82" s="128">
        <v>3.0</v>
      </c>
      <c r="BY82" s="128">
        <v>4.0</v>
      </c>
      <c r="BZ82" s="128">
        <v>4.0</v>
      </c>
      <c r="CA82" s="128">
        <v>2.0</v>
      </c>
      <c r="CB82" s="128">
        <v>5.0</v>
      </c>
      <c r="CC82" s="128">
        <v>6.0</v>
      </c>
      <c r="CD82" s="129"/>
      <c r="CE82" s="130"/>
      <c r="CF82" s="132"/>
      <c r="CG82" s="132"/>
      <c r="CH82" s="132"/>
      <c r="CI82" s="132"/>
      <c r="CJ82" s="132"/>
      <c r="CK82" s="132"/>
      <c r="CL82" s="132"/>
      <c r="CM82" s="132"/>
      <c r="CN82" s="132"/>
      <c r="CO82" s="130"/>
      <c r="CP82" s="132"/>
      <c r="CQ82" s="132"/>
      <c r="CR82" s="132"/>
      <c r="CS82" s="132"/>
      <c r="CT82" s="132"/>
      <c r="CU82" s="132"/>
      <c r="CV82" s="132"/>
      <c r="CW82" s="132"/>
      <c r="CX82" s="133"/>
    </row>
    <row r="83" ht="35.25" customHeight="1">
      <c r="A83" s="138" t="s">
        <v>2943</v>
      </c>
      <c r="B83" s="124">
        <v>45666.0</v>
      </c>
      <c r="C83" s="114"/>
      <c r="D83" s="115"/>
      <c r="E83" s="115"/>
      <c r="F83" s="115"/>
      <c r="G83" s="115"/>
      <c r="H83" s="115"/>
      <c r="I83" s="115"/>
      <c r="J83" s="115"/>
      <c r="K83" s="115"/>
      <c r="L83" s="135"/>
      <c r="M83" s="113"/>
      <c r="N83" s="114"/>
      <c r="O83" s="115"/>
      <c r="P83" s="115"/>
      <c r="Q83" s="115"/>
      <c r="R83" s="115"/>
      <c r="S83" s="115"/>
      <c r="T83" s="115"/>
      <c r="U83" s="115"/>
      <c r="V83" s="115"/>
      <c r="W83" s="113"/>
      <c r="X83" s="115"/>
      <c r="Y83" s="115"/>
      <c r="Z83" s="115"/>
      <c r="AA83" s="115"/>
      <c r="AB83" s="115"/>
      <c r="AC83" s="115"/>
      <c r="AD83" s="115"/>
      <c r="AE83" s="115"/>
      <c r="AF83" s="115"/>
      <c r="AG83" s="113"/>
      <c r="AH83" s="115"/>
      <c r="AI83" s="115"/>
      <c r="AJ83" s="115"/>
      <c r="AK83" s="115"/>
      <c r="AL83" s="115"/>
      <c r="AM83" s="115"/>
      <c r="AN83" s="115"/>
      <c r="AO83" s="115"/>
      <c r="AP83" s="115"/>
      <c r="AQ83" s="113"/>
      <c r="AR83" s="115"/>
      <c r="AS83" s="115"/>
      <c r="AT83" s="115"/>
      <c r="AU83" s="112">
        <v>1.0</v>
      </c>
      <c r="AV83" s="112">
        <v>1.0</v>
      </c>
      <c r="AW83" s="115"/>
      <c r="AX83" s="115"/>
      <c r="AY83" s="115"/>
      <c r="AZ83" s="112">
        <v>1.0</v>
      </c>
      <c r="BA83" s="113"/>
      <c r="BB83" s="115"/>
      <c r="BC83" s="115"/>
      <c r="BD83" s="115"/>
      <c r="BE83" s="115"/>
      <c r="BF83" s="115"/>
      <c r="BG83" s="115"/>
      <c r="BH83" s="115"/>
      <c r="BI83" s="115"/>
      <c r="BJ83" s="115"/>
      <c r="BK83" s="113"/>
      <c r="BL83" s="115"/>
      <c r="BM83" s="115"/>
      <c r="BN83" s="115"/>
      <c r="BO83" s="115"/>
      <c r="BP83" s="115"/>
      <c r="BQ83" s="115"/>
      <c r="BR83" s="115"/>
      <c r="BS83" s="115"/>
      <c r="BT83" s="115"/>
      <c r="BU83" s="113"/>
      <c r="BV83" s="115"/>
      <c r="BW83" s="115"/>
      <c r="BX83" s="115"/>
      <c r="BY83" s="115"/>
      <c r="BZ83" s="115"/>
      <c r="CA83" s="115"/>
      <c r="CB83" s="115"/>
      <c r="CC83" s="115"/>
      <c r="CD83" s="115"/>
      <c r="CE83" s="111"/>
      <c r="CF83" s="112">
        <v>4.0</v>
      </c>
      <c r="CG83" s="112">
        <v>1.0</v>
      </c>
      <c r="CH83" s="112">
        <v>2.0</v>
      </c>
      <c r="CI83" s="112">
        <v>7.0</v>
      </c>
      <c r="CJ83" s="112">
        <v>7.0</v>
      </c>
      <c r="CK83" s="112">
        <v>3.0</v>
      </c>
      <c r="CL83" s="112">
        <v>3.0</v>
      </c>
      <c r="CM83" s="112">
        <v>9.0</v>
      </c>
      <c r="CN83" s="112">
        <v>3.0</v>
      </c>
      <c r="CO83" s="113"/>
      <c r="CP83" s="115"/>
      <c r="CQ83" s="115"/>
      <c r="CR83" s="115"/>
      <c r="CS83" s="115"/>
      <c r="CT83" s="115"/>
      <c r="CU83" s="115"/>
      <c r="CV83" s="115"/>
      <c r="CW83" s="115"/>
      <c r="CX83" s="117"/>
    </row>
    <row r="84" ht="35.25" customHeight="1">
      <c r="B84" s="124">
        <v>45697.0</v>
      </c>
      <c r="C84" s="121"/>
      <c r="D84" s="122"/>
      <c r="E84" s="122"/>
      <c r="F84" s="122"/>
      <c r="G84" s="122"/>
      <c r="H84" s="122"/>
      <c r="I84" s="122"/>
      <c r="J84" s="122"/>
      <c r="K84" s="122"/>
      <c r="L84" s="136"/>
      <c r="M84" s="113"/>
      <c r="N84" s="142">
        <v>1.0</v>
      </c>
      <c r="O84" s="122"/>
      <c r="P84" s="120">
        <v>1.0</v>
      </c>
      <c r="Q84" s="120">
        <v>1.0</v>
      </c>
      <c r="R84" s="122"/>
      <c r="S84" s="120">
        <v>1.0</v>
      </c>
      <c r="T84" s="120">
        <v>1.0</v>
      </c>
      <c r="U84" s="122"/>
      <c r="V84" s="120">
        <v>1.0</v>
      </c>
      <c r="W84" s="113"/>
      <c r="X84" s="122"/>
      <c r="Y84" s="122"/>
      <c r="Z84" s="122"/>
      <c r="AA84" s="122"/>
      <c r="AB84" s="122"/>
      <c r="AC84" s="122"/>
      <c r="AD84" s="122"/>
      <c r="AE84" s="122"/>
      <c r="AF84" s="122"/>
      <c r="AG84" s="113"/>
      <c r="AH84" s="122"/>
      <c r="AI84" s="122"/>
      <c r="AJ84" s="122"/>
      <c r="AK84" s="122"/>
      <c r="AL84" s="122"/>
      <c r="AM84" s="122"/>
      <c r="AN84" s="122"/>
      <c r="AO84" s="122"/>
      <c r="AP84" s="122"/>
      <c r="AQ84" s="113"/>
      <c r="AR84" s="120">
        <v>1.0</v>
      </c>
      <c r="AS84" s="120">
        <v>1.0</v>
      </c>
      <c r="AT84" s="122"/>
      <c r="AU84" s="122"/>
      <c r="AV84" s="122"/>
      <c r="AW84" s="122"/>
      <c r="AX84" s="122"/>
      <c r="AY84" s="122"/>
      <c r="AZ84" s="120">
        <v>1.0</v>
      </c>
      <c r="BA84" s="113"/>
      <c r="BB84" s="122"/>
      <c r="BC84" s="122"/>
      <c r="BD84" s="122"/>
      <c r="BE84" s="122"/>
      <c r="BF84" s="122"/>
      <c r="BG84" s="122"/>
      <c r="BH84" s="122"/>
      <c r="BI84" s="122"/>
      <c r="BJ84" s="122"/>
      <c r="BK84" s="113"/>
      <c r="BL84" s="122"/>
      <c r="BM84" s="122"/>
      <c r="BN84" s="122"/>
      <c r="BO84" s="122"/>
      <c r="BP84" s="122"/>
      <c r="BQ84" s="122"/>
      <c r="BR84" s="122"/>
      <c r="BS84" s="122"/>
      <c r="BT84" s="122"/>
      <c r="BU84" s="113"/>
      <c r="BV84" s="122"/>
      <c r="BW84" s="122"/>
      <c r="BX84" s="122"/>
      <c r="BY84" s="122"/>
      <c r="BZ84" s="122"/>
      <c r="CA84" s="122"/>
      <c r="CB84" s="122"/>
      <c r="CC84" s="122"/>
      <c r="CD84" s="122"/>
      <c r="CE84" s="116">
        <v>4.0</v>
      </c>
      <c r="CF84" s="119"/>
      <c r="CG84" s="120">
        <v>2.0</v>
      </c>
      <c r="CH84" s="120">
        <v>4.0</v>
      </c>
      <c r="CI84" s="120">
        <v>6.0</v>
      </c>
      <c r="CJ84" s="120">
        <v>6.0</v>
      </c>
      <c r="CK84" s="120">
        <v>6.0</v>
      </c>
      <c r="CL84" s="120">
        <v>4.0</v>
      </c>
      <c r="CM84" s="120">
        <v>4.0</v>
      </c>
      <c r="CN84" s="120">
        <v>4.0</v>
      </c>
      <c r="CO84" s="113"/>
      <c r="CP84" s="122"/>
      <c r="CQ84" s="122"/>
      <c r="CR84" s="122"/>
      <c r="CS84" s="122"/>
      <c r="CT84" s="122"/>
      <c r="CU84" s="120">
        <v>1.0</v>
      </c>
      <c r="CV84" s="122"/>
      <c r="CW84" s="122"/>
      <c r="CX84" s="123"/>
    </row>
    <row r="85" ht="35.25" customHeight="1">
      <c r="B85" s="124">
        <v>45725.0</v>
      </c>
      <c r="C85" s="121"/>
      <c r="D85" s="122"/>
      <c r="E85" s="122"/>
      <c r="F85" s="122"/>
      <c r="G85" s="122"/>
      <c r="H85" s="122"/>
      <c r="I85" s="122"/>
      <c r="J85" s="122"/>
      <c r="K85" s="122"/>
      <c r="L85" s="136"/>
      <c r="M85" s="113"/>
      <c r="N85" s="121"/>
      <c r="O85" s="122"/>
      <c r="P85" s="122"/>
      <c r="Q85" s="122"/>
      <c r="R85" s="122"/>
      <c r="S85" s="122"/>
      <c r="T85" s="122"/>
      <c r="U85" s="122"/>
      <c r="V85" s="122"/>
      <c r="W85" s="113"/>
      <c r="X85" s="122"/>
      <c r="Y85" s="122"/>
      <c r="Z85" s="122"/>
      <c r="AA85" s="122"/>
      <c r="AB85" s="122"/>
      <c r="AC85" s="122"/>
      <c r="AD85" s="122"/>
      <c r="AE85" s="122"/>
      <c r="AF85" s="122"/>
      <c r="AG85" s="113"/>
      <c r="AH85" s="122"/>
      <c r="AI85" s="122"/>
      <c r="AJ85" s="122"/>
      <c r="AK85" s="122"/>
      <c r="AL85" s="122"/>
      <c r="AM85" s="122"/>
      <c r="AN85" s="122"/>
      <c r="AO85" s="122"/>
      <c r="AP85" s="122"/>
      <c r="AQ85" s="113"/>
      <c r="AR85" s="122"/>
      <c r="AS85" s="122"/>
      <c r="AT85" s="122"/>
      <c r="AU85" s="122"/>
      <c r="AV85" s="122"/>
      <c r="AW85" s="120">
        <v>1.0</v>
      </c>
      <c r="AX85" s="122"/>
      <c r="AY85" s="122"/>
      <c r="AZ85" s="120">
        <v>2.0</v>
      </c>
      <c r="BA85" s="113"/>
      <c r="BB85" s="122"/>
      <c r="BC85" s="122"/>
      <c r="BD85" s="122"/>
      <c r="BE85" s="122"/>
      <c r="BF85" s="122"/>
      <c r="BG85" s="122"/>
      <c r="BH85" s="122"/>
      <c r="BI85" s="122"/>
      <c r="BJ85" s="122"/>
      <c r="BK85" s="113"/>
      <c r="BL85" s="122"/>
      <c r="BM85" s="122"/>
      <c r="BN85" s="122"/>
      <c r="BO85" s="122"/>
      <c r="BP85" s="122"/>
      <c r="BQ85" s="122"/>
      <c r="BR85" s="122"/>
      <c r="BS85" s="122"/>
      <c r="BT85" s="122"/>
      <c r="BU85" s="113"/>
      <c r="BV85" s="122"/>
      <c r="BW85" s="120">
        <v>1.0</v>
      </c>
      <c r="BX85" s="122"/>
      <c r="BY85" s="120">
        <v>1.0</v>
      </c>
      <c r="BZ85" s="122"/>
      <c r="CA85" s="122"/>
      <c r="CB85" s="120">
        <v>1.0</v>
      </c>
      <c r="CC85" s="122"/>
      <c r="CD85" s="122"/>
      <c r="CE85" s="116">
        <v>1.0</v>
      </c>
      <c r="CF85" s="120">
        <v>2.0</v>
      </c>
      <c r="CG85" s="119"/>
      <c r="CH85" s="120">
        <v>6.0</v>
      </c>
      <c r="CI85" s="120">
        <v>2.0</v>
      </c>
      <c r="CJ85" s="120">
        <v>2.0</v>
      </c>
      <c r="CK85" s="120">
        <v>6.0</v>
      </c>
      <c r="CL85" s="120">
        <v>5.0</v>
      </c>
      <c r="CM85" s="120">
        <v>4.0</v>
      </c>
      <c r="CN85" s="120">
        <v>3.0</v>
      </c>
      <c r="CO85" s="113"/>
      <c r="CP85" s="120">
        <v>1.0</v>
      </c>
      <c r="CQ85" s="120">
        <v>1.0</v>
      </c>
      <c r="CR85" s="122"/>
      <c r="CS85" s="122"/>
      <c r="CT85" s="122"/>
      <c r="CU85" s="122"/>
      <c r="CV85" s="122"/>
      <c r="CW85" s="122"/>
      <c r="CX85" s="140">
        <v>1.0</v>
      </c>
    </row>
    <row r="86" ht="35.25" customHeight="1">
      <c r="B86" s="124">
        <v>45756.0</v>
      </c>
      <c r="C86" s="121"/>
      <c r="D86" s="122"/>
      <c r="E86" s="122"/>
      <c r="F86" s="122"/>
      <c r="G86" s="122"/>
      <c r="H86" s="122"/>
      <c r="I86" s="122"/>
      <c r="J86" s="122"/>
      <c r="K86" s="122"/>
      <c r="L86" s="136"/>
      <c r="M86" s="113"/>
      <c r="N86" s="142">
        <v>1.0</v>
      </c>
      <c r="O86" s="122"/>
      <c r="P86" s="120">
        <v>1.0</v>
      </c>
      <c r="Q86" s="120">
        <v>1.0</v>
      </c>
      <c r="R86" s="122"/>
      <c r="S86" s="120">
        <v>2.0</v>
      </c>
      <c r="T86" s="122"/>
      <c r="U86" s="122"/>
      <c r="V86" s="122"/>
      <c r="W86" s="113"/>
      <c r="X86" s="122"/>
      <c r="Y86" s="122"/>
      <c r="Z86" s="122"/>
      <c r="AA86" s="122"/>
      <c r="AB86" s="122"/>
      <c r="AC86" s="122"/>
      <c r="AD86" s="122"/>
      <c r="AE86" s="122"/>
      <c r="AF86" s="122"/>
      <c r="AG86" s="113"/>
      <c r="AH86" s="122"/>
      <c r="AI86" s="122"/>
      <c r="AJ86" s="122"/>
      <c r="AK86" s="122"/>
      <c r="AL86" s="122"/>
      <c r="AM86" s="122"/>
      <c r="AN86" s="122"/>
      <c r="AO86" s="122"/>
      <c r="AP86" s="122"/>
      <c r="AQ86" s="113"/>
      <c r="AR86" s="122"/>
      <c r="AS86" s="122"/>
      <c r="AT86" s="122"/>
      <c r="AU86" s="122"/>
      <c r="AV86" s="122"/>
      <c r="AW86" s="122"/>
      <c r="AX86" s="122"/>
      <c r="AY86" s="122"/>
      <c r="AZ86" s="122"/>
      <c r="BA86" s="113"/>
      <c r="BB86" s="122"/>
      <c r="BC86" s="122"/>
      <c r="BD86" s="122"/>
      <c r="BE86" s="122"/>
      <c r="BF86" s="122"/>
      <c r="BG86" s="122"/>
      <c r="BH86" s="122"/>
      <c r="BI86" s="122"/>
      <c r="BJ86" s="122"/>
      <c r="BK86" s="113"/>
      <c r="BL86" s="122"/>
      <c r="BM86" s="122"/>
      <c r="BN86" s="122"/>
      <c r="BO86" s="122"/>
      <c r="BP86" s="122"/>
      <c r="BQ86" s="122"/>
      <c r="BR86" s="122"/>
      <c r="BS86" s="122"/>
      <c r="BT86" s="122"/>
      <c r="BU86" s="113"/>
      <c r="BV86" s="122"/>
      <c r="BW86" s="122"/>
      <c r="BX86" s="122"/>
      <c r="BY86" s="122"/>
      <c r="BZ86" s="122"/>
      <c r="CA86" s="122"/>
      <c r="CB86" s="122"/>
      <c r="CC86" s="122"/>
      <c r="CD86" s="122"/>
      <c r="CE86" s="116">
        <v>2.0</v>
      </c>
      <c r="CF86" s="120">
        <v>4.0</v>
      </c>
      <c r="CG86" s="120">
        <v>6.0</v>
      </c>
      <c r="CH86" s="119"/>
      <c r="CI86" s="120">
        <v>4.0</v>
      </c>
      <c r="CJ86" s="120">
        <v>2.0</v>
      </c>
      <c r="CK86" s="120">
        <v>9.0</v>
      </c>
      <c r="CL86" s="120">
        <v>3.0</v>
      </c>
      <c r="CM86" s="120">
        <v>6.0</v>
      </c>
      <c r="CN86" s="120">
        <v>2.0</v>
      </c>
      <c r="CO86" s="113"/>
      <c r="CP86" s="122"/>
      <c r="CQ86" s="122"/>
      <c r="CR86" s="122"/>
      <c r="CS86" s="122"/>
      <c r="CT86" s="122"/>
      <c r="CU86" s="122"/>
      <c r="CV86" s="122"/>
      <c r="CW86" s="122"/>
      <c r="CX86" s="123"/>
    </row>
    <row r="87" ht="35.25" customHeight="1">
      <c r="B87" s="124">
        <v>45786.0</v>
      </c>
      <c r="C87" s="121"/>
      <c r="D87" s="122"/>
      <c r="E87" s="122"/>
      <c r="F87" s="122"/>
      <c r="G87" s="122"/>
      <c r="H87" s="122"/>
      <c r="I87" s="122"/>
      <c r="J87" s="122"/>
      <c r="K87" s="122"/>
      <c r="L87" s="136"/>
      <c r="M87" s="113"/>
      <c r="N87" s="142">
        <v>1.0</v>
      </c>
      <c r="O87" s="122"/>
      <c r="P87" s="120">
        <v>1.0</v>
      </c>
      <c r="Q87" s="120">
        <v>1.0</v>
      </c>
      <c r="R87" s="122"/>
      <c r="S87" s="120">
        <v>1.0</v>
      </c>
      <c r="T87" s="122"/>
      <c r="U87" s="122"/>
      <c r="V87" s="122"/>
      <c r="W87" s="113"/>
      <c r="X87" s="122"/>
      <c r="Y87" s="122"/>
      <c r="Z87" s="122"/>
      <c r="AA87" s="122"/>
      <c r="AB87" s="122"/>
      <c r="AC87" s="122"/>
      <c r="AD87" s="122"/>
      <c r="AE87" s="122"/>
      <c r="AF87" s="122"/>
      <c r="AG87" s="113"/>
      <c r="AH87" s="122"/>
      <c r="AI87" s="122"/>
      <c r="AJ87" s="122"/>
      <c r="AK87" s="122"/>
      <c r="AL87" s="122"/>
      <c r="AM87" s="122"/>
      <c r="AN87" s="122"/>
      <c r="AO87" s="122"/>
      <c r="AP87" s="122"/>
      <c r="AQ87" s="113"/>
      <c r="AR87" s="122"/>
      <c r="AS87" s="122"/>
      <c r="AT87" s="122"/>
      <c r="AU87" s="122"/>
      <c r="AV87" s="122"/>
      <c r="AW87" s="122"/>
      <c r="AX87" s="122"/>
      <c r="AY87" s="122"/>
      <c r="AZ87" s="122"/>
      <c r="BA87" s="113"/>
      <c r="BB87" s="122"/>
      <c r="BC87" s="122"/>
      <c r="BD87" s="122"/>
      <c r="BE87" s="122"/>
      <c r="BF87" s="122"/>
      <c r="BG87" s="122"/>
      <c r="BH87" s="122"/>
      <c r="BI87" s="122"/>
      <c r="BJ87" s="122"/>
      <c r="BK87" s="113"/>
      <c r="BL87" s="122"/>
      <c r="BM87" s="122"/>
      <c r="BN87" s="122"/>
      <c r="BO87" s="122"/>
      <c r="BP87" s="122"/>
      <c r="BQ87" s="122"/>
      <c r="BR87" s="122"/>
      <c r="BS87" s="122"/>
      <c r="BT87" s="122"/>
      <c r="BU87" s="113"/>
      <c r="BV87" s="122"/>
      <c r="BW87" s="122"/>
      <c r="BX87" s="122"/>
      <c r="BY87" s="122"/>
      <c r="BZ87" s="122"/>
      <c r="CA87" s="122"/>
      <c r="CB87" s="122"/>
      <c r="CC87" s="122"/>
      <c r="CD87" s="122"/>
      <c r="CE87" s="116">
        <v>7.0</v>
      </c>
      <c r="CF87" s="120">
        <v>6.0</v>
      </c>
      <c r="CG87" s="120">
        <v>2.0</v>
      </c>
      <c r="CH87" s="120">
        <v>4.0</v>
      </c>
      <c r="CI87" s="119"/>
      <c r="CJ87" s="120">
        <v>6.0</v>
      </c>
      <c r="CK87" s="120">
        <v>3.0</v>
      </c>
      <c r="CL87" s="120">
        <v>9.0</v>
      </c>
      <c r="CM87" s="120">
        <v>5.0</v>
      </c>
      <c r="CN87" s="120">
        <v>4.0</v>
      </c>
      <c r="CO87" s="113"/>
      <c r="CP87" s="122"/>
      <c r="CQ87" s="122"/>
      <c r="CR87" s="122"/>
      <c r="CS87" s="122"/>
      <c r="CT87" s="122"/>
      <c r="CU87" s="122"/>
      <c r="CV87" s="122"/>
      <c r="CW87" s="122"/>
      <c r="CX87" s="123"/>
    </row>
    <row r="88" ht="35.25" customHeight="1">
      <c r="B88" s="124">
        <v>45817.0</v>
      </c>
      <c r="C88" s="121"/>
      <c r="D88" s="122"/>
      <c r="E88" s="122"/>
      <c r="F88" s="122"/>
      <c r="G88" s="122"/>
      <c r="H88" s="122"/>
      <c r="I88" s="122"/>
      <c r="J88" s="122"/>
      <c r="K88" s="122"/>
      <c r="L88" s="136"/>
      <c r="M88" s="113"/>
      <c r="N88" s="121"/>
      <c r="O88" s="122"/>
      <c r="P88" s="122"/>
      <c r="Q88" s="122"/>
      <c r="R88" s="122"/>
      <c r="S88" s="122"/>
      <c r="T88" s="122"/>
      <c r="U88" s="122"/>
      <c r="V88" s="122"/>
      <c r="W88" s="113"/>
      <c r="X88" s="122"/>
      <c r="Y88" s="122"/>
      <c r="Z88" s="122"/>
      <c r="AA88" s="122"/>
      <c r="AB88" s="122"/>
      <c r="AC88" s="122"/>
      <c r="AD88" s="122"/>
      <c r="AE88" s="122"/>
      <c r="AF88" s="122"/>
      <c r="AG88" s="113"/>
      <c r="AH88" s="122"/>
      <c r="AI88" s="122"/>
      <c r="AJ88" s="122"/>
      <c r="AK88" s="122"/>
      <c r="AL88" s="122"/>
      <c r="AM88" s="122"/>
      <c r="AN88" s="122"/>
      <c r="AO88" s="122"/>
      <c r="AP88" s="122"/>
      <c r="AQ88" s="113"/>
      <c r="AR88" s="122"/>
      <c r="AS88" s="122"/>
      <c r="AT88" s="122"/>
      <c r="AU88" s="122"/>
      <c r="AV88" s="122"/>
      <c r="AW88" s="122"/>
      <c r="AX88" s="122"/>
      <c r="AY88" s="122"/>
      <c r="AZ88" s="122"/>
      <c r="BA88" s="113"/>
      <c r="BB88" s="122"/>
      <c r="BC88" s="122"/>
      <c r="BD88" s="122"/>
      <c r="BE88" s="122"/>
      <c r="BF88" s="122"/>
      <c r="BG88" s="122"/>
      <c r="BH88" s="122"/>
      <c r="BI88" s="122"/>
      <c r="BJ88" s="122"/>
      <c r="BK88" s="113"/>
      <c r="BL88" s="122"/>
      <c r="BM88" s="122"/>
      <c r="BN88" s="122"/>
      <c r="BO88" s="122"/>
      <c r="BP88" s="122"/>
      <c r="BQ88" s="122"/>
      <c r="BR88" s="122"/>
      <c r="BS88" s="122"/>
      <c r="BT88" s="122"/>
      <c r="BU88" s="113"/>
      <c r="BV88" s="122"/>
      <c r="BW88" s="122"/>
      <c r="BX88" s="122"/>
      <c r="BY88" s="122"/>
      <c r="BZ88" s="122"/>
      <c r="CA88" s="122"/>
      <c r="CB88" s="122"/>
      <c r="CC88" s="122"/>
      <c r="CD88" s="122"/>
      <c r="CE88" s="116">
        <v>7.0</v>
      </c>
      <c r="CF88" s="120">
        <v>6.0</v>
      </c>
      <c r="CG88" s="120">
        <v>2.0</v>
      </c>
      <c r="CH88" s="120">
        <v>2.0</v>
      </c>
      <c r="CI88" s="120">
        <v>6.0</v>
      </c>
      <c r="CJ88" s="119"/>
      <c r="CK88" s="120">
        <v>4.0</v>
      </c>
      <c r="CL88" s="120">
        <v>6.0</v>
      </c>
      <c r="CM88" s="120">
        <v>4.0</v>
      </c>
      <c r="CN88" s="120">
        <v>3.0</v>
      </c>
      <c r="CO88" s="113"/>
      <c r="CP88" s="122"/>
      <c r="CQ88" s="122"/>
      <c r="CR88" s="122"/>
      <c r="CS88" s="122"/>
      <c r="CT88" s="122"/>
      <c r="CU88" s="122"/>
      <c r="CV88" s="122"/>
      <c r="CW88" s="122"/>
      <c r="CX88" s="123"/>
    </row>
    <row r="89" ht="35.25" customHeight="1">
      <c r="B89" s="124">
        <v>45847.0</v>
      </c>
      <c r="C89" s="121"/>
      <c r="D89" s="122"/>
      <c r="E89" s="122"/>
      <c r="F89" s="122"/>
      <c r="G89" s="122"/>
      <c r="H89" s="122"/>
      <c r="I89" s="122"/>
      <c r="J89" s="122"/>
      <c r="K89" s="122"/>
      <c r="L89" s="136"/>
      <c r="M89" s="113"/>
      <c r="N89" s="142">
        <v>1.0</v>
      </c>
      <c r="O89" s="122"/>
      <c r="P89" s="120">
        <v>1.0</v>
      </c>
      <c r="Q89" s="120">
        <v>1.0</v>
      </c>
      <c r="R89" s="122"/>
      <c r="S89" s="120">
        <v>2.0</v>
      </c>
      <c r="T89" s="120">
        <v>1.0</v>
      </c>
      <c r="U89" s="122"/>
      <c r="V89" s="120">
        <v>1.0</v>
      </c>
      <c r="W89" s="113"/>
      <c r="X89" s="122"/>
      <c r="Y89" s="122"/>
      <c r="Z89" s="122"/>
      <c r="AA89" s="122"/>
      <c r="AB89" s="122"/>
      <c r="AC89" s="122"/>
      <c r="AD89" s="122"/>
      <c r="AE89" s="122"/>
      <c r="AF89" s="122"/>
      <c r="AG89" s="113"/>
      <c r="AH89" s="122"/>
      <c r="AI89" s="122"/>
      <c r="AJ89" s="122"/>
      <c r="AK89" s="122"/>
      <c r="AL89" s="122"/>
      <c r="AM89" s="122"/>
      <c r="AN89" s="122"/>
      <c r="AO89" s="122"/>
      <c r="AP89" s="122"/>
      <c r="AQ89" s="113"/>
      <c r="AR89" s="120">
        <v>1.0</v>
      </c>
      <c r="AS89" s="120">
        <v>1.0</v>
      </c>
      <c r="AT89" s="122"/>
      <c r="AU89" s="122"/>
      <c r="AV89" s="122"/>
      <c r="AW89" s="122"/>
      <c r="AX89" s="122"/>
      <c r="AY89" s="122"/>
      <c r="AZ89" s="120">
        <v>1.0</v>
      </c>
      <c r="BA89" s="113"/>
      <c r="BB89" s="122"/>
      <c r="BC89" s="122"/>
      <c r="BD89" s="122"/>
      <c r="BE89" s="122"/>
      <c r="BF89" s="122"/>
      <c r="BG89" s="122"/>
      <c r="BH89" s="122"/>
      <c r="BI89" s="122"/>
      <c r="BJ89" s="122"/>
      <c r="BK89" s="113"/>
      <c r="BL89" s="122"/>
      <c r="BM89" s="122"/>
      <c r="BN89" s="122"/>
      <c r="BO89" s="122"/>
      <c r="BP89" s="122"/>
      <c r="BQ89" s="122"/>
      <c r="BR89" s="122"/>
      <c r="BS89" s="122"/>
      <c r="BT89" s="122"/>
      <c r="BU89" s="113"/>
      <c r="BV89" s="122"/>
      <c r="BW89" s="122"/>
      <c r="BX89" s="122"/>
      <c r="BY89" s="122"/>
      <c r="BZ89" s="122"/>
      <c r="CA89" s="122"/>
      <c r="CB89" s="122"/>
      <c r="CC89" s="122"/>
      <c r="CD89" s="122"/>
      <c r="CE89" s="116">
        <v>2.0</v>
      </c>
      <c r="CF89" s="120">
        <v>6.0</v>
      </c>
      <c r="CG89" s="120">
        <v>6.0</v>
      </c>
      <c r="CH89" s="120">
        <v>9.0</v>
      </c>
      <c r="CI89" s="120">
        <v>3.0</v>
      </c>
      <c r="CJ89" s="120">
        <v>4.0</v>
      </c>
      <c r="CK89" s="119"/>
      <c r="CL89" s="120">
        <v>3.0</v>
      </c>
      <c r="CM89" s="120">
        <v>4.0</v>
      </c>
      <c r="CN89" s="120">
        <v>3.0</v>
      </c>
      <c r="CO89" s="113"/>
      <c r="CP89" s="122"/>
      <c r="CQ89" s="122"/>
      <c r="CR89" s="122"/>
      <c r="CS89" s="122"/>
      <c r="CT89" s="122"/>
      <c r="CU89" s="120">
        <v>1.0</v>
      </c>
      <c r="CV89" s="122"/>
      <c r="CW89" s="122"/>
      <c r="CX89" s="123"/>
    </row>
    <row r="90" ht="35.25" customHeight="1">
      <c r="B90" s="124">
        <v>45878.0</v>
      </c>
      <c r="C90" s="121"/>
      <c r="D90" s="122"/>
      <c r="E90" s="122"/>
      <c r="F90" s="122"/>
      <c r="G90" s="122"/>
      <c r="H90" s="122"/>
      <c r="I90" s="122"/>
      <c r="J90" s="122"/>
      <c r="K90" s="122"/>
      <c r="L90" s="136"/>
      <c r="M90" s="113"/>
      <c r="N90" s="121"/>
      <c r="O90" s="122"/>
      <c r="P90" s="122"/>
      <c r="Q90" s="122"/>
      <c r="R90" s="122"/>
      <c r="S90" s="120">
        <v>1.0</v>
      </c>
      <c r="T90" s="120">
        <v>1.0</v>
      </c>
      <c r="U90" s="122"/>
      <c r="V90" s="120">
        <v>1.0</v>
      </c>
      <c r="W90" s="113"/>
      <c r="X90" s="122"/>
      <c r="Y90" s="122"/>
      <c r="Z90" s="122"/>
      <c r="AA90" s="122"/>
      <c r="AB90" s="122"/>
      <c r="AC90" s="122"/>
      <c r="AD90" s="122"/>
      <c r="AE90" s="122"/>
      <c r="AF90" s="122"/>
      <c r="AG90" s="113"/>
      <c r="AH90" s="122"/>
      <c r="AI90" s="122"/>
      <c r="AJ90" s="122"/>
      <c r="AK90" s="122"/>
      <c r="AL90" s="122"/>
      <c r="AM90" s="122"/>
      <c r="AN90" s="122"/>
      <c r="AO90" s="122"/>
      <c r="AP90" s="122"/>
      <c r="AQ90" s="113"/>
      <c r="AR90" s="122"/>
      <c r="AS90" s="122"/>
      <c r="AT90" s="122"/>
      <c r="AU90" s="122"/>
      <c r="AV90" s="122"/>
      <c r="AW90" s="122"/>
      <c r="AX90" s="122"/>
      <c r="AY90" s="122"/>
      <c r="AZ90" s="122"/>
      <c r="BA90" s="113"/>
      <c r="BB90" s="122"/>
      <c r="BC90" s="122"/>
      <c r="BD90" s="122"/>
      <c r="BE90" s="122"/>
      <c r="BF90" s="122"/>
      <c r="BG90" s="122"/>
      <c r="BH90" s="122"/>
      <c r="BI90" s="122"/>
      <c r="BJ90" s="122"/>
      <c r="BK90" s="113"/>
      <c r="BL90" s="122"/>
      <c r="BM90" s="122"/>
      <c r="BN90" s="122"/>
      <c r="BO90" s="122"/>
      <c r="BP90" s="122"/>
      <c r="BQ90" s="122"/>
      <c r="BR90" s="122"/>
      <c r="BS90" s="122"/>
      <c r="BT90" s="122"/>
      <c r="BU90" s="113"/>
      <c r="BV90" s="122"/>
      <c r="BW90" s="122"/>
      <c r="BX90" s="122"/>
      <c r="BY90" s="122"/>
      <c r="BZ90" s="122"/>
      <c r="CA90" s="122"/>
      <c r="CB90" s="122"/>
      <c r="CC90" s="122"/>
      <c r="CD90" s="122"/>
      <c r="CE90" s="116">
        <v>3.0</v>
      </c>
      <c r="CF90" s="120">
        <v>4.0</v>
      </c>
      <c r="CG90" s="120">
        <v>5.0</v>
      </c>
      <c r="CH90" s="120">
        <v>3.0</v>
      </c>
      <c r="CI90" s="120">
        <v>9.0</v>
      </c>
      <c r="CJ90" s="120">
        <v>6.0</v>
      </c>
      <c r="CK90" s="120">
        <v>3.0</v>
      </c>
      <c r="CL90" s="119"/>
      <c r="CM90" s="120">
        <v>3.0</v>
      </c>
      <c r="CN90" s="120">
        <v>4.0</v>
      </c>
      <c r="CO90" s="113"/>
      <c r="CP90" s="122"/>
      <c r="CQ90" s="122"/>
      <c r="CR90" s="122"/>
      <c r="CS90" s="122"/>
      <c r="CT90" s="122"/>
      <c r="CU90" s="122"/>
      <c r="CV90" s="122"/>
      <c r="CW90" s="122"/>
      <c r="CX90" s="123"/>
    </row>
    <row r="91" ht="35.25" customHeight="1">
      <c r="B91" s="124">
        <v>45909.0</v>
      </c>
      <c r="C91" s="121"/>
      <c r="D91" s="122"/>
      <c r="E91" s="122"/>
      <c r="F91" s="122"/>
      <c r="G91" s="122"/>
      <c r="H91" s="122"/>
      <c r="I91" s="122"/>
      <c r="J91" s="122"/>
      <c r="K91" s="122"/>
      <c r="L91" s="136"/>
      <c r="M91" s="113"/>
      <c r="N91" s="121"/>
      <c r="O91" s="122"/>
      <c r="P91" s="122"/>
      <c r="Q91" s="122"/>
      <c r="R91" s="122"/>
      <c r="S91" s="122"/>
      <c r="T91" s="122"/>
      <c r="U91" s="122"/>
      <c r="V91" s="122"/>
      <c r="W91" s="113"/>
      <c r="X91" s="122"/>
      <c r="Y91" s="122"/>
      <c r="Z91" s="122"/>
      <c r="AA91" s="122"/>
      <c r="AB91" s="122"/>
      <c r="AC91" s="122"/>
      <c r="AD91" s="122"/>
      <c r="AE91" s="122"/>
      <c r="AF91" s="122"/>
      <c r="AG91" s="113"/>
      <c r="AH91" s="122"/>
      <c r="AI91" s="122"/>
      <c r="AJ91" s="122"/>
      <c r="AK91" s="122"/>
      <c r="AL91" s="122"/>
      <c r="AM91" s="122"/>
      <c r="AN91" s="122"/>
      <c r="AO91" s="122"/>
      <c r="AP91" s="122"/>
      <c r="AQ91" s="113"/>
      <c r="AR91" s="122"/>
      <c r="AS91" s="122"/>
      <c r="AT91" s="122"/>
      <c r="AU91" s="122"/>
      <c r="AV91" s="122"/>
      <c r="AW91" s="122"/>
      <c r="AX91" s="122"/>
      <c r="AY91" s="122"/>
      <c r="AZ91" s="122"/>
      <c r="BA91" s="113"/>
      <c r="BB91" s="122"/>
      <c r="BC91" s="122"/>
      <c r="BD91" s="122"/>
      <c r="BE91" s="122"/>
      <c r="BF91" s="122"/>
      <c r="BG91" s="122"/>
      <c r="BH91" s="122"/>
      <c r="BI91" s="122"/>
      <c r="BJ91" s="122"/>
      <c r="BK91" s="113"/>
      <c r="BL91" s="122"/>
      <c r="BM91" s="122"/>
      <c r="BN91" s="122"/>
      <c r="BO91" s="122"/>
      <c r="BP91" s="122"/>
      <c r="BQ91" s="122"/>
      <c r="BR91" s="122"/>
      <c r="BS91" s="122"/>
      <c r="BT91" s="122"/>
      <c r="BU91" s="113"/>
      <c r="BV91" s="122"/>
      <c r="BW91" s="122"/>
      <c r="BX91" s="122"/>
      <c r="BY91" s="122"/>
      <c r="BZ91" s="122"/>
      <c r="CA91" s="122"/>
      <c r="CB91" s="122"/>
      <c r="CC91" s="122"/>
      <c r="CD91" s="122"/>
      <c r="CE91" s="116">
        <v>9.0</v>
      </c>
      <c r="CF91" s="120">
        <v>4.0</v>
      </c>
      <c r="CG91" s="120">
        <v>4.0</v>
      </c>
      <c r="CH91" s="120">
        <v>6.0</v>
      </c>
      <c r="CI91" s="120">
        <v>5.0</v>
      </c>
      <c r="CJ91" s="120">
        <v>4.0</v>
      </c>
      <c r="CK91" s="120">
        <v>4.0</v>
      </c>
      <c r="CL91" s="120">
        <v>3.0</v>
      </c>
      <c r="CM91" s="119"/>
      <c r="CN91" s="120">
        <v>6.0</v>
      </c>
      <c r="CO91" s="113"/>
      <c r="CP91" s="122"/>
      <c r="CQ91" s="122"/>
      <c r="CR91" s="122"/>
      <c r="CS91" s="122"/>
      <c r="CT91" s="122"/>
      <c r="CU91" s="122"/>
      <c r="CV91" s="122"/>
      <c r="CW91" s="122"/>
      <c r="CX91" s="123"/>
    </row>
    <row r="92" ht="35.25" customHeight="1">
      <c r="A92" s="125"/>
      <c r="B92" s="126">
        <v>45939.0</v>
      </c>
      <c r="C92" s="131"/>
      <c r="D92" s="132"/>
      <c r="E92" s="132"/>
      <c r="F92" s="132"/>
      <c r="G92" s="132"/>
      <c r="H92" s="132"/>
      <c r="I92" s="132"/>
      <c r="J92" s="132"/>
      <c r="K92" s="132"/>
      <c r="L92" s="137"/>
      <c r="M92" s="130"/>
      <c r="N92" s="131"/>
      <c r="O92" s="132"/>
      <c r="P92" s="132"/>
      <c r="Q92" s="132"/>
      <c r="R92" s="132"/>
      <c r="S92" s="132"/>
      <c r="T92" s="132"/>
      <c r="U92" s="132"/>
      <c r="V92" s="132"/>
      <c r="W92" s="130"/>
      <c r="X92" s="132"/>
      <c r="Y92" s="132"/>
      <c r="Z92" s="132"/>
      <c r="AA92" s="132"/>
      <c r="AB92" s="132"/>
      <c r="AC92" s="132"/>
      <c r="AD92" s="132"/>
      <c r="AE92" s="132"/>
      <c r="AF92" s="132"/>
      <c r="AG92" s="130"/>
      <c r="AH92" s="132"/>
      <c r="AI92" s="132"/>
      <c r="AJ92" s="132"/>
      <c r="AK92" s="132"/>
      <c r="AL92" s="132"/>
      <c r="AM92" s="132"/>
      <c r="AN92" s="132"/>
      <c r="AO92" s="132"/>
      <c r="AP92" s="132"/>
      <c r="AQ92" s="130"/>
      <c r="AR92" s="128">
        <v>1.0</v>
      </c>
      <c r="AS92" s="128">
        <v>2.0</v>
      </c>
      <c r="AT92" s="132"/>
      <c r="AU92" s="132"/>
      <c r="AV92" s="128">
        <v>1.0</v>
      </c>
      <c r="AW92" s="132"/>
      <c r="AX92" s="128">
        <v>1.0</v>
      </c>
      <c r="AY92" s="132"/>
      <c r="AZ92" s="128">
        <v>2.0</v>
      </c>
      <c r="BA92" s="130"/>
      <c r="BB92" s="132"/>
      <c r="BC92" s="132"/>
      <c r="BD92" s="132"/>
      <c r="BE92" s="132"/>
      <c r="BF92" s="132"/>
      <c r="BG92" s="132"/>
      <c r="BH92" s="132"/>
      <c r="BI92" s="132"/>
      <c r="BJ92" s="132"/>
      <c r="BK92" s="130"/>
      <c r="BL92" s="132"/>
      <c r="BM92" s="132"/>
      <c r="BN92" s="132"/>
      <c r="BO92" s="132"/>
      <c r="BP92" s="132"/>
      <c r="BQ92" s="132"/>
      <c r="BR92" s="132"/>
      <c r="BS92" s="132"/>
      <c r="BT92" s="132"/>
      <c r="BU92" s="130"/>
      <c r="BV92" s="132"/>
      <c r="BW92" s="132"/>
      <c r="BX92" s="132"/>
      <c r="BY92" s="132"/>
      <c r="BZ92" s="132"/>
      <c r="CA92" s="132"/>
      <c r="CB92" s="132"/>
      <c r="CC92" s="132"/>
      <c r="CD92" s="132"/>
      <c r="CE92" s="127">
        <v>3.0</v>
      </c>
      <c r="CF92" s="128">
        <v>4.0</v>
      </c>
      <c r="CG92" s="128">
        <v>4.0</v>
      </c>
      <c r="CH92" s="128">
        <v>3.0</v>
      </c>
      <c r="CI92" s="128">
        <v>4.0</v>
      </c>
      <c r="CJ92" s="128">
        <v>3.0</v>
      </c>
      <c r="CK92" s="128">
        <v>3.0</v>
      </c>
      <c r="CL92" s="128">
        <v>4.0</v>
      </c>
      <c r="CM92" s="128">
        <v>6.0</v>
      </c>
      <c r="CN92" s="129"/>
      <c r="CO92" s="130"/>
      <c r="CP92" s="132"/>
      <c r="CQ92" s="132"/>
      <c r="CR92" s="128">
        <v>1.0</v>
      </c>
      <c r="CS92" s="132"/>
      <c r="CT92" s="132"/>
      <c r="CU92" s="128">
        <v>2.0</v>
      </c>
      <c r="CV92" s="132"/>
      <c r="CW92" s="132"/>
      <c r="CX92" s="143">
        <v>1.0</v>
      </c>
    </row>
    <row r="93" ht="35.25" customHeight="1">
      <c r="A93" s="134" t="s">
        <v>2944</v>
      </c>
      <c r="B93" s="124">
        <v>45667.0</v>
      </c>
      <c r="C93" s="114"/>
      <c r="D93" s="115"/>
      <c r="E93" s="115"/>
      <c r="F93" s="115"/>
      <c r="G93" s="115"/>
      <c r="H93" s="115"/>
      <c r="I93" s="115"/>
      <c r="J93" s="115"/>
      <c r="K93" s="115"/>
      <c r="L93" s="135"/>
      <c r="M93" s="113"/>
      <c r="N93" s="114"/>
      <c r="O93" s="115"/>
      <c r="P93" s="115"/>
      <c r="Q93" s="115"/>
      <c r="R93" s="115"/>
      <c r="S93" s="115"/>
      <c r="T93" s="115"/>
      <c r="U93" s="115"/>
      <c r="V93" s="115"/>
      <c r="W93" s="113"/>
      <c r="X93" s="115"/>
      <c r="Y93" s="115"/>
      <c r="Z93" s="115"/>
      <c r="AA93" s="115"/>
      <c r="AB93" s="115"/>
      <c r="AC93" s="115"/>
      <c r="AD93" s="115"/>
      <c r="AE93" s="115"/>
      <c r="AF93" s="115"/>
      <c r="AG93" s="113"/>
      <c r="AH93" s="115"/>
      <c r="AI93" s="115"/>
      <c r="AJ93" s="115"/>
      <c r="AK93" s="115"/>
      <c r="AL93" s="115"/>
      <c r="AM93" s="115"/>
      <c r="AN93" s="115"/>
      <c r="AO93" s="115"/>
      <c r="AP93" s="115"/>
      <c r="AQ93" s="113"/>
      <c r="AR93" s="115"/>
      <c r="AS93" s="115"/>
      <c r="AT93" s="115"/>
      <c r="AU93" s="115"/>
      <c r="AV93" s="115"/>
      <c r="AW93" s="115"/>
      <c r="AX93" s="115"/>
      <c r="AY93" s="115"/>
      <c r="AZ93" s="115"/>
      <c r="BA93" s="113"/>
      <c r="BB93" s="115"/>
      <c r="BC93" s="115"/>
      <c r="BD93" s="115"/>
      <c r="BE93" s="115"/>
      <c r="BF93" s="115"/>
      <c r="BG93" s="115"/>
      <c r="BH93" s="115"/>
      <c r="BI93" s="115"/>
      <c r="BJ93" s="115"/>
      <c r="BK93" s="113"/>
      <c r="BL93" s="115"/>
      <c r="BM93" s="115"/>
      <c r="BN93" s="115"/>
      <c r="BO93" s="115"/>
      <c r="BP93" s="115"/>
      <c r="BQ93" s="115"/>
      <c r="BR93" s="115"/>
      <c r="BS93" s="115"/>
      <c r="BT93" s="115"/>
      <c r="BU93" s="113"/>
      <c r="BV93" s="115"/>
      <c r="BW93" s="115"/>
      <c r="BX93" s="115"/>
      <c r="BY93" s="115"/>
      <c r="BZ93" s="115"/>
      <c r="CA93" s="115"/>
      <c r="CB93" s="115"/>
      <c r="CC93" s="115"/>
      <c r="CD93" s="115"/>
      <c r="CE93" s="113"/>
      <c r="CF93" s="115"/>
      <c r="CG93" s="115"/>
      <c r="CH93" s="115"/>
      <c r="CI93" s="115"/>
      <c r="CJ93" s="115"/>
      <c r="CK93" s="115"/>
      <c r="CL93" s="115"/>
      <c r="CM93" s="115"/>
      <c r="CN93" s="115"/>
      <c r="CO93" s="111"/>
      <c r="CP93" s="112">
        <v>4.0</v>
      </c>
      <c r="CQ93" s="112">
        <v>1.0</v>
      </c>
      <c r="CR93" s="112">
        <v>2.0</v>
      </c>
      <c r="CS93" s="112">
        <v>8.0</v>
      </c>
      <c r="CT93" s="112">
        <v>8.0</v>
      </c>
      <c r="CU93" s="112">
        <v>2.0</v>
      </c>
      <c r="CV93" s="112">
        <v>3.0</v>
      </c>
      <c r="CW93" s="112">
        <v>8.0</v>
      </c>
      <c r="CX93" s="148">
        <v>4.0</v>
      </c>
    </row>
    <row r="94" ht="35.25" customHeight="1">
      <c r="B94" s="124">
        <v>45698.0</v>
      </c>
      <c r="C94" s="121"/>
      <c r="D94" s="122"/>
      <c r="E94" s="122"/>
      <c r="F94" s="122"/>
      <c r="G94" s="122"/>
      <c r="H94" s="122"/>
      <c r="I94" s="122"/>
      <c r="J94" s="122"/>
      <c r="K94" s="122"/>
      <c r="L94" s="136"/>
      <c r="M94" s="113"/>
      <c r="N94" s="121"/>
      <c r="O94" s="122"/>
      <c r="P94" s="122"/>
      <c r="Q94" s="122"/>
      <c r="R94" s="122"/>
      <c r="S94" s="122"/>
      <c r="T94" s="122"/>
      <c r="U94" s="122"/>
      <c r="V94" s="122"/>
      <c r="W94" s="113"/>
      <c r="X94" s="122"/>
      <c r="Y94" s="122"/>
      <c r="Z94" s="122"/>
      <c r="AA94" s="122"/>
      <c r="AB94" s="122"/>
      <c r="AC94" s="122"/>
      <c r="AD94" s="122"/>
      <c r="AE94" s="122"/>
      <c r="AF94" s="122"/>
      <c r="AG94" s="113"/>
      <c r="AH94" s="122"/>
      <c r="AI94" s="122"/>
      <c r="AJ94" s="122"/>
      <c r="AK94" s="122"/>
      <c r="AL94" s="122"/>
      <c r="AM94" s="122"/>
      <c r="AN94" s="122"/>
      <c r="AO94" s="122"/>
      <c r="AP94" s="122"/>
      <c r="AQ94" s="113"/>
      <c r="AR94" s="122"/>
      <c r="AS94" s="122"/>
      <c r="AT94" s="122"/>
      <c r="AU94" s="122"/>
      <c r="AV94" s="122"/>
      <c r="AW94" s="120">
        <v>1.0</v>
      </c>
      <c r="AX94" s="122"/>
      <c r="AY94" s="122"/>
      <c r="AZ94" s="120">
        <v>1.0</v>
      </c>
      <c r="BA94" s="113"/>
      <c r="BB94" s="122"/>
      <c r="BC94" s="122"/>
      <c r="BD94" s="122"/>
      <c r="BE94" s="122"/>
      <c r="BF94" s="122"/>
      <c r="BG94" s="122"/>
      <c r="BH94" s="122"/>
      <c r="BI94" s="122"/>
      <c r="BJ94" s="122"/>
      <c r="BK94" s="113"/>
      <c r="BL94" s="122"/>
      <c r="BM94" s="122"/>
      <c r="BN94" s="122"/>
      <c r="BO94" s="122"/>
      <c r="BP94" s="122"/>
      <c r="BQ94" s="122"/>
      <c r="BR94" s="122"/>
      <c r="BS94" s="122"/>
      <c r="BT94" s="122"/>
      <c r="BU94" s="113"/>
      <c r="BV94" s="122"/>
      <c r="BW94" s="122"/>
      <c r="BX94" s="122"/>
      <c r="BY94" s="122"/>
      <c r="BZ94" s="122"/>
      <c r="CA94" s="122"/>
      <c r="CB94" s="122"/>
      <c r="CC94" s="122"/>
      <c r="CD94" s="122"/>
      <c r="CE94" s="113"/>
      <c r="CF94" s="122"/>
      <c r="CG94" s="120">
        <v>1.0</v>
      </c>
      <c r="CH94" s="122"/>
      <c r="CI94" s="122"/>
      <c r="CJ94" s="122"/>
      <c r="CK94" s="122"/>
      <c r="CL94" s="122"/>
      <c r="CM94" s="122"/>
      <c r="CN94" s="122"/>
      <c r="CO94" s="116">
        <v>4.0</v>
      </c>
      <c r="CP94" s="119"/>
      <c r="CQ94" s="120">
        <v>4.0</v>
      </c>
      <c r="CR94" s="120">
        <v>4.0</v>
      </c>
      <c r="CS94" s="120">
        <v>5.0</v>
      </c>
      <c r="CT94" s="120">
        <v>6.0</v>
      </c>
      <c r="CU94" s="120">
        <v>5.0</v>
      </c>
      <c r="CV94" s="120">
        <v>4.0</v>
      </c>
      <c r="CW94" s="120">
        <v>4.0</v>
      </c>
      <c r="CX94" s="140">
        <v>4.0</v>
      </c>
    </row>
    <row r="95" ht="35.25" customHeight="1">
      <c r="B95" s="124">
        <v>45726.0</v>
      </c>
      <c r="C95" s="121"/>
      <c r="D95" s="122"/>
      <c r="E95" s="122"/>
      <c r="F95" s="122"/>
      <c r="G95" s="122"/>
      <c r="H95" s="122"/>
      <c r="I95" s="122"/>
      <c r="J95" s="122"/>
      <c r="K95" s="122"/>
      <c r="L95" s="136"/>
      <c r="M95" s="113"/>
      <c r="N95" s="121"/>
      <c r="O95" s="122"/>
      <c r="P95" s="122"/>
      <c r="Q95" s="122"/>
      <c r="R95" s="122"/>
      <c r="S95" s="122"/>
      <c r="T95" s="122"/>
      <c r="U95" s="122"/>
      <c r="V95" s="122"/>
      <c r="W95" s="113"/>
      <c r="X95" s="122"/>
      <c r="Y95" s="122"/>
      <c r="Z95" s="122"/>
      <c r="AA95" s="122"/>
      <c r="AB95" s="122"/>
      <c r="AC95" s="122"/>
      <c r="AD95" s="122"/>
      <c r="AE95" s="122"/>
      <c r="AF95" s="122"/>
      <c r="AG95" s="113"/>
      <c r="AH95" s="122"/>
      <c r="AI95" s="122"/>
      <c r="AJ95" s="122"/>
      <c r="AK95" s="122"/>
      <c r="AL95" s="122"/>
      <c r="AM95" s="122"/>
      <c r="AN95" s="122"/>
      <c r="AO95" s="122"/>
      <c r="AP95" s="122"/>
      <c r="AQ95" s="113"/>
      <c r="AR95" s="122"/>
      <c r="AS95" s="122"/>
      <c r="AT95" s="122"/>
      <c r="AU95" s="122"/>
      <c r="AV95" s="122"/>
      <c r="AW95" s="120">
        <v>1.0</v>
      </c>
      <c r="AX95" s="122"/>
      <c r="AY95" s="122"/>
      <c r="AZ95" s="120">
        <v>1.0</v>
      </c>
      <c r="BA95" s="113"/>
      <c r="BB95" s="122"/>
      <c r="BC95" s="122"/>
      <c r="BD95" s="122"/>
      <c r="BE95" s="122"/>
      <c r="BF95" s="122"/>
      <c r="BG95" s="122"/>
      <c r="BH95" s="122"/>
      <c r="BI95" s="122"/>
      <c r="BJ95" s="122"/>
      <c r="BK95" s="113"/>
      <c r="BL95" s="122"/>
      <c r="BM95" s="122"/>
      <c r="BN95" s="122"/>
      <c r="BO95" s="122"/>
      <c r="BP95" s="122"/>
      <c r="BQ95" s="122"/>
      <c r="BR95" s="122"/>
      <c r="BS95" s="122"/>
      <c r="BT95" s="122"/>
      <c r="BU95" s="113"/>
      <c r="BV95" s="122"/>
      <c r="BW95" s="122"/>
      <c r="BX95" s="122"/>
      <c r="BY95" s="122"/>
      <c r="BZ95" s="122"/>
      <c r="CA95" s="122"/>
      <c r="CB95" s="122"/>
      <c r="CC95" s="122"/>
      <c r="CD95" s="122"/>
      <c r="CE95" s="113"/>
      <c r="CF95" s="122"/>
      <c r="CG95" s="120">
        <v>1.0</v>
      </c>
      <c r="CH95" s="122"/>
      <c r="CI95" s="122"/>
      <c r="CJ95" s="122"/>
      <c r="CK95" s="122"/>
      <c r="CL95" s="122"/>
      <c r="CM95" s="122"/>
      <c r="CN95" s="122"/>
      <c r="CO95" s="116">
        <v>1.0</v>
      </c>
      <c r="CP95" s="120">
        <v>4.0</v>
      </c>
      <c r="CQ95" s="119"/>
      <c r="CR95" s="120">
        <v>6.0</v>
      </c>
      <c r="CS95" s="120">
        <v>3.0</v>
      </c>
      <c r="CT95" s="120">
        <v>2.0</v>
      </c>
      <c r="CU95" s="120">
        <v>6.0</v>
      </c>
      <c r="CV95" s="120">
        <v>6.0</v>
      </c>
      <c r="CW95" s="120">
        <v>4.0</v>
      </c>
      <c r="CX95" s="140">
        <v>6.0</v>
      </c>
    </row>
    <row r="96" ht="35.25" customHeight="1">
      <c r="B96" s="124">
        <v>45757.0</v>
      </c>
      <c r="C96" s="121"/>
      <c r="D96" s="122"/>
      <c r="E96" s="122"/>
      <c r="F96" s="122"/>
      <c r="G96" s="122"/>
      <c r="H96" s="122"/>
      <c r="I96" s="122"/>
      <c r="J96" s="122"/>
      <c r="K96" s="122"/>
      <c r="L96" s="136"/>
      <c r="M96" s="113"/>
      <c r="N96" s="121"/>
      <c r="O96" s="122"/>
      <c r="P96" s="120">
        <v>1.0</v>
      </c>
      <c r="Q96" s="122"/>
      <c r="R96" s="122"/>
      <c r="S96" s="122"/>
      <c r="T96" s="122"/>
      <c r="U96" s="122"/>
      <c r="V96" s="122"/>
      <c r="W96" s="113"/>
      <c r="X96" s="122"/>
      <c r="Y96" s="122"/>
      <c r="Z96" s="122"/>
      <c r="AA96" s="122"/>
      <c r="AB96" s="122"/>
      <c r="AC96" s="122"/>
      <c r="AD96" s="122"/>
      <c r="AE96" s="122"/>
      <c r="AF96" s="122"/>
      <c r="AG96" s="113"/>
      <c r="AH96" s="122"/>
      <c r="AI96" s="122"/>
      <c r="AJ96" s="122"/>
      <c r="AK96" s="122"/>
      <c r="AL96" s="122"/>
      <c r="AM96" s="122"/>
      <c r="AN96" s="122"/>
      <c r="AO96" s="122"/>
      <c r="AP96" s="122"/>
      <c r="AQ96" s="113"/>
      <c r="AR96" s="122"/>
      <c r="AS96" s="122"/>
      <c r="AT96" s="120">
        <v>1.0</v>
      </c>
      <c r="AU96" s="122"/>
      <c r="AV96" s="122"/>
      <c r="AW96" s="122"/>
      <c r="AX96" s="122"/>
      <c r="AY96" s="122"/>
      <c r="AZ96" s="122"/>
      <c r="BA96" s="113"/>
      <c r="BB96" s="122"/>
      <c r="BC96" s="122"/>
      <c r="BD96" s="122"/>
      <c r="BE96" s="122"/>
      <c r="BF96" s="122"/>
      <c r="BG96" s="122"/>
      <c r="BH96" s="122"/>
      <c r="BI96" s="122"/>
      <c r="BJ96" s="122"/>
      <c r="BK96" s="113"/>
      <c r="BL96" s="122"/>
      <c r="BM96" s="122"/>
      <c r="BN96" s="122"/>
      <c r="BO96" s="122"/>
      <c r="BP96" s="122"/>
      <c r="BQ96" s="122"/>
      <c r="BR96" s="122"/>
      <c r="BS96" s="122"/>
      <c r="BT96" s="122"/>
      <c r="BU96" s="113"/>
      <c r="BV96" s="122"/>
      <c r="BW96" s="122"/>
      <c r="BX96" s="122"/>
      <c r="BY96" s="122"/>
      <c r="BZ96" s="122"/>
      <c r="CA96" s="122"/>
      <c r="CB96" s="122"/>
      <c r="CC96" s="122"/>
      <c r="CD96" s="122"/>
      <c r="CE96" s="113"/>
      <c r="CF96" s="122"/>
      <c r="CG96" s="120"/>
      <c r="CH96" s="122"/>
      <c r="CI96" s="122"/>
      <c r="CJ96" s="122"/>
      <c r="CK96" s="122"/>
      <c r="CL96" s="122"/>
      <c r="CM96" s="122"/>
      <c r="CN96" s="120">
        <v>1.0</v>
      </c>
      <c r="CO96" s="116">
        <v>2.0</v>
      </c>
      <c r="CP96" s="120">
        <v>4.0</v>
      </c>
      <c r="CQ96" s="120">
        <v>6.0</v>
      </c>
      <c r="CR96" s="119"/>
      <c r="CS96" s="120">
        <v>3.0</v>
      </c>
      <c r="CT96" s="120">
        <v>2.0</v>
      </c>
      <c r="CU96" s="120">
        <v>10.0</v>
      </c>
      <c r="CV96" s="120">
        <v>4.0</v>
      </c>
      <c r="CW96" s="120">
        <v>6.0</v>
      </c>
      <c r="CX96" s="140">
        <v>3.0</v>
      </c>
    </row>
    <row r="97" ht="35.25" customHeight="1">
      <c r="B97" s="124">
        <v>45787.0</v>
      </c>
      <c r="C97" s="121"/>
      <c r="D97" s="122"/>
      <c r="E97" s="122"/>
      <c r="F97" s="122"/>
      <c r="G97" s="122"/>
      <c r="H97" s="122"/>
      <c r="I97" s="122"/>
      <c r="J97" s="122"/>
      <c r="K97" s="122"/>
      <c r="L97" s="136"/>
      <c r="M97" s="113"/>
      <c r="N97" s="121"/>
      <c r="O97" s="122"/>
      <c r="P97" s="122"/>
      <c r="Q97" s="122"/>
      <c r="R97" s="122"/>
      <c r="S97" s="122"/>
      <c r="T97" s="122"/>
      <c r="U97" s="122"/>
      <c r="V97" s="122"/>
      <c r="W97" s="113"/>
      <c r="X97" s="122"/>
      <c r="Y97" s="122"/>
      <c r="Z97" s="122"/>
      <c r="AA97" s="122"/>
      <c r="AB97" s="122"/>
      <c r="AC97" s="122"/>
      <c r="AD97" s="122"/>
      <c r="AE97" s="122"/>
      <c r="AF97" s="122"/>
      <c r="AG97" s="113"/>
      <c r="AH97" s="122"/>
      <c r="AI97" s="122"/>
      <c r="AJ97" s="122"/>
      <c r="AK97" s="122"/>
      <c r="AL97" s="122"/>
      <c r="AM97" s="122"/>
      <c r="AN97" s="122"/>
      <c r="AO97" s="122"/>
      <c r="AP97" s="122"/>
      <c r="AQ97" s="113"/>
      <c r="AR97" s="122"/>
      <c r="AS97" s="122"/>
      <c r="AT97" s="122"/>
      <c r="AU97" s="122"/>
      <c r="AV97" s="122"/>
      <c r="AW97" s="122"/>
      <c r="AX97" s="122"/>
      <c r="AY97" s="122"/>
      <c r="AZ97" s="122"/>
      <c r="BA97" s="113"/>
      <c r="BB97" s="122"/>
      <c r="BC97" s="122"/>
      <c r="BD97" s="122"/>
      <c r="BE97" s="122"/>
      <c r="BF97" s="122"/>
      <c r="BG97" s="122"/>
      <c r="BH97" s="122"/>
      <c r="BI97" s="122"/>
      <c r="BJ97" s="122"/>
      <c r="BK97" s="113"/>
      <c r="BL97" s="122"/>
      <c r="BM97" s="122"/>
      <c r="BN97" s="122"/>
      <c r="BO97" s="122"/>
      <c r="BP97" s="122"/>
      <c r="BQ97" s="122"/>
      <c r="BR97" s="122"/>
      <c r="BS97" s="122"/>
      <c r="BT97" s="122"/>
      <c r="BU97" s="113"/>
      <c r="BV97" s="122"/>
      <c r="BW97" s="122"/>
      <c r="BX97" s="122"/>
      <c r="BY97" s="122"/>
      <c r="BZ97" s="122"/>
      <c r="CA97" s="122"/>
      <c r="CB97" s="122"/>
      <c r="CC97" s="122"/>
      <c r="CD97" s="122"/>
      <c r="CE97" s="113"/>
      <c r="CF97" s="122"/>
      <c r="CG97" s="122"/>
      <c r="CH97" s="122"/>
      <c r="CI97" s="122"/>
      <c r="CJ97" s="122"/>
      <c r="CK97" s="122"/>
      <c r="CL97" s="122"/>
      <c r="CM97" s="122"/>
      <c r="CN97" s="122"/>
      <c r="CO97" s="116">
        <v>8.0</v>
      </c>
      <c r="CP97" s="120">
        <v>6.0</v>
      </c>
      <c r="CQ97" s="120">
        <v>3.0</v>
      </c>
      <c r="CR97" s="120">
        <v>4.0</v>
      </c>
      <c r="CS97" s="119"/>
      <c r="CT97" s="120">
        <v>6.0</v>
      </c>
      <c r="CU97" s="120">
        <v>3.0</v>
      </c>
      <c r="CV97" s="120">
        <v>9.0</v>
      </c>
      <c r="CW97" s="120">
        <v>5.0</v>
      </c>
      <c r="CX97" s="140">
        <v>4.0</v>
      </c>
    </row>
    <row r="98" ht="35.25" customHeight="1">
      <c r="B98" s="124">
        <v>45818.0</v>
      </c>
      <c r="C98" s="121"/>
      <c r="D98" s="122"/>
      <c r="E98" s="122"/>
      <c r="F98" s="122"/>
      <c r="G98" s="122"/>
      <c r="H98" s="122"/>
      <c r="I98" s="122"/>
      <c r="J98" s="122"/>
      <c r="K98" s="122"/>
      <c r="L98" s="136"/>
      <c r="M98" s="113"/>
      <c r="N98" s="121"/>
      <c r="O98" s="122"/>
      <c r="P98" s="122"/>
      <c r="Q98" s="122"/>
      <c r="R98" s="122"/>
      <c r="S98" s="122"/>
      <c r="T98" s="122"/>
      <c r="U98" s="122"/>
      <c r="V98" s="122"/>
      <c r="W98" s="113"/>
      <c r="X98" s="122"/>
      <c r="Y98" s="122"/>
      <c r="Z98" s="122"/>
      <c r="AA98" s="122"/>
      <c r="AB98" s="122"/>
      <c r="AC98" s="122"/>
      <c r="AD98" s="122"/>
      <c r="AE98" s="122"/>
      <c r="AF98" s="122"/>
      <c r="AG98" s="113"/>
      <c r="AH98" s="122"/>
      <c r="AI98" s="122"/>
      <c r="AJ98" s="122"/>
      <c r="AK98" s="122"/>
      <c r="AL98" s="122"/>
      <c r="AM98" s="122"/>
      <c r="AN98" s="122"/>
      <c r="AO98" s="122"/>
      <c r="AP98" s="122"/>
      <c r="AQ98" s="113"/>
      <c r="AR98" s="122"/>
      <c r="AS98" s="122"/>
      <c r="AT98" s="122"/>
      <c r="AU98" s="122"/>
      <c r="AV98" s="122"/>
      <c r="AW98" s="122"/>
      <c r="AX98" s="122"/>
      <c r="AY98" s="122"/>
      <c r="AZ98" s="122"/>
      <c r="BA98" s="113"/>
      <c r="BB98" s="122"/>
      <c r="BC98" s="122"/>
      <c r="BD98" s="122"/>
      <c r="BE98" s="122"/>
      <c r="BF98" s="122"/>
      <c r="BG98" s="122"/>
      <c r="BH98" s="122"/>
      <c r="BI98" s="122"/>
      <c r="BJ98" s="122"/>
      <c r="BK98" s="113"/>
      <c r="BL98" s="122"/>
      <c r="BM98" s="122"/>
      <c r="BN98" s="122"/>
      <c r="BO98" s="122"/>
      <c r="BP98" s="122"/>
      <c r="BQ98" s="122"/>
      <c r="BR98" s="122"/>
      <c r="BS98" s="122"/>
      <c r="BT98" s="122"/>
      <c r="BU98" s="113"/>
      <c r="BV98" s="122"/>
      <c r="BW98" s="122"/>
      <c r="BX98" s="122"/>
      <c r="BY98" s="122"/>
      <c r="BZ98" s="122"/>
      <c r="CA98" s="122"/>
      <c r="CB98" s="122"/>
      <c r="CC98" s="122"/>
      <c r="CD98" s="122"/>
      <c r="CE98" s="113"/>
      <c r="CF98" s="122"/>
      <c r="CG98" s="122"/>
      <c r="CH98" s="122"/>
      <c r="CI98" s="122"/>
      <c r="CJ98" s="122"/>
      <c r="CK98" s="122"/>
      <c r="CL98" s="122"/>
      <c r="CM98" s="122"/>
      <c r="CN98" s="122"/>
      <c r="CO98" s="116">
        <v>8.0</v>
      </c>
      <c r="CP98" s="120">
        <v>6.0</v>
      </c>
      <c r="CQ98" s="120">
        <v>2.0</v>
      </c>
      <c r="CR98" s="120">
        <v>2.0</v>
      </c>
      <c r="CS98" s="120">
        <v>6.0</v>
      </c>
      <c r="CT98" s="119"/>
      <c r="CU98" s="120">
        <v>3.0</v>
      </c>
      <c r="CV98" s="120">
        <v>6.0</v>
      </c>
      <c r="CW98" s="120">
        <v>3.0</v>
      </c>
      <c r="CX98" s="140">
        <v>3.0</v>
      </c>
    </row>
    <row r="99" ht="35.25" customHeight="1">
      <c r="B99" s="124">
        <v>45848.0</v>
      </c>
      <c r="C99" s="121"/>
      <c r="D99" s="122"/>
      <c r="E99" s="122"/>
      <c r="F99" s="122"/>
      <c r="G99" s="122"/>
      <c r="H99" s="122"/>
      <c r="I99" s="122"/>
      <c r="J99" s="122"/>
      <c r="K99" s="122"/>
      <c r="L99" s="136"/>
      <c r="M99" s="113"/>
      <c r="N99" s="121"/>
      <c r="O99" s="122"/>
      <c r="P99" s="122"/>
      <c r="Q99" s="122"/>
      <c r="R99" s="122"/>
      <c r="S99" s="122"/>
      <c r="T99" s="122"/>
      <c r="U99" s="122"/>
      <c r="V99" s="122"/>
      <c r="W99" s="113"/>
      <c r="X99" s="122"/>
      <c r="Y99" s="122"/>
      <c r="Z99" s="122"/>
      <c r="AA99" s="122"/>
      <c r="AB99" s="122"/>
      <c r="AC99" s="122"/>
      <c r="AD99" s="122"/>
      <c r="AE99" s="122"/>
      <c r="AF99" s="122"/>
      <c r="AG99" s="113"/>
      <c r="AH99" s="122"/>
      <c r="AI99" s="122"/>
      <c r="AJ99" s="122"/>
      <c r="AK99" s="122"/>
      <c r="AL99" s="122"/>
      <c r="AM99" s="122"/>
      <c r="AN99" s="122"/>
      <c r="AO99" s="122"/>
      <c r="AP99" s="122"/>
      <c r="AQ99" s="113"/>
      <c r="AR99" s="120">
        <v>1.0</v>
      </c>
      <c r="AS99" s="120">
        <v>1.0</v>
      </c>
      <c r="AT99" s="120">
        <v>1.0</v>
      </c>
      <c r="AU99" s="122"/>
      <c r="AV99" s="122"/>
      <c r="AW99" s="122"/>
      <c r="AX99" s="122"/>
      <c r="AY99" s="122"/>
      <c r="AZ99" s="122"/>
      <c r="BA99" s="113"/>
      <c r="BB99" s="122"/>
      <c r="BC99" s="122"/>
      <c r="BD99" s="122"/>
      <c r="BE99" s="122"/>
      <c r="BF99" s="122"/>
      <c r="BG99" s="122"/>
      <c r="BH99" s="122"/>
      <c r="BI99" s="122"/>
      <c r="BJ99" s="122"/>
      <c r="BK99" s="113"/>
      <c r="BL99" s="122"/>
      <c r="BM99" s="122"/>
      <c r="BN99" s="122"/>
      <c r="BO99" s="122"/>
      <c r="BP99" s="122"/>
      <c r="BQ99" s="122"/>
      <c r="BR99" s="122"/>
      <c r="BS99" s="122"/>
      <c r="BT99" s="122"/>
      <c r="BU99" s="113"/>
      <c r="BV99" s="122"/>
      <c r="BW99" s="122"/>
      <c r="BX99" s="122"/>
      <c r="BY99" s="122"/>
      <c r="BZ99" s="122"/>
      <c r="CA99" s="122"/>
      <c r="CB99" s="122"/>
      <c r="CC99" s="122"/>
      <c r="CD99" s="122"/>
      <c r="CE99" s="113"/>
      <c r="CF99" s="120">
        <v>1.0</v>
      </c>
      <c r="CG99" s="122"/>
      <c r="CH99" s="122"/>
      <c r="CI99" s="122"/>
      <c r="CJ99" s="122"/>
      <c r="CK99" s="120">
        <v>1.0</v>
      </c>
      <c r="CL99" s="122"/>
      <c r="CM99" s="122"/>
      <c r="CN99" s="120">
        <v>2.0</v>
      </c>
      <c r="CO99" s="116">
        <v>2.0</v>
      </c>
      <c r="CP99" s="120">
        <v>5.0</v>
      </c>
      <c r="CQ99" s="120">
        <v>6.0</v>
      </c>
      <c r="CR99" s="120">
        <v>10.0</v>
      </c>
      <c r="CS99" s="120">
        <v>3.0</v>
      </c>
      <c r="CT99" s="120">
        <v>3.0</v>
      </c>
      <c r="CU99" s="119"/>
      <c r="CV99" s="120">
        <v>4.0</v>
      </c>
      <c r="CW99" s="120">
        <v>4.0</v>
      </c>
      <c r="CX99" s="140">
        <v>2.0</v>
      </c>
    </row>
    <row r="100" ht="35.25" customHeight="1">
      <c r="B100" s="124">
        <v>45879.0</v>
      </c>
      <c r="C100" s="121"/>
      <c r="D100" s="122"/>
      <c r="E100" s="122"/>
      <c r="F100" s="122"/>
      <c r="G100" s="122"/>
      <c r="H100" s="122"/>
      <c r="I100" s="122"/>
      <c r="J100" s="122"/>
      <c r="K100" s="122"/>
      <c r="L100" s="136"/>
      <c r="M100" s="113"/>
      <c r="N100" s="121"/>
      <c r="O100" s="122"/>
      <c r="P100" s="120">
        <v>1.0</v>
      </c>
      <c r="Q100" s="122"/>
      <c r="R100" s="122"/>
      <c r="S100" s="122"/>
      <c r="T100" s="122"/>
      <c r="U100" s="122"/>
      <c r="V100" s="122"/>
      <c r="W100" s="113"/>
      <c r="X100" s="122"/>
      <c r="Y100" s="122"/>
      <c r="Z100" s="122"/>
      <c r="AA100" s="122"/>
      <c r="AB100" s="122"/>
      <c r="AC100" s="122"/>
      <c r="AD100" s="122"/>
      <c r="AE100" s="122"/>
      <c r="AF100" s="122"/>
      <c r="AG100" s="113"/>
      <c r="AH100" s="122"/>
      <c r="AI100" s="122"/>
      <c r="AJ100" s="122"/>
      <c r="AK100" s="122"/>
      <c r="AL100" s="122"/>
      <c r="AM100" s="122"/>
      <c r="AN100" s="122"/>
      <c r="AO100" s="122"/>
      <c r="AP100" s="122"/>
      <c r="AQ100" s="113"/>
      <c r="AR100" s="122"/>
      <c r="AS100" s="122"/>
      <c r="AT100" s="122"/>
      <c r="AU100" s="122"/>
      <c r="AV100" s="122"/>
      <c r="AW100" s="122"/>
      <c r="AX100" s="122"/>
      <c r="AY100" s="122"/>
      <c r="AZ100" s="122"/>
      <c r="BA100" s="113"/>
      <c r="BB100" s="122"/>
      <c r="BC100" s="122"/>
      <c r="BD100" s="122"/>
      <c r="BE100" s="122"/>
      <c r="BF100" s="122"/>
      <c r="BG100" s="122"/>
      <c r="BH100" s="122"/>
      <c r="BI100" s="122"/>
      <c r="BJ100" s="122"/>
      <c r="BK100" s="113"/>
      <c r="BL100" s="122"/>
      <c r="BM100" s="122"/>
      <c r="BN100" s="122"/>
      <c r="BO100" s="122"/>
      <c r="BP100" s="122"/>
      <c r="BQ100" s="122"/>
      <c r="BR100" s="122"/>
      <c r="BS100" s="122"/>
      <c r="BT100" s="122"/>
      <c r="BU100" s="113"/>
      <c r="BV100" s="122"/>
      <c r="BW100" s="122"/>
      <c r="BX100" s="122"/>
      <c r="BY100" s="122"/>
      <c r="BZ100" s="122"/>
      <c r="CA100" s="122"/>
      <c r="CB100" s="122"/>
      <c r="CC100" s="122"/>
      <c r="CD100" s="122"/>
      <c r="CE100" s="113"/>
      <c r="CF100" s="122"/>
      <c r="CG100" s="122"/>
      <c r="CH100" s="122"/>
      <c r="CI100" s="122"/>
      <c r="CJ100" s="122"/>
      <c r="CK100" s="122"/>
      <c r="CL100" s="122"/>
      <c r="CM100" s="122"/>
      <c r="CN100" s="122"/>
      <c r="CO100" s="116">
        <v>3.0</v>
      </c>
      <c r="CP100" s="120">
        <v>4.0</v>
      </c>
      <c r="CQ100" s="120">
        <v>6.0</v>
      </c>
      <c r="CR100" s="120">
        <v>4.0</v>
      </c>
      <c r="CS100" s="120">
        <v>9.0</v>
      </c>
      <c r="CT100" s="120">
        <v>6.0</v>
      </c>
      <c r="CU100" s="120">
        <v>4.0</v>
      </c>
      <c r="CV100" s="119"/>
      <c r="CW100" s="120">
        <v>3.0</v>
      </c>
      <c r="CX100" s="140">
        <v>5.0</v>
      </c>
    </row>
    <row r="101" ht="35.25" customHeight="1">
      <c r="B101" s="124">
        <v>45910.0</v>
      </c>
      <c r="C101" s="121"/>
      <c r="D101" s="122"/>
      <c r="E101" s="122"/>
      <c r="F101" s="122"/>
      <c r="G101" s="122"/>
      <c r="H101" s="122"/>
      <c r="I101" s="122"/>
      <c r="J101" s="122"/>
      <c r="K101" s="122"/>
      <c r="L101" s="136"/>
      <c r="M101" s="113"/>
      <c r="N101" s="121"/>
      <c r="O101" s="122"/>
      <c r="P101" s="122"/>
      <c r="Q101" s="122"/>
      <c r="R101" s="122"/>
      <c r="S101" s="122"/>
      <c r="T101" s="122"/>
      <c r="U101" s="122"/>
      <c r="V101" s="122"/>
      <c r="W101" s="113"/>
      <c r="X101" s="122"/>
      <c r="Y101" s="120">
        <v>1.0</v>
      </c>
      <c r="Z101" s="120">
        <v>1.0</v>
      </c>
      <c r="AA101" s="122"/>
      <c r="AB101" s="122"/>
      <c r="AC101" s="120">
        <v>1.0</v>
      </c>
      <c r="AD101" s="122"/>
      <c r="AE101" s="120">
        <v>1.0</v>
      </c>
      <c r="AF101" s="122"/>
      <c r="AG101" s="113"/>
      <c r="AH101" s="122"/>
      <c r="AI101" s="120">
        <v>1.0</v>
      </c>
      <c r="AJ101" s="122"/>
      <c r="AK101" s="122"/>
      <c r="AL101" s="122"/>
      <c r="AM101" s="122"/>
      <c r="AN101" s="122"/>
      <c r="AO101" s="122"/>
      <c r="AP101" s="122"/>
      <c r="AQ101" s="113"/>
      <c r="AR101" s="122"/>
      <c r="AS101" s="122"/>
      <c r="AT101" s="122"/>
      <c r="AU101" s="122"/>
      <c r="AV101" s="122"/>
      <c r="AW101" s="122"/>
      <c r="AX101" s="122"/>
      <c r="AY101" s="122"/>
      <c r="AZ101" s="122"/>
      <c r="BA101" s="113"/>
      <c r="BB101" s="122"/>
      <c r="BC101" s="122"/>
      <c r="BD101" s="122"/>
      <c r="BE101" s="122"/>
      <c r="BF101" s="122"/>
      <c r="BG101" s="122"/>
      <c r="BH101" s="122"/>
      <c r="BI101" s="122"/>
      <c r="BJ101" s="122"/>
      <c r="BK101" s="113"/>
      <c r="BL101" s="122"/>
      <c r="BM101" s="122"/>
      <c r="BN101" s="122"/>
      <c r="BO101" s="122"/>
      <c r="BP101" s="122"/>
      <c r="BQ101" s="122"/>
      <c r="BR101" s="122"/>
      <c r="BS101" s="122"/>
      <c r="BT101" s="122"/>
      <c r="BU101" s="113"/>
      <c r="BV101" s="122"/>
      <c r="BW101" s="122"/>
      <c r="BX101" s="122"/>
      <c r="BY101" s="122"/>
      <c r="BZ101" s="122"/>
      <c r="CA101" s="122"/>
      <c r="CB101" s="122"/>
      <c r="CC101" s="122"/>
      <c r="CD101" s="122"/>
      <c r="CE101" s="113"/>
      <c r="CF101" s="122"/>
      <c r="CG101" s="122"/>
      <c r="CH101" s="122"/>
      <c r="CI101" s="122"/>
      <c r="CJ101" s="122"/>
      <c r="CK101" s="122"/>
      <c r="CL101" s="122"/>
      <c r="CM101" s="122"/>
      <c r="CN101" s="122"/>
      <c r="CO101" s="116">
        <v>8.0</v>
      </c>
      <c r="CP101" s="120">
        <v>4.0</v>
      </c>
      <c r="CQ101" s="120">
        <v>4.0</v>
      </c>
      <c r="CR101" s="120">
        <v>6.0</v>
      </c>
      <c r="CS101" s="120">
        <v>5.0</v>
      </c>
      <c r="CT101" s="120">
        <v>3.0</v>
      </c>
      <c r="CU101" s="120">
        <v>4.0</v>
      </c>
      <c r="CV101" s="120">
        <v>3.0</v>
      </c>
      <c r="CW101" s="119"/>
      <c r="CX101" s="140">
        <v>6.0</v>
      </c>
    </row>
    <row r="102" ht="35.25" customHeight="1">
      <c r="A102" s="125"/>
      <c r="B102" s="126">
        <v>45940.0</v>
      </c>
      <c r="C102" s="131"/>
      <c r="D102" s="132"/>
      <c r="E102" s="132"/>
      <c r="F102" s="132"/>
      <c r="G102" s="132"/>
      <c r="H102" s="132"/>
      <c r="I102" s="132"/>
      <c r="J102" s="132"/>
      <c r="K102" s="132"/>
      <c r="L102" s="137"/>
      <c r="M102" s="130"/>
      <c r="N102" s="131"/>
      <c r="O102" s="132"/>
      <c r="P102" s="128">
        <v>1.0</v>
      </c>
      <c r="Q102" s="132"/>
      <c r="R102" s="132"/>
      <c r="S102" s="132"/>
      <c r="T102" s="132"/>
      <c r="U102" s="132"/>
      <c r="V102" s="132"/>
      <c r="W102" s="130"/>
      <c r="X102" s="132"/>
      <c r="Y102" s="132"/>
      <c r="Z102" s="132"/>
      <c r="AA102" s="132"/>
      <c r="AB102" s="132"/>
      <c r="AC102" s="132"/>
      <c r="AD102" s="132"/>
      <c r="AE102" s="132"/>
      <c r="AF102" s="132"/>
      <c r="AG102" s="130"/>
      <c r="AH102" s="132"/>
      <c r="AI102" s="132"/>
      <c r="AJ102" s="128">
        <v>1.0</v>
      </c>
      <c r="AK102" s="132"/>
      <c r="AL102" s="132"/>
      <c r="AM102" s="132"/>
      <c r="AN102" s="128">
        <v>1.0</v>
      </c>
      <c r="AO102" s="132"/>
      <c r="AP102" s="132"/>
      <c r="AQ102" s="130"/>
      <c r="AR102" s="132"/>
      <c r="AS102" s="132"/>
      <c r="AT102" s="128">
        <v>1.0</v>
      </c>
      <c r="AU102" s="132"/>
      <c r="AV102" s="132"/>
      <c r="AW102" s="128">
        <v>1.0</v>
      </c>
      <c r="AX102" s="132"/>
      <c r="AY102" s="132"/>
      <c r="AZ102" s="128">
        <v>2.0</v>
      </c>
      <c r="BA102" s="130"/>
      <c r="BB102" s="132"/>
      <c r="BC102" s="132"/>
      <c r="BD102" s="132"/>
      <c r="BE102" s="132"/>
      <c r="BF102" s="132"/>
      <c r="BG102" s="132"/>
      <c r="BH102" s="132"/>
      <c r="BI102" s="132"/>
      <c r="BJ102" s="132"/>
      <c r="BK102" s="130"/>
      <c r="BL102" s="132"/>
      <c r="BM102" s="132"/>
      <c r="BN102" s="132"/>
      <c r="BO102" s="132"/>
      <c r="BP102" s="132"/>
      <c r="BQ102" s="132"/>
      <c r="BR102" s="132"/>
      <c r="BS102" s="132"/>
      <c r="BT102" s="132"/>
      <c r="BU102" s="130"/>
      <c r="BV102" s="132"/>
      <c r="BW102" s="132"/>
      <c r="BX102" s="132"/>
      <c r="BY102" s="132"/>
      <c r="BZ102" s="132"/>
      <c r="CA102" s="132"/>
      <c r="CB102" s="132"/>
      <c r="CC102" s="132"/>
      <c r="CD102" s="132"/>
      <c r="CE102" s="130"/>
      <c r="CF102" s="132"/>
      <c r="CG102" s="128">
        <v>1.0</v>
      </c>
      <c r="CH102" s="132"/>
      <c r="CI102" s="132"/>
      <c r="CJ102" s="132"/>
      <c r="CK102" s="132"/>
      <c r="CL102" s="132"/>
      <c r="CM102" s="132"/>
      <c r="CN102" s="128">
        <v>1.0</v>
      </c>
      <c r="CO102" s="127">
        <v>4.0</v>
      </c>
      <c r="CP102" s="128">
        <v>4.0</v>
      </c>
      <c r="CQ102" s="128">
        <v>6.0</v>
      </c>
      <c r="CR102" s="128">
        <v>3.0</v>
      </c>
      <c r="CS102" s="128">
        <v>4.0</v>
      </c>
      <c r="CT102" s="128">
        <v>4.0</v>
      </c>
      <c r="CU102" s="128">
        <v>2.0</v>
      </c>
      <c r="CV102" s="128">
        <v>5.0</v>
      </c>
      <c r="CW102" s="128">
        <v>6.0</v>
      </c>
      <c r="CX102" s="149"/>
    </row>
    <row r="103" ht="33.75" customHeight="1">
      <c r="B103" s="74"/>
    </row>
    <row r="104">
      <c r="B104" s="74"/>
    </row>
    <row r="105" hidden="1">
      <c r="B105" s="74"/>
      <c r="M105" s="150"/>
    </row>
    <row r="106" hidden="1">
      <c r="B106" s="74"/>
      <c r="M106" s="150"/>
    </row>
    <row r="107" hidden="1">
      <c r="B107" s="74"/>
      <c r="M107" s="150"/>
    </row>
    <row r="108" hidden="1">
      <c r="B108" s="74"/>
      <c r="M108" s="150"/>
    </row>
    <row r="109" hidden="1">
      <c r="B109" s="74"/>
      <c r="M109" s="150"/>
    </row>
    <row r="110" hidden="1">
      <c r="B110" s="74"/>
      <c r="M110" s="150"/>
    </row>
    <row r="111" hidden="1">
      <c r="B111" s="74"/>
      <c r="M111" s="150"/>
    </row>
    <row r="112" hidden="1">
      <c r="B112" s="74"/>
      <c r="M112" s="150"/>
    </row>
    <row r="113" hidden="1">
      <c r="B113" s="74"/>
      <c r="M113" s="150"/>
    </row>
    <row r="114" hidden="1">
      <c r="B114" s="74"/>
      <c r="M114" s="150"/>
    </row>
    <row r="115" hidden="1">
      <c r="B115" s="74"/>
      <c r="M115" s="150"/>
    </row>
    <row r="116" hidden="1">
      <c r="B116" s="74"/>
      <c r="M116" s="150"/>
    </row>
    <row r="117" hidden="1">
      <c r="B117" s="74"/>
      <c r="M117" s="150"/>
    </row>
    <row r="118" hidden="1">
      <c r="B118" s="74"/>
      <c r="M118" s="150"/>
    </row>
    <row r="119" hidden="1">
      <c r="B119" s="74"/>
      <c r="M119" s="150"/>
    </row>
    <row r="120" hidden="1">
      <c r="B120" s="74"/>
      <c r="M120" s="150"/>
    </row>
    <row r="121" hidden="1">
      <c r="B121" s="74"/>
      <c r="M121" s="150"/>
    </row>
    <row r="122" hidden="1">
      <c r="B122" s="74"/>
      <c r="M122" s="150"/>
    </row>
    <row r="123" hidden="1">
      <c r="B123" s="74"/>
      <c r="M123" s="150"/>
    </row>
    <row r="124" hidden="1">
      <c r="B124" s="74"/>
      <c r="M124" s="150"/>
    </row>
    <row r="125" hidden="1">
      <c r="B125" s="74"/>
      <c r="M125" s="150"/>
    </row>
    <row r="126" hidden="1">
      <c r="B126" s="74"/>
      <c r="M126" s="150"/>
    </row>
    <row r="127" hidden="1">
      <c r="B127" s="74"/>
      <c r="M127" s="150"/>
    </row>
    <row r="128" hidden="1">
      <c r="B128" s="74"/>
      <c r="M128" s="150"/>
    </row>
    <row r="129" hidden="1">
      <c r="B129" s="74"/>
      <c r="M129" s="150"/>
    </row>
    <row r="130" hidden="1">
      <c r="B130" s="74"/>
      <c r="M130" s="150"/>
    </row>
    <row r="131" hidden="1">
      <c r="B131" s="74"/>
      <c r="M131" s="150"/>
    </row>
    <row r="132" hidden="1">
      <c r="B132" s="74"/>
      <c r="M132" s="150"/>
    </row>
    <row r="133" hidden="1">
      <c r="B133" s="74"/>
      <c r="M133" s="150"/>
    </row>
    <row r="134" hidden="1">
      <c r="B134" s="74"/>
      <c r="M134" s="150"/>
    </row>
    <row r="135" hidden="1">
      <c r="B135" s="74"/>
      <c r="M135" s="150"/>
    </row>
    <row r="136" hidden="1">
      <c r="B136" s="74"/>
      <c r="M136" s="150"/>
    </row>
    <row r="137" hidden="1">
      <c r="B137" s="74"/>
      <c r="M137" s="150"/>
    </row>
    <row r="138" hidden="1">
      <c r="B138" s="74"/>
      <c r="M138" s="150"/>
    </row>
    <row r="139" hidden="1">
      <c r="B139" s="74"/>
      <c r="M139" s="150"/>
    </row>
    <row r="140" hidden="1">
      <c r="B140" s="74"/>
      <c r="M140" s="150"/>
    </row>
    <row r="141" hidden="1">
      <c r="B141" s="74"/>
      <c r="M141" s="150"/>
    </row>
    <row r="142" hidden="1">
      <c r="B142" s="74"/>
      <c r="M142" s="150"/>
    </row>
    <row r="143" hidden="1">
      <c r="B143" s="74"/>
      <c r="M143" s="150"/>
    </row>
    <row r="144" hidden="1">
      <c r="B144" s="74"/>
      <c r="M144" s="150"/>
    </row>
    <row r="145" hidden="1">
      <c r="B145" s="74"/>
      <c r="M145" s="150"/>
    </row>
    <row r="146" hidden="1">
      <c r="B146" s="74"/>
      <c r="M146" s="150"/>
    </row>
    <row r="147" hidden="1">
      <c r="B147" s="74"/>
      <c r="M147" s="150"/>
    </row>
    <row r="148" hidden="1">
      <c r="B148" s="74"/>
      <c r="M148" s="150"/>
    </row>
    <row r="149" hidden="1">
      <c r="B149" s="74"/>
      <c r="M149" s="150"/>
    </row>
    <row r="150" hidden="1">
      <c r="B150" s="74"/>
      <c r="M150" s="150"/>
    </row>
    <row r="151" hidden="1">
      <c r="B151" s="74"/>
      <c r="M151" s="150"/>
    </row>
    <row r="152" hidden="1">
      <c r="B152" s="74"/>
      <c r="M152" s="150"/>
    </row>
    <row r="153" hidden="1">
      <c r="B153" s="74"/>
      <c r="M153" s="150"/>
    </row>
    <row r="154" hidden="1">
      <c r="B154" s="74"/>
      <c r="M154" s="150"/>
    </row>
    <row r="155" hidden="1">
      <c r="B155" s="74"/>
      <c r="M155" s="150"/>
    </row>
    <row r="156" hidden="1">
      <c r="B156" s="74"/>
      <c r="M156" s="150"/>
    </row>
    <row r="157" hidden="1">
      <c r="B157" s="74"/>
      <c r="M157" s="150"/>
    </row>
    <row r="158" hidden="1">
      <c r="B158" s="74"/>
      <c r="M158" s="150"/>
    </row>
    <row r="159" hidden="1">
      <c r="B159" s="74"/>
      <c r="M159" s="150"/>
    </row>
    <row r="160" hidden="1">
      <c r="B160" s="74"/>
      <c r="M160" s="150"/>
    </row>
    <row r="161" hidden="1">
      <c r="B161" s="74"/>
      <c r="M161" s="150"/>
    </row>
    <row r="162" hidden="1">
      <c r="B162" s="74"/>
      <c r="M162" s="150"/>
    </row>
    <row r="163" hidden="1">
      <c r="B163" s="74"/>
      <c r="M163" s="150"/>
    </row>
    <row r="164" hidden="1">
      <c r="B164" s="74"/>
      <c r="M164" s="150"/>
    </row>
    <row r="165" hidden="1">
      <c r="B165" s="74"/>
      <c r="M165" s="150"/>
    </row>
    <row r="166" hidden="1">
      <c r="B166" s="74"/>
      <c r="M166" s="150"/>
    </row>
    <row r="167" hidden="1">
      <c r="B167" s="74"/>
      <c r="M167" s="150"/>
    </row>
    <row r="168" hidden="1">
      <c r="B168" s="74"/>
      <c r="M168" s="150"/>
    </row>
    <row r="169" hidden="1">
      <c r="B169" s="74"/>
      <c r="M169" s="150"/>
    </row>
    <row r="170" hidden="1">
      <c r="B170" s="74"/>
      <c r="M170" s="150"/>
    </row>
    <row r="171" hidden="1">
      <c r="B171" s="74"/>
      <c r="M171" s="150"/>
    </row>
    <row r="172" hidden="1">
      <c r="B172" s="74"/>
      <c r="M172" s="150"/>
    </row>
    <row r="173" hidden="1">
      <c r="B173" s="74"/>
      <c r="M173" s="150"/>
    </row>
    <row r="174" hidden="1">
      <c r="B174" s="74"/>
      <c r="M174" s="150"/>
    </row>
    <row r="175" hidden="1">
      <c r="B175" s="74"/>
      <c r="M175" s="150"/>
    </row>
    <row r="176" hidden="1">
      <c r="B176" s="74"/>
      <c r="M176" s="150"/>
    </row>
    <row r="177" hidden="1">
      <c r="B177" s="74"/>
      <c r="M177" s="150"/>
    </row>
    <row r="178" hidden="1">
      <c r="B178" s="74"/>
      <c r="M178" s="150"/>
    </row>
    <row r="179" hidden="1">
      <c r="B179" s="74"/>
      <c r="M179" s="150"/>
    </row>
    <row r="180" hidden="1">
      <c r="B180" s="74"/>
      <c r="M180" s="150"/>
    </row>
    <row r="181" hidden="1">
      <c r="B181" s="74"/>
      <c r="M181" s="150"/>
    </row>
    <row r="182" hidden="1">
      <c r="B182" s="74"/>
      <c r="M182" s="150"/>
    </row>
    <row r="183" hidden="1">
      <c r="B183" s="74"/>
      <c r="M183" s="150"/>
    </row>
    <row r="184" hidden="1">
      <c r="B184" s="74"/>
      <c r="M184" s="150"/>
    </row>
    <row r="185" hidden="1">
      <c r="B185" s="74"/>
      <c r="M185" s="150"/>
    </row>
    <row r="186" hidden="1">
      <c r="B186" s="74"/>
      <c r="M186" s="150"/>
    </row>
    <row r="187" hidden="1">
      <c r="B187" s="74"/>
      <c r="M187" s="150"/>
    </row>
    <row r="188" hidden="1">
      <c r="B188" s="74"/>
      <c r="M188" s="150"/>
    </row>
    <row r="189" hidden="1">
      <c r="B189" s="74"/>
      <c r="M189" s="150"/>
    </row>
    <row r="190" hidden="1">
      <c r="B190" s="74"/>
      <c r="M190" s="150"/>
    </row>
    <row r="191" hidden="1">
      <c r="B191" s="74"/>
      <c r="M191" s="150"/>
    </row>
    <row r="192" hidden="1">
      <c r="B192" s="74"/>
      <c r="M192" s="150"/>
    </row>
    <row r="193" hidden="1">
      <c r="B193" s="74"/>
      <c r="M193" s="150"/>
    </row>
    <row r="194" hidden="1">
      <c r="B194" s="74"/>
      <c r="M194" s="150"/>
    </row>
    <row r="195" hidden="1">
      <c r="B195" s="74"/>
      <c r="M195" s="150"/>
    </row>
    <row r="196" hidden="1">
      <c r="B196" s="74"/>
      <c r="M196" s="150"/>
    </row>
    <row r="197" hidden="1">
      <c r="B197" s="74"/>
      <c r="M197" s="150"/>
    </row>
    <row r="198" hidden="1">
      <c r="B198" s="74"/>
      <c r="M198" s="150"/>
    </row>
    <row r="199" hidden="1">
      <c r="B199" s="74"/>
      <c r="M199" s="150"/>
    </row>
    <row r="200" hidden="1">
      <c r="B200" s="74"/>
      <c r="M200" s="150"/>
    </row>
    <row r="201" hidden="1">
      <c r="B201" s="74"/>
      <c r="M201" s="150"/>
    </row>
    <row r="202" hidden="1">
      <c r="B202" s="74"/>
      <c r="M202" s="150"/>
    </row>
    <row r="203" hidden="1">
      <c r="B203" s="74"/>
      <c r="M203" s="150"/>
    </row>
    <row r="204" hidden="1">
      <c r="B204" s="74"/>
      <c r="M204" s="150"/>
    </row>
    <row r="205" hidden="1">
      <c r="B205" s="74"/>
      <c r="M205" s="150"/>
    </row>
    <row r="206" hidden="1">
      <c r="B206" s="74"/>
      <c r="M206" s="150"/>
    </row>
    <row r="207" hidden="1">
      <c r="B207" s="74"/>
      <c r="M207" s="150"/>
    </row>
    <row r="208" hidden="1">
      <c r="B208" s="74"/>
      <c r="M208" s="150"/>
    </row>
    <row r="209" hidden="1">
      <c r="B209" s="74"/>
      <c r="M209" s="150"/>
    </row>
    <row r="210" hidden="1">
      <c r="B210" s="74"/>
      <c r="M210" s="150"/>
    </row>
    <row r="211" hidden="1">
      <c r="B211" s="74"/>
      <c r="M211" s="150"/>
    </row>
    <row r="212" hidden="1">
      <c r="B212" s="74"/>
      <c r="M212" s="150"/>
    </row>
    <row r="213" hidden="1">
      <c r="B213" s="74"/>
      <c r="M213" s="150"/>
    </row>
    <row r="214" hidden="1">
      <c r="B214" s="74"/>
      <c r="M214" s="150"/>
    </row>
    <row r="215" hidden="1">
      <c r="B215" s="74"/>
      <c r="M215" s="150"/>
    </row>
    <row r="216" hidden="1">
      <c r="B216" s="74"/>
      <c r="M216" s="150"/>
    </row>
    <row r="217" hidden="1">
      <c r="B217" s="74"/>
      <c r="M217" s="150"/>
    </row>
    <row r="218" hidden="1">
      <c r="B218" s="74"/>
      <c r="M218" s="150"/>
    </row>
    <row r="219" hidden="1">
      <c r="B219" s="74"/>
      <c r="M219" s="150"/>
    </row>
    <row r="220" hidden="1">
      <c r="B220" s="74"/>
      <c r="M220" s="150"/>
    </row>
    <row r="221" hidden="1">
      <c r="B221" s="74"/>
      <c r="M221" s="150"/>
    </row>
    <row r="222" hidden="1">
      <c r="B222" s="74"/>
      <c r="M222" s="150"/>
    </row>
    <row r="223" hidden="1">
      <c r="B223" s="74"/>
      <c r="M223" s="150"/>
    </row>
    <row r="224" hidden="1">
      <c r="B224" s="74"/>
      <c r="M224" s="150"/>
    </row>
    <row r="225" hidden="1">
      <c r="B225" s="74"/>
      <c r="M225" s="150"/>
    </row>
    <row r="226" hidden="1">
      <c r="B226" s="74"/>
      <c r="M226" s="150"/>
    </row>
    <row r="227" hidden="1">
      <c r="B227" s="74"/>
      <c r="M227" s="150"/>
    </row>
    <row r="228" hidden="1">
      <c r="B228" s="74"/>
      <c r="M228" s="150"/>
    </row>
    <row r="229" hidden="1">
      <c r="B229" s="74"/>
      <c r="M229" s="150"/>
    </row>
    <row r="230" hidden="1">
      <c r="B230" s="74"/>
      <c r="M230" s="150"/>
    </row>
    <row r="231" hidden="1">
      <c r="B231" s="74"/>
      <c r="M231" s="150"/>
    </row>
    <row r="232" hidden="1">
      <c r="B232" s="74"/>
      <c r="M232" s="150"/>
    </row>
    <row r="233" hidden="1">
      <c r="B233" s="74"/>
      <c r="M233" s="150"/>
    </row>
    <row r="234" hidden="1">
      <c r="B234" s="74"/>
      <c r="M234" s="150"/>
    </row>
    <row r="235" hidden="1">
      <c r="B235" s="74"/>
      <c r="M235" s="150"/>
    </row>
    <row r="236" hidden="1">
      <c r="B236" s="74"/>
      <c r="M236" s="150"/>
    </row>
    <row r="237" hidden="1">
      <c r="B237" s="74"/>
      <c r="M237" s="150"/>
    </row>
    <row r="238" hidden="1">
      <c r="B238" s="74"/>
      <c r="M238" s="150"/>
    </row>
    <row r="239" hidden="1">
      <c r="B239" s="74"/>
      <c r="M239" s="150"/>
    </row>
    <row r="240" hidden="1">
      <c r="B240" s="74"/>
      <c r="M240" s="150"/>
    </row>
    <row r="241" hidden="1">
      <c r="B241" s="74"/>
      <c r="M241" s="150"/>
    </row>
    <row r="242" hidden="1">
      <c r="B242" s="74"/>
      <c r="M242" s="150"/>
    </row>
    <row r="243" hidden="1">
      <c r="B243" s="74"/>
      <c r="M243" s="150"/>
    </row>
    <row r="244" hidden="1">
      <c r="B244" s="74"/>
      <c r="M244" s="150"/>
    </row>
    <row r="245" hidden="1">
      <c r="B245" s="74"/>
      <c r="M245" s="150"/>
    </row>
    <row r="246" hidden="1">
      <c r="B246" s="74"/>
      <c r="M246" s="150"/>
    </row>
    <row r="247" hidden="1">
      <c r="B247" s="74"/>
      <c r="M247" s="150"/>
    </row>
    <row r="248" hidden="1">
      <c r="B248" s="74"/>
      <c r="M248" s="150"/>
    </row>
    <row r="249" hidden="1">
      <c r="B249" s="74"/>
      <c r="M249" s="150"/>
    </row>
    <row r="250" hidden="1">
      <c r="B250" s="74"/>
      <c r="M250" s="150"/>
    </row>
    <row r="251" hidden="1">
      <c r="B251" s="74"/>
      <c r="M251" s="150"/>
    </row>
    <row r="252" hidden="1">
      <c r="B252" s="74"/>
      <c r="M252" s="150"/>
    </row>
    <row r="253" hidden="1">
      <c r="B253" s="74"/>
      <c r="M253" s="150"/>
    </row>
    <row r="254" hidden="1">
      <c r="B254" s="74"/>
      <c r="M254" s="150"/>
    </row>
    <row r="255" hidden="1">
      <c r="B255" s="74"/>
      <c r="M255" s="150"/>
    </row>
    <row r="256" hidden="1">
      <c r="B256" s="74"/>
      <c r="M256" s="150"/>
    </row>
    <row r="257" hidden="1">
      <c r="B257" s="74"/>
      <c r="M257" s="150"/>
    </row>
    <row r="258" hidden="1">
      <c r="B258" s="74"/>
      <c r="M258" s="150"/>
    </row>
    <row r="259" hidden="1">
      <c r="B259" s="74"/>
      <c r="M259" s="150"/>
    </row>
    <row r="260" hidden="1">
      <c r="B260" s="74"/>
      <c r="M260" s="150"/>
    </row>
    <row r="261" hidden="1">
      <c r="B261" s="74"/>
      <c r="M261" s="150"/>
    </row>
    <row r="262" hidden="1">
      <c r="B262" s="74"/>
      <c r="M262" s="150"/>
    </row>
    <row r="263" hidden="1">
      <c r="B263" s="74"/>
      <c r="M263" s="150"/>
    </row>
    <row r="264" hidden="1">
      <c r="B264" s="74"/>
      <c r="M264" s="150"/>
    </row>
    <row r="265" hidden="1">
      <c r="B265" s="74"/>
      <c r="M265" s="150"/>
    </row>
    <row r="266" hidden="1">
      <c r="B266" s="74"/>
      <c r="M266" s="150"/>
    </row>
    <row r="267" hidden="1">
      <c r="B267" s="74"/>
      <c r="M267" s="150"/>
    </row>
    <row r="268" hidden="1">
      <c r="B268" s="74"/>
      <c r="M268" s="150"/>
    </row>
    <row r="269" hidden="1">
      <c r="B269" s="74"/>
      <c r="M269" s="150"/>
    </row>
    <row r="270" hidden="1">
      <c r="B270" s="74"/>
      <c r="M270" s="150"/>
    </row>
    <row r="271" hidden="1">
      <c r="B271" s="74"/>
      <c r="M271" s="150"/>
    </row>
    <row r="272" hidden="1">
      <c r="B272" s="74"/>
      <c r="M272" s="150"/>
    </row>
    <row r="273" hidden="1">
      <c r="B273" s="74"/>
      <c r="M273" s="150"/>
    </row>
    <row r="274" hidden="1">
      <c r="B274" s="74"/>
      <c r="M274" s="150"/>
    </row>
    <row r="275" hidden="1">
      <c r="B275" s="74"/>
      <c r="M275" s="150"/>
    </row>
    <row r="276" hidden="1">
      <c r="B276" s="74"/>
      <c r="M276" s="150"/>
    </row>
    <row r="277" hidden="1">
      <c r="B277" s="74"/>
      <c r="M277" s="150"/>
    </row>
    <row r="278" hidden="1">
      <c r="B278" s="74"/>
      <c r="M278" s="150"/>
    </row>
    <row r="279" hidden="1">
      <c r="B279" s="74"/>
      <c r="M279" s="150"/>
    </row>
    <row r="280" hidden="1">
      <c r="B280" s="74"/>
      <c r="M280" s="150"/>
    </row>
    <row r="281" hidden="1">
      <c r="B281" s="74"/>
      <c r="M281" s="150"/>
    </row>
    <row r="282" hidden="1">
      <c r="B282" s="74"/>
      <c r="M282" s="150"/>
    </row>
    <row r="283" hidden="1">
      <c r="B283" s="74"/>
      <c r="M283" s="150"/>
    </row>
    <row r="284" hidden="1">
      <c r="B284" s="74"/>
      <c r="M284" s="150"/>
    </row>
    <row r="285" hidden="1">
      <c r="B285" s="74"/>
      <c r="M285" s="150"/>
    </row>
    <row r="286" hidden="1">
      <c r="B286" s="74"/>
      <c r="M286" s="150"/>
    </row>
    <row r="287" hidden="1">
      <c r="B287" s="74"/>
      <c r="M287" s="150"/>
    </row>
    <row r="288" hidden="1">
      <c r="B288" s="74"/>
      <c r="M288" s="150"/>
    </row>
    <row r="289" hidden="1">
      <c r="B289" s="74"/>
      <c r="M289" s="150"/>
    </row>
    <row r="290" hidden="1">
      <c r="B290" s="74"/>
      <c r="M290" s="150"/>
    </row>
    <row r="291" hidden="1">
      <c r="B291" s="74"/>
      <c r="M291" s="150"/>
    </row>
    <row r="292" hidden="1">
      <c r="B292" s="74"/>
      <c r="M292" s="150"/>
    </row>
    <row r="293" hidden="1">
      <c r="B293" s="74"/>
      <c r="M293" s="150"/>
    </row>
    <row r="294" hidden="1">
      <c r="B294" s="74"/>
      <c r="M294" s="150"/>
    </row>
    <row r="295" hidden="1">
      <c r="B295" s="74"/>
      <c r="M295" s="150"/>
    </row>
    <row r="296" hidden="1">
      <c r="B296" s="74"/>
      <c r="M296" s="150"/>
    </row>
    <row r="297" hidden="1">
      <c r="B297" s="74"/>
      <c r="M297" s="150"/>
    </row>
    <row r="298" hidden="1">
      <c r="B298" s="74"/>
      <c r="M298" s="150"/>
    </row>
    <row r="299" hidden="1">
      <c r="B299" s="74"/>
      <c r="M299" s="150"/>
    </row>
    <row r="300" hidden="1">
      <c r="B300" s="74"/>
      <c r="M300" s="150"/>
    </row>
    <row r="301" hidden="1">
      <c r="B301" s="74"/>
      <c r="M301" s="150"/>
    </row>
    <row r="302" hidden="1">
      <c r="B302" s="74"/>
      <c r="M302" s="150"/>
    </row>
    <row r="303" hidden="1">
      <c r="B303" s="74"/>
      <c r="M303" s="150"/>
    </row>
    <row r="304" hidden="1">
      <c r="B304" s="74"/>
      <c r="M304" s="150"/>
    </row>
    <row r="305" hidden="1">
      <c r="B305" s="74"/>
      <c r="M305" s="150"/>
    </row>
    <row r="306" hidden="1">
      <c r="B306" s="74"/>
      <c r="M306" s="150"/>
    </row>
    <row r="307" hidden="1">
      <c r="B307" s="74"/>
      <c r="M307" s="150"/>
    </row>
    <row r="308" hidden="1">
      <c r="B308" s="74"/>
      <c r="M308" s="150"/>
    </row>
    <row r="309" hidden="1">
      <c r="B309" s="74"/>
      <c r="M309" s="150"/>
    </row>
    <row r="310" hidden="1">
      <c r="B310" s="74"/>
      <c r="M310" s="150"/>
    </row>
    <row r="311" hidden="1">
      <c r="B311" s="74"/>
      <c r="M311" s="150"/>
    </row>
    <row r="312" hidden="1">
      <c r="B312" s="74"/>
      <c r="M312" s="150"/>
    </row>
    <row r="313" hidden="1">
      <c r="B313" s="74"/>
      <c r="M313" s="150"/>
    </row>
    <row r="314" hidden="1">
      <c r="B314" s="74"/>
      <c r="M314" s="150"/>
    </row>
    <row r="315" hidden="1">
      <c r="B315" s="74"/>
      <c r="M315" s="150"/>
    </row>
    <row r="316" hidden="1">
      <c r="B316" s="74"/>
      <c r="M316" s="150"/>
    </row>
    <row r="317" hidden="1">
      <c r="B317" s="74"/>
      <c r="M317" s="150"/>
    </row>
    <row r="318" hidden="1">
      <c r="B318" s="74"/>
      <c r="M318" s="150"/>
    </row>
    <row r="319" hidden="1">
      <c r="B319" s="74"/>
      <c r="M319" s="150"/>
    </row>
    <row r="320" hidden="1">
      <c r="B320" s="74"/>
      <c r="M320" s="150"/>
    </row>
    <row r="321" hidden="1">
      <c r="B321" s="74"/>
      <c r="M321" s="150"/>
    </row>
    <row r="322" hidden="1">
      <c r="B322" s="74"/>
      <c r="M322" s="150"/>
    </row>
    <row r="323" hidden="1">
      <c r="B323" s="74"/>
      <c r="M323" s="150"/>
    </row>
    <row r="324" hidden="1">
      <c r="B324" s="74"/>
      <c r="M324" s="150"/>
    </row>
    <row r="325" hidden="1">
      <c r="B325" s="74"/>
      <c r="M325" s="150"/>
    </row>
    <row r="326" hidden="1">
      <c r="B326" s="74"/>
      <c r="M326" s="150"/>
    </row>
    <row r="327" hidden="1">
      <c r="B327" s="74"/>
      <c r="M327" s="150"/>
    </row>
    <row r="328" hidden="1">
      <c r="B328" s="74"/>
      <c r="M328" s="150"/>
    </row>
    <row r="329" hidden="1">
      <c r="B329" s="74"/>
      <c r="M329" s="150"/>
    </row>
    <row r="330" hidden="1">
      <c r="B330" s="74"/>
      <c r="M330" s="150"/>
    </row>
    <row r="331" hidden="1">
      <c r="B331" s="74"/>
      <c r="M331" s="150"/>
    </row>
    <row r="332" hidden="1">
      <c r="B332" s="74"/>
      <c r="M332" s="150"/>
    </row>
    <row r="333" hidden="1">
      <c r="B333" s="74"/>
      <c r="M333" s="150"/>
    </row>
    <row r="334" hidden="1">
      <c r="B334" s="74"/>
      <c r="M334" s="150"/>
    </row>
    <row r="335" hidden="1">
      <c r="B335" s="74"/>
      <c r="M335" s="150"/>
    </row>
    <row r="336" hidden="1">
      <c r="B336" s="74"/>
      <c r="M336" s="150"/>
    </row>
    <row r="337" hidden="1">
      <c r="B337" s="74"/>
      <c r="M337" s="150"/>
    </row>
    <row r="338" hidden="1">
      <c r="B338" s="74"/>
      <c r="M338" s="150"/>
    </row>
    <row r="339" hidden="1">
      <c r="B339" s="74"/>
      <c r="M339" s="150"/>
    </row>
    <row r="340" hidden="1">
      <c r="B340" s="74"/>
      <c r="M340" s="150"/>
    </row>
    <row r="341" hidden="1">
      <c r="B341" s="74"/>
      <c r="M341" s="150"/>
    </row>
    <row r="342" hidden="1">
      <c r="B342" s="74"/>
      <c r="M342" s="150"/>
    </row>
    <row r="343" hidden="1">
      <c r="B343" s="74"/>
      <c r="M343" s="150"/>
    </row>
    <row r="344" hidden="1">
      <c r="B344" s="74"/>
      <c r="M344" s="150"/>
    </row>
    <row r="345" hidden="1">
      <c r="B345" s="74"/>
      <c r="M345" s="150"/>
    </row>
    <row r="346" hidden="1">
      <c r="B346" s="74"/>
      <c r="M346" s="150"/>
    </row>
    <row r="347" hidden="1">
      <c r="B347" s="74"/>
      <c r="M347" s="150"/>
    </row>
    <row r="348" hidden="1">
      <c r="B348" s="74"/>
      <c r="M348" s="150"/>
    </row>
    <row r="349" hidden="1">
      <c r="B349" s="74"/>
      <c r="M349" s="150"/>
    </row>
    <row r="350" hidden="1">
      <c r="B350" s="74"/>
      <c r="M350" s="150"/>
    </row>
    <row r="351" hidden="1">
      <c r="B351" s="74"/>
      <c r="M351" s="150"/>
    </row>
    <row r="352" hidden="1">
      <c r="B352" s="74"/>
      <c r="M352" s="150"/>
    </row>
    <row r="353" hidden="1">
      <c r="B353" s="74"/>
      <c r="M353" s="150"/>
    </row>
    <row r="354" hidden="1">
      <c r="B354" s="74"/>
      <c r="M354" s="150"/>
    </row>
    <row r="355" hidden="1">
      <c r="B355" s="74"/>
      <c r="M355" s="150"/>
    </row>
    <row r="356" hidden="1">
      <c r="B356" s="74"/>
      <c r="M356" s="150"/>
    </row>
    <row r="357" hidden="1">
      <c r="B357" s="74"/>
      <c r="M357" s="150"/>
    </row>
    <row r="358" hidden="1">
      <c r="B358" s="74"/>
      <c r="M358" s="150"/>
    </row>
    <row r="359" hidden="1">
      <c r="B359" s="74"/>
      <c r="M359" s="150"/>
    </row>
    <row r="360" hidden="1">
      <c r="B360" s="74"/>
      <c r="M360" s="150"/>
    </row>
    <row r="361" hidden="1">
      <c r="B361" s="74"/>
      <c r="M361" s="150"/>
    </row>
    <row r="362" hidden="1">
      <c r="B362" s="74"/>
      <c r="M362" s="150"/>
    </row>
    <row r="363" hidden="1">
      <c r="B363" s="74"/>
      <c r="M363" s="150"/>
    </row>
    <row r="364" hidden="1">
      <c r="B364" s="74"/>
      <c r="M364" s="150"/>
    </row>
    <row r="365" hidden="1">
      <c r="B365" s="74"/>
      <c r="M365" s="150"/>
    </row>
    <row r="366" hidden="1">
      <c r="B366" s="74"/>
      <c r="M366" s="150"/>
    </row>
    <row r="367" hidden="1">
      <c r="B367" s="74"/>
      <c r="M367" s="150"/>
    </row>
    <row r="368" hidden="1">
      <c r="B368" s="74"/>
      <c r="M368" s="150"/>
    </row>
    <row r="369" hidden="1">
      <c r="B369" s="74"/>
      <c r="M369" s="150"/>
    </row>
    <row r="370" hidden="1">
      <c r="B370" s="74"/>
      <c r="M370" s="150"/>
    </row>
    <row r="371" hidden="1">
      <c r="B371" s="74"/>
      <c r="M371" s="150"/>
    </row>
    <row r="372" hidden="1">
      <c r="B372" s="74"/>
      <c r="M372" s="150"/>
    </row>
    <row r="373" hidden="1">
      <c r="B373" s="74"/>
      <c r="M373" s="150"/>
    </row>
    <row r="374" hidden="1">
      <c r="B374" s="74"/>
      <c r="M374" s="150"/>
    </row>
    <row r="375" hidden="1">
      <c r="B375" s="74"/>
      <c r="M375" s="150"/>
    </row>
    <row r="376" hidden="1">
      <c r="B376" s="74"/>
      <c r="M376" s="150"/>
    </row>
    <row r="377" hidden="1">
      <c r="B377" s="74"/>
      <c r="M377" s="150"/>
    </row>
    <row r="378" hidden="1">
      <c r="B378" s="74"/>
      <c r="M378" s="150"/>
    </row>
    <row r="379" hidden="1">
      <c r="B379" s="74"/>
      <c r="M379" s="150"/>
    </row>
    <row r="380" hidden="1">
      <c r="B380" s="74"/>
      <c r="M380" s="150"/>
    </row>
    <row r="381" hidden="1">
      <c r="B381" s="74"/>
      <c r="M381" s="150"/>
    </row>
    <row r="382" hidden="1">
      <c r="B382" s="74"/>
      <c r="M382" s="150"/>
    </row>
    <row r="383" hidden="1">
      <c r="B383" s="74"/>
      <c r="M383" s="150"/>
    </row>
    <row r="384" hidden="1">
      <c r="B384" s="74"/>
      <c r="M384" s="150"/>
    </row>
    <row r="385" hidden="1">
      <c r="B385" s="74"/>
      <c r="M385" s="150"/>
    </row>
    <row r="386" hidden="1">
      <c r="B386" s="74"/>
      <c r="M386" s="150"/>
    </row>
    <row r="387" hidden="1">
      <c r="B387" s="74"/>
      <c r="M387" s="150"/>
    </row>
    <row r="388" hidden="1">
      <c r="B388" s="74"/>
      <c r="M388" s="150"/>
    </row>
    <row r="389" hidden="1">
      <c r="B389" s="74"/>
      <c r="M389" s="150"/>
    </row>
    <row r="390" hidden="1">
      <c r="B390" s="74"/>
      <c r="M390" s="150"/>
    </row>
    <row r="391" hidden="1">
      <c r="B391" s="74"/>
      <c r="M391" s="150"/>
    </row>
    <row r="392" hidden="1">
      <c r="B392" s="74"/>
      <c r="M392" s="150"/>
    </row>
    <row r="393" hidden="1">
      <c r="B393" s="74"/>
      <c r="M393" s="150"/>
    </row>
    <row r="394" hidden="1">
      <c r="B394" s="74"/>
      <c r="M394" s="150"/>
    </row>
    <row r="395" hidden="1">
      <c r="B395" s="74"/>
      <c r="M395" s="150"/>
    </row>
    <row r="396" hidden="1">
      <c r="B396" s="74"/>
      <c r="M396" s="150"/>
    </row>
    <row r="397" hidden="1">
      <c r="B397" s="74"/>
      <c r="M397" s="150"/>
    </row>
    <row r="398" hidden="1">
      <c r="B398" s="74"/>
      <c r="M398" s="150"/>
    </row>
    <row r="399" hidden="1">
      <c r="B399" s="74"/>
      <c r="M399" s="150"/>
    </row>
    <row r="400" hidden="1">
      <c r="B400" s="74"/>
      <c r="M400" s="150"/>
    </row>
    <row r="401" hidden="1">
      <c r="B401" s="74"/>
      <c r="M401" s="150"/>
    </row>
    <row r="402" hidden="1">
      <c r="B402" s="74"/>
      <c r="M402" s="150"/>
    </row>
    <row r="403" hidden="1">
      <c r="B403" s="74"/>
      <c r="M403" s="150"/>
    </row>
    <row r="404" hidden="1">
      <c r="B404" s="74"/>
      <c r="M404" s="150"/>
    </row>
    <row r="405" hidden="1">
      <c r="B405" s="74"/>
      <c r="M405" s="150"/>
    </row>
    <row r="406" hidden="1">
      <c r="B406" s="74"/>
      <c r="M406" s="150"/>
    </row>
    <row r="407" hidden="1">
      <c r="B407" s="74"/>
      <c r="M407" s="150"/>
    </row>
    <row r="408" hidden="1">
      <c r="B408" s="74"/>
      <c r="M408" s="150"/>
    </row>
    <row r="409" hidden="1">
      <c r="B409" s="74"/>
      <c r="M409" s="150"/>
    </row>
    <row r="410" hidden="1">
      <c r="B410" s="74"/>
      <c r="M410" s="150"/>
    </row>
    <row r="411" hidden="1">
      <c r="B411" s="74"/>
      <c r="M411" s="150"/>
    </row>
    <row r="412" hidden="1">
      <c r="B412" s="74"/>
      <c r="M412" s="150"/>
    </row>
    <row r="413" hidden="1">
      <c r="B413" s="74"/>
      <c r="M413" s="150"/>
    </row>
    <row r="414" hidden="1">
      <c r="B414" s="74"/>
      <c r="M414" s="150"/>
    </row>
    <row r="415" hidden="1">
      <c r="B415" s="74"/>
      <c r="M415" s="150"/>
    </row>
    <row r="416" hidden="1">
      <c r="B416" s="74"/>
      <c r="M416" s="150"/>
    </row>
    <row r="417" hidden="1">
      <c r="B417" s="74"/>
      <c r="M417" s="150"/>
    </row>
    <row r="418" hidden="1">
      <c r="B418" s="74"/>
      <c r="M418" s="150"/>
    </row>
    <row r="419" hidden="1">
      <c r="B419" s="74"/>
      <c r="M419" s="150"/>
    </row>
    <row r="420" hidden="1">
      <c r="B420" s="74"/>
      <c r="M420" s="150"/>
    </row>
    <row r="421" hidden="1">
      <c r="B421" s="74"/>
      <c r="M421" s="150"/>
    </row>
    <row r="422" hidden="1">
      <c r="B422" s="74"/>
      <c r="M422" s="150"/>
    </row>
    <row r="423" hidden="1">
      <c r="B423" s="74"/>
      <c r="M423" s="150"/>
    </row>
    <row r="424" hidden="1">
      <c r="B424" s="74"/>
      <c r="M424" s="150"/>
    </row>
    <row r="425" hidden="1">
      <c r="B425" s="74"/>
      <c r="M425" s="150"/>
    </row>
    <row r="426" hidden="1">
      <c r="B426" s="74"/>
      <c r="M426" s="150"/>
    </row>
    <row r="427" hidden="1">
      <c r="B427" s="74"/>
      <c r="M427" s="150"/>
    </row>
    <row r="428" hidden="1">
      <c r="B428" s="74"/>
      <c r="M428" s="150"/>
    </row>
    <row r="429" hidden="1">
      <c r="B429" s="74"/>
      <c r="M429" s="150"/>
    </row>
    <row r="430" hidden="1">
      <c r="B430" s="74"/>
      <c r="M430" s="150"/>
    </row>
    <row r="431" hidden="1">
      <c r="B431" s="74"/>
      <c r="M431" s="150"/>
    </row>
    <row r="432" hidden="1">
      <c r="B432" s="74"/>
      <c r="M432" s="150"/>
    </row>
    <row r="433" hidden="1">
      <c r="B433" s="74"/>
      <c r="M433" s="150"/>
    </row>
    <row r="434" hidden="1">
      <c r="B434" s="74"/>
      <c r="M434" s="150"/>
    </row>
    <row r="435" hidden="1">
      <c r="B435" s="74"/>
      <c r="M435" s="150"/>
    </row>
    <row r="436" hidden="1">
      <c r="B436" s="74"/>
      <c r="M436" s="150"/>
    </row>
    <row r="437" hidden="1">
      <c r="B437" s="74"/>
      <c r="M437" s="150"/>
    </row>
    <row r="438" hidden="1">
      <c r="B438" s="74"/>
      <c r="M438" s="150"/>
    </row>
    <row r="439" hidden="1">
      <c r="B439" s="74"/>
      <c r="M439" s="150"/>
    </row>
    <row r="440" hidden="1">
      <c r="B440" s="74"/>
      <c r="M440" s="150"/>
    </row>
    <row r="441" hidden="1">
      <c r="B441" s="74"/>
      <c r="M441" s="150"/>
    </row>
    <row r="442" hidden="1">
      <c r="B442" s="74"/>
      <c r="M442" s="150"/>
    </row>
    <row r="443" hidden="1">
      <c r="B443" s="74"/>
      <c r="M443" s="150"/>
    </row>
    <row r="444" hidden="1">
      <c r="B444" s="74"/>
      <c r="M444" s="150"/>
    </row>
    <row r="445" hidden="1">
      <c r="B445" s="74"/>
      <c r="M445" s="150"/>
    </row>
    <row r="446" hidden="1">
      <c r="B446" s="74"/>
      <c r="M446" s="150"/>
    </row>
    <row r="447" hidden="1">
      <c r="B447" s="74"/>
      <c r="M447" s="150"/>
    </row>
    <row r="448" hidden="1">
      <c r="B448" s="74"/>
      <c r="M448" s="150"/>
    </row>
    <row r="449" hidden="1">
      <c r="B449" s="74"/>
      <c r="M449" s="150"/>
    </row>
    <row r="450" hidden="1">
      <c r="B450" s="74"/>
      <c r="M450" s="150"/>
    </row>
    <row r="451" hidden="1">
      <c r="B451" s="74"/>
      <c r="M451" s="150"/>
    </row>
    <row r="452" hidden="1">
      <c r="B452" s="74"/>
      <c r="M452" s="150"/>
    </row>
    <row r="453" hidden="1">
      <c r="B453" s="74"/>
      <c r="M453" s="150"/>
    </row>
    <row r="454" hidden="1">
      <c r="B454" s="74"/>
      <c r="M454" s="150"/>
    </row>
    <row r="455" hidden="1">
      <c r="B455" s="74"/>
      <c r="M455" s="150"/>
    </row>
    <row r="456" hidden="1">
      <c r="B456" s="74"/>
      <c r="M456" s="150"/>
    </row>
    <row r="457" hidden="1">
      <c r="B457" s="74"/>
      <c r="M457" s="150"/>
    </row>
    <row r="458" hidden="1">
      <c r="B458" s="74"/>
      <c r="M458" s="150"/>
    </row>
    <row r="459" hidden="1">
      <c r="B459" s="74"/>
      <c r="M459" s="150"/>
    </row>
    <row r="460" hidden="1">
      <c r="B460" s="74"/>
      <c r="M460" s="150"/>
    </row>
    <row r="461" hidden="1">
      <c r="B461" s="74"/>
      <c r="M461" s="150"/>
    </row>
    <row r="462" hidden="1">
      <c r="B462" s="74"/>
      <c r="M462" s="150"/>
    </row>
    <row r="463" hidden="1">
      <c r="B463" s="74"/>
      <c r="M463" s="150"/>
    </row>
    <row r="464" hidden="1">
      <c r="B464" s="74"/>
      <c r="M464" s="150"/>
    </row>
    <row r="465" hidden="1">
      <c r="B465" s="74"/>
      <c r="M465" s="150"/>
    </row>
    <row r="466" hidden="1">
      <c r="B466" s="74"/>
      <c r="M466" s="150"/>
    </row>
    <row r="467" hidden="1">
      <c r="B467" s="74"/>
      <c r="M467" s="150"/>
    </row>
    <row r="468" hidden="1">
      <c r="B468" s="74"/>
      <c r="M468" s="150"/>
    </row>
    <row r="469" hidden="1">
      <c r="B469" s="74"/>
      <c r="M469" s="150"/>
    </row>
    <row r="470" hidden="1">
      <c r="B470" s="74"/>
      <c r="M470" s="150"/>
    </row>
    <row r="471" hidden="1">
      <c r="B471" s="74"/>
      <c r="M471" s="150"/>
    </row>
    <row r="472" hidden="1">
      <c r="B472" s="74"/>
      <c r="M472" s="150"/>
    </row>
    <row r="473" hidden="1">
      <c r="B473" s="74"/>
      <c r="M473" s="150"/>
    </row>
    <row r="474" hidden="1">
      <c r="B474" s="74"/>
      <c r="M474" s="150"/>
    </row>
    <row r="475" hidden="1">
      <c r="B475" s="74"/>
      <c r="M475" s="150"/>
    </row>
    <row r="476" hidden="1">
      <c r="B476" s="74"/>
      <c r="M476" s="150"/>
    </row>
    <row r="477" hidden="1">
      <c r="B477" s="74"/>
      <c r="M477" s="150"/>
    </row>
    <row r="478" hidden="1">
      <c r="B478" s="74"/>
      <c r="M478" s="150"/>
    </row>
    <row r="479" hidden="1">
      <c r="B479" s="74"/>
      <c r="M479" s="150"/>
    </row>
    <row r="480" hidden="1">
      <c r="B480" s="74"/>
      <c r="M480" s="150"/>
    </row>
    <row r="481" hidden="1">
      <c r="B481" s="74"/>
      <c r="M481" s="150"/>
    </row>
    <row r="482" hidden="1">
      <c r="B482" s="74"/>
      <c r="M482" s="150"/>
    </row>
    <row r="483" hidden="1">
      <c r="B483" s="74"/>
      <c r="M483" s="150"/>
    </row>
    <row r="484" hidden="1">
      <c r="B484" s="74"/>
      <c r="M484" s="150"/>
    </row>
    <row r="485" hidden="1">
      <c r="B485" s="74"/>
      <c r="M485" s="150"/>
    </row>
    <row r="486" hidden="1">
      <c r="B486" s="74"/>
      <c r="M486" s="150"/>
    </row>
    <row r="487" hidden="1">
      <c r="B487" s="74"/>
      <c r="M487" s="150"/>
    </row>
    <row r="488" hidden="1">
      <c r="B488" s="74"/>
      <c r="M488" s="150"/>
    </row>
    <row r="489" hidden="1">
      <c r="B489" s="74"/>
      <c r="M489" s="150"/>
    </row>
    <row r="490" hidden="1">
      <c r="B490" s="74"/>
      <c r="M490" s="150"/>
    </row>
    <row r="491" hidden="1">
      <c r="B491" s="74"/>
      <c r="M491" s="150"/>
    </row>
    <row r="492" hidden="1">
      <c r="B492" s="74"/>
      <c r="M492" s="150"/>
    </row>
    <row r="493" hidden="1">
      <c r="B493" s="74"/>
      <c r="M493" s="150"/>
    </row>
    <row r="494" hidden="1">
      <c r="B494" s="74"/>
      <c r="M494" s="150"/>
    </row>
    <row r="495" hidden="1">
      <c r="B495" s="74"/>
      <c r="M495" s="150"/>
    </row>
    <row r="496" hidden="1">
      <c r="B496" s="74"/>
      <c r="M496" s="150"/>
    </row>
    <row r="497" hidden="1">
      <c r="B497" s="74"/>
      <c r="M497" s="150"/>
    </row>
    <row r="498" hidden="1">
      <c r="B498" s="74"/>
      <c r="M498" s="150"/>
    </row>
    <row r="499" hidden="1">
      <c r="B499" s="74"/>
      <c r="M499" s="150"/>
    </row>
    <row r="500" hidden="1">
      <c r="B500" s="74"/>
      <c r="M500" s="150"/>
    </row>
    <row r="501" hidden="1">
      <c r="B501" s="74"/>
      <c r="M501" s="150"/>
    </row>
    <row r="502" hidden="1">
      <c r="B502" s="74"/>
      <c r="M502" s="150"/>
    </row>
    <row r="503" hidden="1">
      <c r="B503" s="74"/>
      <c r="M503" s="150"/>
    </row>
    <row r="504" hidden="1">
      <c r="B504" s="74"/>
      <c r="M504" s="150"/>
    </row>
    <row r="505" hidden="1">
      <c r="B505" s="74"/>
      <c r="M505" s="150"/>
    </row>
    <row r="506" hidden="1">
      <c r="B506" s="74"/>
      <c r="M506" s="150"/>
    </row>
    <row r="507" hidden="1">
      <c r="B507" s="74"/>
      <c r="M507" s="150"/>
    </row>
    <row r="508" hidden="1">
      <c r="B508" s="74"/>
      <c r="M508" s="150"/>
    </row>
    <row r="509" hidden="1">
      <c r="B509" s="74"/>
      <c r="M509" s="150"/>
    </row>
    <row r="510" hidden="1">
      <c r="B510" s="74"/>
      <c r="M510" s="150"/>
    </row>
    <row r="511" hidden="1">
      <c r="B511" s="74"/>
      <c r="M511" s="150"/>
    </row>
    <row r="512" hidden="1">
      <c r="B512" s="74"/>
      <c r="M512" s="150"/>
    </row>
    <row r="513" hidden="1">
      <c r="B513" s="74"/>
      <c r="M513" s="150"/>
    </row>
    <row r="514" hidden="1">
      <c r="B514" s="74"/>
      <c r="M514" s="150"/>
    </row>
    <row r="515" hidden="1">
      <c r="B515" s="74"/>
      <c r="M515" s="150"/>
    </row>
    <row r="516" hidden="1">
      <c r="B516" s="74"/>
      <c r="M516" s="150"/>
    </row>
    <row r="517" hidden="1">
      <c r="B517" s="74"/>
      <c r="M517" s="150"/>
    </row>
    <row r="518" hidden="1">
      <c r="B518" s="74"/>
      <c r="M518" s="150"/>
    </row>
    <row r="519" hidden="1">
      <c r="B519" s="74"/>
      <c r="M519" s="150"/>
    </row>
    <row r="520" hidden="1">
      <c r="B520" s="74"/>
      <c r="M520" s="150"/>
    </row>
    <row r="521" hidden="1">
      <c r="B521" s="74"/>
      <c r="M521" s="150"/>
    </row>
    <row r="522" hidden="1">
      <c r="B522" s="74"/>
      <c r="M522" s="150"/>
    </row>
    <row r="523" hidden="1">
      <c r="B523" s="74"/>
      <c r="M523" s="150"/>
    </row>
    <row r="524" hidden="1">
      <c r="B524" s="74"/>
      <c r="M524" s="150"/>
    </row>
    <row r="525" hidden="1">
      <c r="B525" s="74"/>
      <c r="M525" s="150"/>
    </row>
    <row r="526" hidden="1">
      <c r="B526" s="74"/>
      <c r="M526" s="150"/>
    </row>
    <row r="527" hidden="1">
      <c r="B527" s="74"/>
      <c r="M527" s="150"/>
    </row>
    <row r="528" hidden="1">
      <c r="B528" s="74"/>
      <c r="M528" s="150"/>
    </row>
    <row r="529" hidden="1">
      <c r="B529" s="74"/>
      <c r="M529" s="150"/>
    </row>
    <row r="530" hidden="1">
      <c r="B530" s="74"/>
      <c r="M530" s="150"/>
    </row>
    <row r="531" hidden="1">
      <c r="B531" s="74"/>
      <c r="M531" s="150"/>
    </row>
    <row r="532" hidden="1">
      <c r="B532" s="74"/>
      <c r="M532" s="150"/>
    </row>
    <row r="533" hidden="1">
      <c r="B533" s="74"/>
      <c r="M533" s="150"/>
    </row>
    <row r="534" hidden="1">
      <c r="B534" s="74"/>
      <c r="M534" s="150"/>
    </row>
    <row r="535" hidden="1">
      <c r="B535" s="74"/>
      <c r="M535" s="150"/>
    </row>
    <row r="536" hidden="1">
      <c r="B536" s="74"/>
      <c r="M536" s="150"/>
    </row>
    <row r="537" hidden="1">
      <c r="B537" s="74"/>
      <c r="M537" s="150"/>
    </row>
    <row r="538" hidden="1">
      <c r="B538" s="74"/>
      <c r="M538" s="150"/>
    </row>
    <row r="539" hidden="1">
      <c r="B539" s="74"/>
      <c r="M539" s="150"/>
    </row>
    <row r="540" hidden="1">
      <c r="B540" s="74"/>
      <c r="M540" s="150"/>
    </row>
    <row r="541" hidden="1">
      <c r="B541" s="74"/>
      <c r="M541" s="150"/>
    </row>
    <row r="542" hidden="1">
      <c r="B542" s="74"/>
      <c r="M542" s="150"/>
    </row>
    <row r="543" hidden="1">
      <c r="B543" s="74"/>
      <c r="M543" s="150"/>
    </row>
    <row r="544" hidden="1">
      <c r="B544" s="74"/>
      <c r="M544" s="150"/>
    </row>
    <row r="545" hidden="1">
      <c r="B545" s="74"/>
      <c r="M545" s="150"/>
    </row>
    <row r="546" hidden="1">
      <c r="B546" s="74"/>
      <c r="M546" s="150"/>
    </row>
    <row r="547" hidden="1">
      <c r="B547" s="74"/>
      <c r="M547" s="150"/>
    </row>
    <row r="548" hidden="1">
      <c r="B548" s="74"/>
      <c r="M548" s="150"/>
    </row>
    <row r="549" hidden="1">
      <c r="B549" s="74"/>
      <c r="M549" s="150"/>
    </row>
    <row r="550" hidden="1">
      <c r="B550" s="74"/>
      <c r="M550" s="150"/>
    </row>
    <row r="551" hidden="1">
      <c r="B551" s="74"/>
      <c r="M551" s="150"/>
    </row>
    <row r="552" hidden="1">
      <c r="B552" s="74"/>
      <c r="M552" s="150"/>
    </row>
    <row r="553" hidden="1">
      <c r="B553" s="74"/>
      <c r="M553" s="150"/>
    </row>
    <row r="554" hidden="1">
      <c r="B554" s="74"/>
      <c r="M554" s="150"/>
    </row>
    <row r="555" hidden="1">
      <c r="B555" s="74"/>
      <c r="M555" s="150"/>
    </row>
    <row r="556" hidden="1">
      <c r="B556" s="74"/>
      <c r="M556" s="150"/>
    </row>
    <row r="557" hidden="1">
      <c r="B557" s="74"/>
      <c r="M557" s="150"/>
    </row>
    <row r="558" hidden="1">
      <c r="B558" s="74"/>
      <c r="M558" s="150"/>
    </row>
    <row r="559" hidden="1">
      <c r="B559" s="74"/>
      <c r="M559" s="150"/>
    </row>
    <row r="560" hidden="1">
      <c r="B560" s="74"/>
      <c r="M560" s="150"/>
    </row>
    <row r="561" hidden="1">
      <c r="B561" s="74"/>
      <c r="M561" s="150"/>
    </row>
    <row r="562" hidden="1">
      <c r="B562" s="74"/>
      <c r="M562" s="150"/>
    </row>
    <row r="563" hidden="1">
      <c r="B563" s="74"/>
      <c r="M563" s="150"/>
    </row>
    <row r="564" hidden="1">
      <c r="B564" s="74"/>
      <c r="M564" s="150"/>
    </row>
    <row r="565" hidden="1">
      <c r="B565" s="74"/>
      <c r="M565" s="150"/>
    </row>
    <row r="566" hidden="1">
      <c r="B566" s="74"/>
      <c r="M566" s="150"/>
    </row>
    <row r="567" hidden="1">
      <c r="B567" s="74"/>
      <c r="M567" s="150"/>
    </row>
    <row r="568" hidden="1">
      <c r="B568" s="74"/>
      <c r="M568" s="150"/>
    </row>
    <row r="569" hidden="1">
      <c r="B569" s="74"/>
      <c r="M569" s="150"/>
    </row>
    <row r="570" hidden="1">
      <c r="B570" s="74"/>
      <c r="M570" s="150"/>
    </row>
    <row r="571" hidden="1">
      <c r="B571" s="74"/>
      <c r="M571" s="150"/>
    </row>
    <row r="572" hidden="1">
      <c r="B572" s="74"/>
      <c r="M572" s="150"/>
    </row>
    <row r="573" hidden="1">
      <c r="B573" s="74"/>
      <c r="M573" s="150"/>
    </row>
    <row r="574" hidden="1">
      <c r="B574" s="74"/>
      <c r="M574" s="150"/>
    </row>
    <row r="575" hidden="1">
      <c r="B575" s="74"/>
      <c r="M575" s="150"/>
    </row>
    <row r="576" hidden="1">
      <c r="B576" s="74"/>
      <c r="M576" s="150"/>
    </row>
    <row r="577" hidden="1">
      <c r="B577" s="74"/>
      <c r="M577" s="150"/>
    </row>
    <row r="578" hidden="1">
      <c r="B578" s="74"/>
      <c r="M578" s="150"/>
    </row>
    <row r="579" hidden="1">
      <c r="B579" s="74"/>
      <c r="M579" s="150"/>
    </row>
    <row r="580" hidden="1">
      <c r="B580" s="74"/>
      <c r="M580" s="150"/>
    </row>
    <row r="581" hidden="1">
      <c r="B581" s="74"/>
      <c r="M581" s="150"/>
    </row>
    <row r="582" hidden="1">
      <c r="B582" s="74"/>
      <c r="M582" s="150"/>
    </row>
    <row r="583" hidden="1">
      <c r="B583" s="74"/>
      <c r="M583" s="150"/>
    </row>
    <row r="584" hidden="1">
      <c r="B584" s="74"/>
      <c r="M584" s="150"/>
    </row>
    <row r="585" hidden="1">
      <c r="B585" s="74"/>
      <c r="M585" s="150"/>
    </row>
    <row r="586" hidden="1">
      <c r="B586" s="74"/>
      <c r="M586" s="150"/>
    </row>
    <row r="587" hidden="1">
      <c r="B587" s="74"/>
      <c r="M587" s="150"/>
    </row>
    <row r="588" hidden="1">
      <c r="B588" s="74"/>
      <c r="M588" s="150"/>
    </row>
    <row r="589" hidden="1">
      <c r="B589" s="74"/>
      <c r="M589" s="150"/>
    </row>
    <row r="590" hidden="1">
      <c r="B590" s="74"/>
      <c r="M590" s="150"/>
    </row>
    <row r="591" hidden="1">
      <c r="B591" s="74"/>
      <c r="M591" s="150"/>
    </row>
    <row r="592" hidden="1">
      <c r="B592" s="74"/>
      <c r="M592" s="150"/>
    </row>
    <row r="593" hidden="1">
      <c r="B593" s="74"/>
      <c r="M593" s="150"/>
    </row>
    <row r="594" hidden="1">
      <c r="B594" s="74"/>
      <c r="M594" s="150"/>
    </row>
    <row r="595" hidden="1">
      <c r="B595" s="74"/>
      <c r="M595" s="150"/>
    </row>
    <row r="596" hidden="1">
      <c r="B596" s="74"/>
      <c r="M596" s="150"/>
    </row>
    <row r="597" hidden="1">
      <c r="B597" s="74"/>
      <c r="M597" s="150"/>
    </row>
    <row r="598" hidden="1">
      <c r="B598" s="74"/>
      <c r="M598" s="150"/>
    </row>
    <row r="599" hidden="1">
      <c r="B599" s="74"/>
      <c r="M599" s="150"/>
    </row>
    <row r="600" hidden="1">
      <c r="B600" s="74"/>
      <c r="M600" s="150"/>
    </row>
    <row r="601" hidden="1">
      <c r="B601" s="74"/>
      <c r="M601" s="150"/>
    </row>
    <row r="602" hidden="1">
      <c r="B602" s="74"/>
      <c r="M602" s="150"/>
    </row>
    <row r="603" hidden="1">
      <c r="B603" s="74"/>
      <c r="M603" s="150"/>
    </row>
    <row r="604" hidden="1">
      <c r="B604" s="74"/>
      <c r="M604" s="150"/>
    </row>
    <row r="605" hidden="1">
      <c r="B605" s="74"/>
      <c r="M605" s="150"/>
    </row>
    <row r="606" hidden="1">
      <c r="B606" s="74"/>
      <c r="M606" s="150"/>
    </row>
    <row r="607" hidden="1">
      <c r="B607" s="74"/>
      <c r="M607" s="150"/>
    </row>
    <row r="608" hidden="1">
      <c r="B608" s="74"/>
      <c r="M608" s="150"/>
    </row>
    <row r="609" hidden="1">
      <c r="B609" s="74"/>
      <c r="M609" s="150"/>
    </row>
    <row r="610" hidden="1">
      <c r="B610" s="74"/>
      <c r="M610" s="150"/>
    </row>
    <row r="611" hidden="1">
      <c r="B611" s="74"/>
      <c r="M611" s="150"/>
    </row>
    <row r="612" hidden="1">
      <c r="B612" s="74"/>
      <c r="M612" s="150"/>
    </row>
    <row r="613" hidden="1">
      <c r="B613" s="74"/>
      <c r="M613" s="150"/>
    </row>
    <row r="614" hidden="1">
      <c r="B614" s="74"/>
      <c r="M614" s="150"/>
    </row>
    <row r="615" hidden="1">
      <c r="B615" s="74"/>
      <c r="M615" s="150"/>
    </row>
    <row r="616" hidden="1">
      <c r="B616" s="74"/>
      <c r="M616" s="150"/>
    </row>
    <row r="617" hidden="1">
      <c r="B617" s="74"/>
      <c r="M617" s="150"/>
    </row>
    <row r="618" hidden="1">
      <c r="B618" s="74"/>
      <c r="M618" s="150"/>
    </row>
    <row r="619" hidden="1">
      <c r="B619" s="74"/>
      <c r="M619" s="150"/>
    </row>
    <row r="620" hidden="1">
      <c r="B620" s="74"/>
      <c r="M620" s="150"/>
    </row>
    <row r="621" hidden="1">
      <c r="B621" s="74"/>
      <c r="M621" s="150"/>
    </row>
    <row r="622" hidden="1">
      <c r="B622" s="74"/>
      <c r="M622" s="150"/>
    </row>
    <row r="623" hidden="1">
      <c r="B623" s="74"/>
      <c r="M623" s="150"/>
    </row>
    <row r="624" hidden="1">
      <c r="B624" s="74"/>
      <c r="M624" s="150"/>
    </row>
    <row r="625" hidden="1">
      <c r="B625" s="74"/>
      <c r="M625" s="150"/>
    </row>
    <row r="626" hidden="1">
      <c r="B626" s="74"/>
      <c r="M626" s="150"/>
    </row>
    <row r="627" hidden="1">
      <c r="B627" s="74"/>
      <c r="M627" s="150"/>
    </row>
    <row r="628" hidden="1">
      <c r="B628" s="74"/>
      <c r="M628" s="150"/>
    </row>
    <row r="629" hidden="1">
      <c r="B629" s="74"/>
      <c r="M629" s="150"/>
    </row>
    <row r="630" hidden="1">
      <c r="B630" s="74"/>
      <c r="M630" s="150"/>
    </row>
    <row r="631" hidden="1">
      <c r="B631" s="74"/>
      <c r="M631" s="150"/>
    </row>
    <row r="632" hidden="1">
      <c r="B632" s="74"/>
      <c r="M632" s="150"/>
    </row>
    <row r="633" hidden="1">
      <c r="B633" s="74"/>
      <c r="M633" s="150"/>
    </row>
    <row r="634" hidden="1">
      <c r="B634" s="74"/>
      <c r="M634" s="150"/>
    </row>
    <row r="635" hidden="1">
      <c r="B635" s="74"/>
      <c r="M635" s="150"/>
    </row>
    <row r="636" hidden="1">
      <c r="B636" s="74"/>
      <c r="M636" s="150"/>
    </row>
    <row r="637" hidden="1">
      <c r="B637" s="74"/>
      <c r="M637" s="150"/>
    </row>
    <row r="638" hidden="1">
      <c r="B638" s="74"/>
      <c r="M638" s="150"/>
    </row>
    <row r="639" hidden="1">
      <c r="B639" s="74"/>
      <c r="M639" s="150"/>
    </row>
    <row r="640" hidden="1">
      <c r="B640" s="74"/>
      <c r="M640" s="150"/>
    </row>
    <row r="641" hidden="1">
      <c r="B641" s="74"/>
      <c r="M641" s="150"/>
    </row>
    <row r="642" hidden="1">
      <c r="B642" s="74"/>
      <c r="M642" s="150"/>
    </row>
    <row r="643" hidden="1">
      <c r="B643" s="74"/>
      <c r="M643" s="150"/>
    </row>
    <row r="644" hidden="1">
      <c r="B644" s="74"/>
      <c r="M644" s="150"/>
    </row>
    <row r="645" hidden="1">
      <c r="B645" s="74"/>
      <c r="M645" s="150"/>
    </row>
    <row r="646" hidden="1">
      <c r="B646" s="74"/>
      <c r="M646" s="150"/>
    </row>
    <row r="647" hidden="1">
      <c r="B647" s="74"/>
      <c r="M647" s="150"/>
    </row>
    <row r="648" hidden="1">
      <c r="B648" s="74"/>
      <c r="M648" s="150"/>
    </row>
    <row r="649" hidden="1">
      <c r="B649" s="74"/>
      <c r="M649" s="150"/>
    </row>
    <row r="650" hidden="1">
      <c r="B650" s="74"/>
      <c r="M650" s="150"/>
    </row>
    <row r="651" hidden="1">
      <c r="B651" s="74"/>
      <c r="M651" s="150"/>
    </row>
    <row r="652" hidden="1">
      <c r="B652" s="74"/>
      <c r="M652" s="150"/>
    </row>
    <row r="653" hidden="1">
      <c r="B653" s="74"/>
      <c r="M653" s="150"/>
    </row>
    <row r="654" hidden="1">
      <c r="B654" s="74"/>
      <c r="M654" s="150"/>
    </row>
    <row r="655" hidden="1">
      <c r="B655" s="74"/>
      <c r="M655" s="150"/>
    </row>
    <row r="656" hidden="1">
      <c r="B656" s="74"/>
      <c r="M656" s="150"/>
    </row>
    <row r="657" hidden="1">
      <c r="B657" s="74"/>
      <c r="M657" s="150"/>
    </row>
    <row r="658" hidden="1">
      <c r="B658" s="74"/>
      <c r="M658" s="150"/>
    </row>
    <row r="659" hidden="1">
      <c r="B659" s="74"/>
      <c r="M659" s="150"/>
    </row>
    <row r="660" hidden="1">
      <c r="B660" s="74"/>
      <c r="M660" s="150"/>
    </row>
    <row r="661" hidden="1">
      <c r="B661" s="74"/>
      <c r="M661" s="150"/>
    </row>
    <row r="662" hidden="1">
      <c r="B662" s="74"/>
      <c r="M662" s="150"/>
    </row>
    <row r="663" hidden="1">
      <c r="B663" s="74"/>
      <c r="M663" s="150"/>
    </row>
    <row r="664" hidden="1">
      <c r="B664" s="74"/>
      <c r="M664" s="150"/>
    </row>
    <row r="665" hidden="1">
      <c r="B665" s="74"/>
      <c r="M665" s="150"/>
    </row>
    <row r="666" hidden="1">
      <c r="B666" s="74"/>
      <c r="M666" s="150"/>
    </row>
    <row r="667" hidden="1">
      <c r="B667" s="74"/>
      <c r="M667" s="150"/>
    </row>
    <row r="668" hidden="1">
      <c r="B668" s="74"/>
      <c r="M668" s="150"/>
    </row>
    <row r="669" hidden="1">
      <c r="B669" s="74"/>
      <c r="M669" s="150"/>
    </row>
    <row r="670" hidden="1">
      <c r="B670" s="74"/>
      <c r="M670" s="150"/>
    </row>
    <row r="671" hidden="1">
      <c r="B671" s="74"/>
      <c r="M671" s="150"/>
    </row>
    <row r="672" hidden="1">
      <c r="B672" s="74"/>
      <c r="M672" s="150"/>
    </row>
    <row r="673" hidden="1">
      <c r="B673" s="74"/>
      <c r="M673" s="150"/>
    </row>
    <row r="674" hidden="1">
      <c r="B674" s="74"/>
      <c r="M674" s="150"/>
    </row>
    <row r="675" hidden="1">
      <c r="B675" s="74"/>
      <c r="M675" s="150"/>
    </row>
    <row r="676" hidden="1">
      <c r="B676" s="74"/>
      <c r="M676" s="150"/>
    </row>
    <row r="677" hidden="1">
      <c r="B677" s="74"/>
      <c r="M677" s="150"/>
    </row>
    <row r="678" hidden="1">
      <c r="B678" s="74"/>
      <c r="M678" s="150"/>
    </row>
    <row r="679" hidden="1">
      <c r="B679" s="74"/>
      <c r="M679" s="150"/>
    </row>
    <row r="680" hidden="1">
      <c r="B680" s="74"/>
      <c r="M680" s="150"/>
    </row>
    <row r="681" hidden="1">
      <c r="B681" s="74"/>
      <c r="M681" s="150"/>
    </row>
    <row r="682" hidden="1">
      <c r="B682" s="74"/>
      <c r="M682" s="150"/>
    </row>
    <row r="683" hidden="1">
      <c r="B683" s="74"/>
      <c r="M683" s="150"/>
    </row>
    <row r="684" hidden="1">
      <c r="B684" s="74"/>
      <c r="M684" s="150"/>
    </row>
    <row r="685" hidden="1">
      <c r="B685" s="74"/>
      <c r="M685" s="150"/>
    </row>
    <row r="686" hidden="1">
      <c r="B686" s="74"/>
      <c r="M686" s="150"/>
    </row>
    <row r="687" hidden="1">
      <c r="B687" s="74"/>
      <c r="M687" s="150"/>
    </row>
    <row r="688" hidden="1">
      <c r="B688" s="74"/>
      <c r="M688" s="150"/>
    </row>
    <row r="689" hidden="1">
      <c r="B689" s="74"/>
      <c r="M689" s="150"/>
    </row>
    <row r="690" hidden="1">
      <c r="B690" s="74"/>
      <c r="M690" s="150"/>
    </row>
    <row r="691" hidden="1">
      <c r="B691" s="74"/>
      <c r="M691" s="150"/>
    </row>
    <row r="692" hidden="1">
      <c r="B692" s="74"/>
      <c r="M692" s="150"/>
    </row>
    <row r="693" hidden="1">
      <c r="B693" s="74"/>
      <c r="M693" s="150"/>
    </row>
    <row r="694" hidden="1">
      <c r="B694" s="74"/>
      <c r="M694" s="150"/>
    </row>
    <row r="695" hidden="1">
      <c r="B695" s="74"/>
      <c r="M695" s="150"/>
    </row>
    <row r="696" hidden="1">
      <c r="B696" s="74"/>
      <c r="M696" s="150"/>
    </row>
    <row r="697" hidden="1">
      <c r="B697" s="74"/>
      <c r="M697" s="150"/>
    </row>
    <row r="698" hidden="1">
      <c r="B698" s="74"/>
      <c r="M698" s="150"/>
    </row>
    <row r="699" hidden="1">
      <c r="B699" s="74"/>
      <c r="M699" s="150"/>
    </row>
    <row r="700" hidden="1">
      <c r="B700" s="74"/>
      <c r="M700" s="150"/>
    </row>
    <row r="701" hidden="1">
      <c r="B701" s="74"/>
      <c r="M701" s="150"/>
    </row>
    <row r="702" hidden="1">
      <c r="B702" s="74"/>
      <c r="M702" s="150"/>
    </row>
    <row r="703" hidden="1">
      <c r="B703" s="74"/>
      <c r="M703" s="150"/>
    </row>
    <row r="704" hidden="1">
      <c r="B704" s="74"/>
      <c r="M704" s="150"/>
    </row>
    <row r="705" hidden="1">
      <c r="B705" s="74"/>
      <c r="M705" s="150"/>
    </row>
    <row r="706" hidden="1">
      <c r="B706" s="74"/>
      <c r="M706" s="150"/>
    </row>
    <row r="707" hidden="1">
      <c r="B707" s="74"/>
      <c r="M707" s="150"/>
    </row>
    <row r="708" hidden="1">
      <c r="B708" s="74"/>
      <c r="M708" s="150"/>
    </row>
    <row r="709" hidden="1">
      <c r="B709" s="74"/>
      <c r="M709" s="150"/>
    </row>
    <row r="710" hidden="1">
      <c r="B710" s="74"/>
      <c r="M710" s="150"/>
    </row>
    <row r="711" hidden="1">
      <c r="B711" s="74"/>
      <c r="M711" s="150"/>
    </row>
    <row r="712" hidden="1">
      <c r="B712" s="74"/>
      <c r="M712" s="150"/>
    </row>
    <row r="713" hidden="1">
      <c r="B713" s="74"/>
      <c r="M713" s="150"/>
    </row>
    <row r="714" hidden="1">
      <c r="B714" s="74"/>
      <c r="M714" s="150"/>
    </row>
    <row r="715" hidden="1">
      <c r="B715" s="74"/>
      <c r="M715" s="150"/>
    </row>
    <row r="716" hidden="1">
      <c r="B716" s="74"/>
      <c r="M716" s="150"/>
    </row>
    <row r="717" hidden="1">
      <c r="B717" s="74"/>
      <c r="M717" s="150"/>
    </row>
    <row r="718" hidden="1">
      <c r="B718" s="74"/>
      <c r="M718" s="150"/>
    </row>
    <row r="719" hidden="1">
      <c r="B719" s="74"/>
      <c r="M719" s="150"/>
    </row>
    <row r="720" hidden="1">
      <c r="B720" s="74"/>
      <c r="M720" s="150"/>
    </row>
    <row r="721" hidden="1">
      <c r="B721" s="74"/>
      <c r="M721" s="150"/>
    </row>
    <row r="722" hidden="1">
      <c r="B722" s="74"/>
      <c r="M722" s="150"/>
    </row>
    <row r="723" hidden="1">
      <c r="B723" s="74"/>
      <c r="M723" s="150"/>
    </row>
    <row r="724" hidden="1">
      <c r="B724" s="74"/>
      <c r="M724" s="150"/>
    </row>
    <row r="725" hidden="1">
      <c r="B725" s="74"/>
      <c r="M725" s="150"/>
    </row>
    <row r="726" hidden="1">
      <c r="B726" s="74"/>
      <c r="M726" s="150"/>
    </row>
    <row r="727" hidden="1">
      <c r="B727" s="74"/>
      <c r="M727" s="150"/>
    </row>
    <row r="728" hidden="1">
      <c r="B728" s="74"/>
      <c r="M728" s="150"/>
    </row>
    <row r="729" hidden="1">
      <c r="B729" s="74"/>
      <c r="M729" s="150"/>
    </row>
    <row r="730" hidden="1">
      <c r="B730" s="74"/>
      <c r="M730" s="150"/>
    </row>
    <row r="731" hidden="1">
      <c r="B731" s="74"/>
      <c r="M731" s="150"/>
    </row>
    <row r="732" hidden="1">
      <c r="B732" s="74"/>
      <c r="M732" s="150"/>
    </row>
    <row r="733" hidden="1">
      <c r="B733" s="74"/>
      <c r="M733" s="150"/>
    </row>
    <row r="734" hidden="1">
      <c r="B734" s="74"/>
      <c r="M734" s="150"/>
    </row>
    <row r="735" hidden="1">
      <c r="B735" s="74"/>
      <c r="M735" s="150"/>
    </row>
    <row r="736" hidden="1">
      <c r="B736" s="74"/>
      <c r="M736" s="150"/>
    </row>
    <row r="737" hidden="1">
      <c r="B737" s="74"/>
      <c r="M737" s="150"/>
    </row>
    <row r="738" hidden="1">
      <c r="B738" s="74"/>
      <c r="M738" s="150"/>
    </row>
    <row r="739" hidden="1">
      <c r="B739" s="74"/>
      <c r="M739" s="150"/>
    </row>
    <row r="740" hidden="1">
      <c r="B740" s="74"/>
      <c r="M740" s="150"/>
    </row>
    <row r="741" hidden="1">
      <c r="B741" s="74"/>
      <c r="M741" s="150"/>
    </row>
    <row r="742" hidden="1">
      <c r="B742" s="74"/>
      <c r="M742" s="150"/>
    </row>
    <row r="743" hidden="1">
      <c r="B743" s="74"/>
      <c r="M743" s="150"/>
    </row>
    <row r="744" hidden="1">
      <c r="B744" s="74"/>
      <c r="M744" s="150"/>
    </row>
    <row r="745" hidden="1">
      <c r="B745" s="74"/>
      <c r="M745" s="150"/>
    </row>
    <row r="746" hidden="1">
      <c r="B746" s="74"/>
      <c r="M746" s="150"/>
    </row>
    <row r="747" hidden="1">
      <c r="B747" s="74"/>
      <c r="M747" s="150"/>
    </row>
    <row r="748" hidden="1">
      <c r="B748" s="74"/>
      <c r="M748" s="150"/>
    </row>
    <row r="749" hidden="1">
      <c r="B749" s="74"/>
      <c r="M749" s="150"/>
    </row>
    <row r="750" hidden="1">
      <c r="B750" s="74"/>
      <c r="M750" s="150"/>
    </row>
    <row r="751" hidden="1">
      <c r="B751" s="74"/>
      <c r="M751" s="150"/>
    </row>
    <row r="752" hidden="1">
      <c r="B752" s="74"/>
      <c r="M752" s="150"/>
    </row>
    <row r="753" hidden="1">
      <c r="B753" s="74"/>
      <c r="M753" s="150"/>
    </row>
    <row r="754" hidden="1">
      <c r="B754" s="74"/>
      <c r="M754" s="150"/>
    </row>
    <row r="755" hidden="1">
      <c r="B755" s="74"/>
      <c r="M755" s="150"/>
    </row>
    <row r="756" hidden="1">
      <c r="B756" s="74"/>
      <c r="M756" s="150"/>
    </row>
    <row r="757" hidden="1">
      <c r="B757" s="74"/>
      <c r="M757" s="150"/>
    </row>
    <row r="758" hidden="1">
      <c r="B758" s="74"/>
      <c r="M758" s="150"/>
    </row>
    <row r="759" hidden="1">
      <c r="B759" s="74"/>
      <c r="M759" s="150"/>
    </row>
    <row r="760" hidden="1">
      <c r="B760" s="74"/>
      <c r="M760" s="150"/>
    </row>
    <row r="761" hidden="1">
      <c r="B761" s="74"/>
      <c r="M761" s="150"/>
    </row>
    <row r="762" hidden="1">
      <c r="B762" s="74"/>
      <c r="M762" s="150"/>
    </row>
    <row r="763" hidden="1">
      <c r="B763" s="74"/>
      <c r="M763" s="150"/>
    </row>
    <row r="764" hidden="1">
      <c r="B764" s="74"/>
      <c r="M764" s="150"/>
    </row>
    <row r="765" hidden="1">
      <c r="B765" s="74"/>
      <c r="M765" s="150"/>
    </row>
    <row r="766" hidden="1">
      <c r="B766" s="74"/>
      <c r="M766" s="150"/>
    </row>
    <row r="767" hidden="1">
      <c r="B767" s="74"/>
      <c r="M767" s="150"/>
    </row>
    <row r="768" hidden="1">
      <c r="B768" s="74"/>
      <c r="M768" s="150"/>
    </row>
    <row r="769" hidden="1">
      <c r="B769" s="74"/>
      <c r="M769" s="150"/>
    </row>
    <row r="770" hidden="1">
      <c r="B770" s="74"/>
      <c r="M770" s="150"/>
    </row>
    <row r="771" hidden="1">
      <c r="B771" s="74"/>
      <c r="M771" s="150"/>
    </row>
    <row r="772" hidden="1">
      <c r="B772" s="74"/>
      <c r="M772" s="150"/>
    </row>
    <row r="773" hidden="1">
      <c r="B773" s="74"/>
      <c r="M773" s="150"/>
    </row>
    <row r="774" hidden="1">
      <c r="B774" s="74"/>
      <c r="M774" s="150"/>
    </row>
    <row r="775" hidden="1">
      <c r="B775" s="74"/>
      <c r="M775" s="150"/>
    </row>
    <row r="776" hidden="1">
      <c r="B776" s="74"/>
      <c r="M776" s="150"/>
    </row>
    <row r="777" hidden="1">
      <c r="B777" s="74"/>
      <c r="M777" s="150"/>
    </row>
    <row r="778" hidden="1">
      <c r="B778" s="74"/>
      <c r="M778" s="150"/>
    </row>
    <row r="779" hidden="1">
      <c r="B779" s="74"/>
      <c r="M779" s="150"/>
    </row>
    <row r="780" hidden="1">
      <c r="B780" s="74"/>
      <c r="M780" s="150"/>
    </row>
    <row r="781" hidden="1">
      <c r="B781" s="74"/>
      <c r="M781" s="150"/>
    </row>
    <row r="782" hidden="1">
      <c r="B782" s="74"/>
      <c r="M782" s="150"/>
    </row>
    <row r="783" hidden="1">
      <c r="B783" s="74"/>
      <c r="M783" s="150"/>
    </row>
    <row r="784" hidden="1">
      <c r="B784" s="74"/>
      <c r="M784" s="150"/>
    </row>
    <row r="785" hidden="1">
      <c r="B785" s="74"/>
      <c r="M785" s="150"/>
    </row>
    <row r="786" hidden="1">
      <c r="B786" s="74"/>
      <c r="M786" s="150"/>
    </row>
    <row r="787" hidden="1">
      <c r="B787" s="74"/>
      <c r="M787" s="150"/>
    </row>
    <row r="788" hidden="1">
      <c r="B788" s="74"/>
      <c r="M788" s="150"/>
    </row>
    <row r="789" hidden="1">
      <c r="B789" s="74"/>
      <c r="M789" s="150"/>
    </row>
    <row r="790" hidden="1">
      <c r="B790" s="74"/>
      <c r="M790" s="150"/>
    </row>
    <row r="791" hidden="1">
      <c r="B791" s="74"/>
      <c r="M791" s="150"/>
    </row>
    <row r="792" hidden="1">
      <c r="B792" s="74"/>
      <c r="M792" s="150"/>
    </row>
    <row r="793" hidden="1">
      <c r="B793" s="74"/>
      <c r="M793" s="150"/>
    </row>
    <row r="794" hidden="1">
      <c r="B794" s="74"/>
      <c r="M794" s="150"/>
    </row>
    <row r="795" hidden="1">
      <c r="B795" s="74"/>
      <c r="M795" s="150"/>
    </row>
    <row r="796" hidden="1">
      <c r="B796" s="74"/>
      <c r="M796" s="150"/>
    </row>
    <row r="797" hidden="1">
      <c r="B797" s="74"/>
      <c r="M797" s="150"/>
    </row>
    <row r="798" hidden="1">
      <c r="B798" s="74"/>
      <c r="M798" s="150"/>
    </row>
    <row r="799" hidden="1">
      <c r="B799" s="74"/>
      <c r="M799" s="150"/>
    </row>
    <row r="800" hidden="1">
      <c r="B800" s="74"/>
      <c r="M800" s="150"/>
    </row>
    <row r="801" hidden="1">
      <c r="B801" s="74"/>
      <c r="M801" s="150"/>
    </row>
    <row r="802" hidden="1">
      <c r="B802" s="74"/>
      <c r="M802" s="150"/>
    </row>
    <row r="803" hidden="1">
      <c r="B803" s="74"/>
      <c r="M803" s="150"/>
    </row>
    <row r="804" hidden="1">
      <c r="B804" s="74"/>
      <c r="M804" s="150"/>
    </row>
    <row r="805" hidden="1">
      <c r="B805" s="74"/>
      <c r="M805" s="150"/>
    </row>
    <row r="806" hidden="1">
      <c r="B806" s="74"/>
      <c r="M806" s="150"/>
    </row>
    <row r="807" hidden="1">
      <c r="B807" s="74"/>
      <c r="M807" s="150"/>
    </row>
    <row r="808" hidden="1">
      <c r="B808" s="74"/>
      <c r="M808" s="150"/>
    </row>
    <row r="809" hidden="1">
      <c r="B809" s="74"/>
      <c r="M809" s="150"/>
    </row>
    <row r="810" hidden="1">
      <c r="B810" s="74"/>
      <c r="M810" s="150"/>
    </row>
    <row r="811" hidden="1">
      <c r="B811" s="74"/>
      <c r="M811" s="150"/>
    </row>
    <row r="812" hidden="1">
      <c r="B812" s="74"/>
      <c r="M812" s="150"/>
    </row>
    <row r="813" hidden="1">
      <c r="B813" s="74"/>
      <c r="M813" s="150"/>
    </row>
    <row r="814" hidden="1">
      <c r="B814" s="74"/>
      <c r="M814" s="150"/>
    </row>
    <row r="815" hidden="1">
      <c r="B815" s="74"/>
      <c r="M815" s="150"/>
    </row>
    <row r="816" hidden="1">
      <c r="B816" s="74"/>
      <c r="M816" s="150"/>
    </row>
    <row r="817" hidden="1">
      <c r="B817" s="74"/>
      <c r="M817" s="150"/>
    </row>
    <row r="818" hidden="1">
      <c r="B818" s="74"/>
      <c r="M818" s="150"/>
    </row>
    <row r="819" hidden="1">
      <c r="B819" s="74"/>
      <c r="M819" s="150"/>
    </row>
    <row r="820" hidden="1">
      <c r="B820" s="74"/>
      <c r="M820" s="150"/>
    </row>
    <row r="821" hidden="1">
      <c r="B821" s="74"/>
      <c r="M821" s="150"/>
    </row>
    <row r="822" hidden="1">
      <c r="B822" s="74"/>
      <c r="M822" s="150"/>
    </row>
    <row r="823" hidden="1">
      <c r="B823" s="74"/>
      <c r="M823" s="150"/>
    </row>
    <row r="824" hidden="1">
      <c r="B824" s="74"/>
      <c r="M824" s="150"/>
    </row>
    <row r="825" hidden="1">
      <c r="B825" s="74"/>
      <c r="M825" s="150"/>
    </row>
    <row r="826" hidden="1">
      <c r="B826" s="74"/>
      <c r="M826" s="150"/>
    </row>
    <row r="827" hidden="1">
      <c r="B827" s="74"/>
      <c r="M827" s="150"/>
    </row>
    <row r="828" hidden="1">
      <c r="B828" s="74"/>
      <c r="M828" s="150"/>
    </row>
    <row r="829" hidden="1">
      <c r="B829" s="74"/>
      <c r="M829" s="150"/>
    </row>
    <row r="830" hidden="1">
      <c r="B830" s="74"/>
      <c r="M830" s="150"/>
    </row>
    <row r="831" hidden="1">
      <c r="B831" s="74"/>
      <c r="M831" s="150"/>
    </row>
    <row r="832" hidden="1">
      <c r="B832" s="74"/>
      <c r="M832" s="150"/>
    </row>
    <row r="833" hidden="1">
      <c r="B833" s="74"/>
      <c r="M833" s="150"/>
    </row>
    <row r="834" hidden="1">
      <c r="B834" s="74"/>
      <c r="M834" s="150"/>
    </row>
    <row r="835" hidden="1">
      <c r="B835" s="74"/>
      <c r="M835" s="150"/>
    </row>
    <row r="836" hidden="1">
      <c r="B836" s="74"/>
      <c r="M836" s="150"/>
    </row>
    <row r="837" hidden="1">
      <c r="B837" s="74"/>
      <c r="M837" s="150"/>
    </row>
    <row r="838" hidden="1">
      <c r="B838" s="74"/>
      <c r="M838" s="150"/>
    </row>
    <row r="839" hidden="1">
      <c r="B839" s="74"/>
      <c r="M839" s="150"/>
    </row>
    <row r="840" hidden="1">
      <c r="B840" s="74"/>
      <c r="M840" s="150"/>
    </row>
    <row r="841" hidden="1">
      <c r="B841" s="74"/>
      <c r="M841" s="150"/>
    </row>
    <row r="842" hidden="1">
      <c r="B842" s="74"/>
      <c r="M842" s="150"/>
    </row>
    <row r="843" hidden="1">
      <c r="B843" s="74"/>
      <c r="M843" s="150"/>
    </row>
    <row r="844" hidden="1">
      <c r="B844" s="74"/>
      <c r="M844" s="150"/>
    </row>
    <row r="845" hidden="1">
      <c r="B845" s="74"/>
      <c r="M845" s="150"/>
    </row>
    <row r="846" hidden="1">
      <c r="B846" s="74"/>
      <c r="M846" s="150"/>
    </row>
    <row r="847" hidden="1">
      <c r="B847" s="74"/>
      <c r="M847" s="150"/>
    </row>
    <row r="848" hidden="1">
      <c r="B848" s="74"/>
      <c r="M848" s="150"/>
    </row>
    <row r="849" hidden="1">
      <c r="B849" s="74"/>
      <c r="M849" s="150"/>
    </row>
    <row r="850" hidden="1">
      <c r="B850" s="74"/>
      <c r="M850" s="150"/>
    </row>
    <row r="851" hidden="1">
      <c r="B851" s="74"/>
      <c r="M851" s="150"/>
    </row>
    <row r="852" hidden="1">
      <c r="B852" s="74"/>
      <c r="M852" s="150"/>
    </row>
    <row r="853" hidden="1">
      <c r="B853" s="74"/>
      <c r="M853" s="150"/>
    </row>
    <row r="854" hidden="1">
      <c r="B854" s="74"/>
      <c r="M854" s="150"/>
    </row>
    <row r="855" hidden="1">
      <c r="B855" s="74"/>
      <c r="M855" s="150"/>
    </row>
    <row r="856" hidden="1">
      <c r="B856" s="74"/>
      <c r="M856" s="150"/>
    </row>
    <row r="857" hidden="1">
      <c r="B857" s="74"/>
      <c r="M857" s="150"/>
    </row>
    <row r="858" hidden="1">
      <c r="B858" s="74"/>
      <c r="M858" s="150"/>
    </row>
    <row r="859" hidden="1">
      <c r="B859" s="74"/>
      <c r="M859" s="150"/>
    </row>
    <row r="860" hidden="1">
      <c r="B860" s="74"/>
      <c r="M860" s="150"/>
    </row>
    <row r="861" hidden="1">
      <c r="B861" s="74"/>
      <c r="M861" s="150"/>
    </row>
    <row r="862" hidden="1">
      <c r="B862" s="74"/>
      <c r="M862" s="150"/>
    </row>
    <row r="863" hidden="1">
      <c r="B863" s="74"/>
      <c r="M863" s="150"/>
    </row>
    <row r="864" hidden="1">
      <c r="B864" s="74"/>
      <c r="M864" s="150"/>
    </row>
    <row r="865" hidden="1">
      <c r="B865" s="74"/>
      <c r="M865" s="150"/>
    </row>
    <row r="866" hidden="1">
      <c r="B866" s="74"/>
      <c r="M866" s="150"/>
    </row>
    <row r="867" hidden="1">
      <c r="B867" s="74"/>
      <c r="M867" s="150"/>
    </row>
    <row r="868" hidden="1">
      <c r="B868" s="74"/>
      <c r="M868" s="150"/>
    </row>
    <row r="869" hidden="1">
      <c r="B869" s="74"/>
      <c r="M869" s="150"/>
    </row>
    <row r="870" hidden="1">
      <c r="B870" s="74"/>
      <c r="M870" s="150"/>
    </row>
    <row r="871" hidden="1">
      <c r="B871" s="74"/>
      <c r="M871" s="150"/>
    </row>
    <row r="872" hidden="1">
      <c r="B872" s="74"/>
      <c r="M872" s="150"/>
    </row>
    <row r="873" hidden="1">
      <c r="B873" s="74"/>
      <c r="M873" s="150"/>
    </row>
    <row r="874" hidden="1">
      <c r="B874" s="74"/>
      <c r="M874" s="150"/>
    </row>
    <row r="875" hidden="1">
      <c r="B875" s="74"/>
      <c r="M875" s="150"/>
    </row>
    <row r="876" hidden="1">
      <c r="B876" s="74"/>
      <c r="M876" s="150"/>
    </row>
    <row r="877" hidden="1">
      <c r="B877" s="74"/>
      <c r="M877" s="150"/>
    </row>
    <row r="878" hidden="1">
      <c r="B878" s="74"/>
      <c r="M878" s="150"/>
    </row>
    <row r="879" hidden="1">
      <c r="B879" s="74"/>
      <c r="M879" s="150"/>
    </row>
    <row r="880" hidden="1">
      <c r="B880" s="74"/>
      <c r="M880" s="150"/>
    </row>
    <row r="881" hidden="1">
      <c r="B881" s="74"/>
      <c r="M881" s="150"/>
    </row>
    <row r="882" hidden="1">
      <c r="B882" s="74"/>
      <c r="M882" s="150"/>
    </row>
    <row r="883" hidden="1">
      <c r="B883" s="74"/>
      <c r="M883" s="150"/>
    </row>
    <row r="884" hidden="1">
      <c r="B884" s="74"/>
      <c r="M884" s="150"/>
    </row>
    <row r="885" hidden="1">
      <c r="B885" s="74"/>
      <c r="M885" s="150"/>
    </row>
    <row r="886" hidden="1">
      <c r="B886" s="74"/>
      <c r="M886" s="150"/>
    </row>
    <row r="887" hidden="1">
      <c r="B887" s="74"/>
      <c r="M887" s="150"/>
    </row>
    <row r="888" hidden="1">
      <c r="B888" s="74"/>
      <c r="M888" s="150"/>
    </row>
    <row r="889" hidden="1">
      <c r="B889" s="74"/>
      <c r="M889" s="150"/>
    </row>
    <row r="890" hidden="1">
      <c r="B890" s="74"/>
      <c r="M890" s="150"/>
    </row>
    <row r="891" hidden="1">
      <c r="B891" s="74"/>
      <c r="M891" s="150"/>
    </row>
    <row r="892" hidden="1">
      <c r="B892" s="74"/>
      <c r="M892" s="150"/>
    </row>
    <row r="893" hidden="1">
      <c r="B893" s="74"/>
      <c r="M893" s="150"/>
    </row>
    <row r="894" hidden="1">
      <c r="B894" s="74"/>
      <c r="M894" s="150"/>
    </row>
    <row r="895" hidden="1">
      <c r="B895" s="74"/>
      <c r="M895" s="150"/>
    </row>
    <row r="896" hidden="1">
      <c r="B896" s="74"/>
      <c r="M896" s="150"/>
    </row>
    <row r="897" hidden="1">
      <c r="B897" s="74"/>
      <c r="M897" s="150"/>
    </row>
    <row r="898" hidden="1">
      <c r="B898" s="74"/>
      <c r="M898" s="150"/>
    </row>
    <row r="899" hidden="1">
      <c r="B899" s="74"/>
      <c r="M899" s="150"/>
    </row>
    <row r="900" hidden="1">
      <c r="B900" s="74"/>
      <c r="M900" s="150"/>
    </row>
    <row r="901" hidden="1">
      <c r="B901" s="74"/>
      <c r="M901" s="150"/>
    </row>
    <row r="902" hidden="1">
      <c r="B902" s="74"/>
      <c r="M902" s="150"/>
    </row>
    <row r="903" hidden="1">
      <c r="B903" s="74"/>
      <c r="M903" s="150"/>
    </row>
    <row r="904" hidden="1">
      <c r="B904" s="74"/>
      <c r="M904" s="150"/>
    </row>
    <row r="905" hidden="1">
      <c r="B905" s="74"/>
      <c r="M905" s="150"/>
    </row>
    <row r="906" hidden="1">
      <c r="B906" s="74"/>
      <c r="M906" s="150"/>
    </row>
    <row r="907" hidden="1">
      <c r="B907" s="74"/>
      <c r="M907" s="150"/>
    </row>
    <row r="908" hidden="1">
      <c r="B908" s="74"/>
      <c r="M908" s="150"/>
    </row>
    <row r="909" hidden="1">
      <c r="B909" s="74"/>
      <c r="M909" s="150"/>
    </row>
    <row r="910" hidden="1">
      <c r="B910" s="74"/>
      <c r="M910" s="150"/>
    </row>
    <row r="911" hidden="1">
      <c r="B911" s="74"/>
      <c r="M911" s="150"/>
    </row>
    <row r="912" hidden="1">
      <c r="B912" s="74"/>
      <c r="M912" s="150"/>
    </row>
    <row r="913" hidden="1">
      <c r="B913" s="74"/>
      <c r="M913" s="150"/>
    </row>
    <row r="914" hidden="1">
      <c r="B914" s="74"/>
      <c r="M914" s="150"/>
    </row>
    <row r="915" hidden="1">
      <c r="B915" s="74"/>
      <c r="M915" s="150"/>
    </row>
    <row r="916" hidden="1">
      <c r="B916" s="74"/>
      <c r="M916" s="150"/>
    </row>
    <row r="917" hidden="1">
      <c r="B917" s="74"/>
      <c r="M917" s="150"/>
    </row>
    <row r="918" hidden="1">
      <c r="B918" s="74"/>
      <c r="M918" s="150"/>
    </row>
    <row r="919" hidden="1">
      <c r="B919" s="74"/>
      <c r="M919" s="150"/>
    </row>
    <row r="920" hidden="1">
      <c r="B920" s="74"/>
      <c r="M920" s="150"/>
    </row>
    <row r="921" hidden="1">
      <c r="B921" s="74"/>
      <c r="M921" s="150"/>
    </row>
    <row r="922" hidden="1">
      <c r="B922" s="74"/>
      <c r="M922" s="150"/>
    </row>
    <row r="923" hidden="1">
      <c r="B923" s="74"/>
      <c r="M923" s="150"/>
    </row>
    <row r="924" hidden="1">
      <c r="B924" s="74"/>
      <c r="M924" s="150"/>
    </row>
    <row r="925" hidden="1">
      <c r="B925" s="74"/>
      <c r="M925" s="150"/>
    </row>
    <row r="926" hidden="1">
      <c r="B926" s="74"/>
      <c r="M926" s="150"/>
    </row>
    <row r="927" hidden="1">
      <c r="B927" s="74"/>
      <c r="M927" s="150"/>
    </row>
    <row r="928" hidden="1">
      <c r="B928" s="74"/>
      <c r="M928" s="150"/>
    </row>
    <row r="929" hidden="1">
      <c r="B929" s="74"/>
      <c r="M929" s="150"/>
    </row>
    <row r="930" hidden="1">
      <c r="B930" s="74"/>
      <c r="M930" s="150"/>
    </row>
    <row r="931" hidden="1">
      <c r="B931" s="74"/>
      <c r="M931" s="150"/>
    </row>
    <row r="932" hidden="1">
      <c r="B932" s="74"/>
      <c r="M932" s="150"/>
    </row>
    <row r="933" hidden="1">
      <c r="B933" s="74"/>
      <c r="M933" s="150"/>
    </row>
    <row r="934" hidden="1">
      <c r="B934" s="74"/>
      <c r="M934" s="150"/>
    </row>
    <row r="935" hidden="1">
      <c r="B935" s="74"/>
      <c r="M935" s="150"/>
    </row>
    <row r="936" hidden="1">
      <c r="B936" s="74"/>
      <c r="M936" s="150"/>
    </row>
    <row r="937" hidden="1">
      <c r="B937" s="74"/>
      <c r="M937" s="150"/>
    </row>
    <row r="938" hidden="1">
      <c r="B938" s="74"/>
      <c r="M938" s="150"/>
    </row>
    <row r="939" hidden="1">
      <c r="B939" s="74"/>
      <c r="M939" s="150"/>
    </row>
    <row r="940" hidden="1">
      <c r="B940" s="74"/>
      <c r="M940" s="150"/>
    </row>
    <row r="941" hidden="1">
      <c r="B941" s="74"/>
      <c r="M941" s="150"/>
    </row>
    <row r="942" hidden="1">
      <c r="B942" s="74"/>
      <c r="M942" s="150"/>
    </row>
    <row r="943" hidden="1">
      <c r="B943" s="74"/>
      <c r="M943" s="150"/>
    </row>
    <row r="944" hidden="1">
      <c r="B944" s="74"/>
      <c r="M944" s="150"/>
    </row>
    <row r="945" hidden="1">
      <c r="B945" s="74"/>
      <c r="M945" s="150"/>
    </row>
    <row r="946" hidden="1">
      <c r="B946" s="74"/>
      <c r="M946" s="150"/>
    </row>
    <row r="947" hidden="1">
      <c r="B947" s="74"/>
      <c r="M947" s="150"/>
    </row>
    <row r="948" hidden="1">
      <c r="B948" s="74"/>
      <c r="M948" s="150"/>
    </row>
    <row r="949" hidden="1">
      <c r="B949" s="74"/>
      <c r="M949" s="150"/>
    </row>
    <row r="950" hidden="1">
      <c r="B950" s="74"/>
      <c r="M950" s="150"/>
    </row>
    <row r="951" hidden="1">
      <c r="B951" s="74"/>
      <c r="M951" s="150"/>
    </row>
    <row r="952" hidden="1">
      <c r="B952" s="74"/>
      <c r="M952" s="150"/>
    </row>
    <row r="953" hidden="1">
      <c r="B953" s="74"/>
      <c r="M953" s="150"/>
    </row>
    <row r="954" hidden="1">
      <c r="B954" s="74"/>
      <c r="M954" s="150"/>
    </row>
    <row r="955" hidden="1">
      <c r="B955" s="74"/>
      <c r="M955" s="150"/>
    </row>
    <row r="956" hidden="1">
      <c r="B956" s="74"/>
      <c r="M956" s="150"/>
    </row>
    <row r="957" hidden="1">
      <c r="B957" s="74"/>
      <c r="M957" s="150"/>
    </row>
    <row r="958" hidden="1">
      <c r="B958" s="74"/>
      <c r="M958" s="150"/>
    </row>
    <row r="959" hidden="1">
      <c r="B959" s="74"/>
      <c r="M959" s="150"/>
    </row>
    <row r="960" hidden="1">
      <c r="B960" s="74"/>
      <c r="M960" s="150"/>
    </row>
    <row r="961" hidden="1">
      <c r="B961" s="74"/>
      <c r="M961" s="150"/>
    </row>
    <row r="962" hidden="1">
      <c r="B962" s="74"/>
      <c r="M962" s="150"/>
    </row>
    <row r="963" hidden="1">
      <c r="B963" s="74"/>
      <c r="M963" s="150"/>
    </row>
    <row r="964" hidden="1">
      <c r="B964" s="74"/>
      <c r="M964" s="150"/>
    </row>
    <row r="965" hidden="1">
      <c r="B965" s="74"/>
      <c r="M965" s="150"/>
    </row>
    <row r="966" hidden="1">
      <c r="B966" s="74"/>
      <c r="M966" s="150"/>
    </row>
    <row r="967" hidden="1">
      <c r="B967" s="74"/>
      <c r="M967" s="150"/>
    </row>
    <row r="968" hidden="1">
      <c r="B968" s="74"/>
      <c r="M968" s="150"/>
    </row>
    <row r="969" hidden="1">
      <c r="B969" s="74"/>
      <c r="M969" s="150"/>
    </row>
    <row r="970" hidden="1">
      <c r="B970" s="74"/>
      <c r="M970" s="150"/>
    </row>
    <row r="971" hidden="1">
      <c r="B971" s="74"/>
      <c r="M971" s="150"/>
    </row>
    <row r="972" hidden="1">
      <c r="B972" s="74"/>
      <c r="M972" s="150"/>
    </row>
    <row r="973" hidden="1">
      <c r="B973" s="74"/>
      <c r="M973" s="150"/>
    </row>
    <row r="974" hidden="1">
      <c r="B974" s="74"/>
      <c r="M974" s="150"/>
    </row>
    <row r="975" hidden="1">
      <c r="B975" s="74"/>
      <c r="M975" s="150"/>
    </row>
    <row r="976" hidden="1">
      <c r="B976" s="74"/>
      <c r="M976" s="150"/>
    </row>
    <row r="977" hidden="1">
      <c r="B977" s="74"/>
      <c r="M977" s="150"/>
    </row>
    <row r="978" hidden="1">
      <c r="B978" s="74"/>
      <c r="M978" s="150"/>
    </row>
    <row r="979" hidden="1">
      <c r="B979" s="74"/>
      <c r="M979" s="150"/>
    </row>
    <row r="980" hidden="1">
      <c r="B980" s="74"/>
      <c r="M980" s="150"/>
    </row>
    <row r="981" hidden="1">
      <c r="B981" s="74"/>
      <c r="M981" s="150"/>
    </row>
    <row r="982" hidden="1">
      <c r="B982" s="74"/>
      <c r="M982" s="150"/>
    </row>
    <row r="983" hidden="1">
      <c r="B983" s="74"/>
      <c r="M983" s="150"/>
    </row>
    <row r="984" hidden="1">
      <c r="B984" s="74"/>
      <c r="M984" s="150"/>
    </row>
    <row r="985" hidden="1">
      <c r="B985" s="74"/>
      <c r="M985" s="150"/>
    </row>
    <row r="986" hidden="1">
      <c r="B986" s="74"/>
      <c r="M986" s="150"/>
    </row>
    <row r="987" hidden="1">
      <c r="B987" s="74"/>
      <c r="M987" s="150"/>
    </row>
    <row r="988" hidden="1">
      <c r="B988" s="74"/>
      <c r="M988" s="150"/>
    </row>
    <row r="989" hidden="1">
      <c r="B989" s="74"/>
      <c r="M989" s="150"/>
    </row>
    <row r="990" hidden="1">
      <c r="B990" s="74"/>
      <c r="M990" s="150"/>
    </row>
    <row r="991" hidden="1">
      <c r="B991" s="74"/>
      <c r="M991" s="150"/>
    </row>
    <row r="992" hidden="1">
      <c r="B992" s="74"/>
      <c r="M992" s="150"/>
    </row>
    <row r="993" hidden="1">
      <c r="B993" s="74"/>
      <c r="M993" s="150"/>
    </row>
    <row r="994" hidden="1">
      <c r="B994" s="74"/>
      <c r="M994" s="150"/>
    </row>
    <row r="995" hidden="1">
      <c r="B995" s="74"/>
      <c r="M995" s="150"/>
    </row>
    <row r="996" hidden="1">
      <c r="B996" s="74"/>
      <c r="M996" s="150"/>
    </row>
    <row r="997" hidden="1">
      <c r="B997" s="74"/>
      <c r="M997" s="150"/>
    </row>
    <row r="998" hidden="1">
      <c r="B998" s="74"/>
      <c r="M998" s="150"/>
    </row>
    <row r="999" hidden="1">
      <c r="B999" s="74"/>
      <c r="M999" s="150"/>
    </row>
    <row r="1000" hidden="1">
      <c r="B1000" s="74"/>
      <c r="M1000" s="150"/>
    </row>
  </sheetData>
  <mergeCells count="21">
    <mergeCell ref="BK1:BT1"/>
    <mergeCell ref="BU1:CD1"/>
    <mergeCell ref="CE1:CN1"/>
    <mergeCell ref="CO1:CX1"/>
    <mergeCell ref="A1:B2"/>
    <mergeCell ref="C1:L1"/>
    <mergeCell ref="M1:V1"/>
    <mergeCell ref="W1:AF1"/>
    <mergeCell ref="AG1:AP1"/>
    <mergeCell ref="AQ1:AZ1"/>
    <mergeCell ref="BA1:BJ1"/>
    <mergeCell ref="A73:A82"/>
    <mergeCell ref="A83:A92"/>
    <mergeCell ref="A93:A102"/>
    <mergeCell ref="A3:A12"/>
    <mergeCell ref="A13:A22"/>
    <mergeCell ref="A23:A32"/>
    <mergeCell ref="A33:A42"/>
    <mergeCell ref="A43:A52"/>
    <mergeCell ref="A53:A62"/>
    <mergeCell ref="A63:A72"/>
  </mergeCell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63"/>
    <col customWidth="1" min="2" max="2" width="6.63"/>
    <col customWidth="1" min="3" max="102" width="6.13"/>
  </cols>
  <sheetData>
    <row r="1" ht="32.25" customHeight="1">
      <c r="A1" s="97" t="s">
        <v>2934</v>
      </c>
      <c r="B1" s="98"/>
      <c r="C1" s="99" t="s">
        <v>2935</v>
      </c>
      <c r="M1" s="100" t="s">
        <v>2936</v>
      </c>
      <c r="W1" s="101" t="s">
        <v>2937</v>
      </c>
      <c r="AG1" s="100" t="s">
        <v>2938</v>
      </c>
      <c r="AQ1" s="101" t="s">
        <v>2939</v>
      </c>
      <c r="BA1" s="100" t="s">
        <v>2940</v>
      </c>
      <c r="BK1" s="101" t="s">
        <v>2941</v>
      </c>
      <c r="BU1" s="100" t="s">
        <v>2942</v>
      </c>
      <c r="CE1" s="101" t="s">
        <v>2943</v>
      </c>
      <c r="CO1" s="100" t="s">
        <v>2944</v>
      </c>
    </row>
    <row r="2" ht="33.75" customHeight="1">
      <c r="A2" s="103"/>
      <c r="B2" s="104"/>
      <c r="C2" s="105">
        <v>45658.0</v>
      </c>
      <c r="D2" s="106">
        <v>45689.0</v>
      </c>
      <c r="E2" s="106">
        <v>45717.0</v>
      </c>
      <c r="F2" s="106">
        <v>45748.0</v>
      </c>
      <c r="G2" s="106">
        <v>45778.0</v>
      </c>
      <c r="H2" s="106">
        <v>45809.0</v>
      </c>
      <c r="I2" s="106">
        <v>45839.0</v>
      </c>
      <c r="J2" s="106">
        <v>45870.0</v>
      </c>
      <c r="K2" s="106">
        <v>45901.0</v>
      </c>
      <c r="L2" s="106">
        <v>45931.0</v>
      </c>
      <c r="M2" s="107">
        <v>45659.0</v>
      </c>
      <c r="N2" s="106">
        <v>45690.0</v>
      </c>
      <c r="O2" s="106">
        <v>45718.0</v>
      </c>
      <c r="P2" s="106">
        <v>45749.0</v>
      </c>
      <c r="Q2" s="106">
        <v>45779.0</v>
      </c>
      <c r="R2" s="106">
        <v>45810.0</v>
      </c>
      <c r="S2" s="106">
        <v>45840.0</v>
      </c>
      <c r="T2" s="106">
        <v>45871.0</v>
      </c>
      <c r="U2" s="106">
        <v>45902.0</v>
      </c>
      <c r="V2" s="106">
        <v>45932.0</v>
      </c>
      <c r="W2" s="107">
        <v>45660.0</v>
      </c>
      <c r="X2" s="106">
        <v>45691.0</v>
      </c>
      <c r="Y2" s="106">
        <v>45719.0</v>
      </c>
      <c r="Z2" s="106">
        <v>45750.0</v>
      </c>
      <c r="AA2" s="106">
        <v>45780.0</v>
      </c>
      <c r="AB2" s="106">
        <v>45811.0</v>
      </c>
      <c r="AC2" s="106">
        <v>45841.0</v>
      </c>
      <c r="AD2" s="106">
        <v>45872.0</v>
      </c>
      <c r="AE2" s="106">
        <v>45903.0</v>
      </c>
      <c r="AF2" s="106">
        <v>45933.0</v>
      </c>
      <c r="AG2" s="107">
        <v>45661.0</v>
      </c>
      <c r="AH2" s="106">
        <v>45692.0</v>
      </c>
      <c r="AI2" s="106">
        <v>45720.0</v>
      </c>
      <c r="AJ2" s="106">
        <v>45751.0</v>
      </c>
      <c r="AK2" s="106">
        <v>45781.0</v>
      </c>
      <c r="AL2" s="106">
        <v>45812.0</v>
      </c>
      <c r="AM2" s="106">
        <v>45842.0</v>
      </c>
      <c r="AN2" s="106">
        <v>45873.0</v>
      </c>
      <c r="AO2" s="106">
        <v>45904.0</v>
      </c>
      <c r="AP2" s="106">
        <v>45934.0</v>
      </c>
      <c r="AQ2" s="107">
        <v>45662.0</v>
      </c>
      <c r="AR2" s="106">
        <v>45693.0</v>
      </c>
      <c r="AS2" s="106">
        <v>45721.0</v>
      </c>
      <c r="AT2" s="106">
        <v>45752.0</v>
      </c>
      <c r="AU2" s="106">
        <v>45782.0</v>
      </c>
      <c r="AV2" s="106">
        <v>45813.0</v>
      </c>
      <c r="AW2" s="106">
        <v>45843.0</v>
      </c>
      <c r="AX2" s="106">
        <v>45874.0</v>
      </c>
      <c r="AY2" s="106">
        <v>45905.0</v>
      </c>
      <c r="AZ2" s="106">
        <v>45935.0</v>
      </c>
      <c r="BA2" s="107">
        <v>45663.0</v>
      </c>
      <c r="BB2" s="106">
        <v>45694.0</v>
      </c>
      <c r="BC2" s="106">
        <v>45722.0</v>
      </c>
      <c r="BD2" s="106">
        <v>45753.0</v>
      </c>
      <c r="BE2" s="106">
        <v>45783.0</v>
      </c>
      <c r="BF2" s="106">
        <v>45814.0</v>
      </c>
      <c r="BG2" s="106">
        <v>45844.0</v>
      </c>
      <c r="BH2" s="106">
        <v>45875.0</v>
      </c>
      <c r="BI2" s="106">
        <v>45906.0</v>
      </c>
      <c r="BJ2" s="106">
        <v>45936.0</v>
      </c>
      <c r="BK2" s="107">
        <v>45664.0</v>
      </c>
      <c r="BL2" s="106">
        <v>45695.0</v>
      </c>
      <c r="BM2" s="106">
        <v>45723.0</v>
      </c>
      <c r="BN2" s="106">
        <v>45754.0</v>
      </c>
      <c r="BO2" s="106">
        <v>45784.0</v>
      </c>
      <c r="BP2" s="106">
        <v>45815.0</v>
      </c>
      <c r="BQ2" s="106">
        <v>45845.0</v>
      </c>
      <c r="BR2" s="106">
        <v>45876.0</v>
      </c>
      <c r="BS2" s="106">
        <v>45907.0</v>
      </c>
      <c r="BT2" s="106">
        <v>45937.0</v>
      </c>
      <c r="BU2" s="107">
        <v>45665.0</v>
      </c>
      <c r="BV2" s="106">
        <v>45696.0</v>
      </c>
      <c r="BW2" s="106">
        <v>45724.0</v>
      </c>
      <c r="BX2" s="106">
        <v>45755.0</v>
      </c>
      <c r="BY2" s="106">
        <v>45785.0</v>
      </c>
      <c r="BZ2" s="106">
        <v>45816.0</v>
      </c>
      <c r="CA2" s="106">
        <v>45846.0</v>
      </c>
      <c r="CB2" s="106">
        <v>45877.0</v>
      </c>
      <c r="CC2" s="106">
        <v>45908.0</v>
      </c>
      <c r="CD2" s="106">
        <v>45938.0</v>
      </c>
      <c r="CE2" s="107">
        <v>45666.0</v>
      </c>
      <c r="CF2" s="106">
        <v>45697.0</v>
      </c>
      <c r="CG2" s="106">
        <v>45725.0</v>
      </c>
      <c r="CH2" s="106">
        <v>45756.0</v>
      </c>
      <c r="CI2" s="106">
        <v>45786.0</v>
      </c>
      <c r="CJ2" s="106">
        <v>45817.0</v>
      </c>
      <c r="CK2" s="106">
        <v>45847.0</v>
      </c>
      <c r="CL2" s="106">
        <v>45878.0</v>
      </c>
      <c r="CM2" s="106">
        <v>45909.0</v>
      </c>
      <c r="CN2" s="106">
        <v>45939.0</v>
      </c>
      <c r="CO2" s="107">
        <v>45667.0</v>
      </c>
      <c r="CP2" s="106">
        <v>45698.0</v>
      </c>
      <c r="CQ2" s="106">
        <v>45726.0</v>
      </c>
      <c r="CR2" s="106">
        <v>45757.0</v>
      </c>
      <c r="CS2" s="106">
        <v>45787.0</v>
      </c>
      <c r="CT2" s="106">
        <v>45818.0</v>
      </c>
      <c r="CU2" s="106">
        <v>45848.0</v>
      </c>
      <c r="CV2" s="106">
        <v>45879.0</v>
      </c>
      <c r="CW2" s="106">
        <v>45910.0</v>
      </c>
      <c r="CX2" s="151">
        <v>45940.0</v>
      </c>
    </row>
    <row r="3" ht="35.25" customHeight="1">
      <c r="A3" s="109" t="s">
        <v>2935</v>
      </c>
      <c r="B3" s="110">
        <f t="array" ref="B3:B102">transpose(C2:CX2)</f>
        <v>45658</v>
      </c>
      <c r="C3" s="152">
        <f>IFERROR('Similarity matrix'!C3/'Denominator matrix'!$B$17, "NA")</f>
        <v>0</v>
      </c>
      <c r="D3" s="153">
        <f>IFERROR('Similarity matrix'!D3/'Denominator matrix'!$C$17, "NA")</f>
        <v>1</v>
      </c>
      <c r="E3" s="153">
        <f>IFERROR('Similarity matrix'!E3/'Denominator matrix'!$D$17, "NA")</f>
        <v>0.25</v>
      </c>
      <c r="F3" s="153">
        <f>IFERROR('Similarity matrix'!F3/'Denominator matrix'!$E$17, "NA")</f>
        <v>0.5</v>
      </c>
      <c r="G3" s="153">
        <f>IFERROR('Similarity matrix'!G3/'Denominator matrix'!$F$17, "NA")</f>
        <v>0.8</v>
      </c>
      <c r="H3" s="153">
        <f>IFERROR('Similarity matrix'!H3/'Denominator matrix'!$G$17, "NA")</f>
        <v>0.7</v>
      </c>
      <c r="I3" s="153">
        <f>IFERROR('Similarity matrix'!I3/'Denominator matrix'!$H$17, "NA")</f>
        <v>0.5</v>
      </c>
      <c r="J3" s="153">
        <f>IFERROR('Similarity matrix'!J3/'Denominator matrix'!$I$17, "NA")</f>
        <v>0.75</v>
      </c>
      <c r="K3" s="153">
        <f>IFERROR('Similarity matrix'!K3/'Denominator matrix'!$J$17, "NA")</f>
        <v>0.8</v>
      </c>
      <c r="L3" s="153">
        <f>IFERROR('Similarity matrix'!L3/'Denominator matrix'!$K$17, "NA")</f>
        <v>1</v>
      </c>
      <c r="M3" s="154">
        <f>IFERROR('Similarity matrix'!M3/'Denominator matrix'!$B$17, "NA")</f>
        <v>0</v>
      </c>
      <c r="N3" s="153">
        <f>IFERROR('Similarity matrix'!N3/'Denominator matrix'!$C$17, "NA")</f>
        <v>0</v>
      </c>
      <c r="O3" s="153">
        <f>IFERROR('Similarity matrix'!O3/'Denominator matrix'!$D$17, "NA")</f>
        <v>0</v>
      </c>
      <c r="P3" s="153">
        <f>IFERROR('Similarity matrix'!P3/'Denominator matrix'!$E$17, "NA")</f>
        <v>0</v>
      </c>
      <c r="Q3" s="153">
        <f>IFERROR('Similarity matrix'!Q3/'Denominator matrix'!$F$17, "NA")</f>
        <v>0</v>
      </c>
      <c r="R3" s="153">
        <f>IFERROR('Similarity matrix'!R3/'Denominator matrix'!$G$17, "NA")</f>
        <v>0</v>
      </c>
      <c r="S3" s="153">
        <f>IFERROR('Similarity matrix'!S3/'Denominator matrix'!$H$17, "NA")</f>
        <v>0</v>
      </c>
      <c r="T3" s="153">
        <f>IFERROR('Similarity matrix'!T3/'Denominator matrix'!$I$17, "NA")</f>
        <v>0</v>
      </c>
      <c r="U3" s="153">
        <f>IFERROR('Similarity matrix'!U3/'Denominator matrix'!$J$17, "NA")</f>
        <v>0</v>
      </c>
      <c r="V3" s="153">
        <f>IFERROR('Similarity matrix'!V3/'Denominator matrix'!$K$17, "NA")</f>
        <v>0</v>
      </c>
      <c r="W3" s="154">
        <f>IFERROR('Similarity matrix'!W3/'Denominator matrix'!$B$17, "NA")</f>
        <v>0</v>
      </c>
      <c r="X3" s="153">
        <f>IFERROR('Similarity matrix'!X3/'Denominator matrix'!$C$17, "NA")</f>
        <v>0</v>
      </c>
      <c r="Y3" s="153">
        <f>IFERROR('Similarity matrix'!Y3/'Denominator matrix'!$D$17, "NA")</f>
        <v>0</v>
      </c>
      <c r="Z3" s="153">
        <f>IFERROR('Similarity matrix'!Z3/'Denominator matrix'!$E$17, "NA")</f>
        <v>0</v>
      </c>
      <c r="AA3" s="153">
        <f>IFERROR('Similarity matrix'!AA3/'Denominator matrix'!$F$17, "NA")</f>
        <v>0</v>
      </c>
      <c r="AB3" s="153">
        <f>IFERROR('Similarity matrix'!AB3/'Denominator matrix'!$G$17, "NA")</f>
        <v>0</v>
      </c>
      <c r="AC3" s="153">
        <f>IFERROR('Similarity matrix'!AC3/'Denominator matrix'!$H$17, "NA")</f>
        <v>0</v>
      </c>
      <c r="AD3" s="153">
        <f>IFERROR('Similarity matrix'!AD3/'Denominator matrix'!$I$17, "NA")</f>
        <v>0</v>
      </c>
      <c r="AE3" s="153">
        <f>IFERROR('Similarity matrix'!AE3/'Denominator matrix'!$J$17, "NA")</f>
        <v>0</v>
      </c>
      <c r="AF3" s="153">
        <f>IFERROR('Similarity matrix'!AF3/'Denominator matrix'!$K$17, "NA")</f>
        <v>0</v>
      </c>
      <c r="AG3" s="154">
        <f>IFERROR('Similarity matrix'!AG3/'Denominator matrix'!$B$17, "NA")</f>
        <v>0</v>
      </c>
      <c r="AH3" s="153">
        <f>IFERROR('Similarity matrix'!AH3/'Denominator matrix'!$C$17, "NA")</f>
        <v>0</v>
      </c>
      <c r="AI3" s="153">
        <f>IFERROR('Similarity matrix'!AI3/'Denominator matrix'!$D$17, "NA")</f>
        <v>0</v>
      </c>
      <c r="AJ3" s="153">
        <f>IFERROR('Similarity matrix'!AJ3/'Denominator matrix'!$E$17, "NA")</f>
        <v>0</v>
      </c>
      <c r="AK3" s="153">
        <f>IFERROR('Similarity matrix'!AK3/'Denominator matrix'!$F$17, "NA")</f>
        <v>0</v>
      </c>
      <c r="AL3" s="153">
        <f>IFERROR('Similarity matrix'!AL3/'Denominator matrix'!$G$17, "NA")</f>
        <v>0</v>
      </c>
      <c r="AM3" s="153">
        <f>IFERROR('Similarity matrix'!AM3/'Denominator matrix'!$H$17, "NA")</f>
        <v>0</v>
      </c>
      <c r="AN3" s="153">
        <f>IFERROR('Similarity matrix'!AN3/'Denominator matrix'!$I$17, "NA")</f>
        <v>0</v>
      </c>
      <c r="AO3" s="153">
        <f>IFERROR('Similarity matrix'!AO3/'Denominator matrix'!$J$17, "NA")</f>
        <v>0</v>
      </c>
      <c r="AP3" s="153">
        <f>IFERROR('Similarity matrix'!AP3/'Denominator matrix'!$K$17, "NA")</f>
        <v>0</v>
      </c>
      <c r="AQ3" s="154">
        <f>IFERROR('Similarity matrix'!AQ3/'Denominator matrix'!$B$17, "NA")</f>
        <v>0</v>
      </c>
      <c r="AR3" s="153">
        <f>IFERROR('Similarity matrix'!AR3/'Denominator matrix'!$C$17, "NA")</f>
        <v>0</v>
      </c>
      <c r="AS3" s="153">
        <f>IFERROR('Similarity matrix'!AS3/'Denominator matrix'!$D$17, "NA")</f>
        <v>0</v>
      </c>
      <c r="AT3" s="153">
        <f>IFERROR('Similarity matrix'!AT3/'Denominator matrix'!$E$17, "NA")</f>
        <v>0</v>
      </c>
      <c r="AU3" s="153">
        <f>IFERROR('Similarity matrix'!AU3/'Denominator matrix'!$F$17, "NA")</f>
        <v>0</v>
      </c>
      <c r="AV3" s="153">
        <f>IFERROR('Similarity matrix'!AV3/'Denominator matrix'!$G$17, "NA")</f>
        <v>0</v>
      </c>
      <c r="AW3" s="153">
        <f>IFERROR('Similarity matrix'!AW3/'Denominator matrix'!$H$17, "NA")</f>
        <v>0</v>
      </c>
      <c r="AX3" s="153">
        <f>IFERROR('Similarity matrix'!AX3/'Denominator matrix'!$I$17, "NA")</f>
        <v>0</v>
      </c>
      <c r="AY3" s="153">
        <f>IFERROR('Similarity matrix'!AY3/'Denominator matrix'!$J$17, "NA")</f>
        <v>0</v>
      </c>
      <c r="AZ3" s="153">
        <f>IFERROR('Similarity matrix'!AZ3/'Denominator matrix'!$K$17, "NA")</f>
        <v>0</v>
      </c>
      <c r="BA3" s="154">
        <f>IFERROR('Similarity matrix'!BA3/'Denominator matrix'!$B$17, "NA")</f>
        <v>0.05555555556</v>
      </c>
      <c r="BB3" s="153">
        <f>IFERROR('Similarity matrix'!BB3/'Denominator matrix'!$C$17, "NA")</f>
        <v>0</v>
      </c>
      <c r="BC3" s="153">
        <f>IFERROR('Similarity matrix'!BC3/'Denominator matrix'!$D$17, "NA")</f>
        <v>0</v>
      </c>
      <c r="BD3" s="153">
        <f>IFERROR('Similarity matrix'!BD3/'Denominator matrix'!$E$17, "NA")</f>
        <v>0</v>
      </c>
      <c r="BE3" s="153">
        <f>IFERROR('Similarity matrix'!BE3/'Denominator matrix'!$F$17, "NA")</f>
        <v>0.1</v>
      </c>
      <c r="BF3" s="153">
        <f>IFERROR('Similarity matrix'!BF3/'Denominator matrix'!$G$17, "NA")</f>
        <v>0.1</v>
      </c>
      <c r="BG3" s="153">
        <f>IFERROR('Similarity matrix'!BG3/'Denominator matrix'!$H$17, "NA")</f>
        <v>0</v>
      </c>
      <c r="BH3" s="153">
        <f>IFERROR('Similarity matrix'!BH3/'Denominator matrix'!$I$17, "NA")</f>
        <v>0</v>
      </c>
      <c r="BI3" s="153">
        <f>IFERROR('Similarity matrix'!BI3/'Denominator matrix'!$J$17, "NA")</f>
        <v>0</v>
      </c>
      <c r="BJ3" s="153">
        <f>IFERROR('Similarity matrix'!BJ3/'Denominator matrix'!$K$17, "NA")</f>
        <v>0.25</v>
      </c>
      <c r="BK3" s="154">
        <f>IFERROR('Similarity matrix'!BK3/'Denominator matrix'!$B$17, "NA")</f>
        <v>0</v>
      </c>
      <c r="BL3" s="153">
        <f>IFERROR('Similarity matrix'!BL3/'Denominator matrix'!$C$17, "NA")</f>
        <v>0</v>
      </c>
      <c r="BM3" s="153">
        <f>IFERROR('Similarity matrix'!BM3/'Denominator matrix'!$D$17, "NA")</f>
        <v>0</v>
      </c>
      <c r="BN3" s="153">
        <f>IFERROR('Similarity matrix'!BN3/'Denominator matrix'!$E$17, "NA")</f>
        <v>0</v>
      </c>
      <c r="BO3" s="153">
        <f>IFERROR('Similarity matrix'!BO3/'Denominator matrix'!$F$17, "NA")</f>
        <v>0</v>
      </c>
      <c r="BP3" s="153">
        <f>IFERROR('Similarity matrix'!BP3/'Denominator matrix'!$G$17, "NA")</f>
        <v>0</v>
      </c>
      <c r="BQ3" s="153">
        <f>IFERROR('Similarity matrix'!BQ3/'Denominator matrix'!$H$17, "NA")</f>
        <v>0</v>
      </c>
      <c r="BR3" s="153">
        <f>IFERROR('Similarity matrix'!BR3/'Denominator matrix'!$I$17, "NA")</f>
        <v>0</v>
      </c>
      <c r="BS3" s="153">
        <f>IFERROR('Similarity matrix'!BS3/'Denominator matrix'!$J$17, "NA")</f>
        <v>0</v>
      </c>
      <c r="BT3" s="153">
        <f>IFERROR('Similarity matrix'!BT3/'Denominator matrix'!$K$17, "NA")</f>
        <v>0</v>
      </c>
      <c r="BU3" s="154">
        <f>IFERROR('Similarity matrix'!BU3/'Denominator matrix'!$B$17, "NA")</f>
        <v>0</v>
      </c>
      <c r="BV3" s="153">
        <f>IFERROR('Similarity matrix'!BV3/'Denominator matrix'!$C$17, "NA")</f>
        <v>0</v>
      </c>
      <c r="BW3" s="153">
        <f>IFERROR('Similarity matrix'!BW3/'Denominator matrix'!$D$17, "NA")</f>
        <v>0</v>
      </c>
      <c r="BX3" s="153">
        <f>IFERROR('Similarity matrix'!BX3/'Denominator matrix'!$E$17, "NA")</f>
        <v>0</v>
      </c>
      <c r="BY3" s="153">
        <f>IFERROR('Similarity matrix'!BY3/'Denominator matrix'!$F$17, "NA")</f>
        <v>0</v>
      </c>
      <c r="BZ3" s="153">
        <f>IFERROR('Similarity matrix'!BZ3/'Denominator matrix'!$G$17, "NA")</f>
        <v>0</v>
      </c>
      <c r="CA3" s="153">
        <f>IFERROR('Similarity matrix'!CA3/'Denominator matrix'!$H$17, "NA")</f>
        <v>0</v>
      </c>
      <c r="CB3" s="153">
        <f>IFERROR('Similarity matrix'!CB3/'Denominator matrix'!$I$17, "NA")</f>
        <v>0</v>
      </c>
      <c r="CC3" s="153">
        <f>IFERROR('Similarity matrix'!CC3/'Denominator matrix'!$J$17, "NA")</f>
        <v>0</v>
      </c>
      <c r="CD3" s="153">
        <f>IFERROR('Similarity matrix'!CD3/'Denominator matrix'!$K$17, "NA")</f>
        <v>0</v>
      </c>
      <c r="CE3" s="154">
        <f>IFERROR('Similarity matrix'!CE3/'Denominator matrix'!$B$17, "NA")</f>
        <v>0</v>
      </c>
      <c r="CF3" s="153">
        <f>IFERROR('Similarity matrix'!CF3/'Denominator matrix'!$C$17, "NA")</f>
        <v>0</v>
      </c>
      <c r="CG3" s="153">
        <f>IFERROR('Similarity matrix'!CG3/'Denominator matrix'!$D$17, "NA")</f>
        <v>0</v>
      </c>
      <c r="CH3" s="153">
        <f>IFERROR('Similarity matrix'!CH3/'Denominator matrix'!$E$17, "NA")</f>
        <v>0</v>
      </c>
      <c r="CI3" s="153">
        <f>IFERROR('Similarity matrix'!CI3/'Denominator matrix'!$F$17, "NA")</f>
        <v>0</v>
      </c>
      <c r="CJ3" s="153">
        <f>IFERROR('Similarity matrix'!CJ3/'Denominator matrix'!$G$17, "NA")</f>
        <v>0</v>
      </c>
      <c r="CK3" s="153">
        <f>IFERROR('Similarity matrix'!CK3/'Denominator matrix'!$H$17, "NA")</f>
        <v>0</v>
      </c>
      <c r="CL3" s="153">
        <f>IFERROR('Similarity matrix'!CL3/'Denominator matrix'!$I$17, "NA")</f>
        <v>0</v>
      </c>
      <c r="CM3" s="153">
        <f>IFERROR('Similarity matrix'!CM3/'Denominator matrix'!$J$17, "NA")</f>
        <v>0</v>
      </c>
      <c r="CN3" s="153">
        <f>IFERROR('Similarity matrix'!CN3/'Denominator matrix'!$K$17, "NA")</f>
        <v>0</v>
      </c>
      <c r="CO3" s="154">
        <f>IFERROR('Similarity matrix'!CO3/'Denominator matrix'!$B$17, "NA")</f>
        <v>0</v>
      </c>
      <c r="CP3" s="153">
        <f>IFERROR('Similarity matrix'!CP3/'Denominator matrix'!$C$17, "NA")</f>
        <v>0</v>
      </c>
      <c r="CQ3" s="153">
        <f>IFERROR('Similarity matrix'!CQ3/'Denominator matrix'!$D$17, "NA")</f>
        <v>0</v>
      </c>
      <c r="CR3" s="153">
        <f>IFERROR('Similarity matrix'!CR3/'Denominator matrix'!$E$17, "NA")</f>
        <v>0</v>
      </c>
      <c r="CS3" s="153">
        <f>IFERROR('Similarity matrix'!CS3/'Denominator matrix'!$F$17, "NA")</f>
        <v>0</v>
      </c>
      <c r="CT3" s="153">
        <f>IFERROR('Similarity matrix'!CT3/'Denominator matrix'!$G$17, "NA")</f>
        <v>0</v>
      </c>
      <c r="CU3" s="153">
        <f>IFERROR('Similarity matrix'!CU3/'Denominator matrix'!$H$17, "NA")</f>
        <v>0</v>
      </c>
      <c r="CV3" s="153">
        <f>IFERROR('Similarity matrix'!CV3/'Denominator matrix'!$I$17, "NA")</f>
        <v>0</v>
      </c>
      <c r="CW3" s="153">
        <f>IFERROR('Similarity matrix'!CW3/'Denominator matrix'!$J$17, "NA")</f>
        <v>0</v>
      </c>
      <c r="CX3" s="153">
        <f>IFERROR('Similarity matrix'!CX3/'Denominator matrix'!$K$17, "NA")</f>
        <v>0</v>
      </c>
    </row>
    <row r="4" ht="35.25" customHeight="1">
      <c r="B4" s="118">
        <v>45689.0</v>
      </c>
      <c r="C4" s="154">
        <f>IFERROR('Similarity matrix'!C4/'Denominator matrix'!$B$18, "NA")</f>
        <v>1</v>
      </c>
      <c r="D4" s="155">
        <f>IFERROR('Similarity matrix'!D4/'Denominator matrix'!$C$18, "NA")</f>
        <v>0</v>
      </c>
      <c r="E4" s="153">
        <f>IFERROR('Similarity matrix'!E4/'Denominator matrix'!$D$18, "NA")</f>
        <v>1</v>
      </c>
      <c r="F4" s="153">
        <f>IFERROR('Similarity matrix'!F4/'Denominator matrix'!$E$18, "NA")</f>
        <v>1</v>
      </c>
      <c r="G4" s="153">
        <f>IFERROR('Similarity matrix'!G4/'Denominator matrix'!$F$18, "NA")</f>
        <v>1</v>
      </c>
      <c r="H4" s="153">
        <f>IFERROR('Similarity matrix'!H4/'Denominator matrix'!$G$18, "NA")</f>
        <v>1</v>
      </c>
      <c r="I4" s="153">
        <f>IFERROR('Similarity matrix'!I4/'Denominator matrix'!$H$18, "NA")</f>
        <v>0.8333333333</v>
      </c>
      <c r="J4" s="153">
        <f>IFERROR('Similarity matrix'!J4/'Denominator matrix'!$I$18, "NA")</f>
        <v>0.75</v>
      </c>
      <c r="K4" s="153">
        <f>IFERROR('Similarity matrix'!K4/'Denominator matrix'!$J$18, "NA")</f>
        <v>1</v>
      </c>
      <c r="L4" s="153">
        <f>IFERROR('Similarity matrix'!L4/'Denominator matrix'!$K$18, "NA")</f>
        <v>1</v>
      </c>
      <c r="M4" s="154">
        <f>IFERROR('Similarity matrix'!M4/'Denominator matrix'!$B$18, "NA")</f>
        <v>0</v>
      </c>
      <c r="N4" s="156">
        <f>IFERROR('Similarity matrix'!N4/'Denominator matrix'!$C$18, "NA")</f>
        <v>0</v>
      </c>
      <c r="O4" s="153">
        <f>IFERROR('Similarity matrix'!O4/'Denominator matrix'!$D$18, "NA")</f>
        <v>0</v>
      </c>
      <c r="P4" s="153">
        <f>IFERROR('Similarity matrix'!P4/'Denominator matrix'!$E$18, "NA")</f>
        <v>0</v>
      </c>
      <c r="Q4" s="153">
        <f>IFERROR('Similarity matrix'!Q4/'Denominator matrix'!$F$18, "NA")</f>
        <v>0</v>
      </c>
      <c r="R4" s="153">
        <f>IFERROR('Similarity matrix'!R4/'Denominator matrix'!$G$18, "NA")</f>
        <v>0</v>
      </c>
      <c r="S4" s="153">
        <f>IFERROR('Similarity matrix'!S4/'Denominator matrix'!$H$18, "NA")</f>
        <v>0</v>
      </c>
      <c r="T4" s="153">
        <f>IFERROR('Similarity matrix'!T4/'Denominator matrix'!$I$18, "NA")</f>
        <v>0</v>
      </c>
      <c r="U4" s="153">
        <f>IFERROR('Similarity matrix'!U4/'Denominator matrix'!$J$18, "NA")</f>
        <v>0</v>
      </c>
      <c r="V4" s="153">
        <f>IFERROR('Similarity matrix'!V4/'Denominator matrix'!$K$18, "NA")</f>
        <v>0</v>
      </c>
      <c r="W4" s="154">
        <f>IFERROR('Similarity matrix'!W4/'Denominator matrix'!$B$18, "NA")</f>
        <v>0</v>
      </c>
      <c r="X4" s="156">
        <f>IFERROR('Similarity matrix'!X4/'Denominator matrix'!$C$18, "NA")</f>
        <v>0</v>
      </c>
      <c r="Y4" s="153">
        <f>IFERROR('Similarity matrix'!Y4/'Denominator matrix'!$D$18, "NA")</f>
        <v>0</v>
      </c>
      <c r="Z4" s="153">
        <f>IFERROR('Similarity matrix'!Z4/'Denominator matrix'!$E$18, "NA")</f>
        <v>0</v>
      </c>
      <c r="AA4" s="153">
        <f>IFERROR('Similarity matrix'!AA4/'Denominator matrix'!$F$18, "NA")</f>
        <v>0</v>
      </c>
      <c r="AB4" s="153">
        <f>IFERROR('Similarity matrix'!AB4/'Denominator matrix'!$G$18, "NA")</f>
        <v>0</v>
      </c>
      <c r="AC4" s="153">
        <f>IFERROR('Similarity matrix'!AC4/'Denominator matrix'!$H$18, "NA")</f>
        <v>0</v>
      </c>
      <c r="AD4" s="153">
        <f>IFERROR('Similarity matrix'!AD4/'Denominator matrix'!$I$18, "NA")</f>
        <v>0</v>
      </c>
      <c r="AE4" s="153">
        <f>IFERROR('Similarity matrix'!AE4/'Denominator matrix'!$J$18, "NA")</f>
        <v>0</v>
      </c>
      <c r="AF4" s="153">
        <f>IFERROR('Similarity matrix'!AF4/'Denominator matrix'!$K$18, "NA")</f>
        <v>0</v>
      </c>
      <c r="AG4" s="154">
        <f>IFERROR('Similarity matrix'!AG4/'Denominator matrix'!$B$18, "NA")</f>
        <v>0</v>
      </c>
      <c r="AH4" s="156">
        <f>IFERROR('Similarity matrix'!AH4/'Denominator matrix'!$C$18, "NA")</f>
        <v>0</v>
      </c>
      <c r="AI4" s="153">
        <f>IFERROR('Similarity matrix'!AI4/'Denominator matrix'!$D$18, "NA")</f>
        <v>0</v>
      </c>
      <c r="AJ4" s="153">
        <f>IFERROR('Similarity matrix'!AJ4/'Denominator matrix'!$E$18, "NA")</f>
        <v>0</v>
      </c>
      <c r="AK4" s="153">
        <f>IFERROR('Similarity matrix'!AK4/'Denominator matrix'!$F$18, "NA")</f>
        <v>0</v>
      </c>
      <c r="AL4" s="153">
        <f>IFERROR('Similarity matrix'!AL4/'Denominator matrix'!$G$18, "NA")</f>
        <v>0</v>
      </c>
      <c r="AM4" s="153">
        <f>IFERROR('Similarity matrix'!AM4/'Denominator matrix'!$H$18, "NA")</f>
        <v>0</v>
      </c>
      <c r="AN4" s="153">
        <f>IFERROR('Similarity matrix'!AN4/'Denominator matrix'!$I$18, "NA")</f>
        <v>0</v>
      </c>
      <c r="AO4" s="153">
        <f>IFERROR('Similarity matrix'!AO4/'Denominator matrix'!$J$18, "NA")</f>
        <v>0</v>
      </c>
      <c r="AP4" s="153">
        <f>IFERROR('Similarity matrix'!AP4/'Denominator matrix'!$K$18, "NA")</f>
        <v>0</v>
      </c>
      <c r="AQ4" s="154">
        <f>IFERROR('Similarity matrix'!AQ4/'Denominator matrix'!$B$18, "NA")</f>
        <v>0</v>
      </c>
      <c r="AR4" s="156">
        <f>IFERROR('Similarity matrix'!AR4/'Denominator matrix'!$C$18, "NA")</f>
        <v>0</v>
      </c>
      <c r="AS4" s="153">
        <f>IFERROR('Similarity matrix'!AS4/'Denominator matrix'!$D$18, "NA")</f>
        <v>0</v>
      </c>
      <c r="AT4" s="153">
        <f>IFERROR('Similarity matrix'!AT4/'Denominator matrix'!$E$18, "NA")</f>
        <v>0</v>
      </c>
      <c r="AU4" s="153">
        <f>IFERROR('Similarity matrix'!AU4/'Denominator matrix'!$F$18, "NA")</f>
        <v>0</v>
      </c>
      <c r="AV4" s="153">
        <f>IFERROR('Similarity matrix'!AV4/'Denominator matrix'!$G$18, "NA")</f>
        <v>0</v>
      </c>
      <c r="AW4" s="153">
        <f>IFERROR('Similarity matrix'!AW4/'Denominator matrix'!$H$18, "NA")</f>
        <v>0</v>
      </c>
      <c r="AX4" s="153">
        <f>IFERROR('Similarity matrix'!AX4/'Denominator matrix'!$I$18, "NA")</f>
        <v>0.25</v>
      </c>
      <c r="AY4" s="153">
        <f>IFERROR('Similarity matrix'!AY4/'Denominator matrix'!$J$18, "NA")</f>
        <v>0</v>
      </c>
      <c r="AZ4" s="153">
        <f>IFERROR('Similarity matrix'!AZ4/'Denominator matrix'!$K$18, "NA")</f>
        <v>0</v>
      </c>
      <c r="BA4" s="154">
        <f>IFERROR('Similarity matrix'!BA4/'Denominator matrix'!$B$18, "NA")</f>
        <v>0</v>
      </c>
      <c r="BB4" s="156">
        <f>IFERROR('Similarity matrix'!BB4/'Denominator matrix'!$C$18, "NA")</f>
        <v>0</v>
      </c>
      <c r="BC4" s="153">
        <f>IFERROR('Similarity matrix'!BC4/'Denominator matrix'!$D$18, "NA")</f>
        <v>0</v>
      </c>
      <c r="BD4" s="153">
        <f>IFERROR('Similarity matrix'!BD4/'Denominator matrix'!$E$18, "NA")</f>
        <v>0</v>
      </c>
      <c r="BE4" s="153">
        <f>IFERROR('Similarity matrix'!BE4/'Denominator matrix'!$F$18, "NA")</f>
        <v>0</v>
      </c>
      <c r="BF4" s="153">
        <f>IFERROR('Similarity matrix'!BF4/'Denominator matrix'!$G$18, "NA")</f>
        <v>0</v>
      </c>
      <c r="BG4" s="153">
        <f>IFERROR('Similarity matrix'!BG4/'Denominator matrix'!$H$18, "NA")</f>
        <v>0</v>
      </c>
      <c r="BH4" s="153">
        <f>IFERROR('Similarity matrix'!BH4/'Denominator matrix'!$I$18, "NA")</f>
        <v>0</v>
      </c>
      <c r="BI4" s="153">
        <f>IFERROR('Similarity matrix'!BI4/'Denominator matrix'!$J$18, "NA")</f>
        <v>0</v>
      </c>
      <c r="BJ4" s="153">
        <f>IFERROR('Similarity matrix'!BJ4/'Denominator matrix'!$K$18, "NA")</f>
        <v>0</v>
      </c>
      <c r="BK4" s="154">
        <f>IFERROR('Similarity matrix'!BK4/'Denominator matrix'!$B$18, "NA")</f>
        <v>0</v>
      </c>
      <c r="BL4" s="156">
        <f>IFERROR('Similarity matrix'!BL4/'Denominator matrix'!$C$18, "NA")</f>
        <v>0</v>
      </c>
      <c r="BM4" s="153">
        <f>IFERROR('Similarity matrix'!BM4/'Denominator matrix'!$D$18, "NA")</f>
        <v>0</v>
      </c>
      <c r="BN4" s="153">
        <f>IFERROR('Similarity matrix'!BN4/'Denominator matrix'!$E$18, "NA")</f>
        <v>0</v>
      </c>
      <c r="BO4" s="153">
        <f>IFERROR('Similarity matrix'!BO4/'Denominator matrix'!$F$18, "NA")</f>
        <v>0</v>
      </c>
      <c r="BP4" s="153">
        <f>IFERROR('Similarity matrix'!BP4/'Denominator matrix'!$G$18, "NA")</f>
        <v>0</v>
      </c>
      <c r="BQ4" s="153">
        <f>IFERROR('Similarity matrix'!BQ4/'Denominator matrix'!$H$18, "NA")</f>
        <v>0</v>
      </c>
      <c r="BR4" s="153">
        <f>IFERROR('Similarity matrix'!BR4/'Denominator matrix'!$I$18, "NA")</f>
        <v>0</v>
      </c>
      <c r="BS4" s="153">
        <f>IFERROR('Similarity matrix'!BS4/'Denominator matrix'!$J$18, "NA")</f>
        <v>0</v>
      </c>
      <c r="BT4" s="153">
        <f>IFERROR('Similarity matrix'!BT4/'Denominator matrix'!$K$18, "NA")</f>
        <v>0</v>
      </c>
      <c r="BU4" s="154">
        <f>IFERROR('Similarity matrix'!BU4/'Denominator matrix'!$B$18, "NA")</f>
        <v>0</v>
      </c>
      <c r="BV4" s="156">
        <f>IFERROR('Similarity matrix'!BV4/'Denominator matrix'!$C$18, "NA")</f>
        <v>0.07142857143</v>
      </c>
      <c r="BW4" s="153">
        <f>IFERROR('Similarity matrix'!BW4/'Denominator matrix'!$D$18, "NA")</f>
        <v>0</v>
      </c>
      <c r="BX4" s="153">
        <f>IFERROR('Similarity matrix'!BX4/'Denominator matrix'!$E$18, "NA")</f>
        <v>0</v>
      </c>
      <c r="BY4" s="153">
        <f>IFERROR('Similarity matrix'!BY4/'Denominator matrix'!$F$18, "NA")</f>
        <v>0</v>
      </c>
      <c r="BZ4" s="153">
        <f>IFERROR('Similarity matrix'!BZ4/'Denominator matrix'!$G$18, "NA")</f>
        <v>0</v>
      </c>
      <c r="CA4" s="153">
        <f>IFERROR('Similarity matrix'!CA4/'Denominator matrix'!$H$18, "NA")</f>
        <v>0</v>
      </c>
      <c r="CB4" s="153">
        <f>IFERROR('Similarity matrix'!CB4/'Denominator matrix'!$I$18, "NA")</f>
        <v>0</v>
      </c>
      <c r="CC4" s="153">
        <f>IFERROR('Similarity matrix'!CC4/'Denominator matrix'!$J$18, "NA")</f>
        <v>0</v>
      </c>
      <c r="CD4" s="153">
        <f>IFERROR('Similarity matrix'!CD4/'Denominator matrix'!$K$18, "NA")</f>
        <v>0.25</v>
      </c>
      <c r="CE4" s="154">
        <f>IFERROR('Similarity matrix'!CE4/'Denominator matrix'!$B$18, "NA")</f>
        <v>0</v>
      </c>
      <c r="CF4" s="156">
        <f>IFERROR('Similarity matrix'!CF4/'Denominator matrix'!$C$18, "NA")</f>
        <v>0</v>
      </c>
      <c r="CG4" s="153">
        <f>IFERROR('Similarity matrix'!CG4/'Denominator matrix'!$D$18, "NA")</f>
        <v>0</v>
      </c>
      <c r="CH4" s="153">
        <f>IFERROR('Similarity matrix'!CH4/'Denominator matrix'!$E$18, "NA")</f>
        <v>0</v>
      </c>
      <c r="CI4" s="153">
        <f>IFERROR('Similarity matrix'!CI4/'Denominator matrix'!$F$18, "NA")</f>
        <v>0</v>
      </c>
      <c r="CJ4" s="153">
        <f>IFERROR('Similarity matrix'!CJ4/'Denominator matrix'!$G$18, "NA")</f>
        <v>0</v>
      </c>
      <c r="CK4" s="153">
        <f>IFERROR('Similarity matrix'!CK4/'Denominator matrix'!$H$18, "NA")</f>
        <v>0</v>
      </c>
      <c r="CL4" s="153">
        <f>IFERROR('Similarity matrix'!CL4/'Denominator matrix'!$I$18, "NA")</f>
        <v>0</v>
      </c>
      <c r="CM4" s="153">
        <f>IFERROR('Similarity matrix'!CM4/'Denominator matrix'!$J$18, "NA")</f>
        <v>0</v>
      </c>
      <c r="CN4" s="153">
        <f>IFERROR('Similarity matrix'!CN4/'Denominator matrix'!$K$18, "NA")</f>
        <v>0</v>
      </c>
      <c r="CO4" s="154">
        <f>IFERROR('Similarity matrix'!CO4/'Denominator matrix'!$B$18, "NA")</f>
        <v>0</v>
      </c>
      <c r="CP4" s="156">
        <f>IFERROR('Similarity matrix'!CP4/'Denominator matrix'!$C$18, "NA")</f>
        <v>0</v>
      </c>
      <c r="CQ4" s="153">
        <f>IFERROR('Similarity matrix'!CQ4/'Denominator matrix'!$D$18, "NA")</f>
        <v>0</v>
      </c>
      <c r="CR4" s="153">
        <f>IFERROR('Similarity matrix'!CR4/'Denominator matrix'!$E$18, "NA")</f>
        <v>0</v>
      </c>
      <c r="CS4" s="153">
        <f>IFERROR('Similarity matrix'!CS4/'Denominator matrix'!$F$18, "NA")</f>
        <v>0</v>
      </c>
      <c r="CT4" s="153">
        <f>IFERROR('Similarity matrix'!CT4/'Denominator matrix'!$G$18, "NA")</f>
        <v>0</v>
      </c>
      <c r="CU4" s="153">
        <f>IFERROR('Similarity matrix'!CU4/'Denominator matrix'!$H$18, "NA")</f>
        <v>0</v>
      </c>
      <c r="CV4" s="153">
        <f>IFERROR('Similarity matrix'!CV4/'Denominator matrix'!$I$18, "NA")</f>
        <v>0</v>
      </c>
      <c r="CW4" s="153">
        <f>IFERROR('Similarity matrix'!CW4/'Denominator matrix'!$J$18, "NA")</f>
        <v>0</v>
      </c>
      <c r="CX4" s="153">
        <f>IFERROR('Similarity matrix'!CX4/'Denominator matrix'!$K$18, "NA")</f>
        <v>0</v>
      </c>
    </row>
    <row r="5" ht="35.25" customHeight="1">
      <c r="B5" s="118">
        <v>45717.0</v>
      </c>
      <c r="C5" s="154">
        <f>IFERROR('Similarity matrix'!C5/'Denominator matrix'!$B$19, "NA")</f>
        <v>0.25</v>
      </c>
      <c r="D5" s="153">
        <f>IFERROR('Similarity matrix'!D5/'Denominator matrix'!$C$19, "NA")</f>
        <v>1</v>
      </c>
      <c r="E5" s="155">
        <f>IFERROR('Similarity matrix'!E5/'Denominator matrix'!$D$19, "NA")</f>
        <v>0</v>
      </c>
      <c r="F5" s="153">
        <f>IFERROR('Similarity matrix'!F5/'Denominator matrix'!$E$19, "NA")</f>
        <v>0.875</v>
      </c>
      <c r="G5" s="153">
        <f>IFERROR('Similarity matrix'!G5/'Denominator matrix'!$F$19, "NA")</f>
        <v>0.75</v>
      </c>
      <c r="H5" s="153">
        <f>IFERROR('Similarity matrix'!H5/'Denominator matrix'!$G$19, "NA")</f>
        <v>0.5</v>
      </c>
      <c r="I5" s="153">
        <f>IFERROR('Similarity matrix'!I5/'Denominator matrix'!$H$19, "NA")</f>
        <v>1</v>
      </c>
      <c r="J5" s="153">
        <f>IFERROR('Similarity matrix'!J5/'Denominator matrix'!$I$19, "NA")</f>
        <v>0.8333333333</v>
      </c>
      <c r="K5" s="153">
        <f>IFERROR('Similarity matrix'!K5/'Denominator matrix'!$J$19, "NA")</f>
        <v>0.5</v>
      </c>
      <c r="L5" s="153">
        <f>IFERROR('Similarity matrix'!L5/'Denominator matrix'!$K$19, "NA")</f>
        <v>0.6666666667</v>
      </c>
      <c r="M5" s="154">
        <f>IFERROR('Similarity matrix'!M5/'Denominator matrix'!$B$19, "NA")</f>
        <v>0</v>
      </c>
      <c r="N5" s="153">
        <f>IFERROR('Similarity matrix'!N5/'Denominator matrix'!$C$19, "NA")</f>
        <v>0</v>
      </c>
      <c r="O5" s="156">
        <f>IFERROR('Similarity matrix'!O5/'Denominator matrix'!$D$19, "NA")</f>
        <v>0</v>
      </c>
      <c r="P5" s="153">
        <f>IFERROR('Similarity matrix'!P5/'Denominator matrix'!$E$19, "NA")</f>
        <v>0</v>
      </c>
      <c r="Q5" s="153">
        <f>IFERROR('Similarity matrix'!Q5/'Denominator matrix'!$F$19, "NA")</f>
        <v>0</v>
      </c>
      <c r="R5" s="153">
        <f>IFERROR('Similarity matrix'!R5/'Denominator matrix'!$G$19, "NA")</f>
        <v>0</v>
      </c>
      <c r="S5" s="153">
        <f>IFERROR('Similarity matrix'!S5/'Denominator matrix'!$H$19, "NA")</f>
        <v>0</v>
      </c>
      <c r="T5" s="153">
        <f>IFERROR('Similarity matrix'!T5/'Denominator matrix'!$I$19, "NA")</f>
        <v>0</v>
      </c>
      <c r="U5" s="153">
        <f>IFERROR('Similarity matrix'!U5/'Denominator matrix'!$J$19, "NA")</f>
        <v>0</v>
      </c>
      <c r="V5" s="153">
        <f>IFERROR('Similarity matrix'!V5/'Denominator matrix'!$K$19, "NA")</f>
        <v>0</v>
      </c>
      <c r="W5" s="154">
        <f>IFERROR('Similarity matrix'!W5/'Denominator matrix'!$B$19, "NA")</f>
        <v>0</v>
      </c>
      <c r="X5" s="153">
        <f>IFERROR('Similarity matrix'!X5/'Denominator matrix'!$C$19, "NA")</f>
        <v>0</v>
      </c>
      <c r="Y5" s="156">
        <f>IFERROR('Similarity matrix'!Y5/'Denominator matrix'!$D$19, "NA")</f>
        <v>0</v>
      </c>
      <c r="Z5" s="153">
        <f>IFERROR('Similarity matrix'!Z5/'Denominator matrix'!$E$19, "NA")</f>
        <v>0</v>
      </c>
      <c r="AA5" s="153">
        <f>IFERROR('Similarity matrix'!AA5/'Denominator matrix'!$F$19, "NA")</f>
        <v>0</v>
      </c>
      <c r="AB5" s="153">
        <f>IFERROR('Similarity matrix'!AB5/'Denominator matrix'!$G$19, "NA")</f>
        <v>0</v>
      </c>
      <c r="AC5" s="153">
        <f>IFERROR('Similarity matrix'!AC5/'Denominator matrix'!$H$19, "NA")</f>
        <v>0</v>
      </c>
      <c r="AD5" s="153">
        <f>IFERROR('Similarity matrix'!AD5/'Denominator matrix'!$I$19, "NA")</f>
        <v>0</v>
      </c>
      <c r="AE5" s="153">
        <f>IFERROR('Similarity matrix'!AE5/'Denominator matrix'!$J$19, "NA")</f>
        <v>0</v>
      </c>
      <c r="AF5" s="153">
        <f>IFERROR('Similarity matrix'!AF5/'Denominator matrix'!$K$19, "NA")</f>
        <v>0</v>
      </c>
      <c r="AG5" s="154">
        <f>IFERROR('Similarity matrix'!AG5/'Denominator matrix'!$B$19, "NA")</f>
        <v>0</v>
      </c>
      <c r="AH5" s="153">
        <f>IFERROR('Similarity matrix'!AH5/'Denominator matrix'!$C$19, "NA")</f>
        <v>0</v>
      </c>
      <c r="AI5" s="156">
        <f>IFERROR('Similarity matrix'!AI5/'Denominator matrix'!$D$19, "NA")</f>
        <v>0</v>
      </c>
      <c r="AJ5" s="153">
        <f>IFERROR('Similarity matrix'!AJ5/'Denominator matrix'!$E$19, "NA")</f>
        <v>0</v>
      </c>
      <c r="AK5" s="153">
        <f>IFERROR('Similarity matrix'!AK5/'Denominator matrix'!$F$19, "NA")</f>
        <v>0</v>
      </c>
      <c r="AL5" s="153">
        <f>IFERROR('Similarity matrix'!AL5/'Denominator matrix'!$G$19, "NA")</f>
        <v>0</v>
      </c>
      <c r="AM5" s="153">
        <f>IFERROR('Similarity matrix'!AM5/'Denominator matrix'!$H$19, "NA")</f>
        <v>0</v>
      </c>
      <c r="AN5" s="153">
        <f>IFERROR('Similarity matrix'!AN5/'Denominator matrix'!$I$19, "NA")</f>
        <v>0</v>
      </c>
      <c r="AO5" s="153">
        <f>IFERROR('Similarity matrix'!AO5/'Denominator matrix'!$J$19, "NA")</f>
        <v>0</v>
      </c>
      <c r="AP5" s="153">
        <f>IFERROR('Similarity matrix'!AP5/'Denominator matrix'!$K$19, "NA")</f>
        <v>0</v>
      </c>
      <c r="AQ5" s="154">
        <f>IFERROR('Similarity matrix'!AQ5/'Denominator matrix'!$B$19, "NA")</f>
        <v>0</v>
      </c>
      <c r="AR5" s="153">
        <f>IFERROR('Similarity matrix'!AR5/'Denominator matrix'!$C$19, "NA")</f>
        <v>0</v>
      </c>
      <c r="AS5" s="156">
        <f>IFERROR('Similarity matrix'!AS5/'Denominator matrix'!$D$19, "NA")</f>
        <v>0</v>
      </c>
      <c r="AT5" s="153">
        <f>IFERROR('Similarity matrix'!AT5/'Denominator matrix'!$E$19, "NA")</f>
        <v>0</v>
      </c>
      <c r="AU5" s="153">
        <f>IFERROR('Similarity matrix'!AU5/'Denominator matrix'!$F$19, "NA")</f>
        <v>0</v>
      </c>
      <c r="AV5" s="153">
        <f>IFERROR('Similarity matrix'!AV5/'Denominator matrix'!$G$19, "NA")</f>
        <v>0</v>
      </c>
      <c r="AW5" s="153">
        <f>IFERROR('Similarity matrix'!AW5/'Denominator matrix'!$H$19, "NA")</f>
        <v>0</v>
      </c>
      <c r="AX5" s="153">
        <f>IFERROR('Similarity matrix'!AX5/'Denominator matrix'!$I$19, "NA")</f>
        <v>0.1666666667</v>
      </c>
      <c r="AY5" s="153">
        <f>IFERROR('Similarity matrix'!AY5/'Denominator matrix'!$J$19, "NA")</f>
        <v>0</v>
      </c>
      <c r="AZ5" s="153">
        <f>IFERROR('Similarity matrix'!AZ5/'Denominator matrix'!$K$19, "NA")</f>
        <v>0</v>
      </c>
      <c r="BA5" s="154">
        <f>IFERROR('Similarity matrix'!BA5/'Denominator matrix'!$B$19, "NA")</f>
        <v>0</v>
      </c>
      <c r="BB5" s="153">
        <f>IFERROR('Similarity matrix'!BB5/'Denominator matrix'!$C$19, "NA")</f>
        <v>0</v>
      </c>
      <c r="BC5" s="156">
        <f>IFERROR('Similarity matrix'!BC5/'Denominator matrix'!$D$19, "NA")</f>
        <v>0</v>
      </c>
      <c r="BD5" s="153">
        <f>IFERROR('Similarity matrix'!BD5/'Denominator matrix'!$E$19, "NA")</f>
        <v>0</v>
      </c>
      <c r="BE5" s="153">
        <f>IFERROR('Similarity matrix'!BE5/'Denominator matrix'!$F$19, "NA")</f>
        <v>0</v>
      </c>
      <c r="BF5" s="153">
        <f>IFERROR('Similarity matrix'!BF5/'Denominator matrix'!$G$19, "NA")</f>
        <v>0</v>
      </c>
      <c r="BG5" s="153">
        <f>IFERROR('Similarity matrix'!BG5/'Denominator matrix'!$H$19, "NA")</f>
        <v>0</v>
      </c>
      <c r="BH5" s="153">
        <f>IFERROR('Similarity matrix'!BH5/'Denominator matrix'!$I$19, "NA")</f>
        <v>0</v>
      </c>
      <c r="BI5" s="153">
        <f>IFERROR('Similarity matrix'!BI5/'Denominator matrix'!$J$19, "NA")</f>
        <v>0</v>
      </c>
      <c r="BJ5" s="153">
        <f>IFERROR('Similarity matrix'!BJ5/'Denominator matrix'!$K$19, "NA")</f>
        <v>0</v>
      </c>
      <c r="BK5" s="154">
        <f>IFERROR('Similarity matrix'!BK5/'Denominator matrix'!$B$19, "NA")</f>
        <v>0</v>
      </c>
      <c r="BL5" s="153">
        <f>IFERROR('Similarity matrix'!BL5/'Denominator matrix'!$C$19, "NA")</f>
        <v>0</v>
      </c>
      <c r="BM5" s="156">
        <f>IFERROR('Similarity matrix'!BM5/'Denominator matrix'!$D$19, "NA")</f>
        <v>0</v>
      </c>
      <c r="BN5" s="153">
        <f>IFERROR('Similarity matrix'!BN5/'Denominator matrix'!$E$19, "NA")</f>
        <v>0</v>
      </c>
      <c r="BO5" s="153">
        <f>IFERROR('Similarity matrix'!BO5/'Denominator matrix'!$F$19, "NA")</f>
        <v>0</v>
      </c>
      <c r="BP5" s="153">
        <f>IFERROR('Similarity matrix'!BP5/'Denominator matrix'!$G$19, "NA")</f>
        <v>0</v>
      </c>
      <c r="BQ5" s="153">
        <f>IFERROR('Similarity matrix'!BQ5/'Denominator matrix'!$H$19, "NA")</f>
        <v>0</v>
      </c>
      <c r="BR5" s="153">
        <f>IFERROR('Similarity matrix'!BR5/'Denominator matrix'!$I$19, "NA")</f>
        <v>0</v>
      </c>
      <c r="BS5" s="153">
        <f>IFERROR('Similarity matrix'!BS5/'Denominator matrix'!$J$19, "NA")</f>
        <v>0</v>
      </c>
      <c r="BT5" s="153">
        <f>IFERROR('Similarity matrix'!BT5/'Denominator matrix'!$K$19, "NA")</f>
        <v>0</v>
      </c>
      <c r="BU5" s="154">
        <f>IFERROR('Similarity matrix'!BU5/'Denominator matrix'!$B$19, "NA")</f>
        <v>0</v>
      </c>
      <c r="BV5" s="153">
        <f>IFERROR('Similarity matrix'!BV5/'Denominator matrix'!$C$19, "NA")</f>
        <v>0.25</v>
      </c>
      <c r="BW5" s="156">
        <f>IFERROR('Similarity matrix'!BW5/'Denominator matrix'!$D$19, "NA")</f>
        <v>0</v>
      </c>
      <c r="BX5" s="153">
        <f>IFERROR('Similarity matrix'!BX5/'Denominator matrix'!$E$19, "NA")</f>
        <v>0</v>
      </c>
      <c r="BY5" s="153">
        <f>IFERROR('Similarity matrix'!BY5/'Denominator matrix'!$F$19, "NA")</f>
        <v>0</v>
      </c>
      <c r="BZ5" s="153">
        <f>IFERROR('Similarity matrix'!BZ5/'Denominator matrix'!$G$19, "NA")</f>
        <v>0</v>
      </c>
      <c r="CA5" s="153">
        <f>IFERROR('Similarity matrix'!CA5/'Denominator matrix'!$H$19, "NA")</f>
        <v>0</v>
      </c>
      <c r="CB5" s="153">
        <f>IFERROR('Similarity matrix'!CB5/'Denominator matrix'!$I$19, "NA")</f>
        <v>0</v>
      </c>
      <c r="CC5" s="153">
        <f>IFERROR('Similarity matrix'!CC5/'Denominator matrix'!$J$19, "NA")</f>
        <v>0</v>
      </c>
      <c r="CD5" s="153">
        <f>IFERROR('Similarity matrix'!CD5/'Denominator matrix'!$K$19, "NA")</f>
        <v>0.1666666667</v>
      </c>
      <c r="CE5" s="154">
        <f>IFERROR('Similarity matrix'!CE5/'Denominator matrix'!$B$19, "NA")</f>
        <v>0</v>
      </c>
      <c r="CF5" s="153">
        <f>IFERROR('Similarity matrix'!CF5/'Denominator matrix'!$C$19, "NA")</f>
        <v>0</v>
      </c>
      <c r="CG5" s="156">
        <f>IFERROR('Similarity matrix'!CG5/'Denominator matrix'!$D$19, "NA")</f>
        <v>0</v>
      </c>
      <c r="CH5" s="153">
        <f>IFERROR('Similarity matrix'!CH5/'Denominator matrix'!$E$19, "NA")</f>
        <v>0</v>
      </c>
      <c r="CI5" s="153">
        <f>IFERROR('Similarity matrix'!CI5/'Denominator matrix'!$F$19, "NA")</f>
        <v>0</v>
      </c>
      <c r="CJ5" s="153">
        <f>IFERROR('Similarity matrix'!CJ5/'Denominator matrix'!$G$19, "NA")</f>
        <v>0</v>
      </c>
      <c r="CK5" s="153">
        <f>IFERROR('Similarity matrix'!CK5/'Denominator matrix'!$H$19, "NA")</f>
        <v>0</v>
      </c>
      <c r="CL5" s="153">
        <f>IFERROR('Similarity matrix'!CL5/'Denominator matrix'!$I$19, "NA")</f>
        <v>0</v>
      </c>
      <c r="CM5" s="153">
        <f>IFERROR('Similarity matrix'!CM5/'Denominator matrix'!$J$19, "NA")</f>
        <v>0</v>
      </c>
      <c r="CN5" s="153">
        <f>IFERROR('Similarity matrix'!CN5/'Denominator matrix'!$K$19, "NA")</f>
        <v>0</v>
      </c>
      <c r="CO5" s="154">
        <f>IFERROR('Similarity matrix'!CO5/'Denominator matrix'!$B$19, "NA")</f>
        <v>0</v>
      </c>
      <c r="CP5" s="153">
        <f>IFERROR('Similarity matrix'!CP5/'Denominator matrix'!$C$19, "NA")</f>
        <v>0</v>
      </c>
      <c r="CQ5" s="156">
        <f>IFERROR('Similarity matrix'!CQ5/'Denominator matrix'!$D$19, "NA")</f>
        <v>0</v>
      </c>
      <c r="CR5" s="153">
        <f>IFERROR('Similarity matrix'!CR5/'Denominator matrix'!$E$19, "NA")</f>
        <v>0</v>
      </c>
      <c r="CS5" s="153">
        <f>IFERROR('Similarity matrix'!CS5/'Denominator matrix'!$F$19, "NA")</f>
        <v>0</v>
      </c>
      <c r="CT5" s="153">
        <f>IFERROR('Similarity matrix'!CT5/'Denominator matrix'!$G$19, "NA")</f>
        <v>0</v>
      </c>
      <c r="CU5" s="153">
        <f>IFERROR('Similarity matrix'!CU5/'Denominator matrix'!$H$19, "NA")</f>
        <v>0</v>
      </c>
      <c r="CV5" s="153">
        <f>IFERROR('Similarity matrix'!CV5/'Denominator matrix'!$I$19, "NA")</f>
        <v>0</v>
      </c>
      <c r="CW5" s="153">
        <f>IFERROR('Similarity matrix'!CW5/'Denominator matrix'!$J$19, "NA")</f>
        <v>0</v>
      </c>
      <c r="CX5" s="153">
        <f>IFERROR('Similarity matrix'!CX5/'Denominator matrix'!$K$19, "NA")</f>
        <v>0</v>
      </c>
    </row>
    <row r="6" ht="35.25" customHeight="1">
      <c r="B6" s="118">
        <v>45748.0</v>
      </c>
      <c r="C6" s="154">
        <f>IFERROR('Similarity matrix'!C6/'Denominator matrix'!$B$20, "NA")</f>
        <v>0.5</v>
      </c>
      <c r="D6" s="153">
        <f>IFERROR('Similarity matrix'!D6/'Denominator matrix'!$C$20, "NA")</f>
        <v>1</v>
      </c>
      <c r="E6" s="153">
        <f>IFERROR('Similarity matrix'!E6/'Denominator matrix'!$D$20, "NA")</f>
        <v>0.875</v>
      </c>
      <c r="F6" s="155">
        <f>IFERROR('Similarity matrix'!F6/'Denominator matrix'!$E$20, "NA")</f>
        <v>0</v>
      </c>
      <c r="G6" s="153">
        <f>IFERROR('Similarity matrix'!G6/'Denominator matrix'!$F$20, "NA")</f>
        <v>1</v>
      </c>
      <c r="H6" s="153">
        <f>IFERROR('Similarity matrix'!H6/'Denominator matrix'!$G$20, "NA")</f>
        <v>0.5</v>
      </c>
      <c r="I6" s="153">
        <f>IFERROR('Similarity matrix'!I6/'Denominator matrix'!$H$20, "NA")</f>
        <v>0.9</v>
      </c>
      <c r="J6" s="153">
        <f>IFERROR('Similarity matrix'!J6/'Denominator matrix'!$I$20, "NA")</f>
        <v>1</v>
      </c>
      <c r="K6" s="153">
        <f>IFERROR('Similarity matrix'!K6/'Denominator matrix'!$J$20, "NA")</f>
        <v>0.6666666667</v>
      </c>
      <c r="L6" s="153">
        <f>IFERROR('Similarity matrix'!L6/'Denominator matrix'!$K$20, "NA")</f>
        <v>0.5</v>
      </c>
      <c r="M6" s="154">
        <f>IFERROR('Similarity matrix'!M6/'Denominator matrix'!$B$20, "NA")</f>
        <v>0</v>
      </c>
      <c r="N6" s="153">
        <f>IFERROR('Similarity matrix'!N6/'Denominator matrix'!$C$20, "NA")</f>
        <v>0</v>
      </c>
      <c r="O6" s="153">
        <f>IFERROR('Similarity matrix'!O6/'Denominator matrix'!$D$20, "NA")</f>
        <v>0</v>
      </c>
      <c r="P6" s="156">
        <f>IFERROR('Similarity matrix'!P6/'Denominator matrix'!$E$20, "NA")</f>
        <v>0</v>
      </c>
      <c r="Q6" s="153">
        <f>IFERROR('Similarity matrix'!Q6/'Denominator matrix'!$F$20, "NA")</f>
        <v>0</v>
      </c>
      <c r="R6" s="153">
        <f>IFERROR('Similarity matrix'!R6/'Denominator matrix'!$G$20, "NA")</f>
        <v>0</v>
      </c>
      <c r="S6" s="153">
        <f>IFERROR('Similarity matrix'!S6/'Denominator matrix'!$H$20, "NA")</f>
        <v>0</v>
      </c>
      <c r="T6" s="153">
        <f>IFERROR('Similarity matrix'!T6/'Denominator matrix'!$I$20, "NA")</f>
        <v>0</v>
      </c>
      <c r="U6" s="153">
        <f>IFERROR('Similarity matrix'!U6/'Denominator matrix'!$J$20, "NA")</f>
        <v>0</v>
      </c>
      <c r="V6" s="153">
        <f>IFERROR('Similarity matrix'!V6/'Denominator matrix'!$K$20, "NA")</f>
        <v>0</v>
      </c>
      <c r="W6" s="154">
        <f>IFERROR('Similarity matrix'!W6/'Denominator matrix'!$B$20, "NA")</f>
        <v>0</v>
      </c>
      <c r="X6" s="153">
        <f>IFERROR('Similarity matrix'!X6/'Denominator matrix'!$C$20, "NA")</f>
        <v>0</v>
      </c>
      <c r="Y6" s="153">
        <f>IFERROR('Similarity matrix'!Y6/'Denominator matrix'!$D$20, "NA")</f>
        <v>0</v>
      </c>
      <c r="Z6" s="156">
        <f>IFERROR('Similarity matrix'!Z6/'Denominator matrix'!$E$20, "NA")</f>
        <v>0</v>
      </c>
      <c r="AA6" s="153">
        <f>IFERROR('Similarity matrix'!AA6/'Denominator matrix'!$F$20, "NA")</f>
        <v>0</v>
      </c>
      <c r="AB6" s="153">
        <f>IFERROR('Similarity matrix'!AB6/'Denominator matrix'!$G$20, "NA")</f>
        <v>0</v>
      </c>
      <c r="AC6" s="153">
        <f>IFERROR('Similarity matrix'!AC6/'Denominator matrix'!$H$20, "NA")</f>
        <v>0</v>
      </c>
      <c r="AD6" s="153">
        <f>IFERROR('Similarity matrix'!AD6/'Denominator matrix'!$I$20, "NA")</f>
        <v>0</v>
      </c>
      <c r="AE6" s="153">
        <f>IFERROR('Similarity matrix'!AE6/'Denominator matrix'!$J$20, "NA")</f>
        <v>0</v>
      </c>
      <c r="AF6" s="153">
        <f>IFERROR('Similarity matrix'!AF6/'Denominator matrix'!$K$20, "NA")</f>
        <v>0</v>
      </c>
      <c r="AG6" s="154">
        <f>IFERROR('Similarity matrix'!AG6/'Denominator matrix'!$B$20, "NA")</f>
        <v>0</v>
      </c>
      <c r="AH6" s="153">
        <f>IFERROR('Similarity matrix'!AH6/'Denominator matrix'!$C$20, "NA")</f>
        <v>0</v>
      </c>
      <c r="AI6" s="153">
        <f>IFERROR('Similarity matrix'!AI6/'Denominator matrix'!$D$20, "NA")</f>
        <v>0</v>
      </c>
      <c r="AJ6" s="156">
        <f>IFERROR('Similarity matrix'!AJ6/'Denominator matrix'!$E$20, "NA")</f>
        <v>0</v>
      </c>
      <c r="AK6" s="153">
        <f>IFERROR('Similarity matrix'!AK6/'Denominator matrix'!$F$20, "NA")</f>
        <v>0</v>
      </c>
      <c r="AL6" s="153">
        <f>IFERROR('Similarity matrix'!AL6/'Denominator matrix'!$G$20, "NA")</f>
        <v>0</v>
      </c>
      <c r="AM6" s="153">
        <f>IFERROR('Similarity matrix'!AM6/'Denominator matrix'!$H$20, "NA")</f>
        <v>0</v>
      </c>
      <c r="AN6" s="153">
        <f>IFERROR('Similarity matrix'!AN6/'Denominator matrix'!$I$20, "NA")</f>
        <v>0</v>
      </c>
      <c r="AO6" s="153">
        <f>IFERROR('Similarity matrix'!AO6/'Denominator matrix'!$J$20, "NA")</f>
        <v>0</v>
      </c>
      <c r="AP6" s="153">
        <f>IFERROR('Similarity matrix'!AP6/'Denominator matrix'!$K$20, "NA")</f>
        <v>0</v>
      </c>
      <c r="AQ6" s="154">
        <f>IFERROR('Similarity matrix'!AQ6/'Denominator matrix'!$B$20, "NA")</f>
        <v>0</v>
      </c>
      <c r="AR6" s="153">
        <f>IFERROR('Similarity matrix'!AR6/'Denominator matrix'!$C$20, "NA")</f>
        <v>0</v>
      </c>
      <c r="AS6" s="153">
        <f>IFERROR('Similarity matrix'!AS6/'Denominator matrix'!$D$20, "NA")</f>
        <v>0</v>
      </c>
      <c r="AT6" s="156">
        <f>IFERROR('Similarity matrix'!AT6/'Denominator matrix'!$E$20, "NA")</f>
        <v>0</v>
      </c>
      <c r="AU6" s="153">
        <f>IFERROR('Similarity matrix'!AU6/'Denominator matrix'!$F$20, "NA")</f>
        <v>0</v>
      </c>
      <c r="AV6" s="153">
        <f>IFERROR('Similarity matrix'!AV6/'Denominator matrix'!$G$20, "NA")</f>
        <v>0</v>
      </c>
      <c r="AW6" s="153">
        <f>IFERROR('Similarity matrix'!AW6/'Denominator matrix'!$H$20, "NA")</f>
        <v>0</v>
      </c>
      <c r="AX6" s="153">
        <f>IFERROR('Similarity matrix'!AX6/'Denominator matrix'!$I$20, "NA")</f>
        <v>0.25</v>
      </c>
      <c r="AY6" s="153">
        <f>IFERROR('Similarity matrix'!AY6/'Denominator matrix'!$J$20, "NA")</f>
        <v>0</v>
      </c>
      <c r="AZ6" s="153">
        <f>IFERROR('Similarity matrix'!AZ6/'Denominator matrix'!$K$20, "NA")</f>
        <v>0</v>
      </c>
      <c r="BA6" s="154">
        <f>IFERROR('Similarity matrix'!BA6/'Denominator matrix'!$B$20, "NA")</f>
        <v>0</v>
      </c>
      <c r="BB6" s="153">
        <f>IFERROR('Similarity matrix'!BB6/'Denominator matrix'!$C$20, "NA")</f>
        <v>0</v>
      </c>
      <c r="BC6" s="153">
        <f>IFERROR('Similarity matrix'!BC6/'Denominator matrix'!$D$20, "NA")</f>
        <v>0</v>
      </c>
      <c r="BD6" s="156">
        <f>IFERROR('Similarity matrix'!BD6/'Denominator matrix'!$E$20, "NA")</f>
        <v>0</v>
      </c>
      <c r="BE6" s="153">
        <f>IFERROR('Similarity matrix'!BE6/'Denominator matrix'!$F$20, "NA")</f>
        <v>0</v>
      </c>
      <c r="BF6" s="153">
        <f>IFERROR('Similarity matrix'!BF6/'Denominator matrix'!$G$20, "NA")</f>
        <v>0</v>
      </c>
      <c r="BG6" s="153">
        <f>IFERROR('Similarity matrix'!BG6/'Denominator matrix'!$H$20, "NA")</f>
        <v>0</v>
      </c>
      <c r="BH6" s="153">
        <f>IFERROR('Similarity matrix'!BH6/'Denominator matrix'!$I$20, "NA")</f>
        <v>0</v>
      </c>
      <c r="BI6" s="153">
        <f>IFERROR('Similarity matrix'!BI6/'Denominator matrix'!$J$20, "NA")</f>
        <v>0</v>
      </c>
      <c r="BJ6" s="153">
        <f>IFERROR('Similarity matrix'!BJ6/'Denominator matrix'!$K$20, "NA")</f>
        <v>0</v>
      </c>
      <c r="BK6" s="154">
        <f>IFERROR('Similarity matrix'!BK6/'Denominator matrix'!$B$20, "NA")</f>
        <v>0</v>
      </c>
      <c r="BL6" s="153">
        <f>IFERROR('Similarity matrix'!BL6/'Denominator matrix'!$C$20, "NA")</f>
        <v>0</v>
      </c>
      <c r="BM6" s="153">
        <f>IFERROR('Similarity matrix'!BM6/'Denominator matrix'!$D$20, "NA")</f>
        <v>0</v>
      </c>
      <c r="BN6" s="156">
        <f>IFERROR('Similarity matrix'!BN6/'Denominator matrix'!$E$20, "NA")</f>
        <v>0</v>
      </c>
      <c r="BO6" s="153">
        <f>IFERROR('Similarity matrix'!BO6/'Denominator matrix'!$F$20, "NA")</f>
        <v>0</v>
      </c>
      <c r="BP6" s="153">
        <f>IFERROR('Similarity matrix'!BP6/'Denominator matrix'!$G$20, "NA")</f>
        <v>0</v>
      </c>
      <c r="BQ6" s="153">
        <f>IFERROR('Similarity matrix'!BQ6/'Denominator matrix'!$H$20, "NA")</f>
        <v>0</v>
      </c>
      <c r="BR6" s="153">
        <f>IFERROR('Similarity matrix'!BR6/'Denominator matrix'!$I$20, "NA")</f>
        <v>0</v>
      </c>
      <c r="BS6" s="153">
        <f>IFERROR('Similarity matrix'!BS6/'Denominator matrix'!$J$20, "NA")</f>
        <v>0</v>
      </c>
      <c r="BT6" s="153">
        <f>IFERROR('Similarity matrix'!BT6/'Denominator matrix'!$K$20, "NA")</f>
        <v>0</v>
      </c>
      <c r="BU6" s="154">
        <f>IFERROR('Similarity matrix'!BU6/'Denominator matrix'!$B$20, "NA")</f>
        <v>0</v>
      </c>
      <c r="BV6" s="153">
        <f>IFERROR('Similarity matrix'!BV6/'Denominator matrix'!$C$20, "NA")</f>
        <v>0</v>
      </c>
      <c r="BW6" s="153">
        <f>IFERROR('Similarity matrix'!BW6/'Denominator matrix'!$D$20, "NA")</f>
        <v>0</v>
      </c>
      <c r="BX6" s="156">
        <f>IFERROR('Similarity matrix'!BX6/'Denominator matrix'!$E$20, "NA")</f>
        <v>0</v>
      </c>
      <c r="BY6" s="153">
        <f>IFERROR('Similarity matrix'!BY6/'Denominator matrix'!$F$20, "NA")</f>
        <v>0</v>
      </c>
      <c r="BZ6" s="153">
        <f>IFERROR('Similarity matrix'!BZ6/'Denominator matrix'!$G$20, "NA")</f>
        <v>0</v>
      </c>
      <c r="CA6" s="153">
        <f>IFERROR('Similarity matrix'!CA6/'Denominator matrix'!$H$20, "NA")</f>
        <v>0</v>
      </c>
      <c r="CB6" s="153">
        <f>IFERROR('Similarity matrix'!CB6/'Denominator matrix'!$I$20, "NA")</f>
        <v>0</v>
      </c>
      <c r="CC6" s="153">
        <f>IFERROR('Similarity matrix'!CC6/'Denominator matrix'!$J$20, "NA")</f>
        <v>0</v>
      </c>
      <c r="CD6" s="153">
        <f>IFERROR('Similarity matrix'!CD6/'Denominator matrix'!$K$20, "NA")</f>
        <v>0</v>
      </c>
      <c r="CE6" s="154">
        <f>IFERROR('Similarity matrix'!CE6/'Denominator matrix'!$B$20, "NA")</f>
        <v>0</v>
      </c>
      <c r="CF6" s="153">
        <f>IFERROR('Similarity matrix'!CF6/'Denominator matrix'!$C$20, "NA")</f>
        <v>0</v>
      </c>
      <c r="CG6" s="153">
        <f>IFERROR('Similarity matrix'!CG6/'Denominator matrix'!$D$20, "NA")</f>
        <v>0</v>
      </c>
      <c r="CH6" s="156">
        <f>IFERROR('Similarity matrix'!CH6/'Denominator matrix'!$E$20, "NA")</f>
        <v>0</v>
      </c>
      <c r="CI6" s="153">
        <f>IFERROR('Similarity matrix'!CI6/'Denominator matrix'!$F$20, "NA")</f>
        <v>0</v>
      </c>
      <c r="CJ6" s="153">
        <f>IFERROR('Similarity matrix'!CJ6/'Denominator matrix'!$G$20, "NA")</f>
        <v>0</v>
      </c>
      <c r="CK6" s="153">
        <f>IFERROR('Similarity matrix'!CK6/'Denominator matrix'!$H$20, "NA")</f>
        <v>0</v>
      </c>
      <c r="CL6" s="153">
        <f>IFERROR('Similarity matrix'!CL6/'Denominator matrix'!$I$20, "NA")</f>
        <v>0</v>
      </c>
      <c r="CM6" s="153">
        <f>IFERROR('Similarity matrix'!CM6/'Denominator matrix'!$J$20, "NA")</f>
        <v>0</v>
      </c>
      <c r="CN6" s="153">
        <f>IFERROR('Similarity matrix'!CN6/'Denominator matrix'!$K$20, "NA")</f>
        <v>0</v>
      </c>
      <c r="CO6" s="154">
        <f>IFERROR('Similarity matrix'!CO6/'Denominator matrix'!$B$20, "NA")</f>
        <v>0</v>
      </c>
      <c r="CP6" s="153">
        <f>IFERROR('Similarity matrix'!CP6/'Denominator matrix'!$C$20, "NA")</f>
        <v>0</v>
      </c>
      <c r="CQ6" s="153">
        <f>IFERROR('Similarity matrix'!CQ6/'Denominator matrix'!$D$20, "NA")</f>
        <v>0</v>
      </c>
      <c r="CR6" s="156">
        <f>IFERROR('Similarity matrix'!CR6/'Denominator matrix'!$E$20, "NA")</f>
        <v>0</v>
      </c>
      <c r="CS6" s="153">
        <f>IFERROR('Similarity matrix'!CS6/'Denominator matrix'!$F$20, "NA")</f>
        <v>0</v>
      </c>
      <c r="CT6" s="153">
        <f>IFERROR('Similarity matrix'!CT6/'Denominator matrix'!$G$20, "NA")</f>
        <v>0</v>
      </c>
      <c r="CU6" s="153">
        <f>IFERROR('Similarity matrix'!CU6/'Denominator matrix'!$H$20, "NA")</f>
        <v>0</v>
      </c>
      <c r="CV6" s="153">
        <f>IFERROR('Similarity matrix'!CV6/'Denominator matrix'!$I$20, "NA")</f>
        <v>0</v>
      </c>
      <c r="CW6" s="153">
        <f>IFERROR('Similarity matrix'!CW6/'Denominator matrix'!$J$20, "NA")</f>
        <v>0</v>
      </c>
      <c r="CX6" s="153">
        <f>IFERROR('Similarity matrix'!CX6/'Denominator matrix'!$K$20, "NA")</f>
        <v>0</v>
      </c>
    </row>
    <row r="7" ht="35.25" customHeight="1">
      <c r="B7" s="124">
        <v>45778.0</v>
      </c>
      <c r="C7" s="154">
        <f>IFERROR('Similarity matrix'!C7/'Denominator matrix'!$B$21, "NA")</f>
        <v>0.8</v>
      </c>
      <c r="D7" s="153">
        <f>IFERROR('Similarity matrix'!D7/'Denominator matrix'!$C$21, "NA")</f>
        <v>1</v>
      </c>
      <c r="E7" s="153">
        <f>IFERROR('Similarity matrix'!E7/'Denominator matrix'!$D$21, "NA")</f>
        <v>0.75</v>
      </c>
      <c r="F7" s="153">
        <f>IFERROR('Similarity matrix'!F7/'Denominator matrix'!$E$21, "NA")</f>
        <v>1</v>
      </c>
      <c r="G7" s="155">
        <f>IFERROR('Similarity matrix'!G7/'Denominator matrix'!$F$21, "NA")</f>
        <v>0</v>
      </c>
      <c r="H7" s="153">
        <f>IFERROR('Similarity matrix'!H7/'Denominator matrix'!$G$21, "NA")</f>
        <v>1</v>
      </c>
      <c r="I7" s="153">
        <f>IFERROR('Similarity matrix'!I7/'Denominator matrix'!$H$21, "NA")</f>
        <v>0.5</v>
      </c>
      <c r="J7" s="153">
        <f>IFERROR('Similarity matrix'!J7/'Denominator matrix'!$I$21, "NA")</f>
        <v>0.8</v>
      </c>
      <c r="K7" s="153">
        <f>IFERROR('Similarity matrix'!K7/'Denominator matrix'!$J$21, "NA")</f>
        <v>0.8333333333</v>
      </c>
      <c r="L7" s="153">
        <f>IFERROR('Similarity matrix'!L7/'Denominator matrix'!$K$21, "NA")</f>
        <v>1</v>
      </c>
      <c r="M7" s="154">
        <f>IFERROR('Similarity matrix'!M7/'Denominator matrix'!$B$21, "NA")</f>
        <v>0</v>
      </c>
      <c r="N7" s="153">
        <f>IFERROR('Similarity matrix'!N7/'Denominator matrix'!$C$21, "NA")</f>
        <v>0</v>
      </c>
      <c r="O7" s="153">
        <f>IFERROR('Similarity matrix'!O7/'Denominator matrix'!$D$21, "NA")</f>
        <v>0</v>
      </c>
      <c r="P7" s="153">
        <f>IFERROR('Similarity matrix'!P7/'Denominator matrix'!$E$21, "NA")</f>
        <v>0</v>
      </c>
      <c r="Q7" s="156">
        <f>IFERROR('Similarity matrix'!Q7/'Denominator matrix'!$F$21, "NA")</f>
        <v>0</v>
      </c>
      <c r="R7" s="153">
        <f>IFERROR('Similarity matrix'!R7/'Denominator matrix'!$G$21, "NA")</f>
        <v>0</v>
      </c>
      <c r="S7" s="153">
        <f>IFERROR('Similarity matrix'!S7/'Denominator matrix'!$H$21, "NA")</f>
        <v>0</v>
      </c>
      <c r="T7" s="153">
        <f>IFERROR('Similarity matrix'!T7/'Denominator matrix'!$I$21, "NA")</f>
        <v>0</v>
      </c>
      <c r="U7" s="153">
        <f>IFERROR('Similarity matrix'!U7/'Denominator matrix'!$J$21, "NA")</f>
        <v>0</v>
      </c>
      <c r="V7" s="153">
        <f>IFERROR('Similarity matrix'!V7/'Denominator matrix'!$K$21, "NA")</f>
        <v>0</v>
      </c>
      <c r="W7" s="154">
        <f>IFERROR('Similarity matrix'!W7/'Denominator matrix'!$B$21, "NA")</f>
        <v>0</v>
      </c>
      <c r="X7" s="153">
        <f>IFERROR('Similarity matrix'!X7/'Denominator matrix'!$C$21, "NA")</f>
        <v>0</v>
      </c>
      <c r="Y7" s="153">
        <f>IFERROR('Similarity matrix'!Y7/'Denominator matrix'!$D$21, "NA")</f>
        <v>0</v>
      </c>
      <c r="Z7" s="153">
        <f>IFERROR('Similarity matrix'!Z7/'Denominator matrix'!$E$21, "NA")</f>
        <v>0</v>
      </c>
      <c r="AA7" s="156">
        <f>IFERROR('Similarity matrix'!AA7/'Denominator matrix'!$F$21, "NA")</f>
        <v>0</v>
      </c>
      <c r="AB7" s="153">
        <f>IFERROR('Similarity matrix'!AB7/'Denominator matrix'!$G$21, "NA")</f>
        <v>0</v>
      </c>
      <c r="AC7" s="153">
        <f>IFERROR('Similarity matrix'!AC7/'Denominator matrix'!$H$21, "NA")</f>
        <v>0</v>
      </c>
      <c r="AD7" s="153">
        <f>IFERROR('Similarity matrix'!AD7/'Denominator matrix'!$I$21, "NA")</f>
        <v>0</v>
      </c>
      <c r="AE7" s="153">
        <f>IFERROR('Similarity matrix'!AE7/'Denominator matrix'!$J$21, "NA")</f>
        <v>0</v>
      </c>
      <c r="AF7" s="153">
        <f>IFERROR('Similarity matrix'!AF7/'Denominator matrix'!$K$21, "NA")</f>
        <v>0</v>
      </c>
      <c r="AG7" s="154">
        <f>IFERROR('Similarity matrix'!AG7/'Denominator matrix'!$B$21, "NA")</f>
        <v>0</v>
      </c>
      <c r="AH7" s="153">
        <f>IFERROR('Similarity matrix'!AH7/'Denominator matrix'!$C$21, "NA")</f>
        <v>0</v>
      </c>
      <c r="AI7" s="153">
        <f>IFERROR('Similarity matrix'!AI7/'Denominator matrix'!$D$21, "NA")</f>
        <v>0</v>
      </c>
      <c r="AJ7" s="153">
        <f>IFERROR('Similarity matrix'!AJ7/'Denominator matrix'!$E$21, "NA")</f>
        <v>0</v>
      </c>
      <c r="AK7" s="156">
        <f>IFERROR('Similarity matrix'!AK7/'Denominator matrix'!$F$21, "NA")</f>
        <v>0</v>
      </c>
      <c r="AL7" s="153">
        <f>IFERROR('Similarity matrix'!AL7/'Denominator matrix'!$G$21, "NA")</f>
        <v>0</v>
      </c>
      <c r="AM7" s="153">
        <f>IFERROR('Similarity matrix'!AM7/'Denominator matrix'!$H$21, "NA")</f>
        <v>0</v>
      </c>
      <c r="AN7" s="153">
        <f>IFERROR('Similarity matrix'!AN7/'Denominator matrix'!$I$21, "NA")</f>
        <v>0</v>
      </c>
      <c r="AO7" s="153">
        <f>IFERROR('Similarity matrix'!AO7/'Denominator matrix'!$J$21, "NA")</f>
        <v>0</v>
      </c>
      <c r="AP7" s="153">
        <f>IFERROR('Similarity matrix'!AP7/'Denominator matrix'!$K$21, "NA")</f>
        <v>0</v>
      </c>
      <c r="AQ7" s="154">
        <f>IFERROR('Similarity matrix'!AQ7/'Denominator matrix'!$B$21, "NA")</f>
        <v>0</v>
      </c>
      <c r="AR7" s="153">
        <f>IFERROR('Similarity matrix'!AR7/'Denominator matrix'!$C$21, "NA")</f>
        <v>0</v>
      </c>
      <c r="AS7" s="153">
        <f>IFERROR('Similarity matrix'!AS7/'Denominator matrix'!$D$21, "NA")</f>
        <v>0</v>
      </c>
      <c r="AT7" s="153">
        <f>IFERROR('Similarity matrix'!AT7/'Denominator matrix'!$E$21, "NA")</f>
        <v>0</v>
      </c>
      <c r="AU7" s="156">
        <f>IFERROR('Similarity matrix'!AU7/'Denominator matrix'!$F$21, "NA")</f>
        <v>0</v>
      </c>
      <c r="AV7" s="153">
        <f>IFERROR('Similarity matrix'!AV7/'Denominator matrix'!$G$21, "NA")</f>
        <v>0</v>
      </c>
      <c r="AW7" s="153">
        <f>IFERROR('Similarity matrix'!AW7/'Denominator matrix'!$H$21, "NA")</f>
        <v>0</v>
      </c>
      <c r="AX7" s="153">
        <f>IFERROR('Similarity matrix'!AX7/'Denominator matrix'!$I$21, "NA")</f>
        <v>0.1</v>
      </c>
      <c r="AY7" s="153">
        <f>IFERROR('Similarity matrix'!AY7/'Denominator matrix'!$J$21, "NA")</f>
        <v>0</v>
      </c>
      <c r="AZ7" s="153">
        <f>IFERROR('Similarity matrix'!AZ7/'Denominator matrix'!$K$21, "NA")</f>
        <v>0</v>
      </c>
      <c r="BA7" s="154">
        <f>IFERROR('Similarity matrix'!BA7/'Denominator matrix'!$B$21, "NA")</f>
        <v>0.1</v>
      </c>
      <c r="BB7" s="153">
        <f>IFERROR('Similarity matrix'!BB7/'Denominator matrix'!$C$21, "NA")</f>
        <v>0</v>
      </c>
      <c r="BC7" s="153">
        <f>IFERROR('Similarity matrix'!BC7/'Denominator matrix'!$D$21, "NA")</f>
        <v>0</v>
      </c>
      <c r="BD7" s="153">
        <f>IFERROR('Similarity matrix'!BD7/'Denominator matrix'!$E$21, "NA")</f>
        <v>0</v>
      </c>
      <c r="BE7" s="156">
        <f>IFERROR('Similarity matrix'!BE7/'Denominator matrix'!$F$21, "NA")</f>
        <v>0.05555555556</v>
      </c>
      <c r="BF7" s="153">
        <f>IFERROR('Similarity matrix'!BF7/'Denominator matrix'!$G$21, "NA")</f>
        <v>0.1666666667</v>
      </c>
      <c r="BG7" s="153">
        <f>IFERROR('Similarity matrix'!BG7/'Denominator matrix'!$H$21, "NA")</f>
        <v>0</v>
      </c>
      <c r="BH7" s="153">
        <f>IFERROR('Similarity matrix'!BH7/'Denominator matrix'!$I$21, "NA")</f>
        <v>0</v>
      </c>
      <c r="BI7" s="153">
        <f>IFERROR('Similarity matrix'!BI7/'Denominator matrix'!$J$21, "NA")</f>
        <v>0</v>
      </c>
      <c r="BJ7" s="153">
        <f>IFERROR('Similarity matrix'!BJ7/'Denominator matrix'!$K$21, "NA")</f>
        <v>0.25</v>
      </c>
      <c r="BK7" s="154">
        <f>IFERROR('Similarity matrix'!BK7/'Denominator matrix'!$B$21, "NA")</f>
        <v>0</v>
      </c>
      <c r="BL7" s="153">
        <f>IFERROR('Similarity matrix'!BL7/'Denominator matrix'!$C$21, "NA")</f>
        <v>0</v>
      </c>
      <c r="BM7" s="153">
        <f>IFERROR('Similarity matrix'!BM7/'Denominator matrix'!$D$21, "NA")</f>
        <v>0</v>
      </c>
      <c r="BN7" s="153">
        <f>IFERROR('Similarity matrix'!BN7/'Denominator matrix'!$E$21, "NA")</f>
        <v>0</v>
      </c>
      <c r="BO7" s="156">
        <f>IFERROR('Similarity matrix'!BO7/'Denominator matrix'!$F$21, "NA")</f>
        <v>0</v>
      </c>
      <c r="BP7" s="153">
        <f>IFERROR('Similarity matrix'!BP7/'Denominator matrix'!$G$21, "NA")</f>
        <v>0</v>
      </c>
      <c r="BQ7" s="153">
        <f>IFERROR('Similarity matrix'!BQ7/'Denominator matrix'!$H$21, "NA")</f>
        <v>0</v>
      </c>
      <c r="BR7" s="153">
        <f>IFERROR('Similarity matrix'!BR7/'Denominator matrix'!$I$21, "NA")</f>
        <v>0</v>
      </c>
      <c r="BS7" s="153">
        <f>IFERROR('Similarity matrix'!BS7/'Denominator matrix'!$J$21, "NA")</f>
        <v>0</v>
      </c>
      <c r="BT7" s="153">
        <f>IFERROR('Similarity matrix'!BT7/'Denominator matrix'!$K$21, "NA")</f>
        <v>0</v>
      </c>
      <c r="BU7" s="154">
        <f>IFERROR('Similarity matrix'!BU7/'Denominator matrix'!$B$21, "NA")</f>
        <v>0</v>
      </c>
      <c r="BV7" s="153">
        <f>IFERROR('Similarity matrix'!BV7/'Denominator matrix'!$C$21, "NA")</f>
        <v>0.1666666667</v>
      </c>
      <c r="BW7" s="153">
        <f>IFERROR('Similarity matrix'!BW7/'Denominator matrix'!$D$21, "NA")</f>
        <v>0</v>
      </c>
      <c r="BX7" s="153">
        <f>IFERROR('Similarity matrix'!BX7/'Denominator matrix'!$E$21, "NA")</f>
        <v>0</v>
      </c>
      <c r="BY7" s="156">
        <f>IFERROR('Similarity matrix'!BY7/'Denominator matrix'!$F$21, "NA")</f>
        <v>0</v>
      </c>
      <c r="BZ7" s="153">
        <f>IFERROR('Similarity matrix'!BZ7/'Denominator matrix'!$G$21, "NA")</f>
        <v>0</v>
      </c>
      <c r="CA7" s="153">
        <f>IFERROR('Similarity matrix'!CA7/'Denominator matrix'!$H$21, "NA")</f>
        <v>0</v>
      </c>
      <c r="CB7" s="153">
        <f>IFERROR('Similarity matrix'!CB7/'Denominator matrix'!$I$21, "NA")</f>
        <v>0</v>
      </c>
      <c r="CC7" s="153">
        <f>IFERROR('Similarity matrix'!CC7/'Denominator matrix'!$J$21, "NA")</f>
        <v>0</v>
      </c>
      <c r="CD7" s="153">
        <f>IFERROR('Similarity matrix'!CD7/'Denominator matrix'!$K$21, "NA")</f>
        <v>0</v>
      </c>
      <c r="CE7" s="154">
        <f>IFERROR('Similarity matrix'!CE7/'Denominator matrix'!$B$21, "NA")</f>
        <v>0</v>
      </c>
      <c r="CF7" s="153">
        <f>IFERROR('Similarity matrix'!CF7/'Denominator matrix'!$C$21, "NA")</f>
        <v>0</v>
      </c>
      <c r="CG7" s="153">
        <f>IFERROR('Similarity matrix'!CG7/'Denominator matrix'!$D$21, "NA")</f>
        <v>0</v>
      </c>
      <c r="CH7" s="153">
        <f>IFERROR('Similarity matrix'!CH7/'Denominator matrix'!$E$21, "NA")</f>
        <v>0</v>
      </c>
      <c r="CI7" s="156">
        <f>IFERROR('Similarity matrix'!CI7/'Denominator matrix'!$F$21, "NA")</f>
        <v>0</v>
      </c>
      <c r="CJ7" s="153">
        <f>IFERROR('Similarity matrix'!CJ7/'Denominator matrix'!$G$21, "NA")</f>
        <v>0</v>
      </c>
      <c r="CK7" s="153">
        <f>IFERROR('Similarity matrix'!CK7/'Denominator matrix'!$H$21, "NA")</f>
        <v>0</v>
      </c>
      <c r="CL7" s="153">
        <f>IFERROR('Similarity matrix'!CL7/'Denominator matrix'!$I$21, "NA")</f>
        <v>0</v>
      </c>
      <c r="CM7" s="153">
        <f>IFERROR('Similarity matrix'!CM7/'Denominator matrix'!$J$21, "NA")</f>
        <v>0</v>
      </c>
      <c r="CN7" s="153">
        <f>IFERROR('Similarity matrix'!CN7/'Denominator matrix'!$K$21, "NA")</f>
        <v>0</v>
      </c>
      <c r="CO7" s="154">
        <f>IFERROR('Similarity matrix'!CO7/'Denominator matrix'!$B$21, "NA")</f>
        <v>0</v>
      </c>
      <c r="CP7" s="153">
        <f>IFERROR('Similarity matrix'!CP7/'Denominator matrix'!$C$21, "NA")</f>
        <v>0</v>
      </c>
      <c r="CQ7" s="153">
        <f>IFERROR('Similarity matrix'!CQ7/'Denominator matrix'!$D$21, "NA")</f>
        <v>0</v>
      </c>
      <c r="CR7" s="153">
        <f>IFERROR('Similarity matrix'!CR7/'Denominator matrix'!$E$21, "NA")</f>
        <v>0</v>
      </c>
      <c r="CS7" s="156">
        <f>IFERROR('Similarity matrix'!CS7/'Denominator matrix'!$F$21, "NA")</f>
        <v>0</v>
      </c>
      <c r="CT7" s="153">
        <f>IFERROR('Similarity matrix'!CT7/'Denominator matrix'!$G$21, "NA")</f>
        <v>0</v>
      </c>
      <c r="CU7" s="153">
        <f>IFERROR('Similarity matrix'!CU7/'Denominator matrix'!$H$21, "NA")</f>
        <v>0</v>
      </c>
      <c r="CV7" s="153">
        <f>IFERROR('Similarity matrix'!CV7/'Denominator matrix'!$I$21, "NA")</f>
        <v>0</v>
      </c>
      <c r="CW7" s="153">
        <f>IFERROR('Similarity matrix'!CW7/'Denominator matrix'!$J$21, "NA")</f>
        <v>0</v>
      </c>
      <c r="CX7" s="153">
        <f>IFERROR('Similarity matrix'!CX7/'Denominator matrix'!$K$21, "NA")</f>
        <v>0</v>
      </c>
    </row>
    <row r="8" ht="35.25" customHeight="1">
      <c r="B8" s="124">
        <v>45809.0</v>
      </c>
      <c r="C8" s="154">
        <f>IFERROR('Similarity matrix'!C8/'Denominator matrix'!$B$22, "NA")</f>
        <v>0.7</v>
      </c>
      <c r="D8" s="153">
        <f>IFERROR('Similarity matrix'!D8/'Denominator matrix'!$C$22, "NA")</f>
        <v>1</v>
      </c>
      <c r="E8" s="153">
        <f>IFERROR('Similarity matrix'!E8/'Denominator matrix'!$D$22, "NA")</f>
        <v>0.5</v>
      </c>
      <c r="F8" s="153">
        <f>IFERROR('Similarity matrix'!F8/'Denominator matrix'!$E$22, "NA")</f>
        <v>0.5</v>
      </c>
      <c r="G8" s="153">
        <f>IFERROR('Similarity matrix'!G8/'Denominator matrix'!$F$22, "NA")</f>
        <v>1</v>
      </c>
      <c r="H8" s="155">
        <f>IFERROR('Similarity matrix'!H8/'Denominator matrix'!$G$22, "NA")</f>
        <v>0</v>
      </c>
      <c r="I8" s="153">
        <f>IFERROR('Similarity matrix'!I8/'Denominator matrix'!$H$22, "NA")</f>
        <v>0.75</v>
      </c>
      <c r="J8" s="153">
        <f>IFERROR('Similarity matrix'!J8/'Denominator matrix'!$I$22, "NA")</f>
        <v>0.8333333333</v>
      </c>
      <c r="K8" s="153">
        <f>IFERROR('Similarity matrix'!K8/'Denominator matrix'!$J$22, "NA")</f>
        <v>0.75</v>
      </c>
      <c r="L8" s="153">
        <f>IFERROR('Similarity matrix'!L8/'Denominator matrix'!$K$22, "NA")</f>
        <v>0.75</v>
      </c>
      <c r="M8" s="154">
        <f>IFERROR('Similarity matrix'!M8/'Denominator matrix'!$B$22, "NA")</f>
        <v>0</v>
      </c>
      <c r="N8" s="153">
        <f>IFERROR('Similarity matrix'!N8/'Denominator matrix'!$C$22, "NA")</f>
        <v>0</v>
      </c>
      <c r="O8" s="153">
        <f>IFERROR('Similarity matrix'!O8/'Denominator matrix'!$D$22, "NA")</f>
        <v>0</v>
      </c>
      <c r="P8" s="153">
        <f>IFERROR('Similarity matrix'!P8/'Denominator matrix'!$E$22, "NA")</f>
        <v>0</v>
      </c>
      <c r="Q8" s="153">
        <f>IFERROR('Similarity matrix'!Q8/'Denominator matrix'!$F$22, "NA")</f>
        <v>0</v>
      </c>
      <c r="R8" s="156">
        <f>IFERROR('Similarity matrix'!R8/'Denominator matrix'!$G$22, "NA")</f>
        <v>0</v>
      </c>
      <c r="S8" s="153">
        <f>IFERROR('Similarity matrix'!S8/'Denominator matrix'!$H$22, "NA")</f>
        <v>0</v>
      </c>
      <c r="T8" s="153">
        <f>IFERROR('Similarity matrix'!T8/'Denominator matrix'!$I$22, "NA")</f>
        <v>0</v>
      </c>
      <c r="U8" s="153">
        <f>IFERROR('Similarity matrix'!U8/'Denominator matrix'!$J$22, "NA")</f>
        <v>0</v>
      </c>
      <c r="V8" s="153">
        <f>IFERROR('Similarity matrix'!V8/'Denominator matrix'!$K$22, "NA")</f>
        <v>0</v>
      </c>
      <c r="W8" s="154">
        <f>IFERROR('Similarity matrix'!W8/'Denominator matrix'!$B$22, "NA")</f>
        <v>0</v>
      </c>
      <c r="X8" s="153">
        <f>IFERROR('Similarity matrix'!X8/'Denominator matrix'!$C$22, "NA")</f>
        <v>0</v>
      </c>
      <c r="Y8" s="153">
        <f>IFERROR('Similarity matrix'!Y8/'Denominator matrix'!$D$22, "NA")</f>
        <v>0</v>
      </c>
      <c r="Z8" s="153">
        <f>IFERROR('Similarity matrix'!Z8/'Denominator matrix'!$E$22, "NA")</f>
        <v>0</v>
      </c>
      <c r="AA8" s="153">
        <f>IFERROR('Similarity matrix'!AA8/'Denominator matrix'!$F$22, "NA")</f>
        <v>0</v>
      </c>
      <c r="AB8" s="156">
        <f>IFERROR('Similarity matrix'!AB8/'Denominator matrix'!$G$22, "NA")</f>
        <v>0</v>
      </c>
      <c r="AC8" s="153">
        <f>IFERROR('Similarity matrix'!AC8/'Denominator matrix'!$H$22, "NA")</f>
        <v>0</v>
      </c>
      <c r="AD8" s="153">
        <f>IFERROR('Similarity matrix'!AD8/'Denominator matrix'!$I$22, "NA")</f>
        <v>0</v>
      </c>
      <c r="AE8" s="153">
        <f>IFERROR('Similarity matrix'!AE8/'Denominator matrix'!$J$22, "NA")</f>
        <v>0</v>
      </c>
      <c r="AF8" s="153">
        <f>IFERROR('Similarity matrix'!AF8/'Denominator matrix'!$K$22, "NA")</f>
        <v>0</v>
      </c>
      <c r="AG8" s="154">
        <f>IFERROR('Similarity matrix'!AG8/'Denominator matrix'!$B$22, "NA")</f>
        <v>0</v>
      </c>
      <c r="AH8" s="153">
        <f>IFERROR('Similarity matrix'!AH8/'Denominator matrix'!$C$22, "NA")</f>
        <v>0</v>
      </c>
      <c r="AI8" s="153">
        <f>IFERROR('Similarity matrix'!AI8/'Denominator matrix'!$D$22, "NA")</f>
        <v>0</v>
      </c>
      <c r="AJ8" s="153">
        <f>IFERROR('Similarity matrix'!AJ8/'Denominator matrix'!$E$22, "NA")</f>
        <v>0</v>
      </c>
      <c r="AK8" s="153">
        <f>IFERROR('Similarity matrix'!AK8/'Denominator matrix'!$F$22, "NA")</f>
        <v>0</v>
      </c>
      <c r="AL8" s="156">
        <f>IFERROR('Similarity matrix'!AL8/'Denominator matrix'!$G$22, "NA")</f>
        <v>0</v>
      </c>
      <c r="AM8" s="153">
        <f>IFERROR('Similarity matrix'!AM8/'Denominator matrix'!$H$22, "NA")</f>
        <v>0</v>
      </c>
      <c r="AN8" s="153">
        <f>IFERROR('Similarity matrix'!AN8/'Denominator matrix'!$I$22, "NA")</f>
        <v>0</v>
      </c>
      <c r="AO8" s="153">
        <f>IFERROR('Similarity matrix'!AO8/'Denominator matrix'!$J$22, "NA")</f>
        <v>0</v>
      </c>
      <c r="AP8" s="153">
        <f>IFERROR('Similarity matrix'!AP8/'Denominator matrix'!$K$22, "NA")</f>
        <v>0</v>
      </c>
      <c r="AQ8" s="154">
        <f>IFERROR('Similarity matrix'!AQ8/'Denominator matrix'!$B$22, "NA")</f>
        <v>0</v>
      </c>
      <c r="AR8" s="153">
        <f>IFERROR('Similarity matrix'!AR8/'Denominator matrix'!$C$22, "NA")</f>
        <v>0</v>
      </c>
      <c r="AS8" s="153">
        <f>IFERROR('Similarity matrix'!AS8/'Denominator matrix'!$D$22, "NA")</f>
        <v>0</v>
      </c>
      <c r="AT8" s="153">
        <f>IFERROR('Similarity matrix'!AT8/'Denominator matrix'!$E$22, "NA")</f>
        <v>0</v>
      </c>
      <c r="AU8" s="153">
        <f>IFERROR('Similarity matrix'!AU8/'Denominator matrix'!$F$22, "NA")</f>
        <v>0</v>
      </c>
      <c r="AV8" s="156">
        <f>IFERROR('Similarity matrix'!AV8/'Denominator matrix'!$G$22, "NA")</f>
        <v>0</v>
      </c>
      <c r="AW8" s="153">
        <f>IFERROR('Similarity matrix'!AW8/'Denominator matrix'!$H$22, "NA")</f>
        <v>0</v>
      </c>
      <c r="AX8" s="153">
        <f>IFERROR('Similarity matrix'!AX8/'Denominator matrix'!$I$22, "NA")</f>
        <v>0</v>
      </c>
      <c r="AY8" s="153">
        <f>IFERROR('Similarity matrix'!AY8/'Denominator matrix'!$J$22, "NA")</f>
        <v>0</v>
      </c>
      <c r="AZ8" s="153">
        <f>IFERROR('Similarity matrix'!AZ8/'Denominator matrix'!$K$22, "NA")</f>
        <v>0</v>
      </c>
      <c r="BA8" s="154">
        <f>IFERROR('Similarity matrix'!BA8/'Denominator matrix'!$B$22, "NA")</f>
        <v>0.1</v>
      </c>
      <c r="BB8" s="153">
        <f>IFERROR('Similarity matrix'!BB8/'Denominator matrix'!$C$22, "NA")</f>
        <v>0</v>
      </c>
      <c r="BC8" s="153">
        <f>IFERROR('Similarity matrix'!BC8/'Denominator matrix'!$D$22, "NA")</f>
        <v>0</v>
      </c>
      <c r="BD8" s="153">
        <f>IFERROR('Similarity matrix'!BD8/'Denominator matrix'!$E$22, "NA")</f>
        <v>0</v>
      </c>
      <c r="BE8" s="153">
        <f>IFERROR('Similarity matrix'!BE8/'Denominator matrix'!$F$22, "NA")</f>
        <v>0.1666666667</v>
      </c>
      <c r="BF8" s="156">
        <f>IFERROR('Similarity matrix'!BF8/'Denominator matrix'!$G$22, "NA")</f>
        <v>0.0625</v>
      </c>
      <c r="BG8" s="153">
        <f>IFERROR('Similarity matrix'!BG8/'Denominator matrix'!$H$22, "NA")</f>
        <v>0</v>
      </c>
      <c r="BH8" s="153">
        <f>IFERROR('Similarity matrix'!BH8/'Denominator matrix'!$I$22, "NA")</f>
        <v>0</v>
      </c>
      <c r="BI8" s="153">
        <f>IFERROR('Similarity matrix'!BI8/'Denominator matrix'!$J$22, "NA")</f>
        <v>0</v>
      </c>
      <c r="BJ8" s="153">
        <f>IFERROR('Similarity matrix'!BJ8/'Denominator matrix'!$K$22, "NA")</f>
        <v>0.25</v>
      </c>
      <c r="BK8" s="154">
        <f>IFERROR('Similarity matrix'!BK8/'Denominator matrix'!$B$22, "NA")</f>
        <v>0</v>
      </c>
      <c r="BL8" s="153">
        <f>IFERROR('Similarity matrix'!BL8/'Denominator matrix'!$C$22, "NA")</f>
        <v>0</v>
      </c>
      <c r="BM8" s="153">
        <f>IFERROR('Similarity matrix'!BM8/'Denominator matrix'!$D$22, "NA")</f>
        <v>0</v>
      </c>
      <c r="BN8" s="153">
        <f>IFERROR('Similarity matrix'!BN8/'Denominator matrix'!$E$22, "NA")</f>
        <v>0</v>
      </c>
      <c r="BO8" s="153">
        <f>IFERROR('Similarity matrix'!BO8/'Denominator matrix'!$F$22, "NA")</f>
        <v>0</v>
      </c>
      <c r="BP8" s="156">
        <f>IFERROR('Similarity matrix'!BP8/'Denominator matrix'!$G$22, "NA")</f>
        <v>0</v>
      </c>
      <c r="BQ8" s="153">
        <f>IFERROR('Similarity matrix'!BQ8/'Denominator matrix'!$H$22, "NA")</f>
        <v>0</v>
      </c>
      <c r="BR8" s="153">
        <f>IFERROR('Similarity matrix'!BR8/'Denominator matrix'!$I$22, "NA")</f>
        <v>0</v>
      </c>
      <c r="BS8" s="153">
        <f>IFERROR('Similarity matrix'!BS8/'Denominator matrix'!$J$22, "NA")</f>
        <v>0</v>
      </c>
      <c r="BT8" s="153">
        <f>IFERROR('Similarity matrix'!BT8/'Denominator matrix'!$K$22, "NA")</f>
        <v>0</v>
      </c>
      <c r="BU8" s="154">
        <f>IFERROR('Similarity matrix'!BU8/'Denominator matrix'!$B$22, "NA")</f>
        <v>0</v>
      </c>
      <c r="BV8" s="153">
        <f>IFERROR('Similarity matrix'!BV8/'Denominator matrix'!$C$22, "NA")</f>
        <v>0</v>
      </c>
      <c r="BW8" s="153">
        <f>IFERROR('Similarity matrix'!BW8/'Denominator matrix'!$D$22, "NA")</f>
        <v>0</v>
      </c>
      <c r="BX8" s="153">
        <f>IFERROR('Similarity matrix'!BX8/'Denominator matrix'!$E$22, "NA")</f>
        <v>0</v>
      </c>
      <c r="BY8" s="153">
        <f>IFERROR('Similarity matrix'!BY8/'Denominator matrix'!$F$22, "NA")</f>
        <v>0</v>
      </c>
      <c r="BZ8" s="156">
        <f>IFERROR('Similarity matrix'!BZ8/'Denominator matrix'!$G$22, "NA")</f>
        <v>0</v>
      </c>
      <c r="CA8" s="153">
        <f>IFERROR('Similarity matrix'!CA8/'Denominator matrix'!$H$22, "NA")</f>
        <v>0</v>
      </c>
      <c r="CB8" s="153">
        <f>IFERROR('Similarity matrix'!CB8/'Denominator matrix'!$I$22, "NA")</f>
        <v>0</v>
      </c>
      <c r="CC8" s="153">
        <f>IFERROR('Similarity matrix'!CC8/'Denominator matrix'!$J$22, "NA")</f>
        <v>0</v>
      </c>
      <c r="CD8" s="153">
        <f>IFERROR('Similarity matrix'!CD8/'Denominator matrix'!$K$22, "NA")</f>
        <v>0</v>
      </c>
      <c r="CE8" s="154">
        <f>IFERROR('Similarity matrix'!CE8/'Denominator matrix'!$B$22, "NA")</f>
        <v>0</v>
      </c>
      <c r="CF8" s="153">
        <f>IFERROR('Similarity matrix'!CF8/'Denominator matrix'!$C$22, "NA")</f>
        <v>0</v>
      </c>
      <c r="CG8" s="153">
        <f>IFERROR('Similarity matrix'!CG8/'Denominator matrix'!$D$22, "NA")</f>
        <v>0</v>
      </c>
      <c r="CH8" s="153">
        <f>IFERROR('Similarity matrix'!CH8/'Denominator matrix'!$E$22, "NA")</f>
        <v>0</v>
      </c>
      <c r="CI8" s="153">
        <f>IFERROR('Similarity matrix'!CI8/'Denominator matrix'!$F$22, "NA")</f>
        <v>0</v>
      </c>
      <c r="CJ8" s="156">
        <f>IFERROR('Similarity matrix'!CJ8/'Denominator matrix'!$G$22, "NA")</f>
        <v>0</v>
      </c>
      <c r="CK8" s="153">
        <f>IFERROR('Similarity matrix'!CK8/'Denominator matrix'!$H$22, "NA")</f>
        <v>0</v>
      </c>
      <c r="CL8" s="153">
        <f>IFERROR('Similarity matrix'!CL8/'Denominator matrix'!$I$22, "NA")</f>
        <v>0</v>
      </c>
      <c r="CM8" s="153">
        <f>IFERROR('Similarity matrix'!CM8/'Denominator matrix'!$J$22, "NA")</f>
        <v>0</v>
      </c>
      <c r="CN8" s="153">
        <f>IFERROR('Similarity matrix'!CN8/'Denominator matrix'!$K$22, "NA")</f>
        <v>0</v>
      </c>
      <c r="CO8" s="154">
        <f>IFERROR('Similarity matrix'!CO8/'Denominator matrix'!$B$22, "NA")</f>
        <v>0</v>
      </c>
      <c r="CP8" s="153">
        <f>IFERROR('Similarity matrix'!CP8/'Denominator matrix'!$C$22, "NA")</f>
        <v>0</v>
      </c>
      <c r="CQ8" s="153">
        <f>IFERROR('Similarity matrix'!CQ8/'Denominator matrix'!$D$22, "NA")</f>
        <v>0</v>
      </c>
      <c r="CR8" s="153">
        <f>IFERROR('Similarity matrix'!CR8/'Denominator matrix'!$E$22, "NA")</f>
        <v>0</v>
      </c>
      <c r="CS8" s="153">
        <f>IFERROR('Similarity matrix'!CS8/'Denominator matrix'!$F$22, "NA")</f>
        <v>0</v>
      </c>
      <c r="CT8" s="156">
        <f>IFERROR('Similarity matrix'!CT8/'Denominator matrix'!$G$22, "NA")</f>
        <v>0</v>
      </c>
      <c r="CU8" s="153">
        <f>IFERROR('Similarity matrix'!CU8/'Denominator matrix'!$H$22, "NA")</f>
        <v>0</v>
      </c>
      <c r="CV8" s="153">
        <f>IFERROR('Similarity matrix'!CV8/'Denominator matrix'!$I$22, "NA")</f>
        <v>0</v>
      </c>
      <c r="CW8" s="153">
        <f>IFERROR('Similarity matrix'!CW8/'Denominator matrix'!$J$22, "NA")</f>
        <v>0</v>
      </c>
      <c r="CX8" s="153">
        <f>IFERROR('Similarity matrix'!CX8/'Denominator matrix'!$K$22, "NA")</f>
        <v>0</v>
      </c>
    </row>
    <row r="9" ht="35.25" customHeight="1">
      <c r="B9" s="124">
        <v>45839.0</v>
      </c>
      <c r="C9" s="154">
        <f>IFERROR('Similarity matrix'!C9/'Denominator matrix'!$B$23, "NA")</f>
        <v>0.5</v>
      </c>
      <c r="D9" s="153">
        <f>IFERROR('Similarity matrix'!D9/'Denominator matrix'!$C$23, "NA")</f>
        <v>0.8333333333</v>
      </c>
      <c r="E9" s="153">
        <f>IFERROR('Similarity matrix'!E9/'Denominator matrix'!$D$23, "NA")</f>
        <v>1</v>
      </c>
      <c r="F9" s="153">
        <f>IFERROR('Similarity matrix'!F9/'Denominator matrix'!$E$23, "NA")</f>
        <v>0.9</v>
      </c>
      <c r="G9" s="153">
        <f>IFERROR('Similarity matrix'!G9/'Denominator matrix'!$F$23, "NA")</f>
        <v>0.5</v>
      </c>
      <c r="H9" s="153">
        <f>IFERROR('Similarity matrix'!H9/'Denominator matrix'!$G$23, "NA")</f>
        <v>0.75</v>
      </c>
      <c r="I9" s="155">
        <f>IFERROR('Similarity matrix'!I9/'Denominator matrix'!$H$23, "NA")</f>
        <v>0</v>
      </c>
      <c r="J9" s="153">
        <f>IFERROR('Similarity matrix'!J9/'Denominator matrix'!$I$23, "NA")</f>
        <v>1</v>
      </c>
      <c r="K9" s="153">
        <f>IFERROR('Similarity matrix'!K9/'Denominator matrix'!$J$23, "NA")</f>
        <v>0.5</v>
      </c>
      <c r="L9" s="153">
        <f>IFERROR('Similarity matrix'!L9/'Denominator matrix'!$K$23, "NA")</f>
        <v>0.75</v>
      </c>
      <c r="M9" s="154">
        <f>IFERROR('Similarity matrix'!M9/'Denominator matrix'!$B$23, "NA")</f>
        <v>0</v>
      </c>
      <c r="N9" s="153">
        <f>IFERROR('Similarity matrix'!N9/'Denominator matrix'!$C$23, "NA")</f>
        <v>0</v>
      </c>
      <c r="O9" s="153">
        <f>IFERROR('Similarity matrix'!O9/'Denominator matrix'!$D$23, "NA")</f>
        <v>0</v>
      </c>
      <c r="P9" s="153">
        <f>IFERROR('Similarity matrix'!P9/'Denominator matrix'!$E$23, "NA")</f>
        <v>0</v>
      </c>
      <c r="Q9" s="153">
        <f>IFERROR('Similarity matrix'!Q9/'Denominator matrix'!$F$23, "NA")</f>
        <v>0</v>
      </c>
      <c r="R9" s="153">
        <f>IFERROR('Similarity matrix'!R9/'Denominator matrix'!$G$23, "NA")</f>
        <v>0</v>
      </c>
      <c r="S9" s="156">
        <f>IFERROR('Similarity matrix'!S9/'Denominator matrix'!$H$23, "NA")</f>
        <v>0</v>
      </c>
      <c r="T9" s="153">
        <f>IFERROR('Similarity matrix'!T9/'Denominator matrix'!$I$23, "NA")</f>
        <v>0</v>
      </c>
      <c r="U9" s="153">
        <f>IFERROR('Similarity matrix'!U9/'Denominator matrix'!$J$23, "NA")</f>
        <v>0</v>
      </c>
      <c r="V9" s="153">
        <f>IFERROR('Similarity matrix'!V9/'Denominator matrix'!$K$23, "NA")</f>
        <v>0</v>
      </c>
      <c r="W9" s="154">
        <f>IFERROR('Similarity matrix'!W9/'Denominator matrix'!$B$23, "NA")</f>
        <v>0</v>
      </c>
      <c r="X9" s="153">
        <f>IFERROR('Similarity matrix'!X9/'Denominator matrix'!$C$23, "NA")</f>
        <v>0</v>
      </c>
      <c r="Y9" s="153">
        <f>IFERROR('Similarity matrix'!Y9/'Denominator matrix'!$D$23, "NA")</f>
        <v>0</v>
      </c>
      <c r="Z9" s="153">
        <f>IFERROR('Similarity matrix'!Z9/'Denominator matrix'!$E$23, "NA")</f>
        <v>0</v>
      </c>
      <c r="AA9" s="153">
        <f>IFERROR('Similarity matrix'!AA9/'Denominator matrix'!$F$23, "NA")</f>
        <v>0</v>
      </c>
      <c r="AB9" s="153">
        <f>IFERROR('Similarity matrix'!AB9/'Denominator matrix'!$G$23, "NA")</f>
        <v>0</v>
      </c>
      <c r="AC9" s="156">
        <f>IFERROR('Similarity matrix'!AC9/'Denominator matrix'!$H$23, "NA")</f>
        <v>0</v>
      </c>
      <c r="AD9" s="153">
        <f>IFERROR('Similarity matrix'!AD9/'Denominator matrix'!$I$23, "NA")</f>
        <v>0</v>
      </c>
      <c r="AE9" s="153">
        <f>IFERROR('Similarity matrix'!AE9/'Denominator matrix'!$J$23, "NA")</f>
        <v>0</v>
      </c>
      <c r="AF9" s="153">
        <f>IFERROR('Similarity matrix'!AF9/'Denominator matrix'!$K$23, "NA")</f>
        <v>0</v>
      </c>
      <c r="AG9" s="154">
        <f>IFERROR('Similarity matrix'!AG9/'Denominator matrix'!$B$23, "NA")</f>
        <v>0.25</v>
      </c>
      <c r="AH9" s="153">
        <f>IFERROR('Similarity matrix'!AH9/'Denominator matrix'!$C$23, "NA")</f>
        <v>0</v>
      </c>
      <c r="AI9" s="153">
        <f>IFERROR('Similarity matrix'!AI9/'Denominator matrix'!$D$23, "NA")</f>
        <v>0</v>
      </c>
      <c r="AJ9" s="153">
        <f>IFERROR('Similarity matrix'!AJ9/'Denominator matrix'!$E$23, "NA")</f>
        <v>0</v>
      </c>
      <c r="AK9" s="153">
        <f>IFERROR('Similarity matrix'!AK9/'Denominator matrix'!$F$23, "NA")</f>
        <v>0</v>
      </c>
      <c r="AL9" s="153">
        <f>IFERROR('Similarity matrix'!AL9/'Denominator matrix'!$G$23, "NA")</f>
        <v>0</v>
      </c>
      <c r="AM9" s="156">
        <f>IFERROR('Similarity matrix'!AM9/'Denominator matrix'!$H$23, "NA")</f>
        <v>0</v>
      </c>
      <c r="AN9" s="153">
        <f>IFERROR('Similarity matrix'!AN9/'Denominator matrix'!$I$23, "NA")</f>
        <v>0</v>
      </c>
      <c r="AO9" s="153">
        <f>IFERROR('Similarity matrix'!AO9/'Denominator matrix'!$J$23, "NA")</f>
        <v>0</v>
      </c>
      <c r="AP9" s="153">
        <f>IFERROR('Similarity matrix'!AP9/'Denominator matrix'!$K$23, "NA")</f>
        <v>0.25</v>
      </c>
      <c r="AQ9" s="154">
        <f>IFERROR('Similarity matrix'!AQ9/'Denominator matrix'!$B$23, "NA")</f>
        <v>0</v>
      </c>
      <c r="AR9" s="153">
        <f>IFERROR('Similarity matrix'!AR9/'Denominator matrix'!$C$23, "NA")</f>
        <v>0</v>
      </c>
      <c r="AS9" s="153">
        <f>IFERROR('Similarity matrix'!AS9/'Denominator matrix'!$D$23, "NA")</f>
        <v>0</v>
      </c>
      <c r="AT9" s="153">
        <f>IFERROR('Similarity matrix'!AT9/'Denominator matrix'!$E$23, "NA")</f>
        <v>0</v>
      </c>
      <c r="AU9" s="153">
        <f>IFERROR('Similarity matrix'!AU9/'Denominator matrix'!$F$23, "NA")</f>
        <v>0</v>
      </c>
      <c r="AV9" s="153">
        <f>IFERROR('Similarity matrix'!AV9/'Denominator matrix'!$G$23, "NA")</f>
        <v>0</v>
      </c>
      <c r="AW9" s="156">
        <f>IFERROR('Similarity matrix'!AW9/'Denominator matrix'!$H$23, "NA")</f>
        <v>0</v>
      </c>
      <c r="AX9" s="153">
        <f>IFERROR('Similarity matrix'!AX9/'Denominator matrix'!$I$23, "NA")</f>
        <v>0</v>
      </c>
      <c r="AY9" s="153">
        <f>IFERROR('Similarity matrix'!AY9/'Denominator matrix'!$J$23, "NA")</f>
        <v>0</v>
      </c>
      <c r="AZ9" s="153">
        <f>IFERROR('Similarity matrix'!AZ9/'Denominator matrix'!$K$23, "NA")</f>
        <v>0</v>
      </c>
      <c r="BA9" s="154">
        <f>IFERROR('Similarity matrix'!BA9/'Denominator matrix'!$B$23, "NA")</f>
        <v>0.25</v>
      </c>
      <c r="BB9" s="153">
        <f>IFERROR('Similarity matrix'!BB9/'Denominator matrix'!$C$23, "NA")</f>
        <v>0.1666666667</v>
      </c>
      <c r="BC9" s="153">
        <f>IFERROR('Similarity matrix'!BC9/'Denominator matrix'!$D$23, "NA")</f>
        <v>0</v>
      </c>
      <c r="BD9" s="153">
        <f>IFERROR('Similarity matrix'!BD9/'Denominator matrix'!$E$23, "NA")</f>
        <v>0.1</v>
      </c>
      <c r="BE9" s="153">
        <f>IFERROR('Similarity matrix'!BE9/'Denominator matrix'!$F$23, "NA")</f>
        <v>0.25</v>
      </c>
      <c r="BF9" s="153">
        <f>IFERROR('Similarity matrix'!BF9/'Denominator matrix'!$G$23, "NA")</f>
        <v>0</v>
      </c>
      <c r="BG9" s="156">
        <f>IFERROR('Similarity matrix'!BG9/'Denominator matrix'!$H$23, "NA")</f>
        <v>0.0625</v>
      </c>
      <c r="BH9" s="153">
        <f>IFERROR('Similarity matrix'!BH9/'Denominator matrix'!$I$23, "NA")</f>
        <v>0</v>
      </c>
      <c r="BI9" s="153">
        <f>IFERROR('Similarity matrix'!BI9/'Denominator matrix'!$J$23, "NA")</f>
        <v>0</v>
      </c>
      <c r="BJ9" s="153">
        <f>IFERROR('Similarity matrix'!BJ9/'Denominator matrix'!$K$23, "NA")</f>
        <v>0</v>
      </c>
      <c r="BK9" s="154">
        <f>IFERROR('Similarity matrix'!BK9/'Denominator matrix'!$B$23, "NA")</f>
        <v>0</v>
      </c>
      <c r="BL9" s="153">
        <f>IFERROR('Similarity matrix'!BL9/'Denominator matrix'!$C$23, "NA")</f>
        <v>0</v>
      </c>
      <c r="BM9" s="153">
        <f>IFERROR('Similarity matrix'!BM9/'Denominator matrix'!$D$23, "NA")</f>
        <v>0</v>
      </c>
      <c r="BN9" s="153">
        <f>IFERROR('Similarity matrix'!BN9/'Denominator matrix'!$E$23, "NA")</f>
        <v>0</v>
      </c>
      <c r="BO9" s="153">
        <f>IFERROR('Similarity matrix'!BO9/'Denominator matrix'!$F$23, "NA")</f>
        <v>0</v>
      </c>
      <c r="BP9" s="153">
        <f>IFERROR('Similarity matrix'!BP9/'Denominator matrix'!$G$23, "NA")</f>
        <v>0</v>
      </c>
      <c r="BQ9" s="156">
        <f>IFERROR('Similarity matrix'!BQ9/'Denominator matrix'!$H$23, "NA")</f>
        <v>0</v>
      </c>
      <c r="BR9" s="153">
        <f>IFERROR('Similarity matrix'!BR9/'Denominator matrix'!$I$23, "NA")</f>
        <v>0</v>
      </c>
      <c r="BS9" s="153">
        <f>IFERROR('Similarity matrix'!BS9/'Denominator matrix'!$J$23, "NA")</f>
        <v>0</v>
      </c>
      <c r="BT9" s="153">
        <f>IFERROR('Similarity matrix'!BT9/'Denominator matrix'!$K$23, "NA")</f>
        <v>0</v>
      </c>
      <c r="BU9" s="154">
        <f>IFERROR('Similarity matrix'!BU9/'Denominator matrix'!$B$23, "NA")</f>
        <v>0</v>
      </c>
      <c r="BV9" s="153">
        <f>IFERROR('Similarity matrix'!BV9/'Denominator matrix'!$C$23, "NA")</f>
        <v>0</v>
      </c>
      <c r="BW9" s="153">
        <f>IFERROR('Similarity matrix'!BW9/'Denominator matrix'!$D$23, "NA")</f>
        <v>0</v>
      </c>
      <c r="BX9" s="153">
        <f>IFERROR('Similarity matrix'!BX9/'Denominator matrix'!$E$23, "NA")</f>
        <v>0</v>
      </c>
      <c r="BY9" s="153">
        <f>IFERROR('Similarity matrix'!BY9/'Denominator matrix'!$F$23, "NA")</f>
        <v>0</v>
      </c>
      <c r="BZ9" s="153">
        <f>IFERROR('Similarity matrix'!BZ9/'Denominator matrix'!$G$23, "NA")</f>
        <v>0</v>
      </c>
      <c r="CA9" s="156">
        <f>IFERROR('Similarity matrix'!CA9/'Denominator matrix'!$H$23, "NA")</f>
        <v>0.0625</v>
      </c>
      <c r="CB9" s="153">
        <f>IFERROR('Similarity matrix'!CB9/'Denominator matrix'!$I$23, "NA")</f>
        <v>0</v>
      </c>
      <c r="CC9" s="153">
        <f>IFERROR('Similarity matrix'!CC9/'Denominator matrix'!$J$23, "NA")</f>
        <v>0</v>
      </c>
      <c r="CD9" s="153">
        <f>IFERROR('Similarity matrix'!CD9/'Denominator matrix'!$K$23, "NA")</f>
        <v>0.25</v>
      </c>
      <c r="CE9" s="154">
        <f>IFERROR('Similarity matrix'!CE9/'Denominator matrix'!$B$23, "NA")</f>
        <v>0</v>
      </c>
      <c r="CF9" s="153">
        <f>IFERROR('Similarity matrix'!CF9/'Denominator matrix'!$C$23, "NA")</f>
        <v>0</v>
      </c>
      <c r="CG9" s="153">
        <f>IFERROR('Similarity matrix'!CG9/'Denominator matrix'!$D$23, "NA")</f>
        <v>0</v>
      </c>
      <c r="CH9" s="153">
        <f>IFERROR('Similarity matrix'!CH9/'Denominator matrix'!$E$23, "NA")</f>
        <v>0</v>
      </c>
      <c r="CI9" s="153">
        <f>IFERROR('Similarity matrix'!CI9/'Denominator matrix'!$F$23, "NA")</f>
        <v>0</v>
      </c>
      <c r="CJ9" s="153">
        <f>IFERROR('Similarity matrix'!CJ9/'Denominator matrix'!$G$23, "NA")</f>
        <v>0</v>
      </c>
      <c r="CK9" s="156">
        <f>IFERROR('Similarity matrix'!CK9/'Denominator matrix'!$H$23, "NA")</f>
        <v>0</v>
      </c>
      <c r="CL9" s="153">
        <f>IFERROR('Similarity matrix'!CL9/'Denominator matrix'!$I$23, "NA")</f>
        <v>0</v>
      </c>
      <c r="CM9" s="153">
        <f>IFERROR('Similarity matrix'!CM9/'Denominator matrix'!$J$23, "NA")</f>
        <v>0</v>
      </c>
      <c r="CN9" s="153">
        <f>IFERROR('Similarity matrix'!CN9/'Denominator matrix'!$K$23, "NA")</f>
        <v>0</v>
      </c>
      <c r="CO9" s="154">
        <f>IFERROR('Similarity matrix'!CO9/'Denominator matrix'!$B$23, "NA")</f>
        <v>0</v>
      </c>
      <c r="CP9" s="153">
        <f>IFERROR('Similarity matrix'!CP9/'Denominator matrix'!$C$23, "NA")</f>
        <v>0</v>
      </c>
      <c r="CQ9" s="153">
        <f>IFERROR('Similarity matrix'!CQ9/'Denominator matrix'!$D$23, "NA")</f>
        <v>0</v>
      </c>
      <c r="CR9" s="153">
        <f>IFERROR('Similarity matrix'!CR9/'Denominator matrix'!$E$23, "NA")</f>
        <v>0</v>
      </c>
      <c r="CS9" s="153">
        <f>IFERROR('Similarity matrix'!CS9/'Denominator matrix'!$F$23, "NA")</f>
        <v>0</v>
      </c>
      <c r="CT9" s="153">
        <f>IFERROR('Similarity matrix'!CT9/'Denominator matrix'!$G$23, "NA")</f>
        <v>0</v>
      </c>
      <c r="CU9" s="156">
        <f>IFERROR('Similarity matrix'!CU9/'Denominator matrix'!$H$23, "NA")</f>
        <v>0</v>
      </c>
      <c r="CV9" s="153">
        <f>IFERROR('Similarity matrix'!CV9/'Denominator matrix'!$I$23, "NA")</f>
        <v>0</v>
      </c>
      <c r="CW9" s="153">
        <f>IFERROR('Similarity matrix'!CW9/'Denominator matrix'!$J$23, "NA")</f>
        <v>0</v>
      </c>
      <c r="CX9" s="153">
        <f>IFERROR('Similarity matrix'!CX9/'Denominator matrix'!$K$23, "NA")</f>
        <v>0</v>
      </c>
    </row>
    <row r="10" ht="35.25" customHeight="1">
      <c r="B10" s="124">
        <v>45870.0</v>
      </c>
      <c r="C10" s="154">
        <f>IFERROR('Similarity matrix'!C10/'Denominator matrix'!$B$24, "NA")</f>
        <v>0.75</v>
      </c>
      <c r="D10" s="153">
        <f>IFERROR('Similarity matrix'!D10/'Denominator matrix'!$C$24, "NA")</f>
        <v>0.75</v>
      </c>
      <c r="E10" s="153">
        <f>IFERROR('Similarity matrix'!E10/'Denominator matrix'!$D$24, "NA")</f>
        <v>0.8333333333</v>
      </c>
      <c r="F10" s="153">
        <f>IFERROR('Similarity matrix'!F10/'Denominator matrix'!$E$24, "NA")</f>
        <v>1</v>
      </c>
      <c r="G10" s="153">
        <f>IFERROR('Similarity matrix'!G10/'Denominator matrix'!$F$24, "NA")</f>
        <v>0.8</v>
      </c>
      <c r="H10" s="153">
        <f>IFERROR('Similarity matrix'!H10/'Denominator matrix'!$G$24, "NA")</f>
        <v>0.8333333333</v>
      </c>
      <c r="I10" s="153">
        <f>IFERROR('Similarity matrix'!I10/'Denominator matrix'!$H$24, "NA")</f>
        <v>1</v>
      </c>
      <c r="J10" s="155">
        <f>IFERROR('Similarity matrix'!J10/'Denominator matrix'!$I$24, "NA")</f>
        <v>0</v>
      </c>
      <c r="K10" s="153">
        <f>IFERROR('Similarity matrix'!K10/'Denominator matrix'!$J$24, "NA")</f>
        <v>0.75</v>
      </c>
      <c r="L10" s="153">
        <f>IFERROR('Similarity matrix'!L10/'Denominator matrix'!$K$24, "NA")</f>
        <v>1</v>
      </c>
      <c r="M10" s="154">
        <f>IFERROR('Similarity matrix'!M10/'Denominator matrix'!$B$24, "NA")</f>
        <v>0</v>
      </c>
      <c r="N10" s="153">
        <f>IFERROR('Similarity matrix'!N10/'Denominator matrix'!$C$24, "NA")</f>
        <v>0</v>
      </c>
      <c r="O10" s="153">
        <f>IFERROR('Similarity matrix'!O10/'Denominator matrix'!$D$24, "NA")</f>
        <v>0</v>
      </c>
      <c r="P10" s="153">
        <f>IFERROR('Similarity matrix'!P10/'Denominator matrix'!$E$24, "NA")</f>
        <v>0</v>
      </c>
      <c r="Q10" s="153">
        <f>IFERROR('Similarity matrix'!Q10/'Denominator matrix'!$F$24, "NA")</f>
        <v>0</v>
      </c>
      <c r="R10" s="153">
        <f>IFERROR('Similarity matrix'!R10/'Denominator matrix'!$G$24, "NA")</f>
        <v>0</v>
      </c>
      <c r="S10" s="153">
        <f>IFERROR('Similarity matrix'!S10/'Denominator matrix'!$H$24, "NA")</f>
        <v>0</v>
      </c>
      <c r="T10" s="156">
        <f>IFERROR('Similarity matrix'!T10/'Denominator matrix'!$I$24, "NA")</f>
        <v>0</v>
      </c>
      <c r="U10" s="153">
        <f>IFERROR('Similarity matrix'!U10/'Denominator matrix'!$J$24, "NA")</f>
        <v>0</v>
      </c>
      <c r="V10" s="153">
        <f>IFERROR('Similarity matrix'!V10/'Denominator matrix'!$K$24, "NA")</f>
        <v>0</v>
      </c>
      <c r="W10" s="154">
        <f>IFERROR('Similarity matrix'!W10/'Denominator matrix'!$B$24, "NA")</f>
        <v>0</v>
      </c>
      <c r="X10" s="153">
        <f>IFERROR('Similarity matrix'!X10/'Denominator matrix'!$C$24, "NA")</f>
        <v>0</v>
      </c>
      <c r="Y10" s="153">
        <f>IFERROR('Similarity matrix'!Y10/'Denominator matrix'!$D$24, "NA")</f>
        <v>0</v>
      </c>
      <c r="Z10" s="153">
        <f>IFERROR('Similarity matrix'!Z10/'Denominator matrix'!$E$24, "NA")</f>
        <v>0</v>
      </c>
      <c r="AA10" s="153">
        <f>IFERROR('Similarity matrix'!AA10/'Denominator matrix'!$F$24, "NA")</f>
        <v>0</v>
      </c>
      <c r="AB10" s="153">
        <f>IFERROR('Similarity matrix'!AB10/'Denominator matrix'!$G$24, "NA")</f>
        <v>0</v>
      </c>
      <c r="AC10" s="153">
        <f>IFERROR('Similarity matrix'!AC10/'Denominator matrix'!$H$24, "NA")</f>
        <v>0</v>
      </c>
      <c r="AD10" s="156">
        <f>IFERROR('Similarity matrix'!AD10/'Denominator matrix'!$I$24, "NA")</f>
        <v>0</v>
      </c>
      <c r="AE10" s="153">
        <f>IFERROR('Similarity matrix'!AE10/'Denominator matrix'!$J$24, "NA")</f>
        <v>0</v>
      </c>
      <c r="AF10" s="153">
        <f>IFERROR('Similarity matrix'!AF10/'Denominator matrix'!$K$24, "NA")</f>
        <v>0</v>
      </c>
      <c r="AG10" s="154">
        <f>IFERROR('Similarity matrix'!AG10/'Denominator matrix'!$B$24, "NA")</f>
        <v>0</v>
      </c>
      <c r="AH10" s="153">
        <f>IFERROR('Similarity matrix'!AH10/'Denominator matrix'!$C$24, "NA")</f>
        <v>0</v>
      </c>
      <c r="AI10" s="153">
        <f>IFERROR('Similarity matrix'!AI10/'Denominator matrix'!$D$24, "NA")</f>
        <v>0</v>
      </c>
      <c r="AJ10" s="153">
        <f>IFERROR('Similarity matrix'!AJ10/'Denominator matrix'!$E$24, "NA")</f>
        <v>0</v>
      </c>
      <c r="AK10" s="153">
        <f>IFERROR('Similarity matrix'!AK10/'Denominator matrix'!$F$24, "NA")</f>
        <v>0</v>
      </c>
      <c r="AL10" s="153">
        <f>IFERROR('Similarity matrix'!AL10/'Denominator matrix'!$G$24, "NA")</f>
        <v>0</v>
      </c>
      <c r="AM10" s="153">
        <f>IFERROR('Similarity matrix'!AM10/'Denominator matrix'!$H$24, "NA")</f>
        <v>0.25</v>
      </c>
      <c r="AN10" s="156">
        <f>IFERROR('Similarity matrix'!AN10/'Denominator matrix'!$I$24, "NA")</f>
        <v>0</v>
      </c>
      <c r="AO10" s="153">
        <f>IFERROR('Similarity matrix'!AO10/'Denominator matrix'!$J$24, "NA")</f>
        <v>0</v>
      </c>
      <c r="AP10" s="153">
        <f>IFERROR('Similarity matrix'!AP10/'Denominator matrix'!$K$24, "NA")</f>
        <v>0</v>
      </c>
      <c r="AQ10" s="154">
        <f>IFERROR('Similarity matrix'!AQ10/'Denominator matrix'!$B$24, "NA")</f>
        <v>0</v>
      </c>
      <c r="AR10" s="153">
        <f>IFERROR('Similarity matrix'!AR10/'Denominator matrix'!$C$24, "NA")</f>
        <v>0</v>
      </c>
      <c r="AS10" s="153">
        <f>IFERROR('Similarity matrix'!AS10/'Denominator matrix'!$D$24, "NA")</f>
        <v>0</v>
      </c>
      <c r="AT10" s="153">
        <f>IFERROR('Similarity matrix'!AT10/'Denominator matrix'!$E$24, "NA")</f>
        <v>0</v>
      </c>
      <c r="AU10" s="153">
        <f>IFERROR('Similarity matrix'!AU10/'Denominator matrix'!$F$24, "NA")</f>
        <v>0</v>
      </c>
      <c r="AV10" s="153">
        <f>IFERROR('Similarity matrix'!AV10/'Denominator matrix'!$G$24, "NA")</f>
        <v>0</v>
      </c>
      <c r="AW10" s="153">
        <f>IFERROR('Similarity matrix'!AW10/'Denominator matrix'!$H$24, "NA")</f>
        <v>0.25</v>
      </c>
      <c r="AX10" s="156">
        <f>IFERROR('Similarity matrix'!AX10/'Denominator matrix'!$I$24, "NA")</f>
        <v>0</v>
      </c>
      <c r="AY10" s="153">
        <f>IFERROR('Similarity matrix'!AY10/'Denominator matrix'!$J$24, "NA")</f>
        <v>0</v>
      </c>
      <c r="AZ10" s="153">
        <f>IFERROR('Similarity matrix'!AZ10/'Denominator matrix'!$K$24, "NA")</f>
        <v>0</v>
      </c>
      <c r="BA10" s="154">
        <f>IFERROR('Similarity matrix'!BA10/'Denominator matrix'!$B$24, "NA")</f>
        <v>0</v>
      </c>
      <c r="BB10" s="153">
        <f>IFERROR('Similarity matrix'!BB10/'Denominator matrix'!$C$24, "NA")</f>
        <v>0.25</v>
      </c>
      <c r="BC10" s="153">
        <f>IFERROR('Similarity matrix'!BC10/'Denominator matrix'!$D$24, "NA")</f>
        <v>0.1666666667</v>
      </c>
      <c r="BD10" s="153">
        <f>IFERROR('Similarity matrix'!BD10/'Denominator matrix'!$E$24, "NA")</f>
        <v>0</v>
      </c>
      <c r="BE10" s="153">
        <f>IFERROR('Similarity matrix'!BE10/'Denominator matrix'!$F$24, "NA")</f>
        <v>0.1</v>
      </c>
      <c r="BF10" s="153">
        <f>IFERROR('Similarity matrix'!BF10/'Denominator matrix'!$G$24, "NA")</f>
        <v>0</v>
      </c>
      <c r="BG10" s="153">
        <f>IFERROR('Similarity matrix'!BG10/'Denominator matrix'!$H$24, "NA")</f>
        <v>0.25</v>
      </c>
      <c r="BH10" s="156">
        <f>IFERROR('Similarity matrix'!BH10/'Denominator matrix'!$I$24, "NA")</f>
        <v>0.1875</v>
      </c>
      <c r="BI10" s="153">
        <f>IFERROR('Similarity matrix'!BI10/'Denominator matrix'!$J$24, "NA")</f>
        <v>0</v>
      </c>
      <c r="BJ10" s="153">
        <f>IFERROR('Similarity matrix'!BJ10/'Denominator matrix'!$K$24, "NA")</f>
        <v>0.1666666667</v>
      </c>
      <c r="BK10" s="154">
        <f>IFERROR('Similarity matrix'!BK10/'Denominator matrix'!$B$24, "NA")</f>
        <v>0</v>
      </c>
      <c r="BL10" s="153">
        <f>IFERROR('Similarity matrix'!BL10/'Denominator matrix'!$C$24, "NA")</f>
        <v>0</v>
      </c>
      <c r="BM10" s="153">
        <f>IFERROR('Similarity matrix'!BM10/'Denominator matrix'!$D$24, "NA")</f>
        <v>0</v>
      </c>
      <c r="BN10" s="153">
        <f>IFERROR('Similarity matrix'!BN10/'Denominator matrix'!$E$24, "NA")</f>
        <v>0</v>
      </c>
      <c r="BO10" s="153">
        <f>IFERROR('Similarity matrix'!BO10/'Denominator matrix'!$F$24, "NA")</f>
        <v>0</v>
      </c>
      <c r="BP10" s="153">
        <f>IFERROR('Similarity matrix'!BP10/'Denominator matrix'!$G$24, "NA")</f>
        <v>0</v>
      </c>
      <c r="BQ10" s="153">
        <f>IFERROR('Similarity matrix'!BQ10/'Denominator matrix'!$H$24, "NA")</f>
        <v>0</v>
      </c>
      <c r="BR10" s="156">
        <f>IFERROR('Similarity matrix'!BR10/'Denominator matrix'!$I$24, "NA")</f>
        <v>0</v>
      </c>
      <c r="BS10" s="153">
        <f>IFERROR('Similarity matrix'!BS10/'Denominator matrix'!$J$24, "NA")</f>
        <v>0</v>
      </c>
      <c r="BT10" s="153">
        <f>IFERROR('Similarity matrix'!BT10/'Denominator matrix'!$K$24, "NA")</f>
        <v>0</v>
      </c>
      <c r="BU10" s="154">
        <f>IFERROR('Similarity matrix'!BU10/'Denominator matrix'!$B$24, "NA")</f>
        <v>0</v>
      </c>
      <c r="BV10" s="153">
        <f>IFERROR('Similarity matrix'!BV10/'Denominator matrix'!$C$24, "NA")</f>
        <v>0</v>
      </c>
      <c r="BW10" s="153">
        <f>IFERROR('Similarity matrix'!BW10/'Denominator matrix'!$D$24, "NA")</f>
        <v>0</v>
      </c>
      <c r="BX10" s="153">
        <f>IFERROR('Similarity matrix'!BX10/'Denominator matrix'!$E$24, "NA")</f>
        <v>0</v>
      </c>
      <c r="BY10" s="153">
        <f>IFERROR('Similarity matrix'!BY10/'Denominator matrix'!$F$24, "NA")</f>
        <v>0</v>
      </c>
      <c r="BZ10" s="153">
        <f>IFERROR('Similarity matrix'!BZ10/'Denominator matrix'!$G$24, "NA")</f>
        <v>0</v>
      </c>
      <c r="CA10" s="153">
        <f>IFERROR('Similarity matrix'!CA10/'Denominator matrix'!$H$24, "NA")</f>
        <v>0</v>
      </c>
      <c r="CB10" s="156">
        <f>IFERROR('Similarity matrix'!CB10/'Denominator matrix'!$I$24, "NA")</f>
        <v>0</v>
      </c>
      <c r="CC10" s="153">
        <f>IFERROR('Similarity matrix'!CC10/'Denominator matrix'!$J$24, "NA")</f>
        <v>0</v>
      </c>
      <c r="CD10" s="153">
        <f>IFERROR('Similarity matrix'!CD10/'Denominator matrix'!$K$24, "NA")</f>
        <v>0</v>
      </c>
      <c r="CE10" s="154">
        <f>IFERROR('Similarity matrix'!CE10/'Denominator matrix'!$B$24, "NA")</f>
        <v>0</v>
      </c>
      <c r="CF10" s="153">
        <f>IFERROR('Similarity matrix'!CF10/'Denominator matrix'!$C$24, "NA")</f>
        <v>0</v>
      </c>
      <c r="CG10" s="153">
        <f>IFERROR('Similarity matrix'!CG10/'Denominator matrix'!$D$24, "NA")</f>
        <v>0</v>
      </c>
      <c r="CH10" s="153">
        <f>IFERROR('Similarity matrix'!CH10/'Denominator matrix'!$E$24, "NA")</f>
        <v>0</v>
      </c>
      <c r="CI10" s="153">
        <f>IFERROR('Similarity matrix'!CI10/'Denominator matrix'!$F$24, "NA")</f>
        <v>0</v>
      </c>
      <c r="CJ10" s="153">
        <f>IFERROR('Similarity matrix'!CJ10/'Denominator matrix'!$G$24, "NA")</f>
        <v>0</v>
      </c>
      <c r="CK10" s="153">
        <f>IFERROR('Similarity matrix'!CK10/'Denominator matrix'!$H$24, "NA")</f>
        <v>0</v>
      </c>
      <c r="CL10" s="156">
        <f>IFERROR('Similarity matrix'!CL10/'Denominator matrix'!$I$24, "NA")</f>
        <v>0</v>
      </c>
      <c r="CM10" s="153">
        <f>IFERROR('Similarity matrix'!CM10/'Denominator matrix'!$J$24, "NA")</f>
        <v>0</v>
      </c>
      <c r="CN10" s="153">
        <f>IFERROR('Similarity matrix'!CN10/'Denominator matrix'!$K$24, "NA")</f>
        <v>0</v>
      </c>
      <c r="CO10" s="154">
        <f>IFERROR('Similarity matrix'!CO10/'Denominator matrix'!$B$24, "NA")</f>
        <v>0</v>
      </c>
      <c r="CP10" s="153">
        <f>IFERROR('Similarity matrix'!CP10/'Denominator matrix'!$C$24, "NA")</f>
        <v>0</v>
      </c>
      <c r="CQ10" s="153">
        <f>IFERROR('Similarity matrix'!CQ10/'Denominator matrix'!$D$24, "NA")</f>
        <v>0</v>
      </c>
      <c r="CR10" s="153">
        <f>IFERROR('Similarity matrix'!CR10/'Denominator matrix'!$E$24, "NA")</f>
        <v>0</v>
      </c>
      <c r="CS10" s="153">
        <f>IFERROR('Similarity matrix'!CS10/'Denominator matrix'!$F$24, "NA")</f>
        <v>0</v>
      </c>
      <c r="CT10" s="153">
        <f>IFERROR('Similarity matrix'!CT10/'Denominator matrix'!$G$24, "NA")</f>
        <v>0</v>
      </c>
      <c r="CU10" s="153">
        <f>IFERROR('Similarity matrix'!CU10/'Denominator matrix'!$H$24, "NA")</f>
        <v>0</v>
      </c>
      <c r="CV10" s="156">
        <f>IFERROR('Similarity matrix'!CV10/'Denominator matrix'!$I$24, "NA")</f>
        <v>0</v>
      </c>
      <c r="CW10" s="153">
        <f>IFERROR('Similarity matrix'!CW10/'Denominator matrix'!$J$24, "NA")</f>
        <v>0</v>
      </c>
      <c r="CX10" s="153">
        <f>IFERROR('Similarity matrix'!CX10/'Denominator matrix'!$K$24, "NA")</f>
        <v>0</v>
      </c>
    </row>
    <row r="11" ht="35.25" customHeight="1">
      <c r="B11" s="124">
        <v>45901.0</v>
      </c>
      <c r="C11" s="154">
        <f>IFERROR('Similarity matrix'!C11/'Denominator matrix'!$B$25, "NA")</f>
        <v>0.8</v>
      </c>
      <c r="D11" s="153">
        <f>IFERROR('Similarity matrix'!D11/'Denominator matrix'!$C$25, "NA")</f>
        <v>1</v>
      </c>
      <c r="E11" s="153">
        <f>IFERROR('Similarity matrix'!E11/'Denominator matrix'!$D$25, "NA")</f>
        <v>0.5</v>
      </c>
      <c r="F11" s="153">
        <f>IFERROR('Similarity matrix'!F11/'Denominator matrix'!$E$25, "NA")</f>
        <v>0.6666666667</v>
      </c>
      <c r="G11" s="153">
        <f>IFERROR('Similarity matrix'!G11/'Denominator matrix'!$F$25, "NA")</f>
        <v>0.8333333333</v>
      </c>
      <c r="H11" s="153">
        <f>IFERROR('Similarity matrix'!H11/'Denominator matrix'!$G$25, "NA")</f>
        <v>0.75</v>
      </c>
      <c r="I11" s="153">
        <f>IFERROR('Similarity matrix'!I11/'Denominator matrix'!$H$25, "NA")</f>
        <v>0.5</v>
      </c>
      <c r="J11" s="153">
        <f>IFERROR('Similarity matrix'!J11/'Denominator matrix'!$I$25, "NA")</f>
        <v>0.75</v>
      </c>
      <c r="K11" s="155">
        <f>IFERROR('Similarity matrix'!K11/'Denominator matrix'!$J$25, "NA")</f>
        <v>0</v>
      </c>
      <c r="L11" s="153">
        <f>IFERROR('Similarity matrix'!L11/'Denominator matrix'!$K$25, "NA")</f>
        <v>0.8333333333</v>
      </c>
      <c r="M11" s="154">
        <f>IFERROR('Similarity matrix'!M11/'Denominator matrix'!$B$25, "NA")</f>
        <v>0</v>
      </c>
      <c r="N11" s="153">
        <f>IFERROR('Similarity matrix'!N11/'Denominator matrix'!$C$25, "NA")</f>
        <v>0</v>
      </c>
      <c r="O11" s="153">
        <f>IFERROR('Similarity matrix'!O11/'Denominator matrix'!$D$25, "NA")</f>
        <v>0</v>
      </c>
      <c r="P11" s="153">
        <f>IFERROR('Similarity matrix'!P11/'Denominator matrix'!$E$25, "NA")</f>
        <v>0</v>
      </c>
      <c r="Q11" s="153">
        <f>IFERROR('Similarity matrix'!Q11/'Denominator matrix'!$F$25, "NA")</f>
        <v>0</v>
      </c>
      <c r="R11" s="153">
        <f>IFERROR('Similarity matrix'!R11/'Denominator matrix'!$G$25, "NA")</f>
        <v>0</v>
      </c>
      <c r="S11" s="153">
        <f>IFERROR('Similarity matrix'!S11/'Denominator matrix'!$H$25, "NA")</f>
        <v>0</v>
      </c>
      <c r="T11" s="153">
        <f>IFERROR('Similarity matrix'!T11/'Denominator matrix'!$I$25, "NA")</f>
        <v>0</v>
      </c>
      <c r="U11" s="156">
        <f>IFERROR('Similarity matrix'!U11/'Denominator matrix'!$J$25, "NA")</f>
        <v>0</v>
      </c>
      <c r="V11" s="153">
        <f>IFERROR('Similarity matrix'!V11/'Denominator matrix'!$K$25, "NA")</f>
        <v>0</v>
      </c>
      <c r="W11" s="154">
        <f>IFERROR('Similarity matrix'!W11/'Denominator matrix'!$B$25, "NA")</f>
        <v>0</v>
      </c>
      <c r="X11" s="153">
        <f>IFERROR('Similarity matrix'!X11/'Denominator matrix'!$C$25, "NA")</f>
        <v>0</v>
      </c>
      <c r="Y11" s="153">
        <f>IFERROR('Similarity matrix'!Y11/'Denominator matrix'!$D$25, "NA")</f>
        <v>0</v>
      </c>
      <c r="Z11" s="153">
        <f>IFERROR('Similarity matrix'!Z11/'Denominator matrix'!$E$25, "NA")</f>
        <v>0</v>
      </c>
      <c r="AA11" s="153">
        <f>IFERROR('Similarity matrix'!AA11/'Denominator matrix'!$F$25, "NA")</f>
        <v>0</v>
      </c>
      <c r="AB11" s="153">
        <f>IFERROR('Similarity matrix'!AB11/'Denominator matrix'!$G$25, "NA")</f>
        <v>0</v>
      </c>
      <c r="AC11" s="153">
        <f>IFERROR('Similarity matrix'!AC11/'Denominator matrix'!$H$25, "NA")</f>
        <v>0</v>
      </c>
      <c r="AD11" s="153">
        <f>IFERROR('Similarity matrix'!AD11/'Denominator matrix'!$I$25, "NA")</f>
        <v>0</v>
      </c>
      <c r="AE11" s="156">
        <f>IFERROR('Similarity matrix'!AE11/'Denominator matrix'!$J$25, "NA")</f>
        <v>0</v>
      </c>
      <c r="AF11" s="153">
        <f>IFERROR('Similarity matrix'!AF11/'Denominator matrix'!$K$25, "NA")</f>
        <v>0</v>
      </c>
      <c r="AG11" s="154">
        <f>IFERROR('Similarity matrix'!AG11/'Denominator matrix'!$B$25, "NA")</f>
        <v>0</v>
      </c>
      <c r="AH11" s="153">
        <f>IFERROR('Similarity matrix'!AH11/'Denominator matrix'!$C$25, "NA")</f>
        <v>0</v>
      </c>
      <c r="AI11" s="153">
        <f>IFERROR('Similarity matrix'!AI11/'Denominator matrix'!$D$25, "NA")</f>
        <v>0</v>
      </c>
      <c r="AJ11" s="153">
        <f>IFERROR('Similarity matrix'!AJ11/'Denominator matrix'!$E$25, "NA")</f>
        <v>0</v>
      </c>
      <c r="AK11" s="153">
        <f>IFERROR('Similarity matrix'!AK11/'Denominator matrix'!$F$25, "NA")</f>
        <v>0</v>
      </c>
      <c r="AL11" s="153">
        <f>IFERROR('Similarity matrix'!AL11/'Denominator matrix'!$G$25, "NA")</f>
        <v>0</v>
      </c>
      <c r="AM11" s="153">
        <f>IFERROR('Similarity matrix'!AM11/'Denominator matrix'!$H$25, "NA")</f>
        <v>0</v>
      </c>
      <c r="AN11" s="153">
        <f>IFERROR('Similarity matrix'!AN11/'Denominator matrix'!$I$25, "NA")</f>
        <v>0</v>
      </c>
      <c r="AO11" s="156">
        <f>IFERROR('Similarity matrix'!AO11/'Denominator matrix'!$J$25, "NA")</f>
        <v>0</v>
      </c>
      <c r="AP11" s="153">
        <f>IFERROR('Similarity matrix'!AP11/'Denominator matrix'!$K$25, "NA")</f>
        <v>0</v>
      </c>
      <c r="AQ11" s="154">
        <f>IFERROR('Similarity matrix'!AQ11/'Denominator matrix'!$B$25, "NA")</f>
        <v>0</v>
      </c>
      <c r="AR11" s="153">
        <f>IFERROR('Similarity matrix'!AR11/'Denominator matrix'!$C$25, "NA")</f>
        <v>0</v>
      </c>
      <c r="AS11" s="153">
        <f>IFERROR('Similarity matrix'!AS11/'Denominator matrix'!$D$25, "NA")</f>
        <v>0</v>
      </c>
      <c r="AT11" s="153">
        <f>IFERROR('Similarity matrix'!AT11/'Denominator matrix'!$E$25, "NA")</f>
        <v>0</v>
      </c>
      <c r="AU11" s="153">
        <f>IFERROR('Similarity matrix'!AU11/'Denominator matrix'!$F$25, "NA")</f>
        <v>0</v>
      </c>
      <c r="AV11" s="153">
        <f>IFERROR('Similarity matrix'!AV11/'Denominator matrix'!$G$25, "NA")</f>
        <v>0</v>
      </c>
      <c r="AW11" s="153">
        <f>IFERROR('Similarity matrix'!AW11/'Denominator matrix'!$H$25, "NA")</f>
        <v>0</v>
      </c>
      <c r="AX11" s="153">
        <f>IFERROR('Similarity matrix'!AX11/'Denominator matrix'!$I$25, "NA")</f>
        <v>0</v>
      </c>
      <c r="AY11" s="156">
        <f>IFERROR('Similarity matrix'!AY11/'Denominator matrix'!$J$25, "NA")</f>
        <v>0</v>
      </c>
      <c r="AZ11" s="153">
        <f>IFERROR('Similarity matrix'!AZ11/'Denominator matrix'!$K$25, "NA")</f>
        <v>0</v>
      </c>
      <c r="BA11" s="154">
        <f>IFERROR('Similarity matrix'!BA11/'Denominator matrix'!$B$25, "NA")</f>
        <v>0</v>
      </c>
      <c r="BB11" s="153">
        <f>IFERROR('Similarity matrix'!BB11/'Denominator matrix'!$C$25, "NA")</f>
        <v>0</v>
      </c>
      <c r="BC11" s="153">
        <f>IFERROR('Similarity matrix'!BC11/'Denominator matrix'!$D$25, "NA")</f>
        <v>0</v>
      </c>
      <c r="BD11" s="153">
        <f>IFERROR('Similarity matrix'!BD11/'Denominator matrix'!$E$25, "NA")</f>
        <v>0</v>
      </c>
      <c r="BE11" s="153">
        <f>IFERROR('Similarity matrix'!BE11/'Denominator matrix'!$F$25, "NA")</f>
        <v>0</v>
      </c>
      <c r="BF11" s="153">
        <f>IFERROR('Similarity matrix'!BF11/'Denominator matrix'!$G$25, "NA")</f>
        <v>0</v>
      </c>
      <c r="BG11" s="153">
        <f>IFERROR('Similarity matrix'!BG11/'Denominator matrix'!$H$25, "NA")</f>
        <v>0</v>
      </c>
      <c r="BH11" s="153">
        <f>IFERROR('Similarity matrix'!BH11/'Denominator matrix'!$I$25, "NA")</f>
        <v>0</v>
      </c>
      <c r="BI11" s="156">
        <f>IFERROR('Similarity matrix'!BI11/'Denominator matrix'!$J$25, "NA")</f>
        <v>0</v>
      </c>
      <c r="BJ11" s="153">
        <f>IFERROR('Similarity matrix'!BJ11/'Denominator matrix'!$K$25, "NA")</f>
        <v>0</v>
      </c>
      <c r="BK11" s="154">
        <f>IFERROR('Similarity matrix'!BK11/'Denominator matrix'!$B$25, "NA")</f>
        <v>0</v>
      </c>
      <c r="BL11" s="153">
        <f>IFERROR('Similarity matrix'!BL11/'Denominator matrix'!$C$25, "NA")</f>
        <v>0</v>
      </c>
      <c r="BM11" s="153">
        <f>IFERROR('Similarity matrix'!BM11/'Denominator matrix'!$D$25, "NA")</f>
        <v>0</v>
      </c>
      <c r="BN11" s="153">
        <f>IFERROR('Similarity matrix'!BN11/'Denominator matrix'!$E$25, "NA")</f>
        <v>0</v>
      </c>
      <c r="BO11" s="153">
        <f>IFERROR('Similarity matrix'!BO11/'Denominator matrix'!$F$25, "NA")</f>
        <v>0</v>
      </c>
      <c r="BP11" s="153">
        <f>IFERROR('Similarity matrix'!BP11/'Denominator matrix'!$G$25, "NA")</f>
        <v>0</v>
      </c>
      <c r="BQ11" s="153">
        <f>IFERROR('Similarity matrix'!BQ11/'Denominator matrix'!$H$25, "NA")</f>
        <v>0</v>
      </c>
      <c r="BR11" s="153">
        <f>IFERROR('Similarity matrix'!BR11/'Denominator matrix'!$I$25, "NA")</f>
        <v>0</v>
      </c>
      <c r="BS11" s="156">
        <f>IFERROR('Similarity matrix'!BS11/'Denominator matrix'!$J$25, "NA")</f>
        <v>0</v>
      </c>
      <c r="BT11" s="153">
        <f>IFERROR('Similarity matrix'!BT11/'Denominator matrix'!$K$25, "NA")</f>
        <v>0</v>
      </c>
      <c r="BU11" s="154">
        <f>IFERROR('Similarity matrix'!BU11/'Denominator matrix'!$B$25, "NA")</f>
        <v>0</v>
      </c>
      <c r="BV11" s="153">
        <f>IFERROR('Similarity matrix'!BV11/'Denominator matrix'!$C$25, "NA")</f>
        <v>0</v>
      </c>
      <c r="BW11" s="153">
        <f>IFERROR('Similarity matrix'!BW11/'Denominator matrix'!$D$25, "NA")</f>
        <v>0.25</v>
      </c>
      <c r="BX11" s="153">
        <f>IFERROR('Similarity matrix'!BX11/'Denominator matrix'!$E$25, "NA")</f>
        <v>0</v>
      </c>
      <c r="BY11" s="153">
        <f>IFERROR('Similarity matrix'!BY11/'Denominator matrix'!$F$25, "NA")</f>
        <v>0</v>
      </c>
      <c r="BZ11" s="153">
        <f>IFERROR('Similarity matrix'!BZ11/'Denominator matrix'!$G$25, "NA")</f>
        <v>0</v>
      </c>
      <c r="CA11" s="153">
        <f>IFERROR('Similarity matrix'!CA11/'Denominator matrix'!$H$25, "NA")</f>
        <v>0</v>
      </c>
      <c r="CB11" s="153">
        <f>IFERROR('Similarity matrix'!CB11/'Denominator matrix'!$I$25, "NA")</f>
        <v>0</v>
      </c>
      <c r="CC11" s="156">
        <f>IFERROR('Similarity matrix'!CC11/'Denominator matrix'!$J$25, "NA")</f>
        <v>0.0625</v>
      </c>
      <c r="CD11" s="153">
        <f>IFERROR('Similarity matrix'!CD11/'Denominator matrix'!$K$25, "NA")</f>
        <v>0</v>
      </c>
      <c r="CE11" s="154">
        <f>IFERROR('Similarity matrix'!CE11/'Denominator matrix'!$B$25, "NA")</f>
        <v>0</v>
      </c>
      <c r="CF11" s="153">
        <f>IFERROR('Similarity matrix'!CF11/'Denominator matrix'!$C$25, "NA")</f>
        <v>0</v>
      </c>
      <c r="CG11" s="153">
        <f>IFERROR('Similarity matrix'!CG11/'Denominator matrix'!$D$25, "NA")</f>
        <v>0</v>
      </c>
      <c r="CH11" s="153">
        <f>IFERROR('Similarity matrix'!CH11/'Denominator matrix'!$E$25, "NA")</f>
        <v>0</v>
      </c>
      <c r="CI11" s="153">
        <f>IFERROR('Similarity matrix'!CI11/'Denominator matrix'!$F$25, "NA")</f>
        <v>0</v>
      </c>
      <c r="CJ11" s="153">
        <f>IFERROR('Similarity matrix'!CJ11/'Denominator matrix'!$G$25, "NA")</f>
        <v>0</v>
      </c>
      <c r="CK11" s="153">
        <f>IFERROR('Similarity matrix'!CK11/'Denominator matrix'!$H$25, "NA")</f>
        <v>0</v>
      </c>
      <c r="CL11" s="153">
        <f>IFERROR('Similarity matrix'!CL11/'Denominator matrix'!$I$25, "NA")</f>
        <v>0</v>
      </c>
      <c r="CM11" s="156">
        <f>IFERROR('Similarity matrix'!CM11/'Denominator matrix'!$J$25, "NA")</f>
        <v>0</v>
      </c>
      <c r="CN11" s="153">
        <f>IFERROR('Similarity matrix'!CN11/'Denominator matrix'!$K$25, "NA")</f>
        <v>0</v>
      </c>
      <c r="CO11" s="154">
        <f>IFERROR('Similarity matrix'!CO11/'Denominator matrix'!$B$25, "NA")</f>
        <v>0</v>
      </c>
      <c r="CP11" s="153">
        <f>IFERROR('Similarity matrix'!CP11/'Denominator matrix'!$C$25, "NA")</f>
        <v>0</v>
      </c>
      <c r="CQ11" s="153">
        <f>IFERROR('Similarity matrix'!CQ11/'Denominator matrix'!$D$25, "NA")</f>
        <v>0</v>
      </c>
      <c r="CR11" s="153">
        <f>IFERROR('Similarity matrix'!CR11/'Denominator matrix'!$E$25, "NA")</f>
        <v>0</v>
      </c>
      <c r="CS11" s="153">
        <f>IFERROR('Similarity matrix'!CS11/'Denominator matrix'!$F$25, "NA")</f>
        <v>0</v>
      </c>
      <c r="CT11" s="153">
        <f>IFERROR('Similarity matrix'!CT11/'Denominator matrix'!$G$25, "NA")</f>
        <v>0</v>
      </c>
      <c r="CU11" s="153">
        <f>IFERROR('Similarity matrix'!CU11/'Denominator matrix'!$H$25, "NA")</f>
        <v>0</v>
      </c>
      <c r="CV11" s="153">
        <f>IFERROR('Similarity matrix'!CV11/'Denominator matrix'!$I$25, "NA")</f>
        <v>0</v>
      </c>
      <c r="CW11" s="156">
        <f>IFERROR('Similarity matrix'!CW11/'Denominator matrix'!$J$25, "NA")</f>
        <v>0</v>
      </c>
      <c r="CX11" s="153">
        <f>IFERROR('Similarity matrix'!CX11/'Denominator matrix'!$K$25, "NA")</f>
        <v>0</v>
      </c>
    </row>
    <row r="12" ht="35.25" customHeight="1">
      <c r="A12" s="125"/>
      <c r="B12" s="126">
        <v>45931.0</v>
      </c>
      <c r="C12" s="157">
        <f>IFERROR('Similarity matrix'!C12/'Denominator matrix'!$B$26, "NA")</f>
        <v>1</v>
      </c>
      <c r="D12" s="158">
        <f>IFERROR('Similarity matrix'!D12/'Denominator matrix'!$C$26, "NA")</f>
        <v>1</v>
      </c>
      <c r="E12" s="158">
        <f>IFERROR('Similarity matrix'!E12/'Denominator matrix'!$D$26, "NA")</f>
        <v>0.6666666667</v>
      </c>
      <c r="F12" s="158">
        <f>IFERROR('Similarity matrix'!F12/'Denominator matrix'!$E$26, "NA")</f>
        <v>0.5</v>
      </c>
      <c r="G12" s="158">
        <f>IFERROR('Similarity matrix'!G12/'Denominator matrix'!$F$26, "NA")</f>
        <v>1</v>
      </c>
      <c r="H12" s="158">
        <f>IFERROR('Similarity matrix'!H12/'Denominator matrix'!$G$26, "NA")</f>
        <v>0.75</v>
      </c>
      <c r="I12" s="158">
        <f>IFERROR('Similarity matrix'!I12/'Denominator matrix'!$H$26, "NA")</f>
        <v>0.75</v>
      </c>
      <c r="J12" s="158">
        <f>IFERROR('Similarity matrix'!J12/'Denominator matrix'!$I$26, "NA")</f>
        <v>1</v>
      </c>
      <c r="K12" s="158">
        <f>IFERROR('Similarity matrix'!K12/'Denominator matrix'!$J$26, "NA")</f>
        <v>0.8333333333</v>
      </c>
      <c r="L12" s="159">
        <f>IFERROR('Similarity matrix'!L12/'Denominator matrix'!$K$26, "NA")</f>
        <v>0</v>
      </c>
      <c r="M12" s="157">
        <f>IFERROR('Similarity matrix'!M12/'Denominator matrix'!$B$26, "NA")</f>
        <v>0</v>
      </c>
      <c r="N12" s="158">
        <f>IFERROR('Similarity matrix'!N12/'Denominator matrix'!$C$26, "NA")</f>
        <v>0</v>
      </c>
      <c r="O12" s="158">
        <f>IFERROR('Similarity matrix'!O12/'Denominator matrix'!$D$26, "NA")</f>
        <v>0</v>
      </c>
      <c r="P12" s="158">
        <f>IFERROR('Similarity matrix'!P12/'Denominator matrix'!$E$26, "NA")</f>
        <v>0</v>
      </c>
      <c r="Q12" s="158">
        <f>IFERROR('Similarity matrix'!Q12/'Denominator matrix'!$F$26, "NA")</f>
        <v>0</v>
      </c>
      <c r="R12" s="158">
        <f>IFERROR('Similarity matrix'!R12/'Denominator matrix'!$G$26, "NA")</f>
        <v>0</v>
      </c>
      <c r="S12" s="158">
        <f>IFERROR('Similarity matrix'!S12/'Denominator matrix'!$H$26, "NA")</f>
        <v>0</v>
      </c>
      <c r="T12" s="158">
        <f>IFERROR('Similarity matrix'!T12/'Denominator matrix'!$I$26, "NA")</f>
        <v>0</v>
      </c>
      <c r="U12" s="158">
        <f>IFERROR('Similarity matrix'!U12/'Denominator matrix'!$J$26, "NA")</f>
        <v>0</v>
      </c>
      <c r="V12" s="160">
        <f>IFERROR('Similarity matrix'!V12/'Denominator matrix'!$K$26, "NA")</f>
        <v>0</v>
      </c>
      <c r="W12" s="157">
        <f>IFERROR('Similarity matrix'!W12/'Denominator matrix'!$B$26, "NA")</f>
        <v>0</v>
      </c>
      <c r="X12" s="158">
        <f>IFERROR('Similarity matrix'!X12/'Denominator matrix'!$C$26, "NA")</f>
        <v>0</v>
      </c>
      <c r="Y12" s="158">
        <f>IFERROR('Similarity matrix'!Y12/'Denominator matrix'!$D$26, "NA")</f>
        <v>0</v>
      </c>
      <c r="Z12" s="158">
        <f>IFERROR('Similarity matrix'!Z12/'Denominator matrix'!$E$26, "NA")</f>
        <v>0</v>
      </c>
      <c r="AA12" s="158">
        <f>IFERROR('Similarity matrix'!AA12/'Denominator matrix'!$F$26, "NA")</f>
        <v>0</v>
      </c>
      <c r="AB12" s="158">
        <f>IFERROR('Similarity matrix'!AB12/'Denominator matrix'!$G$26, "NA")</f>
        <v>0</v>
      </c>
      <c r="AC12" s="158">
        <f>IFERROR('Similarity matrix'!AC12/'Denominator matrix'!$H$26, "NA")</f>
        <v>0</v>
      </c>
      <c r="AD12" s="158">
        <f>IFERROR('Similarity matrix'!AD12/'Denominator matrix'!$I$26, "NA")</f>
        <v>0</v>
      </c>
      <c r="AE12" s="158">
        <f>IFERROR('Similarity matrix'!AE12/'Denominator matrix'!$J$26, "NA")</f>
        <v>0</v>
      </c>
      <c r="AF12" s="160">
        <f>IFERROR('Similarity matrix'!AF12/'Denominator matrix'!$K$26, "NA")</f>
        <v>0</v>
      </c>
      <c r="AG12" s="157">
        <f>IFERROR('Similarity matrix'!AG12/'Denominator matrix'!$B$26, "NA")</f>
        <v>0</v>
      </c>
      <c r="AH12" s="158">
        <f>IFERROR('Similarity matrix'!AH12/'Denominator matrix'!$C$26, "NA")</f>
        <v>0</v>
      </c>
      <c r="AI12" s="158">
        <f>IFERROR('Similarity matrix'!AI12/'Denominator matrix'!$D$26, "NA")</f>
        <v>0</v>
      </c>
      <c r="AJ12" s="158">
        <f>IFERROR('Similarity matrix'!AJ12/'Denominator matrix'!$E$26, "NA")</f>
        <v>0</v>
      </c>
      <c r="AK12" s="158">
        <f>IFERROR('Similarity matrix'!AK12/'Denominator matrix'!$F$26, "NA")</f>
        <v>0</v>
      </c>
      <c r="AL12" s="158">
        <f>IFERROR('Similarity matrix'!AL12/'Denominator matrix'!$G$26, "NA")</f>
        <v>0</v>
      </c>
      <c r="AM12" s="158">
        <f>IFERROR('Similarity matrix'!AM12/'Denominator matrix'!$H$26, "NA")</f>
        <v>0.25</v>
      </c>
      <c r="AN12" s="158">
        <f>IFERROR('Similarity matrix'!AN12/'Denominator matrix'!$I$26, "NA")</f>
        <v>0</v>
      </c>
      <c r="AO12" s="158">
        <f>IFERROR('Similarity matrix'!AO12/'Denominator matrix'!$J$26, "NA")</f>
        <v>0</v>
      </c>
      <c r="AP12" s="160">
        <f>IFERROR('Similarity matrix'!AP12/'Denominator matrix'!$K$26, "NA")</f>
        <v>0</v>
      </c>
      <c r="AQ12" s="157">
        <f>IFERROR('Similarity matrix'!AQ12/'Denominator matrix'!$B$26, "NA")</f>
        <v>0</v>
      </c>
      <c r="AR12" s="158">
        <f>IFERROR('Similarity matrix'!AR12/'Denominator matrix'!$C$26, "NA")</f>
        <v>0</v>
      </c>
      <c r="AS12" s="158">
        <f>IFERROR('Similarity matrix'!AS12/'Denominator matrix'!$D$26, "NA")</f>
        <v>0</v>
      </c>
      <c r="AT12" s="158">
        <f>IFERROR('Similarity matrix'!AT12/'Denominator matrix'!$E$26, "NA")</f>
        <v>0</v>
      </c>
      <c r="AU12" s="158">
        <f>IFERROR('Similarity matrix'!AU12/'Denominator matrix'!$F$26, "NA")</f>
        <v>0</v>
      </c>
      <c r="AV12" s="158">
        <f>IFERROR('Similarity matrix'!AV12/'Denominator matrix'!$G$26, "NA")</f>
        <v>0</v>
      </c>
      <c r="AW12" s="158">
        <f>IFERROR('Similarity matrix'!AW12/'Denominator matrix'!$H$26, "NA")</f>
        <v>0.25</v>
      </c>
      <c r="AX12" s="158">
        <f>IFERROR('Similarity matrix'!AX12/'Denominator matrix'!$I$26, "NA")</f>
        <v>0</v>
      </c>
      <c r="AY12" s="158">
        <f>IFERROR('Similarity matrix'!AY12/'Denominator matrix'!$J$26, "NA")</f>
        <v>0</v>
      </c>
      <c r="AZ12" s="160">
        <f>IFERROR('Similarity matrix'!AZ12/'Denominator matrix'!$K$26, "NA")</f>
        <v>0</v>
      </c>
      <c r="BA12" s="157">
        <f>IFERROR('Similarity matrix'!BA12/'Denominator matrix'!$B$26, "NA")</f>
        <v>0.25</v>
      </c>
      <c r="BB12" s="158">
        <f>IFERROR('Similarity matrix'!BB12/'Denominator matrix'!$C$26, "NA")</f>
        <v>0</v>
      </c>
      <c r="BC12" s="158">
        <f>IFERROR('Similarity matrix'!BC12/'Denominator matrix'!$D$26, "NA")</f>
        <v>0</v>
      </c>
      <c r="BD12" s="158">
        <f>IFERROR('Similarity matrix'!BD12/'Denominator matrix'!$E$26, "NA")</f>
        <v>0</v>
      </c>
      <c r="BE12" s="158">
        <f>IFERROR('Similarity matrix'!BE12/'Denominator matrix'!$F$26, "NA")</f>
        <v>0.25</v>
      </c>
      <c r="BF12" s="158">
        <f>IFERROR('Similarity matrix'!BF12/'Denominator matrix'!$G$26, "NA")</f>
        <v>0.25</v>
      </c>
      <c r="BG12" s="158">
        <f>IFERROR('Similarity matrix'!BG12/'Denominator matrix'!$H$26, "NA")</f>
        <v>0.25</v>
      </c>
      <c r="BH12" s="158">
        <f>IFERROR('Similarity matrix'!BH12/'Denominator matrix'!$I$26, "NA")</f>
        <v>0.3333333333</v>
      </c>
      <c r="BI12" s="158">
        <f>IFERROR('Similarity matrix'!BI12/'Denominator matrix'!$J$26, "NA")</f>
        <v>0</v>
      </c>
      <c r="BJ12" s="160">
        <f>IFERROR('Similarity matrix'!BJ12/'Denominator matrix'!$K$26, "NA")</f>
        <v>0.07142857143</v>
      </c>
      <c r="BK12" s="157">
        <f>IFERROR('Similarity matrix'!BK12/'Denominator matrix'!$B$26, "NA")</f>
        <v>0</v>
      </c>
      <c r="BL12" s="158">
        <f>IFERROR('Similarity matrix'!BL12/'Denominator matrix'!$C$26, "NA")</f>
        <v>0</v>
      </c>
      <c r="BM12" s="158">
        <f>IFERROR('Similarity matrix'!BM12/'Denominator matrix'!$D$26, "NA")</f>
        <v>0</v>
      </c>
      <c r="BN12" s="158">
        <f>IFERROR('Similarity matrix'!BN12/'Denominator matrix'!$E$26, "NA")</f>
        <v>0</v>
      </c>
      <c r="BO12" s="158">
        <f>IFERROR('Similarity matrix'!BO12/'Denominator matrix'!$F$26, "NA")</f>
        <v>0</v>
      </c>
      <c r="BP12" s="158">
        <f>IFERROR('Similarity matrix'!BP12/'Denominator matrix'!$G$26, "NA")</f>
        <v>0</v>
      </c>
      <c r="BQ12" s="158">
        <f>IFERROR('Similarity matrix'!BQ12/'Denominator matrix'!$H$26, "NA")</f>
        <v>0</v>
      </c>
      <c r="BR12" s="158">
        <f>IFERROR('Similarity matrix'!BR12/'Denominator matrix'!$I$26, "NA")</f>
        <v>0</v>
      </c>
      <c r="BS12" s="158">
        <f>IFERROR('Similarity matrix'!BS12/'Denominator matrix'!$J$26, "NA")</f>
        <v>0</v>
      </c>
      <c r="BT12" s="160">
        <f>IFERROR('Similarity matrix'!BT12/'Denominator matrix'!$K$26, "NA")</f>
        <v>0</v>
      </c>
      <c r="BU12" s="157">
        <f>IFERROR('Similarity matrix'!BU12/'Denominator matrix'!$B$26, "NA")</f>
        <v>0</v>
      </c>
      <c r="BV12" s="158">
        <f>IFERROR('Similarity matrix'!BV12/'Denominator matrix'!$C$26, "NA")</f>
        <v>0</v>
      </c>
      <c r="BW12" s="158">
        <f>IFERROR('Similarity matrix'!BW12/'Denominator matrix'!$D$26, "NA")</f>
        <v>0</v>
      </c>
      <c r="BX12" s="158">
        <f>IFERROR('Similarity matrix'!BX12/'Denominator matrix'!$E$26, "NA")</f>
        <v>0</v>
      </c>
      <c r="BY12" s="158">
        <f>IFERROR('Similarity matrix'!BY12/'Denominator matrix'!$F$26, "NA")</f>
        <v>0</v>
      </c>
      <c r="BZ12" s="158">
        <f>IFERROR('Similarity matrix'!BZ12/'Denominator matrix'!$G$26, "NA")</f>
        <v>0</v>
      </c>
      <c r="CA12" s="158">
        <f>IFERROR('Similarity matrix'!CA12/'Denominator matrix'!$H$26, "NA")</f>
        <v>0</v>
      </c>
      <c r="CB12" s="158">
        <f>IFERROR('Similarity matrix'!CB12/'Denominator matrix'!$I$26, "NA")</f>
        <v>0</v>
      </c>
      <c r="CC12" s="158">
        <f>IFERROR('Similarity matrix'!CC12/'Denominator matrix'!$J$26, "NA")</f>
        <v>0</v>
      </c>
      <c r="CD12" s="160">
        <f>IFERROR('Similarity matrix'!CD12/'Denominator matrix'!$K$26, "NA")</f>
        <v>0.07142857143</v>
      </c>
      <c r="CE12" s="157">
        <f>IFERROR('Similarity matrix'!CE12/'Denominator matrix'!$B$26, "NA")</f>
        <v>0</v>
      </c>
      <c r="CF12" s="158">
        <f>IFERROR('Similarity matrix'!CF12/'Denominator matrix'!$C$26, "NA")</f>
        <v>0</v>
      </c>
      <c r="CG12" s="158">
        <f>IFERROR('Similarity matrix'!CG12/'Denominator matrix'!$D$26, "NA")</f>
        <v>0</v>
      </c>
      <c r="CH12" s="158">
        <f>IFERROR('Similarity matrix'!CH12/'Denominator matrix'!$E$26, "NA")</f>
        <v>0</v>
      </c>
      <c r="CI12" s="158">
        <f>IFERROR('Similarity matrix'!CI12/'Denominator matrix'!$F$26, "NA")</f>
        <v>0</v>
      </c>
      <c r="CJ12" s="158">
        <f>IFERROR('Similarity matrix'!CJ12/'Denominator matrix'!$G$26, "NA")</f>
        <v>0</v>
      </c>
      <c r="CK12" s="158">
        <f>IFERROR('Similarity matrix'!CK12/'Denominator matrix'!$H$26, "NA")</f>
        <v>0</v>
      </c>
      <c r="CL12" s="158">
        <f>IFERROR('Similarity matrix'!CL12/'Denominator matrix'!$I$26, "NA")</f>
        <v>0</v>
      </c>
      <c r="CM12" s="158">
        <f>IFERROR('Similarity matrix'!CM12/'Denominator matrix'!$J$26, "NA")</f>
        <v>0</v>
      </c>
      <c r="CN12" s="160">
        <f>IFERROR('Similarity matrix'!CN12/'Denominator matrix'!$K$26, "NA")</f>
        <v>0</v>
      </c>
      <c r="CO12" s="157">
        <f>IFERROR('Similarity matrix'!CO12/'Denominator matrix'!$B$26, "NA")</f>
        <v>0</v>
      </c>
      <c r="CP12" s="158">
        <f>IFERROR('Similarity matrix'!CP12/'Denominator matrix'!$C$26, "NA")</f>
        <v>0</v>
      </c>
      <c r="CQ12" s="158">
        <f>IFERROR('Similarity matrix'!CQ12/'Denominator matrix'!$D$26, "NA")</f>
        <v>0</v>
      </c>
      <c r="CR12" s="158">
        <f>IFERROR('Similarity matrix'!CR12/'Denominator matrix'!$E$26, "NA")</f>
        <v>0</v>
      </c>
      <c r="CS12" s="158">
        <f>IFERROR('Similarity matrix'!CS12/'Denominator matrix'!$F$26, "NA")</f>
        <v>0</v>
      </c>
      <c r="CT12" s="158">
        <f>IFERROR('Similarity matrix'!CT12/'Denominator matrix'!$G$26, "NA")</f>
        <v>0</v>
      </c>
      <c r="CU12" s="158">
        <f>IFERROR('Similarity matrix'!CU12/'Denominator matrix'!$H$26, "NA")</f>
        <v>0</v>
      </c>
      <c r="CV12" s="158">
        <f>IFERROR('Similarity matrix'!CV12/'Denominator matrix'!$I$26, "NA")</f>
        <v>0</v>
      </c>
      <c r="CW12" s="158">
        <f>IFERROR('Similarity matrix'!CW12/'Denominator matrix'!$J$26, "NA")</f>
        <v>0</v>
      </c>
      <c r="CX12" s="160">
        <f>IFERROR('Similarity matrix'!CX12/'Denominator matrix'!$K$26, "NA")</f>
        <v>0</v>
      </c>
    </row>
    <row r="13" ht="35.25" customHeight="1">
      <c r="A13" s="134" t="s">
        <v>2936</v>
      </c>
      <c r="B13" s="124">
        <v>45659.0</v>
      </c>
      <c r="C13" s="154">
        <f>IFERROR('Similarity matrix'!C13/'Denominator matrix'!$B$17, "NA")</f>
        <v>0</v>
      </c>
      <c r="D13" s="153">
        <f>IFERROR('Similarity matrix'!D13/'Denominator matrix'!$C$17, "NA")</f>
        <v>0</v>
      </c>
      <c r="E13" s="153">
        <f>IFERROR('Similarity matrix'!E13/'Denominator matrix'!$D$17, "NA")</f>
        <v>0</v>
      </c>
      <c r="F13" s="153">
        <f>IFERROR('Similarity matrix'!F13/'Denominator matrix'!$E$17, "NA")</f>
        <v>0</v>
      </c>
      <c r="G13" s="153">
        <f>IFERROR('Similarity matrix'!G13/'Denominator matrix'!$F$17, "NA")</f>
        <v>0</v>
      </c>
      <c r="H13" s="153">
        <f>IFERROR('Similarity matrix'!H13/'Denominator matrix'!$G$17, "NA")</f>
        <v>0</v>
      </c>
      <c r="I13" s="153">
        <f>IFERROR('Similarity matrix'!I13/'Denominator matrix'!$H$17, "NA")</f>
        <v>0</v>
      </c>
      <c r="J13" s="153">
        <f>IFERROR('Similarity matrix'!J13/'Denominator matrix'!$I$17, "NA")</f>
        <v>0</v>
      </c>
      <c r="K13" s="153">
        <f>IFERROR('Similarity matrix'!K13/'Denominator matrix'!$J$17, "NA")</f>
        <v>0</v>
      </c>
      <c r="L13" s="153">
        <f>IFERROR('Similarity matrix'!L13/'Denominator matrix'!$K$17, "NA")</f>
        <v>0</v>
      </c>
      <c r="M13" s="152">
        <f>IFERROR('Similarity matrix'!M13/'Denominator matrix'!$B$17, "NA")</f>
        <v>0</v>
      </c>
      <c r="N13" s="153">
        <f>IFERROR('Similarity matrix'!N13/'Denominator matrix'!$C$17, "NA")</f>
        <v>1</v>
      </c>
      <c r="O13" s="153">
        <f>IFERROR('Similarity matrix'!O13/'Denominator matrix'!$D$17, "NA")</f>
        <v>0.25</v>
      </c>
      <c r="P13" s="153">
        <f>IFERROR('Similarity matrix'!P13/'Denominator matrix'!$E$17, "NA")</f>
        <v>0.5</v>
      </c>
      <c r="Q13" s="153">
        <f>IFERROR('Similarity matrix'!Q13/'Denominator matrix'!$F$17, "NA")</f>
        <v>0.7</v>
      </c>
      <c r="R13" s="153">
        <f>IFERROR('Similarity matrix'!R13/'Denominator matrix'!$G$17, "NA")</f>
        <v>0.7</v>
      </c>
      <c r="S13" s="153">
        <f>IFERROR('Similarity matrix'!S13/'Denominator matrix'!$H$17, "NA")</f>
        <v>0.75</v>
      </c>
      <c r="T13" s="153">
        <f>IFERROR('Similarity matrix'!T13/'Denominator matrix'!$I$17, "NA")</f>
        <v>0.75</v>
      </c>
      <c r="U13" s="153">
        <f>IFERROR('Similarity matrix'!U13/'Denominator matrix'!$J$17, "NA")</f>
        <v>0.9</v>
      </c>
      <c r="V13" s="153">
        <f>IFERROR('Similarity matrix'!V13/'Denominator matrix'!$K$17, "NA")</f>
        <v>0.75</v>
      </c>
      <c r="W13" s="154">
        <f>IFERROR('Similarity matrix'!W13/'Denominator matrix'!$B$17, "NA")</f>
        <v>0.05555555556</v>
      </c>
      <c r="X13" s="153">
        <f>IFERROR('Similarity matrix'!X13/'Denominator matrix'!$C$17, "NA")</f>
        <v>0</v>
      </c>
      <c r="Y13" s="153">
        <f>IFERROR('Similarity matrix'!Y13/'Denominator matrix'!$D$17, "NA")</f>
        <v>0</v>
      </c>
      <c r="Z13" s="153">
        <f>IFERROR('Similarity matrix'!Z13/'Denominator matrix'!$E$17, "NA")</f>
        <v>0</v>
      </c>
      <c r="AA13" s="153">
        <f>IFERROR('Similarity matrix'!AA13/'Denominator matrix'!$F$17, "NA")</f>
        <v>0.1</v>
      </c>
      <c r="AB13" s="153">
        <f>IFERROR('Similarity matrix'!AB13/'Denominator matrix'!$G$17, "NA")</f>
        <v>0.1</v>
      </c>
      <c r="AC13" s="153">
        <f>IFERROR('Similarity matrix'!AC13/'Denominator matrix'!$H$17, "NA")</f>
        <v>0</v>
      </c>
      <c r="AD13" s="153">
        <f>IFERROR('Similarity matrix'!AD13/'Denominator matrix'!$I$17, "NA")</f>
        <v>0</v>
      </c>
      <c r="AE13" s="153">
        <f>IFERROR('Similarity matrix'!AE13/'Denominator matrix'!$J$17, "NA")</f>
        <v>0</v>
      </c>
      <c r="AF13" s="153">
        <f>IFERROR('Similarity matrix'!AF13/'Denominator matrix'!$K$17, "NA")</f>
        <v>0.25</v>
      </c>
      <c r="AG13" s="154">
        <f>IFERROR('Similarity matrix'!AG13/'Denominator matrix'!$B$17, "NA")</f>
        <v>0</v>
      </c>
      <c r="AH13" s="153">
        <f>IFERROR('Similarity matrix'!AH13/'Denominator matrix'!$C$17, "NA")</f>
        <v>0</v>
      </c>
      <c r="AI13" s="153">
        <f>IFERROR('Similarity matrix'!AI13/'Denominator matrix'!$D$17, "NA")</f>
        <v>0</v>
      </c>
      <c r="AJ13" s="153">
        <f>IFERROR('Similarity matrix'!AJ13/'Denominator matrix'!$E$17, "NA")</f>
        <v>0</v>
      </c>
      <c r="AK13" s="153">
        <f>IFERROR('Similarity matrix'!AK13/'Denominator matrix'!$F$17, "NA")</f>
        <v>0</v>
      </c>
      <c r="AL13" s="153">
        <f>IFERROR('Similarity matrix'!AL13/'Denominator matrix'!$G$17, "NA")</f>
        <v>0</v>
      </c>
      <c r="AM13" s="153">
        <f>IFERROR('Similarity matrix'!AM13/'Denominator matrix'!$H$17, "NA")</f>
        <v>0</v>
      </c>
      <c r="AN13" s="153">
        <f>IFERROR('Similarity matrix'!AN13/'Denominator matrix'!$I$17, "NA")</f>
        <v>0</v>
      </c>
      <c r="AO13" s="153">
        <f>IFERROR('Similarity matrix'!AO13/'Denominator matrix'!$J$17, "NA")</f>
        <v>0</v>
      </c>
      <c r="AP13" s="153">
        <f>IFERROR('Similarity matrix'!AP13/'Denominator matrix'!$K$17, "NA")</f>
        <v>0</v>
      </c>
      <c r="AQ13" s="154">
        <f>IFERROR('Similarity matrix'!AQ13/'Denominator matrix'!$B$17, "NA")</f>
        <v>0</v>
      </c>
      <c r="AR13" s="153">
        <f>IFERROR('Similarity matrix'!AR13/'Denominator matrix'!$C$17, "NA")</f>
        <v>0</v>
      </c>
      <c r="AS13" s="153">
        <f>IFERROR('Similarity matrix'!AS13/'Denominator matrix'!$D$17, "NA")</f>
        <v>0</v>
      </c>
      <c r="AT13" s="153">
        <f>IFERROR('Similarity matrix'!AT13/'Denominator matrix'!$E$17, "NA")</f>
        <v>0</v>
      </c>
      <c r="AU13" s="153">
        <f>IFERROR('Similarity matrix'!AU13/'Denominator matrix'!$F$17, "NA")</f>
        <v>0</v>
      </c>
      <c r="AV13" s="153">
        <f>IFERROR('Similarity matrix'!AV13/'Denominator matrix'!$G$17, "NA")</f>
        <v>0.1</v>
      </c>
      <c r="AW13" s="153">
        <f>IFERROR('Similarity matrix'!AW13/'Denominator matrix'!$H$17, "NA")</f>
        <v>0</v>
      </c>
      <c r="AX13" s="153">
        <f>IFERROR('Similarity matrix'!AX13/'Denominator matrix'!$I$17, "NA")</f>
        <v>0</v>
      </c>
      <c r="AY13" s="153">
        <f>IFERROR('Similarity matrix'!AY13/'Denominator matrix'!$J$17, "NA")</f>
        <v>0</v>
      </c>
      <c r="AZ13" s="153">
        <f>IFERROR('Similarity matrix'!AZ13/'Denominator matrix'!$K$17, "NA")</f>
        <v>0</v>
      </c>
      <c r="BA13" s="154">
        <f>IFERROR('Similarity matrix'!BA13/'Denominator matrix'!$B$17, "NA")</f>
        <v>0</v>
      </c>
      <c r="BB13" s="153">
        <f>IFERROR('Similarity matrix'!BB13/'Denominator matrix'!$C$17, "NA")</f>
        <v>0</v>
      </c>
      <c r="BC13" s="153">
        <f>IFERROR('Similarity matrix'!BC13/'Denominator matrix'!$D$17, "NA")</f>
        <v>0</v>
      </c>
      <c r="BD13" s="153">
        <f>IFERROR('Similarity matrix'!BD13/'Denominator matrix'!$E$17, "NA")</f>
        <v>0</v>
      </c>
      <c r="BE13" s="153">
        <f>IFERROR('Similarity matrix'!BE13/'Denominator matrix'!$F$17, "NA")</f>
        <v>0</v>
      </c>
      <c r="BF13" s="153">
        <f>IFERROR('Similarity matrix'!BF13/'Denominator matrix'!$G$17, "NA")</f>
        <v>0</v>
      </c>
      <c r="BG13" s="153">
        <f>IFERROR('Similarity matrix'!BG13/'Denominator matrix'!$H$17, "NA")</f>
        <v>0</v>
      </c>
      <c r="BH13" s="153">
        <f>IFERROR('Similarity matrix'!BH13/'Denominator matrix'!$I$17, "NA")</f>
        <v>0</v>
      </c>
      <c r="BI13" s="153">
        <f>IFERROR('Similarity matrix'!BI13/'Denominator matrix'!$J$17, "NA")</f>
        <v>0</v>
      </c>
      <c r="BJ13" s="153">
        <f>IFERROR('Similarity matrix'!BJ13/'Denominator matrix'!$K$17, "NA")</f>
        <v>0</v>
      </c>
      <c r="BK13" s="154">
        <f>IFERROR('Similarity matrix'!BK13/'Denominator matrix'!$B$17, "NA")</f>
        <v>0</v>
      </c>
      <c r="BL13" s="153">
        <f>IFERROR('Similarity matrix'!BL13/'Denominator matrix'!$C$17, "NA")</f>
        <v>0</v>
      </c>
      <c r="BM13" s="153">
        <f>IFERROR('Similarity matrix'!BM13/'Denominator matrix'!$D$17, "NA")</f>
        <v>0</v>
      </c>
      <c r="BN13" s="153">
        <f>IFERROR('Similarity matrix'!BN13/'Denominator matrix'!$E$17, "NA")</f>
        <v>0</v>
      </c>
      <c r="BO13" s="153">
        <f>IFERROR('Similarity matrix'!BO13/'Denominator matrix'!$F$17, "NA")</f>
        <v>0</v>
      </c>
      <c r="BP13" s="153">
        <f>IFERROR('Similarity matrix'!BP13/'Denominator matrix'!$G$17, "NA")</f>
        <v>0</v>
      </c>
      <c r="BQ13" s="153">
        <f>IFERROR('Similarity matrix'!BQ13/'Denominator matrix'!$H$17, "NA")</f>
        <v>0</v>
      </c>
      <c r="BR13" s="153">
        <f>IFERROR('Similarity matrix'!BR13/'Denominator matrix'!$I$17, "NA")</f>
        <v>0</v>
      </c>
      <c r="BS13" s="153">
        <f>IFERROR('Similarity matrix'!BS13/'Denominator matrix'!$J$17, "NA")</f>
        <v>0</v>
      </c>
      <c r="BT13" s="153">
        <f>IFERROR('Similarity matrix'!BT13/'Denominator matrix'!$K$17, "NA")</f>
        <v>0</v>
      </c>
      <c r="BU13" s="154">
        <f>IFERROR('Similarity matrix'!BU13/'Denominator matrix'!$B$17, "NA")</f>
        <v>0</v>
      </c>
      <c r="BV13" s="153">
        <f>IFERROR('Similarity matrix'!BV13/'Denominator matrix'!$C$17, "NA")</f>
        <v>0</v>
      </c>
      <c r="BW13" s="153">
        <f>IFERROR('Similarity matrix'!BW13/'Denominator matrix'!$D$17, "NA")</f>
        <v>0</v>
      </c>
      <c r="BX13" s="153">
        <f>IFERROR('Similarity matrix'!BX13/'Denominator matrix'!$E$17, "NA")</f>
        <v>0</v>
      </c>
      <c r="BY13" s="153">
        <f>IFERROR('Similarity matrix'!BY13/'Denominator matrix'!$F$17, "NA")</f>
        <v>0</v>
      </c>
      <c r="BZ13" s="153">
        <f>IFERROR('Similarity matrix'!BZ13/'Denominator matrix'!$G$17, "NA")</f>
        <v>0</v>
      </c>
      <c r="CA13" s="153">
        <f>IFERROR('Similarity matrix'!CA13/'Denominator matrix'!$H$17, "NA")</f>
        <v>0</v>
      </c>
      <c r="CB13" s="153">
        <f>IFERROR('Similarity matrix'!CB13/'Denominator matrix'!$I$17, "NA")</f>
        <v>0</v>
      </c>
      <c r="CC13" s="153">
        <f>IFERROR('Similarity matrix'!CC13/'Denominator matrix'!$J$17, "NA")</f>
        <v>0</v>
      </c>
      <c r="CD13" s="153">
        <f>IFERROR('Similarity matrix'!CD13/'Denominator matrix'!$K$17, "NA")</f>
        <v>0</v>
      </c>
      <c r="CE13" s="154">
        <f>IFERROR('Similarity matrix'!CE13/'Denominator matrix'!$B$17, "NA")</f>
        <v>0</v>
      </c>
      <c r="CF13" s="153">
        <f>IFERROR('Similarity matrix'!CF13/'Denominator matrix'!$C$17, "NA")</f>
        <v>0</v>
      </c>
      <c r="CG13" s="153">
        <f>IFERROR('Similarity matrix'!CG13/'Denominator matrix'!$D$17, "NA")</f>
        <v>0</v>
      </c>
      <c r="CH13" s="153">
        <f>IFERROR('Similarity matrix'!CH13/'Denominator matrix'!$E$17, "NA")</f>
        <v>0</v>
      </c>
      <c r="CI13" s="153">
        <f>IFERROR('Similarity matrix'!CI13/'Denominator matrix'!$F$17, "NA")</f>
        <v>0</v>
      </c>
      <c r="CJ13" s="153">
        <f>IFERROR('Similarity matrix'!CJ13/'Denominator matrix'!$G$17, "NA")</f>
        <v>0</v>
      </c>
      <c r="CK13" s="153">
        <f>IFERROR('Similarity matrix'!CK13/'Denominator matrix'!$H$17, "NA")</f>
        <v>0</v>
      </c>
      <c r="CL13" s="153">
        <f>IFERROR('Similarity matrix'!CL13/'Denominator matrix'!$I$17, "NA")</f>
        <v>0</v>
      </c>
      <c r="CM13" s="153">
        <f>IFERROR('Similarity matrix'!CM13/'Denominator matrix'!$J$17, "NA")</f>
        <v>0</v>
      </c>
      <c r="CN13" s="153">
        <f>IFERROR('Similarity matrix'!CN13/'Denominator matrix'!$K$17, "NA")</f>
        <v>0</v>
      </c>
      <c r="CO13" s="154">
        <f>IFERROR('Similarity matrix'!CO13/'Denominator matrix'!$B$17, "NA")</f>
        <v>0</v>
      </c>
      <c r="CP13" s="153">
        <f>IFERROR('Similarity matrix'!CP13/'Denominator matrix'!$C$17, "NA")</f>
        <v>0</v>
      </c>
      <c r="CQ13" s="153">
        <f>IFERROR('Similarity matrix'!CQ13/'Denominator matrix'!$D$17, "NA")</f>
        <v>0</v>
      </c>
      <c r="CR13" s="153">
        <f>IFERROR('Similarity matrix'!CR13/'Denominator matrix'!$E$17, "NA")</f>
        <v>0</v>
      </c>
      <c r="CS13" s="153">
        <f>IFERROR('Similarity matrix'!CS13/'Denominator matrix'!$F$17, "NA")</f>
        <v>0</v>
      </c>
      <c r="CT13" s="153">
        <f>IFERROR('Similarity matrix'!CT13/'Denominator matrix'!$G$17, "NA")</f>
        <v>0</v>
      </c>
      <c r="CU13" s="153">
        <f>IFERROR('Similarity matrix'!CU13/'Denominator matrix'!$H$17, "NA")</f>
        <v>0</v>
      </c>
      <c r="CV13" s="153">
        <f>IFERROR('Similarity matrix'!CV13/'Denominator matrix'!$I$17, "NA")</f>
        <v>0</v>
      </c>
      <c r="CW13" s="153">
        <f>IFERROR('Similarity matrix'!CW13/'Denominator matrix'!$J$17, "NA")</f>
        <v>0</v>
      </c>
      <c r="CX13" s="153">
        <f>IFERROR('Similarity matrix'!CX13/'Denominator matrix'!$K$17, "NA")</f>
        <v>0</v>
      </c>
    </row>
    <row r="14" ht="35.25" customHeight="1">
      <c r="B14" s="124">
        <v>45690.0</v>
      </c>
      <c r="C14" s="154">
        <f>IFERROR('Similarity matrix'!C14/'Denominator matrix'!$B$18, "NA")</f>
        <v>0</v>
      </c>
      <c r="D14" s="156">
        <f>IFERROR('Similarity matrix'!D14/'Denominator matrix'!$C$18, "NA")</f>
        <v>0</v>
      </c>
      <c r="E14" s="153">
        <f>IFERROR('Similarity matrix'!E14/'Denominator matrix'!$D$18, "NA")</f>
        <v>0</v>
      </c>
      <c r="F14" s="153">
        <f>IFERROR('Similarity matrix'!F14/'Denominator matrix'!$E$18, "NA")</f>
        <v>0</v>
      </c>
      <c r="G14" s="153">
        <f>IFERROR('Similarity matrix'!G14/'Denominator matrix'!$F$18, "NA")</f>
        <v>0</v>
      </c>
      <c r="H14" s="153">
        <f>IFERROR('Similarity matrix'!H14/'Denominator matrix'!$G$18, "NA")</f>
        <v>0</v>
      </c>
      <c r="I14" s="153">
        <f>IFERROR('Similarity matrix'!I14/'Denominator matrix'!$H$18, "NA")</f>
        <v>0</v>
      </c>
      <c r="J14" s="153">
        <f>IFERROR('Similarity matrix'!J14/'Denominator matrix'!$I$18, "NA")</f>
        <v>0</v>
      </c>
      <c r="K14" s="153">
        <f>IFERROR('Similarity matrix'!K14/'Denominator matrix'!$J$18, "NA")</f>
        <v>0</v>
      </c>
      <c r="L14" s="153">
        <f>IFERROR('Similarity matrix'!L14/'Denominator matrix'!$K$18, "NA")</f>
        <v>0</v>
      </c>
      <c r="M14" s="154">
        <f>IFERROR('Similarity matrix'!M14/'Denominator matrix'!$B$18, "NA")</f>
        <v>1</v>
      </c>
      <c r="N14" s="155">
        <f>IFERROR('Similarity matrix'!N14/'Denominator matrix'!$C$18, "NA")</f>
        <v>0</v>
      </c>
      <c r="O14" s="153">
        <f>IFERROR('Similarity matrix'!O14/'Denominator matrix'!$D$18, "NA")</f>
        <v>1</v>
      </c>
      <c r="P14" s="153">
        <f>IFERROR('Similarity matrix'!P14/'Denominator matrix'!$E$18, "NA")</f>
        <v>1</v>
      </c>
      <c r="Q14" s="153">
        <f>IFERROR('Similarity matrix'!Q14/'Denominator matrix'!$F$18, "NA")</f>
        <v>1</v>
      </c>
      <c r="R14" s="153">
        <f>IFERROR('Similarity matrix'!R14/'Denominator matrix'!$G$18, "NA")</f>
        <v>1</v>
      </c>
      <c r="S14" s="153">
        <f>IFERROR('Similarity matrix'!S14/'Denominator matrix'!$H$18, "NA")</f>
        <v>1</v>
      </c>
      <c r="T14" s="153">
        <f>IFERROR('Similarity matrix'!T14/'Denominator matrix'!$I$18, "NA")</f>
        <v>1</v>
      </c>
      <c r="U14" s="153">
        <f>IFERROR('Similarity matrix'!U14/'Denominator matrix'!$J$18, "NA")</f>
        <v>1</v>
      </c>
      <c r="V14" s="153">
        <f>IFERROR('Similarity matrix'!V14/'Denominator matrix'!$K$18, "NA")</f>
        <v>1</v>
      </c>
      <c r="W14" s="154">
        <f>IFERROR('Similarity matrix'!W14/'Denominator matrix'!$B$18, "NA")</f>
        <v>0</v>
      </c>
      <c r="X14" s="156">
        <f>IFERROR('Similarity matrix'!X14/'Denominator matrix'!$C$18, "NA")</f>
        <v>0</v>
      </c>
      <c r="Y14" s="153">
        <f>IFERROR('Similarity matrix'!Y14/'Denominator matrix'!$D$18, "NA")</f>
        <v>0</v>
      </c>
      <c r="Z14" s="153">
        <f>IFERROR('Similarity matrix'!Z14/'Denominator matrix'!$E$18, "NA")</f>
        <v>0</v>
      </c>
      <c r="AA14" s="153">
        <f>IFERROR('Similarity matrix'!AA14/'Denominator matrix'!$F$18, "NA")</f>
        <v>0</v>
      </c>
      <c r="AB14" s="153">
        <f>IFERROR('Similarity matrix'!AB14/'Denominator matrix'!$G$18, "NA")</f>
        <v>0</v>
      </c>
      <c r="AC14" s="153">
        <f>IFERROR('Similarity matrix'!AC14/'Denominator matrix'!$H$18, "NA")</f>
        <v>0</v>
      </c>
      <c r="AD14" s="153">
        <f>IFERROR('Similarity matrix'!AD14/'Denominator matrix'!$I$18, "NA")</f>
        <v>0</v>
      </c>
      <c r="AE14" s="153">
        <f>IFERROR('Similarity matrix'!AE14/'Denominator matrix'!$J$18, "NA")</f>
        <v>0</v>
      </c>
      <c r="AF14" s="153">
        <f>IFERROR('Similarity matrix'!AF14/'Denominator matrix'!$K$18, "NA")</f>
        <v>0</v>
      </c>
      <c r="AG14" s="154">
        <f>IFERROR('Similarity matrix'!AG14/'Denominator matrix'!$B$18, "NA")</f>
        <v>0</v>
      </c>
      <c r="AH14" s="156">
        <f>IFERROR('Similarity matrix'!AH14/'Denominator matrix'!$C$18, "NA")</f>
        <v>0</v>
      </c>
      <c r="AI14" s="153">
        <f>IFERROR('Similarity matrix'!AI14/'Denominator matrix'!$D$18, "NA")</f>
        <v>0</v>
      </c>
      <c r="AJ14" s="153">
        <f>IFERROR('Similarity matrix'!AJ14/'Denominator matrix'!$E$18, "NA")</f>
        <v>0</v>
      </c>
      <c r="AK14" s="153">
        <f>IFERROR('Similarity matrix'!AK14/'Denominator matrix'!$F$18, "NA")</f>
        <v>0</v>
      </c>
      <c r="AL14" s="153">
        <f>IFERROR('Similarity matrix'!AL14/'Denominator matrix'!$G$18, "NA")</f>
        <v>0</v>
      </c>
      <c r="AM14" s="153">
        <f>IFERROR('Similarity matrix'!AM14/'Denominator matrix'!$H$18, "NA")</f>
        <v>0</v>
      </c>
      <c r="AN14" s="153">
        <f>IFERROR('Similarity matrix'!AN14/'Denominator matrix'!$I$18, "NA")</f>
        <v>0</v>
      </c>
      <c r="AO14" s="153">
        <f>IFERROR('Similarity matrix'!AO14/'Denominator matrix'!$J$18, "NA")</f>
        <v>0</v>
      </c>
      <c r="AP14" s="153">
        <f>IFERROR('Similarity matrix'!AP14/'Denominator matrix'!$K$18, "NA")</f>
        <v>0</v>
      </c>
      <c r="AQ14" s="154">
        <f>IFERROR('Similarity matrix'!AQ14/'Denominator matrix'!$B$18, "NA")</f>
        <v>0</v>
      </c>
      <c r="AR14" s="156">
        <f>IFERROR('Similarity matrix'!AR14/'Denominator matrix'!$C$18, "NA")</f>
        <v>0</v>
      </c>
      <c r="AS14" s="153">
        <f>IFERROR('Similarity matrix'!AS14/'Denominator matrix'!$D$18, "NA")</f>
        <v>0</v>
      </c>
      <c r="AT14" s="153">
        <f>IFERROR('Similarity matrix'!AT14/'Denominator matrix'!$E$18, "NA")</f>
        <v>0</v>
      </c>
      <c r="AU14" s="153">
        <f>IFERROR('Similarity matrix'!AU14/'Denominator matrix'!$F$18, "NA")</f>
        <v>0.1666666667</v>
      </c>
      <c r="AV14" s="153">
        <f>IFERROR('Similarity matrix'!AV14/'Denominator matrix'!$G$18, "NA")</f>
        <v>0</v>
      </c>
      <c r="AW14" s="153">
        <f>IFERROR('Similarity matrix'!AW14/'Denominator matrix'!$H$18, "NA")</f>
        <v>0.3333333333</v>
      </c>
      <c r="AX14" s="153">
        <f>IFERROR('Similarity matrix'!AX14/'Denominator matrix'!$I$18, "NA")</f>
        <v>0</v>
      </c>
      <c r="AY14" s="153">
        <f>IFERROR('Similarity matrix'!AY14/'Denominator matrix'!$J$18, "NA")</f>
        <v>0</v>
      </c>
      <c r="AZ14" s="153">
        <f>IFERROR('Similarity matrix'!AZ14/'Denominator matrix'!$K$18, "NA")</f>
        <v>0</v>
      </c>
      <c r="BA14" s="154">
        <f>IFERROR('Similarity matrix'!BA14/'Denominator matrix'!$B$18, "NA")</f>
        <v>0</v>
      </c>
      <c r="BB14" s="156">
        <f>IFERROR('Similarity matrix'!BB14/'Denominator matrix'!$C$18, "NA")</f>
        <v>0</v>
      </c>
      <c r="BC14" s="153">
        <f>IFERROR('Similarity matrix'!BC14/'Denominator matrix'!$D$18, "NA")</f>
        <v>0</v>
      </c>
      <c r="BD14" s="153">
        <f>IFERROR('Similarity matrix'!BD14/'Denominator matrix'!$E$18, "NA")</f>
        <v>0</v>
      </c>
      <c r="BE14" s="153">
        <f>IFERROR('Similarity matrix'!BE14/'Denominator matrix'!$F$18, "NA")</f>
        <v>0</v>
      </c>
      <c r="BF14" s="153">
        <f>IFERROR('Similarity matrix'!BF14/'Denominator matrix'!$G$18, "NA")</f>
        <v>0</v>
      </c>
      <c r="BG14" s="153">
        <f>IFERROR('Similarity matrix'!BG14/'Denominator matrix'!$H$18, "NA")</f>
        <v>0</v>
      </c>
      <c r="BH14" s="153">
        <f>IFERROR('Similarity matrix'!BH14/'Denominator matrix'!$I$18, "NA")</f>
        <v>0</v>
      </c>
      <c r="BI14" s="153">
        <f>IFERROR('Similarity matrix'!BI14/'Denominator matrix'!$J$18, "NA")</f>
        <v>0</v>
      </c>
      <c r="BJ14" s="153">
        <f>IFERROR('Similarity matrix'!BJ14/'Denominator matrix'!$K$18, "NA")</f>
        <v>0</v>
      </c>
      <c r="BK14" s="154">
        <f>IFERROR('Similarity matrix'!BK14/'Denominator matrix'!$B$18, "NA")</f>
        <v>0</v>
      </c>
      <c r="BL14" s="156">
        <f>IFERROR('Similarity matrix'!BL14/'Denominator matrix'!$C$18, "NA")</f>
        <v>0</v>
      </c>
      <c r="BM14" s="153">
        <f>IFERROR('Similarity matrix'!BM14/'Denominator matrix'!$D$18, "NA")</f>
        <v>0</v>
      </c>
      <c r="BN14" s="153">
        <f>IFERROR('Similarity matrix'!BN14/'Denominator matrix'!$E$18, "NA")</f>
        <v>0</v>
      </c>
      <c r="BO14" s="153">
        <f>IFERROR('Similarity matrix'!BO14/'Denominator matrix'!$F$18, "NA")</f>
        <v>0</v>
      </c>
      <c r="BP14" s="153">
        <f>IFERROR('Similarity matrix'!BP14/'Denominator matrix'!$G$18, "NA")</f>
        <v>0</v>
      </c>
      <c r="BQ14" s="153">
        <f>IFERROR('Similarity matrix'!BQ14/'Denominator matrix'!$H$18, "NA")</f>
        <v>0</v>
      </c>
      <c r="BR14" s="153">
        <f>IFERROR('Similarity matrix'!BR14/'Denominator matrix'!$I$18, "NA")</f>
        <v>0</v>
      </c>
      <c r="BS14" s="153">
        <f>IFERROR('Similarity matrix'!BS14/'Denominator matrix'!$J$18, "NA")</f>
        <v>0</v>
      </c>
      <c r="BT14" s="153">
        <f>IFERROR('Similarity matrix'!BT14/'Denominator matrix'!$K$18, "NA")</f>
        <v>0</v>
      </c>
      <c r="BU14" s="154">
        <f>IFERROR('Similarity matrix'!BU14/'Denominator matrix'!$B$18, "NA")</f>
        <v>0</v>
      </c>
      <c r="BV14" s="156">
        <f>IFERROR('Similarity matrix'!BV14/'Denominator matrix'!$C$18, "NA")</f>
        <v>0</v>
      </c>
      <c r="BW14" s="153">
        <f>IFERROR('Similarity matrix'!BW14/'Denominator matrix'!$D$18, "NA")</f>
        <v>0.25</v>
      </c>
      <c r="BX14" s="153">
        <f>IFERROR('Similarity matrix'!BX14/'Denominator matrix'!$E$18, "NA")</f>
        <v>0</v>
      </c>
      <c r="BY14" s="153">
        <f>IFERROR('Similarity matrix'!BY14/'Denominator matrix'!$F$18, "NA")</f>
        <v>0</v>
      </c>
      <c r="BZ14" s="153">
        <f>IFERROR('Similarity matrix'!BZ14/'Denominator matrix'!$G$18, "NA")</f>
        <v>0</v>
      </c>
      <c r="CA14" s="153">
        <f>IFERROR('Similarity matrix'!CA14/'Denominator matrix'!$H$18, "NA")</f>
        <v>0</v>
      </c>
      <c r="CB14" s="153">
        <f>IFERROR('Similarity matrix'!CB14/'Denominator matrix'!$I$18, "NA")</f>
        <v>0</v>
      </c>
      <c r="CC14" s="153">
        <f>IFERROR('Similarity matrix'!CC14/'Denominator matrix'!$J$18, "NA")</f>
        <v>0</v>
      </c>
      <c r="CD14" s="153">
        <f>IFERROR('Similarity matrix'!CD14/'Denominator matrix'!$K$18, "NA")</f>
        <v>0</v>
      </c>
      <c r="CE14" s="154">
        <f>IFERROR('Similarity matrix'!CE14/'Denominator matrix'!$B$18, "NA")</f>
        <v>0</v>
      </c>
      <c r="CF14" s="156">
        <f>IFERROR('Similarity matrix'!CF14/'Denominator matrix'!$C$18, "NA")</f>
        <v>0.07142857143</v>
      </c>
      <c r="CG14" s="153">
        <f>IFERROR('Similarity matrix'!CG14/'Denominator matrix'!$D$18, "NA")</f>
        <v>0</v>
      </c>
      <c r="CH14" s="153">
        <f>IFERROR('Similarity matrix'!CH14/'Denominator matrix'!$E$18, "NA")</f>
        <v>0.25</v>
      </c>
      <c r="CI14" s="153">
        <f>IFERROR('Similarity matrix'!CI14/'Denominator matrix'!$F$18, "NA")</f>
        <v>0.1666666667</v>
      </c>
      <c r="CJ14" s="153">
        <f>IFERROR('Similarity matrix'!CJ14/'Denominator matrix'!$G$18, "NA")</f>
        <v>0</v>
      </c>
      <c r="CK14" s="153">
        <f>IFERROR('Similarity matrix'!CK14/'Denominator matrix'!$H$18, "NA")</f>
        <v>0.1666666667</v>
      </c>
      <c r="CL14" s="153">
        <f>IFERROR('Similarity matrix'!CL14/'Denominator matrix'!$I$18, "NA")</f>
        <v>0</v>
      </c>
      <c r="CM14" s="153">
        <f>IFERROR('Similarity matrix'!CM14/'Denominator matrix'!$J$18, "NA")</f>
        <v>0</v>
      </c>
      <c r="CN14" s="153">
        <f>IFERROR('Similarity matrix'!CN14/'Denominator matrix'!$K$18, "NA")</f>
        <v>0</v>
      </c>
      <c r="CO14" s="154">
        <f>IFERROR('Similarity matrix'!CO14/'Denominator matrix'!$B$18, "NA")</f>
        <v>0</v>
      </c>
      <c r="CP14" s="156">
        <f>IFERROR('Similarity matrix'!CP14/'Denominator matrix'!$C$18, "NA")</f>
        <v>0</v>
      </c>
      <c r="CQ14" s="153">
        <f>IFERROR('Similarity matrix'!CQ14/'Denominator matrix'!$D$18, "NA")</f>
        <v>0</v>
      </c>
      <c r="CR14" s="153">
        <f>IFERROR('Similarity matrix'!CR14/'Denominator matrix'!$E$18, "NA")</f>
        <v>0</v>
      </c>
      <c r="CS14" s="153">
        <f>IFERROR('Similarity matrix'!CS14/'Denominator matrix'!$F$18, "NA")</f>
        <v>0</v>
      </c>
      <c r="CT14" s="153">
        <f>IFERROR('Similarity matrix'!CT14/'Denominator matrix'!$G$18, "NA")</f>
        <v>0</v>
      </c>
      <c r="CU14" s="153">
        <f>IFERROR('Similarity matrix'!CU14/'Denominator matrix'!$H$18, "NA")</f>
        <v>0</v>
      </c>
      <c r="CV14" s="153">
        <f>IFERROR('Similarity matrix'!CV14/'Denominator matrix'!$I$18, "NA")</f>
        <v>0</v>
      </c>
      <c r="CW14" s="153">
        <f>IFERROR('Similarity matrix'!CW14/'Denominator matrix'!$J$18, "NA")</f>
        <v>0</v>
      </c>
      <c r="CX14" s="153">
        <f>IFERROR('Similarity matrix'!CX14/'Denominator matrix'!$K$18, "NA")</f>
        <v>0</v>
      </c>
    </row>
    <row r="15" ht="35.25" customHeight="1">
      <c r="B15" s="124">
        <v>45718.0</v>
      </c>
      <c r="C15" s="154">
        <f>IFERROR('Similarity matrix'!C15/'Denominator matrix'!$B$19, "NA")</f>
        <v>0</v>
      </c>
      <c r="D15" s="153">
        <f>IFERROR('Similarity matrix'!D15/'Denominator matrix'!$C$19, "NA")</f>
        <v>0</v>
      </c>
      <c r="E15" s="156">
        <f>IFERROR('Similarity matrix'!E15/'Denominator matrix'!$D$19, "NA")</f>
        <v>0</v>
      </c>
      <c r="F15" s="153">
        <f>IFERROR('Similarity matrix'!F15/'Denominator matrix'!$E$19, "NA")</f>
        <v>0</v>
      </c>
      <c r="G15" s="153">
        <f>IFERROR('Similarity matrix'!G15/'Denominator matrix'!$F$19, "NA")</f>
        <v>0</v>
      </c>
      <c r="H15" s="153">
        <f>IFERROR('Similarity matrix'!H15/'Denominator matrix'!$G$19, "NA")</f>
        <v>0</v>
      </c>
      <c r="I15" s="153">
        <f>IFERROR('Similarity matrix'!I15/'Denominator matrix'!$H$19, "NA")</f>
        <v>0</v>
      </c>
      <c r="J15" s="153">
        <f>IFERROR('Similarity matrix'!J15/'Denominator matrix'!$I$19, "NA")</f>
        <v>0</v>
      </c>
      <c r="K15" s="153">
        <f>IFERROR('Similarity matrix'!K15/'Denominator matrix'!$J$19, "NA")</f>
        <v>0</v>
      </c>
      <c r="L15" s="153">
        <f>IFERROR('Similarity matrix'!L15/'Denominator matrix'!$K$19, "NA")</f>
        <v>0</v>
      </c>
      <c r="M15" s="154">
        <f>IFERROR('Similarity matrix'!M15/'Denominator matrix'!$B$19, "NA")</f>
        <v>0.25</v>
      </c>
      <c r="N15" s="153">
        <f>IFERROR('Similarity matrix'!N15/'Denominator matrix'!$C$19, "NA")</f>
        <v>1</v>
      </c>
      <c r="O15" s="155">
        <f>IFERROR('Similarity matrix'!O15/'Denominator matrix'!$D$19, "NA")</f>
        <v>0</v>
      </c>
      <c r="P15" s="153">
        <f>IFERROR('Similarity matrix'!P15/'Denominator matrix'!$E$19, "NA")</f>
        <v>0.75</v>
      </c>
      <c r="Q15" s="153">
        <f>IFERROR('Similarity matrix'!Q15/'Denominator matrix'!$F$19, "NA")</f>
        <v>0.75</v>
      </c>
      <c r="R15" s="153">
        <f>IFERROR('Similarity matrix'!R15/'Denominator matrix'!$G$19, "NA")</f>
        <v>0.25</v>
      </c>
      <c r="S15" s="153">
        <f>IFERROR('Similarity matrix'!S15/'Denominator matrix'!$H$19, "NA")</f>
        <v>0.875</v>
      </c>
      <c r="T15" s="153">
        <f>IFERROR('Similarity matrix'!T15/'Denominator matrix'!$I$19, "NA")</f>
        <v>1</v>
      </c>
      <c r="U15" s="153">
        <f>IFERROR('Similarity matrix'!U15/'Denominator matrix'!$J$19, "NA")</f>
        <v>1</v>
      </c>
      <c r="V15" s="153">
        <f>IFERROR('Similarity matrix'!V15/'Denominator matrix'!$K$19, "NA")</f>
        <v>0.8333333333</v>
      </c>
      <c r="W15" s="154">
        <f>IFERROR('Similarity matrix'!W15/'Denominator matrix'!$B$19, "NA")</f>
        <v>0</v>
      </c>
      <c r="X15" s="153">
        <f>IFERROR('Similarity matrix'!X15/'Denominator matrix'!$C$19, "NA")</f>
        <v>0</v>
      </c>
      <c r="Y15" s="156">
        <f>IFERROR('Similarity matrix'!Y15/'Denominator matrix'!$D$19, "NA")</f>
        <v>0</v>
      </c>
      <c r="Z15" s="153">
        <f>IFERROR('Similarity matrix'!Z15/'Denominator matrix'!$E$19, "NA")</f>
        <v>0</v>
      </c>
      <c r="AA15" s="153">
        <f>IFERROR('Similarity matrix'!AA15/'Denominator matrix'!$F$19, "NA")</f>
        <v>0</v>
      </c>
      <c r="AB15" s="153">
        <f>IFERROR('Similarity matrix'!AB15/'Denominator matrix'!$G$19, "NA")</f>
        <v>0</v>
      </c>
      <c r="AC15" s="153">
        <f>IFERROR('Similarity matrix'!AC15/'Denominator matrix'!$H$19, "NA")</f>
        <v>0</v>
      </c>
      <c r="AD15" s="153">
        <f>IFERROR('Similarity matrix'!AD15/'Denominator matrix'!$I$19, "NA")</f>
        <v>0</v>
      </c>
      <c r="AE15" s="153">
        <f>IFERROR('Similarity matrix'!AE15/'Denominator matrix'!$J$19, "NA")</f>
        <v>0</v>
      </c>
      <c r="AF15" s="153">
        <f>IFERROR('Similarity matrix'!AF15/'Denominator matrix'!$K$19, "NA")</f>
        <v>0</v>
      </c>
      <c r="AG15" s="154">
        <f>IFERROR('Similarity matrix'!AG15/'Denominator matrix'!$B$19, "NA")</f>
        <v>0</v>
      </c>
      <c r="AH15" s="153">
        <f>IFERROR('Similarity matrix'!AH15/'Denominator matrix'!$C$19, "NA")</f>
        <v>0</v>
      </c>
      <c r="AI15" s="156">
        <f>IFERROR('Similarity matrix'!AI15/'Denominator matrix'!$D$19, "NA")</f>
        <v>0</v>
      </c>
      <c r="AJ15" s="153">
        <f>IFERROR('Similarity matrix'!AJ15/'Denominator matrix'!$E$19, "NA")</f>
        <v>0</v>
      </c>
      <c r="AK15" s="153">
        <f>IFERROR('Similarity matrix'!AK15/'Denominator matrix'!$F$19, "NA")</f>
        <v>0</v>
      </c>
      <c r="AL15" s="153">
        <f>IFERROR('Similarity matrix'!AL15/'Denominator matrix'!$G$19, "NA")</f>
        <v>0</v>
      </c>
      <c r="AM15" s="153">
        <f>IFERROR('Similarity matrix'!AM15/'Denominator matrix'!$H$19, "NA")</f>
        <v>0</v>
      </c>
      <c r="AN15" s="153">
        <f>IFERROR('Similarity matrix'!AN15/'Denominator matrix'!$I$19, "NA")</f>
        <v>0</v>
      </c>
      <c r="AO15" s="153">
        <f>IFERROR('Similarity matrix'!AO15/'Denominator matrix'!$J$19, "NA")</f>
        <v>0</v>
      </c>
      <c r="AP15" s="153">
        <f>IFERROR('Similarity matrix'!AP15/'Denominator matrix'!$K$19, "NA")</f>
        <v>0</v>
      </c>
      <c r="AQ15" s="154">
        <f>IFERROR('Similarity matrix'!AQ15/'Denominator matrix'!$B$19, "NA")</f>
        <v>0</v>
      </c>
      <c r="AR15" s="153">
        <f>IFERROR('Similarity matrix'!AR15/'Denominator matrix'!$C$19, "NA")</f>
        <v>0</v>
      </c>
      <c r="AS15" s="156">
        <f>IFERROR('Similarity matrix'!AS15/'Denominator matrix'!$D$19, "NA")</f>
        <v>0</v>
      </c>
      <c r="AT15" s="153">
        <f>IFERROR('Similarity matrix'!AT15/'Denominator matrix'!$E$19, "NA")</f>
        <v>0</v>
      </c>
      <c r="AU15" s="153">
        <f>IFERROR('Similarity matrix'!AU15/'Denominator matrix'!$F$19, "NA")</f>
        <v>0</v>
      </c>
      <c r="AV15" s="153">
        <f>IFERROR('Similarity matrix'!AV15/'Denominator matrix'!$G$19, "NA")</f>
        <v>0</v>
      </c>
      <c r="AW15" s="153">
        <f>IFERROR('Similarity matrix'!AW15/'Denominator matrix'!$H$19, "NA")</f>
        <v>0.125</v>
      </c>
      <c r="AX15" s="153">
        <f>IFERROR('Similarity matrix'!AX15/'Denominator matrix'!$I$19, "NA")</f>
        <v>0</v>
      </c>
      <c r="AY15" s="153">
        <f>IFERROR('Similarity matrix'!AY15/'Denominator matrix'!$J$19, "NA")</f>
        <v>0</v>
      </c>
      <c r="AZ15" s="153">
        <f>IFERROR('Similarity matrix'!AZ15/'Denominator matrix'!$K$19, "NA")</f>
        <v>0</v>
      </c>
      <c r="BA15" s="154">
        <f>IFERROR('Similarity matrix'!BA15/'Denominator matrix'!$B$19, "NA")</f>
        <v>0</v>
      </c>
      <c r="BB15" s="153">
        <f>IFERROR('Similarity matrix'!BB15/'Denominator matrix'!$C$19, "NA")</f>
        <v>0</v>
      </c>
      <c r="BC15" s="156">
        <f>IFERROR('Similarity matrix'!BC15/'Denominator matrix'!$D$19, "NA")</f>
        <v>0</v>
      </c>
      <c r="BD15" s="153">
        <f>IFERROR('Similarity matrix'!BD15/'Denominator matrix'!$E$19, "NA")</f>
        <v>0</v>
      </c>
      <c r="BE15" s="153">
        <f>IFERROR('Similarity matrix'!BE15/'Denominator matrix'!$F$19, "NA")</f>
        <v>0</v>
      </c>
      <c r="BF15" s="153">
        <f>IFERROR('Similarity matrix'!BF15/'Denominator matrix'!$G$19, "NA")</f>
        <v>0</v>
      </c>
      <c r="BG15" s="153">
        <f>IFERROR('Similarity matrix'!BG15/'Denominator matrix'!$H$19, "NA")</f>
        <v>0</v>
      </c>
      <c r="BH15" s="153">
        <f>IFERROR('Similarity matrix'!BH15/'Denominator matrix'!$I$19, "NA")</f>
        <v>0</v>
      </c>
      <c r="BI15" s="153">
        <f>IFERROR('Similarity matrix'!BI15/'Denominator matrix'!$J$19, "NA")</f>
        <v>0</v>
      </c>
      <c r="BJ15" s="153">
        <f>IFERROR('Similarity matrix'!BJ15/'Denominator matrix'!$K$19, "NA")</f>
        <v>0</v>
      </c>
      <c r="BK15" s="154">
        <f>IFERROR('Similarity matrix'!BK15/'Denominator matrix'!$B$19, "NA")</f>
        <v>0</v>
      </c>
      <c r="BL15" s="153">
        <f>IFERROR('Similarity matrix'!BL15/'Denominator matrix'!$C$19, "NA")</f>
        <v>0</v>
      </c>
      <c r="BM15" s="156">
        <f>IFERROR('Similarity matrix'!BM15/'Denominator matrix'!$D$19, "NA")</f>
        <v>0</v>
      </c>
      <c r="BN15" s="153">
        <f>IFERROR('Similarity matrix'!BN15/'Denominator matrix'!$E$19, "NA")</f>
        <v>0</v>
      </c>
      <c r="BO15" s="153">
        <f>IFERROR('Similarity matrix'!BO15/'Denominator matrix'!$F$19, "NA")</f>
        <v>0</v>
      </c>
      <c r="BP15" s="153">
        <f>IFERROR('Similarity matrix'!BP15/'Denominator matrix'!$G$19, "NA")</f>
        <v>0</v>
      </c>
      <c r="BQ15" s="153">
        <f>IFERROR('Similarity matrix'!BQ15/'Denominator matrix'!$H$19, "NA")</f>
        <v>0</v>
      </c>
      <c r="BR15" s="153">
        <f>IFERROR('Similarity matrix'!BR15/'Denominator matrix'!$I$19, "NA")</f>
        <v>0</v>
      </c>
      <c r="BS15" s="153">
        <f>IFERROR('Similarity matrix'!BS15/'Denominator matrix'!$J$19, "NA")</f>
        <v>0</v>
      </c>
      <c r="BT15" s="153">
        <f>IFERROR('Similarity matrix'!BT15/'Denominator matrix'!$K$19, "NA")</f>
        <v>0</v>
      </c>
      <c r="BU15" s="154">
        <f>IFERROR('Similarity matrix'!BU15/'Denominator matrix'!$B$19, "NA")</f>
        <v>0</v>
      </c>
      <c r="BV15" s="153">
        <f>IFERROR('Similarity matrix'!BV15/'Denominator matrix'!$C$19, "NA")</f>
        <v>0</v>
      </c>
      <c r="BW15" s="156">
        <f>IFERROR('Similarity matrix'!BW15/'Denominator matrix'!$D$19, "NA")</f>
        <v>0.0625</v>
      </c>
      <c r="BX15" s="153">
        <f>IFERROR('Similarity matrix'!BX15/'Denominator matrix'!$E$19, "NA")</f>
        <v>0</v>
      </c>
      <c r="BY15" s="153">
        <f>IFERROR('Similarity matrix'!BY15/'Denominator matrix'!$F$19, "NA")</f>
        <v>0</v>
      </c>
      <c r="BZ15" s="153">
        <f>IFERROR('Similarity matrix'!BZ15/'Denominator matrix'!$G$19, "NA")</f>
        <v>0</v>
      </c>
      <c r="CA15" s="153">
        <f>IFERROR('Similarity matrix'!CA15/'Denominator matrix'!$H$19, "NA")</f>
        <v>0</v>
      </c>
      <c r="CB15" s="153">
        <f>IFERROR('Similarity matrix'!CB15/'Denominator matrix'!$I$19, "NA")</f>
        <v>0</v>
      </c>
      <c r="CC15" s="153">
        <f>IFERROR('Similarity matrix'!CC15/'Denominator matrix'!$J$19, "NA")</f>
        <v>0</v>
      </c>
      <c r="CD15" s="153">
        <f>IFERROR('Similarity matrix'!CD15/'Denominator matrix'!$K$19, "NA")</f>
        <v>0</v>
      </c>
      <c r="CE15" s="154">
        <f>IFERROR('Similarity matrix'!CE15/'Denominator matrix'!$B$19, "NA")</f>
        <v>0</v>
      </c>
      <c r="CF15" s="153">
        <f>IFERROR('Similarity matrix'!CF15/'Denominator matrix'!$C$19, "NA")</f>
        <v>0</v>
      </c>
      <c r="CG15" s="156">
        <f>IFERROR('Similarity matrix'!CG15/'Denominator matrix'!$D$19, "NA")</f>
        <v>0</v>
      </c>
      <c r="CH15" s="153">
        <f>IFERROR('Similarity matrix'!CH15/'Denominator matrix'!$E$19, "NA")</f>
        <v>0</v>
      </c>
      <c r="CI15" s="153">
        <f>IFERROR('Similarity matrix'!CI15/'Denominator matrix'!$F$19, "NA")</f>
        <v>0</v>
      </c>
      <c r="CJ15" s="153">
        <f>IFERROR('Similarity matrix'!CJ15/'Denominator matrix'!$G$19, "NA")</f>
        <v>0</v>
      </c>
      <c r="CK15" s="153">
        <f>IFERROR('Similarity matrix'!CK15/'Denominator matrix'!$H$19, "NA")</f>
        <v>0</v>
      </c>
      <c r="CL15" s="153">
        <f>IFERROR('Similarity matrix'!CL15/'Denominator matrix'!$I$19, "NA")</f>
        <v>0</v>
      </c>
      <c r="CM15" s="153">
        <f>IFERROR('Similarity matrix'!CM15/'Denominator matrix'!$J$19, "NA")</f>
        <v>0</v>
      </c>
      <c r="CN15" s="153">
        <f>IFERROR('Similarity matrix'!CN15/'Denominator matrix'!$K$19, "NA")</f>
        <v>0</v>
      </c>
      <c r="CO15" s="154">
        <f>IFERROR('Similarity matrix'!CO15/'Denominator matrix'!$B$19, "NA")</f>
        <v>0</v>
      </c>
      <c r="CP15" s="153">
        <f>IFERROR('Similarity matrix'!CP15/'Denominator matrix'!$C$19, "NA")</f>
        <v>0</v>
      </c>
      <c r="CQ15" s="156">
        <f>IFERROR('Similarity matrix'!CQ15/'Denominator matrix'!$D$19, "NA")</f>
        <v>0</v>
      </c>
      <c r="CR15" s="153">
        <f>IFERROR('Similarity matrix'!CR15/'Denominator matrix'!$E$19, "NA")</f>
        <v>0</v>
      </c>
      <c r="CS15" s="153">
        <f>IFERROR('Similarity matrix'!CS15/'Denominator matrix'!$F$19, "NA")</f>
        <v>0</v>
      </c>
      <c r="CT15" s="153">
        <f>IFERROR('Similarity matrix'!CT15/'Denominator matrix'!$G$19, "NA")</f>
        <v>0</v>
      </c>
      <c r="CU15" s="153">
        <f>IFERROR('Similarity matrix'!CU15/'Denominator matrix'!$H$19, "NA")</f>
        <v>0</v>
      </c>
      <c r="CV15" s="153">
        <f>IFERROR('Similarity matrix'!CV15/'Denominator matrix'!$I$19, "NA")</f>
        <v>0</v>
      </c>
      <c r="CW15" s="153">
        <f>IFERROR('Similarity matrix'!CW15/'Denominator matrix'!$J$19, "NA")</f>
        <v>0</v>
      </c>
      <c r="CX15" s="153">
        <f>IFERROR('Similarity matrix'!CX15/'Denominator matrix'!$K$19, "NA")</f>
        <v>0</v>
      </c>
    </row>
    <row r="16" ht="35.25" customHeight="1">
      <c r="B16" s="124">
        <v>45749.0</v>
      </c>
      <c r="C16" s="154">
        <f>IFERROR('Similarity matrix'!C16/'Denominator matrix'!$B$20, "NA")</f>
        <v>0</v>
      </c>
      <c r="D16" s="153">
        <f>IFERROR('Similarity matrix'!D16/'Denominator matrix'!$C$20, "NA")</f>
        <v>0</v>
      </c>
      <c r="E16" s="153">
        <f>IFERROR('Similarity matrix'!E16/'Denominator matrix'!$D$20, "NA")</f>
        <v>0</v>
      </c>
      <c r="F16" s="156">
        <f>IFERROR('Similarity matrix'!F16/'Denominator matrix'!$E$20, "NA")</f>
        <v>0</v>
      </c>
      <c r="G16" s="153">
        <f>IFERROR('Similarity matrix'!G16/'Denominator matrix'!$F$20, "NA")</f>
        <v>0</v>
      </c>
      <c r="H16" s="153">
        <f>IFERROR('Similarity matrix'!H16/'Denominator matrix'!$G$20, "NA")</f>
        <v>0</v>
      </c>
      <c r="I16" s="153">
        <f>IFERROR('Similarity matrix'!I16/'Denominator matrix'!$H$20, "NA")</f>
        <v>0</v>
      </c>
      <c r="J16" s="153">
        <f>IFERROR('Similarity matrix'!J16/'Denominator matrix'!$I$20, "NA")</f>
        <v>0</v>
      </c>
      <c r="K16" s="153">
        <f>IFERROR('Similarity matrix'!K16/'Denominator matrix'!$J$20, "NA")</f>
        <v>0</v>
      </c>
      <c r="L16" s="153">
        <f>IFERROR('Similarity matrix'!L16/'Denominator matrix'!$K$20, "NA")</f>
        <v>0</v>
      </c>
      <c r="M16" s="154">
        <f>IFERROR('Similarity matrix'!M16/'Denominator matrix'!$B$20, "NA")</f>
        <v>0.5</v>
      </c>
      <c r="N16" s="153">
        <f>IFERROR('Similarity matrix'!N16/'Denominator matrix'!$C$20, "NA")</f>
        <v>1</v>
      </c>
      <c r="O16" s="153">
        <f>IFERROR('Similarity matrix'!O16/'Denominator matrix'!$D$20, "NA")</f>
        <v>0.75</v>
      </c>
      <c r="P16" s="155">
        <f>IFERROR('Similarity matrix'!P16/'Denominator matrix'!$E$20, "NA")</f>
        <v>0</v>
      </c>
      <c r="Q16" s="153">
        <f>IFERROR('Similarity matrix'!Q16/'Denominator matrix'!$F$20, "NA")</f>
        <v>1</v>
      </c>
      <c r="R16" s="153">
        <f>IFERROR('Similarity matrix'!R16/'Denominator matrix'!$G$20, "NA")</f>
        <v>0.5</v>
      </c>
      <c r="S16" s="153">
        <f>IFERROR('Similarity matrix'!S16/'Denominator matrix'!$H$20, "NA")</f>
        <v>0.9</v>
      </c>
      <c r="T16" s="153">
        <f>IFERROR('Similarity matrix'!T16/'Denominator matrix'!$I$20, "NA")</f>
        <v>0.75</v>
      </c>
      <c r="U16" s="153">
        <f>IFERROR('Similarity matrix'!U16/'Denominator matrix'!$J$20, "NA")</f>
        <v>1</v>
      </c>
      <c r="V16" s="153">
        <f>IFERROR('Similarity matrix'!V16/'Denominator matrix'!$K$20, "NA")</f>
        <v>0.75</v>
      </c>
      <c r="W16" s="154">
        <f>IFERROR('Similarity matrix'!W16/'Denominator matrix'!$B$20, "NA")</f>
        <v>0</v>
      </c>
      <c r="X16" s="153">
        <f>IFERROR('Similarity matrix'!X16/'Denominator matrix'!$C$20, "NA")</f>
        <v>0</v>
      </c>
      <c r="Y16" s="153">
        <f>IFERROR('Similarity matrix'!Y16/'Denominator matrix'!$D$20, "NA")</f>
        <v>0</v>
      </c>
      <c r="Z16" s="156">
        <f>IFERROR('Similarity matrix'!Z16/'Denominator matrix'!$E$20, "NA")</f>
        <v>0</v>
      </c>
      <c r="AA16" s="153">
        <f>IFERROR('Similarity matrix'!AA16/'Denominator matrix'!$F$20, "NA")</f>
        <v>0</v>
      </c>
      <c r="AB16" s="153">
        <f>IFERROR('Similarity matrix'!AB16/'Denominator matrix'!$G$20, "NA")</f>
        <v>0</v>
      </c>
      <c r="AC16" s="153">
        <f>IFERROR('Similarity matrix'!AC16/'Denominator matrix'!$H$20, "NA")</f>
        <v>0</v>
      </c>
      <c r="AD16" s="153">
        <f>IFERROR('Similarity matrix'!AD16/'Denominator matrix'!$I$20, "NA")</f>
        <v>0</v>
      </c>
      <c r="AE16" s="153">
        <f>IFERROR('Similarity matrix'!AE16/'Denominator matrix'!$J$20, "NA")</f>
        <v>0</v>
      </c>
      <c r="AF16" s="153">
        <f>IFERROR('Similarity matrix'!AF16/'Denominator matrix'!$K$20, "NA")</f>
        <v>0</v>
      </c>
      <c r="AG16" s="154">
        <f>IFERROR('Similarity matrix'!AG16/'Denominator matrix'!$B$20, "NA")</f>
        <v>0</v>
      </c>
      <c r="AH16" s="153">
        <f>IFERROR('Similarity matrix'!AH16/'Denominator matrix'!$C$20, "NA")</f>
        <v>0</v>
      </c>
      <c r="AI16" s="153">
        <f>IFERROR('Similarity matrix'!AI16/'Denominator matrix'!$D$20, "NA")</f>
        <v>0</v>
      </c>
      <c r="AJ16" s="156">
        <f>IFERROR('Similarity matrix'!AJ16/'Denominator matrix'!$E$20, "NA")</f>
        <v>0</v>
      </c>
      <c r="AK16" s="153">
        <f>IFERROR('Similarity matrix'!AK16/'Denominator matrix'!$F$20, "NA")</f>
        <v>0</v>
      </c>
      <c r="AL16" s="153">
        <f>IFERROR('Similarity matrix'!AL16/'Denominator matrix'!$G$20, "NA")</f>
        <v>0</v>
      </c>
      <c r="AM16" s="153">
        <f>IFERROR('Similarity matrix'!AM16/'Denominator matrix'!$H$20, "NA")</f>
        <v>0</v>
      </c>
      <c r="AN16" s="153">
        <f>IFERROR('Similarity matrix'!AN16/'Denominator matrix'!$I$20, "NA")</f>
        <v>0</v>
      </c>
      <c r="AO16" s="153">
        <f>IFERROR('Similarity matrix'!AO16/'Denominator matrix'!$J$20, "NA")</f>
        <v>0</v>
      </c>
      <c r="AP16" s="153">
        <f>IFERROR('Similarity matrix'!AP16/'Denominator matrix'!$K$20, "NA")</f>
        <v>0</v>
      </c>
      <c r="AQ16" s="154">
        <f>IFERROR('Similarity matrix'!AQ16/'Denominator matrix'!$B$20, "NA")</f>
        <v>0</v>
      </c>
      <c r="AR16" s="153">
        <f>IFERROR('Similarity matrix'!AR16/'Denominator matrix'!$C$20, "NA")</f>
        <v>0</v>
      </c>
      <c r="AS16" s="153">
        <f>IFERROR('Similarity matrix'!AS16/'Denominator matrix'!$D$20, "NA")</f>
        <v>0</v>
      </c>
      <c r="AT16" s="156">
        <f>IFERROR('Similarity matrix'!AT16/'Denominator matrix'!$E$20, "NA")</f>
        <v>0</v>
      </c>
      <c r="AU16" s="153">
        <f>IFERROR('Similarity matrix'!AU16/'Denominator matrix'!$F$20, "NA")</f>
        <v>0.25</v>
      </c>
      <c r="AV16" s="153">
        <f>IFERROR('Similarity matrix'!AV16/'Denominator matrix'!$G$20, "NA")</f>
        <v>0</v>
      </c>
      <c r="AW16" s="153">
        <f>IFERROR('Similarity matrix'!AW16/'Denominator matrix'!$H$20, "NA")</f>
        <v>0.1</v>
      </c>
      <c r="AX16" s="153">
        <f>IFERROR('Similarity matrix'!AX16/'Denominator matrix'!$I$20, "NA")</f>
        <v>0</v>
      </c>
      <c r="AY16" s="153">
        <f>IFERROR('Similarity matrix'!AY16/'Denominator matrix'!$J$20, "NA")</f>
        <v>0</v>
      </c>
      <c r="AZ16" s="153">
        <f>IFERROR('Similarity matrix'!AZ16/'Denominator matrix'!$K$20, "NA")</f>
        <v>0</v>
      </c>
      <c r="BA16" s="154">
        <f>IFERROR('Similarity matrix'!BA16/'Denominator matrix'!$B$20, "NA")</f>
        <v>0</v>
      </c>
      <c r="BB16" s="153">
        <f>IFERROR('Similarity matrix'!BB16/'Denominator matrix'!$C$20, "NA")</f>
        <v>0</v>
      </c>
      <c r="BC16" s="153">
        <f>IFERROR('Similarity matrix'!BC16/'Denominator matrix'!$D$20, "NA")</f>
        <v>0</v>
      </c>
      <c r="BD16" s="156">
        <f>IFERROR('Similarity matrix'!BD16/'Denominator matrix'!$E$20, "NA")</f>
        <v>0</v>
      </c>
      <c r="BE16" s="153">
        <f>IFERROR('Similarity matrix'!BE16/'Denominator matrix'!$F$20, "NA")</f>
        <v>0</v>
      </c>
      <c r="BF16" s="153">
        <f>IFERROR('Similarity matrix'!BF16/'Denominator matrix'!$G$20, "NA")</f>
        <v>0</v>
      </c>
      <c r="BG16" s="153">
        <f>IFERROR('Similarity matrix'!BG16/'Denominator matrix'!$H$20, "NA")</f>
        <v>0</v>
      </c>
      <c r="BH16" s="153">
        <f>IFERROR('Similarity matrix'!BH16/'Denominator matrix'!$I$20, "NA")</f>
        <v>0</v>
      </c>
      <c r="BI16" s="153">
        <f>IFERROR('Similarity matrix'!BI16/'Denominator matrix'!$J$20, "NA")</f>
        <v>0</v>
      </c>
      <c r="BJ16" s="153">
        <f>IFERROR('Similarity matrix'!BJ16/'Denominator matrix'!$K$20, "NA")</f>
        <v>0</v>
      </c>
      <c r="BK16" s="154">
        <f>IFERROR('Similarity matrix'!BK16/'Denominator matrix'!$B$20, "NA")</f>
        <v>0</v>
      </c>
      <c r="BL16" s="153">
        <f>IFERROR('Similarity matrix'!BL16/'Denominator matrix'!$C$20, "NA")</f>
        <v>0</v>
      </c>
      <c r="BM16" s="153">
        <f>IFERROR('Similarity matrix'!BM16/'Denominator matrix'!$D$20, "NA")</f>
        <v>0</v>
      </c>
      <c r="BN16" s="156">
        <f>IFERROR('Similarity matrix'!BN16/'Denominator matrix'!$E$20, "NA")</f>
        <v>0</v>
      </c>
      <c r="BO16" s="153">
        <f>IFERROR('Similarity matrix'!BO16/'Denominator matrix'!$F$20, "NA")</f>
        <v>0</v>
      </c>
      <c r="BP16" s="153">
        <f>IFERROR('Similarity matrix'!BP16/'Denominator matrix'!$G$20, "NA")</f>
        <v>0</v>
      </c>
      <c r="BQ16" s="153">
        <f>IFERROR('Similarity matrix'!BQ16/'Denominator matrix'!$H$20, "NA")</f>
        <v>0</v>
      </c>
      <c r="BR16" s="153">
        <f>IFERROR('Similarity matrix'!BR16/'Denominator matrix'!$I$20, "NA")</f>
        <v>0</v>
      </c>
      <c r="BS16" s="153">
        <f>IFERROR('Similarity matrix'!BS16/'Denominator matrix'!$J$20, "NA")</f>
        <v>0</v>
      </c>
      <c r="BT16" s="153">
        <f>IFERROR('Similarity matrix'!BT16/'Denominator matrix'!$K$20, "NA")</f>
        <v>0</v>
      </c>
      <c r="BU16" s="154">
        <f>IFERROR('Similarity matrix'!BU16/'Denominator matrix'!$B$20, "NA")</f>
        <v>0</v>
      </c>
      <c r="BV16" s="153">
        <f>IFERROR('Similarity matrix'!BV16/'Denominator matrix'!$C$20, "NA")</f>
        <v>0</v>
      </c>
      <c r="BW16" s="153">
        <f>IFERROR('Similarity matrix'!BW16/'Denominator matrix'!$D$20, "NA")</f>
        <v>0</v>
      </c>
      <c r="BX16" s="156">
        <f>IFERROR('Similarity matrix'!BX16/'Denominator matrix'!$E$20, "NA")</f>
        <v>0</v>
      </c>
      <c r="BY16" s="153">
        <f>IFERROR('Similarity matrix'!BY16/'Denominator matrix'!$F$20, "NA")</f>
        <v>0</v>
      </c>
      <c r="BZ16" s="153">
        <f>IFERROR('Similarity matrix'!BZ16/'Denominator matrix'!$G$20, "NA")</f>
        <v>0</v>
      </c>
      <c r="CA16" s="153">
        <f>IFERROR('Similarity matrix'!CA16/'Denominator matrix'!$H$20, "NA")</f>
        <v>0</v>
      </c>
      <c r="CB16" s="153">
        <f>IFERROR('Similarity matrix'!CB16/'Denominator matrix'!$I$20, "NA")</f>
        <v>0</v>
      </c>
      <c r="CC16" s="153">
        <f>IFERROR('Similarity matrix'!CC16/'Denominator matrix'!$J$20, "NA")</f>
        <v>0</v>
      </c>
      <c r="CD16" s="153">
        <f>IFERROR('Similarity matrix'!CD16/'Denominator matrix'!$K$20, "NA")</f>
        <v>0</v>
      </c>
      <c r="CE16" s="154">
        <f>IFERROR('Similarity matrix'!CE16/'Denominator matrix'!$B$20, "NA")</f>
        <v>0</v>
      </c>
      <c r="CF16" s="153">
        <f>IFERROR('Similarity matrix'!CF16/'Denominator matrix'!$C$20, "NA")</f>
        <v>0.25</v>
      </c>
      <c r="CG16" s="153">
        <f>IFERROR('Similarity matrix'!CG16/'Denominator matrix'!$D$20, "NA")</f>
        <v>0</v>
      </c>
      <c r="CH16" s="156">
        <f>IFERROR('Similarity matrix'!CH16/'Denominator matrix'!$E$20, "NA")</f>
        <v>0.0625</v>
      </c>
      <c r="CI16" s="153">
        <f>IFERROR('Similarity matrix'!CI16/'Denominator matrix'!$F$20, "NA")</f>
        <v>0.25</v>
      </c>
      <c r="CJ16" s="153">
        <f>IFERROR('Similarity matrix'!CJ16/'Denominator matrix'!$G$20, "NA")</f>
        <v>0</v>
      </c>
      <c r="CK16" s="153">
        <f>IFERROR('Similarity matrix'!CK16/'Denominator matrix'!$H$20, "NA")</f>
        <v>0.1</v>
      </c>
      <c r="CL16" s="153">
        <f>IFERROR('Similarity matrix'!CL16/'Denominator matrix'!$I$20, "NA")</f>
        <v>0</v>
      </c>
      <c r="CM16" s="153">
        <f>IFERROR('Similarity matrix'!CM16/'Denominator matrix'!$J$20, "NA")</f>
        <v>0</v>
      </c>
      <c r="CN16" s="153">
        <f>IFERROR('Similarity matrix'!CN16/'Denominator matrix'!$K$20, "NA")</f>
        <v>0</v>
      </c>
      <c r="CO16" s="154">
        <f>IFERROR('Similarity matrix'!CO16/'Denominator matrix'!$B$20, "NA")</f>
        <v>0</v>
      </c>
      <c r="CP16" s="153">
        <f>IFERROR('Similarity matrix'!CP16/'Denominator matrix'!$C$20, "NA")</f>
        <v>0</v>
      </c>
      <c r="CQ16" s="153">
        <f>IFERROR('Similarity matrix'!CQ16/'Denominator matrix'!$D$20, "NA")</f>
        <v>0</v>
      </c>
      <c r="CR16" s="156">
        <f>IFERROR('Similarity matrix'!CR16/'Denominator matrix'!$E$20, "NA")</f>
        <v>0.0625</v>
      </c>
      <c r="CS16" s="153">
        <f>IFERROR('Similarity matrix'!CS16/'Denominator matrix'!$F$20, "NA")</f>
        <v>0</v>
      </c>
      <c r="CT16" s="153">
        <f>IFERROR('Similarity matrix'!CT16/'Denominator matrix'!$G$20, "NA")</f>
        <v>0</v>
      </c>
      <c r="CU16" s="153">
        <f>IFERROR('Similarity matrix'!CU16/'Denominator matrix'!$H$20, "NA")</f>
        <v>0.1</v>
      </c>
      <c r="CV16" s="153">
        <f>IFERROR('Similarity matrix'!CV16/'Denominator matrix'!$I$20, "NA")</f>
        <v>0.25</v>
      </c>
      <c r="CW16" s="153">
        <f>IFERROR('Similarity matrix'!CW16/'Denominator matrix'!$J$20, "NA")</f>
        <v>0</v>
      </c>
      <c r="CX16" s="153">
        <f>IFERROR('Similarity matrix'!CX16/'Denominator matrix'!$K$20, "NA")</f>
        <v>0</v>
      </c>
    </row>
    <row r="17" ht="35.25" customHeight="1">
      <c r="B17" s="124">
        <v>45779.0</v>
      </c>
      <c r="C17" s="154">
        <f>IFERROR('Similarity matrix'!C17/'Denominator matrix'!$B$21, "NA")</f>
        <v>0</v>
      </c>
      <c r="D17" s="153">
        <f>IFERROR('Similarity matrix'!D17/'Denominator matrix'!$C$21, "NA")</f>
        <v>0</v>
      </c>
      <c r="E17" s="153">
        <f>IFERROR('Similarity matrix'!E17/'Denominator matrix'!$D$21, "NA")</f>
        <v>0</v>
      </c>
      <c r="F17" s="153">
        <f>IFERROR('Similarity matrix'!F17/'Denominator matrix'!$E$21, "NA")</f>
        <v>0</v>
      </c>
      <c r="G17" s="156">
        <f>IFERROR('Similarity matrix'!G17/'Denominator matrix'!$F$21, "NA")</f>
        <v>0</v>
      </c>
      <c r="H17" s="153">
        <f>IFERROR('Similarity matrix'!H17/'Denominator matrix'!$G$21, "NA")</f>
        <v>0</v>
      </c>
      <c r="I17" s="153">
        <f>IFERROR('Similarity matrix'!I17/'Denominator matrix'!$H$21, "NA")</f>
        <v>0</v>
      </c>
      <c r="J17" s="153">
        <f>IFERROR('Similarity matrix'!J17/'Denominator matrix'!$I$21, "NA")</f>
        <v>0</v>
      </c>
      <c r="K17" s="153">
        <f>IFERROR('Similarity matrix'!K17/'Denominator matrix'!$J$21, "NA")</f>
        <v>0</v>
      </c>
      <c r="L17" s="153">
        <f>IFERROR('Similarity matrix'!L17/'Denominator matrix'!$K$21, "NA")</f>
        <v>0</v>
      </c>
      <c r="M17" s="154">
        <f>IFERROR('Similarity matrix'!M17/'Denominator matrix'!$B$21, "NA")</f>
        <v>0.7</v>
      </c>
      <c r="N17" s="153">
        <f>IFERROR('Similarity matrix'!N17/'Denominator matrix'!$C$21, "NA")</f>
        <v>1</v>
      </c>
      <c r="O17" s="153">
        <f>IFERROR('Similarity matrix'!O17/'Denominator matrix'!$D$21, "NA")</f>
        <v>0.75</v>
      </c>
      <c r="P17" s="153">
        <f>IFERROR('Similarity matrix'!P17/'Denominator matrix'!$E$21, "NA")</f>
        <v>1</v>
      </c>
      <c r="Q17" s="155">
        <f>IFERROR('Similarity matrix'!Q17/'Denominator matrix'!$F$21, "NA")</f>
        <v>0</v>
      </c>
      <c r="R17" s="153">
        <f>IFERROR('Similarity matrix'!R17/'Denominator matrix'!$G$21, "NA")</f>
        <v>0.8333333333</v>
      </c>
      <c r="S17" s="153">
        <f>IFERROR('Similarity matrix'!S17/'Denominator matrix'!$H$21, "NA")</f>
        <v>0.75</v>
      </c>
      <c r="T17" s="153">
        <f>IFERROR('Similarity matrix'!T17/'Denominator matrix'!$I$21, "NA")</f>
        <v>0.9</v>
      </c>
      <c r="U17" s="153">
        <f>IFERROR('Similarity matrix'!U17/'Denominator matrix'!$J$21, "NA")</f>
        <v>0.8333333333</v>
      </c>
      <c r="V17" s="153">
        <f>IFERROR('Similarity matrix'!V17/'Denominator matrix'!$K$21, "NA")</f>
        <v>0.75</v>
      </c>
      <c r="W17" s="154">
        <f>IFERROR('Similarity matrix'!W17/'Denominator matrix'!$B$21, "NA")</f>
        <v>0.1</v>
      </c>
      <c r="X17" s="153">
        <f>IFERROR('Similarity matrix'!X17/'Denominator matrix'!$C$21, "NA")</f>
        <v>0</v>
      </c>
      <c r="Y17" s="153">
        <f>IFERROR('Similarity matrix'!Y17/'Denominator matrix'!$D$21, "NA")</f>
        <v>0</v>
      </c>
      <c r="Z17" s="153">
        <f>IFERROR('Similarity matrix'!Z17/'Denominator matrix'!$E$21, "NA")</f>
        <v>0</v>
      </c>
      <c r="AA17" s="156">
        <f>IFERROR('Similarity matrix'!AA17/'Denominator matrix'!$F$21, "NA")</f>
        <v>0.05555555556</v>
      </c>
      <c r="AB17" s="153">
        <f>IFERROR('Similarity matrix'!AB17/'Denominator matrix'!$G$21, "NA")</f>
        <v>0.1666666667</v>
      </c>
      <c r="AC17" s="153">
        <f>IFERROR('Similarity matrix'!AC17/'Denominator matrix'!$H$21, "NA")</f>
        <v>0</v>
      </c>
      <c r="AD17" s="153">
        <f>IFERROR('Similarity matrix'!AD17/'Denominator matrix'!$I$21, "NA")</f>
        <v>0</v>
      </c>
      <c r="AE17" s="153">
        <f>IFERROR('Similarity matrix'!AE17/'Denominator matrix'!$J$21, "NA")</f>
        <v>0</v>
      </c>
      <c r="AF17" s="153">
        <f>IFERROR('Similarity matrix'!AF17/'Denominator matrix'!$K$21, "NA")</f>
        <v>0.25</v>
      </c>
      <c r="AG17" s="154">
        <f>IFERROR('Similarity matrix'!AG17/'Denominator matrix'!$B$21, "NA")</f>
        <v>0</v>
      </c>
      <c r="AH17" s="153">
        <f>IFERROR('Similarity matrix'!AH17/'Denominator matrix'!$C$21, "NA")</f>
        <v>0</v>
      </c>
      <c r="AI17" s="153">
        <f>IFERROR('Similarity matrix'!AI17/'Denominator matrix'!$D$21, "NA")</f>
        <v>0</v>
      </c>
      <c r="AJ17" s="153">
        <f>IFERROR('Similarity matrix'!AJ17/'Denominator matrix'!$E$21, "NA")</f>
        <v>0</v>
      </c>
      <c r="AK17" s="156">
        <f>IFERROR('Similarity matrix'!AK17/'Denominator matrix'!$F$21, "NA")</f>
        <v>0</v>
      </c>
      <c r="AL17" s="153">
        <f>IFERROR('Similarity matrix'!AL17/'Denominator matrix'!$G$21, "NA")</f>
        <v>0</v>
      </c>
      <c r="AM17" s="153">
        <f>IFERROR('Similarity matrix'!AM17/'Denominator matrix'!$H$21, "NA")</f>
        <v>0</v>
      </c>
      <c r="AN17" s="153">
        <f>IFERROR('Similarity matrix'!AN17/'Denominator matrix'!$I$21, "NA")</f>
        <v>0</v>
      </c>
      <c r="AO17" s="153">
        <f>IFERROR('Similarity matrix'!AO17/'Denominator matrix'!$J$21, "NA")</f>
        <v>0</v>
      </c>
      <c r="AP17" s="153">
        <f>IFERROR('Similarity matrix'!AP17/'Denominator matrix'!$K$21, "NA")</f>
        <v>0</v>
      </c>
      <c r="AQ17" s="154">
        <f>IFERROR('Similarity matrix'!AQ17/'Denominator matrix'!$B$21, "NA")</f>
        <v>0</v>
      </c>
      <c r="AR17" s="153">
        <f>IFERROR('Similarity matrix'!AR17/'Denominator matrix'!$C$21, "NA")</f>
        <v>0</v>
      </c>
      <c r="AS17" s="153">
        <f>IFERROR('Similarity matrix'!AS17/'Denominator matrix'!$D$21, "NA")</f>
        <v>0</v>
      </c>
      <c r="AT17" s="153">
        <f>IFERROR('Similarity matrix'!AT17/'Denominator matrix'!$E$21, "NA")</f>
        <v>0</v>
      </c>
      <c r="AU17" s="156">
        <f>IFERROR('Similarity matrix'!AU17/'Denominator matrix'!$F$21, "NA")</f>
        <v>0.05555555556</v>
      </c>
      <c r="AV17" s="153">
        <f>IFERROR('Similarity matrix'!AV17/'Denominator matrix'!$G$21, "NA")</f>
        <v>0</v>
      </c>
      <c r="AW17" s="153">
        <f>IFERROR('Similarity matrix'!AW17/'Denominator matrix'!$H$21, "NA")</f>
        <v>0.25</v>
      </c>
      <c r="AX17" s="153">
        <f>IFERROR('Similarity matrix'!AX17/'Denominator matrix'!$I$21, "NA")</f>
        <v>0</v>
      </c>
      <c r="AY17" s="153">
        <f>IFERROR('Similarity matrix'!AY17/'Denominator matrix'!$J$21, "NA")</f>
        <v>0</v>
      </c>
      <c r="AZ17" s="153">
        <f>IFERROR('Similarity matrix'!AZ17/'Denominator matrix'!$K$21, "NA")</f>
        <v>0</v>
      </c>
      <c r="BA17" s="154">
        <f>IFERROR('Similarity matrix'!BA17/'Denominator matrix'!$B$21, "NA")</f>
        <v>0</v>
      </c>
      <c r="BB17" s="153">
        <f>IFERROR('Similarity matrix'!BB17/'Denominator matrix'!$C$21, "NA")</f>
        <v>0</v>
      </c>
      <c r="BC17" s="153">
        <f>IFERROR('Similarity matrix'!BC17/'Denominator matrix'!$D$21, "NA")</f>
        <v>0</v>
      </c>
      <c r="BD17" s="153">
        <f>IFERROR('Similarity matrix'!BD17/'Denominator matrix'!$E$21, "NA")</f>
        <v>0</v>
      </c>
      <c r="BE17" s="156">
        <f>IFERROR('Similarity matrix'!BE17/'Denominator matrix'!$F$21, "NA")</f>
        <v>0</v>
      </c>
      <c r="BF17" s="153">
        <f>IFERROR('Similarity matrix'!BF17/'Denominator matrix'!$G$21, "NA")</f>
        <v>0</v>
      </c>
      <c r="BG17" s="153">
        <f>IFERROR('Similarity matrix'!BG17/'Denominator matrix'!$H$21, "NA")</f>
        <v>0</v>
      </c>
      <c r="BH17" s="153">
        <f>IFERROR('Similarity matrix'!BH17/'Denominator matrix'!$I$21, "NA")</f>
        <v>0</v>
      </c>
      <c r="BI17" s="153">
        <f>IFERROR('Similarity matrix'!BI17/'Denominator matrix'!$J$21, "NA")</f>
        <v>0</v>
      </c>
      <c r="BJ17" s="153">
        <f>IFERROR('Similarity matrix'!BJ17/'Denominator matrix'!$K$21, "NA")</f>
        <v>0</v>
      </c>
      <c r="BK17" s="154">
        <f>IFERROR('Similarity matrix'!BK17/'Denominator matrix'!$B$21, "NA")</f>
        <v>0</v>
      </c>
      <c r="BL17" s="153">
        <f>IFERROR('Similarity matrix'!BL17/'Denominator matrix'!$C$21, "NA")</f>
        <v>0</v>
      </c>
      <c r="BM17" s="153">
        <f>IFERROR('Similarity matrix'!BM17/'Denominator matrix'!$D$21, "NA")</f>
        <v>0</v>
      </c>
      <c r="BN17" s="153">
        <f>IFERROR('Similarity matrix'!BN17/'Denominator matrix'!$E$21, "NA")</f>
        <v>0</v>
      </c>
      <c r="BO17" s="156">
        <f>IFERROR('Similarity matrix'!BO17/'Denominator matrix'!$F$21, "NA")</f>
        <v>0</v>
      </c>
      <c r="BP17" s="153">
        <f>IFERROR('Similarity matrix'!BP17/'Denominator matrix'!$G$21, "NA")</f>
        <v>0</v>
      </c>
      <c r="BQ17" s="153">
        <f>IFERROR('Similarity matrix'!BQ17/'Denominator matrix'!$H$21, "NA")</f>
        <v>0</v>
      </c>
      <c r="BR17" s="153">
        <f>IFERROR('Similarity matrix'!BR17/'Denominator matrix'!$I$21, "NA")</f>
        <v>0</v>
      </c>
      <c r="BS17" s="153">
        <f>IFERROR('Similarity matrix'!BS17/'Denominator matrix'!$J$21, "NA")</f>
        <v>0</v>
      </c>
      <c r="BT17" s="153">
        <f>IFERROR('Similarity matrix'!BT17/'Denominator matrix'!$K$21, "NA")</f>
        <v>0</v>
      </c>
      <c r="BU17" s="154">
        <f>IFERROR('Similarity matrix'!BU17/'Denominator matrix'!$B$21, "NA")</f>
        <v>0</v>
      </c>
      <c r="BV17" s="153">
        <f>IFERROR('Similarity matrix'!BV17/'Denominator matrix'!$C$21, "NA")</f>
        <v>0</v>
      </c>
      <c r="BW17" s="153">
        <f>IFERROR('Similarity matrix'!BW17/'Denominator matrix'!$D$21, "NA")</f>
        <v>0</v>
      </c>
      <c r="BX17" s="153">
        <f>IFERROR('Similarity matrix'!BX17/'Denominator matrix'!$E$21, "NA")</f>
        <v>0</v>
      </c>
      <c r="BY17" s="156">
        <f>IFERROR('Similarity matrix'!BY17/'Denominator matrix'!$F$21, "NA")</f>
        <v>0</v>
      </c>
      <c r="BZ17" s="153">
        <f>IFERROR('Similarity matrix'!BZ17/'Denominator matrix'!$G$21, "NA")</f>
        <v>0</v>
      </c>
      <c r="CA17" s="153">
        <f>IFERROR('Similarity matrix'!CA17/'Denominator matrix'!$H$21, "NA")</f>
        <v>0</v>
      </c>
      <c r="CB17" s="153">
        <f>IFERROR('Similarity matrix'!CB17/'Denominator matrix'!$I$21, "NA")</f>
        <v>0</v>
      </c>
      <c r="CC17" s="153">
        <f>IFERROR('Similarity matrix'!CC17/'Denominator matrix'!$J$21, "NA")</f>
        <v>0</v>
      </c>
      <c r="CD17" s="153">
        <f>IFERROR('Similarity matrix'!CD17/'Denominator matrix'!$K$21, "NA")</f>
        <v>0</v>
      </c>
      <c r="CE17" s="154">
        <f>IFERROR('Similarity matrix'!CE17/'Denominator matrix'!$B$21, "NA")</f>
        <v>0</v>
      </c>
      <c r="CF17" s="153">
        <f>IFERROR('Similarity matrix'!CF17/'Denominator matrix'!$C$21, "NA")</f>
        <v>0.1666666667</v>
      </c>
      <c r="CG17" s="153">
        <f>IFERROR('Similarity matrix'!CG17/'Denominator matrix'!$D$21, "NA")</f>
        <v>0</v>
      </c>
      <c r="CH17" s="153">
        <f>IFERROR('Similarity matrix'!CH17/'Denominator matrix'!$E$21, "NA")</f>
        <v>0.25</v>
      </c>
      <c r="CI17" s="156">
        <f>IFERROR('Similarity matrix'!CI17/'Denominator matrix'!$F$21, "NA")</f>
        <v>0.05555555556</v>
      </c>
      <c r="CJ17" s="153">
        <f>IFERROR('Similarity matrix'!CJ17/'Denominator matrix'!$G$21, "NA")</f>
        <v>0</v>
      </c>
      <c r="CK17" s="153">
        <f>IFERROR('Similarity matrix'!CK17/'Denominator matrix'!$H$21, "NA")</f>
        <v>0.25</v>
      </c>
      <c r="CL17" s="153">
        <f>IFERROR('Similarity matrix'!CL17/'Denominator matrix'!$I$21, "NA")</f>
        <v>0</v>
      </c>
      <c r="CM17" s="153">
        <f>IFERROR('Similarity matrix'!CM17/'Denominator matrix'!$J$21, "NA")</f>
        <v>0</v>
      </c>
      <c r="CN17" s="153">
        <f>IFERROR('Similarity matrix'!CN17/'Denominator matrix'!$K$21, "NA")</f>
        <v>0</v>
      </c>
      <c r="CO17" s="154">
        <f>IFERROR('Similarity matrix'!CO17/'Denominator matrix'!$B$21, "NA")</f>
        <v>0</v>
      </c>
      <c r="CP17" s="153">
        <f>IFERROR('Similarity matrix'!CP17/'Denominator matrix'!$C$21, "NA")</f>
        <v>0</v>
      </c>
      <c r="CQ17" s="153">
        <f>IFERROR('Similarity matrix'!CQ17/'Denominator matrix'!$D$21, "NA")</f>
        <v>0</v>
      </c>
      <c r="CR17" s="153">
        <f>IFERROR('Similarity matrix'!CR17/'Denominator matrix'!$E$21, "NA")</f>
        <v>0</v>
      </c>
      <c r="CS17" s="156">
        <f>IFERROR('Similarity matrix'!CS17/'Denominator matrix'!$F$21, "NA")</f>
        <v>0</v>
      </c>
      <c r="CT17" s="153">
        <f>IFERROR('Similarity matrix'!CT17/'Denominator matrix'!$G$21, "NA")</f>
        <v>0</v>
      </c>
      <c r="CU17" s="153">
        <f>IFERROR('Similarity matrix'!CU17/'Denominator matrix'!$H$21, "NA")</f>
        <v>0</v>
      </c>
      <c r="CV17" s="153">
        <f>IFERROR('Similarity matrix'!CV17/'Denominator matrix'!$I$21, "NA")</f>
        <v>0</v>
      </c>
      <c r="CW17" s="153">
        <f>IFERROR('Similarity matrix'!CW17/'Denominator matrix'!$J$21, "NA")</f>
        <v>0</v>
      </c>
      <c r="CX17" s="153">
        <f>IFERROR('Similarity matrix'!CX17/'Denominator matrix'!$K$21, "NA")</f>
        <v>0</v>
      </c>
    </row>
    <row r="18" ht="35.25" customHeight="1">
      <c r="B18" s="124">
        <v>45810.0</v>
      </c>
      <c r="C18" s="154">
        <f>IFERROR('Similarity matrix'!C18/'Denominator matrix'!$B$22, "NA")</f>
        <v>0</v>
      </c>
      <c r="D18" s="153">
        <f>IFERROR('Similarity matrix'!D18/'Denominator matrix'!$C$22, "NA")</f>
        <v>0</v>
      </c>
      <c r="E18" s="153">
        <f>IFERROR('Similarity matrix'!E18/'Denominator matrix'!$D$22, "NA")</f>
        <v>0</v>
      </c>
      <c r="F18" s="153">
        <f>IFERROR('Similarity matrix'!F18/'Denominator matrix'!$E$22, "NA")</f>
        <v>0</v>
      </c>
      <c r="G18" s="153">
        <f>IFERROR('Similarity matrix'!G18/'Denominator matrix'!$F$22, "NA")</f>
        <v>0</v>
      </c>
      <c r="H18" s="156">
        <f>IFERROR('Similarity matrix'!H18/'Denominator matrix'!$G$22, "NA")</f>
        <v>0</v>
      </c>
      <c r="I18" s="153">
        <f>IFERROR('Similarity matrix'!I18/'Denominator matrix'!$H$22, "NA")</f>
        <v>0</v>
      </c>
      <c r="J18" s="153">
        <f>IFERROR('Similarity matrix'!J18/'Denominator matrix'!$I$22, "NA")</f>
        <v>0</v>
      </c>
      <c r="K18" s="153">
        <f>IFERROR('Similarity matrix'!K18/'Denominator matrix'!$J$22, "NA")</f>
        <v>0</v>
      </c>
      <c r="L18" s="153">
        <f>IFERROR('Similarity matrix'!L18/'Denominator matrix'!$K$22, "NA")</f>
        <v>0</v>
      </c>
      <c r="M18" s="154">
        <f>IFERROR('Similarity matrix'!M18/'Denominator matrix'!$B$22, "NA")</f>
        <v>0.7</v>
      </c>
      <c r="N18" s="153">
        <f>IFERROR('Similarity matrix'!N18/'Denominator matrix'!$C$22, "NA")</f>
        <v>1</v>
      </c>
      <c r="O18" s="153">
        <f>IFERROR('Similarity matrix'!O18/'Denominator matrix'!$D$22, "NA")</f>
        <v>0.25</v>
      </c>
      <c r="P18" s="153">
        <f>IFERROR('Similarity matrix'!P18/'Denominator matrix'!$E$22, "NA")</f>
        <v>0.5</v>
      </c>
      <c r="Q18" s="153">
        <f>IFERROR('Similarity matrix'!Q18/'Denominator matrix'!$F$22, "NA")</f>
        <v>0.8333333333</v>
      </c>
      <c r="R18" s="155">
        <f>IFERROR('Similarity matrix'!R18/'Denominator matrix'!$G$22, "NA")</f>
        <v>0</v>
      </c>
      <c r="S18" s="153">
        <f>IFERROR('Similarity matrix'!S18/'Denominator matrix'!$H$22, "NA")</f>
        <v>1</v>
      </c>
      <c r="T18" s="153">
        <f>IFERROR('Similarity matrix'!T18/'Denominator matrix'!$I$22, "NA")</f>
        <v>0.8333333333</v>
      </c>
      <c r="U18" s="153">
        <f>IFERROR('Similarity matrix'!U18/'Denominator matrix'!$J$22, "NA")</f>
        <v>0.75</v>
      </c>
      <c r="V18" s="153">
        <f>IFERROR('Similarity matrix'!V18/'Denominator matrix'!$K$22, "NA")</f>
        <v>0.75</v>
      </c>
      <c r="W18" s="154">
        <f>IFERROR('Similarity matrix'!W18/'Denominator matrix'!$B$22, "NA")</f>
        <v>0.1</v>
      </c>
      <c r="X18" s="153">
        <f>IFERROR('Similarity matrix'!X18/'Denominator matrix'!$C$22, "NA")</f>
        <v>0</v>
      </c>
      <c r="Y18" s="153">
        <f>IFERROR('Similarity matrix'!Y18/'Denominator matrix'!$D$22, "NA")</f>
        <v>0</v>
      </c>
      <c r="Z18" s="153">
        <f>IFERROR('Similarity matrix'!Z18/'Denominator matrix'!$E$22, "NA")</f>
        <v>0</v>
      </c>
      <c r="AA18" s="153">
        <f>IFERROR('Similarity matrix'!AA18/'Denominator matrix'!$F$22, "NA")</f>
        <v>0.1666666667</v>
      </c>
      <c r="AB18" s="156">
        <f>IFERROR('Similarity matrix'!AB18/'Denominator matrix'!$G$22, "NA")</f>
        <v>0.0625</v>
      </c>
      <c r="AC18" s="153">
        <f>IFERROR('Similarity matrix'!AC18/'Denominator matrix'!$H$22, "NA")</f>
        <v>0</v>
      </c>
      <c r="AD18" s="153">
        <f>IFERROR('Similarity matrix'!AD18/'Denominator matrix'!$I$22, "NA")</f>
        <v>0</v>
      </c>
      <c r="AE18" s="153">
        <f>IFERROR('Similarity matrix'!AE18/'Denominator matrix'!$J$22, "NA")</f>
        <v>0</v>
      </c>
      <c r="AF18" s="153">
        <f>IFERROR('Similarity matrix'!AF18/'Denominator matrix'!$K$22, "NA")</f>
        <v>0.25</v>
      </c>
      <c r="AG18" s="154">
        <f>IFERROR('Similarity matrix'!AG18/'Denominator matrix'!$B$22, "NA")</f>
        <v>0</v>
      </c>
      <c r="AH18" s="153">
        <f>IFERROR('Similarity matrix'!AH18/'Denominator matrix'!$C$22, "NA")</f>
        <v>0</v>
      </c>
      <c r="AI18" s="153">
        <f>IFERROR('Similarity matrix'!AI18/'Denominator matrix'!$D$22, "NA")</f>
        <v>0</v>
      </c>
      <c r="AJ18" s="153">
        <f>IFERROR('Similarity matrix'!AJ18/'Denominator matrix'!$E$22, "NA")</f>
        <v>0</v>
      </c>
      <c r="AK18" s="153">
        <f>IFERROR('Similarity matrix'!AK18/'Denominator matrix'!$F$22, "NA")</f>
        <v>0</v>
      </c>
      <c r="AL18" s="156">
        <f>IFERROR('Similarity matrix'!AL18/'Denominator matrix'!$G$22, "NA")</f>
        <v>0</v>
      </c>
      <c r="AM18" s="153">
        <f>IFERROR('Similarity matrix'!AM18/'Denominator matrix'!$H$22, "NA")</f>
        <v>0</v>
      </c>
      <c r="AN18" s="153">
        <f>IFERROR('Similarity matrix'!AN18/'Denominator matrix'!$I$22, "NA")</f>
        <v>0</v>
      </c>
      <c r="AO18" s="153">
        <f>IFERROR('Similarity matrix'!AO18/'Denominator matrix'!$J$22, "NA")</f>
        <v>0</v>
      </c>
      <c r="AP18" s="153">
        <f>IFERROR('Similarity matrix'!AP18/'Denominator matrix'!$K$22, "NA")</f>
        <v>0</v>
      </c>
      <c r="AQ18" s="154">
        <f>IFERROR('Similarity matrix'!AQ18/'Denominator matrix'!$B$22, "NA")</f>
        <v>0</v>
      </c>
      <c r="AR18" s="153">
        <f>IFERROR('Similarity matrix'!AR18/'Denominator matrix'!$C$22, "NA")</f>
        <v>0</v>
      </c>
      <c r="AS18" s="153">
        <f>IFERROR('Similarity matrix'!AS18/'Denominator matrix'!$D$22, "NA")</f>
        <v>0</v>
      </c>
      <c r="AT18" s="153">
        <f>IFERROR('Similarity matrix'!AT18/'Denominator matrix'!$E$22, "NA")</f>
        <v>0</v>
      </c>
      <c r="AU18" s="153">
        <f>IFERROR('Similarity matrix'!AU18/'Denominator matrix'!$F$22, "NA")</f>
        <v>0</v>
      </c>
      <c r="AV18" s="156">
        <f>IFERROR('Similarity matrix'!AV18/'Denominator matrix'!$G$22, "NA")</f>
        <v>0.0625</v>
      </c>
      <c r="AW18" s="153">
        <f>IFERROR('Similarity matrix'!AW18/'Denominator matrix'!$H$22, "NA")</f>
        <v>0</v>
      </c>
      <c r="AX18" s="153">
        <f>IFERROR('Similarity matrix'!AX18/'Denominator matrix'!$I$22, "NA")</f>
        <v>0</v>
      </c>
      <c r="AY18" s="153">
        <f>IFERROR('Similarity matrix'!AY18/'Denominator matrix'!$J$22, "NA")</f>
        <v>0</v>
      </c>
      <c r="AZ18" s="153">
        <f>IFERROR('Similarity matrix'!AZ18/'Denominator matrix'!$K$22, "NA")</f>
        <v>0</v>
      </c>
      <c r="BA18" s="154">
        <f>IFERROR('Similarity matrix'!BA18/'Denominator matrix'!$B$22, "NA")</f>
        <v>0</v>
      </c>
      <c r="BB18" s="153">
        <f>IFERROR('Similarity matrix'!BB18/'Denominator matrix'!$C$22, "NA")</f>
        <v>0</v>
      </c>
      <c r="BC18" s="153">
        <f>IFERROR('Similarity matrix'!BC18/'Denominator matrix'!$D$22, "NA")</f>
        <v>0</v>
      </c>
      <c r="BD18" s="153">
        <f>IFERROR('Similarity matrix'!BD18/'Denominator matrix'!$E$22, "NA")</f>
        <v>0</v>
      </c>
      <c r="BE18" s="153">
        <f>IFERROR('Similarity matrix'!BE18/'Denominator matrix'!$F$22, "NA")</f>
        <v>0</v>
      </c>
      <c r="BF18" s="156">
        <f>IFERROR('Similarity matrix'!BF18/'Denominator matrix'!$G$22, "NA")</f>
        <v>0</v>
      </c>
      <c r="BG18" s="153">
        <f>IFERROR('Similarity matrix'!BG18/'Denominator matrix'!$H$22, "NA")</f>
        <v>0</v>
      </c>
      <c r="BH18" s="153">
        <f>IFERROR('Similarity matrix'!BH18/'Denominator matrix'!$I$22, "NA")</f>
        <v>0</v>
      </c>
      <c r="BI18" s="153">
        <f>IFERROR('Similarity matrix'!BI18/'Denominator matrix'!$J$22, "NA")</f>
        <v>0</v>
      </c>
      <c r="BJ18" s="153">
        <f>IFERROR('Similarity matrix'!BJ18/'Denominator matrix'!$K$22, "NA")</f>
        <v>0</v>
      </c>
      <c r="BK18" s="154">
        <f>IFERROR('Similarity matrix'!BK18/'Denominator matrix'!$B$22, "NA")</f>
        <v>0</v>
      </c>
      <c r="BL18" s="153">
        <f>IFERROR('Similarity matrix'!BL18/'Denominator matrix'!$C$22, "NA")</f>
        <v>0</v>
      </c>
      <c r="BM18" s="153">
        <f>IFERROR('Similarity matrix'!BM18/'Denominator matrix'!$D$22, "NA")</f>
        <v>0</v>
      </c>
      <c r="BN18" s="153">
        <f>IFERROR('Similarity matrix'!BN18/'Denominator matrix'!$E$22, "NA")</f>
        <v>0</v>
      </c>
      <c r="BO18" s="153">
        <f>IFERROR('Similarity matrix'!BO18/'Denominator matrix'!$F$22, "NA")</f>
        <v>0</v>
      </c>
      <c r="BP18" s="156">
        <f>IFERROR('Similarity matrix'!BP18/'Denominator matrix'!$G$22, "NA")</f>
        <v>0</v>
      </c>
      <c r="BQ18" s="153">
        <f>IFERROR('Similarity matrix'!BQ18/'Denominator matrix'!$H$22, "NA")</f>
        <v>0</v>
      </c>
      <c r="BR18" s="153">
        <f>IFERROR('Similarity matrix'!BR18/'Denominator matrix'!$I$22, "NA")</f>
        <v>0</v>
      </c>
      <c r="BS18" s="153">
        <f>IFERROR('Similarity matrix'!BS18/'Denominator matrix'!$J$22, "NA")</f>
        <v>0</v>
      </c>
      <c r="BT18" s="153">
        <f>IFERROR('Similarity matrix'!BT18/'Denominator matrix'!$K$22, "NA")</f>
        <v>0</v>
      </c>
      <c r="BU18" s="154">
        <f>IFERROR('Similarity matrix'!BU18/'Denominator matrix'!$B$22, "NA")</f>
        <v>0</v>
      </c>
      <c r="BV18" s="153">
        <f>IFERROR('Similarity matrix'!BV18/'Denominator matrix'!$C$22, "NA")</f>
        <v>0</v>
      </c>
      <c r="BW18" s="153">
        <f>IFERROR('Similarity matrix'!BW18/'Denominator matrix'!$D$22, "NA")</f>
        <v>0</v>
      </c>
      <c r="BX18" s="153">
        <f>IFERROR('Similarity matrix'!BX18/'Denominator matrix'!$E$22, "NA")</f>
        <v>0</v>
      </c>
      <c r="BY18" s="153">
        <f>IFERROR('Similarity matrix'!BY18/'Denominator matrix'!$F$22, "NA")</f>
        <v>0</v>
      </c>
      <c r="BZ18" s="156">
        <f>IFERROR('Similarity matrix'!BZ18/'Denominator matrix'!$G$22, "NA")</f>
        <v>0</v>
      </c>
      <c r="CA18" s="153">
        <f>IFERROR('Similarity matrix'!CA18/'Denominator matrix'!$H$22, "NA")</f>
        <v>0</v>
      </c>
      <c r="CB18" s="153">
        <f>IFERROR('Similarity matrix'!CB18/'Denominator matrix'!$I$22, "NA")</f>
        <v>0</v>
      </c>
      <c r="CC18" s="153">
        <f>IFERROR('Similarity matrix'!CC18/'Denominator matrix'!$J$22, "NA")</f>
        <v>0</v>
      </c>
      <c r="CD18" s="153">
        <f>IFERROR('Similarity matrix'!CD18/'Denominator matrix'!$K$22, "NA")</f>
        <v>0</v>
      </c>
      <c r="CE18" s="154">
        <f>IFERROR('Similarity matrix'!CE18/'Denominator matrix'!$B$22, "NA")</f>
        <v>0</v>
      </c>
      <c r="CF18" s="153">
        <f>IFERROR('Similarity matrix'!CF18/'Denominator matrix'!$C$22, "NA")</f>
        <v>0</v>
      </c>
      <c r="CG18" s="153">
        <f>IFERROR('Similarity matrix'!CG18/'Denominator matrix'!$D$22, "NA")</f>
        <v>0</v>
      </c>
      <c r="CH18" s="153">
        <f>IFERROR('Similarity matrix'!CH18/'Denominator matrix'!$E$22, "NA")</f>
        <v>0</v>
      </c>
      <c r="CI18" s="153">
        <f>IFERROR('Similarity matrix'!CI18/'Denominator matrix'!$F$22, "NA")</f>
        <v>0</v>
      </c>
      <c r="CJ18" s="156">
        <f>IFERROR('Similarity matrix'!CJ18/'Denominator matrix'!$G$22, "NA")</f>
        <v>0</v>
      </c>
      <c r="CK18" s="153">
        <f>IFERROR('Similarity matrix'!CK18/'Denominator matrix'!$H$22, "NA")</f>
        <v>0</v>
      </c>
      <c r="CL18" s="153">
        <f>IFERROR('Similarity matrix'!CL18/'Denominator matrix'!$I$22, "NA")</f>
        <v>0</v>
      </c>
      <c r="CM18" s="153">
        <f>IFERROR('Similarity matrix'!CM18/'Denominator matrix'!$J$22, "NA")</f>
        <v>0</v>
      </c>
      <c r="CN18" s="153">
        <f>IFERROR('Similarity matrix'!CN18/'Denominator matrix'!$K$22, "NA")</f>
        <v>0</v>
      </c>
      <c r="CO18" s="154">
        <f>IFERROR('Similarity matrix'!CO18/'Denominator matrix'!$B$22, "NA")</f>
        <v>0</v>
      </c>
      <c r="CP18" s="153">
        <f>IFERROR('Similarity matrix'!CP18/'Denominator matrix'!$C$22, "NA")</f>
        <v>0</v>
      </c>
      <c r="CQ18" s="153">
        <f>IFERROR('Similarity matrix'!CQ18/'Denominator matrix'!$D$22, "NA")</f>
        <v>0</v>
      </c>
      <c r="CR18" s="153">
        <f>IFERROR('Similarity matrix'!CR18/'Denominator matrix'!$E$22, "NA")</f>
        <v>0</v>
      </c>
      <c r="CS18" s="153">
        <f>IFERROR('Similarity matrix'!CS18/'Denominator matrix'!$F$22, "NA")</f>
        <v>0</v>
      </c>
      <c r="CT18" s="156">
        <f>IFERROR('Similarity matrix'!CT18/'Denominator matrix'!$G$22, "NA")</f>
        <v>0</v>
      </c>
      <c r="CU18" s="153">
        <f>IFERROR('Similarity matrix'!CU18/'Denominator matrix'!$H$22, "NA")</f>
        <v>0</v>
      </c>
      <c r="CV18" s="153">
        <f>IFERROR('Similarity matrix'!CV18/'Denominator matrix'!$I$22, "NA")</f>
        <v>0</v>
      </c>
      <c r="CW18" s="153">
        <f>IFERROR('Similarity matrix'!CW18/'Denominator matrix'!$J$22, "NA")</f>
        <v>0</v>
      </c>
      <c r="CX18" s="153">
        <f>IFERROR('Similarity matrix'!CX18/'Denominator matrix'!$K$22, "NA")</f>
        <v>0</v>
      </c>
    </row>
    <row r="19" ht="35.25" customHeight="1">
      <c r="B19" s="124">
        <v>45840.0</v>
      </c>
      <c r="C19" s="154">
        <f>IFERROR('Similarity matrix'!C19/'Denominator matrix'!$B$23, "NA")</f>
        <v>0</v>
      </c>
      <c r="D19" s="153">
        <f>IFERROR('Similarity matrix'!D19/'Denominator matrix'!$C$23, "NA")</f>
        <v>0</v>
      </c>
      <c r="E19" s="153">
        <f>IFERROR('Similarity matrix'!E19/'Denominator matrix'!$D$23, "NA")</f>
        <v>0</v>
      </c>
      <c r="F19" s="153">
        <f>IFERROR('Similarity matrix'!F19/'Denominator matrix'!$E$23, "NA")</f>
        <v>0</v>
      </c>
      <c r="G19" s="153">
        <f>IFERROR('Similarity matrix'!G19/'Denominator matrix'!$F$23, "NA")</f>
        <v>0</v>
      </c>
      <c r="H19" s="153">
        <f>IFERROR('Similarity matrix'!H19/'Denominator matrix'!$G$23, "NA")</f>
        <v>0</v>
      </c>
      <c r="I19" s="156">
        <f>IFERROR('Similarity matrix'!I19/'Denominator matrix'!$H$23, "NA")</f>
        <v>0</v>
      </c>
      <c r="J19" s="153">
        <f>IFERROR('Similarity matrix'!J19/'Denominator matrix'!$I$23, "NA")</f>
        <v>0</v>
      </c>
      <c r="K19" s="153">
        <f>IFERROR('Similarity matrix'!K19/'Denominator matrix'!$J$23, "NA")</f>
        <v>0</v>
      </c>
      <c r="L19" s="153">
        <f>IFERROR('Similarity matrix'!L19/'Denominator matrix'!$K$23, "NA")</f>
        <v>0</v>
      </c>
      <c r="M19" s="154">
        <f>IFERROR('Similarity matrix'!M19/'Denominator matrix'!$B$23, "NA")</f>
        <v>0.75</v>
      </c>
      <c r="N19" s="153">
        <f>IFERROR('Similarity matrix'!N19/'Denominator matrix'!$C$23, "NA")</f>
        <v>1</v>
      </c>
      <c r="O19" s="153">
        <f>IFERROR('Similarity matrix'!O19/'Denominator matrix'!$D$23, "NA")</f>
        <v>0.875</v>
      </c>
      <c r="P19" s="153">
        <f>IFERROR('Similarity matrix'!P19/'Denominator matrix'!$E$23, "NA")</f>
        <v>0.9</v>
      </c>
      <c r="Q19" s="153">
        <f>IFERROR('Similarity matrix'!Q19/'Denominator matrix'!$F$23, "NA")</f>
        <v>0.75</v>
      </c>
      <c r="R19" s="153">
        <f>IFERROR('Similarity matrix'!R19/'Denominator matrix'!$G$23, "NA")</f>
        <v>1</v>
      </c>
      <c r="S19" s="155">
        <f>IFERROR('Similarity matrix'!S19/'Denominator matrix'!$H$23, "NA")</f>
        <v>0</v>
      </c>
      <c r="T19" s="153">
        <f>IFERROR('Similarity matrix'!T19/'Denominator matrix'!$I$23, "NA")</f>
        <v>1</v>
      </c>
      <c r="U19" s="153">
        <f>IFERROR('Similarity matrix'!U19/'Denominator matrix'!$J$23, "NA")</f>
        <v>1</v>
      </c>
      <c r="V19" s="153">
        <f>IFERROR('Similarity matrix'!V19/'Denominator matrix'!$K$23, "NA")</f>
        <v>1</v>
      </c>
      <c r="W19" s="154">
        <f>IFERROR('Similarity matrix'!W19/'Denominator matrix'!$B$23, "NA")</f>
        <v>0</v>
      </c>
      <c r="X19" s="153">
        <f>IFERROR('Similarity matrix'!X19/'Denominator matrix'!$C$23, "NA")</f>
        <v>0</v>
      </c>
      <c r="Y19" s="153">
        <f>IFERROR('Similarity matrix'!Y19/'Denominator matrix'!$D$23, "NA")</f>
        <v>0</v>
      </c>
      <c r="Z19" s="153">
        <f>IFERROR('Similarity matrix'!Z19/'Denominator matrix'!$E$23, "NA")</f>
        <v>0</v>
      </c>
      <c r="AA19" s="153">
        <f>IFERROR('Similarity matrix'!AA19/'Denominator matrix'!$F$23, "NA")</f>
        <v>0</v>
      </c>
      <c r="AB19" s="153">
        <f>IFERROR('Similarity matrix'!AB19/'Denominator matrix'!$G$23, "NA")</f>
        <v>0</v>
      </c>
      <c r="AC19" s="156">
        <f>IFERROR('Similarity matrix'!AC19/'Denominator matrix'!$H$23, "NA")</f>
        <v>0</v>
      </c>
      <c r="AD19" s="153">
        <f>IFERROR('Similarity matrix'!AD19/'Denominator matrix'!$I$23, "NA")</f>
        <v>0</v>
      </c>
      <c r="AE19" s="153">
        <f>IFERROR('Similarity matrix'!AE19/'Denominator matrix'!$J$23, "NA")</f>
        <v>0</v>
      </c>
      <c r="AF19" s="153">
        <f>IFERROR('Similarity matrix'!AF19/'Denominator matrix'!$K$23, "NA")</f>
        <v>0</v>
      </c>
      <c r="AG19" s="154">
        <f>IFERROR('Similarity matrix'!AG19/'Denominator matrix'!$B$23, "NA")</f>
        <v>0</v>
      </c>
      <c r="AH19" s="153">
        <f>IFERROR('Similarity matrix'!AH19/'Denominator matrix'!$C$23, "NA")</f>
        <v>0</v>
      </c>
      <c r="AI19" s="153">
        <f>IFERROR('Similarity matrix'!AI19/'Denominator matrix'!$D$23, "NA")</f>
        <v>0</v>
      </c>
      <c r="AJ19" s="153">
        <f>IFERROR('Similarity matrix'!AJ19/'Denominator matrix'!$E$23, "NA")</f>
        <v>0</v>
      </c>
      <c r="AK19" s="153">
        <f>IFERROR('Similarity matrix'!AK19/'Denominator matrix'!$F$23, "NA")</f>
        <v>0</v>
      </c>
      <c r="AL19" s="153">
        <f>IFERROR('Similarity matrix'!AL19/'Denominator matrix'!$G$23, "NA")</f>
        <v>0</v>
      </c>
      <c r="AM19" s="156">
        <f>IFERROR('Similarity matrix'!AM19/'Denominator matrix'!$H$23, "NA")</f>
        <v>0</v>
      </c>
      <c r="AN19" s="153">
        <f>IFERROR('Similarity matrix'!AN19/'Denominator matrix'!$I$23, "NA")</f>
        <v>0</v>
      </c>
      <c r="AO19" s="153">
        <f>IFERROR('Similarity matrix'!AO19/'Denominator matrix'!$J$23, "NA")</f>
        <v>0</v>
      </c>
      <c r="AP19" s="153">
        <f>IFERROR('Similarity matrix'!AP19/'Denominator matrix'!$K$23, "NA")</f>
        <v>0</v>
      </c>
      <c r="AQ19" s="154">
        <f>IFERROR('Similarity matrix'!AQ19/'Denominator matrix'!$B$23, "NA")</f>
        <v>0</v>
      </c>
      <c r="AR19" s="153">
        <f>IFERROR('Similarity matrix'!AR19/'Denominator matrix'!$C$23, "NA")</f>
        <v>0</v>
      </c>
      <c r="AS19" s="153">
        <f>IFERROR('Similarity matrix'!AS19/'Denominator matrix'!$D$23, "NA")</f>
        <v>0</v>
      </c>
      <c r="AT19" s="153">
        <f>IFERROR('Similarity matrix'!AT19/'Denominator matrix'!$E$23, "NA")</f>
        <v>0</v>
      </c>
      <c r="AU19" s="153">
        <f>IFERROR('Similarity matrix'!AU19/'Denominator matrix'!$F$23, "NA")</f>
        <v>0.25</v>
      </c>
      <c r="AV19" s="153">
        <f>IFERROR('Similarity matrix'!AV19/'Denominator matrix'!$G$23, "NA")</f>
        <v>0.25</v>
      </c>
      <c r="AW19" s="156">
        <f>IFERROR('Similarity matrix'!AW19/'Denominator matrix'!$H$23, "NA")</f>
        <v>0.125</v>
      </c>
      <c r="AX19" s="153">
        <f>IFERROR('Similarity matrix'!AX19/'Denominator matrix'!$I$23, "NA")</f>
        <v>0</v>
      </c>
      <c r="AY19" s="153">
        <f>IFERROR('Similarity matrix'!AY19/'Denominator matrix'!$J$23, "NA")</f>
        <v>0</v>
      </c>
      <c r="AZ19" s="153">
        <f>IFERROR('Similarity matrix'!AZ19/'Denominator matrix'!$K$23, "NA")</f>
        <v>0</v>
      </c>
      <c r="BA19" s="154">
        <f>IFERROR('Similarity matrix'!BA19/'Denominator matrix'!$B$23, "NA")</f>
        <v>0</v>
      </c>
      <c r="BB19" s="153">
        <f>IFERROR('Similarity matrix'!BB19/'Denominator matrix'!$C$23, "NA")</f>
        <v>0</v>
      </c>
      <c r="BC19" s="153">
        <f>IFERROR('Similarity matrix'!BC19/'Denominator matrix'!$D$23, "NA")</f>
        <v>0</v>
      </c>
      <c r="BD19" s="153">
        <f>IFERROR('Similarity matrix'!BD19/'Denominator matrix'!$E$23, "NA")</f>
        <v>0</v>
      </c>
      <c r="BE19" s="153">
        <f>IFERROR('Similarity matrix'!BE19/'Denominator matrix'!$F$23, "NA")</f>
        <v>0</v>
      </c>
      <c r="BF19" s="153">
        <f>IFERROR('Similarity matrix'!BF19/'Denominator matrix'!$G$23, "NA")</f>
        <v>0</v>
      </c>
      <c r="BG19" s="156">
        <f>IFERROR('Similarity matrix'!BG19/'Denominator matrix'!$H$23, "NA")</f>
        <v>0</v>
      </c>
      <c r="BH19" s="153">
        <f>IFERROR('Similarity matrix'!BH19/'Denominator matrix'!$I$23, "NA")</f>
        <v>0</v>
      </c>
      <c r="BI19" s="153">
        <f>IFERROR('Similarity matrix'!BI19/'Denominator matrix'!$J$23, "NA")</f>
        <v>0</v>
      </c>
      <c r="BJ19" s="153">
        <f>IFERROR('Similarity matrix'!BJ19/'Denominator matrix'!$K$23, "NA")</f>
        <v>0</v>
      </c>
      <c r="BK19" s="154">
        <f>IFERROR('Similarity matrix'!BK19/'Denominator matrix'!$B$23, "NA")</f>
        <v>0</v>
      </c>
      <c r="BL19" s="153">
        <f>IFERROR('Similarity matrix'!BL19/'Denominator matrix'!$C$23, "NA")</f>
        <v>0</v>
      </c>
      <c r="BM19" s="153">
        <f>IFERROR('Similarity matrix'!BM19/'Denominator matrix'!$D$23, "NA")</f>
        <v>0</v>
      </c>
      <c r="BN19" s="153">
        <f>IFERROR('Similarity matrix'!BN19/'Denominator matrix'!$E$23, "NA")</f>
        <v>0</v>
      </c>
      <c r="BO19" s="153">
        <f>IFERROR('Similarity matrix'!BO19/'Denominator matrix'!$F$23, "NA")</f>
        <v>0</v>
      </c>
      <c r="BP19" s="153">
        <f>IFERROR('Similarity matrix'!BP19/'Denominator matrix'!$G$23, "NA")</f>
        <v>0</v>
      </c>
      <c r="BQ19" s="156">
        <f>IFERROR('Similarity matrix'!BQ19/'Denominator matrix'!$H$23, "NA")</f>
        <v>0</v>
      </c>
      <c r="BR19" s="153">
        <f>IFERROR('Similarity matrix'!BR19/'Denominator matrix'!$I$23, "NA")</f>
        <v>0</v>
      </c>
      <c r="BS19" s="153">
        <f>IFERROR('Similarity matrix'!BS19/'Denominator matrix'!$J$23, "NA")</f>
        <v>0</v>
      </c>
      <c r="BT19" s="153">
        <f>IFERROR('Similarity matrix'!BT19/'Denominator matrix'!$K$23, "NA")</f>
        <v>0</v>
      </c>
      <c r="BU19" s="154">
        <f>IFERROR('Similarity matrix'!BU19/'Denominator matrix'!$B$23, "NA")</f>
        <v>0</v>
      </c>
      <c r="BV19" s="153">
        <f>IFERROR('Similarity matrix'!BV19/'Denominator matrix'!$C$23, "NA")</f>
        <v>0</v>
      </c>
      <c r="BW19" s="153">
        <f>IFERROR('Similarity matrix'!BW19/'Denominator matrix'!$D$23, "NA")</f>
        <v>0.125</v>
      </c>
      <c r="BX19" s="153">
        <f>IFERROR('Similarity matrix'!BX19/'Denominator matrix'!$E$23, "NA")</f>
        <v>0</v>
      </c>
      <c r="BY19" s="153">
        <f>IFERROR('Similarity matrix'!BY19/'Denominator matrix'!$F$23, "NA")</f>
        <v>0</v>
      </c>
      <c r="BZ19" s="153">
        <f>IFERROR('Similarity matrix'!BZ19/'Denominator matrix'!$G$23, "NA")</f>
        <v>0</v>
      </c>
      <c r="CA19" s="156">
        <f>IFERROR('Similarity matrix'!CA19/'Denominator matrix'!$H$23, "NA")</f>
        <v>0</v>
      </c>
      <c r="CB19" s="153">
        <f>IFERROR('Similarity matrix'!CB19/'Denominator matrix'!$I$23, "NA")</f>
        <v>0</v>
      </c>
      <c r="CC19" s="153">
        <f>IFERROR('Similarity matrix'!CC19/'Denominator matrix'!$J$23, "NA")</f>
        <v>0</v>
      </c>
      <c r="CD19" s="153">
        <f>IFERROR('Similarity matrix'!CD19/'Denominator matrix'!$K$23, "NA")</f>
        <v>0</v>
      </c>
      <c r="CE19" s="154">
        <f>IFERROR('Similarity matrix'!CE19/'Denominator matrix'!$B$23, "NA")</f>
        <v>0</v>
      </c>
      <c r="CF19" s="153">
        <f>IFERROR('Similarity matrix'!CF19/'Denominator matrix'!$C$23, "NA")</f>
        <v>0.1666666667</v>
      </c>
      <c r="CG19" s="153">
        <f>IFERROR('Similarity matrix'!CG19/'Denominator matrix'!$D$23, "NA")</f>
        <v>0</v>
      </c>
      <c r="CH19" s="153">
        <f>IFERROR('Similarity matrix'!CH19/'Denominator matrix'!$E$23, "NA")</f>
        <v>0.2</v>
      </c>
      <c r="CI19" s="153">
        <f>IFERROR('Similarity matrix'!CI19/'Denominator matrix'!$F$23, "NA")</f>
        <v>0.25</v>
      </c>
      <c r="CJ19" s="153">
        <f>IFERROR('Similarity matrix'!CJ19/'Denominator matrix'!$G$23, "NA")</f>
        <v>0</v>
      </c>
      <c r="CK19" s="156">
        <f>IFERROR('Similarity matrix'!CK19/'Denominator matrix'!$H$23, "NA")</f>
        <v>0.125</v>
      </c>
      <c r="CL19" s="153">
        <f>IFERROR('Similarity matrix'!CL19/'Denominator matrix'!$I$23, "NA")</f>
        <v>0.25</v>
      </c>
      <c r="CM19" s="153">
        <f>IFERROR('Similarity matrix'!CM19/'Denominator matrix'!$J$23, "NA")</f>
        <v>0</v>
      </c>
      <c r="CN19" s="153">
        <f>IFERROR('Similarity matrix'!CN19/'Denominator matrix'!$K$23, "NA")</f>
        <v>0</v>
      </c>
      <c r="CO19" s="154">
        <f>IFERROR('Similarity matrix'!CO19/'Denominator matrix'!$B$23, "NA")</f>
        <v>0</v>
      </c>
      <c r="CP19" s="153">
        <f>IFERROR('Similarity matrix'!CP19/'Denominator matrix'!$C$23, "NA")</f>
        <v>0</v>
      </c>
      <c r="CQ19" s="153">
        <f>IFERROR('Similarity matrix'!CQ19/'Denominator matrix'!$D$23, "NA")</f>
        <v>0</v>
      </c>
      <c r="CR19" s="153">
        <f>IFERROR('Similarity matrix'!CR19/'Denominator matrix'!$E$23, "NA")</f>
        <v>0</v>
      </c>
      <c r="CS19" s="153">
        <f>IFERROR('Similarity matrix'!CS19/'Denominator matrix'!$F$23, "NA")</f>
        <v>0</v>
      </c>
      <c r="CT19" s="153">
        <f>IFERROR('Similarity matrix'!CT19/'Denominator matrix'!$G$23, "NA")</f>
        <v>0</v>
      </c>
      <c r="CU19" s="156">
        <f>IFERROR('Similarity matrix'!CU19/'Denominator matrix'!$H$23, "NA")</f>
        <v>0</v>
      </c>
      <c r="CV19" s="153">
        <f>IFERROR('Similarity matrix'!CV19/'Denominator matrix'!$I$23, "NA")</f>
        <v>0</v>
      </c>
      <c r="CW19" s="153">
        <f>IFERROR('Similarity matrix'!CW19/'Denominator matrix'!$J$23, "NA")</f>
        <v>0</v>
      </c>
      <c r="CX19" s="153">
        <f>IFERROR('Similarity matrix'!CX19/'Denominator matrix'!$K$23, "NA")</f>
        <v>0</v>
      </c>
    </row>
    <row r="20" ht="35.25" customHeight="1">
      <c r="B20" s="124">
        <v>45871.0</v>
      </c>
      <c r="C20" s="154">
        <f>IFERROR('Similarity matrix'!C20/'Denominator matrix'!$B$24, "NA")</f>
        <v>0</v>
      </c>
      <c r="D20" s="153">
        <f>IFERROR('Similarity matrix'!D20/'Denominator matrix'!$C$24, "NA")</f>
        <v>0</v>
      </c>
      <c r="E20" s="153">
        <f>IFERROR('Similarity matrix'!E20/'Denominator matrix'!$D$24, "NA")</f>
        <v>0</v>
      </c>
      <c r="F20" s="153">
        <f>IFERROR('Similarity matrix'!F20/'Denominator matrix'!$E$24, "NA")</f>
        <v>0</v>
      </c>
      <c r="G20" s="153">
        <f>IFERROR('Similarity matrix'!G20/'Denominator matrix'!$F$24, "NA")</f>
        <v>0</v>
      </c>
      <c r="H20" s="153">
        <f>IFERROR('Similarity matrix'!H20/'Denominator matrix'!$G$24, "NA")</f>
        <v>0</v>
      </c>
      <c r="I20" s="153">
        <f>IFERROR('Similarity matrix'!I20/'Denominator matrix'!$H$24, "NA")</f>
        <v>0</v>
      </c>
      <c r="J20" s="156">
        <f>IFERROR('Similarity matrix'!J20/'Denominator matrix'!$I$24, "NA")</f>
        <v>0</v>
      </c>
      <c r="K20" s="153">
        <f>IFERROR('Similarity matrix'!K20/'Denominator matrix'!$J$24, "NA")</f>
        <v>0</v>
      </c>
      <c r="L20" s="153">
        <f>IFERROR('Similarity matrix'!L20/'Denominator matrix'!$K$24, "NA")</f>
        <v>0</v>
      </c>
      <c r="M20" s="154">
        <f>IFERROR('Similarity matrix'!M20/'Denominator matrix'!$B$24, "NA")</f>
        <v>0.75</v>
      </c>
      <c r="N20" s="153">
        <f>IFERROR('Similarity matrix'!N20/'Denominator matrix'!$C$24, "NA")</f>
        <v>1</v>
      </c>
      <c r="O20" s="153">
        <f>IFERROR('Similarity matrix'!O20/'Denominator matrix'!$D$24, "NA")</f>
        <v>1</v>
      </c>
      <c r="P20" s="153">
        <f>IFERROR('Similarity matrix'!P20/'Denominator matrix'!$E$24, "NA")</f>
        <v>0.75</v>
      </c>
      <c r="Q20" s="153">
        <f>IFERROR('Similarity matrix'!Q20/'Denominator matrix'!$F$24, "NA")</f>
        <v>0.9</v>
      </c>
      <c r="R20" s="153">
        <f>IFERROR('Similarity matrix'!R20/'Denominator matrix'!$G$24, "NA")</f>
        <v>0.8333333333</v>
      </c>
      <c r="S20" s="153">
        <f>IFERROR('Similarity matrix'!S20/'Denominator matrix'!$H$24, "NA")</f>
        <v>1</v>
      </c>
      <c r="T20" s="155">
        <f>IFERROR('Similarity matrix'!T20/'Denominator matrix'!$I$24, "NA")</f>
        <v>0</v>
      </c>
      <c r="U20" s="153">
        <f>IFERROR('Similarity matrix'!U20/'Denominator matrix'!$J$24, "NA")</f>
        <v>0.75</v>
      </c>
      <c r="V20" s="153">
        <f>IFERROR('Similarity matrix'!V20/'Denominator matrix'!$K$24, "NA")</f>
        <v>0.8333333333</v>
      </c>
      <c r="W20" s="154">
        <f>IFERROR('Similarity matrix'!W20/'Denominator matrix'!$B$24, "NA")</f>
        <v>0</v>
      </c>
      <c r="X20" s="153">
        <f>IFERROR('Similarity matrix'!X20/'Denominator matrix'!$C$24, "NA")</f>
        <v>0</v>
      </c>
      <c r="Y20" s="153">
        <f>IFERROR('Similarity matrix'!Y20/'Denominator matrix'!$D$24, "NA")</f>
        <v>0</v>
      </c>
      <c r="Z20" s="153">
        <f>IFERROR('Similarity matrix'!Z20/'Denominator matrix'!$E$24, "NA")</f>
        <v>0</v>
      </c>
      <c r="AA20" s="153">
        <f>IFERROR('Similarity matrix'!AA20/'Denominator matrix'!$F$24, "NA")</f>
        <v>0</v>
      </c>
      <c r="AB20" s="153">
        <f>IFERROR('Similarity matrix'!AB20/'Denominator matrix'!$G$24, "NA")</f>
        <v>0</v>
      </c>
      <c r="AC20" s="153">
        <f>IFERROR('Similarity matrix'!AC20/'Denominator matrix'!$H$24, "NA")</f>
        <v>0</v>
      </c>
      <c r="AD20" s="156">
        <f>IFERROR('Similarity matrix'!AD20/'Denominator matrix'!$I$24, "NA")</f>
        <v>0</v>
      </c>
      <c r="AE20" s="153">
        <f>IFERROR('Similarity matrix'!AE20/'Denominator matrix'!$J$24, "NA")</f>
        <v>0</v>
      </c>
      <c r="AF20" s="153">
        <f>IFERROR('Similarity matrix'!AF20/'Denominator matrix'!$K$24, "NA")</f>
        <v>0</v>
      </c>
      <c r="AG20" s="154">
        <f>IFERROR('Similarity matrix'!AG20/'Denominator matrix'!$B$24, "NA")</f>
        <v>0</v>
      </c>
      <c r="AH20" s="153">
        <f>IFERROR('Similarity matrix'!AH20/'Denominator matrix'!$C$24, "NA")</f>
        <v>0</v>
      </c>
      <c r="AI20" s="153">
        <f>IFERROR('Similarity matrix'!AI20/'Denominator matrix'!$D$24, "NA")</f>
        <v>0</v>
      </c>
      <c r="AJ20" s="153">
        <f>IFERROR('Similarity matrix'!AJ20/'Denominator matrix'!$E$24, "NA")</f>
        <v>0</v>
      </c>
      <c r="AK20" s="153">
        <f>IFERROR('Similarity matrix'!AK20/'Denominator matrix'!$F$24, "NA")</f>
        <v>0</v>
      </c>
      <c r="AL20" s="153">
        <f>IFERROR('Similarity matrix'!AL20/'Denominator matrix'!$G$24, "NA")</f>
        <v>0</v>
      </c>
      <c r="AM20" s="153">
        <f>IFERROR('Similarity matrix'!AM20/'Denominator matrix'!$H$24, "NA")</f>
        <v>0</v>
      </c>
      <c r="AN20" s="156">
        <f>IFERROR('Similarity matrix'!AN20/'Denominator matrix'!$I$24, "NA")</f>
        <v>0</v>
      </c>
      <c r="AO20" s="153">
        <f>IFERROR('Similarity matrix'!AO20/'Denominator matrix'!$J$24, "NA")</f>
        <v>0</v>
      </c>
      <c r="AP20" s="153">
        <f>IFERROR('Similarity matrix'!AP20/'Denominator matrix'!$K$24, "NA")</f>
        <v>0</v>
      </c>
      <c r="AQ20" s="154">
        <f>IFERROR('Similarity matrix'!AQ20/'Denominator matrix'!$B$24, "NA")</f>
        <v>0</v>
      </c>
      <c r="AR20" s="153">
        <f>IFERROR('Similarity matrix'!AR20/'Denominator matrix'!$C$24, "NA")</f>
        <v>0</v>
      </c>
      <c r="AS20" s="153">
        <f>IFERROR('Similarity matrix'!AS20/'Denominator matrix'!$D$24, "NA")</f>
        <v>0</v>
      </c>
      <c r="AT20" s="153">
        <f>IFERROR('Similarity matrix'!AT20/'Denominator matrix'!$E$24, "NA")</f>
        <v>0</v>
      </c>
      <c r="AU20" s="153">
        <f>IFERROR('Similarity matrix'!AU20/'Denominator matrix'!$F$24, "NA")</f>
        <v>0</v>
      </c>
      <c r="AV20" s="153">
        <f>IFERROR('Similarity matrix'!AV20/'Denominator matrix'!$G$24, "NA")</f>
        <v>0</v>
      </c>
      <c r="AW20" s="153">
        <f>IFERROR('Similarity matrix'!AW20/'Denominator matrix'!$H$24, "NA")</f>
        <v>0</v>
      </c>
      <c r="AX20" s="156">
        <f>IFERROR('Similarity matrix'!AX20/'Denominator matrix'!$I$24, "NA")</f>
        <v>0</v>
      </c>
      <c r="AY20" s="153">
        <f>IFERROR('Similarity matrix'!AY20/'Denominator matrix'!$J$24, "NA")</f>
        <v>0</v>
      </c>
      <c r="AZ20" s="153">
        <f>IFERROR('Similarity matrix'!AZ20/'Denominator matrix'!$K$24, "NA")</f>
        <v>0</v>
      </c>
      <c r="BA20" s="154">
        <f>IFERROR('Similarity matrix'!BA20/'Denominator matrix'!$B$24, "NA")</f>
        <v>0</v>
      </c>
      <c r="BB20" s="153">
        <f>IFERROR('Similarity matrix'!BB20/'Denominator matrix'!$C$24, "NA")</f>
        <v>0</v>
      </c>
      <c r="BC20" s="153">
        <f>IFERROR('Similarity matrix'!BC20/'Denominator matrix'!$D$24, "NA")</f>
        <v>0</v>
      </c>
      <c r="BD20" s="153">
        <f>IFERROR('Similarity matrix'!BD20/'Denominator matrix'!$E$24, "NA")</f>
        <v>0</v>
      </c>
      <c r="BE20" s="153">
        <f>IFERROR('Similarity matrix'!BE20/'Denominator matrix'!$F$24, "NA")</f>
        <v>0</v>
      </c>
      <c r="BF20" s="153">
        <f>IFERROR('Similarity matrix'!BF20/'Denominator matrix'!$G$24, "NA")</f>
        <v>0</v>
      </c>
      <c r="BG20" s="153">
        <f>IFERROR('Similarity matrix'!BG20/'Denominator matrix'!$H$24, "NA")</f>
        <v>0</v>
      </c>
      <c r="BH20" s="156">
        <f>IFERROR('Similarity matrix'!BH20/'Denominator matrix'!$I$24, "NA")</f>
        <v>0</v>
      </c>
      <c r="BI20" s="153">
        <f>IFERROR('Similarity matrix'!BI20/'Denominator matrix'!$J$24, "NA")</f>
        <v>0</v>
      </c>
      <c r="BJ20" s="153">
        <f>IFERROR('Similarity matrix'!BJ20/'Denominator matrix'!$K$24, "NA")</f>
        <v>0</v>
      </c>
      <c r="BK20" s="154">
        <f>IFERROR('Similarity matrix'!BK20/'Denominator matrix'!$B$24, "NA")</f>
        <v>0</v>
      </c>
      <c r="BL20" s="153">
        <f>IFERROR('Similarity matrix'!BL20/'Denominator matrix'!$C$24, "NA")</f>
        <v>0</v>
      </c>
      <c r="BM20" s="153">
        <f>IFERROR('Similarity matrix'!BM20/'Denominator matrix'!$D$24, "NA")</f>
        <v>0</v>
      </c>
      <c r="BN20" s="153">
        <f>IFERROR('Similarity matrix'!BN20/'Denominator matrix'!$E$24, "NA")</f>
        <v>0</v>
      </c>
      <c r="BO20" s="153">
        <f>IFERROR('Similarity matrix'!BO20/'Denominator matrix'!$F$24, "NA")</f>
        <v>0</v>
      </c>
      <c r="BP20" s="153">
        <f>IFERROR('Similarity matrix'!BP20/'Denominator matrix'!$G$24, "NA")</f>
        <v>0</v>
      </c>
      <c r="BQ20" s="153">
        <f>IFERROR('Similarity matrix'!BQ20/'Denominator matrix'!$H$24, "NA")</f>
        <v>0</v>
      </c>
      <c r="BR20" s="156">
        <f>IFERROR('Similarity matrix'!BR20/'Denominator matrix'!$I$24, "NA")</f>
        <v>0</v>
      </c>
      <c r="BS20" s="153">
        <f>IFERROR('Similarity matrix'!BS20/'Denominator matrix'!$J$24, "NA")</f>
        <v>0</v>
      </c>
      <c r="BT20" s="153">
        <f>IFERROR('Similarity matrix'!BT20/'Denominator matrix'!$K$24, "NA")</f>
        <v>0</v>
      </c>
      <c r="BU20" s="154">
        <f>IFERROR('Similarity matrix'!BU20/'Denominator matrix'!$B$24, "NA")</f>
        <v>0</v>
      </c>
      <c r="BV20" s="153">
        <f>IFERROR('Similarity matrix'!BV20/'Denominator matrix'!$C$24, "NA")</f>
        <v>0</v>
      </c>
      <c r="BW20" s="153">
        <f>IFERROR('Similarity matrix'!BW20/'Denominator matrix'!$D$24, "NA")</f>
        <v>0</v>
      </c>
      <c r="BX20" s="153">
        <f>IFERROR('Similarity matrix'!BX20/'Denominator matrix'!$E$24, "NA")</f>
        <v>0</v>
      </c>
      <c r="BY20" s="153">
        <f>IFERROR('Similarity matrix'!BY20/'Denominator matrix'!$F$24, "NA")</f>
        <v>0</v>
      </c>
      <c r="BZ20" s="153">
        <f>IFERROR('Similarity matrix'!BZ20/'Denominator matrix'!$G$24, "NA")</f>
        <v>0</v>
      </c>
      <c r="CA20" s="153">
        <f>IFERROR('Similarity matrix'!CA20/'Denominator matrix'!$H$24, "NA")</f>
        <v>0</v>
      </c>
      <c r="CB20" s="156">
        <f>IFERROR('Similarity matrix'!CB20/'Denominator matrix'!$I$24, "NA")</f>
        <v>0</v>
      </c>
      <c r="CC20" s="153">
        <f>IFERROR('Similarity matrix'!CC20/'Denominator matrix'!$J$24, "NA")</f>
        <v>0</v>
      </c>
      <c r="CD20" s="153">
        <f>IFERROR('Similarity matrix'!CD20/'Denominator matrix'!$K$24, "NA")</f>
        <v>0</v>
      </c>
      <c r="CE20" s="154">
        <f>IFERROR('Similarity matrix'!CE20/'Denominator matrix'!$B$24, "NA")</f>
        <v>0</v>
      </c>
      <c r="CF20" s="153">
        <f>IFERROR('Similarity matrix'!CF20/'Denominator matrix'!$C$24, "NA")</f>
        <v>0</v>
      </c>
      <c r="CG20" s="153">
        <f>IFERROR('Similarity matrix'!CG20/'Denominator matrix'!$D$24, "NA")</f>
        <v>0</v>
      </c>
      <c r="CH20" s="153">
        <f>IFERROR('Similarity matrix'!CH20/'Denominator matrix'!$E$24, "NA")</f>
        <v>0.25</v>
      </c>
      <c r="CI20" s="153">
        <f>IFERROR('Similarity matrix'!CI20/'Denominator matrix'!$F$24, "NA")</f>
        <v>0</v>
      </c>
      <c r="CJ20" s="153">
        <f>IFERROR('Similarity matrix'!CJ20/'Denominator matrix'!$G$24, "NA")</f>
        <v>0</v>
      </c>
      <c r="CK20" s="153">
        <f>IFERROR('Similarity matrix'!CK20/'Denominator matrix'!$H$24, "NA")</f>
        <v>0.25</v>
      </c>
      <c r="CL20" s="156">
        <f>IFERROR('Similarity matrix'!CL20/'Denominator matrix'!$I$24, "NA")</f>
        <v>0.0625</v>
      </c>
      <c r="CM20" s="153">
        <f>IFERROR('Similarity matrix'!CM20/'Denominator matrix'!$J$24, "NA")</f>
        <v>0</v>
      </c>
      <c r="CN20" s="153">
        <f>IFERROR('Similarity matrix'!CN20/'Denominator matrix'!$K$24, "NA")</f>
        <v>0</v>
      </c>
      <c r="CO20" s="154">
        <f>IFERROR('Similarity matrix'!CO20/'Denominator matrix'!$B$24, "NA")</f>
        <v>0</v>
      </c>
      <c r="CP20" s="153">
        <f>IFERROR('Similarity matrix'!CP20/'Denominator matrix'!$C$24, "NA")</f>
        <v>0</v>
      </c>
      <c r="CQ20" s="153">
        <f>IFERROR('Similarity matrix'!CQ20/'Denominator matrix'!$D$24, "NA")</f>
        <v>0</v>
      </c>
      <c r="CR20" s="153">
        <f>IFERROR('Similarity matrix'!CR20/'Denominator matrix'!$E$24, "NA")</f>
        <v>0</v>
      </c>
      <c r="CS20" s="153">
        <f>IFERROR('Similarity matrix'!CS20/'Denominator matrix'!$F$24, "NA")</f>
        <v>0</v>
      </c>
      <c r="CT20" s="153">
        <f>IFERROR('Similarity matrix'!CT20/'Denominator matrix'!$G$24, "NA")</f>
        <v>0</v>
      </c>
      <c r="CU20" s="153">
        <f>IFERROR('Similarity matrix'!CU20/'Denominator matrix'!$H$24, "NA")</f>
        <v>0</v>
      </c>
      <c r="CV20" s="156">
        <f>IFERROR('Similarity matrix'!CV20/'Denominator matrix'!$I$24, "NA")</f>
        <v>0</v>
      </c>
      <c r="CW20" s="153">
        <f>IFERROR('Similarity matrix'!CW20/'Denominator matrix'!$J$24, "NA")</f>
        <v>0</v>
      </c>
      <c r="CX20" s="153">
        <f>IFERROR('Similarity matrix'!CX20/'Denominator matrix'!$K$24, "NA")</f>
        <v>0</v>
      </c>
    </row>
    <row r="21" ht="35.25" customHeight="1">
      <c r="B21" s="124">
        <v>45902.0</v>
      </c>
      <c r="C21" s="154">
        <f>IFERROR('Similarity matrix'!C21/'Denominator matrix'!$B$25, "NA")</f>
        <v>0</v>
      </c>
      <c r="D21" s="153">
        <f>IFERROR('Similarity matrix'!D21/'Denominator matrix'!$C$25, "NA")</f>
        <v>0</v>
      </c>
      <c r="E21" s="153">
        <f>IFERROR('Similarity matrix'!E21/'Denominator matrix'!$D$25, "NA")</f>
        <v>0</v>
      </c>
      <c r="F21" s="153">
        <f>IFERROR('Similarity matrix'!F21/'Denominator matrix'!$E$25, "NA")</f>
        <v>0</v>
      </c>
      <c r="G21" s="153">
        <f>IFERROR('Similarity matrix'!G21/'Denominator matrix'!$F$25, "NA")</f>
        <v>0</v>
      </c>
      <c r="H21" s="153">
        <f>IFERROR('Similarity matrix'!H21/'Denominator matrix'!$G$25, "NA")</f>
        <v>0</v>
      </c>
      <c r="I21" s="153">
        <f>IFERROR('Similarity matrix'!I21/'Denominator matrix'!$H$25, "NA")</f>
        <v>0</v>
      </c>
      <c r="J21" s="153">
        <f>IFERROR('Similarity matrix'!J21/'Denominator matrix'!$I$25, "NA")</f>
        <v>0</v>
      </c>
      <c r="K21" s="156">
        <f>IFERROR('Similarity matrix'!K21/'Denominator matrix'!$J$25, "NA")</f>
        <v>0</v>
      </c>
      <c r="L21" s="153">
        <f>IFERROR('Similarity matrix'!L21/'Denominator matrix'!$K$25, "NA")</f>
        <v>0</v>
      </c>
      <c r="M21" s="154">
        <f>IFERROR('Similarity matrix'!M21/'Denominator matrix'!$B$25, "NA")</f>
        <v>0.9</v>
      </c>
      <c r="N21" s="153">
        <f>IFERROR('Similarity matrix'!N21/'Denominator matrix'!$C$25, "NA")</f>
        <v>1</v>
      </c>
      <c r="O21" s="153">
        <f>IFERROR('Similarity matrix'!O21/'Denominator matrix'!$D$25, "NA")</f>
        <v>0.75</v>
      </c>
      <c r="P21" s="153">
        <f>IFERROR('Similarity matrix'!P21/'Denominator matrix'!$E$25, "NA")</f>
        <v>1</v>
      </c>
      <c r="Q21" s="153">
        <f>IFERROR('Similarity matrix'!Q21/'Denominator matrix'!$F$25, "NA")</f>
        <v>0.8333333333</v>
      </c>
      <c r="R21" s="153">
        <f>IFERROR('Similarity matrix'!R21/'Denominator matrix'!$G$25, "NA")</f>
        <v>1</v>
      </c>
      <c r="S21" s="153">
        <f>IFERROR('Similarity matrix'!S21/'Denominator matrix'!$H$25, "NA")</f>
        <v>1</v>
      </c>
      <c r="T21" s="153">
        <f>IFERROR('Similarity matrix'!T21/'Denominator matrix'!$I$25, "NA")</f>
        <v>0.75</v>
      </c>
      <c r="U21" s="155">
        <f>IFERROR('Similarity matrix'!U21/'Denominator matrix'!$J$25, "NA")</f>
        <v>0</v>
      </c>
      <c r="V21" s="153">
        <f>IFERROR('Similarity matrix'!V21/'Denominator matrix'!$K$25, "NA")</f>
        <v>1</v>
      </c>
      <c r="W21" s="154">
        <f>IFERROR('Similarity matrix'!W21/'Denominator matrix'!$B$25, "NA")</f>
        <v>0</v>
      </c>
      <c r="X21" s="153">
        <f>IFERROR('Similarity matrix'!X21/'Denominator matrix'!$C$25, "NA")</f>
        <v>0</v>
      </c>
      <c r="Y21" s="153">
        <f>IFERROR('Similarity matrix'!Y21/'Denominator matrix'!$D$25, "NA")</f>
        <v>0</v>
      </c>
      <c r="Z21" s="153">
        <f>IFERROR('Similarity matrix'!Z21/'Denominator matrix'!$E$25, "NA")</f>
        <v>0</v>
      </c>
      <c r="AA21" s="153">
        <f>IFERROR('Similarity matrix'!AA21/'Denominator matrix'!$F$25, "NA")</f>
        <v>0</v>
      </c>
      <c r="AB21" s="153">
        <f>IFERROR('Similarity matrix'!AB21/'Denominator matrix'!$G$25, "NA")</f>
        <v>0</v>
      </c>
      <c r="AC21" s="153">
        <f>IFERROR('Similarity matrix'!AC21/'Denominator matrix'!$H$25, "NA")</f>
        <v>0</v>
      </c>
      <c r="AD21" s="153">
        <f>IFERROR('Similarity matrix'!AD21/'Denominator matrix'!$I$25, "NA")</f>
        <v>0</v>
      </c>
      <c r="AE21" s="156">
        <f>IFERROR('Similarity matrix'!AE21/'Denominator matrix'!$J$25, "NA")</f>
        <v>0</v>
      </c>
      <c r="AF21" s="153">
        <f>IFERROR('Similarity matrix'!AF21/'Denominator matrix'!$K$25, "NA")</f>
        <v>0</v>
      </c>
      <c r="AG21" s="154">
        <f>IFERROR('Similarity matrix'!AG21/'Denominator matrix'!$B$25, "NA")</f>
        <v>0</v>
      </c>
      <c r="AH21" s="153">
        <f>IFERROR('Similarity matrix'!AH21/'Denominator matrix'!$C$25, "NA")</f>
        <v>0</v>
      </c>
      <c r="AI21" s="153">
        <f>IFERROR('Similarity matrix'!AI21/'Denominator matrix'!$D$25, "NA")</f>
        <v>0</v>
      </c>
      <c r="AJ21" s="153">
        <f>IFERROR('Similarity matrix'!AJ21/'Denominator matrix'!$E$25, "NA")</f>
        <v>0</v>
      </c>
      <c r="AK21" s="153">
        <f>IFERROR('Similarity matrix'!AK21/'Denominator matrix'!$F$25, "NA")</f>
        <v>0</v>
      </c>
      <c r="AL21" s="153">
        <f>IFERROR('Similarity matrix'!AL21/'Denominator matrix'!$G$25, "NA")</f>
        <v>0</v>
      </c>
      <c r="AM21" s="153">
        <f>IFERROR('Similarity matrix'!AM21/'Denominator matrix'!$H$25, "NA")</f>
        <v>0</v>
      </c>
      <c r="AN21" s="153">
        <f>IFERROR('Similarity matrix'!AN21/'Denominator matrix'!$I$25, "NA")</f>
        <v>0</v>
      </c>
      <c r="AO21" s="156">
        <f>IFERROR('Similarity matrix'!AO21/'Denominator matrix'!$J$25, "NA")</f>
        <v>0</v>
      </c>
      <c r="AP21" s="153">
        <f>IFERROR('Similarity matrix'!AP21/'Denominator matrix'!$K$25, "NA")</f>
        <v>0</v>
      </c>
      <c r="AQ21" s="154">
        <f>IFERROR('Similarity matrix'!AQ21/'Denominator matrix'!$B$25, "NA")</f>
        <v>0</v>
      </c>
      <c r="AR21" s="153">
        <f>IFERROR('Similarity matrix'!AR21/'Denominator matrix'!$C$25, "NA")</f>
        <v>0</v>
      </c>
      <c r="AS21" s="153">
        <f>IFERROR('Similarity matrix'!AS21/'Denominator matrix'!$D$25, "NA")</f>
        <v>0</v>
      </c>
      <c r="AT21" s="153">
        <f>IFERROR('Similarity matrix'!AT21/'Denominator matrix'!$E$25, "NA")</f>
        <v>0</v>
      </c>
      <c r="AU21" s="153">
        <f>IFERROR('Similarity matrix'!AU21/'Denominator matrix'!$F$25, "NA")</f>
        <v>0</v>
      </c>
      <c r="AV21" s="153">
        <f>IFERROR('Similarity matrix'!AV21/'Denominator matrix'!$G$25, "NA")</f>
        <v>0.25</v>
      </c>
      <c r="AW21" s="153">
        <f>IFERROR('Similarity matrix'!AW21/'Denominator matrix'!$H$25, "NA")</f>
        <v>0</v>
      </c>
      <c r="AX21" s="153">
        <f>IFERROR('Similarity matrix'!AX21/'Denominator matrix'!$I$25, "NA")</f>
        <v>0</v>
      </c>
      <c r="AY21" s="156">
        <f>IFERROR('Similarity matrix'!AY21/'Denominator matrix'!$J$25, "NA")</f>
        <v>0</v>
      </c>
      <c r="AZ21" s="153">
        <f>IFERROR('Similarity matrix'!AZ21/'Denominator matrix'!$K$25, "NA")</f>
        <v>0</v>
      </c>
      <c r="BA21" s="154">
        <f>IFERROR('Similarity matrix'!BA21/'Denominator matrix'!$B$25, "NA")</f>
        <v>0</v>
      </c>
      <c r="BB21" s="153">
        <f>IFERROR('Similarity matrix'!BB21/'Denominator matrix'!$C$25, "NA")</f>
        <v>0</v>
      </c>
      <c r="BC21" s="153">
        <f>IFERROR('Similarity matrix'!BC21/'Denominator matrix'!$D$25, "NA")</f>
        <v>0</v>
      </c>
      <c r="BD21" s="153">
        <f>IFERROR('Similarity matrix'!BD21/'Denominator matrix'!$E$25, "NA")</f>
        <v>0</v>
      </c>
      <c r="BE21" s="153">
        <f>IFERROR('Similarity matrix'!BE21/'Denominator matrix'!$F$25, "NA")</f>
        <v>0</v>
      </c>
      <c r="BF21" s="153">
        <f>IFERROR('Similarity matrix'!BF21/'Denominator matrix'!$G$25, "NA")</f>
        <v>0</v>
      </c>
      <c r="BG21" s="153">
        <f>IFERROR('Similarity matrix'!BG21/'Denominator matrix'!$H$25, "NA")</f>
        <v>0</v>
      </c>
      <c r="BH21" s="153">
        <f>IFERROR('Similarity matrix'!BH21/'Denominator matrix'!$I$25, "NA")</f>
        <v>0</v>
      </c>
      <c r="BI21" s="156">
        <f>IFERROR('Similarity matrix'!BI21/'Denominator matrix'!$J$25, "NA")</f>
        <v>0</v>
      </c>
      <c r="BJ21" s="153">
        <f>IFERROR('Similarity matrix'!BJ21/'Denominator matrix'!$K$25, "NA")</f>
        <v>0</v>
      </c>
      <c r="BK21" s="154">
        <f>IFERROR('Similarity matrix'!BK21/'Denominator matrix'!$B$25, "NA")</f>
        <v>0</v>
      </c>
      <c r="BL21" s="153">
        <f>IFERROR('Similarity matrix'!BL21/'Denominator matrix'!$C$25, "NA")</f>
        <v>0</v>
      </c>
      <c r="BM21" s="153">
        <f>IFERROR('Similarity matrix'!BM21/'Denominator matrix'!$D$25, "NA")</f>
        <v>0</v>
      </c>
      <c r="BN21" s="153">
        <f>IFERROR('Similarity matrix'!BN21/'Denominator matrix'!$E$25, "NA")</f>
        <v>0</v>
      </c>
      <c r="BO21" s="153">
        <f>IFERROR('Similarity matrix'!BO21/'Denominator matrix'!$F$25, "NA")</f>
        <v>0</v>
      </c>
      <c r="BP21" s="153">
        <f>IFERROR('Similarity matrix'!BP21/'Denominator matrix'!$G$25, "NA")</f>
        <v>0</v>
      </c>
      <c r="BQ21" s="153">
        <f>IFERROR('Similarity matrix'!BQ21/'Denominator matrix'!$H$25, "NA")</f>
        <v>0</v>
      </c>
      <c r="BR21" s="153">
        <f>IFERROR('Similarity matrix'!BR21/'Denominator matrix'!$I$25, "NA")</f>
        <v>0</v>
      </c>
      <c r="BS21" s="156">
        <f>IFERROR('Similarity matrix'!BS21/'Denominator matrix'!$J$25, "NA")</f>
        <v>0</v>
      </c>
      <c r="BT21" s="153">
        <f>IFERROR('Similarity matrix'!BT21/'Denominator matrix'!$K$25, "NA")</f>
        <v>0</v>
      </c>
      <c r="BU21" s="154">
        <f>IFERROR('Similarity matrix'!BU21/'Denominator matrix'!$B$25, "NA")</f>
        <v>0</v>
      </c>
      <c r="BV21" s="153">
        <f>IFERROR('Similarity matrix'!BV21/'Denominator matrix'!$C$25, "NA")</f>
        <v>0</v>
      </c>
      <c r="BW21" s="153">
        <f>IFERROR('Similarity matrix'!BW21/'Denominator matrix'!$D$25, "NA")</f>
        <v>0</v>
      </c>
      <c r="BX21" s="153">
        <f>IFERROR('Similarity matrix'!BX21/'Denominator matrix'!$E$25, "NA")</f>
        <v>0</v>
      </c>
      <c r="BY21" s="153">
        <f>IFERROR('Similarity matrix'!BY21/'Denominator matrix'!$F$25, "NA")</f>
        <v>0</v>
      </c>
      <c r="BZ21" s="153">
        <f>IFERROR('Similarity matrix'!BZ21/'Denominator matrix'!$G$25, "NA")</f>
        <v>0</v>
      </c>
      <c r="CA21" s="153">
        <f>IFERROR('Similarity matrix'!CA21/'Denominator matrix'!$H$25, "NA")</f>
        <v>0</v>
      </c>
      <c r="CB21" s="153">
        <f>IFERROR('Similarity matrix'!CB21/'Denominator matrix'!$I$25, "NA")</f>
        <v>0</v>
      </c>
      <c r="CC21" s="156">
        <f>IFERROR('Similarity matrix'!CC21/'Denominator matrix'!$J$25, "NA")</f>
        <v>0</v>
      </c>
      <c r="CD21" s="153">
        <f>IFERROR('Similarity matrix'!CD21/'Denominator matrix'!$K$25, "NA")</f>
        <v>0</v>
      </c>
      <c r="CE21" s="154">
        <f>IFERROR('Similarity matrix'!CE21/'Denominator matrix'!$B$25, "NA")</f>
        <v>0</v>
      </c>
      <c r="CF21" s="153">
        <f>IFERROR('Similarity matrix'!CF21/'Denominator matrix'!$C$25, "NA")</f>
        <v>0</v>
      </c>
      <c r="CG21" s="153">
        <f>IFERROR('Similarity matrix'!CG21/'Denominator matrix'!$D$25, "NA")</f>
        <v>0</v>
      </c>
      <c r="CH21" s="153">
        <f>IFERROR('Similarity matrix'!CH21/'Denominator matrix'!$E$25, "NA")</f>
        <v>0</v>
      </c>
      <c r="CI21" s="153">
        <f>IFERROR('Similarity matrix'!CI21/'Denominator matrix'!$F$25, "NA")</f>
        <v>0</v>
      </c>
      <c r="CJ21" s="153">
        <f>IFERROR('Similarity matrix'!CJ21/'Denominator matrix'!$G$25, "NA")</f>
        <v>0</v>
      </c>
      <c r="CK21" s="153">
        <f>IFERROR('Similarity matrix'!CK21/'Denominator matrix'!$H$25, "NA")</f>
        <v>0</v>
      </c>
      <c r="CL21" s="153">
        <f>IFERROR('Similarity matrix'!CL21/'Denominator matrix'!$I$25, "NA")</f>
        <v>0</v>
      </c>
      <c r="CM21" s="156">
        <f>IFERROR('Similarity matrix'!CM21/'Denominator matrix'!$J$25, "NA")</f>
        <v>0</v>
      </c>
      <c r="CN21" s="153">
        <f>IFERROR('Similarity matrix'!CN21/'Denominator matrix'!$K$25, "NA")</f>
        <v>0</v>
      </c>
      <c r="CO21" s="154">
        <f>IFERROR('Similarity matrix'!CO21/'Denominator matrix'!$B$25, "NA")</f>
        <v>0</v>
      </c>
      <c r="CP21" s="153">
        <f>IFERROR('Similarity matrix'!CP21/'Denominator matrix'!$C$25, "NA")</f>
        <v>0</v>
      </c>
      <c r="CQ21" s="153">
        <f>IFERROR('Similarity matrix'!CQ21/'Denominator matrix'!$D$25, "NA")</f>
        <v>0</v>
      </c>
      <c r="CR21" s="153">
        <f>IFERROR('Similarity matrix'!CR21/'Denominator matrix'!$E$25, "NA")</f>
        <v>0</v>
      </c>
      <c r="CS21" s="153">
        <f>IFERROR('Similarity matrix'!CS21/'Denominator matrix'!$F$25, "NA")</f>
        <v>0</v>
      </c>
      <c r="CT21" s="153">
        <f>IFERROR('Similarity matrix'!CT21/'Denominator matrix'!$G$25, "NA")</f>
        <v>0</v>
      </c>
      <c r="CU21" s="153">
        <f>IFERROR('Similarity matrix'!CU21/'Denominator matrix'!$H$25, "NA")</f>
        <v>0</v>
      </c>
      <c r="CV21" s="153">
        <f>IFERROR('Similarity matrix'!CV21/'Denominator matrix'!$I$25, "NA")</f>
        <v>0</v>
      </c>
      <c r="CW21" s="156">
        <f>IFERROR('Similarity matrix'!CW21/'Denominator matrix'!$J$25, "NA")</f>
        <v>0</v>
      </c>
      <c r="CX21" s="153">
        <f>IFERROR('Similarity matrix'!CX21/'Denominator matrix'!$K$25, "NA")</f>
        <v>0</v>
      </c>
    </row>
    <row r="22" ht="35.25" customHeight="1">
      <c r="A22" s="125"/>
      <c r="B22" s="126">
        <v>45932.0</v>
      </c>
      <c r="C22" s="157">
        <f>IFERROR('Similarity matrix'!C22/'Denominator matrix'!$B$26, "NA")</f>
        <v>0</v>
      </c>
      <c r="D22" s="158">
        <f>IFERROR('Similarity matrix'!D22/'Denominator matrix'!$C$26, "NA")</f>
        <v>0</v>
      </c>
      <c r="E22" s="158">
        <f>IFERROR('Similarity matrix'!E22/'Denominator matrix'!$D$26, "NA")</f>
        <v>0</v>
      </c>
      <c r="F22" s="158">
        <f>IFERROR('Similarity matrix'!F22/'Denominator matrix'!$E$26, "NA")</f>
        <v>0</v>
      </c>
      <c r="G22" s="158">
        <f>IFERROR('Similarity matrix'!G22/'Denominator matrix'!$F$26, "NA")</f>
        <v>0</v>
      </c>
      <c r="H22" s="158">
        <f>IFERROR('Similarity matrix'!H22/'Denominator matrix'!$G$26, "NA")</f>
        <v>0</v>
      </c>
      <c r="I22" s="158">
        <f>IFERROR('Similarity matrix'!I22/'Denominator matrix'!$H$26, "NA")</f>
        <v>0</v>
      </c>
      <c r="J22" s="158">
        <f>IFERROR('Similarity matrix'!J22/'Denominator matrix'!$I$26, "NA")</f>
        <v>0</v>
      </c>
      <c r="K22" s="158">
        <f>IFERROR('Similarity matrix'!K22/'Denominator matrix'!$J$26, "NA")</f>
        <v>0</v>
      </c>
      <c r="L22" s="160">
        <f>IFERROR('Similarity matrix'!L22/'Denominator matrix'!$K$26, "NA")</f>
        <v>0</v>
      </c>
      <c r="M22" s="157">
        <f>IFERROR('Similarity matrix'!M22/'Denominator matrix'!$B$26, "NA")</f>
        <v>0.75</v>
      </c>
      <c r="N22" s="158">
        <f>IFERROR('Similarity matrix'!N22/'Denominator matrix'!$C$26, "NA")</f>
        <v>1</v>
      </c>
      <c r="O22" s="158">
        <f>IFERROR('Similarity matrix'!O22/'Denominator matrix'!$D$26, "NA")</f>
        <v>0.8333333333</v>
      </c>
      <c r="P22" s="158">
        <f>IFERROR('Similarity matrix'!P22/'Denominator matrix'!$E$26, "NA")</f>
        <v>0.75</v>
      </c>
      <c r="Q22" s="158">
        <f>IFERROR('Similarity matrix'!Q22/'Denominator matrix'!$F$26, "NA")</f>
        <v>0.75</v>
      </c>
      <c r="R22" s="158">
        <f>IFERROR('Similarity matrix'!R22/'Denominator matrix'!$G$26, "NA")</f>
        <v>0.75</v>
      </c>
      <c r="S22" s="158">
        <f>IFERROR('Similarity matrix'!S22/'Denominator matrix'!$H$26, "NA")</f>
        <v>1</v>
      </c>
      <c r="T22" s="158">
        <f>IFERROR('Similarity matrix'!T22/'Denominator matrix'!$I$26, "NA")</f>
        <v>0.8333333333</v>
      </c>
      <c r="U22" s="158">
        <f>IFERROR('Similarity matrix'!U22/'Denominator matrix'!$J$26, "NA")</f>
        <v>1</v>
      </c>
      <c r="V22" s="159">
        <f>IFERROR('Similarity matrix'!V22/'Denominator matrix'!$K$26, "NA")</f>
        <v>0</v>
      </c>
      <c r="W22" s="157">
        <f>IFERROR('Similarity matrix'!W22/'Denominator matrix'!$B$26, "NA")</f>
        <v>0.25</v>
      </c>
      <c r="X22" s="158">
        <f>IFERROR('Similarity matrix'!X22/'Denominator matrix'!$C$26, "NA")</f>
        <v>0</v>
      </c>
      <c r="Y22" s="158">
        <f>IFERROR('Similarity matrix'!Y22/'Denominator matrix'!$D$26, "NA")</f>
        <v>0</v>
      </c>
      <c r="Z22" s="158">
        <f>IFERROR('Similarity matrix'!Z22/'Denominator matrix'!$E$26, "NA")</f>
        <v>0</v>
      </c>
      <c r="AA22" s="158">
        <f>IFERROR('Similarity matrix'!AA22/'Denominator matrix'!$F$26, "NA")</f>
        <v>0.25</v>
      </c>
      <c r="AB22" s="158">
        <f>IFERROR('Similarity matrix'!AB22/'Denominator matrix'!$G$26, "NA")</f>
        <v>0.25</v>
      </c>
      <c r="AC22" s="158">
        <f>IFERROR('Similarity matrix'!AC22/'Denominator matrix'!$H$26, "NA")</f>
        <v>0</v>
      </c>
      <c r="AD22" s="158">
        <f>IFERROR('Similarity matrix'!AD22/'Denominator matrix'!$I$26, "NA")</f>
        <v>0</v>
      </c>
      <c r="AE22" s="158">
        <f>IFERROR('Similarity matrix'!AE22/'Denominator matrix'!$J$26, "NA")</f>
        <v>0</v>
      </c>
      <c r="AF22" s="160">
        <f>IFERROR('Similarity matrix'!AF22/'Denominator matrix'!$K$26, "NA")</f>
        <v>0.07142857143</v>
      </c>
      <c r="AG22" s="157">
        <f>IFERROR('Similarity matrix'!AG22/'Denominator matrix'!$B$26, "NA")</f>
        <v>0</v>
      </c>
      <c r="AH22" s="158">
        <f>IFERROR('Similarity matrix'!AH22/'Denominator matrix'!$C$26, "NA")</f>
        <v>0</v>
      </c>
      <c r="AI22" s="158">
        <f>IFERROR('Similarity matrix'!AI22/'Denominator matrix'!$D$26, "NA")</f>
        <v>0</v>
      </c>
      <c r="AJ22" s="158">
        <f>IFERROR('Similarity matrix'!AJ22/'Denominator matrix'!$E$26, "NA")</f>
        <v>0</v>
      </c>
      <c r="AK22" s="158">
        <f>IFERROR('Similarity matrix'!AK22/'Denominator matrix'!$F$26, "NA")</f>
        <v>0</v>
      </c>
      <c r="AL22" s="158">
        <f>IFERROR('Similarity matrix'!AL22/'Denominator matrix'!$G$26, "NA")</f>
        <v>0</v>
      </c>
      <c r="AM22" s="158">
        <f>IFERROR('Similarity matrix'!AM22/'Denominator matrix'!$H$26, "NA")</f>
        <v>0</v>
      </c>
      <c r="AN22" s="158">
        <f>IFERROR('Similarity matrix'!AN22/'Denominator matrix'!$I$26, "NA")</f>
        <v>0</v>
      </c>
      <c r="AO22" s="158">
        <f>IFERROR('Similarity matrix'!AO22/'Denominator matrix'!$J$26, "NA")</f>
        <v>0</v>
      </c>
      <c r="AP22" s="160">
        <f>IFERROR('Similarity matrix'!AP22/'Denominator matrix'!$K$26, "NA")</f>
        <v>0</v>
      </c>
      <c r="AQ22" s="157">
        <f>IFERROR('Similarity matrix'!AQ22/'Denominator matrix'!$B$26, "NA")</f>
        <v>0</v>
      </c>
      <c r="AR22" s="158">
        <f>IFERROR('Similarity matrix'!AR22/'Denominator matrix'!$C$26, "NA")</f>
        <v>0</v>
      </c>
      <c r="AS22" s="158">
        <f>IFERROR('Similarity matrix'!AS22/'Denominator matrix'!$D$26, "NA")</f>
        <v>0</v>
      </c>
      <c r="AT22" s="158">
        <f>IFERROR('Similarity matrix'!AT22/'Denominator matrix'!$E$26, "NA")</f>
        <v>0</v>
      </c>
      <c r="AU22" s="158">
        <f>IFERROR('Similarity matrix'!AU22/'Denominator matrix'!$F$26, "NA")</f>
        <v>0</v>
      </c>
      <c r="AV22" s="158">
        <f>IFERROR('Similarity matrix'!AV22/'Denominator matrix'!$G$26, "NA")</f>
        <v>0</v>
      </c>
      <c r="AW22" s="158">
        <f>IFERROR('Similarity matrix'!AW22/'Denominator matrix'!$H$26, "NA")</f>
        <v>0.25</v>
      </c>
      <c r="AX22" s="158">
        <f>IFERROR('Similarity matrix'!AX22/'Denominator matrix'!$I$26, "NA")</f>
        <v>0</v>
      </c>
      <c r="AY22" s="158">
        <f>IFERROR('Similarity matrix'!AY22/'Denominator matrix'!$J$26, "NA")</f>
        <v>0</v>
      </c>
      <c r="AZ22" s="160">
        <f>IFERROR('Similarity matrix'!AZ22/'Denominator matrix'!$K$26, "NA")</f>
        <v>0</v>
      </c>
      <c r="BA22" s="157">
        <f>IFERROR('Similarity matrix'!BA22/'Denominator matrix'!$B$26, "NA")</f>
        <v>0</v>
      </c>
      <c r="BB22" s="158">
        <f>IFERROR('Similarity matrix'!BB22/'Denominator matrix'!$C$26, "NA")</f>
        <v>0</v>
      </c>
      <c r="BC22" s="158">
        <f>IFERROR('Similarity matrix'!BC22/'Denominator matrix'!$D$26, "NA")</f>
        <v>0</v>
      </c>
      <c r="BD22" s="158">
        <f>IFERROR('Similarity matrix'!BD22/'Denominator matrix'!$E$26, "NA")</f>
        <v>0</v>
      </c>
      <c r="BE22" s="158">
        <f>IFERROR('Similarity matrix'!BE22/'Denominator matrix'!$F$26, "NA")</f>
        <v>0</v>
      </c>
      <c r="BF22" s="158">
        <f>IFERROR('Similarity matrix'!BF22/'Denominator matrix'!$G$26, "NA")</f>
        <v>0</v>
      </c>
      <c r="BG22" s="158">
        <f>IFERROR('Similarity matrix'!BG22/'Denominator matrix'!$H$26, "NA")</f>
        <v>0</v>
      </c>
      <c r="BH22" s="158">
        <f>IFERROR('Similarity matrix'!BH22/'Denominator matrix'!$I$26, "NA")</f>
        <v>0</v>
      </c>
      <c r="BI22" s="158">
        <f>IFERROR('Similarity matrix'!BI22/'Denominator matrix'!$J$26, "NA")</f>
        <v>0</v>
      </c>
      <c r="BJ22" s="160">
        <f>IFERROR('Similarity matrix'!BJ22/'Denominator matrix'!$K$26, "NA")</f>
        <v>0</v>
      </c>
      <c r="BK22" s="157">
        <f>IFERROR('Similarity matrix'!BK22/'Denominator matrix'!$B$26, "NA")</f>
        <v>0</v>
      </c>
      <c r="BL22" s="158">
        <f>IFERROR('Similarity matrix'!BL22/'Denominator matrix'!$C$26, "NA")</f>
        <v>0</v>
      </c>
      <c r="BM22" s="158">
        <f>IFERROR('Similarity matrix'!BM22/'Denominator matrix'!$D$26, "NA")</f>
        <v>0</v>
      </c>
      <c r="BN22" s="158">
        <f>IFERROR('Similarity matrix'!BN22/'Denominator matrix'!$E$26, "NA")</f>
        <v>0</v>
      </c>
      <c r="BO22" s="158">
        <f>IFERROR('Similarity matrix'!BO22/'Denominator matrix'!$F$26, "NA")</f>
        <v>0</v>
      </c>
      <c r="BP22" s="158">
        <f>IFERROR('Similarity matrix'!BP22/'Denominator matrix'!$G$26, "NA")</f>
        <v>0</v>
      </c>
      <c r="BQ22" s="158">
        <f>IFERROR('Similarity matrix'!BQ22/'Denominator matrix'!$H$26, "NA")</f>
        <v>0</v>
      </c>
      <c r="BR22" s="158">
        <f>IFERROR('Similarity matrix'!BR22/'Denominator matrix'!$I$26, "NA")</f>
        <v>0</v>
      </c>
      <c r="BS22" s="158">
        <f>IFERROR('Similarity matrix'!BS22/'Denominator matrix'!$J$26, "NA")</f>
        <v>0</v>
      </c>
      <c r="BT22" s="160">
        <f>IFERROR('Similarity matrix'!BT22/'Denominator matrix'!$K$26, "NA")</f>
        <v>0</v>
      </c>
      <c r="BU22" s="157">
        <f>IFERROR('Similarity matrix'!BU22/'Denominator matrix'!$B$26, "NA")</f>
        <v>0</v>
      </c>
      <c r="BV22" s="158">
        <f>IFERROR('Similarity matrix'!BV22/'Denominator matrix'!$C$26, "NA")</f>
        <v>0</v>
      </c>
      <c r="BW22" s="158">
        <f>IFERROR('Similarity matrix'!BW22/'Denominator matrix'!$D$26, "NA")</f>
        <v>0.1666666667</v>
      </c>
      <c r="BX22" s="158">
        <f>IFERROR('Similarity matrix'!BX22/'Denominator matrix'!$E$26, "NA")</f>
        <v>0</v>
      </c>
      <c r="BY22" s="158">
        <f>IFERROR('Similarity matrix'!BY22/'Denominator matrix'!$F$26, "NA")</f>
        <v>0</v>
      </c>
      <c r="BZ22" s="158">
        <f>IFERROR('Similarity matrix'!BZ22/'Denominator matrix'!$G$26, "NA")</f>
        <v>0</v>
      </c>
      <c r="CA22" s="158">
        <f>IFERROR('Similarity matrix'!CA22/'Denominator matrix'!$H$26, "NA")</f>
        <v>0</v>
      </c>
      <c r="CB22" s="158">
        <f>IFERROR('Similarity matrix'!CB22/'Denominator matrix'!$I$26, "NA")</f>
        <v>0</v>
      </c>
      <c r="CC22" s="158">
        <f>IFERROR('Similarity matrix'!CC22/'Denominator matrix'!$J$26, "NA")</f>
        <v>0</v>
      </c>
      <c r="CD22" s="160">
        <f>IFERROR('Similarity matrix'!CD22/'Denominator matrix'!$K$26, "NA")</f>
        <v>0</v>
      </c>
      <c r="CE22" s="157">
        <f>IFERROR('Similarity matrix'!CE22/'Denominator matrix'!$B$26, "NA")</f>
        <v>0</v>
      </c>
      <c r="CF22" s="158">
        <f>IFERROR('Similarity matrix'!CF22/'Denominator matrix'!$C$26, "NA")</f>
        <v>0</v>
      </c>
      <c r="CG22" s="158">
        <f>IFERROR('Similarity matrix'!CG22/'Denominator matrix'!$D$26, "NA")</f>
        <v>0</v>
      </c>
      <c r="CH22" s="158">
        <f>IFERROR('Similarity matrix'!CH22/'Denominator matrix'!$E$26, "NA")</f>
        <v>0.25</v>
      </c>
      <c r="CI22" s="158">
        <f>IFERROR('Similarity matrix'!CI22/'Denominator matrix'!$F$26, "NA")</f>
        <v>0</v>
      </c>
      <c r="CJ22" s="158">
        <f>IFERROR('Similarity matrix'!CJ22/'Denominator matrix'!$G$26, "NA")</f>
        <v>0</v>
      </c>
      <c r="CK22" s="158">
        <f>IFERROR('Similarity matrix'!CK22/'Denominator matrix'!$H$26, "NA")</f>
        <v>0.25</v>
      </c>
      <c r="CL22" s="158">
        <f>IFERROR('Similarity matrix'!CL22/'Denominator matrix'!$I$26, "NA")</f>
        <v>0.1666666667</v>
      </c>
      <c r="CM22" s="158">
        <f>IFERROR('Similarity matrix'!CM22/'Denominator matrix'!$J$26, "NA")</f>
        <v>0</v>
      </c>
      <c r="CN22" s="160">
        <f>IFERROR('Similarity matrix'!CN22/'Denominator matrix'!$K$26, "NA")</f>
        <v>0</v>
      </c>
      <c r="CO22" s="157">
        <f>IFERROR('Similarity matrix'!CO22/'Denominator matrix'!$B$26, "NA")</f>
        <v>0</v>
      </c>
      <c r="CP22" s="158">
        <f>IFERROR('Similarity matrix'!CP22/'Denominator matrix'!$C$26, "NA")</f>
        <v>0</v>
      </c>
      <c r="CQ22" s="158">
        <f>IFERROR('Similarity matrix'!CQ22/'Denominator matrix'!$D$26, "NA")</f>
        <v>0</v>
      </c>
      <c r="CR22" s="158">
        <f>IFERROR('Similarity matrix'!CR22/'Denominator matrix'!$E$26, "NA")</f>
        <v>0</v>
      </c>
      <c r="CS22" s="158">
        <f>IFERROR('Similarity matrix'!CS22/'Denominator matrix'!$F$26, "NA")</f>
        <v>0</v>
      </c>
      <c r="CT22" s="158">
        <f>IFERROR('Similarity matrix'!CT22/'Denominator matrix'!$G$26, "NA")</f>
        <v>0</v>
      </c>
      <c r="CU22" s="158">
        <f>IFERROR('Similarity matrix'!CU22/'Denominator matrix'!$H$26, "NA")</f>
        <v>0</v>
      </c>
      <c r="CV22" s="158">
        <f>IFERROR('Similarity matrix'!CV22/'Denominator matrix'!$I$26, "NA")</f>
        <v>0</v>
      </c>
      <c r="CW22" s="158">
        <f>IFERROR('Similarity matrix'!CW22/'Denominator matrix'!$J$26, "NA")</f>
        <v>0</v>
      </c>
      <c r="CX22" s="160">
        <f>IFERROR('Similarity matrix'!CX22/'Denominator matrix'!$K$26, "NA")</f>
        <v>0</v>
      </c>
    </row>
    <row r="23" ht="35.25" customHeight="1">
      <c r="A23" s="138" t="s">
        <v>2937</v>
      </c>
      <c r="B23" s="124">
        <v>45660.0</v>
      </c>
      <c r="C23" s="154">
        <f>IFERROR('Similarity matrix'!C23/'Denominator matrix'!$B$17, "NA")</f>
        <v>0</v>
      </c>
      <c r="D23" s="153">
        <f>IFERROR('Similarity matrix'!D23/'Denominator matrix'!$C$17, "NA")</f>
        <v>0</v>
      </c>
      <c r="E23" s="153">
        <f>IFERROR('Similarity matrix'!E23/'Denominator matrix'!$D$17, "NA")</f>
        <v>0</v>
      </c>
      <c r="F23" s="153">
        <f>IFERROR('Similarity matrix'!F23/'Denominator matrix'!$E$17, "NA")</f>
        <v>0</v>
      </c>
      <c r="G23" s="153">
        <f>IFERROR('Similarity matrix'!G23/'Denominator matrix'!$F$17, "NA")</f>
        <v>0</v>
      </c>
      <c r="H23" s="153">
        <f>IFERROR('Similarity matrix'!H23/'Denominator matrix'!$G$17, "NA")</f>
        <v>0</v>
      </c>
      <c r="I23" s="153">
        <f>IFERROR('Similarity matrix'!I23/'Denominator matrix'!$H$17, "NA")</f>
        <v>0</v>
      </c>
      <c r="J23" s="153">
        <f>IFERROR('Similarity matrix'!J23/'Denominator matrix'!$I$17, "NA")</f>
        <v>0</v>
      </c>
      <c r="K23" s="153">
        <f>IFERROR('Similarity matrix'!K23/'Denominator matrix'!$J$17, "NA")</f>
        <v>0</v>
      </c>
      <c r="L23" s="153">
        <f>IFERROR('Similarity matrix'!L23/'Denominator matrix'!$K$17, "NA")</f>
        <v>0</v>
      </c>
      <c r="M23" s="154">
        <f>IFERROR('Similarity matrix'!M23/'Denominator matrix'!$B$17, "NA")</f>
        <v>0.05555555556</v>
      </c>
      <c r="N23" s="153">
        <f>IFERROR('Similarity matrix'!N23/'Denominator matrix'!$C$17, "NA")</f>
        <v>0</v>
      </c>
      <c r="O23" s="153">
        <f>IFERROR('Similarity matrix'!O23/'Denominator matrix'!$D$17, "NA")</f>
        <v>0</v>
      </c>
      <c r="P23" s="153">
        <f>IFERROR('Similarity matrix'!P23/'Denominator matrix'!$E$17, "NA")</f>
        <v>0</v>
      </c>
      <c r="Q23" s="153">
        <f>IFERROR('Similarity matrix'!Q23/'Denominator matrix'!$F$17, "NA")</f>
        <v>0.1</v>
      </c>
      <c r="R23" s="153">
        <f>IFERROR('Similarity matrix'!R23/'Denominator matrix'!$G$17, "NA")</f>
        <v>0.1</v>
      </c>
      <c r="S23" s="153">
        <f>IFERROR('Similarity matrix'!S23/'Denominator matrix'!$H$17, "NA")</f>
        <v>0</v>
      </c>
      <c r="T23" s="153">
        <f>IFERROR('Similarity matrix'!T23/'Denominator matrix'!$I$17, "NA")</f>
        <v>0</v>
      </c>
      <c r="U23" s="153">
        <f>IFERROR('Similarity matrix'!U23/'Denominator matrix'!$J$17, "NA")</f>
        <v>0</v>
      </c>
      <c r="V23" s="153">
        <f>IFERROR('Similarity matrix'!V23/'Denominator matrix'!$K$17, "NA")</f>
        <v>0.25</v>
      </c>
      <c r="W23" s="152">
        <f>IFERROR('Similarity matrix'!W23/'Denominator matrix'!$B$17, "NA")</f>
        <v>0</v>
      </c>
      <c r="X23" s="153">
        <f>IFERROR('Similarity matrix'!X23/'Denominator matrix'!$C$17, "NA")</f>
        <v>1</v>
      </c>
      <c r="Y23" s="153">
        <f>IFERROR('Similarity matrix'!Y23/'Denominator matrix'!$D$17, "NA")</f>
        <v>0.5</v>
      </c>
      <c r="Z23" s="153">
        <f>IFERROR('Similarity matrix'!Z23/'Denominator matrix'!$E$17, "NA")</f>
        <v>0.5</v>
      </c>
      <c r="AA23" s="153">
        <f>IFERROR('Similarity matrix'!AA23/'Denominator matrix'!$F$17, "NA")</f>
        <v>0.8</v>
      </c>
      <c r="AB23" s="153">
        <f>IFERROR('Similarity matrix'!AB23/'Denominator matrix'!$G$17, "NA")</f>
        <v>0.7</v>
      </c>
      <c r="AC23" s="153">
        <f>IFERROR('Similarity matrix'!AC23/'Denominator matrix'!$H$17, "NA")</f>
        <v>0.75</v>
      </c>
      <c r="AD23" s="153">
        <f>IFERROR('Similarity matrix'!AD23/'Denominator matrix'!$I$17, "NA")</f>
        <v>0.75</v>
      </c>
      <c r="AE23" s="153">
        <f>IFERROR('Similarity matrix'!AE23/'Denominator matrix'!$J$17, "NA")</f>
        <v>0.9</v>
      </c>
      <c r="AF23" s="153">
        <f>IFERROR('Similarity matrix'!AF23/'Denominator matrix'!$K$17, "NA")</f>
        <v>1</v>
      </c>
      <c r="AG23" s="154">
        <f>IFERROR('Similarity matrix'!AG23/'Denominator matrix'!$B$17, "NA")</f>
        <v>0</v>
      </c>
      <c r="AH23" s="153">
        <f>IFERROR('Similarity matrix'!AH23/'Denominator matrix'!$C$17, "NA")</f>
        <v>0</v>
      </c>
      <c r="AI23" s="153">
        <f>IFERROR('Similarity matrix'!AI23/'Denominator matrix'!$D$17, "NA")</f>
        <v>0</v>
      </c>
      <c r="AJ23" s="153">
        <f>IFERROR('Similarity matrix'!AJ23/'Denominator matrix'!$E$17, "NA")</f>
        <v>0</v>
      </c>
      <c r="AK23" s="153">
        <f>IFERROR('Similarity matrix'!AK23/'Denominator matrix'!$F$17, "NA")</f>
        <v>0</v>
      </c>
      <c r="AL23" s="153">
        <f>IFERROR('Similarity matrix'!AL23/'Denominator matrix'!$G$17, "NA")</f>
        <v>0</v>
      </c>
      <c r="AM23" s="153">
        <f>IFERROR('Similarity matrix'!AM23/'Denominator matrix'!$H$17, "NA")</f>
        <v>0</v>
      </c>
      <c r="AN23" s="153">
        <f>IFERROR('Similarity matrix'!AN23/'Denominator matrix'!$I$17, "NA")</f>
        <v>0</v>
      </c>
      <c r="AO23" s="153">
        <f>IFERROR('Similarity matrix'!AO23/'Denominator matrix'!$J$17, "NA")</f>
        <v>0.1</v>
      </c>
      <c r="AP23" s="153">
        <f>IFERROR('Similarity matrix'!AP23/'Denominator matrix'!$K$17, "NA")</f>
        <v>0</v>
      </c>
      <c r="AQ23" s="154">
        <f>IFERROR('Similarity matrix'!AQ23/'Denominator matrix'!$B$17, "NA")</f>
        <v>0</v>
      </c>
      <c r="AR23" s="153">
        <f>IFERROR('Similarity matrix'!AR23/'Denominator matrix'!$C$17, "NA")</f>
        <v>0</v>
      </c>
      <c r="AS23" s="153">
        <f>IFERROR('Similarity matrix'!AS23/'Denominator matrix'!$D$17, "NA")</f>
        <v>0</v>
      </c>
      <c r="AT23" s="153">
        <f>IFERROR('Similarity matrix'!AT23/'Denominator matrix'!$E$17, "NA")</f>
        <v>0</v>
      </c>
      <c r="AU23" s="153">
        <f>IFERROR('Similarity matrix'!AU23/'Denominator matrix'!$F$17, "NA")</f>
        <v>0</v>
      </c>
      <c r="AV23" s="153">
        <f>IFERROR('Similarity matrix'!AV23/'Denominator matrix'!$G$17, "NA")</f>
        <v>0</v>
      </c>
      <c r="AW23" s="153">
        <f>IFERROR('Similarity matrix'!AW23/'Denominator matrix'!$H$17, "NA")</f>
        <v>0</v>
      </c>
      <c r="AX23" s="153">
        <f>IFERROR('Similarity matrix'!AX23/'Denominator matrix'!$I$17, "NA")</f>
        <v>0</v>
      </c>
      <c r="AY23" s="153">
        <f>IFERROR('Similarity matrix'!AY23/'Denominator matrix'!$J$17, "NA")</f>
        <v>0</v>
      </c>
      <c r="AZ23" s="153">
        <f>IFERROR('Similarity matrix'!AZ23/'Denominator matrix'!$K$17, "NA")</f>
        <v>0</v>
      </c>
      <c r="BA23" s="154">
        <f>IFERROR('Similarity matrix'!BA23/'Denominator matrix'!$B$17, "NA")</f>
        <v>0</v>
      </c>
      <c r="BB23" s="153">
        <f>IFERROR('Similarity matrix'!BB23/'Denominator matrix'!$C$17, "NA")</f>
        <v>0</v>
      </c>
      <c r="BC23" s="153">
        <f>IFERROR('Similarity matrix'!BC23/'Denominator matrix'!$D$17, "NA")</f>
        <v>0</v>
      </c>
      <c r="BD23" s="153">
        <f>IFERROR('Similarity matrix'!BD23/'Denominator matrix'!$E$17, "NA")</f>
        <v>0</v>
      </c>
      <c r="BE23" s="153">
        <f>IFERROR('Similarity matrix'!BE23/'Denominator matrix'!$F$17, "NA")</f>
        <v>0</v>
      </c>
      <c r="BF23" s="153">
        <f>IFERROR('Similarity matrix'!BF23/'Denominator matrix'!$G$17, "NA")</f>
        <v>0</v>
      </c>
      <c r="BG23" s="153">
        <f>IFERROR('Similarity matrix'!BG23/'Denominator matrix'!$H$17, "NA")</f>
        <v>0</v>
      </c>
      <c r="BH23" s="153">
        <f>IFERROR('Similarity matrix'!BH23/'Denominator matrix'!$I$17, "NA")</f>
        <v>0</v>
      </c>
      <c r="BI23" s="153">
        <f>IFERROR('Similarity matrix'!BI23/'Denominator matrix'!$J$17, "NA")</f>
        <v>0</v>
      </c>
      <c r="BJ23" s="153">
        <f>IFERROR('Similarity matrix'!BJ23/'Denominator matrix'!$K$17, "NA")</f>
        <v>0</v>
      </c>
      <c r="BK23" s="154">
        <f>IFERROR('Similarity matrix'!BK23/'Denominator matrix'!$B$17, "NA")</f>
        <v>0</v>
      </c>
      <c r="BL23" s="153">
        <f>IFERROR('Similarity matrix'!BL23/'Denominator matrix'!$C$17, "NA")</f>
        <v>0</v>
      </c>
      <c r="BM23" s="153">
        <f>IFERROR('Similarity matrix'!BM23/'Denominator matrix'!$D$17, "NA")</f>
        <v>0</v>
      </c>
      <c r="BN23" s="153">
        <f>IFERROR('Similarity matrix'!BN23/'Denominator matrix'!$E$17, "NA")</f>
        <v>0</v>
      </c>
      <c r="BO23" s="153">
        <f>IFERROR('Similarity matrix'!BO23/'Denominator matrix'!$F$17, "NA")</f>
        <v>0</v>
      </c>
      <c r="BP23" s="153">
        <f>IFERROR('Similarity matrix'!BP23/'Denominator matrix'!$G$17, "NA")</f>
        <v>0</v>
      </c>
      <c r="BQ23" s="153">
        <f>IFERROR('Similarity matrix'!BQ23/'Denominator matrix'!$H$17, "NA")</f>
        <v>0</v>
      </c>
      <c r="BR23" s="153">
        <f>IFERROR('Similarity matrix'!BR23/'Denominator matrix'!$I$17, "NA")</f>
        <v>0</v>
      </c>
      <c r="BS23" s="153">
        <f>IFERROR('Similarity matrix'!BS23/'Denominator matrix'!$J$17, "NA")</f>
        <v>0</v>
      </c>
      <c r="BT23" s="153">
        <f>IFERROR('Similarity matrix'!BT23/'Denominator matrix'!$K$17, "NA")</f>
        <v>0</v>
      </c>
      <c r="BU23" s="154">
        <f>IFERROR('Similarity matrix'!BU23/'Denominator matrix'!$B$17, "NA")</f>
        <v>0</v>
      </c>
      <c r="BV23" s="153">
        <f>IFERROR('Similarity matrix'!BV23/'Denominator matrix'!$C$17, "NA")</f>
        <v>0</v>
      </c>
      <c r="BW23" s="153">
        <f>IFERROR('Similarity matrix'!BW23/'Denominator matrix'!$D$17, "NA")</f>
        <v>0</v>
      </c>
      <c r="BX23" s="153">
        <f>IFERROR('Similarity matrix'!BX23/'Denominator matrix'!$E$17, "NA")</f>
        <v>0</v>
      </c>
      <c r="BY23" s="153">
        <f>IFERROR('Similarity matrix'!BY23/'Denominator matrix'!$F$17, "NA")</f>
        <v>0</v>
      </c>
      <c r="BZ23" s="153">
        <f>IFERROR('Similarity matrix'!BZ23/'Denominator matrix'!$G$17, "NA")</f>
        <v>0</v>
      </c>
      <c r="CA23" s="153">
        <f>IFERROR('Similarity matrix'!CA23/'Denominator matrix'!$H$17, "NA")</f>
        <v>0</v>
      </c>
      <c r="CB23" s="153">
        <f>IFERROR('Similarity matrix'!CB23/'Denominator matrix'!$I$17, "NA")</f>
        <v>0</v>
      </c>
      <c r="CC23" s="153">
        <f>IFERROR('Similarity matrix'!CC23/'Denominator matrix'!$J$17, "NA")</f>
        <v>0</v>
      </c>
      <c r="CD23" s="153">
        <f>IFERROR('Similarity matrix'!CD23/'Denominator matrix'!$K$17, "NA")</f>
        <v>0</v>
      </c>
      <c r="CE23" s="154">
        <f>IFERROR('Similarity matrix'!CE23/'Denominator matrix'!$B$17, "NA")</f>
        <v>0</v>
      </c>
      <c r="CF23" s="153">
        <f>IFERROR('Similarity matrix'!CF23/'Denominator matrix'!$C$17, "NA")</f>
        <v>0</v>
      </c>
      <c r="CG23" s="153">
        <f>IFERROR('Similarity matrix'!CG23/'Denominator matrix'!$D$17, "NA")</f>
        <v>0</v>
      </c>
      <c r="CH23" s="153">
        <f>IFERROR('Similarity matrix'!CH23/'Denominator matrix'!$E$17, "NA")</f>
        <v>0</v>
      </c>
      <c r="CI23" s="153">
        <f>IFERROR('Similarity matrix'!CI23/'Denominator matrix'!$F$17, "NA")</f>
        <v>0</v>
      </c>
      <c r="CJ23" s="153">
        <f>IFERROR('Similarity matrix'!CJ23/'Denominator matrix'!$G$17, "NA")</f>
        <v>0</v>
      </c>
      <c r="CK23" s="153">
        <f>IFERROR('Similarity matrix'!CK23/'Denominator matrix'!$H$17, "NA")</f>
        <v>0</v>
      </c>
      <c r="CL23" s="153">
        <f>IFERROR('Similarity matrix'!CL23/'Denominator matrix'!$I$17, "NA")</f>
        <v>0</v>
      </c>
      <c r="CM23" s="153">
        <f>IFERROR('Similarity matrix'!CM23/'Denominator matrix'!$J$17, "NA")</f>
        <v>0</v>
      </c>
      <c r="CN23" s="153">
        <f>IFERROR('Similarity matrix'!CN23/'Denominator matrix'!$K$17, "NA")</f>
        <v>0</v>
      </c>
      <c r="CO23" s="154">
        <f>IFERROR('Similarity matrix'!CO23/'Denominator matrix'!$B$17, "NA")</f>
        <v>0</v>
      </c>
      <c r="CP23" s="153">
        <f>IFERROR('Similarity matrix'!CP23/'Denominator matrix'!$C$17, "NA")</f>
        <v>0</v>
      </c>
      <c r="CQ23" s="153">
        <f>IFERROR('Similarity matrix'!CQ23/'Denominator matrix'!$D$17, "NA")</f>
        <v>0</v>
      </c>
      <c r="CR23" s="153">
        <f>IFERROR('Similarity matrix'!CR23/'Denominator matrix'!$E$17, "NA")</f>
        <v>0</v>
      </c>
      <c r="CS23" s="153">
        <f>IFERROR('Similarity matrix'!CS23/'Denominator matrix'!$F$17, "NA")</f>
        <v>0</v>
      </c>
      <c r="CT23" s="153">
        <f>IFERROR('Similarity matrix'!CT23/'Denominator matrix'!$G$17, "NA")</f>
        <v>0</v>
      </c>
      <c r="CU23" s="153">
        <f>IFERROR('Similarity matrix'!CU23/'Denominator matrix'!$H$17, "NA")</f>
        <v>0</v>
      </c>
      <c r="CV23" s="153">
        <f>IFERROR('Similarity matrix'!CV23/'Denominator matrix'!$I$17, "NA")</f>
        <v>0</v>
      </c>
      <c r="CW23" s="153">
        <f>IFERROR('Similarity matrix'!CW23/'Denominator matrix'!$J$17, "NA")</f>
        <v>0</v>
      </c>
      <c r="CX23" s="153">
        <f>IFERROR('Similarity matrix'!CX23/'Denominator matrix'!$K$17, "NA")</f>
        <v>0</v>
      </c>
    </row>
    <row r="24" ht="35.25" customHeight="1">
      <c r="B24" s="124">
        <v>45691.0</v>
      </c>
      <c r="C24" s="154">
        <f>IFERROR('Similarity matrix'!C24/'Denominator matrix'!$B$18, "NA")</f>
        <v>0</v>
      </c>
      <c r="D24" s="156">
        <f>IFERROR('Similarity matrix'!D24/'Denominator matrix'!$C$18, "NA")</f>
        <v>0</v>
      </c>
      <c r="E24" s="153">
        <f>IFERROR('Similarity matrix'!E24/'Denominator matrix'!$D$18, "NA")</f>
        <v>0</v>
      </c>
      <c r="F24" s="153">
        <f>IFERROR('Similarity matrix'!F24/'Denominator matrix'!$E$18, "NA")</f>
        <v>0</v>
      </c>
      <c r="G24" s="153">
        <f>IFERROR('Similarity matrix'!G24/'Denominator matrix'!$F$18, "NA")</f>
        <v>0</v>
      </c>
      <c r="H24" s="153">
        <f>IFERROR('Similarity matrix'!H24/'Denominator matrix'!$G$18, "NA")</f>
        <v>0</v>
      </c>
      <c r="I24" s="153">
        <f>IFERROR('Similarity matrix'!I24/'Denominator matrix'!$H$18, "NA")</f>
        <v>0</v>
      </c>
      <c r="J24" s="153">
        <f>IFERROR('Similarity matrix'!J24/'Denominator matrix'!$I$18, "NA")</f>
        <v>0</v>
      </c>
      <c r="K24" s="153">
        <f>IFERROR('Similarity matrix'!K24/'Denominator matrix'!$J$18, "NA")</f>
        <v>0</v>
      </c>
      <c r="L24" s="153">
        <f>IFERROR('Similarity matrix'!L24/'Denominator matrix'!$K$18, "NA")</f>
        <v>0</v>
      </c>
      <c r="M24" s="154">
        <f>IFERROR('Similarity matrix'!M24/'Denominator matrix'!$B$18, "NA")</f>
        <v>0</v>
      </c>
      <c r="N24" s="156">
        <f>IFERROR('Similarity matrix'!N24/'Denominator matrix'!$C$18, "NA")</f>
        <v>0</v>
      </c>
      <c r="O24" s="153">
        <f>IFERROR('Similarity matrix'!O24/'Denominator matrix'!$D$18, "NA")</f>
        <v>0</v>
      </c>
      <c r="P24" s="153">
        <f>IFERROR('Similarity matrix'!P24/'Denominator matrix'!$E$18, "NA")</f>
        <v>0</v>
      </c>
      <c r="Q24" s="153">
        <f>IFERROR('Similarity matrix'!Q24/'Denominator matrix'!$F$18, "NA")</f>
        <v>0</v>
      </c>
      <c r="R24" s="153">
        <f>IFERROR('Similarity matrix'!R24/'Denominator matrix'!$G$18, "NA")</f>
        <v>0</v>
      </c>
      <c r="S24" s="153">
        <f>IFERROR('Similarity matrix'!S24/'Denominator matrix'!$H$18, "NA")</f>
        <v>0</v>
      </c>
      <c r="T24" s="153">
        <f>IFERROR('Similarity matrix'!T24/'Denominator matrix'!$I$18, "NA")</f>
        <v>0</v>
      </c>
      <c r="U24" s="153">
        <f>IFERROR('Similarity matrix'!U24/'Denominator matrix'!$J$18, "NA")</f>
        <v>0</v>
      </c>
      <c r="V24" s="153">
        <f>IFERROR('Similarity matrix'!V24/'Denominator matrix'!$K$18, "NA")</f>
        <v>0</v>
      </c>
      <c r="W24" s="154">
        <f>IFERROR('Similarity matrix'!W24/'Denominator matrix'!$B$18, "NA")</f>
        <v>1</v>
      </c>
      <c r="X24" s="155">
        <f>IFERROR('Similarity matrix'!X24/'Denominator matrix'!$C$18, "NA")</f>
        <v>0</v>
      </c>
      <c r="Y24" s="153">
        <f>IFERROR('Similarity matrix'!Y24/'Denominator matrix'!$D$18, "NA")</f>
        <v>0.75</v>
      </c>
      <c r="Z24" s="153">
        <f>IFERROR('Similarity matrix'!Z24/'Denominator matrix'!$E$18, "NA")</f>
        <v>1</v>
      </c>
      <c r="AA24" s="153">
        <f>IFERROR('Similarity matrix'!AA24/'Denominator matrix'!$F$18, "NA")</f>
        <v>1</v>
      </c>
      <c r="AB24" s="153">
        <f>IFERROR('Similarity matrix'!AB24/'Denominator matrix'!$G$18, "NA")</f>
        <v>1</v>
      </c>
      <c r="AC24" s="153">
        <f>IFERROR('Similarity matrix'!AC24/'Denominator matrix'!$H$18, "NA")</f>
        <v>1</v>
      </c>
      <c r="AD24" s="153">
        <f>IFERROR('Similarity matrix'!AD24/'Denominator matrix'!$I$18, "NA")</f>
        <v>1</v>
      </c>
      <c r="AE24" s="153">
        <f>IFERROR('Similarity matrix'!AE24/'Denominator matrix'!$J$18, "NA")</f>
        <v>1</v>
      </c>
      <c r="AF24" s="153">
        <f>IFERROR('Similarity matrix'!AF24/'Denominator matrix'!$K$18, "NA")</f>
        <v>1</v>
      </c>
      <c r="AG24" s="154">
        <f>IFERROR('Similarity matrix'!AG24/'Denominator matrix'!$B$18, "NA")</f>
        <v>0</v>
      </c>
      <c r="AH24" s="156">
        <f>IFERROR('Similarity matrix'!AH24/'Denominator matrix'!$C$18, "NA")</f>
        <v>0.2142857143</v>
      </c>
      <c r="AI24" s="153">
        <f>IFERROR('Similarity matrix'!AI24/'Denominator matrix'!$D$18, "NA")</f>
        <v>0.5</v>
      </c>
      <c r="AJ24" s="153">
        <f>IFERROR('Similarity matrix'!AJ24/'Denominator matrix'!$E$18, "NA")</f>
        <v>0</v>
      </c>
      <c r="AK24" s="153">
        <f>IFERROR('Similarity matrix'!AK24/'Denominator matrix'!$F$18, "NA")</f>
        <v>0</v>
      </c>
      <c r="AL24" s="153">
        <f>IFERROR('Similarity matrix'!AL24/'Denominator matrix'!$G$18, "NA")</f>
        <v>0</v>
      </c>
      <c r="AM24" s="153">
        <f>IFERROR('Similarity matrix'!AM24/'Denominator matrix'!$H$18, "NA")</f>
        <v>0</v>
      </c>
      <c r="AN24" s="153">
        <f>IFERROR('Similarity matrix'!AN24/'Denominator matrix'!$I$18, "NA")</f>
        <v>0</v>
      </c>
      <c r="AO24" s="153">
        <f>IFERROR('Similarity matrix'!AO24/'Denominator matrix'!$J$18, "NA")</f>
        <v>0</v>
      </c>
      <c r="AP24" s="153">
        <f>IFERROR('Similarity matrix'!AP24/'Denominator matrix'!$K$18, "NA")</f>
        <v>0</v>
      </c>
      <c r="AQ24" s="154">
        <f>IFERROR('Similarity matrix'!AQ24/'Denominator matrix'!$B$18, "NA")</f>
        <v>0</v>
      </c>
      <c r="AR24" s="156">
        <f>IFERROR('Similarity matrix'!AR24/'Denominator matrix'!$C$18, "NA")</f>
        <v>0</v>
      </c>
      <c r="AS24" s="153">
        <f>IFERROR('Similarity matrix'!AS24/'Denominator matrix'!$D$18, "NA")</f>
        <v>0</v>
      </c>
      <c r="AT24" s="153">
        <f>IFERROR('Similarity matrix'!AT24/'Denominator matrix'!$E$18, "NA")</f>
        <v>0</v>
      </c>
      <c r="AU24" s="153">
        <f>IFERROR('Similarity matrix'!AU24/'Denominator matrix'!$F$18, "NA")</f>
        <v>0</v>
      </c>
      <c r="AV24" s="153">
        <f>IFERROR('Similarity matrix'!AV24/'Denominator matrix'!$G$18, "NA")</f>
        <v>0</v>
      </c>
      <c r="AW24" s="153">
        <f>IFERROR('Similarity matrix'!AW24/'Denominator matrix'!$H$18, "NA")</f>
        <v>0</v>
      </c>
      <c r="AX24" s="153">
        <f>IFERROR('Similarity matrix'!AX24/'Denominator matrix'!$I$18, "NA")</f>
        <v>0</v>
      </c>
      <c r="AY24" s="153">
        <f>IFERROR('Similarity matrix'!AY24/'Denominator matrix'!$J$18, "NA")</f>
        <v>0</v>
      </c>
      <c r="AZ24" s="153">
        <f>IFERROR('Similarity matrix'!AZ24/'Denominator matrix'!$K$18, "NA")</f>
        <v>0</v>
      </c>
      <c r="BA24" s="154">
        <f>IFERROR('Similarity matrix'!BA24/'Denominator matrix'!$B$18, "NA")</f>
        <v>0</v>
      </c>
      <c r="BB24" s="156">
        <f>IFERROR('Similarity matrix'!BB24/'Denominator matrix'!$C$18, "NA")</f>
        <v>0</v>
      </c>
      <c r="BC24" s="153">
        <f>IFERROR('Similarity matrix'!BC24/'Denominator matrix'!$D$18, "NA")</f>
        <v>0</v>
      </c>
      <c r="BD24" s="153">
        <f>IFERROR('Similarity matrix'!BD24/'Denominator matrix'!$E$18, "NA")</f>
        <v>0</v>
      </c>
      <c r="BE24" s="153">
        <f>IFERROR('Similarity matrix'!BE24/'Denominator matrix'!$F$18, "NA")</f>
        <v>0</v>
      </c>
      <c r="BF24" s="153">
        <f>IFERROR('Similarity matrix'!BF24/'Denominator matrix'!$G$18, "NA")</f>
        <v>0</v>
      </c>
      <c r="BG24" s="153">
        <f>IFERROR('Similarity matrix'!BG24/'Denominator matrix'!$H$18, "NA")</f>
        <v>0</v>
      </c>
      <c r="BH24" s="153">
        <f>IFERROR('Similarity matrix'!BH24/'Denominator matrix'!$I$18, "NA")</f>
        <v>0</v>
      </c>
      <c r="BI24" s="153">
        <f>IFERROR('Similarity matrix'!BI24/'Denominator matrix'!$J$18, "NA")</f>
        <v>0</v>
      </c>
      <c r="BJ24" s="153">
        <f>IFERROR('Similarity matrix'!BJ24/'Denominator matrix'!$K$18, "NA")</f>
        <v>0</v>
      </c>
      <c r="BK24" s="154">
        <f>IFERROR('Similarity matrix'!BK24/'Denominator matrix'!$B$18, "NA")</f>
        <v>0</v>
      </c>
      <c r="BL24" s="156">
        <f>IFERROR('Similarity matrix'!BL24/'Denominator matrix'!$C$18, "NA")</f>
        <v>0</v>
      </c>
      <c r="BM24" s="153">
        <f>IFERROR('Similarity matrix'!BM24/'Denominator matrix'!$D$18, "NA")</f>
        <v>0</v>
      </c>
      <c r="BN24" s="153">
        <f>IFERROR('Similarity matrix'!BN24/'Denominator matrix'!$E$18, "NA")</f>
        <v>0</v>
      </c>
      <c r="BO24" s="153">
        <f>IFERROR('Similarity matrix'!BO24/'Denominator matrix'!$F$18, "NA")</f>
        <v>0</v>
      </c>
      <c r="BP24" s="153">
        <f>IFERROR('Similarity matrix'!BP24/'Denominator matrix'!$G$18, "NA")</f>
        <v>0</v>
      </c>
      <c r="BQ24" s="153">
        <f>IFERROR('Similarity matrix'!BQ24/'Denominator matrix'!$H$18, "NA")</f>
        <v>0</v>
      </c>
      <c r="BR24" s="153">
        <f>IFERROR('Similarity matrix'!BR24/'Denominator matrix'!$I$18, "NA")</f>
        <v>0</v>
      </c>
      <c r="BS24" s="153">
        <f>IFERROR('Similarity matrix'!BS24/'Denominator matrix'!$J$18, "NA")</f>
        <v>0</v>
      </c>
      <c r="BT24" s="153">
        <f>IFERROR('Similarity matrix'!BT24/'Denominator matrix'!$K$18, "NA")</f>
        <v>0</v>
      </c>
      <c r="BU24" s="154">
        <f>IFERROR('Similarity matrix'!BU24/'Denominator matrix'!$B$18, "NA")</f>
        <v>0</v>
      </c>
      <c r="BV24" s="156">
        <f>IFERROR('Similarity matrix'!BV24/'Denominator matrix'!$C$18, "NA")</f>
        <v>0</v>
      </c>
      <c r="BW24" s="153">
        <f>IFERROR('Similarity matrix'!BW24/'Denominator matrix'!$D$18, "NA")</f>
        <v>0</v>
      </c>
      <c r="BX24" s="153">
        <f>IFERROR('Similarity matrix'!BX24/'Denominator matrix'!$E$18, "NA")</f>
        <v>0</v>
      </c>
      <c r="BY24" s="153">
        <f>IFERROR('Similarity matrix'!BY24/'Denominator matrix'!$F$18, "NA")</f>
        <v>0</v>
      </c>
      <c r="BZ24" s="153">
        <f>IFERROR('Similarity matrix'!BZ24/'Denominator matrix'!$G$18, "NA")</f>
        <v>0</v>
      </c>
      <c r="CA24" s="153">
        <f>IFERROR('Similarity matrix'!CA24/'Denominator matrix'!$H$18, "NA")</f>
        <v>0</v>
      </c>
      <c r="CB24" s="153">
        <f>IFERROR('Similarity matrix'!CB24/'Denominator matrix'!$I$18, "NA")</f>
        <v>0</v>
      </c>
      <c r="CC24" s="153">
        <f>IFERROR('Similarity matrix'!CC24/'Denominator matrix'!$J$18, "NA")</f>
        <v>0</v>
      </c>
      <c r="CD24" s="153">
        <f>IFERROR('Similarity matrix'!CD24/'Denominator matrix'!$K$18, "NA")</f>
        <v>0</v>
      </c>
      <c r="CE24" s="154">
        <f>IFERROR('Similarity matrix'!CE24/'Denominator matrix'!$B$18, "NA")</f>
        <v>0</v>
      </c>
      <c r="CF24" s="156">
        <f>IFERROR('Similarity matrix'!CF24/'Denominator matrix'!$C$18, "NA")</f>
        <v>0</v>
      </c>
      <c r="CG24" s="153">
        <f>IFERROR('Similarity matrix'!CG24/'Denominator matrix'!$D$18, "NA")</f>
        <v>0</v>
      </c>
      <c r="CH24" s="153">
        <f>IFERROR('Similarity matrix'!CH24/'Denominator matrix'!$E$18, "NA")</f>
        <v>0</v>
      </c>
      <c r="CI24" s="153">
        <f>IFERROR('Similarity matrix'!CI24/'Denominator matrix'!$F$18, "NA")</f>
        <v>0</v>
      </c>
      <c r="CJ24" s="153">
        <f>IFERROR('Similarity matrix'!CJ24/'Denominator matrix'!$G$18, "NA")</f>
        <v>0</v>
      </c>
      <c r="CK24" s="153">
        <f>IFERROR('Similarity matrix'!CK24/'Denominator matrix'!$H$18, "NA")</f>
        <v>0</v>
      </c>
      <c r="CL24" s="153">
        <f>IFERROR('Similarity matrix'!CL24/'Denominator matrix'!$I$18, "NA")</f>
        <v>0</v>
      </c>
      <c r="CM24" s="153">
        <f>IFERROR('Similarity matrix'!CM24/'Denominator matrix'!$J$18, "NA")</f>
        <v>0</v>
      </c>
      <c r="CN24" s="153">
        <f>IFERROR('Similarity matrix'!CN24/'Denominator matrix'!$K$18, "NA")</f>
        <v>0</v>
      </c>
      <c r="CO24" s="154">
        <f>IFERROR('Similarity matrix'!CO24/'Denominator matrix'!$B$18, "NA")</f>
        <v>0</v>
      </c>
      <c r="CP24" s="156">
        <f>IFERROR('Similarity matrix'!CP24/'Denominator matrix'!$C$18, "NA")</f>
        <v>0</v>
      </c>
      <c r="CQ24" s="153">
        <f>IFERROR('Similarity matrix'!CQ24/'Denominator matrix'!$D$18, "NA")</f>
        <v>0</v>
      </c>
      <c r="CR24" s="153">
        <f>IFERROR('Similarity matrix'!CR24/'Denominator matrix'!$E$18, "NA")</f>
        <v>0</v>
      </c>
      <c r="CS24" s="153">
        <f>IFERROR('Similarity matrix'!CS24/'Denominator matrix'!$F$18, "NA")</f>
        <v>0</v>
      </c>
      <c r="CT24" s="153">
        <f>IFERROR('Similarity matrix'!CT24/'Denominator matrix'!$G$18, "NA")</f>
        <v>0</v>
      </c>
      <c r="CU24" s="153">
        <f>IFERROR('Similarity matrix'!CU24/'Denominator matrix'!$H$18, "NA")</f>
        <v>0</v>
      </c>
      <c r="CV24" s="153">
        <f>IFERROR('Similarity matrix'!CV24/'Denominator matrix'!$I$18, "NA")</f>
        <v>0</v>
      </c>
      <c r="CW24" s="153">
        <f>IFERROR('Similarity matrix'!CW24/'Denominator matrix'!$J$18, "NA")</f>
        <v>0</v>
      </c>
      <c r="CX24" s="153">
        <f>IFERROR('Similarity matrix'!CX24/'Denominator matrix'!$K$18, "NA")</f>
        <v>0</v>
      </c>
    </row>
    <row r="25" ht="35.25" customHeight="1">
      <c r="B25" s="124">
        <v>45719.0</v>
      </c>
      <c r="C25" s="154">
        <f>IFERROR('Similarity matrix'!C25/'Denominator matrix'!$B$19, "NA")</f>
        <v>0</v>
      </c>
      <c r="D25" s="153">
        <f>IFERROR('Similarity matrix'!D25/'Denominator matrix'!$C$19, "NA")</f>
        <v>0</v>
      </c>
      <c r="E25" s="156">
        <f>IFERROR('Similarity matrix'!E25/'Denominator matrix'!$D$19, "NA")</f>
        <v>0</v>
      </c>
      <c r="F25" s="153">
        <f>IFERROR('Similarity matrix'!F25/'Denominator matrix'!$E$19, "NA")</f>
        <v>0</v>
      </c>
      <c r="G25" s="153">
        <f>IFERROR('Similarity matrix'!G25/'Denominator matrix'!$F$19, "NA")</f>
        <v>0</v>
      </c>
      <c r="H25" s="153">
        <f>IFERROR('Similarity matrix'!H25/'Denominator matrix'!$G$19, "NA")</f>
        <v>0</v>
      </c>
      <c r="I25" s="153">
        <f>IFERROR('Similarity matrix'!I25/'Denominator matrix'!$H$19, "NA")</f>
        <v>0</v>
      </c>
      <c r="J25" s="153">
        <f>IFERROR('Similarity matrix'!J25/'Denominator matrix'!$I$19, "NA")</f>
        <v>0</v>
      </c>
      <c r="K25" s="153">
        <f>IFERROR('Similarity matrix'!K25/'Denominator matrix'!$J$19, "NA")</f>
        <v>0</v>
      </c>
      <c r="L25" s="153">
        <f>IFERROR('Similarity matrix'!L25/'Denominator matrix'!$K$19, "NA")</f>
        <v>0</v>
      </c>
      <c r="M25" s="154">
        <f>IFERROR('Similarity matrix'!M25/'Denominator matrix'!$B$19, "NA")</f>
        <v>0</v>
      </c>
      <c r="N25" s="153">
        <f>IFERROR('Similarity matrix'!N25/'Denominator matrix'!$C$19, "NA")</f>
        <v>0</v>
      </c>
      <c r="O25" s="156">
        <f>IFERROR('Similarity matrix'!O25/'Denominator matrix'!$D$19, "NA")</f>
        <v>0</v>
      </c>
      <c r="P25" s="153">
        <f>IFERROR('Similarity matrix'!P25/'Denominator matrix'!$E$19, "NA")</f>
        <v>0</v>
      </c>
      <c r="Q25" s="153">
        <f>IFERROR('Similarity matrix'!Q25/'Denominator matrix'!$F$19, "NA")</f>
        <v>0</v>
      </c>
      <c r="R25" s="153">
        <f>IFERROR('Similarity matrix'!R25/'Denominator matrix'!$G$19, "NA")</f>
        <v>0</v>
      </c>
      <c r="S25" s="153">
        <f>IFERROR('Similarity matrix'!S25/'Denominator matrix'!$H$19, "NA")</f>
        <v>0</v>
      </c>
      <c r="T25" s="153">
        <f>IFERROR('Similarity matrix'!T25/'Denominator matrix'!$I$19, "NA")</f>
        <v>0</v>
      </c>
      <c r="U25" s="153">
        <f>IFERROR('Similarity matrix'!U25/'Denominator matrix'!$J$19, "NA")</f>
        <v>0</v>
      </c>
      <c r="V25" s="153">
        <f>IFERROR('Similarity matrix'!V25/'Denominator matrix'!$K$19, "NA")</f>
        <v>0</v>
      </c>
      <c r="W25" s="154">
        <f>IFERROR('Similarity matrix'!W25/'Denominator matrix'!$B$19, "NA")</f>
        <v>0.25</v>
      </c>
      <c r="X25" s="153">
        <f>IFERROR('Similarity matrix'!X25/'Denominator matrix'!$C$19, "NA")</f>
        <v>0.75</v>
      </c>
      <c r="Y25" s="155">
        <f>IFERROR('Similarity matrix'!Y25/'Denominator matrix'!$D$19, "NA")</f>
        <v>0</v>
      </c>
      <c r="Z25" s="153">
        <f>IFERROR('Similarity matrix'!Z25/'Denominator matrix'!$E$19, "NA")</f>
        <v>0.75</v>
      </c>
      <c r="AA25" s="153">
        <f>IFERROR('Similarity matrix'!AA25/'Denominator matrix'!$F$19, "NA")</f>
        <v>0.5</v>
      </c>
      <c r="AB25" s="153">
        <f>IFERROR('Similarity matrix'!AB25/'Denominator matrix'!$G$19, "NA")</f>
        <v>0.5</v>
      </c>
      <c r="AC25" s="153">
        <f>IFERROR('Similarity matrix'!AC25/'Denominator matrix'!$H$19, "NA")</f>
        <v>0.875</v>
      </c>
      <c r="AD25" s="153">
        <f>IFERROR('Similarity matrix'!AD25/'Denominator matrix'!$I$19, "NA")</f>
        <v>0.8333333333</v>
      </c>
      <c r="AE25" s="153">
        <f>IFERROR('Similarity matrix'!AE25/'Denominator matrix'!$J$19, "NA")</f>
        <v>1</v>
      </c>
      <c r="AF25" s="153">
        <f>IFERROR('Similarity matrix'!AF25/'Denominator matrix'!$K$19, "NA")</f>
        <v>1</v>
      </c>
      <c r="AG25" s="154">
        <f>IFERROR('Similarity matrix'!AG25/'Denominator matrix'!$B$19, "NA")</f>
        <v>0</v>
      </c>
      <c r="AH25" s="153">
        <f>IFERROR('Similarity matrix'!AH25/'Denominator matrix'!$C$19, "NA")</f>
        <v>0.75</v>
      </c>
      <c r="AI25" s="156">
        <f>IFERROR('Similarity matrix'!AI25/'Denominator matrix'!$D$19, "NA")</f>
        <v>0.25</v>
      </c>
      <c r="AJ25" s="153">
        <f>IFERROR('Similarity matrix'!AJ25/'Denominator matrix'!$E$19, "NA")</f>
        <v>0</v>
      </c>
      <c r="AK25" s="153">
        <f>IFERROR('Similarity matrix'!AK25/'Denominator matrix'!$F$19, "NA")</f>
        <v>0</v>
      </c>
      <c r="AL25" s="153">
        <f>IFERROR('Similarity matrix'!AL25/'Denominator matrix'!$G$19, "NA")</f>
        <v>0</v>
      </c>
      <c r="AM25" s="153">
        <f>IFERROR('Similarity matrix'!AM25/'Denominator matrix'!$H$19, "NA")</f>
        <v>0</v>
      </c>
      <c r="AN25" s="153">
        <f>IFERROR('Similarity matrix'!AN25/'Denominator matrix'!$I$19, "NA")</f>
        <v>0</v>
      </c>
      <c r="AO25" s="153">
        <f>IFERROR('Similarity matrix'!AO25/'Denominator matrix'!$J$19, "NA")</f>
        <v>0</v>
      </c>
      <c r="AP25" s="153">
        <f>IFERROR('Similarity matrix'!AP25/'Denominator matrix'!$K$19, "NA")</f>
        <v>0</v>
      </c>
      <c r="AQ25" s="154">
        <f>IFERROR('Similarity matrix'!AQ25/'Denominator matrix'!$B$19, "NA")</f>
        <v>0</v>
      </c>
      <c r="AR25" s="153">
        <f>IFERROR('Similarity matrix'!AR25/'Denominator matrix'!$C$19, "NA")</f>
        <v>0</v>
      </c>
      <c r="AS25" s="156">
        <f>IFERROR('Similarity matrix'!AS25/'Denominator matrix'!$D$19, "NA")</f>
        <v>0</v>
      </c>
      <c r="AT25" s="153">
        <f>IFERROR('Similarity matrix'!AT25/'Denominator matrix'!$E$19, "NA")</f>
        <v>0</v>
      </c>
      <c r="AU25" s="153">
        <f>IFERROR('Similarity matrix'!AU25/'Denominator matrix'!$F$19, "NA")</f>
        <v>0</v>
      </c>
      <c r="AV25" s="153">
        <f>IFERROR('Similarity matrix'!AV25/'Denominator matrix'!$G$19, "NA")</f>
        <v>0</v>
      </c>
      <c r="AW25" s="153">
        <f>IFERROR('Similarity matrix'!AW25/'Denominator matrix'!$H$19, "NA")</f>
        <v>0</v>
      </c>
      <c r="AX25" s="153">
        <f>IFERROR('Similarity matrix'!AX25/'Denominator matrix'!$I$19, "NA")</f>
        <v>0</v>
      </c>
      <c r="AY25" s="153">
        <f>IFERROR('Similarity matrix'!AY25/'Denominator matrix'!$J$19, "NA")</f>
        <v>0</v>
      </c>
      <c r="AZ25" s="153">
        <f>IFERROR('Similarity matrix'!AZ25/'Denominator matrix'!$K$19, "NA")</f>
        <v>0</v>
      </c>
      <c r="BA25" s="154">
        <f>IFERROR('Similarity matrix'!BA25/'Denominator matrix'!$B$19, "NA")</f>
        <v>0</v>
      </c>
      <c r="BB25" s="153">
        <f>IFERROR('Similarity matrix'!BB25/'Denominator matrix'!$C$19, "NA")</f>
        <v>0</v>
      </c>
      <c r="BC25" s="156">
        <f>IFERROR('Similarity matrix'!BC25/'Denominator matrix'!$D$19, "NA")</f>
        <v>0</v>
      </c>
      <c r="BD25" s="153">
        <f>IFERROR('Similarity matrix'!BD25/'Denominator matrix'!$E$19, "NA")</f>
        <v>0</v>
      </c>
      <c r="BE25" s="153">
        <f>IFERROR('Similarity matrix'!BE25/'Denominator matrix'!$F$19, "NA")</f>
        <v>0</v>
      </c>
      <c r="BF25" s="153">
        <f>IFERROR('Similarity matrix'!BF25/'Denominator matrix'!$G$19, "NA")</f>
        <v>0</v>
      </c>
      <c r="BG25" s="153">
        <f>IFERROR('Similarity matrix'!BG25/'Denominator matrix'!$H$19, "NA")</f>
        <v>0</v>
      </c>
      <c r="BH25" s="153">
        <f>IFERROR('Similarity matrix'!BH25/'Denominator matrix'!$I$19, "NA")</f>
        <v>0</v>
      </c>
      <c r="BI25" s="153">
        <f>IFERROR('Similarity matrix'!BI25/'Denominator matrix'!$J$19, "NA")</f>
        <v>0</v>
      </c>
      <c r="BJ25" s="153">
        <f>IFERROR('Similarity matrix'!BJ25/'Denominator matrix'!$K$19, "NA")</f>
        <v>0</v>
      </c>
      <c r="BK25" s="154">
        <f>IFERROR('Similarity matrix'!BK25/'Denominator matrix'!$B$19, "NA")</f>
        <v>0</v>
      </c>
      <c r="BL25" s="153">
        <f>IFERROR('Similarity matrix'!BL25/'Denominator matrix'!$C$19, "NA")</f>
        <v>0</v>
      </c>
      <c r="BM25" s="156">
        <f>IFERROR('Similarity matrix'!BM25/'Denominator matrix'!$D$19, "NA")</f>
        <v>0</v>
      </c>
      <c r="BN25" s="153">
        <f>IFERROR('Similarity matrix'!BN25/'Denominator matrix'!$E$19, "NA")</f>
        <v>0</v>
      </c>
      <c r="BO25" s="153">
        <f>IFERROR('Similarity matrix'!BO25/'Denominator matrix'!$F$19, "NA")</f>
        <v>0</v>
      </c>
      <c r="BP25" s="153">
        <f>IFERROR('Similarity matrix'!BP25/'Denominator matrix'!$G$19, "NA")</f>
        <v>0</v>
      </c>
      <c r="BQ25" s="153">
        <f>IFERROR('Similarity matrix'!BQ25/'Denominator matrix'!$H$19, "NA")</f>
        <v>0</v>
      </c>
      <c r="BR25" s="153">
        <f>IFERROR('Similarity matrix'!BR25/'Denominator matrix'!$I$19, "NA")</f>
        <v>0</v>
      </c>
      <c r="BS25" s="153">
        <f>IFERROR('Similarity matrix'!BS25/'Denominator matrix'!$J$19, "NA")</f>
        <v>0</v>
      </c>
      <c r="BT25" s="153">
        <f>IFERROR('Similarity matrix'!BT25/'Denominator matrix'!$K$19, "NA")</f>
        <v>0</v>
      </c>
      <c r="BU25" s="154">
        <f>IFERROR('Similarity matrix'!BU25/'Denominator matrix'!$B$19, "NA")</f>
        <v>0</v>
      </c>
      <c r="BV25" s="153">
        <f>IFERROR('Similarity matrix'!BV25/'Denominator matrix'!$C$19, "NA")</f>
        <v>0</v>
      </c>
      <c r="BW25" s="156">
        <f>IFERROR('Similarity matrix'!BW25/'Denominator matrix'!$D$19, "NA")</f>
        <v>0</v>
      </c>
      <c r="BX25" s="153">
        <f>IFERROR('Similarity matrix'!BX25/'Denominator matrix'!$E$19, "NA")</f>
        <v>0</v>
      </c>
      <c r="BY25" s="153">
        <f>IFERROR('Similarity matrix'!BY25/'Denominator matrix'!$F$19, "NA")</f>
        <v>0</v>
      </c>
      <c r="BZ25" s="153">
        <f>IFERROR('Similarity matrix'!BZ25/'Denominator matrix'!$G$19, "NA")</f>
        <v>0</v>
      </c>
      <c r="CA25" s="153">
        <f>IFERROR('Similarity matrix'!CA25/'Denominator matrix'!$H$19, "NA")</f>
        <v>0</v>
      </c>
      <c r="CB25" s="153">
        <f>IFERROR('Similarity matrix'!CB25/'Denominator matrix'!$I$19, "NA")</f>
        <v>0</v>
      </c>
      <c r="CC25" s="153">
        <f>IFERROR('Similarity matrix'!CC25/'Denominator matrix'!$J$19, "NA")</f>
        <v>0</v>
      </c>
      <c r="CD25" s="153">
        <f>IFERROR('Similarity matrix'!CD25/'Denominator matrix'!$K$19, "NA")</f>
        <v>0</v>
      </c>
      <c r="CE25" s="154">
        <f>IFERROR('Similarity matrix'!CE25/'Denominator matrix'!$B$19, "NA")</f>
        <v>0</v>
      </c>
      <c r="CF25" s="153">
        <f>IFERROR('Similarity matrix'!CF25/'Denominator matrix'!$C$19, "NA")</f>
        <v>0</v>
      </c>
      <c r="CG25" s="156">
        <f>IFERROR('Similarity matrix'!CG25/'Denominator matrix'!$D$19, "NA")</f>
        <v>0</v>
      </c>
      <c r="CH25" s="153">
        <f>IFERROR('Similarity matrix'!CH25/'Denominator matrix'!$E$19, "NA")</f>
        <v>0</v>
      </c>
      <c r="CI25" s="153">
        <f>IFERROR('Similarity matrix'!CI25/'Denominator matrix'!$F$19, "NA")</f>
        <v>0</v>
      </c>
      <c r="CJ25" s="153">
        <f>IFERROR('Similarity matrix'!CJ25/'Denominator matrix'!$G$19, "NA")</f>
        <v>0</v>
      </c>
      <c r="CK25" s="153">
        <f>IFERROR('Similarity matrix'!CK25/'Denominator matrix'!$H$19, "NA")</f>
        <v>0</v>
      </c>
      <c r="CL25" s="153">
        <f>IFERROR('Similarity matrix'!CL25/'Denominator matrix'!$I$19, "NA")</f>
        <v>0</v>
      </c>
      <c r="CM25" s="153">
        <f>IFERROR('Similarity matrix'!CM25/'Denominator matrix'!$J$19, "NA")</f>
        <v>0</v>
      </c>
      <c r="CN25" s="153">
        <f>IFERROR('Similarity matrix'!CN25/'Denominator matrix'!$K$19, "NA")</f>
        <v>0</v>
      </c>
      <c r="CO25" s="154">
        <f>IFERROR('Similarity matrix'!CO25/'Denominator matrix'!$B$19, "NA")</f>
        <v>0</v>
      </c>
      <c r="CP25" s="153">
        <f>IFERROR('Similarity matrix'!CP25/'Denominator matrix'!$C$19, "NA")</f>
        <v>0</v>
      </c>
      <c r="CQ25" s="156">
        <f>IFERROR('Similarity matrix'!CQ25/'Denominator matrix'!$D$19, "NA")</f>
        <v>0</v>
      </c>
      <c r="CR25" s="153">
        <f>IFERROR('Similarity matrix'!CR25/'Denominator matrix'!$E$19, "NA")</f>
        <v>0</v>
      </c>
      <c r="CS25" s="153">
        <f>IFERROR('Similarity matrix'!CS25/'Denominator matrix'!$F$19, "NA")</f>
        <v>0</v>
      </c>
      <c r="CT25" s="153">
        <f>IFERROR('Similarity matrix'!CT25/'Denominator matrix'!$G$19, "NA")</f>
        <v>0</v>
      </c>
      <c r="CU25" s="153">
        <f>IFERROR('Similarity matrix'!CU25/'Denominator matrix'!$H$19, "NA")</f>
        <v>0</v>
      </c>
      <c r="CV25" s="153">
        <f>IFERROR('Similarity matrix'!CV25/'Denominator matrix'!$I$19, "NA")</f>
        <v>0</v>
      </c>
      <c r="CW25" s="153">
        <f>IFERROR('Similarity matrix'!CW25/'Denominator matrix'!$J$19, "NA")</f>
        <v>0.25</v>
      </c>
      <c r="CX25" s="153">
        <f>IFERROR('Similarity matrix'!CX25/'Denominator matrix'!$K$19, "NA")</f>
        <v>0</v>
      </c>
    </row>
    <row r="26" ht="35.25" customHeight="1">
      <c r="B26" s="124">
        <v>45750.0</v>
      </c>
      <c r="C26" s="154">
        <f>IFERROR('Similarity matrix'!C26/'Denominator matrix'!$B$20, "NA")</f>
        <v>0</v>
      </c>
      <c r="D26" s="153">
        <f>IFERROR('Similarity matrix'!D26/'Denominator matrix'!$C$20, "NA")</f>
        <v>0</v>
      </c>
      <c r="E26" s="153">
        <f>IFERROR('Similarity matrix'!E26/'Denominator matrix'!$D$20, "NA")</f>
        <v>0</v>
      </c>
      <c r="F26" s="156">
        <f>IFERROR('Similarity matrix'!F26/'Denominator matrix'!$E$20, "NA")</f>
        <v>0</v>
      </c>
      <c r="G26" s="153">
        <f>IFERROR('Similarity matrix'!G26/'Denominator matrix'!$F$20, "NA")</f>
        <v>0</v>
      </c>
      <c r="H26" s="153">
        <f>IFERROR('Similarity matrix'!H26/'Denominator matrix'!$G$20, "NA")</f>
        <v>0</v>
      </c>
      <c r="I26" s="153">
        <f>IFERROR('Similarity matrix'!I26/'Denominator matrix'!$H$20, "NA")</f>
        <v>0</v>
      </c>
      <c r="J26" s="153">
        <f>IFERROR('Similarity matrix'!J26/'Denominator matrix'!$I$20, "NA")</f>
        <v>0</v>
      </c>
      <c r="K26" s="153">
        <f>IFERROR('Similarity matrix'!K26/'Denominator matrix'!$J$20, "NA")</f>
        <v>0</v>
      </c>
      <c r="L26" s="153">
        <f>IFERROR('Similarity matrix'!L26/'Denominator matrix'!$K$20, "NA")</f>
        <v>0</v>
      </c>
      <c r="M26" s="154">
        <f>IFERROR('Similarity matrix'!M26/'Denominator matrix'!$B$20, "NA")</f>
        <v>0</v>
      </c>
      <c r="N26" s="153">
        <f>IFERROR('Similarity matrix'!N26/'Denominator matrix'!$C$20, "NA")</f>
        <v>0</v>
      </c>
      <c r="O26" s="153">
        <f>IFERROR('Similarity matrix'!O26/'Denominator matrix'!$D$20, "NA")</f>
        <v>0</v>
      </c>
      <c r="P26" s="156">
        <f>IFERROR('Similarity matrix'!P26/'Denominator matrix'!$E$20, "NA")</f>
        <v>0</v>
      </c>
      <c r="Q26" s="153">
        <f>IFERROR('Similarity matrix'!Q26/'Denominator matrix'!$F$20, "NA")</f>
        <v>0</v>
      </c>
      <c r="R26" s="153">
        <f>IFERROR('Similarity matrix'!R26/'Denominator matrix'!$G$20, "NA")</f>
        <v>0</v>
      </c>
      <c r="S26" s="153">
        <f>IFERROR('Similarity matrix'!S26/'Denominator matrix'!$H$20, "NA")</f>
        <v>0</v>
      </c>
      <c r="T26" s="153">
        <f>IFERROR('Similarity matrix'!T26/'Denominator matrix'!$I$20, "NA")</f>
        <v>0</v>
      </c>
      <c r="U26" s="153">
        <f>IFERROR('Similarity matrix'!U26/'Denominator matrix'!$J$20, "NA")</f>
        <v>0</v>
      </c>
      <c r="V26" s="153">
        <f>IFERROR('Similarity matrix'!V26/'Denominator matrix'!$K$20, "NA")</f>
        <v>0</v>
      </c>
      <c r="W26" s="154">
        <f>IFERROR('Similarity matrix'!W26/'Denominator matrix'!$B$20, "NA")</f>
        <v>0.5</v>
      </c>
      <c r="X26" s="153">
        <f>IFERROR('Similarity matrix'!X26/'Denominator matrix'!$C$20, "NA")</f>
        <v>1</v>
      </c>
      <c r="Y26" s="153">
        <f>IFERROR('Similarity matrix'!Y26/'Denominator matrix'!$D$20, "NA")</f>
        <v>0.75</v>
      </c>
      <c r="Z26" s="155">
        <f>IFERROR('Similarity matrix'!Z26/'Denominator matrix'!$E$20, "NA")</f>
        <v>0</v>
      </c>
      <c r="AA26" s="153">
        <f>IFERROR('Similarity matrix'!AA26/'Denominator matrix'!$F$20, "NA")</f>
        <v>1</v>
      </c>
      <c r="AB26" s="153">
        <f>IFERROR('Similarity matrix'!AB26/'Denominator matrix'!$G$20, "NA")</f>
        <v>0.5</v>
      </c>
      <c r="AC26" s="153">
        <f>IFERROR('Similarity matrix'!AC26/'Denominator matrix'!$H$20, "NA")</f>
        <v>1</v>
      </c>
      <c r="AD26" s="153">
        <f>IFERROR('Similarity matrix'!AD26/'Denominator matrix'!$I$20, "NA")</f>
        <v>1</v>
      </c>
      <c r="AE26" s="153">
        <f>IFERROR('Similarity matrix'!AE26/'Denominator matrix'!$J$20, "NA")</f>
        <v>1</v>
      </c>
      <c r="AF26" s="153">
        <f>IFERROR('Similarity matrix'!AF26/'Denominator matrix'!$K$20, "NA")</f>
        <v>1</v>
      </c>
      <c r="AG26" s="154">
        <f>IFERROR('Similarity matrix'!AG26/'Denominator matrix'!$B$20, "NA")</f>
        <v>0</v>
      </c>
      <c r="AH26" s="153">
        <f>IFERROR('Similarity matrix'!AH26/'Denominator matrix'!$C$20, "NA")</f>
        <v>0.25</v>
      </c>
      <c r="AI26" s="153">
        <f>IFERROR('Similarity matrix'!AI26/'Denominator matrix'!$D$20, "NA")</f>
        <v>0.125</v>
      </c>
      <c r="AJ26" s="156">
        <f>IFERROR('Similarity matrix'!AJ26/'Denominator matrix'!$E$20, "NA")</f>
        <v>0</v>
      </c>
      <c r="AK26" s="153">
        <f>IFERROR('Similarity matrix'!AK26/'Denominator matrix'!$F$20, "NA")</f>
        <v>0</v>
      </c>
      <c r="AL26" s="153">
        <f>IFERROR('Similarity matrix'!AL26/'Denominator matrix'!$G$20, "NA")</f>
        <v>0</v>
      </c>
      <c r="AM26" s="153">
        <f>IFERROR('Similarity matrix'!AM26/'Denominator matrix'!$H$20, "NA")</f>
        <v>0</v>
      </c>
      <c r="AN26" s="153">
        <f>IFERROR('Similarity matrix'!AN26/'Denominator matrix'!$I$20, "NA")</f>
        <v>0</v>
      </c>
      <c r="AO26" s="153">
        <f>IFERROR('Similarity matrix'!AO26/'Denominator matrix'!$J$20, "NA")</f>
        <v>0</v>
      </c>
      <c r="AP26" s="153">
        <f>IFERROR('Similarity matrix'!AP26/'Denominator matrix'!$K$20, "NA")</f>
        <v>0</v>
      </c>
      <c r="AQ26" s="154">
        <f>IFERROR('Similarity matrix'!AQ26/'Denominator matrix'!$B$20, "NA")</f>
        <v>0</v>
      </c>
      <c r="AR26" s="153">
        <f>IFERROR('Similarity matrix'!AR26/'Denominator matrix'!$C$20, "NA")</f>
        <v>0</v>
      </c>
      <c r="AS26" s="153">
        <f>IFERROR('Similarity matrix'!AS26/'Denominator matrix'!$D$20, "NA")</f>
        <v>0</v>
      </c>
      <c r="AT26" s="156">
        <f>IFERROR('Similarity matrix'!AT26/'Denominator matrix'!$E$20, "NA")</f>
        <v>0</v>
      </c>
      <c r="AU26" s="153">
        <f>IFERROR('Similarity matrix'!AU26/'Denominator matrix'!$F$20, "NA")</f>
        <v>0</v>
      </c>
      <c r="AV26" s="153">
        <f>IFERROR('Similarity matrix'!AV26/'Denominator matrix'!$G$20, "NA")</f>
        <v>0</v>
      </c>
      <c r="AW26" s="153">
        <f>IFERROR('Similarity matrix'!AW26/'Denominator matrix'!$H$20, "NA")</f>
        <v>0</v>
      </c>
      <c r="AX26" s="153">
        <f>IFERROR('Similarity matrix'!AX26/'Denominator matrix'!$I$20, "NA")</f>
        <v>0</v>
      </c>
      <c r="AY26" s="153">
        <f>IFERROR('Similarity matrix'!AY26/'Denominator matrix'!$J$20, "NA")</f>
        <v>0</v>
      </c>
      <c r="AZ26" s="153">
        <f>IFERROR('Similarity matrix'!AZ26/'Denominator matrix'!$K$20, "NA")</f>
        <v>0</v>
      </c>
      <c r="BA26" s="154">
        <f>IFERROR('Similarity matrix'!BA26/'Denominator matrix'!$B$20, "NA")</f>
        <v>0</v>
      </c>
      <c r="BB26" s="153">
        <f>IFERROR('Similarity matrix'!BB26/'Denominator matrix'!$C$20, "NA")</f>
        <v>0</v>
      </c>
      <c r="BC26" s="153">
        <f>IFERROR('Similarity matrix'!BC26/'Denominator matrix'!$D$20, "NA")</f>
        <v>0</v>
      </c>
      <c r="BD26" s="156">
        <f>IFERROR('Similarity matrix'!BD26/'Denominator matrix'!$E$20, "NA")</f>
        <v>0</v>
      </c>
      <c r="BE26" s="153">
        <f>IFERROR('Similarity matrix'!BE26/'Denominator matrix'!$F$20, "NA")</f>
        <v>0</v>
      </c>
      <c r="BF26" s="153">
        <f>IFERROR('Similarity matrix'!BF26/'Denominator matrix'!$G$20, "NA")</f>
        <v>0</v>
      </c>
      <c r="BG26" s="153">
        <f>IFERROR('Similarity matrix'!BG26/'Denominator matrix'!$H$20, "NA")</f>
        <v>0</v>
      </c>
      <c r="BH26" s="153">
        <f>IFERROR('Similarity matrix'!BH26/'Denominator matrix'!$I$20, "NA")</f>
        <v>0</v>
      </c>
      <c r="BI26" s="153">
        <f>IFERROR('Similarity matrix'!BI26/'Denominator matrix'!$J$20, "NA")</f>
        <v>0</v>
      </c>
      <c r="BJ26" s="153">
        <f>IFERROR('Similarity matrix'!BJ26/'Denominator matrix'!$K$20, "NA")</f>
        <v>0</v>
      </c>
      <c r="BK26" s="154">
        <f>IFERROR('Similarity matrix'!BK26/'Denominator matrix'!$B$20, "NA")</f>
        <v>0</v>
      </c>
      <c r="BL26" s="153">
        <f>IFERROR('Similarity matrix'!BL26/'Denominator matrix'!$C$20, "NA")</f>
        <v>0</v>
      </c>
      <c r="BM26" s="153">
        <f>IFERROR('Similarity matrix'!BM26/'Denominator matrix'!$D$20, "NA")</f>
        <v>0</v>
      </c>
      <c r="BN26" s="156">
        <f>IFERROR('Similarity matrix'!BN26/'Denominator matrix'!$E$20, "NA")</f>
        <v>0</v>
      </c>
      <c r="BO26" s="153">
        <f>IFERROR('Similarity matrix'!BO26/'Denominator matrix'!$F$20, "NA")</f>
        <v>0</v>
      </c>
      <c r="BP26" s="153">
        <f>IFERROR('Similarity matrix'!BP26/'Denominator matrix'!$G$20, "NA")</f>
        <v>0</v>
      </c>
      <c r="BQ26" s="153">
        <f>IFERROR('Similarity matrix'!BQ26/'Denominator matrix'!$H$20, "NA")</f>
        <v>0</v>
      </c>
      <c r="BR26" s="153">
        <f>IFERROR('Similarity matrix'!BR26/'Denominator matrix'!$I$20, "NA")</f>
        <v>0</v>
      </c>
      <c r="BS26" s="153">
        <f>IFERROR('Similarity matrix'!BS26/'Denominator matrix'!$J$20, "NA")</f>
        <v>0</v>
      </c>
      <c r="BT26" s="153">
        <f>IFERROR('Similarity matrix'!BT26/'Denominator matrix'!$K$20, "NA")</f>
        <v>0</v>
      </c>
      <c r="BU26" s="154">
        <f>IFERROR('Similarity matrix'!BU26/'Denominator matrix'!$B$20, "NA")</f>
        <v>0</v>
      </c>
      <c r="BV26" s="153">
        <f>IFERROR('Similarity matrix'!BV26/'Denominator matrix'!$C$20, "NA")</f>
        <v>0</v>
      </c>
      <c r="BW26" s="153">
        <f>IFERROR('Similarity matrix'!BW26/'Denominator matrix'!$D$20, "NA")</f>
        <v>0</v>
      </c>
      <c r="BX26" s="156">
        <f>IFERROR('Similarity matrix'!BX26/'Denominator matrix'!$E$20, "NA")</f>
        <v>0</v>
      </c>
      <c r="BY26" s="153">
        <f>IFERROR('Similarity matrix'!BY26/'Denominator matrix'!$F$20, "NA")</f>
        <v>0</v>
      </c>
      <c r="BZ26" s="153">
        <f>IFERROR('Similarity matrix'!BZ26/'Denominator matrix'!$G$20, "NA")</f>
        <v>0</v>
      </c>
      <c r="CA26" s="153">
        <f>IFERROR('Similarity matrix'!CA26/'Denominator matrix'!$H$20, "NA")</f>
        <v>0</v>
      </c>
      <c r="CB26" s="153">
        <f>IFERROR('Similarity matrix'!CB26/'Denominator matrix'!$I$20, "NA")</f>
        <v>0</v>
      </c>
      <c r="CC26" s="153">
        <f>IFERROR('Similarity matrix'!CC26/'Denominator matrix'!$J$20, "NA")</f>
        <v>0</v>
      </c>
      <c r="CD26" s="153">
        <f>IFERROR('Similarity matrix'!CD26/'Denominator matrix'!$K$20, "NA")</f>
        <v>0</v>
      </c>
      <c r="CE26" s="154">
        <f>IFERROR('Similarity matrix'!CE26/'Denominator matrix'!$B$20, "NA")</f>
        <v>0</v>
      </c>
      <c r="CF26" s="153">
        <f>IFERROR('Similarity matrix'!CF26/'Denominator matrix'!$C$20, "NA")</f>
        <v>0</v>
      </c>
      <c r="CG26" s="153">
        <f>IFERROR('Similarity matrix'!CG26/'Denominator matrix'!$D$20, "NA")</f>
        <v>0</v>
      </c>
      <c r="CH26" s="156">
        <f>IFERROR('Similarity matrix'!CH26/'Denominator matrix'!$E$20, "NA")</f>
        <v>0</v>
      </c>
      <c r="CI26" s="153">
        <f>IFERROR('Similarity matrix'!CI26/'Denominator matrix'!$F$20, "NA")</f>
        <v>0</v>
      </c>
      <c r="CJ26" s="153">
        <f>IFERROR('Similarity matrix'!CJ26/'Denominator matrix'!$G$20, "NA")</f>
        <v>0</v>
      </c>
      <c r="CK26" s="153">
        <f>IFERROR('Similarity matrix'!CK26/'Denominator matrix'!$H$20, "NA")</f>
        <v>0</v>
      </c>
      <c r="CL26" s="153">
        <f>IFERROR('Similarity matrix'!CL26/'Denominator matrix'!$I$20, "NA")</f>
        <v>0</v>
      </c>
      <c r="CM26" s="153">
        <f>IFERROR('Similarity matrix'!CM26/'Denominator matrix'!$J$20, "NA")</f>
        <v>0</v>
      </c>
      <c r="CN26" s="153">
        <f>IFERROR('Similarity matrix'!CN26/'Denominator matrix'!$K$20, "NA")</f>
        <v>0</v>
      </c>
      <c r="CO26" s="154">
        <f>IFERROR('Similarity matrix'!CO26/'Denominator matrix'!$B$20, "NA")</f>
        <v>0</v>
      </c>
      <c r="CP26" s="153">
        <f>IFERROR('Similarity matrix'!CP26/'Denominator matrix'!$C$20, "NA")</f>
        <v>0</v>
      </c>
      <c r="CQ26" s="153">
        <f>IFERROR('Similarity matrix'!CQ26/'Denominator matrix'!$D$20, "NA")</f>
        <v>0</v>
      </c>
      <c r="CR26" s="156">
        <f>IFERROR('Similarity matrix'!CR26/'Denominator matrix'!$E$20, "NA")</f>
        <v>0</v>
      </c>
      <c r="CS26" s="153">
        <f>IFERROR('Similarity matrix'!CS26/'Denominator matrix'!$F$20, "NA")</f>
        <v>0</v>
      </c>
      <c r="CT26" s="153">
        <f>IFERROR('Similarity matrix'!CT26/'Denominator matrix'!$G$20, "NA")</f>
        <v>0</v>
      </c>
      <c r="CU26" s="153">
        <f>IFERROR('Similarity matrix'!CU26/'Denominator matrix'!$H$20, "NA")</f>
        <v>0</v>
      </c>
      <c r="CV26" s="153">
        <f>IFERROR('Similarity matrix'!CV26/'Denominator matrix'!$I$20, "NA")</f>
        <v>0</v>
      </c>
      <c r="CW26" s="153">
        <f>IFERROR('Similarity matrix'!CW26/'Denominator matrix'!$J$20, "NA")</f>
        <v>0.1666666667</v>
      </c>
      <c r="CX26" s="153">
        <f>IFERROR('Similarity matrix'!CX26/'Denominator matrix'!$K$20, "NA")</f>
        <v>0</v>
      </c>
    </row>
    <row r="27" ht="35.25" customHeight="1">
      <c r="B27" s="124">
        <v>45780.0</v>
      </c>
      <c r="C27" s="154">
        <f>IFERROR('Similarity matrix'!C27/'Denominator matrix'!$B$21, "NA")</f>
        <v>0</v>
      </c>
      <c r="D27" s="153">
        <f>IFERROR('Similarity matrix'!D27/'Denominator matrix'!$C$21, "NA")</f>
        <v>0</v>
      </c>
      <c r="E27" s="153">
        <f>IFERROR('Similarity matrix'!E27/'Denominator matrix'!$D$21, "NA")</f>
        <v>0</v>
      </c>
      <c r="F27" s="153">
        <f>IFERROR('Similarity matrix'!F27/'Denominator matrix'!$E$21, "NA")</f>
        <v>0</v>
      </c>
      <c r="G27" s="156">
        <f>IFERROR('Similarity matrix'!G27/'Denominator matrix'!$F$21, "NA")</f>
        <v>0</v>
      </c>
      <c r="H27" s="153">
        <f>IFERROR('Similarity matrix'!H27/'Denominator matrix'!$G$21, "NA")</f>
        <v>0</v>
      </c>
      <c r="I27" s="153">
        <f>IFERROR('Similarity matrix'!I27/'Denominator matrix'!$H$21, "NA")</f>
        <v>0</v>
      </c>
      <c r="J27" s="153">
        <f>IFERROR('Similarity matrix'!J27/'Denominator matrix'!$I$21, "NA")</f>
        <v>0</v>
      </c>
      <c r="K27" s="153">
        <f>IFERROR('Similarity matrix'!K27/'Denominator matrix'!$J$21, "NA")</f>
        <v>0</v>
      </c>
      <c r="L27" s="153">
        <f>IFERROR('Similarity matrix'!L27/'Denominator matrix'!$K$21, "NA")</f>
        <v>0</v>
      </c>
      <c r="M27" s="154">
        <f>IFERROR('Similarity matrix'!M27/'Denominator matrix'!$B$21, "NA")</f>
        <v>0.1</v>
      </c>
      <c r="N27" s="153">
        <f>IFERROR('Similarity matrix'!N27/'Denominator matrix'!$C$21, "NA")</f>
        <v>0</v>
      </c>
      <c r="O27" s="153">
        <f>IFERROR('Similarity matrix'!O27/'Denominator matrix'!$D$21, "NA")</f>
        <v>0</v>
      </c>
      <c r="P27" s="153">
        <f>IFERROR('Similarity matrix'!P27/'Denominator matrix'!$E$21, "NA")</f>
        <v>0</v>
      </c>
      <c r="Q27" s="156">
        <f>IFERROR('Similarity matrix'!Q27/'Denominator matrix'!$F$21, "NA")</f>
        <v>0.05555555556</v>
      </c>
      <c r="R27" s="153">
        <f>IFERROR('Similarity matrix'!R27/'Denominator matrix'!$G$21, "NA")</f>
        <v>0.1666666667</v>
      </c>
      <c r="S27" s="153">
        <f>IFERROR('Similarity matrix'!S27/'Denominator matrix'!$H$21, "NA")</f>
        <v>0</v>
      </c>
      <c r="T27" s="153">
        <f>IFERROR('Similarity matrix'!T27/'Denominator matrix'!$I$21, "NA")</f>
        <v>0</v>
      </c>
      <c r="U27" s="153">
        <f>IFERROR('Similarity matrix'!U27/'Denominator matrix'!$J$21, "NA")</f>
        <v>0</v>
      </c>
      <c r="V27" s="153">
        <f>IFERROR('Similarity matrix'!V27/'Denominator matrix'!$K$21, "NA")</f>
        <v>0.25</v>
      </c>
      <c r="W27" s="154">
        <f>IFERROR('Similarity matrix'!W27/'Denominator matrix'!$B$21, "NA")</f>
        <v>0.8</v>
      </c>
      <c r="X27" s="153">
        <f>IFERROR('Similarity matrix'!X27/'Denominator matrix'!$C$21, "NA")</f>
        <v>1</v>
      </c>
      <c r="Y27" s="153">
        <f>IFERROR('Similarity matrix'!Y27/'Denominator matrix'!$D$21, "NA")</f>
        <v>0.5</v>
      </c>
      <c r="Z27" s="153">
        <f>IFERROR('Similarity matrix'!Z27/'Denominator matrix'!$E$21, "NA")</f>
        <v>1</v>
      </c>
      <c r="AA27" s="155">
        <f>IFERROR('Similarity matrix'!AA27/'Denominator matrix'!$F$21, "NA")</f>
        <v>0</v>
      </c>
      <c r="AB27" s="153">
        <f>IFERROR('Similarity matrix'!AB27/'Denominator matrix'!$G$21, "NA")</f>
        <v>1</v>
      </c>
      <c r="AC27" s="153">
        <f>IFERROR('Similarity matrix'!AC27/'Denominator matrix'!$H$21, "NA")</f>
        <v>0.75</v>
      </c>
      <c r="AD27" s="153">
        <f>IFERROR('Similarity matrix'!AD27/'Denominator matrix'!$I$21, "NA")</f>
        <v>0.9</v>
      </c>
      <c r="AE27" s="153">
        <f>IFERROR('Similarity matrix'!AE27/'Denominator matrix'!$J$21, "NA")</f>
        <v>0.8333333333</v>
      </c>
      <c r="AF27" s="153">
        <f>IFERROR('Similarity matrix'!AF27/'Denominator matrix'!$K$21, "NA")</f>
        <v>1</v>
      </c>
      <c r="AG27" s="154">
        <f>IFERROR('Similarity matrix'!AG27/'Denominator matrix'!$B$21, "NA")</f>
        <v>0</v>
      </c>
      <c r="AH27" s="153">
        <f>IFERROR('Similarity matrix'!AH27/'Denominator matrix'!$C$21, "NA")</f>
        <v>0.1666666667</v>
      </c>
      <c r="AI27" s="153">
        <f>IFERROR('Similarity matrix'!AI27/'Denominator matrix'!$D$21, "NA")</f>
        <v>0</v>
      </c>
      <c r="AJ27" s="153">
        <f>IFERROR('Similarity matrix'!AJ27/'Denominator matrix'!$E$21, "NA")</f>
        <v>0</v>
      </c>
      <c r="AK27" s="156">
        <f>IFERROR('Similarity matrix'!AK27/'Denominator matrix'!$F$21, "NA")</f>
        <v>0</v>
      </c>
      <c r="AL27" s="153">
        <f>IFERROR('Similarity matrix'!AL27/'Denominator matrix'!$G$21, "NA")</f>
        <v>0</v>
      </c>
      <c r="AM27" s="153">
        <f>IFERROR('Similarity matrix'!AM27/'Denominator matrix'!$H$21, "NA")</f>
        <v>0</v>
      </c>
      <c r="AN27" s="153">
        <f>IFERROR('Similarity matrix'!AN27/'Denominator matrix'!$I$21, "NA")</f>
        <v>0</v>
      </c>
      <c r="AO27" s="153">
        <f>IFERROR('Similarity matrix'!AO27/'Denominator matrix'!$J$21, "NA")</f>
        <v>0</v>
      </c>
      <c r="AP27" s="153">
        <f>IFERROR('Similarity matrix'!AP27/'Denominator matrix'!$K$21, "NA")</f>
        <v>0</v>
      </c>
      <c r="AQ27" s="154">
        <f>IFERROR('Similarity matrix'!AQ27/'Denominator matrix'!$B$21, "NA")</f>
        <v>0</v>
      </c>
      <c r="AR27" s="153">
        <f>IFERROR('Similarity matrix'!AR27/'Denominator matrix'!$C$21, "NA")</f>
        <v>0</v>
      </c>
      <c r="AS27" s="153">
        <f>IFERROR('Similarity matrix'!AS27/'Denominator matrix'!$D$21, "NA")</f>
        <v>0</v>
      </c>
      <c r="AT27" s="153">
        <f>IFERROR('Similarity matrix'!AT27/'Denominator matrix'!$E$21, "NA")</f>
        <v>0</v>
      </c>
      <c r="AU27" s="156">
        <f>IFERROR('Similarity matrix'!AU27/'Denominator matrix'!$F$21, "NA")</f>
        <v>0</v>
      </c>
      <c r="AV27" s="153">
        <f>IFERROR('Similarity matrix'!AV27/'Denominator matrix'!$G$21, "NA")</f>
        <v>0</v>
      </c>
      <c r="AW27" s="153">
        <f>IFERROR('Similarity matrix'!AW27/'Denominator matrix'!$H$21, "NA")</f>
        <v>0</v>
      </c>
      <c r="AX27" s="153">
        <f>IFERROR('Similarity matrix'!AX27/'Denominator matrix'!$I$21, "NA")</f>
        <v>0</v>
      </c>
      <c r="AY27" s="153">
        <f>IFERROR('Similarity matrix'!AY27/'Denominator matrix'!$J$21, "NA")</f>
        <v>0</v>
      </c>
      <c r="AZ27" s="153">
        <f>IFERROR('Similarity matrix'!AZ27/'Denominator matrix'!$K$21, "NA")</f>
        <v>0</v>
      </c>
      <c r="BA27" s="154">
        <f>IFERROR('Similarity matrix'!BA27/'Denominator matrix'!$B$21, "NA")</f>
        <v>0</v>
      </c>
      <c r="BB27" s="153">
        <f>IFERROR('Similarity matrix'!BB27/'Denominator matrix'!$C$21, "NA")</f>
        <v>0</v>
      </c>
      <c r="BC27" s="153">
        <f>IFERROR('Similarity matrix'!BC27/'Denominator matrix'!$D$21, "NA")</f>
        <v>0</v>
      </c>
      <c r="BD27" s="153">
        <f>IFERROR('Similarity matrix'!BD27/'Denominator matrix'!$E$21, "NA")</f>
        <v>0</v>
      </c>
      <c r="BE27" s="156">
        <f>IFERROR('Similarity matrix'!BE27/'Denominator matrix'!$F$21, "NA")</f>
        <v>0</v>
      </c>
      <c r="BF27" s="153">
        <f>IFERROR('Similarity matrix'!BF27/'Denominator matrix'!$G$21, "NA")</f>
        <v>0</v>
      </c>
      <c r="BG27" s="153">
        <f>IFERROR('Similarity matrix'!BG27/'Denominator matrix'!$H$21, "NA")</f>
        <v>0</v>
      </c>
      <c r="BH27" s="153">
        <f>IFERROR('Similarity matrix'!BH27/'Denominator matrix'!$I$21, "NA")</f>
        <v>0</v>
      </c>
      <c r="BI27" s="153">
        <f>IFERROR('Similarity matrix'!BI27/'Denominator matrix'!$J$21, "NA")</f>
        <v>0</v>
      </c>
      <c r="BJ27" s="153">
        <f>IFERROR('Similarity matrix'!BJ27/'Denominator matrix'!$K$21, "NA")</f>
        <v>0</v>
      </c>
      <c r="BK27" s="154">
        <f>IFERROR('Similarity matrix'!BK27/'Denominator matrix'!$B$21, "NA")</f>
        <v>0</v>
      </c>
      <c r="BL27" s="153">
        <f>IFERROR('Similarity matrix'!BL27/'Denominator matrix'!$C$21, "NA")</f>
        <v>0</v>
      </c>
      <c r="BM27" s="153">
        <f>IFERROR('Similarity matrix'!BM27/'Denominator matrix'!$D$21, "NA")</f>
        <v>0</v>
      </c>
      <c r="BN27" s="153">
        <f>IFERROR('Similarity matrix'!BN27/'Denominator matrix'!$E$21, "NA")</f>
        <v>0</v>
      </c>
      <c r="BO27" s="156">
        <f>IFERROR('Similarity matrix'!BO27/'Denominator matrix'!$F$21, "NA")</f>
        <v>0</v>
      </c>
      <c r="BP27" s="153">
        <f>IFERROR('Similarity matrix'!BP27/'Denominator matrix'!$G$21, "NA")</f>
        <v>0</v>
      </c>
      <c r="BQ27" s="153">
        <f>IFERROR('Similarity matrix'!BQ27/'Denominator matrix'!$H$21, "NA")</f>
        <v>0</v>
      </c>
      <c r="BR27" s="153">
        <f>IFERROR('Similarity matrix'!BR27/'Denominator matrix'!$I$21, "NA")</f>
        <v>0</v>
      </c>
      <c r="BS27" s="153">
        <f>IFERROR('Similarity matrix'!BS27/'Denominator matrix'!$J$21, "NA")</f>
        <v>0</v>
      </c>
      <c r="BT27" s="153">
        <f>IFERROR('Similarity matrix'!BT27/'Denominator matrix'!$K$21, "NA")</f>
        <v>0</v>
      </c>
      <c r="BU27" s="154">
        <f>IFERROR('Similarity matrix'!BU27/'Denominator matrix'!$B$21, "NA")</f>
        <v>0</v>
      </c>
      <c r="BV27" s="153">
        <f>IFERROR('Similarity matrix'!BV27/'Denominator matrix'!$C$21, "NA")</f>
        <v>0</v>
      </c>
      <c r="BW27" s="153">
        <f>IFERROR('Similarity matrix'!BW27/'Denominator matrix'!$D$21, "NA")</f>
        <v>0</v>
      </c>
      <c r="BX27" s="153">
        <f>IFERROR('Similarity matrix'!BX27/'Denominator matrix'!$E$21, "NA")</f>
        <v>0</v>
      </c>
      <c r="BY27" s="156">
        <f>IFERROR('Similarity matrix'!BY27/'Denominator matrix'!$F$21, "NA")</f>
        <v>0</v>
      </c>
      <c r="BZ27" s="153">
        <f>IFERROR('Similarity matrix'!BZ27/'Denominator matrix'!$G$21, "NA")</f>
        <v>0</v>
      </c>
      <c r="CA27" s="153">
        <f>IFERROR('Similarity matrix'!CA27/'Denominator matrix'!$H$21, "NA")</f>
        <v>0</v>
      </c>
      <c r="CB27" s="153">
        <f>IFERROR('Similarity matrix'!CB27/'Denominator matrix'!$I$21, "NA")</f>
        <v>0</v>
      </c>
      <c r="CC27" s="153">
        <f>IFERROR('Similarity matrix'!CC27/'Denominator matrix'!$J$21, "NA")</f>
        <v>0</v>
      </c>
      <c r="CD27" s="153">
        <f>IFERROR('Similarity matrix'!CD27/'Denominator matrix'!$K$21, "NA")</f>
        <v>0</v>
      </c>
      <c r="CE27" s="154">
        <f>IFERROR('Similarity matrix'!CE27/'Denominator matrix'!$B$21, "NA")</f>
        <v>0</v>
      </c>
      <c r="CF27" s="153">
        <f>IFERROR('Similarity matrix'!CF27/'Denominator matrix'!$C$21, "NA")</f>
        <v>0</v>
      </c>
      <c r="CG27" s="153">
        <f>IFERROR('Similarity matrix'!CG27/'Denominator matrix'!$D$21, "NA")</f>
        <v>0</v>
      </c>
      <c r="CH27" s="153">
        <f>IFERROR('Similarity matrix'!CH27/'Denominator matrix'!$E$21, "NA")</f>
        <v>0</v>
      </c>
      <c r="CI27" s="156">
        <f>IFERROR('Similarity matrix'!CI27/'Denominator matrix'!$F$21, "NA")</f>
        <v>0</v>
      </c>
      <c r="CJ27" s="153">
        <f>IFERROR('Similarity matrix'!CJ27/'Denominator matrix'!$G$21, "NA")</f>
        <v>0</v>
      </c>
      <c r="CK27" s="153">
        <f>IFERROR('Similarity matrix'!CK27/'Denominator matrix'!$H$21, "NA")</f>
        <v>0</v>
      </c>
      <c r="CL27" s="153">
        <f>IFERROR('Similarity matrix'!CL27/'Denominator matrix'!$I$21, "NA")</f>
        <v>0</v>
      </c>
      <c r="CM27" s="153">
        <f>IFERROR('Similarity matrix'!CM27/'Denominator matrix'!$J$21, "NA")</f>
        <v>0</v>
      </c>
      <c r="CN27" s="153">
        <f>IFERROR('Similarity matrix'!CN27/'Denominator matrix'!$K$21, "NA")</f>
        <v>0</v>
      </c>
      <c r="CO27" s="154">
        <f>IFERROR('Similarity matrix'!CO27/'Denominator matrix'!$B$21, "NA")</f>
        <v>0</v>
      </c>
      <c r="CP27" s="153">
        <f>IFERROR('Similarity matrix'!CP27/'Denominator matrix'!$C$21, "NA")</f>
        <v>0</v>
      </c>
      <c r="CQ27" s="153">
        <f>IFERROR('Similarity matrix'!CQ27/'Denominator matrix'!$D$21, "NA")</f>
        <v>0</v>
      </c>
      <c r="CR27" s="153">
        <f>IFERROR('Similarity matrix'!CR27/'Denominator matrix'!$E$21, "NA")</f>
        <v>0</v>
      </c>
      <c r="CS27" s="156">
        <f>IFERROR('Similarity matrix'!CS27/'Denominator matrix'!$F$21, "NA")</f>
        <v>0</v>
      </c>
      <c r="CT27" s="153">
        <f>IFERROR('Similarity matrix'!CT27/'Denominator matrix'!$G$21, "NA")</f>
        <v>0</v>
      </c>
      <c r="CU27" s="153">
        <f>IFERROR('Similarity matrix'!CU27/'Denominator matrix'!$H$21, "NA")</f>
        <v>0</v>
      </c>
      <c r="CV27" s="153">
        <f>IFERROR('Similarity matrix'!CV27/'Denominator matrix'!$I$21, "NA")</f>
        <v>0</v>
      </c>
      <c r="CW27" s="153">
        <f>IFERROR('Similarity matrix'!CW27/'Denominator matrix'!$J$21, "NA")</f>
        <v>0</v>
      </c>
      <c r="CX27" s="153">
        <f>IFERROR('Similarity matrix'!CX27/'Denominator matrix'!$K$21, "NA")</f>
        <v>0</v>
      </c>
    </row>
    <row r="28" ht="35.25" customHeight="1">
      <c r="B28" s="124">
        <v>45811.0</v>
      </c>
      <c r="C28" s="154">
        <f>IFERROR('Similarity matrix'!C28/'Denominator matrix'!$B$22, "NA")</f>
        <v>0</v>
      </c>
      <c r="D28" s="153">
        <f>IFERROR('Similarity matrix'!D28/'Denominator matrix'!$C$22, "NA")</f>
        <v>0</v>
      </c>
      <c r="E28" s="153">
        <f>IFERROR('Similarity matrix'!E28/'Denominator matrix'!$D$22, "NA")</f>
        <v>0</v>
      </c>
      <c r="F28" s="153">
        <f>IFERROR('Similarity matrix'!F28/'Denominator matrix'!$E$22, "NA")</f>
        <v>0</v>
      </c>
      <c r="G28" s="153">
        <f>IFERROR('Similarity matrix'!G28/'Denominator matrix'!$F$22, "NA")</f>
        <v>0</v>
      </c>
      <c r="H28" s="156">
        <f>IFERROR('Similarity matrix'!H28/'Denominator matrix'!$G$22, "NA")</f>
        <v>0</v>
      </c>
      <c r="I28" s="153">
        <f>IFERROR('Similarity matrix'!I28/'Denominator matrix'!$H$22, "NA")</f>
        <v>0</v>
      </c>
      <c r="J28" s="153">
        <f>IFERROR('Similarity matrix'!J28/'Denominator matrix'!$I$22, "NA")</f>
        <v>0</v>
      </c>
      <c r="K28" s="153">
        <f>IFERROR('Similarity matrix'!K28/'Denominator matrix'!$J$22, "NA")</f>
        <v>0</v>
      </c>
      <c r="L28" s="153">
        <f>IFERROR('Similarity matrix'!L28/'Denominator matrix'!$K$22, "NA")</f>
        <v>0</v>
      </c>
      <c r="M28" s="154">
        <f>IFERROR('Similarity matrix'!M28/'Denominator matrix'!$B$22, "NA")</f>
        <v>0.1</v>
      </c>
      <c r="N28" s="153">
        <f>IFERROR('Similarity matrix'!N28/'Denominator matrix'!$C$22, "NA")</f>
        <v>0</v>
      </c>
      <c r="O28" s="153">
        <f>IFERROR('Similarity matrix'!O28/'Denominator matrix'!$D$22, "NA")</f>
        <v>0</v>
      </c>
      <c r="P28" s="153">
        <f>IFERROR('Similarity matrix'!P28/'Denominator matrix'!$E$22, "NA")</f>
        <v>0</v>
      </c>
      <c r="Q28" s="153">
        <f>IFERROR('Similarity matrix'!Q28/'Denominator matrix'!$F$22, "NA")</f>
        <v>0.1666666667</v>
      </c>
      <c r="R28" s="156">
        <f>IFERROR('Similarity matrix'!R28/'Denominator matrix'!$G$22, "NA")</f>
        <v>0.0625</v>
      </c>
      <c r="S28" s="153">
        <f>IFERROR('Similarity matrix'!S28/'Denominator matrix'!$H$22, "NA")</f>
        <v>0</v>
      </c>
      <c r="T28" s="153">
        <f>IFERROR('Similarity matrix'!T28/'Denominator matrix'!$I$22, "NA")</f>
        <v>0</v>
      </c>
      <c r="U28" s="153">
        <f>IFERROR('Similarity matrix'!U28/'Denominator matrix'!$J$22, "NA")</f>
        <v>0</v>
      </c>
      <c r="V28" s="153">
        <f>IFERROR('Similarity matrix'!V28/'Denominator matrix'!$K$22, "NA")</f>
        <v>0.25</v>
      </c>
      <c r="W28" s="154">
        <f>IFERROR('Similarity matrix'!W28/'Denominator matrix'!$B$22, "NA")</f>
        <v>0.7</v>
      </c>
      <c r="X28" s="153">
        <f>IFERROR('Similarity matrix'!X28/'Denominator matrix'!$C$22, "NA")</f>
        <v>1</v>
      </c>
      <c r="Y28" s="153">
        <f>IFERROR('Similarity matrix'!Y28/'Denominator matrix'!$D$22, "NA")</f>
        <v>0.5</v>
      </c>
      <c r="Z28" s="153">
        <f>IFERROR('Similarity matrix'!Z28/'Denominator matrix'!$E$22, "NA")</f>
        <v>0.5</v>
      </c>
      <c r="AA28" s="153">
        <f>IFERROR('Similarity matrix'!AA28/'Denominator matrix'!$F$22, "NA")</f>
        <v>1</v>
      </c>
      <c r="AB28" s="155">
        <f>IFERROR('Similarity matrix'!AB28/'Denominator matrix'!$G$22, "NA")</f>
        <v>0</v>
      </c>
      <c r="AC28" s="153">
        <f>IFERROR('Similarity matrix'!AC28/'Denominator matrix'!$H$22, "NA")</f>
        <v>1</v>
      </c>
      <c r="AD28" s="153">
        <f>IFERROR('Similarity matrix'!AD28/'Denominator matrix'!$I$22, "NA")</f>
        <v>1</v>
      </c>
      <c r="AE28" s="153">
        <f>IFERROR('Similarity matrix'!AE28/'Denominator matrix'!$J$22, "NA")</f>
        <v>1</v>
      </c>
      <c r="AF28" s="153">
        <f>IFERROR('Similarity matrix'!AF28/'Denominator matrix'!$K$22, "NA")</f>
        <v>1</v>
      </c>
      <c r="AG28" s="154">
        <f>IFERROR('Similarity matrix'!AG28/'Denominator matrix'!$B$22, "NA")</f>
        <v>0</v>
      </c>
      <c r="AH28" s="153">
        <f>IFERROR('Similarity matrix'!AH28/'Denominator matrix'!$C$22, "NA")</f>
        <v>0</v>
      </c>
      <c r="AI28" s="153">
        <f>IFERROR('Similarity matrix'!AI28/'Denominator matrix'!$D$22, "NA")</f>
        <v>0</v>
      </c>
      <c r="AJ28" s="153">
        <f>IFERROR('Similarity matrix'!AJ28/'Denominator matrix'!$E$22, "NA")</f>
        <v>0</v>
      </c>
      <c r="AK28" s="153">
        <f>IFERROR('Similarity matrix'!AK28/'Denominator matrix'!$F$22, "NA")</f>
        <v>0</v>
      </c>
      <c r="AL28" s="156">
        <f>IFERROR('Similarity matrix'!AL28/'Denominator matrix'!$G$22, "NA")</f>
        <v>0</v>
      </c>
      <c r="AM28" s="153">
        <f>IFERROR('Similarity matrix'!AM28/'Denominator matrix'!$H$22, "NA")</f>
        <v>0</v>
      </c>
      <c r="AN28" s="153">
        <f>IFERROR('Similarity matrix'!AN28/'Denominator matrix'!$I$22, "NA")</f>
        <v>0</v>
      </c>
      <c r="AO28" s="153">
        <f>IFERROR('Similarity matrix'!AO28/'Denominator matrix'!$J$22, "NA")</f>
        <v>0.25</v>
      </c>
      <c r="AP28" s="153">
        <f>IFERROR('Similarity matrix'!AP28/'Denominator matrix'!$K$22, "NA")</f>
        <v>0</v>
      </c>
      <c r="AQ28" s="154">
        <f>IFERROR('Similarity matrix'!AQ28/'Denominator matrix'!$B$22, "NA")</f>
        <v>0</v>
      </c>
      <c r="AR28" s="153">
        <f>IFERROR('Similarity matrix'!AR28/'Denominator matrix'!$C$22, "NA")</f>
        <v>0</v>
      </c>
      <c r="AS28" s="153">
        <f>IFERROR('Similarity matrix'!AS28/'Denominator matrix'!$D$22, "NA")</f>
        <v>0</v>
      </c>
      <c r="AT28" s="153">
        <f>IFERROR('Similarity matrix'!AT28/'Denominator matrix'!$E$22, "NA")</f>
        <v>0</v>
      </c>
      <c r="AU28" s="153">
        <f>IFERROR('Similarity matrix'!AU28/'Denominator matrix'!$F$22, "NA")</f>
        <v>0</v>
      </c>
      <c r="AV28" s="156">
        <f>IFERROR('Similarity matrix'!AV28/'Denominator matrix'!$G$22, "NA")</f>
        <v>0</v>
      </c>
      <c r="AW28" s="153">
        <f>IFERROR('Similarity matrix'!AW28/'Denominator matrix'!$H$22, "NA")</f>
        <v>0</v>
      </c>
      <c r="AX28" s="153">
        <f>IFERROR('Similarity matrix'!AX28/'Denominator matrix'!$I$22, "NA")</f>
        <v>0</v>
      </c>
      <c r="AY28" s="153">
        <f>IFERROR('Similarity matrix'!AY28/'Denominator matrix'!$J$22, "NA")</f>
        <v>0</v>
      </c>
      <c r="AZ28" s="153">
        <f>IFERROR('Similarity matrix'!AZ28/'Denominator matrix'!$K$22, "NA")</f>
        <v>0</v>
      </c>
      <c r="BA28" s="154">
        <f>IFERROR('Similarity matrix'!BA28/'Denominator matrix'!$B$22, "NA")</f>
        <v>0</v>
      </c>
      <c r="BB28" s="153">
        <f>IFERROR('Similarity matrix'!BB28/'Denominator matrix'!$C$22, "NA")</f>
        <v>0</v>
      </c>
      <c r="BC28" s="153">
        <f>IFERROR('Similarity matrix'!BC28/'Denominator matrix'!$D$22, "NA")</f>
        <v>0</v>
      </c>
      <c r="BD28" s="153">
        <f>IFERROR('Similarity matrix'!BD28/'Denominator matrix'!$E$22, "NA")</f>
        <v>0</v>
      </c>
      <c r="BE28" s="153">
        <f>IFERROR('Similarity matrix'!BE28/'Denominator matrix'!$F$22, "NA")</f>
        <v>0</v>
      </c>
      <c r="BF28" s="156">
        <f>IFERROR('Similarity matrix'!BF28/'Denominator matrix'!$G$22, "NA")</f>
        <v>0</v>
      </c>
      <c r="BG28" s="153">
        <f>IFERROR('Similarity matrix'!BG28/'Denominator matrix'!$H$22, "NA")</f>
        <v>0</v>
      </c>
      <c r="BH28" s="153">
        <f>IFERROR('Similarity matrix'!BH28/'Denominator matrix'!$I$22, "NA")</f>
        <v>0</v>
      </c>
      <c r="BI28" s="153">
        <f>IFERROR('Similarity matrix'!BI28/'Denominator matrix'!$J$22, "NA")</f>
        <v>0</v>
      </c>
      <c r="BJ28" s="153">
        <f>IFERROR('Similarity matrix'!BJ28/'Denominator matrix'!$K$22, "NA")</f>
        <v>0</v>
      </c>
      <c r="BK28" s="154">
        <f>IFERROR('Similarity matrix'!BK28/'Denominator matrix'!$B$22, "NA")</f>
        <v>0</v>
      </c>
      <c r="BL28" s="153">
        <f>IFERROR('Similarity matrix'!BL28/'Denominator matrix'!$C$22, "NA")</f>
        <v>0</v>
      </c>
      <c r="BM28" s="153">
        <f>IFERROR('Similarity matrix'!BM28/'Denominator matrix'!$D$22, "NA")</f>
        <v>0</v>
      </c>
      <c r="BN28" s="153">
        <f>IFERROR('Similarity matrix'!BN28/'Denominator matrix'!$E$22, "NA")</f>
        <v>0</v>
      </c>
      <c r="BO28" s="153">
        <f>IFERROR('Similarity matrix'!BO28/'Denominator matrix'!$F$22, "NA")</f>
        <v>0</v>
      </c>
      <c r="BP28" s="156">
        <f>IFERROR('Similarity matrix'!BP28/'Denominator matrix'!$G$22, "NA")</f>
        <v>0</v>
      </c>
      <c r="BQ28" s="153">
        <f>IFERROR('Similarity matrix'!BQ28/'Denominator matrix'!$H$22, "NA")</f>
        <v>0</v>
      </c>
      <c r="BR28" s="153">
        <f>IFERROR('Similarity matrix'!BR28/'Denominator matrix'!$I$22, "NA")</f>
        <v>0</v>
      </c>
      <c r="BS28" s="153">
        <f>IFERROR('Similarity matrix'!BS28/'Denominator matrix'!$J$22, "NA")</f>
        <v>0</v>
      </c>
      <c r="BT28" s="153">
        <f>IFERROR('Similarity matrix'!BT28/'Denominator matrix'!$K$22, "NA")</f>
        <v>0</v>
      </c>
      <c r="BU28" s="154">
        <f>IFERROR('Similarity matrix'!BU28/'Denominator matrix'!$B$22, "NA")</f>
        <v>0</v>
      </c>
      <c r="BV28" s="153">
        <f>IFERROR('Similarity matrix'!BV28/'Denominator matrix'!$C$22, "NA")</f>
        <v>0</v>
      </c>
      <c r="BW28" s="153">
        <f>IFERROR('Similarity matrix'!BW28/'Denominator matrix'!$D$22, "NA")</f>
        <v>0</v>
      </c>
      <c r="BX28" s="153">
        <f>IFERROR('Similarity matrix'!BX28/'Denominator matrix'!$E$22, "NA")</f>
        <v>0</v>
      </c>
      <c r="BY28" s="153">
        <f>IFERROR('Similarity matrix'!BY28/'Denominator matrix'!$F$22, "NA")</f>
        <v>0</v>
      </c>
      <c r="BZ28" s="156">
        <f>IFERROR('Similarity matrix'!BZ28/'Denominator matrix'!$G$22, "NA")</f>
        <v>0</v>
      </c>
      <c r="CA28" s="153">
        <f>IFERROR('Similarity matrix'!CA28/'Denominator matrix'!$H$22, "NA")</f>
        <v>0</v>
      </c>
      <c r="CB28" s="153">
        <f>IFERROR('Similarity matrix'!CB28/'Denominator matrix'!$I$22, "NA")</f>
        <v>0</v>
      </c>
      <c r="CC28" s="153">
        <f>IFERROR('Similarity matrix'!CC28/'Denominator matrix'!$J$22, "NA")</f>
        <v>0</v>
      </c>
      <c r="CD28" s="153">
        <f>IFERROR('Similarity matrix'!CD28/'Denominator matrix'!$K$22, "NA")</f>
        <v>0</v>
      </c>
      <c r="CE28" s="154">
        <f>IFERROR('Similarity matrix'!CE28/'Denominator matrix'!$B$22, "NA")</f>
        <v>0</v>
      </c>
      <c r="CF28" s="153">
        <f>IFERROR('Similarity matrix'!CF28/'Denominator matrix'!$C$22, "NA")</f>
        <v>0</v>
      </c>
      <c r="CG28" s="153">
        <f>IFERROR('Similarity matrix'!CG28/'Denominator matrix'!$D$22, "NA")</f>
        <v>0</v>
      </c>
      <c r="CH28" s="153">
        <f>IFERROR('Similarity matrix'!CH28/'Denominator matrix'!$E$22, "NA")</f>
        <v>0</v>
      </c>
      <c r="CI28" s="153">
        <f>IFERROR('Similarity matrix'!CI28/'Denominator matrix'!$F$22, "NA")</f>
        <v>0</v>
      </c>
      <c r="CJ28" s="156">
        <f>IFERROR('Similarity matrix'!CJ28/'Denominator matrix'!$G$22, "NA")</f>
        <v>0</v>
      </c>
      <c r="CK28" s="153">
        <f>IFERROR('Similarity matrix'!CK28/'Denominator matrix'!$H$22, "NA")</f>
        <v>0</v>
      </c>
      <c r="CL28" s="153">
        <f>IFERROR('Similarity matrix'!CL28/'Denominator matrix'!$I$22, "NA")</f>
        <v>0</v>
      </c>
      <c r="CM28" s="153">
        <f>IFERROR('Similarity matrix'!CM28/'Denominator matrix'!$J$22, "NA")</f>
        <v>0</v>
      </c>
      <c r="CN28" s="153">
        <f>IFERROR('Similarity matrix'!CN28/'Denominator matrix'!$K$22, "NA")</f>
        <v>0</v>
      </c>
      <c r="CO28" s="154">
        <f>IFERROR('Similarity matrix'!CO28/'Denominator matrix'!$B$22, "NA")</f>
        <v>0</v>
      </c>
      <c r="CP28" s="153">
        <f>IFERROR('Similarity matrix'!CP28/'Denominator matrix'!$C$22, "NA")</f>
        <v>0</v>
      </c>
      <c r="CQ28" s="153">
        <f>IFERROR('Similarity matrix'!CQ28/'Denominator matrix'!$D$22, "NA")</f>
        <v>0</v>
      </c>
      <c r="CR28" s="153">
        <f>IFERROR('Similarity matrix'!CR28/'Denominator matrix'!$E$22, "NA")</f>
        <v>0</v>
      </c>
      <c r="CS28" s="153">
        <f>IFERROR('Similarity matrix'!CS28/'Denominator matrix'!$F$22, "NA")</f>
        <v>0</v>
      </c>
      <c r="CT28" s="156">
        <f>IFERROR('Similarity matrix'!CT28/'Denominator matrix'!$G$22, "NA")</f>
        <v>0</v>
      </c>
      <c r="CU28" s="153">
        <f>IFERROR('Similarity matrix'!CU28/'Denominator matrix'!$H$22, "NA")</f>
        <v>0</v>
      </c>
      <c r="CV28" s="153">
        <f>IFERROR('Similarity matrix'!CV28/'Denominator matrix'!$I$22, "NA")</f>
        <v>0</v>
      </c>
      <c r="CW28" s="153">
        <f>IFERROR('Similarity matrix'!CW28/'Denominator matrix'!$J$22, "NA")</f>
        <v>0</v>
      </c>
      <c r="CX28" s="153">
        <f>IFERROR('Similarity matrix'!CX28/'Denominator matrix'!$K$22, "NA")</f>
        <v>0</v>
      </c>
    </row>
    <row r="29" ht="35.25" customHeight="1">
      <c r="B29" s="124">
        <v>45841.0</v>
      </c>
      <c r="C29" s="154">
        <f>IFERROR('Similarity matrix'!C29/'Denominator matrix'!$B$23, "NA")</f>
        <v>0</v>
      </c>
      <c r="D29" s="153">
        <f>IFERROR('Similarity matrix'!D29/'Denominator matrix'!$C$23, "NA")</f>
        <v>0</v>
      </c>
      <c r="E29" s="153">
        <f>IFERROR('Similarity matrix'!E29/'Denominator matrix'!$D$23, "NA")</f>
        <v>0</v>
      </c>
      <c r="F29" s="153">
        <f>IFERROR('Similarity matrix'!F29/'Denominator matrix'!$E$23, "NA")</f>
        <v>0</v>
      </c>
      <c r="G29" s="153">
        <f>IFERROR('Similarity matrix'!G29/'Denominator matrix'!$F$23, "NA")</f>
        <v>0</v>
      </c>
      <c r="H29" s="153">
        <f>IFERROR('Similarity matrix'!H29/'Denominator matrix'!$G$23, "NA")</f>
        <v>0</v>
      </c>
      <c r="I29" s="156">
        <f>IFERROR('Similarity matrix'!I29/'Denominator matrix'!$H$23, "NA")</f>
        <v>0</v>
      </c>
      <c r="J29" s="153">
        <f>IFERROR('Similarity matrix'!J29/'Denominator matrix'!$I$23, "NA")</f>
        <v>0</v>
      </c>
      <c r="K29" s="153">
        <f>IFERROR('Similarity matrix'!K29/'Denominator matrix'!$J$23, "NA")</f>
        <v>0</v>
      </c>
      <c r="L29" s="153">
        <f>IFERROR('Similarity matrix'!L29/'Denominator matrix'!$K$23, "NA")</f>
        <v>0</v>
      </c>
      <c r="M29" s="154">
        <f>IFERROR('Similarity matrix'!M29/'Denominator matrix'!$B$23, "NA")</f>
        <v>0</v>
      </c>
      <c r="N29" s="153">
        <f>IFERROR('Similarity matrix'!N29/'Denominator matrix'!$C$23, "NA")</f>
        <v>0</v>
      </c>
      <c r="O29" s="153">
        <f>IFERROR('Similarity matrix'!O29/'Denominator matrix'!$D$23, "NA")</f>
        <v>0</v>
      </c>
      <c r="P29" s="153">
        <f>IFERROR('Similarity matrix'!P29/'Denominator matrix'!$E$23, "NA")</f>
        <v>0</v>
      </c>
      <c r="Q29" s="153">
        <f>IFERROR('Similarity matrix'!Q29/'Denominator matrix'!$F$23, "NA")</f>
        <v>0</v>
      </c>
      <c r="R29" s="153">
        <f>IFERROR('Similarity matrix'!R29/'Denominator matrix'!$G$23, "NA")</f>
        <v>0</v>
      </c>
      <c r="S29" s="156">
        <f>IFERROR('Similarity matrix'!S29/'Denominator matrix'!$H$23, "NA")</f>
        <v>0</v>
      </c>
      <c r="T29" s="153">
        <f>IFERROR('Similarity matrix'!T29/'Denominator matrix'!$I$23, "NA")</f>
        <v>0</v>
      </c>
      <c r="U29" s="153">
        <f>IFERROR('Similarity matrix'!U29/'Denominator matrix'!$J$23, "NA")</f>
        <v>0</v>
      </c>
      <c r="V29" s="153">
        <f>IFERROR('Similarity matrix'!V29/'Denominator matrix'!$K$23, "NA")</f>
        <v>0</v>
      </c>
      <c r="W29" s="154">
        <f>IFERROR('Similarity matrix'!W29/'Denominator matrix'!$B$23, "NA")</f>
        <v>0.5</v>
      </c>
      <c r="X29" s="153">
        <f>IFERROR('Similarity matrix'!X29/'Denominator matrix'!$C$23, "NA")</f>
        <v>1</v>
      </c>
      <c r="Y29" s="153">
        <f>IFERROR('Similarity matrix'!Y29/'Denominator matrix'!$D$23, "NA")</f>
        <v>0.875</v>
      </c>
      <c r="Z29" s="153">
        <f>IFERROR('Similarity matrix'!Z29/'Denominator matrix'!$E$23, "NA")</f>
        <v>1</v>
      </c>
      <c r="AA29" s="153">
        <f>IFERROR('Similarity matrix'!AA29/'Denominator matrix'!$F$23, "NA")</f>
        <v>0.75</v>
      </c>
      <c r="AB29" s="153">
        <f>IFERROR('Similarity matrix'!AB29/'Denominator matrix'!$G$23, "NA")</f>
        <v>0.75</v>
      </c>
      <c r="AC29" s="155">
        <f>IFERROR('Similarity matrix'!AC29/'Denominator matrix'!$H$23, "NA")</f>
        <v>0</v>
      </c>
      <c r="AD29" s="153">
        <f>IFERROR('Similarity matrix'!AD29/'Denominator matrix'!$I$23, "NA")</f>
        <v>1</v>
      </c>
      <c r="AE29" s="153">
        <f>IFERROR('Similarity matrix'!AE29/'Denominator matrix'!$J$23, "NA")</f>
        <v>1</v>
      </c>
      <c r="AF29" s="153">
        <f>IFERROR('Similarity matrix'!AF29/'Denominator matrix'!$K$23, "NA")</f>
        <v>1</v>
      </c>
      <c r="AG29" s="154">
        <f>IFERROR('Similarity matrix'!AG29/'Denominator matrix'!$B$23, "NA")</f>
        <v>0</v>
      </c>
      <c r="AH29" s="153">
        <f>IFERROR('Similarity matrix'!AH29/'Denominator matrix'!$C$23, "NA")</f>
        <v>0.5</v>
      </c>
      <c r="AI29" s="153">
        <f>IFERROR('Similarity matrix'!AI29/'Denominator matrix'!$D$23, "NA")</f>
        <v>0.375</v>
      </c>
      <c r="AJ29" s="153">
        <f>IFERROR('Similarity matrix'!AJ29/'Denominator matrix'!$E$23, "NA")</f>
        <v>0</v>
      </c>
      <c r="AK29" s="153">
        <f>IFERROR('Similarity matrix'!AK29/'Denominator matrix'!$F$23, "NA")</f>
        <v>0</v>
      </c>
      <c r="AL29" s="153">
        <f>IFERROR('Similarity matrix'!AL29/'Denominator matrix'!$G$23, "NA")</f>
        <v>0</v>
      </c>
      <c r="AM29" s="156">
        <f>IFERROR('Similarity matrix'!AM29/'Denominator matrix'!$H$23, "NA")</f>
        <v>0</v>
      </c>
      <c r="AN29" s="153">
        <f>IFERROR('Similarity matrix'!AN29/'Denominator matrix'!$I$23, "NA")</f>
        <v>0</v>
      </c>
      <c r="AO29" s="153">
        <f>IFERROR('Similarity matrix'!AO29/'Denominator matrix'!$J$23, "NA")</f>
        <v>0.25</v>
      </c>
      <c r="AP29" s="153">
        <f>IFERROR('Similarity matrix'!AP29/'Denominator matrix'!$K$23, "NA")</f>
        <v>0</v>
      </c>
      <c r="AQ29" s="154">
        <f>IFERROR('Similarity matrix'!AQ29/'Denominator matrix'!$B$23, "NA")</f>
        <v>0</v>
      </c>
      <c r="AR29" s="153">
        <f>IFERROR('Similarity matrix'!AR29/'Denominator matrix'!$C$23, "NA")</f>
        <v>0</v>
      </c>
      <c r="AS29" s="153">
        <f>IFERROR('Similarity matrix'!AS29/'Denominator matrix'!$D$23, "NA")</f>
        <v>0</v>
      </c>
      <c r="AT29" s="153">
        <f>IFERROR('Similarity matrix'!AT29/'Denominator matrix'!$E$23, "NA")</f>
        <v>0</v>
      </c>
      <c r="AU29" s="153">
        <f>IFERROR('Similarity matrix'!AU29/'Denominator matrix'!$F$23, "NA")</f>
        <v>0</v>
      </c>
      <c r="AV29" s="153">
        <f>IFERROR('Similarity matrix'!AV29/'Denominator matrix'!$G$23, "NA")</f>
        <v>0</v>
      </c>
      <c r="AW29" s="156">
        <f>IFERROR('Similarity matrix'!AW29/'Denominator matrix'!$H$23, "NA")</f>
        <v>0</v>
      </c>
      <c r="AX29" s="153">
        <f>IFERROR('Similarity matrix'!AX29/'Denominator matrix'!$I$23, "NA")</f>
        <v>0</v>
      </c>
      <c r="AY29" s="153">
        <f>IFERROR('Similarity matrix'!AY29/'Denominator matrix'!$J$23, "NA")</f>
        <v>0</v>
      </c>
      <c r="AZ29" s="153">
        <f>IFERROR('Similarity matrix'!AZ29/'Denominator matrix'!$K$23, "NA")</f>
        <v>0</v>
      </c>
      <c r="BA29" s="154">
        <f>IFERROR('Similarity matrix'!BA29/'Denominator matrix'!$B$23, "NA")</f>
        <v>0</v>
      </c>
      <c r="BB29" s="153">
        <f>IFERROR('Similarity matrix'!BB29/'Denominator matrix'!$C$23, "NA")</f>
        <v>0</v>
      </c>
      <c r="BC29" s="153">
        <f>IFERROR('Similarity matrix'!BC29/'Denominator matrix'!$D$23, "NA")</f>
        <v>0</v>
      </c>
      <c r="BD29" s="153">
        <f>IFERROR('Similarity matrix'!BD29/'Denominator matrix'!$E$23, "NA")</f>
        <v>0</v>
      </c>
      <c r="BE29" s="153">
        <f>IFERROR('Similarity matrix'!BE29/'Denominator matrix'!$F$23, "NA")</f>
        <v>0</v>
      </c>
      <c r="BF29" s="153">
        <f>IFERROR('Similarity matrix'!BF29/'Denominator matrix'!$G$23, "NA")</f>
        <v>0</v>
      </c>
      <c r="BG29" s="156">
        <f>IFERROR('Similarity matrix'!BG29/'Denominator matrix'!$H$23, "NA")</f>
        <v>0</v>
      </c>
      <c r="BH29" s="153">
        <f>IFERROR('Similarity matrix'!BH29/'Denominator matrix'!$I$23, "NA")</f>
        <v>0</v>
      </c>
      <c r="BI29" s="153">
        <f>IFERROR('Similarity matrix'!BI29/'Denominator matrix'!$J$23, "NA")</f>
        <v>0</v>
      </c>
      <c r="BJ29" s="153">
        <f>IFERROR('Similarity matrix'!BJ29/'Denominator matrix'!$K$23, "NA")</f>
        <v>0</v>
      </c>
      <c r="BK29" s="154">
        <f>IFERROR('Similarity matrix'!BK29/'Denominator matrix'!$B$23, "NA")</f>
        <v>0</v>
      </c>
      <c r="BL29" s="153">
        <f>IFERROR('Similarity matrix'!BL29/'Denominator matrix'!$C$23, "NA")</f>
        <v>0</v>
      </c>
      <c r="BM29" s="153">
        <f>IFERROR('Similarity matrix'!BM29/'Denominator matrix'!$D$23, "NA")</f>
        <v>0</v>
      </c>
      <c r="BN29" s="153">
        <f>IFERROR('Similarity matrix'!BN29/'Denominator matrix'!$E$23, "NA")</f>
        <v>0</v>
      </c>
      <c r="BO29" s="153">
        <f>IFERROR('Similarity matrix'!BO29/'Denominator matrix'!$F$23, "NA")</f>
        <v>0</v>
      </c>
      <c r="BP29" s="153">
        <f>IFERROR('Similarity matrix'!BP29/'Denominator matrix'!$G$23, "NA")</f>
        <v>0</v>
      </c>
      <c r="BQ29" s="156">
        <f>IFERROR('Similarity matrix'!BQ29/'Denominator matrix'!$H$23, "NA")</f>
        <v>0</v>
      </c>
      <c r="BR29" s="153">
        <f>IFERROR('Similarity matrix'!BR29/'Denominator matrix'!$I$23, "NA")</f>
        <v>0</v>
      </c>
      <c r="BS29" s="153">
        <f>IFERROR('Similarity matrix'!BS29/'Denominator matrix'!$J$23, "NA")</f>
        <v>0</v>
      </c>
      <c r="BT29" s="153">
        <f>IFERROR('Similarity matrix'!BT29/'Denominator matrix'!$K$23, "NA")</f>
        <v>0</v>
      </c>
      <c r="BU29" s="154">
        <f>IFERROR('Similarity matrix'!BU29/'Denominator matrix'!$B$23, "NA")</f>
        <v>0</v>
      </c>
      <c r="BV29" s="153">
        <f>IFERROR('Similarity matrix'!BV29/'Denominator matrix'!$C$23, "NA")</f>
        <v>0</v>
      </c>
      <c r="BW29" s="153">
        <f>IFERROR('Similarity matrix'!BW29/'Denominator matrix'!$D$23, "NA")</f>
        <v>0</v>
      </c>
      <c r="BX29" s="153">
        <f>IFERROR('Similarity matrix'!BX29/'Denominator matrix'!$E$23, "NA")</f>
        <v>0</v>
      </c>
      <c r="BY29" s="153">
        <f>IFERROR('Similarity matrix'!BY29/'Denominator matrix'!$F$23, "NA")</f>
        <v>0</v>
      </c>
      <c r="BZ29" s="153">
        <f>IFERROR('Similarity matrix'!BZ29/'Denominator matrix'!$G$23, "NA")</f>
        <v>0</v>
      </c>
      <c r="CA29" s="156">
        <f>IFERROR('Similarity matrix'!CA29/'Denominator matrix'!$H$23, "NA")</f>
        <v>0</v>
      </c>
      <c r="CB29" s="153">
        <f>IFERROR('Similarity matrix'!CB29/'Denominator matrix'!$I$23, "NA")</f>
        <v>0</v>
      </c>
      <c r="CC29" s="153">
        <f>IFERROR('Similarity matrix'!CC29/'Denominator matrix'!$J$23, "NA")</f>
        <v>0</v>
      </c>
      <c r="CD29" s="153">
        <f>IFERROR('Similarity matrix'!CD29/'Denominator matrix'!$K$23, "NA")</f>
        <v>0</v>
      </c>
      <c r="CE29" s="154">
        <f>IFERROR('Similarity matrix'!CE29/'Denominator matrix'!$B$23, "NA")</f>
        <v>0</v>
      </c>
      <c r="CF29" s="153">
        <f>IFERROR('Similarity matrix'!CF29/'Denominator matrix'!$C$23, "NA")</f>
        <v>0</v>
      </c>
      <c r="CG29" s="153">
        <f>IFERROR('Similarity matrix'!CG29/'Denominator matrix'!$D$23, "NA")</f>
        <v>0</v>
      </c>
      <c r="CH29" s="153">
        <f>IFERROR('Similarity matrix'!CH29/'Denominator matrix'!$E$23, "NA")</f>
        <v>0</v>
      </c>
      <c r="CI29" s="153">
        <f>IFERROR('Similarity matrix'!CI29/'Denominator matrix'!$F$23, "NA")</f>
        <v>0</v>
      </c>
      <c r="CJ29" s="153">
        <f>IFERROR('Similarity matrix'!CJ29/'Denominator matrix'!$G$23, "NA")</f>
        <v>0</v>
      </c>
      <c r="CK29" s="156">
        <f>IFERROR('Similarity matrix'!CK29/'Denominator matrix'!$H$23, "NA")</f>
        <v>0</v>
      </c>
      <c r="CL29" s="153">
        <f>IFERROR('Similarity matrix'!CL29/'Denominator matrix'!$I$23, "NA")</f>
        <v>0</v>
      </c>
      <c r="CM29" s="153">
        <f>IFERROR('Similarity matrix'!CM29/'Denominator matrix'!$J$23, "NA")</f>
        <v>0</v>
      </c>
      <c r="CN29" s="153">
        <f>IFERROR('Similarity matrix'!CN29/'Denominator matrix'!$K$23, "NA")</f>
        <v>0</v>
      </c>
      <c r="CO29" s="154">
        <f>IFERROR('Similarity matrix'!CO29/'Denominator matrix'!$B$23, "NA")</f>
        <v>0</v>
      </c>
      <c r="CP29" s="153">
        <f>IFERROR('Similarity matrix'!CP29/'Denominator matrix'!$C$23, "NA")</f>
        <v>0</v>
      </c>
      <c r="CQ29" s="153">
        <f>IFERROR('Similarity matrix'!CQ29/'Denominator matrix'!$D$23, "NA")</f>
        <v>0</v>
      </c>
      <c r="CR29" s="153">
        <f>IFERROR('Similarity matrix'!CR29/'Denominator matrix'!$E$23, "NA")</f>
        <v>0</v>
      </c>
      <c r="CS29" s="153">
        <f>IFERROR('Similarity matrix'!CS29/'Denominator matrix'!$F$23, "NA")</f>
        <v>0</v>
      </c>
      <c r="CT29" s="153">
        <f>IFERROR('Similarity matrix'!CT29/'Denominator matrix'!$G$23, "NA")</f>
        <v>0</v>
      </c>
      <c r="CU29" s="156">
        <f>IFERROR('Similarity matrix'!CU29/'Denominator matrix'!$H$23, "NA")</f>
        <v>0</v>
      </c>
      <c r="CV29" s="153">
        <f>IFERROR('Similarity matrix'!CV29/'Denominator matrix'!$I$23, "NA")</f>
        <v>0</v>
      </c>
      <c r="CW29" s="153">
        <f>IFERROR('Similarity matrix'!CW29/'Denominator matrix'!$J$23, "NA")</f>
        <v>0.25</v>
      </c>
      <c r="CX29" s="153">
        <f>IFERROR('Similarity matrix'!CX29/'Denominator matrix'!$K$23, "NA")</f>
        <v>0</v>
      </c>
    </row>
    <row r="30" ht="35.25" customHeight="1">
      <c r="B30" s="124">
        <v>45872.0</v>
      </c>
      <c r="C30" s="154">
        <f>IFERROR('Similarity matrix'!C30/'Denominator matrix'!$B$24, "NA")</f>
        <v>0</v>
      </c>
      <c r="D30" s="153">
        <f>IFERROR('Similarity matrix'!D30/'Denominator matrix'!$C$24, "NA")</f>
        <v>0</v>
      </c>
      <c r="E30" s="153">
        <f>IFERROR('Similarity matrix'!E30/'Denominator matrix'!$D$24, "NA")</f>
        <v>0</v>
      </c>
      <c r="F30" s="153">
        <f>IFERROR('Similarity matrix'!F30/'Denominator matrix'!$E$24, "NA")</f>
        <v>0</v>
      </c>
      <c r="G30" s="153">
        <f>IFERROR('Similarity matrix'!G30/'Denominator matrix'!$F$24, "NA")</f>
        <v>0</v>
      </c>
      <c r="H30" s="153">
        <f>IFERROR('Similarity matrix'!H30/'Denominator matrix'!$G$24, "NA")</f>
        <v>0</v>
      </c>
      <c r="I30" s="153">
        <f>IFERROR('Similarity matrix'!I30/'Denominator matrix'!$H$24, "NA")</f>
        <v>0</v>
      </c>
      <c r="J30" s="156">
        <f>IFERROR('Similarity matrix'!J30/'Denominator matrix'!$I$24, "NA")</f>
        <v>0</v>
      </c>
      <c r="K30" s="153">
        <f>IFERROR('Similarity matrix'!K30/'Denominator matrix'!$J$24, "NA")</f>
        <v>0</v>
      </c>
      <c r="L30" s="153">
        <f>IFERROR('Similarity matrix'!L30/'Denominator matrix'!$K$24, "NA")</f>
        <v>0</v>
      </c>
      <c r="M30" s="154">
        <f>IFERROR('Similarity matrix'!M30/'Denominator matrix'!$B$24, "NA")</f>
        <v>0</v>
      </c>
      <c r="N30" s="153">
        <f>IFERROR('Similarity matrix'!N30/'Denominator matrix'!$C$24, "NA")</f>
        <v>0</v>
      </c>
      <c r="O30" s="153">
        <f>IFERROR('Similarity matrix'!O30/'Denominator matrix'!$D$24, "NA")</f>
        <v>0</v>
      </c>
      <c r="P30" s="153">
        <f>IFERROR('Similarity matrix'!P30/'Denominator matrix'!$E$24, "NA")</f>
        <v>0</v>
      </c>
      <c r="Q30" s="153">
        <f>IFERROR('Similarity matrix'!Q30/'Denominator matrix'!$F$24, "NA")</f>
        <v>0</v>
      </c>
      <c r="R30" s="153">
        <f>IFERROR('Similarity matrix'!R30/'Denominator matrix'!$G$24, "NA")</f>
        <v>0</v>
      </c>
      <c r="S30" s="153">
        <f>IFERROR('Similarity matrix'!S30/'Denominator matrix'!$H$24, "NA")</f>
        <v>0</v>
      </c>
      <c r="T30" s="156">
        <f>IFERROR('Similarity matrix'!T30/'Denominator matrix'!$I$24, "NA")</f>
        <v>0</v>
      </c>
      <c r="U30" s="153">
        <f>IFERROR('Similarity matrix'!U30/'Denominator matrix'!$J$24, "NA")</f>
        <v>0</v>
      </c>
      <c r="V30" s="153">
        <f>IFERROR('Similarity matrix'!V30/'Denominator matrix'!$K$24, "NA")</f>
        <v>0</v>
      </c>
      <c r="W30" s="154">
        <f>IFERROR('Similarity matrix'!W30/'Denominator matrix'!$B$24, "NA")</f>
        <v>0.75</v>
      </c>
      <c r="X30" s="153">
        <f>IFERROR('Similarity matrix'!X30/'Denominator matrix'!$C$24, "NA")</f>
        <v>1</v>
      </c>
      <c r="Y30" s="153">
        <f>IFERROR('Similarity matrix'!Y30/'Denominator matrix'!$D$24, "NA")</f>
        <v>0.8333333333</v>
      </c>
      <c r="Z30" s="153">
        <f>IFERROR('Similarity matrix'!Z30/'Denominator matrix'!$E$24, "NA")</f>
        <v>1</v>
      </c>
      <c r="AA30" s="153">
        <f>IFERROR('Similarity matrix'!AA30/'Denominator matrix'!$F$24, "NA")</f>
        <v>0.9</v>
      </c>
      <c r="AB30" s="153">
        <f>IFERROR('Similarity matrix'!AB30/'Denominator matrix'!$G$24, "NA")</f>
        <v>1</v>
      </c>
      <c r="AC30" s="153">
        <f>IFERROR('Similarity matrix'!AC30/'Denominator matrix'!$H$24, "NA")</f>
        <v>1</v>
      </c>
      <c r="AD30" s="155">
        <f>IFERROR('Similarity matrix'!AD30/'Denominator matrix'!$I$24, "NA")</f>
        <v>0</v>
      </c>
      <c r="AE30" s="153">
        <f>IFERROR('Similarity matrix'!AE30/'Denominator matrix'!$J$24, "NA")</f>
        <v>0.75</v>
      </c>
      <c r="AF30" s="153">
        <f>IFERROR('Similarity matrix'!AF30/'Denominator matrix'!$K$24, "NA")</f>
        <v>1</v>
      </c>
      <c r="AG30" s="154">
        <f>IFERROR('Similarity matrix'!AG30/'Denominator matrix'!$B$24, "NA")</f>
        <v>0</v>
      </c>
      <c r="AH30" s="153">
        <f>IFERROR('Similarity matrix'!AH30/'Denominator matrix'!$C$24, "NA")</f>
        <v>0</v>
      </c>
      <c r="AI30" s="153">
        <f>IFERROR('Similarity matrix'!AI30/'Denominator matrix'!$D$24, "NA")</f>
        <v>0</v>
      </c>
      <c r="AJ30" s="153">
        <f>IFERROR('Similarity matrix'!AJ30/'Denominator matrix'!$E$24, "NA")</f>
        <v>0</v>
      </c>
      <c r="AK30" s="153">
        <f>IFERROR('Similarity matrix'!AK30/'Denominator matrix'!$F$24, "NA")</f>
        <v>0</v>
      </c>
      <c r="AL30" s="153">
        <f>IFERROR('Similarity matrix'!AL30/'Denominator matrix'!$G$24, "NA")</f>
        <v>0</v>
      </c>
      <c r="AM30" s="153">
        <f>IFERROR('Similarity matrix'!AM30/'Denominator matrix'!$H$24, "NA")</f>
        <v>0</v>
      </c>
      <c r="AN30" s="156">
        <f>IFERROR('Similarity matrix'!AN30/'Denominator matrix'!$I$24, "NA")</f>
        <v>0</v>
      </c>
      <c r="AO30" s="153">
        <f>IFERROR('Similarity matrix'!AO30/'Denominator matrix'!$J$24, "NA")</f>
        <v>0</v>
      </c>
      <c r="AP30" s="153">
        <f>IFERROR('Similarity matrix'!AP30/'Denominator matrix'!$K$24, "NA")</f>
        <v>0</v>
      </c>
      <c r="AQ30" s="154">
        <f>IFERROR('Similarity matrix'!AQ30/'Denominator matrix'!$B$24, "NA")</f>
        <v>0</v>
      </c>
      <c r="AR30" s="153">
        <f>IFERROR('Similarity matrix'!AR30/'Denominator matrix'!$C$24, "NA")</f>
        <v>0</v>
      </c>
      <c r="AS30" s="153">
        <f>IFERROR('Similarity matrix'!AS30/'Denominator matrix'!$D$24, "NA")</f>
        <v>0</v>
      </c>
      <c r="AT30" s="153">
        <f>IFERROR('Similarity matrix'!AT30/'Denominator matrix'!$E$24, "NA")</f>
        <v>0</v>
      </c>
      <c r="AU30" s="153">
        <f>IFERROR('Similarity matrix'!AU30/'Denominator matrix'!$F$24, "NA")</f>
        <v>0</v>
      </c>
      <c r="AV30" s="153">
        <f>IFERROR('Similarity matrix'!AV30/'Denominator matrix'!$G$24, "NA")</f>
        <v>0</v>
      </c>
      <c r="AW30" s="153">
        <f>IFERROR('Similarity matrix'!AW30/'Denominator matrix'!$H$24, "NA")</f>
        <v>0</v>
      </c>
      <c r="AX30" s="156">
        <f>IFERROR('Similarity matrix'!AX30/'Denominator matrix'!$I$24, "NA")</f>
        <v>0</v>
      </c>
      <c r="AY30" s="153">
        <f>IFERROR('Similarity matrix'!AY30/'Denominator matrix'!$J$24, "NA")</f>
        <v>0</v>
      </c>
      <c r="AZ30" s="153">
        <f>IFERROR('Similarity matrix'!AZ30/'Denominator matrix'!$K$24, "NA")</f>
        <v>0</v>
      </c>
      <c r="BA30" s="154">
        <f>IFERROR('Similarity matrix'!BA30/'Denominator matrix'!$B$24, "NA")</f>
        <v>0</v>
      </c>
      <c r="BB30" s="153">
        <f>IFERROR('Similarity matrix'!BB30/'Denominator matrix'!$C$24, "NA")</f>
        <v>0</v>
      </c>
      <c r="BC30" s="153">
        <f>IFERROR('Similarity matrix'!BC30/'Denominator matrix'!$D$24, "NA")</f>
        <v>0</v>
      </c>
      <c r="BD30" s="153">
        <f>IFERROR('Similarity matrix'!BD30/'Denominator matrix'!$E$24, "NA")</f>
        <v>0</v>
      </c>
      <c r="BE30" s="153">
        <f>IFERROR('Similarity matrix'!BE30/'Denominator matrix'!$F$24, "NA")</f>
        <v>0</v>
      </c>
      <c r="BF30" s="153">
        <f>IFERROR('Similarity matrix'!BF30/'Denominator matrix'!$G$24, "NA")</f>
        <v>0</v>
      </c>
      <c r="BG30" s="153">
        <f>IFERROR('Similarity matrix'!BG30/'Denominator matrix'!$H$24, "NA")</f>
        <v>0</v>
      </c>
      <c r="BH30" s="156">
        <f>IFERROR('Similarity matrix'!BH30/'Denominator matrix'!$I$24, "NA")</f>
        <v>0</v>
      </c>
      <c r="BI30" s="153">
        <f>IFERROR('Similarity matrix'!BI30/'Denominator matrix'!$J$24, "NA")</f>
        <v>0</v>
      </c>
      <c r="BJ30" s="153">
        <f>IFERROR('Similarity matrix'!BJ30/'Denominator matrix'!$K$24, "NA")</f>
        <v>0</v>
      </c>
      <c r="BK30" s="154">
        <f>IFERROR('Similarity matrix'!BK30/'Denominator matrix'!$B$24, "NA")</f>
        <v>0</v>
      </c>
      <c r="BL30" s="153">
        <f>IFERROR('Similarity matrix'!BL30/'Denominator matrix'!$C$24, "NA")</f>
        <v>0</v>
      </c>
      <c r="BM30" s="153">
        <f>IFERROR('Similarity matrix'!BM30/'Denominator matrix'!$D$24, "NA")</f>
        <v>0</v>
      </c>
      <c r="BN30" s="153">
        <f>IFERROR('Similarity matrix'!BN30/'Denominator matrix'!$E$24, "NA")</f>
        <v>0</v>
      </c>
      <c r="BO30" s="153">
        <f>IFERROR('Similarity matrix'!BO30/'Denominator matrix'!$F$24, "NA")</f>
        <v>0</v>
      </c>
      <c r="BP30" s="153">
        <f>IFERROR('Similarity matrix'!BP30/'Denominator matrix'!$G$24, "NA")</f>
        <v>0</v>
      </c>
      <c r="BQ30" s="153">
        <f>IFERROR('Similarity matrix'!BQ30/'Denominator matrix'!$H$24, "NA")</f>
        <v>0</v>
      </c>
      <c r="BR30" s="156">
        <f>IFERROR('Similarity matrix'!BR30/'Denominator matrix'!$I$24, "NA")</f>
        <v>0</v>
      </c>
      <c r="BS30" s="153">
        <f>IFERROR('Similarity matrix'!BS30/'Denominator matrix'!$J$24, "NA")</f>
        <v>0</v>
      </c>
      <c r="BT30" s="153">
        <f>IFERROR('Similarity matrix'!BT30/'Denominator matrix'!$K$24, "NA")</f>
        <v>0</v>
      </c>
      <c r="BU30" s="154">
        <f>IFERROR('Similarity matrix'!BU30/'Denominator matrix'!$B$24, "NA")</f>
        <v>0</v>
      </c>
      <c r="BV30" s="153">
        <f>IFERROR('Similarity matrix'!BV30/'Denominator matrix'!$C$24, "NA")</f>
        <v>0</v>
      </c>
      <c r="BW30" s="153">
        <f>IFERROR('Similarity matrix'!BW30/'Denominator matrix'!$D$24, "NA")</f>
        <v>0</v>
      </c>
      <c r="BX30" s="153">
        <f>IFERROR('Similarity matrix'!BX30/'Denominator matrix'!$E$24, "NA")</f>
        <v>0</v>
      </c>
      <c r="BY30" s="153">
        <f>IFERROR('Similarity matrix'!BY30/'Denominator matrix'!$F$24, "NA")</f>
        <v>0</v>
      </c>
      <c r="BZ30" s="153">
        <f>IFERROR('Similarity matrix'!BZ30/'Denominator matrix'!$G$24, "NA")</f>
        <v>0</v>
      </c>
      <c r="CA30" s="153">
        <f>IFERROR('Similarity matrix'!CA30/'Denominator matrix'!$H$24, "NA")</f>
        <v>0</v>
      </c>
      <c r="CB30" s="156">
        <f>IFERROR('Similarity matrix'!CB30/'Denominator matrix'!$I$24, "NA")</f>
        <v>0</v>
      </c>
      <c r="CC30" s="153">
        <f>IFERROR('Similarity matrix'!CC30/'Denominator matrix'!$J$24, "NA")</f>
        <v>0</v>
      </c>
      <c r="CD30" s="153">
        <f>IFERROR('Similarity matrix'!CD30/'Denominator matrix'!$K$24, "NA")</f>
        <v>0</v>
      </c>
      <c r="CE30" s="154">
        <f>IFERROR('Similarity matrix'!CE30/'Denominator matrix'!$B$24, "NA")</f>
        <v>0</v>
      </c>
      <c r="CF30" s="153">
        <f>IFERROR('Similarity matrix'!CF30/'Denominator matrix'!$C$24, "NA")</f>
        <v>0</v>
      </c>
      <c r="CG30" s="153">
        <f>IFERROR('Similarity matrix'!CG30/'Denominator matrix'!$D$24, "NA")</f>
        <v>0</v>
      </c>
      <c r="CH30" s="153">
        <f>IFERROR('Similarity matrix'!CH30/'Denominator matrix'!$E$24, "NA")</f>
        <v>0</v>
      </c>
      <c r="CI30" s="153">
        <f>IFERROR('Similarity matrix'!CI30/'Denominator matrix'!$F$24, "NA")</f>
        <v>0</v>
      </c>
      <c r="CJ30" s="153">
        <f>IFERROR('Similarity matrix'!CJ30/'Denominator matrix'!$G$24, "NA")</f>
        <v>0</v>
      </c>
      <c r="CK30" s="153">
        <f>IFERROR('Similarity matrix'!CK30/'Denominator matrix'!$H$24, "NA")</f>
        <v>0</v>
      </c>
      <c r="CL30" s="156">
        <f>IFERROR('Similarity matrix'!CL30/'Denominator matrix'!$I$24, "NA")</f>
        <v>0</v>
      </c>
      <c r="CM30" s="153">
        <f>IFERROR('Similarity matrix'!CM30/'Denominator matrix'!$J$24, "NA")</f>
        <v>0</v>
      </c>
      <c r="CN30" s="153">
        <f>IFERROR('Similarity matrix'!CN30/'Denominator matrix'!$K$24, "NA")</f>
        <v>0</v>
      </c>
      <c r="CO30" s="154">
        <f>IFERROR('Similarity matrix'!CO30/'Denominator matrix'!$B$24, "NA")</f>
        <v>0</v>
      </c>
      <c r="CP30" s="153">
        <f>IFERROR('Similarity matrix'!CP30/'Denominator matrix'!$C$24, "NA")</f>
        <v>0</v>
      </c>
      <c r="CQ30" s="153">
        <f>IFERROR('Similarity matrix'!CQ30/'Denominator matrix'!$D$24, "NA")</f>
        <v>0</v>
      </c>
      <c r="CR30" s="153">
        <f>IFERROR('Similarity matrix'!CR30/'Denominator matrix'!$E$24, "NA")</f>
        <v>0</v>
      </c>
      <c r="CS30" s="153">
        <f>IFERROR('Similarity matrix'!CS30/'Denominator matrix'!$F$24, "NA")</f>
        <v>0</v>
      </c>
      <c r="CT30" s="153">
        <f>IFERROR('Similarity matrix'!CT30/'Denominator matrix'!$G$24, "NA")</f>
        <v>0</v>
      </c>
      <c r="CU30" s="153">
        <f>IFERROR('Similarity matrix'!CU30/'Denominator matrix'!$H$24, "NA")</f>
        <v>0</v>
      </c>
      <c r="CV30" s="156">
        <f>IFERROR('Similarity matrix'!CV30/'Denominator matrix'!$I$24, "NA")</f>
        <v>0</v>
      </c>
      <c r="CW30" s="153">
        <f>IFERROR('Similarity matrix'!CW30/'Denominator matrix'!$J$24, "NA")</f>
        <v>0</v>
      </c>
      <c r="CX30" s="153">
        <f>IFERROR('Similarity matrix'!CX30/'Denominator matrix'!$K$24, "NA")</f>
        <v>0</v>
      </c>
    </row>
    <row r="31" ht="35.25" customHeight="1">
      <c r="B31" s="124">
        <v>45903.0</v>
      </c>
      <c r="C31" s="154">
        <f>IFERROR('Similarity matrix'!C31/'Denominator matrix'!$B$25, "NA")</f>
        <v>0</v>
      </c>
      <c r="D31" s="153">
        <f>IFERROR('Similarity matrix'!D31/'Denominator matrix'!$C$25, "NA")</f>
        <v>0</v>
      </c>
      <c r="E31" s="153">
        <f>IFERROR('Similarity matrix'!E31/'Denominator matrix'!$D$25, "NA")</f>
        <v>0</v>
      </c>
      <c r="F31" s="153">
        <f>IFERROR('Similarity matrix'!F31/'Denominator matrix'!$E$25, "NA")</f>
        <v>0</v>
      </c>
      <c r="G31" s="153">
        <f>IFERROR('Similarity matrix'!G31/'Denominator matrix'!$F$25, "NA")</f>
        <v>0</v>
      </c>
      <c r="H31" s="153">
        <f>IFERROR('Similarity matrix'!H31/'Denominator matrix'!$G$25, "NA")</f>
        <v>0</v>
      </c>
      <c r="I31" s="153">
        <f>IFERROR('Similarity matrix'!I31/'Denominator matrix'!$H$25, "NA")</f>
        <v>0</v>
      </c>
      <c r="J31" s="153">
        <f>IFERROR('Similarity matrix'!J31/'Denominator matrix'!$I$25, "NA")</f>
        <v>0</v>
      </c>
      <c r="K31" s="156">
        <f>IFERROR('Similarity matrix'!K31/'Denominator matrix'!$J$25, "NA")</f>
        <v>0</v>
      </c>
      <c r="L31" s="153">
        <f>IFERROR('Similarity matrix'!L31/'Denominator matrix'!$K$25, "NA")</f>
        <v>0</v>
      </c>
      <c r="M31" s="154">
        <f>IFERROR('Similarity matrix'!M31/'Denominator matrix'!$B$25, "NA")</f>
        <v>0</v>
      </c>
      <c r="N31" s="153">
        <f>IFERROR('Similarity matrix'!N31/'Denominator matrix'!$C$25, "NA")</f>
        <v>0</v>
      </c>
      <c r="O31" s="153">
        <f>IFERROR('Similarity matrix'!O31/'Denominator matrix'!$D$25, "NA")</f>
        <v>0</v>
      </c>
      <c r="P31" s="153">
        <f>IFERROR('Similarity matrix'!P31/'Denominator matrix'!$E$25, "NA")</f>
        <v>0</v>
      </c>
      <c r="Q31" s="153">
        <f>IFERROR('Similarity matrix'!Q31/'Denominator matrix'!$F$25, "NA")</f>
        <v>0</v>
      </c>
      <c r="R31" s="153">
        <f>IFERROR('Similarity matrix'!R31/'Denominator matrix'!$G$25, "NA")</f>
        <v>0</v>
      </c>
      <c r="S31" s="153">
        <f>IFERROR('Similarity matrix'!S31/'Denominator matrix'!$H$25, "NA")</f>
        <v>0</v>
      </c>
      <c r="T31" s="153">
        <f>IFERROR('Similarity matrix'!T31/'Denominator matrix'!$I$25, "NA")</f>
        <v>0</v>
      </c>
      <c r="U31" s="156">
        <f>IFERROR('Similarity matrix'!U31/'Denominator matrix'!$J$25, "NA")</f>
        <v>0</v>
      </c>
      <c r="V31" s="153">
        <f>IFERROR('Similarity matrix'!V31/'Denominator matrix'!$K$25, "NA")</f>
        <v>0</v>
      </c>
      <c r="W31" s="154">
        <f>IFERROR('Similarity matrix'!W31/'Denominator matrix'!$B$25, "NA")</f>
        <v>0.8</v>
      </c>
      <c r="X31" s="153">
        <f>IFERROR('Similarity matrix'!X31/'Denominator matrix'!$C$25, "NA")</f>
        <v>1</v>
      </c>
      <c r="Y31" s="153">
        <f>IFERROR('Similarity matrix'!Y31/'Denominator matrix'!$D$25, "NA")</f>
        <v>0.75</v>
      </c>
      <c r="Z31" s="153">
        <f>IFERROR('Similarity matrix'!Z31/'Denominator matrix'!$E$25, "NA")</f>
        <v>1</v>
      </c>
      <c r="AA31" s="153">
        <f>IFERROR('Similarity matrix'!AA31/'Denominator matrix'!$F$25, "NA")</f>
        <v>0.8333333333</v>
      </c>
      <c r="AB31" s="153">
        <f>IFERROR('Similarity matrix'!AB31/'Denominator matrix'!$G$25, "NA")</f>
        <v>0.75</v>
      </c>
      <c r="AC31" s="153">
        <f>IFERROR('Similarity matrix'!AC31/'Denominator matrix'!$H$25, "NA")</f>
        <v>1</v>
      </c>
      <c r="AD31" s="153">
        <f>IFERROR('Similarity matrix'!AD31/'Denominator matrix'!$I$25, "NA")</f>
        <v>0.75</v>
      </c>
      <c r="AE31" s="155">
        <f>IFERROR('Similarity matrix'!AE31/'Denominator matrix'!$J$25, "NA")</f>
        <v>0</v>
      </c>
      <c r="AF31" s="153">
        <f>IFERROR('Similarity matrix'!AF31/'Denominator matrix'!$K$25, "NA")</f>
        <v>1</v>
      </c>
      <c r="AG31" s="154">
        <f>IFERROR('Similarity matrix'!AG31/'Denominator matrix'!$B$25, "NA")</f>
        <v>0</v>
      </c>
      <c r="AH31" s="153">
        <f>IFERROR('Similarity matrix'!AH31/'Denominator matrix'!$C$25, "NA")</f>
        <v>0</v>
      </c>
      <c r="AI31" s="153">
        <f>IFERROR('Similarity matrix'!AI31/'Denominator matrix'!$D$25, "NA")</f>
        <v>0.25</v>
      </c>
      <c r="AJ31" s="153">
        <f>IFERROR('Similarity matrix'!AJ31/'Denominator matrix'!$E$25, "NA")</f>
        <v>0</v>
      </c>
      <c r="AK31" s="153">
        <f>IFERROR('Similarity matrix'!AK31/'Denominator matrix'!$F$25, "NA")</f>
        <v>0</v>
      </c>
      <c r="AL31" s="153">
        <f>IFERROR('Similarity matrix'!AL31/'Denominator matrix'!$G$25, "NA")</f>
        <v>0</v>
      </c>
      <c r="AM31" s="153">
        <f>IFERROR('Similarity matrix'!AM31/'Denominator matrix'!$H$25, "NA")</f>
        <v>0</v>
      </c>
      <c r="AN31" s="153">
        <f>IFERROR('Similarity matrix'!AN31/'Denominator matrix'!$I$25, "NA")</f>
        <v>0</v>
      </c>
      <c r="AO31" s="156">
        <f>IFERROR('Similarity matrix'!AO31/'Denominator matrix'!$J$25, "NA")</f>
        <v>0.0625</v>
      </c>
      <c r="AP31" s="153">
        <f>IFERROR('Similarity matrix'!AP31/'Denominator matrix'!$K$25, "NA")</f>
        <v>0</v>
      </c>
      <c r="AQ31" s="154">
        <f>IFERROR('Similarity matrix'!AQ31/'Denominator matrix'!$B$25, "NA")</f>
        <v>0</v>
      </c>
      <c r="AR31" s="153">
        <f>IFERROR('Similarity matrix'!AR31/'Denominator matrix'!$C$25, "NA")</f>
        <v>0</v>
      </c>
      <c r="AS31" s="153">
        <f>IFERROR('Similarity matrix'!AS31/'Denominator matrix'!$D$25, "NA")</f>
        <v>0</v>
      </c>
      <c r="AT31" s="153">
        <f>IFERROR('Similarity matrix'!AT31/'Denominator matrix'!$E$25, "NA")</f>
        <v>0</v>
      </c>
      <c r="AU31" s="153">
        <f>IFERROR('Similarity matrix'!AU31/'Denominator matrix'!$F$25, "NA")</f>
        <v>0</v>
      </c>
      <c r="AV31" s="153">
        <f>IFERROR('Similarity matrix'!AV31/'Denominator matrix'!$G$25, "NA")</f>
        <v>0</v>
      </c>
      <c r="AW31" s="153">
        <f>IFERROR('Similarity matrix'!AW31/'Denominator matrix'!$H$25, "NA")</f>
        <v>0</v>
      </c>
      <c r="AX31" s="153">
        <f>IFERROR('Similarity matrix'!AX31/'Denominator matrix'!$I$25, "NA")</f>
        <v>0</v>
      </c>
      <c r="AY31" s="156">
        <f>IFERROR('Similarity matrix'!AY31/'Denominator matrix'!$J$25, "NA")</f>
        <v>0</v>
      </c>
      <c r="AZ31" s="153">
        <f>IFERROR('Similarity matrix'!AZ31/'Denominator matrix'!$K$25, "NA")</f>
        <v>0</v>
      </c>
      <c r="BA31" s="154">
        <f>IFERROR('Similarity matrix'!BA31/'Denominator matrix'!$B$25, "NA")</f>
        <v>0</v>
      </c>
      <c r="BB31" s="153">
        <f>IFERROR('Similarity matrix'!BB31/'Denominator matrix'!$C$25, "NA")</f>
        <v>0</v>
      </c>
      <c r="BC31" s="153">
        <f>IFERROR('Similarity matrix'!BC31/'Denominator matrix'!$D$25, "NA")</f>
        <v>0</v>
      </c>
      <c r="BD31" s="153">
        <f>IFERROR('Similarity matrix'!BD31/'Denominator matrix'!$E$25, "NA")</f>
        <v>0</v>
      </c>
      <c r="BE31" s="153">
        <f>IFERROR('Similarity matrix'!BE31/'Denominator matrix'!$F$25, "NA")</f>
        <v>0</v>
      </c>
      <c r="BF31" s="153">
        <f>IFERROR('Similarity matrix'!BF31/'Denominator matrix'!$G$25, "NA")</f>
        <v>0</v>
      </c>
      <c r="BG31" s="153">
        <f>IFERROR('Similarity matrix'!BG31/'Denominator matrix'!$H$25, "NA")</f>
        <v>0</v>
      </c>
      <c r="BH31" s="153">
        <f>IFERROR('Similarity matrix'!BH31/'Denominator matrix'!$I$25, "NA")</f>
        <v>0</v>
      </c>
      <c r="BI31" s="156">
        <f>IFERROR('Similarity matrix'!BI31/'Denominator matrix'!$J$25, "NA")</f>
        <v>0</v>
      </c>
      <c r="BJ31" s="153">
        <f>IFERROR('Similarity matrix'!BJ31/'Denominator matrix'!$K$25, "NA")</f>
        <v>0</v>
      </c>
      <c r="BK31" s="154">
        <f>IFERROR('Similarity matrix'!BK31/'Denominator matrix'!$B$25, "NA")</f>
        <v>0</v>
      </c>
      <c r="BL31" s="153">
        <f>IFERROR('Similarity matrix'!BL31/'Denominator matrix'!$C$25, "NA")</f>
        <v>0</v>
      </c>
      <c r="BM31" s="153">
        <f>IFERROR('Similarity matrix'!BM31/'Denominator matrix'!$D$25, "NA")</f>
        <v>0</v>
      </c>
      <c r="BN31" s="153">
        <f>IFERROR('Similarity matrix'!BN31/'Denominator matrix'!$E$25, "NA")</f>
        <v>0</v>
      </c>
      <c r="BO31" s="153">
        <f>IFERROR('Similarity matrix'!BO31/'Denominator matrix'!$F$25, "NA")</f>
        <v>0</v>
      </c>
      <c r="BP31" s="153">
        <f>IFERROR('Similarity matrix'!BP31/'Denominator matrix'!$G$25, "NA")</f>
        <v>0</v>
      </c>
      <c r="BQ31" s="153">
        <f>IFERROR('Similarity matrix'!BQ31/'Denominator matrix'!$H$25, "NA")</f>
        <v>0</v>
      </c>
      <c r="BR31" s="153">
        <f>IFERROR('Similarity matrix'!BR31/'Denominator matrix'!$I$25, "NA")</f>
        <v>0</v>
      </c>
      <c r="BS31" s="156">
        <f>IFERROR('Similarity matrix'!BS31/'Denominator matrix'!$J$25, "NA")</f>
        <v>0</v>
      </c>
      <c r="BT31" s="153">
        <f>IFERROR('Similarity matrix'!BT31/'Denominator matrix'!$K$25, "NA")</f>
        <v>0</v>
      </c>
      <c r="BU31" s="154">
        <f>IFERROR('Similarity matrix'!BU31/'Denominator matrix'!$B$25, "NA")</f>
        <v>0</v>
      </c>
      <c r="BV31" s="153">
        <f>IFERROR('Similarity matrix'!BV31/'Denominator matrix'!$C$25, "NA")</f>
        <v>0</v>
      </c>
      <c r="BW31" s="153">
        <f>IFERROR('Similarity matrix'!BW31/'Denominator matrix'!$D$25, "NA")</f>
        <v>0</v>
      </c>
      <c r="BX31" s="153">
        <f>IFERROR('Similarity matrix'!BX31/'Denominator matrix'!$E$25, "NA")</f>
        <v>0</v>
      </c>
      <c r="BY31" s="153">
        <f>IFERROR('Similarity matrix'!BY31/'Denominator matrix'!$F$25, "NA")</f>
        <v>0</v>
      </c>
      <c r="BZ31" s="153">
        <f>IFERROR('Similarity matrix'!BZ31/'Denominator matrix'!$G$25, "NA")</f>
        <v>0</v>
      </c>
      <c r="CA31" s="153">
        <f>IFERROR('Similarity matrix'!CA31/'Denominator matrix'!$H$25, "NA")</f>
        <v>0</v>
      </c>
      <c r="CB31" s="153">
        <f>IFERROR('Similarity matrix'!CB31/'Denominator matrix'!$I$25, "NA")</f>
        <v>0</v>
      </c>
      <c r="CC31" s="156">
        <f>IFERROR('Similarity matrix'!CC31/'Denominator matrix'!$J$25, "NA")</f>
        <v>0</v>
      </c>
      <c r="CD31" s="153">
        <f>IFERROR('Similarity matrix'!CD31/'Denominator matrix'!$K$25, "NA")</f>
        <v>0</v>
      </c>
      <c r="CE31" s="154">
        <f>IFERROR('Similarity matrix'!CE31/'Denominator matrix'!$B$25, "NA")</f>
        <v>0</v>
      </c>
      <c r="CF31" s="153">
        <f>IFERROR('Similarity matrix'!CF31/'Denominator matrix'!$C$25, "NA")</f>
        <v>0</v>
      </c>
      <c r="CG31" s="153">
        <f>IFERROR('Similarity matrix'!CG31/'Denominator matrix'!$D$25, "NA")</f>
        <v>0</v>
      </c>
      <c r="CH31" s="153">
        <f>IFERROR('Similarity matrix'!CH31/'Denominator matrix'!$E$25, "NA")</f>
        <v>0</v>
      </c>
      <c r="CI31" s="153">
        <f>IFERROR('Similarity matrix'!CI31/'Denominator matrix'!$F$25, "NA")</f>
        <v>0</v>
      </c>
      <c r="CJ31" s="153">
        <f>IFERROR('Similarity matrix'!CJ31/'Denominator matrix'!$G$25, "NA")</f>
        <v>0</v>
      </c>
      <c r="CK31" s="153">
        <f>IFERROR('Similarity matrix'!CK31/'Denominator matrix'!$H$25, "NA")</f>
        <v>0</v>
      </c>
      <c r="CL31" s="153">
        <f>IFERROR('Similarity matrix'!CL31/'Denominator matrix'!$I$25, "NA")</f>
        <v>0</v>
      </c>
      <c r="CM31" s="156">
        <f>IFERROR('Similarity matrix'!CM31/'Denominator matrix'!$J$25, "NA")</f>
        <v>0</v>
      </c>
      <c r="CN31" s="153">
        <f>IFERROR('Similarity matrix'!CN31/'Denominator matrix'!$K$25, "NA")</f>
        <v>0</v>
      </c>
      <c r="CO31" s="154">
        <f>IFERROR('Similarity matrix'!CO31/'Denominator matrix'!$B$25, "NA")</f>
        <v>0</v>
      </c>
      <c r="CP31" s="153">
        <f>IFERROR('Similarity matrix'!CP31/'Denominator matrix'!$C$25, "NA")</f>
        <v>0</v>
      </c>
      <c r="CQ31" s="153">
        <f>IFERROR('Similarity matrix'!CQ31/'Denominator matrix'!$D$25, "NA")</f>
        <v>0</v>
      </c>
      <c r="CR31" s="153">
        <f>IFERROR('Similarity matrix'!CR31/'Denominator matrix'!$E$25, "NA")</f>
        <v>0</v>
      </c>
      <c r="CS31" s="153">
        <f>IFERROR('Similarity matrix'!CS31/'Denominator matrix'!$F$25, "NA")</f>
        <v>0</v>
      </c>
      <c r="CT31" s="153">
        <f>IFERROR('Similarity matrix'!CT31/'Denominator matrix'!$G$25, "NA")</f>
        <v>0</v>
      </c>
      <c r="CU31" s="153">
        <f>IFERROR('Similarity matrix'!CU31/'Denominator matrix'!$H$25, "NA")</f>
        <v>0</v>
      </c>
      <c r="CV31" s="153">
        <f>IFERROR('Similarity matrix'!CV31/'Denominator matrix'!$I$25, "NA")</f>
        <v>0</v>
      </c>
      <c r="CW31" s="156">
        <f>IFERROR('Similarity matrix'!CW31/'Denominator matrix'!$J$25, "NA")</f>
        <v>0.0625</v>
      </c>
      <c r="CX31" s="153">
        <f>IFERROR('Similarity matrix'!CX31/'Denominator matrix'!$K$25, "NA")</f>
        <v>0</v>
      </c>
    </row>
    <row r="32" ht="35.25" customHeight="1">
      <c r="A32" s="125"/>
      <c r="B32" s="126">
        <v>45933.0</v>
      </c>
      <c r="C32" s="157">
        <f>IFERROR('Similarity matrix'!C32/'Denominator matrix'!$B$26, "NA")</f>
        <v>0</v>
      </c>
      <c r="D32" s="158">
        <f>IFERROR('Similarity matrix'!D32/'Denominator matrix'!$C$26, "NA")</f>
        <v>0</v>
      </c>
      <c r="E32" s="158">
        <f>IFERROR('Similarity matrix'!E32/'Denominator matrix'!$D$26, "NA")</f>
        <v>0</v>
      </c>
      <c r="F32" s="158">
        <f>IFERROR('Similarity matrix'!F32/'Denominator matrix'!$E$26, "NA")</f>
        <v>0</v>
      </c>
      <c r="G32" s="158">
        <f>IFERROR('Similarity matrix'!G32/'Denominator matrix'!$F$26, "NA")</f>
        <v>0</v>
      </c>
      <c r="H32" s="158">
        <f>IFERROR('Similarity matrix'!H32/'Denominator matrix'!$G$26, "NA")</f>
        <v>0</v>
      </c>
      <c r="I32" s="158">
        <f>IFERROR('Similarity matrix'!I32/'Denominator matrix'!$H$26, "NA")</f>
        <v>0</v>
      </c>
      <c r="J32" s="158">
        <f>IFERROR('Similarity matrix'!J32/'Denominator matrix'!$I$26, "NA")</f>
        <v>0</v>
      </c>
      <c r="K32" s="158">
        <f>IFERROR('Similarity matrix'!K32/'Denominator matrix'!$J$26, "NA")</f>
        <v>0</v>
      </c>
      <c r="L32" s="160">
        <f>IFERROR('Similarity matrix'!L32/'Denominator matrix'!$K$26, "NA")</f>
        <v>0</v>
      </c>
      <c r="M32" s="157">
        <f>IFERROR('Similarity matrix'!M32/'Denominator matrix'!$B$26, "NA")</f>
        <v>0.25</v>
      </c>
      <c r="N32" s="158">
        <f>IFERROR('Similarity matrix'!N32/'Denominator matrix'!$C$26, "NA")</f>
        <v>0</v>
      </c>
      <c r="O32" s="158">
        <f>IFERROR('Similarity matrix'!O32/'Denominator matrix'!$D$26, "NA")</f>
        <v>0</v>
      </c>
      <c r="P32" s="158">
        <f>IFERROR('Similarity matrix'!P32/'Denominator matrix'!$E$26, "NA")</f>
        <v>0</v>
      </c>
      <c r="Q32" s="158">
        <f>IFERROR('Similarity matrix'!Q32/'Denominator matrix'!$F$26, "NA")</f>
        <v>0.25</v>
      </c>
      <c r="R32" s="158">
        <f>IFERROR('Similarity matrix'!R32/'Denominator matrix'!$G$26, "NA")</f>
        <v>0.25</v>
      </c>
      <c r="S32" s="158">
        <f>IFERROR('Similarity matrix'!S32/'Denominator matrix'!$H$26, "NA")</f>
        <v>0</v>
      </c>
      <c r="T32" s="158">
        <f>IFERROR('Similarity matrix'!T32/'Denominator matrix'!$I$26, "NA")</f>
        <v>0</v>
      </c>
      <c r="U32" s="158">
        <f>IFERROR('Similarity matrix'!U32/'Denominator matrix'!$J$26, "NA")</f>
        <v>0</v>
      </c>
      <c r="V32" s="160">
        <f>IFERROR('Similarity matrix'!V32/'Denominator matrix'!$K$26, "NA")</f>
        <v>0.07142857143</v>
      </c>
      <c r="W32" s="157">
        <f>IFERROR('Similarity matrix'!W32/'Denominator matrix'!$B$26, "NA")</f>
        <v>1</v>
      </c>
      <c r="X32" s="158">
        <f>IFERROR('Similarity matrix'!X32/'Denominator matrix'!$C$26, "NA")</f>
        <v>1</v>
      </c>
      <c r="Y32" s="158">
        <f>IFERROR('Similarity matrix'!Y32/'Denominator matrix'!$D$26, "NA")</f>
        <v>0.3333333333</v>
      </c>
      <c r="Z32" s="158">
        <f>IFERROR('Similarity matrix'!Z32/'Denominator matrix'!$E$26, "NA")</f>
        <v>1</v>
      </c>
      <c r="AA32" s="158">
        <f>IFERROR('Similarity matrix'!AA32/'Denominator matrix'!$F$26, "NA")</f>
        <v>1</v>
      </c>
      <c r="AB32" s="158">
        <f>IFERROR('Similarity matrix'!AB32/'Denominator matrix'!$G$26, "NA")</f>
        <v>1</v>
      </c>
      <c r="AC32" s="158">
        <f>IFERROR('Similarity matrix'!AC32/'Denominator matrix'!$H$26, "NA")</f>
        <v>1</v>
      </c>
      <c r="AD32" s="158">
        <f>IFERROR('Similarity matrix'!AD32/'Denominator matrix'!$I$26, "NA")</f>
        <v>1</v>
      </c>
      <c r="AE32" s="158">
        <f>IFERROR('Similarity matrix'!AE32/'Denominator matrix'!$J$26, "NA")</f>
        <v>1</v>
      </c>
      <c r="AF32" s="159">
        <f>IFERROR('Similarity matrix'!AF32/'Denominator matrix'!$K$26, "NA")</f>
        <v>0</v>
      </c>
      <c r="AG32" s="157">
        <f>IFERROR('Similarity matrix'!AG32/'Denominator matrix'!$B$26, "NA")</f>
        <v>0</v>
      </c>
      <c r="AH32" s="158">
        <f>IFERROR('Similarity matrix'!AH32/'Denominator matrix'!$C$26, "NA")</f>
        <v>0.5</v>
      </c>
      <c r="AI32" s="158">
        <f>IFERROR('Similarity matrix'!AI32/'Denominator matrix'!$D$26, "NA")</f>
        <v>0.3333333333</v>
      </c>
      <c r="AJ32" s="158">
        <f>IFERROR('Similarity matrix'!AJ32/'Denominator matrix'!$E$26, "NA")</f>
        <v>0</v>
      </c>
      <c r="AK32" s="158">
        <f>IFERROR('Similarity matrix'!AK32/'Denominator matrix'!$F$26, "NA")</f>
        <v>0</v>
      </c>
      <c r="AL32" s="158">
        <f>IFERROR('Similarity matrix'!AL32/'Denominator matrix'!$G$26, "NA")</f>
        <v>0</v>
      </c>
      <c r="AM32" s="158">
        <f>IFERROR('Similarity matrix'!AM32/'Denominator matrix'!$H$26, "NA")</f>
        <v>0</v>
      </c>
      <c r="AN32" s="158">
        <f>IFERROR('Similarity matrix'!AN32/'Denominator matrix'!$I$26, "NA")</f>
        <v>0</v>
      </c>
      <c r="AO32" s="158">
        <f>IFERROR('Similarity matrix'!AO32/'Denominator matrix'!$J$26, "NA")</f>
        <v>0</v>
      </c>
      <c r="AP32" s="160">
        <f>IFERROR('Similarity matrix'!AP32/'Denominator matrix'!$K$26, "NA")</f>
        <v>0</v>
      </c>
      <c r="AQ32" s="157">
        <f>IFERROR('Similarity matrix'!AQ32/'Denominator matrix'!$B$26, "NA")</f>
        <v>0</v>
      </c>
      <c r="AR32" s="158">
        <f>IFERROR('Similarity matrix'!AR32/'Denominator matrix'!$C$26, "NA")</f>
        <v>0</v>
      </c>
      <c r="AS32" s="158">
        <f>IFERROR('Similarity matrix'!AS32/'Denominator matrix'!$D$26, "NA")</f>
        <v>0</v>
      </c>
      <c r="AT32" s="158">
        <f>IFERROR('Similarity matrix'!AT32/'Denominator matrix'!$E$26, "NA")</f>
        <v>0</v>
      </c>
      <c r="AU32" s="158">
        <f>IFERROR('Similarity matrix'!AU32/'Denominator matrix'!$F$26, "NA")</f>
        <v>0</v>
      </c>
      <c r="AV32" s="158">
        <f>IFERROR('Similarity matrix'!AV32/'Denominator matrix'!$G$26, "NA")</f>
        <v>0</v>
      </c>
      <c r="AW32" s="158">
        <f>IFERROR('Similarity matrix'!AW32/'Denominator matrix'!$H$26, "NA")</f>
        <v>0</v>
      </c>
      <c r="AX32" s="158">
        <f>IFERROR('Similarity matrix'!AX32/'Denominator matrix'!$I$26, "NA")</f>
        <v>0</v>
      </c>
      <c r="AY32" s="158">
        <f>IFERROR('Similarity matrix'!AY32/'Denominator matrix'!$J$26, "NA")</f>
        <v>0</v>
      </c>
      <c r="AZ32" s="160">
        <f>IFERROR('Similarity matrix'!AZ32/'Denominator matrix'!$K$26, "NA")</f>
        <v>0</v>
      </c>
      <c r="BA32" s="157">
        <f>IFERROR('Similarity matrix'!BA32/'Denominator matrix'!$B$26, "NA")</f>
        <v>0</v>
      </c>
      <c r="BB32" s="158">
        <f>IFERROR('Similarity matrix'!BB32/'Denominator matrix'!$C$26, "NA")</f>
        <v>0</v>
      </c>
      <c r="BC32" s="158">
        <f>IFERROR('Similarity matrix'!BC32/'Denominator matrix'!$D$26, "NA")</f>
        <v>0</v>
      </c>
      <c r="BD32" s="158">
        <f>IFERROR('Similarity matrix'!BD32/'Denominator matrix'!$E$26, "NA")</f>
        <v>0</v>
      </c>
      <c r="BE32" s="158">
        <f>IFERROR('Similarity matrix'!BE32/'Denominator matrix'!$F$26, "NA")</f>
        <v>0</v>
      </c>
      <c r="BF32" s="158">
        <f>IFERROR('Similarity matrix'!BF32/'Denominator matrix'!$G$26, "NA")</f>
        <v>0</v>
      </c>
      <c r="BG32" s="158">
        <f>IFERROR('Similarity matrix'!BG32/'Denominator matrix'!$H$26, "NA")</f>
        <v>0</v>
      </c>
      <c r="BH32" s="158">
        <f>IFERROR('Similarity matrix'!BH32/'Denominator matrix'!$I$26, "NA")</f>
        <v>0</v>
      </c>
      <c r="BI32" s="158">
        <f>IFERROR('Similarity matrix'!BI32/'Denominator matrix'!$J$26, "NA")</f>
        <v>0</v>
      </c>
      <c r="BJ32" s="160">
        <f>IFERROR('Similarity matrix'!BJ32/'Denominator matrix'!$K$26, "NA")</f>
        <v>0</v>
      </c>
      <c r="BK32" s="157">
        <f>IFERROR('Similarity matrix'!BK32/'Denominator matrix'!$B$26, "NA")</f>
        <v>0</v>
      </c>
      <c r="BL32" s="158">
        <f>IFERROR('Similarity matrix'!BL32/'Denominator matrix'!$C$26, "NA")</f>
        <v>0</v>
      </c>
      <c r="BM32" s="158">
        <f>IFERROR('Similarity matrix'!BM32/'Denominator matrix'!$D$26, "NA")</f>
        <v>0</v>
      </c>
      <c r="BN32" s="158">
        <f>IFERROR('Similarity matrix'!BN32/'Denominator matrix'!$E$26, "NA")</f>
        <v>0</v>
      </c>
      <c r="BO32" s="158">
        <f>IFERROR('Similarity matrix'!BO32/'Denominator matrix'!$F$26, "NA")</f>
        <v>0</v>
      </c>
      <c r="BP32" s="158">
        <f>IFERROR('Similarity matrix'!BP32/'Denominator matrix'!$G$26, "NA")</f>
        <v>0</v>
      </c>
      <c r="BQ32" s="158">
        <f>IFERROR('Similarity matrix'!BQ32/'Denominator matrix'!$H$26, "NA")</f>
        <v>0</v>
      </c>
      <c r="BR32" s="158">
        <f>IFERROR('Similarity matrix'!BR32/'Denominator matrix'!$I$26, "NA")</f>
        <v>0</v>
      </c>
      <c r="BS32" s="158">
        <f>IFERROR('Similarity matrix'!BS32/'Denominator matrix'!$J$26, "NA")</f>
        <v>0</v>
      </c>
      <c r="BT32" s="160">
        <f>IFERROR('Similarity matrix'!BT32/'Denominator matrix'!$K$26, "NA")</f>
        <v>0</v>
      </c>
      <c r="BU32" s="157">
        <f>IFERROR('Similarity matrix'!BU32/'Denominator matrix'!$B$26, "NA")</f>
        <v>0</v>
      </c>
      <c r="BV32" s="158">
        <f>IFERROR('Similarity matrix'!BV32/'Denominator matrix'!$C$26, "NA")</f>
        <v>0</v>
      </c>
      <c r="BW32" s="158">
        <f>IFERROR('Similarity matrix'!BW32/'Denominator matrix'!$D$26, "NA")</f>
        <v>0</v>
      </c>
      <c r="BX32" s="158">
        <f>IFERROR('Similarity matrix'!BX32/'Denominator matrix'!$E$26, "NA")</f>
        <v>0</v>
      </c>
      <c r="BY32" s="158">
        <f>IFERROR('Similarity matrix'!BY32/'Denominator matrix'!$F$26, "NA")</f>
        <v>0</v>
      </c>
      <c r="BZ32" s="158">
        <f>IFERROR('Similarity matrix'!BZ32/'Denominator matrix'!$G$26, "NA")</f>
        <v>0</v>
      </c>
      <c r="CA32" s="158">
        <f>IFERROR('Similarity matrix'!CA32/'Denominator matrix'!$H$26, "NA")</f>
        <v>0</v>
      </c>
      <c r="CB32" s="158">
        <f>IFERROR('Similarity matrix'!CB32/'Denominator matrix'!$I$26, "NA")</f>
        <v>0</v>
      </c>
      <c r="CC32" s="158">
        <f>IFERROR('Similarity matrix'!CC32/'Denominator matrix'!$J$26, "NA")</f>
        <v>0</v>
      </c>
      <c r="CD32" s="160">
        <f>IFERROR('Similarity matrix'!CD32/'Denominator matrix'!$K$26, "NA")</f>
        <v>0</v>
      </c>
      <c r="CE32" s="157">
        <f>IFERROR('Similarity matrix'!CE32/'Denominator matrix'!$B$26, "NA")</f>
        <v>0</v>
      </c>
      <c r="CF32" s="158">
        <f>IFERROR('Similarity matrix'!CF32/'Denominator matrix'!$C$26, "NA")</f>
        <v>0</v>
      </c>
      <c r="CG32" s="158">
        <f>IFERROR('Similarity matrix'!CG32/'Denominator matrix'!$D$26, "NA")</f>
        <v>0</v>
      </c>
      <c r="CH32" s="158">
        <f>IFERROR('Similarity matrix'!CH32/'Denominator matrix'!$E$26, "NA")</f>
        <v>0</v>
      </c>
      <c r="CI32" s="158">
        <f>IFERROR('Similarity matrix'!CI32/'Denominator matrix'!$F$26, "NA")</f>
        <v>0</v>
      </c>
      <c r="CJ32" s="158">
        <f>IFERROR('Similarity matrix'!CJ32/'Denominator matrix'!$G$26, "NA")</f>
        <v>0</v>
      </c>
      <c r="CK32" s="158">
        <f>IFERROR('Similarity matrix'!CK32/'Denominator matrix'!$H$26, "NA")</f>
        <v>0</v>
      </c>
      <c r="CL32" s="158">
        <f>IFERROR('Similarity matrix'!CL32/'Denominator matrix'!$I$26, "NA")</f>
        <v>0</v>
      </c>
      <c r="CM32" s="158">
        <f>IFERROR('Similarity matrix'!CM32/'Denominator matrix'!$J$26, "NA")</f>
        <v>0</v>
      </c>
      <c r="CN32" s="160">
        <f>IFERROR('Similarity matrix'!CN32/'Denominator matrix'!$K$26, "NA")</f>
        <v>0</v>
      </c>
      <c r="CO32" s="157">
        <f>IFERROR('Similarity matrix'!CO32/'Denominator matrix'!$B$26, "NA")</f>
        <v>0</v>
      </c>
      <c r="CP32" s="158">
        <f>IFERROR('Similarity matrix'!CP32/'Denominator matrix'!$C$26, "NA")</f>
        <v>0</v>
      </c>
      <c r="CQ32" s="158">
        <f>IFERROR('Similarity matrix'!CQ32/'Denominator matrix'!$D$26, "NA")</f>
        <v>0</v>
      </c>
      <c r="CR32" s="158">
        <f>IFERROR('Similarity matrix'!CR32/'Denominator matrix'!$E$26, "NA")</f>
        <v>0</v>
      </c>
      <c r="CS32" s="158">
        <f>IFERROR('Similarity matrix'!CS32/'Denominator matrix'!$F$26, "NA")</f>
        <v>0</v>
      </c>
      <c r="CT32" s="158">
        <f>IFERROR('Similarity matrix'!CT32/'Denominator matrix'!$G$26, "NA")</f>
        <v>0</v>
      </c>
      <c r="CU32" s="158">
        <f>IFERROR('Similarity matrix'!CU32/'Denominator matrix'!$H$26, "NA")</f>
        <v>0</v>
      </c>
      <c r="CV32" s="158">
        <f>IFERROR('Similarity matrix'!CV32/'Denominator matrix'!$I$26, "NA")</f>
        <v>0</v>
      </c>
      <c r="CW32" s="158">
        <f>IFERROR('Similarity matrix'!CW32/'Denominator matrix'!$J$26, "NA")</f>
        <v>0</v>
      </c>
      <c r="CX32" s="160">
        <f>IFERROR('Similarity matrix'!CX32/'Denominator matrix'!$K$26, "NA")</f>
        <v>0</v>
      </c>
    </row>
    <row r="33" ht="35.25" customHeight="1">
      <c r="A33" s="134" t="s">
        <v>2938</v>
      </c>
      <c r="B33" s="124">
        <v>45661.0</v>
      </c>
      <c r="C33" s="154">
        <f>IFERROR('Similarity matrix'!C33/'Denominator matrix'!$B$17, "NA")</f>
        <v>0</v>
      </c>
      <c r="D33" s="153">
        <f>IFERROR('Similarity matrix'!D33/'Denominator matrix'!$C$17, "NA")</f>
        <v>0</v>
      </c>
      <c r="E33" s="153">
        <f>IFERROR('Similarity matrix'!E33/'Denominator matrix'!$D$17, "NA")</f>
        <v>0</v>
      </c>
      <c r="F33" s="153">
        <f>IFERROR('Similarity matrix'!F33/'Denominator matrix'!$E$17, "NA")</f>
        <v>0</v>
      </c>
      <c r="G33" s="153">
        <f>IFERROR('Similarity matrix'!G33/'Denominator matrix'!$F$17, "NA")</f>
        <v>0</v>
      </c>
      <c r="H33" s="153">
        <f>IFERROR('Similarity matrix'!H33/'Denominator matrix'!$G$17, "NA")</f>
        <v>0</v>
      </c>
      <c r="I33" s="153">
        <f>IFERROR('Similarity matrix'!I33/'Denominator matrix'!$H$17, "NA")</f>
        <v>0.25</v>
      </c>
      <c r="J33" s="153">
        <f>IFERROR('Similarity matrix'!J33/'Denominator matrix'!$I$17, "NA")</f>
        <v>0</v>
      </c>
      <c r="K33" s="153">
        <f>IFERROR('Similarity matrix'!K33/'Denominator matrix'!$J$17, "NA")</f>
        <v>0</v>
      </c>
      <c r="L33" s="153">
        <f>IFERROR('Similarity matrix'!L33/'Denominator matrix'!$K$17, "NA")</f>
        <v>0</v>
      </c>
      <c r="M33" s="154">
        <f>IFERROR('Similarity matrix'!M33/'Denominator matrix'!$B$17, "NA")</f>
        <v>0</v>
      </c>
      <c r="N33" s="153">
        <f>IFERROR('Similarity matrix'!N33/'Denominator matrix'!$C$17, "NA")</f>
        <v>0</v>
      </c>
      <c r="O33" s="153">
        <f>IFERROR('Similarity matrix'!O33/'Denominator matrix'!$D$17, "NA")</f>
        <v>0</v>
      </c>
      <c r="P33" s="153">
        <f>IFERROR('Similarity matrix'!P33/'Denominator matrix'!$E$17, "NA")</f>
        <v>0</v>
      </c>
      <c r="Q33" s="153">
        <f>IFERROR('Similarity matrix'!Q33/'Denominator matrix'!$F$17, "NA")</f>
        <v>0</v>
      </c>
      <c r="R33" s="153">
        <f>IFERROR('Similarity matrix'!R33/'Denominator matrix'!$G$17, "NA")</f>
        <v>0</v>
      </c>
      <c r="S33" s="153">
        <f>IFERROR('Similarity matrix'!S33/'Denominator matrix'!$H$17, "NA")</f>
        <v>0</v>
      </c>
      <c r="T33" s="153">
        <f>IFERROR('Similarity matrix'!T33/'Denominator matrix'!$I$17, "NA")</f>
        <v>0</v>
      </c>
      <c r="U33" s="153">
        <f>IFERROR('Similarity matrix'!U33/'Denominator matrix'!$J$17, "NA")</f>
        <v>0</v>
      </c>
      <c r="V33" s="153">
        <f>IFERROR('Similarity matrix'!V33/'Denominator matrix'!$K$17, "NA")</f>
        <v>0</v>
      </c>
      <c r="W33" s="154">
        <f>IFERROR('Similarity matrix'!W33/'Denominator matrix'!$B$17, "NA")</f>
        <v>0</v>
      </c>
      <c r="X33" s="153">
        <f>IFERROR('Similarity matrix'!X33/'Denominator matrix'!$C$17, "NA")</f>
        <v>0</v>
      </c>
      <c r="Y33" s="153">
        <f>IFERROR('Similarity matrix'!Y33/'Denominator matrix'!$D$17, "NA")</f>
        <v>0</v>
      </c>
      <c r="Z33" s="153">
        <f>IFERROR('Similarity matrix'!Z33/'Denominator matrix'!$E$17, "NA")</f>
        <v>0</v>
      </c>
      <c r="AA33" s="153">
        <f>IFERROR('Similarity matrix'!AA33/'Denominator matrix'!$F$17, "NA")</f>
        <v>0</v>
      </c>
      <c r="AB33" s="153">
        <f>IFERROR('Similarity matrix'!AB33/'Denominator matrix'!$G$17, "NA")</f>
        <v>0</v>
      </c>
      <c r="AC33" s="153">
        <f>IFERROR('Similarity matrix'!AC33/'Denominator matrix'!$H$17, "NA")</f>
        <v>0</v>
      </c>
      <c r="AD33" s="153">
        <f>IFERROR('Similarity matrix'!AD33/'Denominator matrix'!$I$17, "NA")</f>
        <v>0</v>
      </c>
      <c r="AE33" s="153">
        <f>IFERROR('Similarity matrix'!AE33/'Denominator matrix'!$J$17, "NA")</f>
        <v>0</v>
      </c>
      <c r="AF33" s="153">
        <f>IFERROR('Similarity matrix'!AF33/'Denominator matrix'!$K$17, "NA")</f>
        <v>0</v>
      </c>
      <c r="AG33" s="152">
        <f>IFERROR('Similarity matrix'!AG33/'Denominator matrix'!$B$17, "NA")</f>
        <v>0</v>
      </c>
      <c r="AH33" s="153">
        <f>IFERROR('Similarity matrix'!AH33/'Denominator matrix'!$C$17, "NA")</f>
        <v>1</v>
      </c>
      <c r="AI33" s="153">
        <f>IFERROR('Similarity matrix'!AI33/'Denominator matrix'!$D$17, "NA")</f>
        <v>0.25</v>
      </c>
      <c r="AJ33" s="153">
        <f>IFERROR('Similarity matrix'!AJ33/'Denominator matrix'!$E$17, "NA")</f>
        <v>0.5</v>
      </c>
      <c r="AK33" s="153">
        <f>IFERROR('Similarity matrix'!AK33/'Denominator matrix'!$F$17, "NA")</f>
        <v>0.8</v>
      </c>
      <c r="AL33" s="153">
        <f>IFERROR('Similarity matrix'!AL33/'Denominator matrix'!$G$17, "NA")</f>
        <v>0.7</v>
      </c>
      <c r="AM33" s="153">
        <f>IFERROR('Similarity matrix'!AM33/'Denominator matrix'!$H$17, "NA")</f>
        <v>0.5</v>
      </c>
      <c r="AN33" s="153">
        <f>IFERROR('Similarity matrix'!AN33/'Denominator matrix'!$I$17, "NA")</f>
        <v>0.75</v>
      </c>
      <c r="AO33" s="153">
        <f>IFERROR('Similarity matrix'!AO33/'Denominator matrix'!$J$17, "NA")</f>
        <v>0.8</v>
      </c>
      <c r="AP33" s="153">
        <f>IFERROR('Similarity matrix'!AP33/'Denominator matrix'!$K$17, "NA")</f>
        <v>1</v>
      </c>
      <c r="AQ33" s="154">
        <f>IFERROR('Similarity matrix'!AQ33/'Denominator matrix'!$B$17, "NA")</f>
        <v>0</v>
      </c>
      <c r="AR33" s="153">
        <f>IFERROR('Similarity matrix'!AR33/'Denominator matrix'!$C$17, "NA")</f>
        <v>0</v>
      </c>
      <c r="AS33" s="153">
        <f>IFERROR('Similarity matrix'!AS33/'Denominator matrix'!$D$17, "NA")</f>
        <v>0</v>
      </c>
      <c r="AT33" s="153">
        <f>IFERROR('Similarity matrix'!AT33/'Denominator matrix'!$E$17, "NA")</f>
        <v>0</v>
      </c>
      <c r="AU33" s="153">
        <f>IFERROR('Similarity matrix'!AU33/'Denominator matrix'!$F$17, "NA")</f>
        <v>0</v>
      </c>
      <c r="AV33" s="153">
        <f>IFERROR('Similarity matrix'!AV33/'Denominator matrix'!$G$17, "NA")</f>
        <v>0</v>
      </c>
      <c r="AW33" s="153">
        <f>IFERROR('Similarity matrix'!AW33/'Denominator matrix'!$H$17, "NA")</f>
        <v>0</v>
      </c>
      <c r="AX33" s="153">
        <f>IFERROR('Similarity matrix'!AX33/'Denominator matrix'!$I$17, "NA")</f>
        <v>0</v>
      </c>
      <c r="AY33" s="153">
        <f>IFERROR('Similarity matrix'!AY33/'Denominator matrix'!$J$17, "NA")</f>
        <v>0</v>
      </c>
      <c r="AZ33" s="153">
        <f>IFERROR('Similarity matrix'!AZ33/'Denominator matrix'!$K$17, "NA")</f>
        <v>0</v>
      </c>
      <c r="BA33" s="154">
        <f>IFERROR('Similarity matrix'!BA33/'Denominator matrix'!$B$17, "NA")</f>
        <v>0.05555555556</v>
      </c>
      <c r="BB33" s="153">
        <f>IFERROR('Similarity matrix'!BB33/'Denominator matrix'!$C$17, "NA")</f>
        <v>0</v>
      </c>
      <c r="BC33" s="153">
        <f>IFERROR('Similarity matrix'!BC33/'Denominator matrix'!$D$17, "NA")</f>
        <v>0</v>
      </c>
      <c r="BD33" s="153">
        <f>IFERROR('Similarity matrix'!BD33/'Denominator matrix'!$E$17, "NA")</f>
        <v>0</v>
      </c>
      <c r="BE33" s="153">
        <f>IFERROR('Similarity matrix'!BE33/'Denominator matrix'!$F$17, "NA")</f>
        <v>0</v>
      </c>
      <c r="BF33" s="153">
        <f>IFERROR('Similarity matrix'!BF33/'Denominator matrix'!$G$17, "NA")</f>
        <v>0</v>
      </c>
      <c r="BG33" s="153">
        <f>IFERROR('Similarity matrix'!BG33/'Denominator matrix'!$H$17, "NA")</f>
        <v>0</v>
      </c>
      <c r="BH33" s="153">
        <f>IFERROR('Similarity matrix'!BH33/'Denominator matrix'!$I$17, "NA")</f>
        <v>0</v>
      </c>
      <c r="BI33" s="153">
        <f>IFERROR('Similarity matrix'!BI33/'Denominator matrix'!$J$17, "NA")</f>
        <v>0</v>
      </c>
      <c r="BJ33" s="153">
        <f>IFERROR('Similarity matrix'!BJ33/'Denominator matrix'!$K$17, "NA")</f>
        <v>0</v>
      </c>
      <c r="BK33" s="154">
        <f>IFERROR('Similarity matrix'!BK33/'Denominator matrix'!$B$17, "NA")</f>
        <v>0</v>
      </c>
      <c r="BL33" s="153">
        <f>IFERROR('Similarity matrix'!BL33/'Denominator matrix'!$C$17, "NA")</f>
        <v>0</v>
      </c>
      <c r="BM33" s="153">
        <f>IFERROR('Similarity matrix'!BM33/'Denominator matrix'!$D$17, "NA")</f>
        <v>0</v>
      </c>
      <c r="BN33" s="153">
        <f>IFERROR('Similarity matrix'!BN33/'Denominator matrix'!$E$17, "NA")</f>
        <v>0</v>
      </c>
      <c r="BO33" s="153">
        <f>IFERROR('Similarity matrix'!BO33/'Denominator matrix'!$F$17, "NA")</f>
        <v>0</v>
      </c>
      <c r="BP33" s="153">
        <f>IFERROR('Similarity matrix'!BP33/'Denominator matrix'!$G$17, "NA")</f>
        <v>0</v>
      </c>
      <c r="BQ33" s="153">
        <f>IFERROR('Similarity matrix'!BQ33/'Denominator matrix'!$H$17, "NA")</f>
        <v>0</v>
      </c>
      <c r="BR33" s="153">
        <f>IFERROR('Similarity matrix'!BR33/'Denominator matrix'!$I$17, "NA")</f>
        <v>0</v>
      </c>
      <c r="BS33" s="153">
        <f>IFERROR('Similarity matrix'!BS33/'Denominator matrix'!$J$17, "NA")</f>
        <v>0</v>
      </c>
      <c r="BT33" s="153">
        <f>IFERROR('Similarity matrix'!BT33/'Denominator matrix'!$K$17, "NA")</f>
        <v>0</v>
      </c>
      <c r="BU33" s="154">
        <f>IFERROR('Similarity matrix'!BU33/'Denominator matrix'!$B$17, "NA")</f>
        <v>0</v>
      </c>
      <c r="BV33" s="153">
        <f>IFERROR('Similarity matrix'!BV33/'Denominator matrix'!$C$17, "NA")</f>
        <v>0</v>
      </c>
      <c r="BW33" s="153">
        <f>IFERROR('Similarity matrix'!BW33/'Denominator matrix'!$D$17, "NA")</f>
        <v>0</v>
      </c>
      <c r="BX33" s="153">
        <f>IFERROR('Similarity matrix'!BX33/'Denominator matrix'!$E$17, "NA")</f>
        <v>0</v>
      </c>
      <c r="BY33" s="153">
        <f>IFERROR('Similarity matrix'!BY33/'Denominator matrix'!$F$17, "NA")</f>
        <v>0</v>
      </c>
      <c r="BZ33" s="153">
        <f>IFERROR('Similarity matrix'!BZ33/'Denominator matrix'!$G$17, "NA")</f>
        <v>0</v>
      </c>
      <c r="CA33" s="153">
        <f>IFERROR('Similarity matrix'!CA33/'Denominator matrix'!$H$17, "NA")</f>
        <v>0</v>
      </c>
      <c r="CB33" s="153">
        <f>IFERROR('Similarity matrix'!CB33/'Denominator matrix'!$I$17, "NA")</f>
        <v>0</v>
      </c>
      <c r="CC33" s="153">
        <f>IFERROR('Similarity matrix'!CC33/'Denominator matrix'!$J$17, "NA")</f>
        <v>0</v>
      </c>
      <c r="CD33" s="153">
        <f>IFERROR('Similarity matrix'!CD33/'Denominator matrix'!$K$17, "NA")</f>
        <v>0</v>
      </c>
      <c r="CE33" s="154">
        <f>IFERROR('Similarity matrix'!CE33/'Denominator matrix'!$B$17, "NA")</f>
        <v>0</v>
      </c>
      <c r="CF33" s="153">
        <f>IFERROR('Similarity matrix'!CF33/'Denominator matrix'!$C$17, "NA")</f>
        <v>0</v>
      </c>
      <c r="CG33" s="153">
        <f>IFERROR('Similarity matrix'!CG33/'Denominator matrix'!$D$17, "NA")</f>
        <v>0</v>
      </c>
      <c r="CH33" s="153">
        <f>IFERROR('Similarity matrix'!CH33/'Denominator matrix'!$E$17, "NA")</f>
        <v>0</v>
      </c>
      <c r="CI33" s="153">
        <f>IFERROR('Similarity matrix'!CI33/'Denominator matrix'!$F$17, "NA")</f>
        <v>0</v>
      </c>
      <c r="CJ33" s="153">
        <f>IFERROR('Similarity matrix'!CJ33/'Denominator matrix'!$G$17, "NA")</f>
        <v>0</v>
      </c>
      <c r="CK33" s="153">
        <f>IFERROR('Similarity matrix'!CK33/'Denominator matrix'!$H$17, "NA")</f>
        <v>0</v>
      </c>
      <c r="CL33" s="153">
        <f>IFERROR('Similarity matrix'!CL33/'Denominator matrix'!$I$17, "NA")</f>
        <v>0</v>
      </c>
      <c r="CM33" s="153">
        <f>IFERROR('Similarity matrix'!CM33/'Denominator matrix'!$J$17, "NA")</f>
        <v>0</v>
      </c>
      <c r="CN33" s="153">
        <f>IFERROR('Similarity matrix'!CN33/'Denominator matrix'!$K$17, "NA")</f>
        <v>0</v>
      </c>
      <c r="CO33" s="154">
        <f>IFERROR('Similarity matrix'!CO33/'Denominator matrix'!$B$17, "NA")</f>
        <v>0</v>
      </c>
      <c r="CP33" s="153">
        <f>IFERROR('Similarity matrix'!CP33/'Denominator matrix'!$C$17, "NA")</f>
        <v>0</v>
      </c>
      <c r="CQ33" s="153">
        <f>IFERROR('Similarity matrix'!CQ33/'Denominator matrix'!$D$17, "NA")</f>
        <v>0</v>
      </c>
      <c r="CR33" s="153">
        <f>IFERROR('Similarity matrix'!CR33/'Denominator matrix'!$E$17, "NA")</f>
        <v>0</v>
      </c>
      <c r="CS33" s="153">
        <f>IFERROR('Similarity matrix'!CS33/'Denominator matrix'!$F$17, "NA")</f>
        <v>0</v>
      </c>
      <c r="CT33" s="153">
        <f>IFERROR('Similarity matrix'!CT33/'Denominator matrix'!$G$17, "NA")</f>
        <v>0</v>
      </c>
      <c r="CU33" s="153">
        <f>IFERROR('Similarity matrix'!CU33/'Denominator matrix'!$H$17, "NA")</f>
        <v>0</v>
      </c>
      <c r="CV33" s="153">
        <f>IFERROR('Similarity matrix'!CV33/'Denominator matrix'!$I$17, "NA")</f>
        <v>0</v>
      </c>
      <c r="CW33" s="153">
        <f>IFERROR('Similarity matrix'!CW33/'Denominator matrix'!$J$17, "NA")</f>
        <v>0</v>
      </c>
      <c r="CX33" s="153">
        <f>IFERROR('Similarity matrix'!CX33/'Denominator matrix'!$K$17, "NA")</f>
        <v>0</v>
      </c>
    </row>
    <row r="34" ht="35.25" customHeight="1">
      <c r="B34" s="124">
        <v>45692.0</v>
      </c>
      <c r="C34" s="154">
        <f>IFERROR('Similarity matrix'!C34/'Denominator matrix'!$B$18, "NA")</f>
        <v>0</v>
      </c>
      <c r="D34" s="156">
        <f>IFERROR('Similarity matrix'!D34/'Denominator matrix'!$C$18, "NA")</f>
        <v>0</v>
      </c>
      <c r="E34" s="153">
        <f>IFERROR('Similarity matrix'!E34/'Denominator matrix'!$D$18, "NA")</f>
        <v>0</v>
      </c>
      <c r="F34" s="153">
        <f>IFERROR('Similarity matrix'!F34/'Denominator matrix'!$E$18, "NA")</f>
        <v>0</v>
      </c>
      <c r="G34" s="153">
        <f>IFERROR('Similarity matrix'!G34/'Denominator matrix'!$F$18, "NA")</f>
        <v>0</v>
      </c>
      <c r="H34" s="153">
        <f>IFERROR('Similarity matrix'!H34/'Denominator matrix'!$G$18, "NA")</f>
        <v>0</v>
      </c>
      <c r="I34" s="153">
        <f>IFERROR('Similarity matrix'!I34/'Denominator matrix'!$H$18, "NA")</f>
        <v>0</v>
      </c>
      <c r="J34" s="153">
        <f>IFERROR('Similarity matrix'!J34/'Denominator matrix'!$I$18, "NA")</f>
        <v>0</v>
      </c>
      <c r="K34" s="153">
        <f>IFERROR('Similarity matrix'!K34/'Denominator matrix'!$J$18, "NA")</f>
        <v>0</v>
      </c>
      <c r="L34" s="153">
        <f>IFERROR('Similarity matrix'!L34/'Denominator matrix'!$K$18, "NA")</f>
        <v>0</v>
      </c>
      <c r="M34" s="154">
        <f>IFERROR('Similarity matrix'!M34/'Denominator matrix'!$B$18, "NA")</f>
        <v>0</v>
      </c>
      <c r="N34" s="156">
        <f>IFERROR('Similarity matrix'!N34/'Denominator matrix'!$C$18, "NA")</f>
        <v>0</v>
      </c>
      <c r="O34" s="153">
        <f>IFERROR('Similarity matrix'!O34/'Denominator matrix'!$D$18, "NA")</f>
        <v>0</v>
      </c>
      <c r="P34" s="153">
        <f>IFERROR('Similarity matrix'!P34/'Denominator matrix'!$E$18, "NA")</f>
        <v>0</v>
      </c>
      <c r="Q34" s="153">
        <f>IFERROR('Similarity matrix'!Q34/'Denominator matrix'!$F$18, "NA")</f>
        <v>0</v>
      </c>
      <c r="R34" s="153">
        <f>IFERROR('Similarity matrix'!R34/'Denominator matrix'!$G$18, "NA")</f>
        <v>0</v>
      </c>
      <c r="S34" s="153">
        <f>IFERROR('Similarity matrix'!S34/'Denominator matrix'!$H$18, "NA")</f>
        <v>0</v>
      </c>
      <c r="T34" s="153">
        <f>IFERROR('Similarity matrix'!T34/'Denominator matrix'!$I$18, "NA")</f>
        <v>0</v>
      </c>
      <c r="U34" s="153">
        <f>IFERROR('Similarity matrix'!U34/'Denominator matrix'!$J$18, "NA")</f>
        <v>0</v>
      </c>
      <c r="V34" s="153">
        <f>IFERROR('Similarity matrix'!V34/'Denominator matrix'!$K$18, "NA")</f>
        <v>0</v>
      </c>
      <c r="W34" s="154">
        <f>IFERROR('Similarity matrix'!W34/'Denominator matrix'!$B$18, "NA")</f>
        <v>0</v>
      </c>
      <c r="X34" s="156">
        <f>IFERROR('Similarity matrix'!X34/'Denominator matrix'!$C$18, "NA")</f>
        <v>0.2142857143</v>
      </c>
      <c r="Y34" s="153">
        <f>IFERROR('Similarity matrix'!Y34/'Denominator matrix'!$D$18, "NA")</f>
        <v>0.75</v>
      </c>
      <c r="Z34" s="153">
        <f>IFERROR('Similarity matrix'!Z34/'Denominator matrix'!$E$18, "NA")</f>
        <v>0.25</v>
      </c>
      <c r="AA34" s="153">
        <f>IFERROR('Similarity matrix'!AA34/'Denominator matrix'!$F$18, "NA")</f>
        <v>0.1666666667</v>
      </c>
      <c r="AB34" s="153">
        <f>IFERROR('Similarity matrix'!AB34/'Denominator matrix'!$G$18, "NA")</f>
        <v>0</v>
      </c>
      <c r="AC34" s="153">
        <f>IFERROR('Similarity matrix'!AC34/'Denominator matrix'!$H$18, "NA")</f>
        <v>0.5</v>
      </c>
      <c r="AD34" s="153">
        <f>IFERROR('Similarity matrix'!AD34/'Denominator matrix'!$I$18, "NA")</f>
        <v>0</v>
      </c>
      <c r="AE34" s="153">
        <f>IFERROR('Similarity matrix'!AE34/'Denominator matrix'!$J$18, "NA")</f>
        <v>0</v>
      </c>
      <c r="AF34" s="153">
        <f>IFERROR('Similarity matrix'!AF34/'Denominator matrix'!$K$18, "NA")</f>
        <v>0.5</v>
      </c>
      <c r="AG34" s="154">
        <f>IFERROR('Similarity matrix'!AG34/'Denominator matrix'!$B$18, "NA")</f>
        <v>1</v>
      </c>
      <c r="AH34" s="155">
        <f>IFERROR('Similarity matrix'!AH34/'Denominator matrix'!$C$18, "NA")</f>
        <v>0</v>
      </c>
      <c r="AI34" s="153">
        <f>IFERROR('Similarity matrix'!AI34/'Denominator matrix'!$D$18, "NA")</f>
        <v>1</v>
      </c>
      <c r="AJ34" s="153">
        <f>IFERROR('Similarity matrix'!AJ34/'Denominator matrix'!$E$18, "NA")</f>
        <v>1</v>
      </c>
      <c r="AK34" s="153">
        <f>IFERROR('Similarity matrix'!AK34/'Denominator matrix'!$F$18, "NA")</f>
        <v>0.6666666667</v>
      </c>
      <c r="AL34" s="153">
        <f>IFERROR('Similarity matrix'!AL34/'Denominator matrix'!$G$18, "NA")</f>
        <v>1</v>
      </c>
      <c r="AM34" s="153">
        <f>IFERROR('Similarity matrix'!AM34/'Denominator matrix'!$H$18, "NA")</f>
        <v>0.6666666667</v>
      </c>
      <c r="AN34" s="153">
        <f>IFERROR('Similarity matrix'!AN34/'Denominator matrix'!$I$18, "NA")</f>
        <v>0.75</v>
      </c>
      <c r="AO34" s="153">
        <f>IFERROR('Similarity matrix'!AO34/'Denominator matrix'!$J$18, "NA")</f>
        <v>1</v>
      </c>
      <c r="AP34" s="153">
        <f>IFERROR('Similarity matrix'!AP34/'Denominator matrix'!$K$18, "NA")</f>
        <v>0.5</v>
      </c>
      <c r="AQ34" s="154">
        <f>IFERROR('Similarity matrix'!AQ34/'Denominator matrix'!$B$18, "NA")</f>
        <v>0</v>
      </c>
      <c r="AR34" s="156">
        <f>IFERROR('Similarity matrix'!AR34/'Denominator matrix'!$C$18, "NA")</f>
        <v>0</v>
      </c>
      <c r="AS34" s="153">
        <f>IFERROR('Similarity matrix'!AS34/'Denominator matrix'!$D$18, "NA")</f>
        <v>0</v>
      </c>
      <c r="AT34" s="153">
        <f>IFERROR('Similarity matrix'!AT34/'Denominator matrix'!$E$18, "NA")</f>
        <v>0</v>
      </c>
      <c r="AU34" s="153">
        <f>IFERROR('Similarity matrix'!AU34/'Denominator matrix'!$F$18, "NA")</f>
        <v>0</v>
      </c>
      <c r="AV34" s="153">
        <f>IFERROR('Similarity matrix'!AV34/'Denominator matrix'!$G$18, "NA")</f>
        <v>0</v>
      </c>
      <c r="AW34" s="153">
        <f>IFERROR('Similarity matrix'!AW34/'Denominator matrix'!$H$18, "NA")</f>
        <v>0</v>
      </c>
      <c r="AX34" s="153">
        <f>IFERROR('Similarity matrix'!AX34/'Denominator matrix'!$I$18, "NA")</f>
        <v>0</v>
      </c>
      <c r="AY34" s="153">
        <f>IFERROR('Similarity matrix'!AY34/'Denominator matrix'!$J$18, "NA")</f>
        <v>0</v>
      </c>
      <c r="AZ34" s="153">
        <f>IFERROR('Similarity matrix'!AZ34/'Denominator matrix'!$K$18, "NA")</f>
        <v>0</v>
      </c>
      <c r="BA34" s="154">
        <f>IFERROR('Similarity matrix'!BA34/'Denominator matrix'!$B$18, "NA")</f>
        <v>0</v>
      </c>
      <c r="BB34" s="156">
        <f>IFERROR('Similarity matrix'!BB34/'Denominator matrix'!$C$18, "NA")</f>
        <v>0</v>
      </c>
      <c r="BC34" s="153">
        <f>IFERROR('Similarity matrix'!BC34/'Denominator matrix'!$D$18, "NA")</f>
        <v>0</v>
      </c>
      <c r="BD34" s="153">
        <f>IFERROR('Similarity matrix'!BD34/'Denominator matrix'!$E$18, "NA")</f>
        <v>0</v>
      </c>
      <c r="BE34" s="153">
        <f>IFERROR('Similarity matrix'!BE34/'Denominator matrix'!$F$18, "NA")</f>
        <v>0</v>
      </c>
      <c r="BF34" s="153">
        <f>IFERROR('Similarity matrix'!BF34/'Denominator matrix'!$G$18, "NA")</f>
        <v>0</v>
      </c>
      <c r="BG34" s="153">
        <f>IFERROR('Similarity matrix'!BG34/'Denominator matrix'!$H$18, "NA")</f>
        <v>0</v>
      </c>
      <c r="BH34" s="153">
        <f>IFERROR('Similarity matrix'!BH34/'Denominator matrix'!$I$18, "NA")</f>
        <v>0</v>
      </c>
      <c r="BI34" s="153">
        <f>IFERROR('Similarity matrix'!BI34/'Denominator matrix'!$J$18, "NA")</f>
        <v>0</v>
      </c>
      <c r="BJ34" s="153">
        <f>IFERROR('Similarity matrix'!BJ34/'Denominator matrix'!$K$18, "NA")</f>
        <v>0</v>
      </c>
      <c r="BK34" s="154">
        <f>IFERROR('Similarity matrix'!BK34/'Denominator matrix'!$B$18, "NA")</f>
        <v>0</v>
      </c>
      <c r="BL34" s="156">
        <f>IFERROR('Similarity matrix'!BL34/'Denominator matrix'!$C$18, "NA")</f>
        <v>0</v>
      </c>
      <c r="BM34" s="153">
        <f>IFERROR('Similarity matrix'!BM34/'Denominator matrix'!$D$18, "NA")</f>
        <v>0</v>
      </c>
      <c r="BN34" s="153">
        <f>IFERROR('Similarity matrix'!BN34/'Denominator matrix'!$E$18, "NA")</f>
        <v>0</v>
      </c>
      <c r="BO34" s="153">
        <f>IFERROR('Similarity matrix'!BO34/'Denominator matrix'!$F$18, "NA")</f>
        <v>0</v>
      </c>
      <c r="BP34" s="153">
        <f>IFERROR('Similarity matrix'!BP34/'Denominator matrix'!$G$18, "NA")</f>
        <v>0</v>
      </c>
      <c r="BQ34" s="153">
        <f>IFERROR('Similarity matrix'!BQ34/'Denominator matrix'!$H$18, "NA")</f>
        <v>0</v>
      </c>
      <c r="BR34" s="153">
        <f>IFERROR('Similarity matrix'!BR34/'Denominator matrix'!$I$18, "NA")</f>
        <v>0</v>
      </c>
      <c r="BS34" s="153">
        <f>IFERROR('Similarity matrix'!BS34/'Denominator matrix'!$J$18, "NA")</f>
        <v>0</v>
      </c>
      <c r="BT34" s="153">
        <f>IFERROR('Similarity matrix'!BT34/'Denominator matrix'!$K$18, "NA")</f>
        <v>0</v>
      </c>
      <c r="BU34" s="154">
        <f>IFERROR('Similarity matrix'!BU34/'Denominator matrix'!$B$18, "NA")</f>
        <v>0</v>
      </c>
      <c r="BV34" s="156">
        <f>IFERROR('Similarity matrix'!BV34/'Denominator matrix'!$C$18, "NA")</f>
        <v>0</v>
      </c>
      <c r="BW34" s="153">
        <f>IFERROR('Similarity matrix'!BW34/'Denominator matrix'!$D$18, "NA")</f>
        <v>0</v>
      </c>
      <c r="BX34" s="153">
        <f>IFERROR('Similarity matrix'!BX34/'Denominator matrix'!$E$18, "NA")</f>
        <v>0</v>
      </c>
      <c r="BY34" s="153">
        <f>IFERROR('Similarity matrix'!BY34/'Denominator matrix'!$F$18, "NA")</f>
        <v>0</v>
      </c>
      <c r="BZ34" s="153">
        <f>IFERROR('Similarity matrix'!BZ34/'Denominator matrix'!$G$18, "NA")</f>
        <v>0</v>
      </c>
      <c r="CA34" s="153">
        <f>IFERROR('Similarity matrix'!CA34/'Denominator matrix'!$H$18, "NA")</f>
        <v>0</v>
      </c>
      <c r="CB34" s="153">
        <f>IFERROR('Similarity matrix'!CB34/'Denominator matrix'!$I$18, "NA")</f>
        <v>0</v>
      </c>
      <c r="CC34" s="153">
        <f>IFERROR('Similarity matrix'!CC34/'Denominator matrix'!$J$18, "NA")</f>
        <v>0</v>
      </c>
      <c r="CD34" s="153">
        <f>IFERROR('Similarity matrix'!CD34/'Denominator matrix'!$K$18, "NA")</f>
        <v>0</v>
      </c>
      <c r="CE34" s="154">
        <f>IFERROR('Similarity matrix'!CE34/'Denominator matrix'!$B$18, "NA")</f>
        <v>0</v>
      </c>
      <c r="CF34" s="156">
        <f>IFERROR('Similarity matrix'!CF34/'Denominator matrix'!$C$18, "NA")</f>
        <v>0</v>
      </c>
      <c r="CG34" s="153">
        <f>IFERROR('Similarity matrix'!CG34/'Denominator matrix'!$D$18, "NA")</f>
        <v>0</v>
      </c>
      <c r="CH34" s="153">
        <f>IFERROR('Similarity matrix'!CH34/'Denominator matrix'!$E$18, "NA")</f>
        <v>0</v>
      </c>
      <c r="CI34" s="153">
        <f>IFERROR('Similarity matrix'!CI34/'Denominator matrix'!$F$18, "NA")</f>
        <v>0</v>
      </c>
      <c r="CJ34" s="153">
        <f>IFERROR('Similarity matrix'!CJ34/'Denominator matrix'!$G$18, "NA")</f>
        <v>0</v>
      </c>
      <c r="CK34" s="153">
        <f>IFERROR('Similarity matrix'!CK34/'Denominator matrix'!$H$18, "NA")</f>
        <v>0</v>
      </c>
      <c r="CL34" s="153">
        <f>IFERROR('Similarity matrix'!CL34/'Denominator matrix'!$I$18, "NA")</f>
        <v>0</v>
      </c>
      <c r="CM34" s="153">
        <f>IFERROR('Similarity matrix'!CM34/'Denominator matrix'!$J$18, "NA")</f>
        <v>0</v>
      </c>
      <c r="CN34" s="153">
        <f>IFERROR('Similarity matrix'!CN34/'Denominator matrix'!$K$18, "NA")</f>
        <v>0</v>
      </c>
      <c r="CO34" s="154">
        <f>IFERROR('Similarity matrix'!CO34/'Denominator matrix'!$B$18, "NA")</f>
        <v>0</v>
      </c>
      <c r="CP34" s="156">
        <f>IFERROR('Similarity matrix'!CP34/'Denominator matrix'!$C$18, "NA")</f>
        <v>0</v>
      </c>
      <c r="CQ34" s="153">
        <f>IFERROR('Similarity matrix'!CQ34/'Denominator matrix'!$D$18, "NA")</f>
        <v>0</v>
      </c>
      <c r="CR34" s="153">
        <f>IFERROR('Similarity matrix'!CR34/'Denominator matrix'!$E$18, "NA")</f>
        <v>0</v>
      </c>
      <c r="CS34" s="153">
        <f>IFERROR('Similarity matrix'!CS34/'Denominator matrix'!$F$18, "NA")</f>
        <v>0</v>
      </c>
      <c r="CT34" s="153">
        <f>IFERROR('Similarity matrix'!CT34/'Denominator matrix'!$G$18, "NA")</f>
        <v>0</v>
      </c>
      <c r="CU34" s="153">
        <f>IFERROR('Similarity matrix'!CU34/'Denominator matrix'!$H$18, "NA")</f>
        <v>0</v>
      </c>
      <c r="CV34" s="153">
        <f>IFERROR('Similarity matrix'!CV34/'Denominator matrix'!$I$18, "NA")</f>
        <v>0</v>
      </c>
      <c r="CW34" s="153">
        <f>IFERROR('Similarity matrix'!CW34/'Denominator matrix'!$J$18, "NA")</f>
        <v>0</v>
      </c>
      <c r="CX34" s="153">
        <f>IFERROR('Similarity matrix'!CX34/'Denominator matrix'!$K$18, "NA")</f>
        <v>0</v>
      </c>
    </row>
    <row r="35" ht="35.25" customHeight="1">
      <c r="B35" s="124">
        <v>45720.0</v>
      </c>
      <c r="C35" s="154">
        <f>IFERROR('Similarity matrix'!C35/'Denominator matrix'!$B$19, "NA")</f>
        <v>0</v>
      </c>
      <c r="D35" s="153">
        <f>IFERROR('Similarity matrix'!D35/'Denominator matrix'!$C$19, "NA")</f>
        <v>0</v>
      </c>
      <c r="E35" s="156">
        <f>IFERROR('Similarity matrix'!E35/'Denominator matrix'!$D$19, "NA")</f>
        <v>0</v>
      </c>
      <c r="F35" s="153">
        <f>IFERROR('Similarity matrix'!F35/'Denominator matrix'!$E$19, "NA")</f>
        <v>0</v>
      </c>
      <c r="G35" s="153">
        <f>IFERROR('Similarity matrix'!G35/'Denominator matrix'!$F$19, "NA")</f>
        <v>0</v>
      </c>
      <c r="H35" s="153">
        <f>IFERROR('Similarity matrix'!H35/'Denominator matrix'!$G$19, "NA")</f>
        <v>0</v>
      </c>
      <c r="I35" s="153">
        <f>IFERROR('Similarity matrix'!I35/'Denominator matrix'!$H$19, "NA")</f>
        <v>0</v>
      </c>
      <c r="J35" s="153">
        <f>IFERROR('Similarity matrix'!J35/'Denominator matrix'!$I$19, "NA")</f>
        <v>0</v>
      </c>
      <c r="K35" s="153">
        <f>IFERROR('Similarity matrix'!K35/'Denominator matrix'!$J$19, "NA")</f>
        <v>0</v>
      </c>
      <c r="L35" s="153">
        <f>IFERROR('Similarity matrix'!L35/'Denominator matrix'!$K$19, "NA")</f>
        <v>0</v>
      </c>
      <c r="M35" s="154">
        <f>IFERROR('Similarity matrix'!M35/'Denominator matrix'!$B$19, "NA")</f>
        <v>0</v>
      </c>
      <c r="N35" s="153">
        <f>IFERROR('Similarity matrix'!N35/'Denominator matrix'!$C$19, "NA")</f>
        <v>0</v>
      </c>
      <c r="O35" s="156">
        <f>IFERROR('Similarity matrix'!O35/'Denominator matrix'!$D$19, "NA")</f>
        <v>0</v>
      </c>
      <c r="P35" s="153">
        <f>IFERROR('Similarity matrix'!P35/'Denominator matrix'!$E$19, "NA")</f>
        <v>0</v>
      </c>
      <c r="Q35" s="153">
        <f>IFERROR('Similarity matrix'!Q35/'Denominator matrix'!$F$19, "NA")</f>
        <v>0</v>
      </c>
      <c r="R35" s="153">
        <f>IFERROR('Similarity matrix'!R35/'Denominator matrix'!$G$19, "NA")</f>
        <v>0</v>
      </c>
      <c r="S35" s="153">
        <f>IFERROR('Similarity matrix'!S35/'Denominator matrix'!$H$19, "NA")</f>
        <v>0</v>
      </c>
      <c r="T35" s="153">
        <f>IFERROR('Similarity matrix'!T35/'Denominator matrix'!$I$19, "NA")</f>
        <v>0</v>
      </c>
      <c r="U35" s="153">
        <f>IFERROR('Similarity matrix'!U35/'Denominator matrix'!$J$19, "NA")</f>
        <v>0</v>
      </c>
      <c r="V35" s="153">
        <f>IFERROR('Similarity matrix'!V35/'Denominator matrix'!$K$19, "NA")</f>
        <v>0</v>
      </c>
      <c r="W35" s="154">
        <f>IFERROR('Similarity matrix'!W35/'Denominator matrix'!$B$19, "NA")</f>
        <v>0</v>
      </c>
      <c r="X35" s="153">
        <f>IFERROR('Similarity matrix'!X35/'Denominator matrix'!$C$19, "NA")</f>
        <v>0.5</v>
      </c>
      <c r="Y35" s="156">
        <f>IFERROR('Similarity matrix'!Y35/'Denominator matrix'!$D$19, "NA")</f>
        <v>0.25</v>
      </c>
      <c r="Z35" s="153">
        <f>IFERROR('Similarity matrix'!Z35/'Denominator matrix'!$E$19, "NA")</f>
        <v>0.125</v>
      </c>
      <c r="AA35" s="153">
        <f>IFERROR('Similarity matrix'!AA35/'Denominator matrix'!$F$19, "NA")</f>
        <v>0</v>
      </c>
      <c r="AB35" s="153">
        <f>IFERROR('Similarity matrix'!AB35/'Denominator matrix'!$G$19, "NA")</f>
        <v>0</v>
      </c>
      <c r="AC35" s="153">
        <f>IFERROR('Similarity matrix'!AC35/'Denominator matrix'!$H$19, "NA")</f>
        <v>0.375</v>
      </c>
      <c r="AD35" s="153">
        <f>IFERROR('Similarity matrix'!AD35/'Denominator matrix'!$I$19, "NA")</f>
        <v>0</v>
      </c>
      <c r="AE35" s="153">
        <f>IFERROR('Similarity matrix'!AE35/'Denominator matrix'!$J$19, "NA")</f>
        <v>0.25</v>
      </c>
      <c r="AF35" s="153">
        <f>IFERROR('Similarity matrix'!AF35/'Denominator matrix'!$K$19, "NA")</f>
        <v>0.3333333333</v>
      </c>
      <c r="AG35" s="154">
        <f>IFERROR('Similarity matrix'!AG35/'Denominator matrix'!$B$19, "NA")</f>
        <v>0.25</v>
      </c>
      <c r="AH35" s="153">
        <f>IFERROR('Similarity matrix'!AH35/'Denominator matrix'!$C$19, "NA")</f>
        <v>1</v>
      </c>
      <c r="AI35" s="155">
        <f>IFERROR('Similarity matrix'!AI35/'Denominator matrix'!$D$19, "NA")</f>
        <v>0</v>
      </c>
      <c r="AJ35" s="153">
        <f>IFERROR('Similarity matrix'!AJ35/'Denominator matrix'!$E$19, "NA")</f>
        <v>0.5</v>
      </c>
      <c r="AK35" s="153">
        <f>IFERROR('Similarity matrix'!AK35/'Denominator matrix'!$F$19, "NA")</f>
        <v>0.5</v>
      </c>
      <c r="AL35" s="153">
        <f>IFERROR('Similarity matrix'!AL35/'Denominator matrix'!$G$19, "NA")</f>
        <v>0.5</v>
      </c>
      <c r="AM35" s="153">
        <f>IFERROR('Similarity matrix'!AM35/'Denominator matrix'!$H$19, "NA")</f>
        <v>0.375</v>
      </c>
      <c r="AN35" s="153">
        <f>IFERROR('Similarity matrix'!AN35/'Denominator matrix'!$I$19, "NA")</f>
        <v>0.8333333333</v>
      </c>
      <c r="AO35" s="153">
        <f>IFERROR('Similarity matrix'!AO35/'Denominator matrix'!$J$19, "NA")</f>
        <v>0.75</v>
      </c>
      <c r="AP35" s="153">
        <f>IFERROR('Similarity matrix'!AP35/'Denominator matrix'!$K$19, "NA")</f>
        <v>0.6666666667</v>
      </c>
      <c r="AQ35" s="154">
        <f>IFERROR('Similarity matrix'!AQ35/'Denominator matrix'!$B$19, "NA")</f>
        <v>0</v>
      </c>
      <c r="AR35" s="153">
        <f>IFERROR('Similarity matrix'!AR35/'Denominator matrix'!$C$19, "NA")</f>
        <v>0</v>
      </c>
      <c r="AS35" s="156">
        <f>IFERROR('Similarity matrix'!AS35/'Denominator matrix'!$D$19, "NA")</f>
        <v>0</v>
      </c>
      <c r="AT35" s="153">
        <f>IFERROR('Similarity matrix'!AT35/'Denominator matrix'!$E$19, "NA")</f>
        <v>0</v>
      </c>
      <c r="AU35" s="153">
        <f>IFERROR('Similarity matrix'!AU35/'Denominator matrix'!$F$19, "NA")</f>
        <v>0</v>
      </c>
      <c r="AV35" s="153">
        <f>IFERROR('Similarity matrix'!AV35/'Denominator matrix'!$G$19, "NA")</f>
        <v>0</v>
      </c>
      <c r="AW35" s="153">
        <f>IFERROR('Similarity matrix'!AW35/'Denominator matrix'!$H$19, "NA")</f>
        <v>0</v>
      </c>
      <c r="AX35" s="153">
        <f>IFERROR('Similarity matrix'!AX35/'Denominator matrix'!$I$19, "NA")</f>
        <v>0</v>
      </c>
      <c r="AY35" s="153">
        <f>IFERROR('Similarity matrix'!AY35/'Denominator matrix'!$J$19, "NA")</f>
        <v>0</v>
      </c>
      <c r="AZ35" s="153">
        <f>IFERROR('Similarity matrix'!AZ35/'Denominator matrix'!$K$19, "NA")</f>
        <v>0</v>
      </c>
      <c r="BA35" s="154">
        <f>IFERROR('Similarity matrix'!BA35/'Denominator matrix'!$B$19, "NA")</f>
        <v>0</v>
      </c>
      <c r="BB35" s="153">
        <f>IFERROR('Similarity matrix'!BB35/'Denominator matrix'!$C$19, "NA")</f>
        <v>0</v>
      </c>
      <c r="BC35" s="156">
        <f>IFERROR('Similarity matrix'!BC35/'Denominator matrix'!$D$19, "NA")</f>
        <v>0</v>
      </c>
      <c r="BD35" s="153">
        <f>IFERROR('Similarity matrix'!BD35/'Denominator matrix'!$E$19, "NA")</f>
        <v>0</v>
      </c>
      <c r="BE35" s="153">
        <f>IFERROR('Similarity matrix'!BE35/'Denominator matrix'!$F$19, "NA")</f>
        <v>0</v>
      </c>
      <c r="BF35" s="153">
        <f>IFERROR('Similarity matrix'!BF35/'Denominator matrix'!$G$19, "NA")</f>
        <v>0</v>
      </c>
      <c r="BG35" s="153">
        <f>IFERROR('Similarity matrix'!BG35/'Denominator matrix'!$H$19, "NA")</f>
        <v>0</v>
      </c>
      <c r="BH35" s="153">
        <f>IFERROR('Similarity matrix'!BH35/'Denominator matrix'!$I$19, "NA")</f>
        <v>0</v>
      </c>
      <c r="BI35" s="153">
        <f>IFERROR('Similarity matrix'!BI35/'Denominator matrix'!$J$19, "NA")</f>
        <v>0</v>
      </c>
      <c r="BJ35" s="153">
        <f>IFERROR('Similarity matrix'!BJ35/'Denominator matrix'!$K$19, "NA")</f>
        <v>0</v>
      </c>
      <c r="BK35" s="154">
        <f>IFERROR('Similarity matrix'!BK35/'Denominator matrix'!$B$19, "NA")</f>
        <v>0</v>
      </c>
      <c r="BL35" s="153">
        <f>IFERROR('Similarity matrix'!BL35/'Denominator matrix'!$C$19, "NA")</f>
        <v>0</v>
      </c>
      <c r="BM35" s="156">
        <f>IFERROR('Similarity matrix'!BM35/'Denominator matrix'!$D$19, "NA")</f>
        <v>0</v>
      </c>
      <c r="BN35" s="153">
        <f>IFERROR('Similarity matrix'!BN35/'Denominator matrix'!$E$19, "NA")</f>
        <v>0</v>
      </c>
      <c r="BO35" s="153">
        <f>IFERROR('Similarity matrix'!BO35/'Denominator matrix'!$F$19, "NA")</f>
        <v>0</v>
      </c>
      <c r="BP35" s="153">
        <f>IFERROR('Similarity matrix'!BP35/'Denominator matrix'!$G$19, "NA")</f>
        <v>0</v>
      </c>
      <c r="BQ35" s="153">
        <f>IFERROR('Similarity matrix'!BQ35/'Denominator matrix'!$H$19, "NA")</f>
        <v>0</v>
      </c>
      <c r="BR35" s="153">
        <f>IFERROR('Similarity matrix'!BR35/'Denominator matrix'!$I$19, "NA")</f>
        <v>0</v>
      </c>
      <c r="BS35" s="153">
        <f>IFERROR('Similarity matrix'!BS35/'Denominator matrix'!$J$19, "NA")</f>
        <v>0</v>
      </c>
      <c r="BT35" s="153">
        <f>IFERROR('Similarity matrix'!BT35/'Denominator matrix'!$K$19, "NA")</f>
        <v>0</v>
      </c>
      <c r="BU35" s="154">
        <f>IFERROR('Similarity matrix'!BU35/'Denominator matrix'!$B$19, "NA")</f>
        <v>0</v>
      </c>
      <c r="BV35" s="153">
        <f>IFERROR('Similarity matrix'!BV35/'Denominator matrix'!$C$19, "NA")</f>
        <v>0</v>
      </c>
      <c r="BW35" s="156">
        <f>IFERROR('Similarity matrix'!BW35/'Denominator matrix'!$D$19, "NA")</f>
        <v>0</v>
      </c>
      <c r="BX35" s="153">
        <f>IFERROR('Similarity matrix'!BX35/'Denominator matrix'!$E$19, "NA")</f>
        <v>0</v>
      </c>
      <c r="BY35" s="153">
        <f>IFERROR('Similarity matrix'!BY35/'Denominator matrix'!$F$19, "NA")</f>
        <v>0</v>
      </c>
      <c r="BZ35" s="153">
        <f>IFERROR('Similarity matrix'!BZ35/'Denominator matrix'!$G$19, "NA")</f>
        <v>0</v>
      </c>
      <c r="CA35" s="153">
        <f>IFERROR('Similarity matrix'!CA35/'Denominator matrix'!$H$19, "NA")</f>
        <v>0</v>
      </c>
      <c r="CB35" s="153">
        <f>IFERROR('Similarity matrix'!CB35/'Denominator matrix'!$I$19, "NA")</f>
        <v>0</v>
      </c>
      <c r="CC35" s="153">
        <f>IFERROR('Similarity matrix'!CC35/'Denominator matrix'!$J$19, "NA")</f>
        <v>0</v>
      </c>
      <c r="CD35" s="153">
        <f>IFERROR('Similarity matrix'!CD35/'Denominator matrix'!$K$19, "NA")</f>
        <v>0</v>
      </c>
      <c r="CE35" s="154">
        <f>IFERROR('Similarity matrix'!CE35/'Denominator matrix'!$B$19, "NA")</f>
        <v>0</v>
      </c>
      <c r="CF35" s="153">
        <f>IFERROR('Similarity matrix'!CF35/'Denominator matrix'!$C$19, "NA")</f>
        <v>0</v>
      </c>
      <c r="CG35" s="156">
        <f>IFERROR('Similarity matrix'!CG35/'Denominator matrix'!$D$19, "NA")</f>
        <v>0</v>
      </c>
      <c r="CH35" s="153">
        <f>IFERROR('Similarity matrix'!CH35/'Denominator matrix'!$E$19, "NA")</f>
        <v>0</v>
      </c>
      <c r="CI35" s="153">
        <f>IFERROR('Similarity matrix'!CI35/'Denominator matrix'!$F$19, "NA")</f>
        <v>0</v>
      </c>
      <c r="CJ35" s="153">
        <f>IFERROR('Similarity matrix'!CJ35/'Denominator matrix'!$G$19, "NA")</f>
        <v>0</v>
      </c>
      <c r="CK35" s="153">
        <f>IFERROR('Similarity matrix'!CK35/'Denominator matrix'!$H$19, "NA")</f>
        <v>0</v>
      </c>
      <c r="CL35" s="153">
        <f>IFERROR('Similarity matrix'!CL35/'Denominator matrix'!$I$19, "NA")</f>
        <v>0</v>
      </c>
      <c r="CM35" s="153">
        <f>IFERROR('Similarity matrix'!CM35/'Denominator matrix'!$J$19, "NA")</f>
        <v>0</v>
      </c>
      <c r="CN35" s="153">
        <f>IFERROR('Similarity matrix'!CN35/'Denominator matrix'!$K$19, "NA")</f>
        <v>0</v>
      </c>
      <c r="CO35" s="154">
        <f>IFERROR('Similarity matrix'!CO35/'Denominator matrix'!$B$19, "NA")</f>
        <v>0</v>
      </c>
      <c r="CP35" s="153">
        <f>IFERROR('Similarity matrix'!CP35/'Denominator matrix'!$C$19, "NA")</f>
        <v>0</v>
      </c>
      <c r="CQ35" s="156">
        <f>IFERROR('Similarity matrix'!CQ35/'Denominator matrix'!$D$19, "NA")</f>
        <v>0</v>
      </c>
      <c r="CR35" s="153">
        <f>IFERROR('Similarity matrix'!CR35/'Denominator matrix'!$E$19, "NA")</f>
        <v>0</v>
      </c>
      <c r="CS35" s="153">
        <f>IFERROR('Similarity matrix'!CS35/'Denominator matrix'!$F$19, "NA")</f>
        <v>0</v>
      </c>
      <c r="CT35" s="153">
        <f>IFERROR('Similarity matrix'!CT35/'Denominator matrix'!$G$19, "NA")</f>
        <v>0</v>
      </c>
      <c r="CU35" s="153">
        <f>IFERROR('Similarity matrix'!CU35/'Denominator matrix'!$H$19, "NA")</f>
        <v>0</v>
      </c>
      <c r="CV35" s="153">
        <f>IFERROR('Similarity matrix'!CV35/'Denominator matrix'!$I$19, "NA")</f>
        <v>0</v>
      </c>
      <c r="CW35" s="153">
        <f>IFERROR('Similarity matrix'!CW35/'Denominator matrix'!$J$19, "NA")</f>
        <v>0.25</v>
      </c>
      <c r="CX35" s="153">
        <f>IFERROR('Similarity matrix'!CX35/'Denominator matrix'!$K$19, "NA")</f>
        <v>0</v>
      </c>
    </row>
    <row r="36" ht="35.25" customHeight="1">
      <c r="B36" s="124">
        <v>45751.0</v>
      </c>
      <c r="C36" s="154">
        <f>IFERROR('Similarity matrix'!C36/'Denominator matrix'!$B$20, "NA")</f>
        <v>0</v>
      </c>
      <c r="D36" s="153">
        <f>IFERROR('Similarity matrix'!D36/'Denominator matrix'!$C$20, "NA")</f>
        <v>0</v>
      </c>
      <c r="E36" s="153">
        <f>IFERROR('Similarity matrix'!E36/'Denominator matrix'!$D$20, "NA")</f>
        <v>0</v>
      </c>
      <c r="F36" s="156">
        <f>IFERROR('Similarity matrix'!F36/'Denominator matrix'!$E$20, "NA")</f>
        <v>0</v>
      </c>
      <c r="G36" s="153">
        <f>IFERROR('Similarity matrix'!G36/'Denominator matrix'!$F$20, "NA")</f>
        <v>0</v>
      </c>
      <c r="H36" s="153">
        <f>IFERROR('Similarity matrix'!H36/'Denominator matrix'!$G$20, "NA")</f>
        <v>0</v>
      </c>
      <c r="I36" s="153">
        <f>IFERROR('Similarity matrix'!I36/'Denominator matrix'!$H$20, "NA")</f>
        <v>0</v>
      </c>
      <c r="J36" s="153">
        <f>IFERROR('Similarity matrix'!J36/'Denominator matrix'!$I$20, "NA")</f>
        <v>0</v>
      </c>
      <c r="K36" s="153">
        <f>IFERROR('Similarity matrix'!K36/'Denominator matrix'!$J$20, "NA")</f>
        <v>0</v>
      </c>
      <c r="L36" s="153">
        <f>IFERROR('Similarity matrix'!L36/'Denominator matrix'!$K$20, "NA")</f>
        <v>0</v>
      </c>
      <c r="M36" s="154">
        <f>IFERROR('Similarity matrix'!M36/'Denominator matrix'!$B$20, "NA")</f>
        <v>0</v>
      </c>
      <c r="N36" s="153">
        <f>IFERROR('Similarity matrix'!N36/'Denominator matrix'!$C$20, "NA")</f>
        <v>0</v>
      </c>
      <c r="O36" s="153">
        <f>IFERROR('Similarity matrix'!O36/'Denominator matrix'!$D$20, "NA")</f>
        <v>0</v>
      </c>
      <c r="P36" s="156">
        <f>IFERROR('Similarity matrix'!P36/'Denominator matrix'!$E$20, "NA")</f>
        <v>0</v>
      </c>
      <c r="Q36" s="153">
        <f>IFERROR('Similarity matrix'!Q36/'Denominator matrix'!$F$20, "NA")</f>
        <v>0</v>
      </c>
      <c r="R36" s="153">
        <f>IFERROR('Similarity matrix'!R36/'Denominator matrix'!$G$20, "NA")</f>
        <v>0</v>
      </c>
      <c r="S36" s="153">
        <f>IFERROR('Similarity matrix'!S36/'Denominator matrix'!$H$20, "NA")</f>
        <v>0</v>
      </c>
      <c r="T36" s="153">
        <f>IFERROR('Similarity matrix'!T36/'Denominator matrix'!$I$20, "NA")</f>
        <v>0</v>
      </c>
      <c r="U36" s="153">
        <f>IFERROR('Similarity matrix'!U36/'Denominator matrix'!$J$20, "NA")</f>
        <v>0</v>
      </c>
      <c r="V36" s="153">
        <f>IFERROR('Similarity matrix'!V36/'Denominator matrix'!$K$20, "NA")</f>
        <v>0</v>
      </c>
      <c r="W36" s="154">
        <f>IFERROR('Similarity matrix'!W36/'Denominator matrix'!$B$20, "NA")</f>
        <v>0</v>
      </c>
      <c r="X36" s="153">
        <f>IFERROR('Similarity matrix'!X36/'Denominator matrix'!$C$20, "NA")</f>
        <v>0</v>
      </c>
      <c r="Y36" s="153">
        <f>IFERROR('Similarity matrix'!Y36/'Denominator matrix'!$D$20, "NA")</f>
        <v>0</v>
      </c>
      <c r="Z36" s="156">
        <f>IFERROR('Similarity matrix'!Z36/'Denominator matrix'!$E$20, "NA")</f>
        <v>0</v>
      </c>
      <c r="AA36" s="153">
        <f>IFERROR('Similarity matrix'!AA36/'Denominator matrix'!$F$20, "NA")</f>
        <v>0</v>
      </c>
      <c r="AB36" s="153">
        <f>IFERROR('Similarity matrix'!AB36/'Denominator matrix'!$G$20, "NA")</f>
        <v>0</v>
      </c>
      <c r="AC36" s="153">
        <f>IFERROR('Similarity matrix'!AC36/'Denominator matrix'!$H$20, "NA")</f>
        <v>0</v>
      </c>
      <c r="AD36" s="153">
        <f>IFERROR('Similarity matrix'!AD36/'Denominator matrix'!$I$20, "NA")</f>
        <v>0</v>
      </c>
      <c r="AE36" s="153">
        <f>IFERROR('Similarity matrix'!AE36/'Denominator matrix'!$J$20, "NA")</f>
        <v>0</v>
      </c>
      <c r="AF36" s="153">
        <f>IFERROR('Similarity matrix'!AF36/'Denominator matrix'!$K$20, "NA")</f>
        <v>0</v>
      </c>
      <c r="AG36" s="154">
        <f>IFERROR('Similarity matrix'!AG36/'Denominator matrix'!$B$20, "NA")</f>
        <v>0.5</v>
      </c>
      <c r="AH36" s="153">
        <f>IFERROR('Similarity matrix'!AH36/'Denominator matrix'!$C$20, "NA")</f>
        <v>1</v>
      </c>
      <c r="AI36" s="153">
        <f>IFERROR('Similarity matrix'!AI36/'Denominator matrix'!$D$20, "NA")</f>
        <v>0.5</v>
      </c>
      <c r="AJ36" s="155">
        <f>IFERROR('Similarity matrix'!AJ36/'Denominator matrix'!$E$20, "NA")</f>
        <v>0</v>
      </c>
      <c r="AK36" s="153">
        <f>IFERROR('Similarity matrix'!AK36/'Denominator matrix'!$F$20, "NA")</f>
        <v>1</v>
      </c>
      <c r="AL36" s="153">
        <f>IFERROR('Similarity matrix'!AL36/'Denominator matrix'!$G$20, "NA")</f>
        <v>0.75</v>
      </c>
      <c r="AM36" s="153">
        <f>IFERROR('Similarity matrix'!AM36/'Denominator matrix'!$H$20, "NA")</f>
        <v>1</v>
      </c>
      <c r="AN36" s="153">
        <f>IFERROR('Similarity matrix'!AN36/'Denominator matrix'!$I$20, "NA")</f>
        <v>1</v>
      </c>
      <c r="AO36" s="153">
        <f>IFERROR('Similarity matrix'!AO36/'Denominator matrix'!$J$20, "NA")</f>
        <v>0.6666666667</v>
      </c>
      <c r="AP36" s="153">
        <f>IFERROR('Similarity matrix'!AP36/'Denominator matrix'!$K$20, "NA")</f>
        <v>0.75</v>
      </c>
      <c r="AQ36" s="154">
        <f>IFERROR('Similarity matrix'!AQ36/'Denominator matrix'!$B$20, "NA")</f>
        <v>0</v>
      </c>
      <c r="AR36" s="153">
        <f>IFERROR('Similarity matrix'!AR36/'Denominator matrix'!$C$20, "NA")</f>
        <v>0</v>
      </c>
      <c r="AS36" s="153">
        <f>IFERROR('Similarity matrix'!AS36/'Denominator matrix'!$D$20, "NA")</f>
        <v>0</v>
      </c>
      <c r="AT36" s="156">
        <f>IFERROR('Similarity matrix'!AT36/'Denominator matrix'!$E$20, "NA")</f>
        <v>0</v>
      </c>
      <c r="AU36" s="153">
        <f>IFERROR('Similarity matrix'!AU36/'Denominator matrix'!$F$20, "NA")</f>
        <v>0</v>
      </c>
      <c r="AV36" s="153">
        <f>IFERROR('Similarity matrix'!AV36/'Denominator matrix'!$G$20, "NA")</f>
        <v>0</v>
      </c>
      <c r="AW36" s="153">
        <f>IFERROR('Similarity matrix'!AW36/'Denominator matrix'!$H$20, "NA")</f>
        <v>0</v>
      </c>
      <c r="AX36" s="153">
        <f>IFERROR('Similarity matrix'!AX36/'Denominator matrix'!$I$20, "NA")</f>
        <v>0</v>
      </c>
      <c r="AY36" s="153">
        <f>IFERROR('Similarity matrix'!AY36/'Denominator matrix'!$J$20, "NA")</f>
        <v>0</v>
      </c>
      <c r="AZ36" s="153">
        <f>IFERROR('Similarity matrix'!AZ36/'Denominator matrix'!$K$20, "NA")</f>
        <v>0.25</v>
      </c>
      <c r="BA36" s="154">
        <f>IFERROR('Similarity matrix'!BA36/'Denominator matrix'!$B$20, "NA")</f>
        <v>0</v>
      </c>
      <c r="BB36" s="153">
        <f>IFERROR('Similarity matrix'!BB36/'Denominator matrix'!$C$20, "NA")</f>
        <v>0</v>
      </c>
      <c r="BC36" s="153">
        <f>IFERROR('Similarity matrix'!BC36/'Denominator matrix'!$D$20, "NA")</f>
        <v>0</v>
      </c>
      <c r="BD36" s="156">
        <f>IFERROR('Similarity matrix'!BD36/'Denominator matrix'!$E$20, "NA")</f>
        <v>0</v>
      </c>
      <c r="BE36" s="153">
        <f>IFERROR('Similarity matrix'!BE36/'Denominator matrix'!$F$20, "NA")</f>
        <v>0</v>
      </c>
      <c r="BF36" s="153">
        <f>IFERROR('Similarity matrix'!BF36/'Denominator matrix'!$G$20, "NA")</f>
        <v>0</v>
      </c>
      <c r="BG36" s="153">
        <f>IFERROR('Similarity matrix'!BG36/'Denominator matrix'!$H$20, "NA")</f>
        <v>0</v>
      </c>
      <c r="BH36" s="153">
        <f>IFERROR('Similarity matrix'!BH36/'Denominator matrix'!$I$20, "NA")</f>
        <v>0</v>
      </c>
      <c r="BI36" s="153">
        <f>IFERROR('Similarity matrix'!BI36/'Denominator matrix'!$J$20, "NA")</f>
        <v>0</v>
      </c>
      <c r="BJ36" s="153">
        <f>IFERROR('Similarity matrix'!BJ36/'Denominator matrix'!$K$20, "NA")</f>
        <v>0</v>
      </c>
      <c r="BK36" s="154">
        <f>IFERROR('Similarity matrix'!BK36/'Denominator matrix'!$B$20, "NA")</f>
        <v>0</v>
      </c>
      <c r="BL36" s="153">
        <f>IFERROR('Similarity matrix'!BL36/'Denominator matrix'!$C$20, "NA")</f>
        <v>0</v>
      </c>
      <c r="BM36" s="153">
        <f>IFERROR('Similarity matrix'!BM36/'Denominator matrix'!$D$20, "NA")</f>
        <v>0</v>
      </c>
      <c r="BN36" s="156">
        <f>IFERROR('Similarity matrix'!BN36/'Denominator matrix'!$E$20, "NA")</f>
        <v>0</v>
      </c>
      <c r="BO36" s="153">
        <f>IFERROR('Similarity matrix'!BO36/'Denominator matrix'!$F$20, "NA")</f>
        <v>0</v>
      </c>
      <c r="BP36" s="153">
        <f>IFERROR('Similarity matrix'!BP36/'Denominator matrix'!$G$20, "NA")</f>
        <v>0</v>
      </c>
      <c r="BQ36" s="153">
        <f>IFERROR('Similarity matrix'!BQ36/'Denominator matrix'!$H$20, "NA")</f>
        <v>0</v>
      </c>
      <c r="BR36" s="153">
        <f>IFERROR('Similarity matrix'!BR36/'Denominator matrix'!$I$20, "NA")</f>
        <v>0</v>
      </c>
      <c r="BS36" s="153">
        <f>IFERROR('Similarity matrix'!BS36/'Denominator matrix'!$J$20, "NA")</f>
        <v>0</v>
      </c>
      <c r="BT36" s="153">
        <f>IFERROR('Similarity matrix'!BT36/'Denominator matrix'!$K$20, "NA")</f>
        <v>0</v>
      </c>
      <c r="BU36" s="154">
        <f>IFERROR('Similarity matrix'!BU36/'Denominator matrix'!$B$20, "NA")</f>
        <v>0</v>
      </c>
      <c r="BV36" s="153">
        <f>IFERROR('Similarity matrix'!BV36/'Denominator matrix'!$C$20, "NA")</f>
        <v>0</v>
      </c>
      <c r="BW36" s="153">
        <f>IFERROR('Similarity matrix'!BW36/'Denominator matrix'!$D$20, "NA")</f>
        <v>0</v>
      </c>
      <c r="BX36" s="156">
        <f>IFERROR('Similarity matrix'!BX36/'Denominator matrix'!$E$20, "NA")</f>
        <v>0</v>
      </c>
      <c r="BY36" s="153">
        <f>IFERROR('Similarity matrix'!BY36/'Denominator matrix'!$F$20, "NA")</f>
        <v>0</v>
      </c>
      <c r="BZ36" s="153">
        <f>IFERROR('Similarity matrix'!BZ36/'Denominator matrix'!$G$20, "NA")</f>
        <v>0</v>
      </c>
      <c r="CA36" s="153">
        <f>IFERROR('Similarity matrix'!CA36/'Denominator matrix'!$H$20, "NA")</f>
        <v>0</v>
      </c>
      <c r="CB36" s="153">
        <f>IFERROR('Similarity matrix'!CB36/'Denominator matrix'!$I$20, "NA")</f>
        <v>0</v>
      </c>
      <c r="CC36" s="153">
        <f>IFERROR('Similarity matrix'!CC36/'Denominator matrix'!$J$20, "NA")</f>
        <v>0</v>
      </c>
      <c r="CD36" s="153">
        <f>IFERROR('Similarity matrix'!CD36/'Denominator matrix'!$K$20, "NA")</f>
        <v>0</v>
      </c>
      <c r="CE36" s="154">
        <f>IFERROR('Similarity matrix'!CE36/'Denominator matrix'!$B$20, "NA")</f>
        <v>0</v>
      </c>
      <c r="CF36" s="153">
        <f>IFERROR('Similarity matrix'!CF36/'Denominator matrix'!$C$20, "NA")</f>
        <v>0</v>
      </c>
      <c r="CG36" s="153">
        <f>IFERROR('Similarity matrix'!CG36/'Denominator matrix'!$D$20, "NA")</f>
        <v>0</v>
      </c>
      <c r="CH36" s="156">
        <f>IFERROR('Similarity matrix'!CH36/'Denominator matrix'!$E$20, "NA")</f>
        <v>0</v>
      </c>
      <c r="CI36" s="153">
        <f>IFERROR('Similarity matrix'!CI36/'Denominator matrix'!$F$20, "NA")</f>
        <v>0</v>
      </c>
      <c r="CJ36" s="153">
        <f>IFERROR('Similarity matrix'!CJ36/'Denominator matrix'!$G$20, "NA")</f>
        <v>0</v>
      </c>
      <c r="CK36" s="153">
        <f>IFERROR('Similarity matrix'!CK36/'Denominator matrix'!$H$20, "NA")</f>
        <v>0</v>
      </c>
      <c r="CL36" s="153">
        <f>IFERROR('Similarity matrix'!CL36/'Denominator matrix'!$I$20, "NA")</f>
        <v>0</v>
      </c>
      <c r="CM36" s="153">
        <f>IFERROR('Similarity matrix'!CM36/'Denominator matrix'!$J$20, "NA")</f>
        <v>0</v>
      </c>
      <c r="CN36" s="153">
        <f>IFERROR('Similarity matrix'!CN36/'Denominator matrix'!$K$20, "NA")</f>
        <v>0</v>
      </c>
      <c r="CO36" s="154">
        <f>IFERROR('Similarity matrix'!CO36/'Denominator matrix'!$B$20, "NA")</f>
        <v>0</v>
      </c>
      <c r="CP36" s="153">
        <f>IFERROR('Similarity matrix'!CP36/'Denominator matrix'!$C$20, "NA")</f>
        <v>0</v>
      </c>
      <c r="CQ36" s="153">
        <f>IFERROR('Similarity matrix'!CQ36/'Denominator matrix'!$D$20, "NA")</f>
        <v>0</v>
      </c>
      <c r="CR36" s="156">
        <f>IFERROR('Similarity matrix'!CR36/'Denominator matrix'!$E$20, "NA")</f>
        <v>0</v>
      </c>
      <c r="CS36" s="153">
        <f>IFERROR('Similarity matrix'!CS36/'Denominator matrix'!$F$20, "NA")</f>
        <v>0</v>
      </c>
      <c r="CT36" s="153">
        <f>IFERROR('Similarity matrix'!CT36/'Denominator matrix'!$G$20, "NA")</f>
        <v>0</v>
      </c>
      <c r="CU36" s="153">
        <f>IFERROR('Similarity matrix'!CU36/'Denominator matrix'!$H$20, "NA")</f>
        <v>0</v>
      </c>
      <c r="CV36" s="153">
        <f>IFERROR('Similarity matrix'!CV36/'Denominator matrix'!$I$20, "NA")</f>
        <v>0</v>
      </c>
      <c r="CW36" s="153">
        <f>IFERROR('Similarity matrix'!CW36/'Denominator matrix'!$J$20, "NA")</f>
        <v>0</v>
      </c>
      <c r="CX36" s="153">
        <f>IFERROR('Similarity matrix'!CX36/'Denominator matrix'!$K$20, "NA")</f>
        <v>0.25</v>
      </c>
    </row>
    <row r="37" ht="35.25" customHeight="1">
      <c r="B37" s="124">
        <v>45781.0</v>
      </c>
      <c r="C37" s="154">
        <f>IFERROR('Similarity matrix'!C37/'Denominator matrix'!$B$21, "NA")</f>
        <v>0</v>
      </c>
      <c r="D37" s="153">
        <f>IFERROR('Similarity matrix'!D37/'Denominator matrix'!$C$21, "NA")</f>
        <v>0</v>
      </c>
      <c r="E37" s="153">
        <f>IFERROR('Similarity matrix'!E37/'Denominator matrix'!$D$21, "NA")</f>
        <v>0</v>
      </c>
      <c r="F37" s="153">
        <f>IFERROR('Similarity matrix'!F37/'Denominator matrix'!$E$21, "NA")</f>
        <v>0</v>
      </c>
      <c r="G37" s="156">
        <f>IFERROR('Similarity matrix'!G37/'Denominator matrix'!$F$21, "NA")</f>
        <v>0</v>
      </c>
      <c r="H37" s="153">
        <f>IFERROR('Similarity matrix'!H37/'Denominator matrix'!$G$21, "NA")</f>
        <v>0</v>
      </c>
      <c r="I37" s="153">
        <f>IFERROR('Similarity matrix'!I37/'Denominator matrix'!$H$21, "NA")</f>
        <v>0</v>
      </c>
      <c r="J37" s="153">
        <f>IFERROR('Similarity matrix'!J37/'Denominator matrix'!$I$21, "NA")</f>
        <v>0</v>
      </c>
      <c r="K37" s="153">
        <f>IFERROR('Similarity matrix'!K37/'Denominator matrix'!$J$21, "NA")</f>
        <v>0</v>
      </c>
      <c r="L37" s="153">
        <f>IFERROR('Similarity matrix'!L37/'Denominator matrix'!$K$21, "NA")</f>
        <v>0</v>
      </c>
      <c r="M37" s="154">
        <f>IFERROR('Similarity matrix'!M37/'Denominator matrix'!$B$21, "NA")</f>
        <v>0</v>
      </c>
      <c r="N37" s="153">
        <f>IFERROR('Similarity matrix'!N37/'Denominator matrix'!$C$21, "NA")</f>
        <v>0</v>
      </c>
      <c r="O37" s="153">
        <f>IFERROR('Similarity matrix'!O37/'Denominator matrix'!$D$21, "NA")</f>
        <v>0</v>
      </c>
      <c r="P37" s="153">
        <f>IFERROR('Similarity matrix'!P37/'Denominator matrix'!$E$21, "NA")</f>
        <v>0</v>
      </c>
      <c r="Q37" s="156">
        <f>IFERROR('Similarity matrix'!Q37/'Denominator matrix'!$F$21, "NA")</f>
        <v>0</v>
      </c>
      <c r="R37" s="153">
        <f>IFERROR('Similarity matrix'!R37/'Denominator matrix'!$G$21, "NA")</f>
        <v>0</v>
      </c>
      <c r="S37" s="153">
        <f>IFERROR('Similarity matrix'!S37/'Denominator matrix'!$H$21, "NA")</f>
        <v>0</v>
      </c>
      <c r="T37" s="153">
        <f>IFERROR('Similarity matrix'!T37/'Denominator matrix'!$I$21, "NA")</f>
        <v>0</v>
      </c>
      <c r="U37" s="153">
        <f>IFERROR('Similarity matrix'!U37/'Denominator matrix'!$J$21, "NA")</f>
        <v>0</v>
      </c>
      <c r="V37" s="153">
        <f>IFERROR('Similarity matrix'!V37/'Denominator matrix'!$K$21, "NA")</f>
        <v>0</v>
      </c>
      <c r="W37" s="154">
        <f>IFERROR('Similarity matrix'!W37/'Denominator matrix'!$B$21, "NA")</f>
        <v>0</v>
      </c>
      <c r="X37" s="153">
        <f>IFERROR('Similarity matrix'!X37/'Denominator matrix'!$C$21, "NA")</f>
        <v>0</v>
      </c>
      <c r="Y37" s="153">
        <f>IFERROR('Similarity matrix'!Y37/'Denominator matrix'!$D$21, "NA")</f>
        <v>0</v>
      </c>
      <c r="Z37" s="153">
        <f>IFERROR('Similarity matrix'!Z37/'Denominator matrix'!$E$21, "NA")</f>
        <v>0</v>
      </c>
      <c r="AA37" s="156">
        <f>IFERROR('Similarity matrix'!AA37/'Denominator matrix'!$F$21, "NA")</f>
        <v>0</v>
      </c>
      <c r="AB37" s="153">
        <f>IFERROR('Similarity matrix'!AB37/'Denominator matrix'!$G$21, "NA")</f>
        <v>0</v>
      </c>
      <c r="AC37" s="153">
        <f>IFERROR('Similarity matrix'!AC37/'Denominator matrix'!$H$21, "NA")</f>
        <v>0</v>
      </c>
      <c r="AD37" s="153">
        <f>IFERROR('Similarity matrix'!AD37/'Denominator matrix'!$I$21, "NA")</f>
        <v>0</v>
      </c>
      <c r="AE37" s="153">
        <f>IFERROR('Similarity matrix'!AE37/'Denominator matrix'!$J$21, "NA")</f>
        <v>0</v>
      </c>
      <c r="AF37" s="153">
        <f>IFERROR('Similarity matrix'!AF37/'Denominator matrix'!$K$21, "NA")</f>
        <v>0</v>
      </c>
      <c r="AG37" s="154">
        <f>IFERROR('Similarity matrix'!AG37/'Denominator matrix'!$B$21, "NA")</f>
        <v>0.8</v>
      </c>
      <c r="AH37" s="153">
        <f>IFERROR('Similarity matrix'!AH37/'Denominator matrix'!$C$21, "NA")</f>
        <v>0.6666666667</v>
      </c>
      <c r="AI37" s="153">
        <f>IFERROR('Similarity matrix'!AI37/'Denominator matrix'!$D$21, "NA")</f>
        <v>0.5</v>
      </c>
      <c r="AJ37" s="153">
        <f>IFERROR('Similarity matrix'!AJ37/'Denominator matrix'!$E$21, "NA")</f>
        <v>1</v>
      </c>
      <c r="AK37" s="155">
        <f>IFERROR('Similarity matrix'!AK37/'Denominator matrix'!$F$21, "NA")</f>
        <v>0</v>
      </c>
      <c r="AL37" s="153">
        <f>IFERROR('Similarity matrix'!AL37/'Denominator matrix'!$G$21, "NA")</f>
        <v>1</v>
      </c>
      <c r="AM37" s="153">
        <f>IFERROR('Similarity matrix'!AM37/'Denominator matrix'!$H$21, "NA")</f>
        <v>0.75</v>
      </c>
      <c r="AN37" s="153">
        <f>IFERROR('Similarity matrix'!AN37/'Denominator matrix'!$I$21, "NA")</f>
        <v>0.9</v>
      </c>
      <c r="AO37" s="153">
        <f>IFERROR('Similarity matrix'!AO37/'Denominator matrix'!$J$21, "NA")</f>
        <v>0.8333333333</v>
      </c>
      <c r="AP37" s="153">
        <f>IFERROR('Similarity matrix'!AP37/'Denominator matrix'!$K$21, "NA")</f>
        <v>1</v>
      </c>
      <c r="AQ37" s="154">
        <f>IFERROR('Similarity matrix'!AQ37/'Denominator matrix'!$B$21, "NA")</f>
        <v>0</v>
      </c>
      <c r="AR37" s="153">
        <f>IFERROR('Similarity matrix'!AR37/'Denominator matrix'!$C$21, "NA")</f>
        <v>0</v>
      </c>
      <c r="AS37" s="153">
        <f>IFERROR('Similarity matrix'!AS37/'Denominator matrix'!$D$21, "NA")</f>
        <v>0</v>
      </c>
      <c r="AT37" s="153">
        <f>IFERROR('Similarity matrix'!AT37/'Denominator matrix'!$E$21, "NA")</f>
        <v>0</v>
      </c>
      <c r="AU37" s="156">
        <f>IFERROR('Similarity matrix'!AU37/'Denominator matrix'!$F$21, "NA")</f>
        <v>0</v>
      </c>
      <c r="AV37" s="153">
        <f>IFERROR('Similarity matrix'!AV37/'Denominator matrix'!$G$21, "NA")</f>
        <v>0</v>
      </c>
      <c r="AW37" s="153">
        <f>IFERROR('Similarity matrix'!AW37/'Denominator matrix'!$H$21, "NA")</f>
        <v>0</v>
      </c>
      <c r="AX37" s="153">
        <f>IFERROR('Similarity matrix'!AX37/'Denominator matrix'!$I$21, "NA")</f>
        <v>0</v>
      </c>
      <c r="AY37" s="153">
        <f>IFERROR('Similarity matrix'!AY37/'Denominator matrix'!$J$21, "NA")</f>
        <v>0</v>
      </c>
      <c r="AZ37" s="153">
        <f>IFERROR('Similarity matrix'!AZ37/'Denominator matrix'!$K$21, "NA")</f>
        <v>0</v>
      </c>
      <c r="BA37" s="154">
        <f>IFERROR('Similarity matrix'!BA37/'Denominator matrix'!$B$21, "NA")</f>
        <v>0</v>
      </c>
      <c r="BB37" s="153">
        <f>IFERROR('Similarity matrix'!BB37/'Denominator matrix'!$C$21, "NA")</f>
        <v>0</v>
      </c>
      <c r="BC37" s="153">
        <f>IFERROR('Similarity matrix'!BC37/'Denominator matrix'!$D$21, "NA")</f>
        <v>0</v>
      </c>
      <c r="BD37" s="153">
        <f>IFERROR('Similarity matrix'!BD37/'Denominator matrix'!$E$21, "NA")</f>
        <v>0</v>
      </c>
      <c r="BE37" s="156">
        <f>IFERROR('Similarity matrix'!BE37/'Denominator matrix'!$F$21, "NA")</f>
        <v>0</v>
      </c>
      <c r="BF37" s="153">
        <f>IFERROR('Similarity matrix'!BF37/'Denominator matrix'!$G$21, "NA")</f>
        <v>0</v>
      </c>
      <c r="BG37" s="153">
        <f>IFERROR('Similarity matrix'!BG37/'Denominator matrix'!$H$21, "NA")</f>
        <v>0</v>
      </c>
      <c r="BH37" s="153">
        <f>IFERROR('Similarity matrix'!BH37/'Denominator matrix'!$I$21, "NA")</f>
        <v>0</v>
      </c>
      <c r="BI37" s="153">
        <f>IFERROR('Similarity matrix'!BI37/'Denominator matrix'!$J$21, "NA")</f>
        <v>0</v>
      </c>
      <c r="BJ37" s="153">
        <f>IFERROR('Similarity matrix'!BJ37/'Denominator matrix'!$K$21, "NA")</f>
        <v>0</v>
      </c>
      <c r="BK37" s="154">
        <f>IFERROR('Similarity matrix'!BK37/'Denominator matrix'!$B$21, "NA")</f>
        <v>0</v>
      </c>
      <c r="BL37" s="153">
        <f>IFERROR('Similarity matrix'!BL37/'Denominator matrix'!$C$21, "NA")</f>
        <v>0</v>
      </c>
      <c r="BM37" s="153">
        <f>IFERROR('Similarity matrix'!BM37/'Denominator matrix'!$D$21, "NA")</f>
        <v>0</v>
      </c>
      <c r="BN37" s="153">
        <f>IFERROR('Similarity matrix'!BN37/'Denominator matrix'!$E$21, "NA")</f>
        <v>0</v>
      </c>
      <c r="BO37" s="156">
        <f>IFERROR('Similarity matrix'!BO37/'Denominator matrix'!$F$21, "NA")</f>
        <v>0</v>
      </c>
      <c r="BP37" s="153">
        <f>IFERROR('Similarity matrix'!BP37/'Denominator matrix'!$G$21, "NA")</f>
        <v>0</v>
      </c>
      <c r="BQ37" s="153">
        <f>IFERROR('Similarity matrix'!BQ37/'Denominator matrix'!$H$21, "NA")</f>
        <v>0</v>
      </c>
      <c r="BR37" s="153">
        <f>IFERROR('Similarity matrix'!BR37/'Denominator matrix'!$I$21, "NA")</f>
        <v>0</v>
      </c>
      <c r="BS37" s="153">
        <f>IFERROR('Similarity matrix'!BS37/'Denominator matrix'!$J$21, "NA")</f>
        <v>0</v>
      </c>
      <c r="BT37" s="153">
        <f>IFERROR('Similarity matrix'!BT37/'Denominator matrix'!$K$21, "NA")</f>
        <v>0</v>
      </c>
      <c r="BU37" s="154">
        <f>IFERROR('Similarity matrix'!BU37/'Denominator matrix'!$B$21, "NA")</f>
        <v>0</v>
      </c>
      <c r="BV37" s="153">
        <f>IFERROR('Similarity matrix'!BV37/'Denominator matrix'!$C$21, "NA")</f>
        <v>0</v>
      </c>
      <c r="BW37" s="153">
        <f>IFERROR('Similarity matrix'!BW37/'Denominator matrix'!$D$21, "NA")</f>
        <v>0</v>
      </c>
      <c r="BX37" s="153">
        <f>IFERROR('Similarity matrix'!BX37/'Denominator matrix'!$E$21, "NA")</f>
        <v>0</v>
      </c>
      <c r="BY37" s="156">
        <f>IFERROR('Similarity matrix'!BY37/'Denominator matrix'!$F$21, "NA")</f>
        <v>0</v>
      </c>
      <c r="BZ37" s="153">
        <f>IFERROR('Similarity matrix'!BZ37/'Denominator matrix'!$G$21, "NA")</f>
        <v>0</v>
      </c>
      <c r="CA37" s="153">
        <f>IFERROR('Similarity matrix'!CA37/'Denominator matrix'!$H$21, "NA")</f>
        <v>0</v>
      </c>
      <c r="CB37" s="153">
        <f>IFERROR('Similarity matrix'!CB37/'Denominator matrix'!$I$21, "NA")</f>
        <v>0</v>
      </c>
      <c r="CC37" s="153">
        <f>IFERROR('Similarity matrix'!CC37/'Denominator matrix'!$J$21, "NA")</f>
        <v>0</v>
      </c>
      <c r="CD37" s="153">
        <f>IFERROR('Similarity matrix'!CD37/'Denominator matrix'!$K$21, "NA")</f>
        <v>0</v>
      </c>
      <c r="CE37" s="154">
        <f>IFERROR('Similarity matrix'!CE37/'Denominator matrix'!$B$21, "NA")</f>
        <v>0</v>
      </c>
      <c r="CF37" s="153">
        <f>IFERROR('Similarity matrix'!CF37/'Denominator matrix'!$C$21, "NA")</f>
        <v>0</v>
      </c>
      <c r="CG37" s="153">
        <f>IFERROR('Similarity matrix'!CG37/'Denominator matrix'!$D$21, "NA")</f>
        <v>0</v>
      </c>
      <c r="CH37" s="153">
        <f>IFERROR('Similarity matrix'!CH37/'Denominator matrix'!$E$21, "NA")</f>
        <v>0</v>
      </c>
      <c r="CI37" s="156">
        <f>IFERROR('Similarity matrix'!CI37/'Denominator matrix'!$F$21, "NA")</f>
        <v>0</v>
      </c>
      <c r="CJ37" s="153">
        <f>IFERROR('Similarity matrix'!CJ37/'Denominator matrix'!$G$21, "NA")</f>
        <v>0</v>
      </c>
      <c r="CK37" s="153">
        <f>IFERROR('Similarity matrix'!CK37/'Denominator matrix'!$H$21, "NA")</f>
        <v>0</v>
      </c>
      <c r="CL37" s="153">
        <f>IFERROR('Similarity matrix'!CL37/'Denominator matrix'!$I$21, "NA")</f>
        <v>0</v>
      </c>
      <c r="CM37" s="153">
        <f>IFERROR('Similarity matrix'!CM37/'Denominator matrix'!$J$21, "NA")</f>
        <v>0</v>
      </c>
      <c r="CN37" s="153">
        <f>IFERROR('Similarity matrix'!CN37/'Denominator matrix'!$K$21, "NA")</f>
        <v>0</v>
      </c>
      <c r="CO37" s="154">
        <f>IFERROR('Similarity matrix'!CO37/'Denominator matrix'!$B$21, "NA")</f>
        <v>0</v>
      </c>
      <c r="CP37" s="153">
        <f>IFERROR('Similarity matrix'!CP37/'Denominator matrix'!$C$21, "NA")</f>
        <v>0</v>
      </c>
      <c r="CQ37" s="153">
        <f>IFERROR('Similarity matrix'!CQ37/'Denominator matrix'!$D$21, "NA")</f>
        <v>0</v>
      </c>
      <c r="CR37" s="153">
        <f>IFERROR('Similarity matrix'!CR37/'Denominator matrix'!$E$21, "NA")</f>
        <v>0</v>
      </c>
      <c r="CS37" s="156">
        <f>IFERROR('Similarity matrix'!CS37/'Denominator matrix'!$F$21, "NA")</f>
        <v>0</v>
      </c>
      <c r="CT37" s="153">
        <f>IFERROR('Similarity matrix'!CT37/'Denominator matrix'!$G$21, "NA")</f>
        <v>0</v>
      </c>
      <c r="CU37" s="153">
        <f>IFERROR('Similarity matrix'!CU37/'Denominator matrix'!$H$21, "NA")</f>
        <v>0</v>
      </c>
      <c r="CV37" s="153">
        <f>IFERROR('Similarity matrix'!CV37/'Denominator matrix'!$I$21, "NA")</f>
        <v>0</v>
      </c>
      <c r="CW37" s="153">
        <f>IFERROR('Similarity matrix'!CW37/'Denominator matrix'!$J$21, "NA")</f>
        <v>0</v>
      </c>
      <c r="CX37" s="153">
        <f>IFERROR('Similarity matrix'!CX37/'Denominator matrix'!$K$21, "NA")</f>
        <v>0</v>
      </c>
    </row>
    <row r="38" ht="35.25" customHeight="1">
      <c r="B38" s="124">
        <v>45812.0</v>
      </c>
      <c r="C38" s="154">
        <f>IFERROR('Similarity matrix'!C38/'Denominator matrix'!$B$22, "NA")</f>
        <v>0</v>
      </c>
      <c r="D38" s="153">
        <f>IFERROR('Similarity matrix'!D38/'Denominator matrix'!$C$22, "NA")</f>
        <v>0</v>
      </c>
      <c r="E38" s="153">
        <f>IFERROR('Similarity matrix'!E38/'Denominator matrix'!$D$22, "NA")</f>
        <v>0</v>
      </c>
      <c r="F38" s="153">
        <f>IFERROR('Similarity matrix'!F38/'Denominator matrix'!$E$22, "NA")</f>
        <v>0</v>
      </c>
      <c r="G38" s="153">
        <f>IFERROR('Similarity matrix'!G38/'Denominator matrix'!$F$22, "NA")</f>
        <v>0</v>
      </c>
      <c r="H38" s="156">
        <f>IFERROR('Similarity matrix'!H38/'Denominator matrix'!$G$22, "NA")</f>
        <v>0</v>
      </c>
      <c r="I38" s="153">
        <f>IFERROR('Similarity matrix'!I38/'Denominator matrix'!$H$22, "NA")</f>
        <v>0</v>
      </c>
      <c r="J38" s="153">
        <f>IFERROR('Similarity matrix'!J38/'Denominator matrix'!$I$22, "NA")</f>
        <v>0</v>
      </c>
      <c r="K38" s="153">
        <f>IFERROR('Similarity matrix'!K38/'Denominator matrix'!$J$22, "NA")</f>
        <v>0</v>
      </c>
      <c r="L38" s="153">
        <f>IFERROR('Similarity matrix'!L38/'Denominator matrix'!$K$22, "NA")</f>
        <v>0</v>
      </c>
      <c r="M38" s="154">
        <f>IFERROR('Similarity matrix'!M38/'Denominator matrix'!$B$22, "NA")</f>
        <v>0</v>
      </c>
      <c r="N38" s="153">
        <f>IFERROR('Similarity matrix'!N38/'Denominator matrix'!$C$22, "NA")</f>
        <v>0</v>
      </c>
      <c r="O38" s="153">
        <f>IFERROR('Similarity matrix'!O38/'Denominator matrix'!$D$22, "NA")</f>
        <v>0</v>
      </c>
      <c r="P38" s="153">
        <f>IFERROR('Similarity matrix'!P38/'Denominator matrix'!$E$22, "NA")</f>
        <v>0</v>
      </c>
      <c r="Q38" s="153">
        <f>IFERROR('Similarity matrix'!Q38/'Denominator matrix'!$F$22, "NA")</f>
        <v>0</v>
      </c>
      <c r="R38" s="156">
        <f>IFERROR('Similarity matrix'!R38/'Denominator matrix'!$G$22, "NA")</f>
        <v>0</v>
      </c>
      <c r="S38" s="153">
        <f>IFERROR('Similarity matrix'!S38/'Denominator matrix'!$H$22, "NA")</f>
        <v>0</v>
      </c>
      <c r="T38" s="153">
        <f>IFERROR('Similarity matrix'!T38/'Denominator matrix'!$I$22, "NA")</f>
        <v>0</v>
      </c>
      <c r="U38" s="153">
        <f>IFERROR('Similarity matrix'!U38/'Denominator matrix'!$J$22, "NA")</f>
        <v>0</v>
      </c>
      <c r="V38" s="153">
        <f>IFERROR('Similarity matrix'!V38/'Denominator matrix'!$K$22, "NA")</f>
        <v>0</v>
      </c>
      <c r="W38" s="154">
        <f>IFERROR('Similarity matrix'!W38/'Denominator matrix'!$B$22, "NA")</f>
        <v>0</v>
      </c>
      <c r="X38" s="153">
        <f>IFERROR('Similarity matrix'!X38/'Denominator matrix'!$C$22, "NA")</f>
        <v>0</v>
      </c>
      <c r="Y38" s="153">
        <f>IFERROR('Similarity matrix'!Y38/'Denominator matrix'!$D$22, "NA")</f>
        <v>0</v>
      </c>
      <c r="Z38" s="153">
        <f>IFERROR('Similarity matrix'!Z38/'Denominator matrix'!$E$22, "NA")</f>
        <v>0</v>
      </c>
      <c r="AA38" s="153">
        <f>IFERROR('Similarity matrix'!AA38/'Denominator matrix'!$F$22, "NA")</f>
        <v>0</v>
      </c>
      <c r="AB38" s="156">
        <f>IFERROR('Similarity matrix'!AB38/'Denominator matrix'!$G$22, "NA")</f>
        <v>0</v>
      </c>
      <c r="AC38" s="153">
        <f>IFERROR('Similarity matrix'!AC38/'Denominator matrix'!$H$22, "NA")</f>
        <v>0</v>
      </c>
      <c r="AD38" s="153">
        <f>IFERROR('Similarity matrix'!AD38/'Denominator matrix'!$I$22, "NA")</f>
        <v>0</v>
      </c>
      <c r="AE38" s="153">
        <f>IFERROR('Similarity matrix'!AE38/'Denominator matrix'!$J$22, "NA")</f>
        <v>0</v>
      </c>
      <c r="AF38" s="153">
        <f>IFERROR('Similarity matrix'!AF38/'Denominator matrix'!$K$22, "NA")</f>
        <v>0</v>
      </c>
      <c r="AG38" s="154">
        <f>IFERROR('Similarity matrix'!AG38/'Denominator matrix'!$B$22, "NA")</f>
        <v>0.7</v>
      </c>
      <c r="AH38" s="153">
        <f>IFERROR('Similarity matrix'!AH38/'Denominator matrix'!$C$22, "NA")</f>
        <v>1</v>
      </c>
      <c r="AI38" s="153">
        <f>IFERROR('Similarity matrix'!AI38/'Denominator matrix'!$D$22, "NA")</f>
        <v>0.5</v>
      </c>
      <c r="AJ38" s="153">
        <f>IFERROR('Similarity matrix'!AJ38/'Denominator matrix'!$E$22, "NA")</f>
        <v>0.75</v>
      </c>
      <c r="AK38" s="153">
        <f>IFERROR('Similarity matrix'!AK38/'Denominator matrix'!$F$22, "NA")</f>
        <v>1</v>
      </c>
      <c r="AL38" s="155">
        <f>IFERROR('Similarity matrix'!AL38/'Denominator matrix'!$G$22, "NA")</f>
        <v>0</v>
      </c>
      <c r="AM38" s="153">
        <f>IFERROR('Similarity matrix'!AM38/'Denominator matrix'!$H$22, "NA")</f>
        <v>1</v>
      </c>
      <c r="AN38" s="153">
        <f>IFERROR('Similarity matrix'!AN38/'Denominator matrix'!$I$22, "NA")</f>
        <v>1</v>
      </c>
      <c r="AO38" s="153">
        <f>IFERROR('Similarity matrix'!AO38/'Denominator matrix'!$J$22, "NA")</f>
        <v>0.75</v>
      </c>
      <c r="AP38" s="153">
        <f>IFERROR('Similarity matrix'!AP38/'Denominator matrix'!$K$22, "NA")</f>
        <v>1</v>
      </c>
      <c r="AQ38" s="154">
        <f>IFERROR('Similarity matrix'!AQ38/'Denominator matrix'!$B$22, "NA")</f>
        <v>0</v>
      </c>
      <c r="AR38" s="153">
        <f>IFERROR('Similarity matrix'!AR38/'Denominator matrix'!$C$22, "NA")</f>
        <v>0</v>
      </c>
      <c r="AS38" s="153">
        <f>IFERROR('Similarity matrix'!AS38/'Denominator matrix'!$D$22, "NA")</f>
        <v>0</v>
      </c>
      <c r="AT38" s="153">
        <f>IFERROR('Similarity matrix'!AT38/'Denominator matrix'!$E$22, "NA")</f>
        <v>0</v>
      </c>
      <c r="AU38" s="153">
        <f>IFERROR('Similarity matrix'!AU38/'Denominator matrix'!$F$22, "NA")</f>
        <v>0</v>
      </c>
      <c r="AV38" s="156">
        <f>IFERROR('Similarity matrix'!AV38/'Denominator matrix'!$G$22, "NA")</f>
        <v>0</v>
      </c>
      <c r="AW38" s="153">
        <f>IFERROR('Similarity matrix'!AW38/'Denominator matrix'!$H$22, "NA")</f>
        <v>0</v>
      </c>
      <c r="AX38" s="153">
        <f>IFERROR('Similarity matrix'!AX38/'Denominator matrix'!$I$22, "NA")</f>
        <v>0</v>
      </c>
      <c r="AY38" s="153">
        <f>IFERROR('Similarity matrix'!AY38/'Denominator matrix'!$J$22, "NA")</f>
        <v>0</v>
      </c>
      <c r="AZ38" s="153">
        <f>IFERROR('Similarity matrix'!AZ38/'Denominator matrix'!$K$22, "NA")</f>
        <v>0</v>
      </c>
      <c r="BA38" s="154">
        <f>IFERROR('Similarity matrix'!BA38/'Denominator matrix'!$B$22, "NA")</f>
        <v>0</v>
      </c>
      <c r="BB38" s="153">
        <f>IFERROR('Similarity matrix'!BB38/'Denominator matrix'!$C$22, "NA")</f>
        <v>0</v>
      </c>
      <c r="BC38" s="153">
        <f>IFERROR('Similarity matrix'!BC38/'Denominator matrix'!$D$22, "NA")</f>
        <v>0</v>
      </c>
      <c r="BD38" s="153">
        <f>IFERROR('Similarity matrix'!BD38/'Denominator matrix'!$E$22, "NA")</f>
        <v>0</v>
      </c>
      <c r="BE38" s="153">
        <f>IFERROR('Similarity matrix'!BE38/'Denominator matrix'!$F$22, "NA")</f>
        <v>0</v>
      </c>
      <c r="BF38" s="156">
        <f>IFERROR('Similarity matrix'!BF38/'Denominator matrix'!$G$22, "NA")</f>
        <v>0</v>
      </c>
      <c r="BG38" s="153">
        <f>IFERROR('Similarity matrix'!BG38/'Denominator matrix'!$H$22, "NA")</f>
        <v>0</v>
      </c>
      <c r="BH38" s="153">
        <f>IFERROR('Similarity matrix'!BH38/'Denominator matrix'!$I$22, "NA")</f>
        <v>0</v>
      </c>
      <c r="BI38" s="153">
        <f>IFERROR('Similarity matrix'!BI38/'Denominator matrix'!$J$22, "NA")</f>
        <v>0.25</v>
      </c>
      <c r="BJ38" s="153">
        <f>IFERROR('Similarity matrix'!BJ38/'Denominator matrix'!$K$22, "NA")</f>
        <v>0</v>
      </c>
      <c r="BK38" s="154">
        <f>IFERROR('Similarity matrix'!BK38/'Denominator matrix'!$B$22, "NA")</f>
        <v>0</v>
      </c>
      <c r="BL38" s="153">
        <f>IFERROR('Similarity matrix'!BL38/'Denominator matrix'!$C$22, "NA")</f>
        <v>0</v>
      </c>
      <c r="BM38" s="153">
        <f>IFERROR('Similarity matrix'!BM38/'Denominator matrix'!$D$22, "NA")</f>
        <v>0</v>
      </c>
      <c r="BN38" s="153">
        <f>IFERROR('Similarity matrix'!BN38/'Denominator matrix'!$E$22, "NA")</f>
        <v>0</v>
      </c>
      <c r="BO38" s="153">
        <f>IFERROR('Similarity matrix'!BO38/'Denominator matrix'!$F$22, "NA")</f>
        <v>0</v>
      </c>
      <c r="BP38" s="156">
        <f>IFERROR('Similarity matrix'!BP38/'Denominator matrix'!$G$22, "NA")</f>
        <v>0</v>
      </c>
      <c r="BQ38" s="153">
        <f>IFERROR('Similarity matrix'!BQ38/'Denominator matrix'!$H$22, "NA")</f>
        <v>0</v>
      </c>
      <c r="BR38" s="153">
        <f>IFERROR('Similarity matrix'!BR38/'Denominator matrix'!$I$22, "NA")</f>
        <v>0</v>
      </c>
      <c r="BS38" s="153">
        <f>IFERROR('Similarity matrix'!BS38/'Denominator matrix'!$J$22, "NA")</f>
        <v>0</v>
      </c>
      <c r="BT38" s="153">
        <f>IFERROR('Similarity matrix'!BT38/'Denominator matrix'!$K$22, "NA")</f>
        <v>0</v>
      </c>
      <c r="BU38" s="154">
        <f>IFERROR('Similarity matrix'!BU38/'Denominator matrix'!$B$22, "NA")</f>
        <v>0</v>
      </c>
      <c r="BV38" s="153">
        <f>IFERROR('Similarity matrix'!BV38/'Denominator matrix'!$C$22, "NA")</f>
        <v>0</v>
      </c>
      <c r="BW38" s="153">
        <f>IFERROR('Similarity matrix'!BW38/'Denominator matrix'!$D$22, "NA")</f>
        <v>0</v>
      </c>
      <c r="BX38" s="153">
        <f>IFERROR('Similarity matrix'!BX38/'Denominator matrix'!$E$22, "NA")</f>
        <v>0</v>
      </c>
      <c r="BY38" s="153">
        <f>IFERROR('Similarity matrix'!BY38/'Denominator matrix'!$F$22, "NA")</f>
        <v>0</v>
      </c>
      <c r="BZ38" s="156">
        <f>IFERROR('Similarity matrix'!BZ38/'Denominator matrix'!$G$22, "NA")</f>
        <v>0</v>
      </c>
      <c r="CA38" s="153">
        <f>IFERROR('Similarity matrix'!CA38/'Denominator matrix'!$H$22, "NA")</f>
        <v>0</v>
      </c>
      <c r="CB38" s="153">
        <f>IFERROR('Similarity matrix'!CB38/'Denominator matrix'!$I$22, "NA")</f>
        <v>0</v>
      </c>
      <c r="CC38" s="153">
        <f>IFERROR('Similarity matrix'!CC38/'Denominator matrix'!$J$22, "NA")</f>
        <v>0</v>
      </c>
      <c r="CD38" s="153">
        <f>IFERROR('Similarity matrix'!CD38/'Denominator matrix'!$K$22, "NA")</f>
        <v>0</v>
      </c>
      <c r="CE38" s="154">
        <f>IFERROR('Similarity matrix'!CE38/'Denominator matrix'!$B$22, "NA")</f>
        <v>0</v>
      </c>
      <c r="CF38" s="153">
        <f>IFERROR('Similarity matrix'!CF38/'Denominator matrix'!$C$22, "NA")</f>
        <v>0</v>
      </c>
      <c r="CG38" s="153">
        <f>IFERROR('Similarity matrix'!CG38/'Denominator matrix'!$D$22, "NA")</f>
        <v>0</v>
      </c>
      <c r="CH38" s="153">
        <f>IFERROR('Similarity matrix'!CH38/'Denominator matrix'!$E$22, "NA")</f>
        <v>0</v>
      </c>
      <c r="CI38" s="153">
        <f>IFERROR('Similarity matrix'!CI38/'Denominator matrix'!$F$22, "NA")</f>
        <v>0</v>
      </c>
      <c r="CJ38" s="156">
        <f>IFERROR('Similarity matrix'!CJ38/'Denominator matrix'!$G$22, "NA")</f>
        <v>0</v>
      </c>
      <c r="CK38" s="153">
        <f>IFERROR('Similarity matrix'!CK38/'Denominator matrix'!$H$22, "NA")</f>
        <v>0</v>
      </c>
      <c r="CL38" s="153">
        <f>IFERROR('Similarity matrix'!CL38/'Denominator matrix'!$I$22, "NA")</f>
        <v>0</v>
      </c>
      <c r="CM38" s="153">
        <f>IFERROR('Similarity matrix'!CM38/'Denominator matrix'!$J$22, "NA")</f>
        <v>0</v>
      </c>
      <c r="CN38" s="153">
        <f>IFERROR('Similarity matrix'!CN38/'Denominator matrix'!$K$22, "NA")</f>
        <v>0</v>
      </c>
      <c r="CO38" s="154">
        <f>IFERROR('Similarity matrix'!CO38/'Denominator matrix'!$B$22, "NA")</f>
        <v>0</v>
      </c>
      <c r="CP38" s="153">
        <f>IFERROR('Similarity matrix'!CP38/'Denominator matrix'!$C$22, "NA")</f>
        <v>0</v>
      </c>
      <c r="CQ38" s="153">
        <f>IFERROR('Similarity matrix'!CQ38/'Denominator matrix'!$D$22, "NA")</f>
        <v>0</v>
      </c>
      <c r="CR38" s="153">
        <f>IFERROR('Similarity matrix'!CR38/'Denominator matrix'!$E$22, "NA")</f>
        <v>0</v>
      </c>
      <c r="CS38" s="153">
        <f>IFERROR('Similarity matrix'!CS38/'Denominator matrix'!$F$22, "NA")</f>
        <v>0</v>
      </c>
      <c r="CT38" s="156">
        <f>IFERROR('Similarity matrix'!CT38/'Denominator matrix'!$G$22, "NA")</f>
        <v>0</v>
      </c>
      <c r="CU38" s="153">
        <f>IFERROR('Similarity matrix'!CU38/'Denominator matrix'!$H$22, "NA")</f>
        <v>0</v>
      </c>
      <c r="CV38" s="153">
        <f>IFERROR('Similarity matrix'!CV38/'Denominator matrix'!$I$22, "NA")</f>
        <v>0</v>
      </c>
      <c r="CW38" s="153">
        <f>IFERROR('Similarity matrix'!CW38/'Denominator matrix'!$J$22, "NA")</f>
        <v>0</v>
      </c>
      <c r="CX38" s="153">
        <f>IFERROR('Similarity matrix'!CX38/'Denominator matrix'!$K$22, "NA")</f>
        <v>0</v>
      </c>
    </row>
    <row r="39" ht="35.25" customHeight="1">
      <c r="B39" s="124">
        <v>45842.0</v>
      </c>
      <c r="C39" s="154">
        <f>IFERROR('Similarity matrix'!C39/'Denominator matrix'!$B$23, "NA")</f>
        <v>0</v>
      </c>
      <c r="D39" s="153">
        <f>IFERROR('Similarity matrix'!D39/'Denominator matrix'!$C$23, "NA")</f>
        <v>0</v>
      </c>
      <c r="E39" s="153">
        <f>IFERROR('Similarity matrix'!E39/'Denominator matrix'!$D$23, "NA")</f>
        <v>0</v>
      </c>
      <c r="F39" s="153">
        <f>IFERROR('Similarity matrix'!F39/'Denominator matrix'!$E$23, "NA")</f>
        <v>0</v>
      </c>
      <c r="G39" s="153">
        <f>IFERROR('Similarity matrix'!G39/'Denominator matrix'!$F$23, "NA")</f>
        <v>0</v>
      </c>
      <c r="H39" s="153">
        <f>IFERROR('Similarity matrix'!H39/'Denominator matrix'!$G$23, "NA")</f>
        <v>0</v>
      </c>
      <c r="I39" s="156">
        <f>IFERROR('Similarity matrix'!I39/'Denominator matrix'!$H$23, "NA")</f>
        <v>0</v>
      </c>
      <c r="J39" s="153">
        <f>IFERROR('Similarity matrix'!J39/'Denominator matrix'!$I$23, "NA")</f>
        <v>0.25</v>
      </c>
      <c r="K39" s="153">
        <f>IFERROR('Similarity matrix'!K39/'Denominator matrix'!$J$23, "NA")</f>
        <v>0</v>
      </c>
      <c r="L39" s="153">
        <f>IFERROR('Similarity matrix'!L39/'Denominator matrix'!$K$23, "NA")</f>
        <v>0.25</v>
      </c>
      <c r="M39" s="154">
        <f>IFERROR('Similarity matrix'!M39/'Denominator matrix'!$B$23, "NA")</f>
        <v>0</v>
      </c>
      <c r="N39" s="153">
        <f>IFERROR('Similarity matrix'!N39/'Denominator matrix'!$C$23, "NA")</f>
        <v>0</v>
      </c>
      <c r="O39" s="153">
        <f>IFERROR('Similarity matrix'!O39/'Denominator matrix'!$D$23, "NA")</f>
        <v>0</v>
      </c>
      <c r="P39" s="153">
        <f>IFERROR('Similarity matrix'!P39/'Denominator matrix'!$E$23, "NA")</f>
        <v>0</v>
      </c>
      <c r="Q39" s="153">
        <f>IFERROR('Similarity matrix'!Q39/'Denominator matrix'!$F$23, "NA")</f>
        <v>0</v>
      </c>
      <c r="R39" s="153">
        <f>IFERROR('Similarity matrix'!R39/'Denominator matrix'!$G$23, "NA")</f>
        <v>0</v>
      </c>
      <c r="S39" s="156">
        <f>IFERROR('Similarity matrix'!S39/'Denominator matrix'!$H$23, "NA")</f>
        <v>0</v>
      </c>
      <c r="T39" s="153">
        <f>IFERROR('Similarity matrix'!T39/'Denominator matrix'!$I$23, "NA")</f>
        <v>0</v>
      </c>
      <c r="U39" s="153">
        <f>IFERROR('Similarity matrix'!U39/'Denominator matrix'!$J$23, "NA")</f>
        <v>0</v>
      </c>
      <c r="V39" s="153">
        <f>IFERROR('Similarity matrix'!V39/'Denominator matrix'!$K$23, "NA")</f>
        <v>0</v>
      </c>
      <c r="W39" s="154">
        <f>IFERROR('Similarity matrix'!W39/'Denominator matrix'!$B$23, "NA")</f>
        <v>0</v>
      </c>
      <c r="X39" s="153">
        <f>IFERROR('Similarity matrix'!X39/'Denominator matrix'!$C$23, "NA")</f>
        <v>0</v>
      </c>
      <c r="Y39" s="153">
        <f>IFERROR('Similarity matrix'!Y39/'Denominator matrix'!$D$23, "NA")</f>
        <v>0</v>
      </c>
      <c r="Z39" s="153">
        <f>IFERROR('Similarity matrix'!Z39/'Denominator matrix'!$E$23, "NA")</f>
        <v>0</v>
      </c>
      <c r="AA39" s="153">
        <f>IFERROR('Similarity matrix'!AA39/'Denominator matrix'!$F$23, "NA")</f>
        <v>0</v>
      </c>
      <c r="AB39" s="153">
        <f>IFERROR('Similarity matrix'!AB39/'Denominator matrix'!$G$23, "NA")</f>
        <v>0</v>
      </c>
      <c r="AC39" s="156">
        <f>IFERROR('Similarity matrix'!AC39/'Denominator matrix'!$H$23, "NA")</f>
        <v>0</v>
      </c>
      <c r="AD39" s="153">
        <f>IFERROR('Similarity matrix'!AD39/'Denominator matrix'!$I$23, "NA")</f>
        <v>0</v>
      </c>
      <c r="AE39" s="153">
        <f>IFERROR('Similarity matrix'!AE39/'Denominator matrix'!$J$23, "NA")</f>
        <v>0</v>
      </c>
      <c r="AF39" s="153">
        <f>IFERROR('Similarity matrix'!AF39/'Denominator matrix'!$K$23, "NA")</f>
        <v>0</v>
      </c>
      <c r="AG39" s="154">
        <f>IFERROR('Similarity matrix'!AG39/'Denominator matrix'!$B$23, "NA")</f>
        <v>0.5</v>
      </c>
      <c r="AH39" s="153">
        <f>IFERROR('Similarity matrix'!AH39/'Denominator matrix'!$C$23, "NA")</f>
        <v>0.6666666667</v>
      </c>
      <c r="AI39" s="153">
        <f>IFERROR('Similarity matrix'!AI39/'Denominator matrix'!$D$23, "NA")</f>
        <v>0.375</v>
      </c>
      <c r="AJ39" s="153">
        <f>IFERROR('Similarity matrix'!AJ39/'Denominator matrix'!$E$23, "NA")</f>
        <v>1</v>
      </c>
      <c r="AK39" s="153">
        <f>IFERROR('Similarity matrix'!AK39/'Denominator matrix'!$F$23, "NA")</f>
        <v>0.75</v>
      </c>
      <c r="AL39" s="153">
        <f>IFERROR('Similarity matrix'!AL39/'Denominator matrix'!$G$23, "NA")</f>
        <v>1</v>
      </c>
      <c r="AM39" s="155">
        <f>IFERROR('Similarity matrix'!AM39/'Denominator matrix'!$H$23, "NA")</f>
        <v>0</v>
      </c>
      <c r="AN39" s="153">
        <f>IFERROR('Similarity matrix'!AN39/'Denominator matrix'!$I$23, "NA")</f>
        <v>0.75</v>
      </c>
      <c r="AO39" s="153">
        <f>IFERROR('Similarity matrix'!AO39/'Denominator matrix'!$J$23, "NA")</f>
        <v>0.25</v>
      </c>
      <c r="AP39" s="153">
        <f>IFERROR('Similarity matrix'!AP39/'Denominator matrix'!$K$23, "NA")</f>
        <v>0.5</v>
      </c>
      <c r="AQ39" s="154">
        <f>IFERROR('Similarity matrix'!AQ39/'Denominator matrix'!$B$23, "NA")</f>
        <v>0</v>
      </c>
      <c r="AR39" s="153">
        <f>IFERROR('Similarity matrix'!AR39/'Denominator matrix'!$C$23, "NA")</f>
        <v>0</v>
      </c>
      <c r="AS39" s="153">
        <f>IFERROR('Similarity matrix'!AS39/'Denominator matrix'!$D$23, "NA")</f>
        <v>0</v>
      </c>
      <c r="AT39" s="153">
        <f>IFERROR('Similarity matrix'!AT39/'Denominator matrix'!$E$23, "NA")</f>
        <v>0</v>
      </c>
      <c r="AU39" s="153">
        <f>IFERROR('Similarity matrix'!AU39/'Denominator matrix'!$F$23, "NA")</f>
        <v>0</v>
      </c>
      <c r="AV39" s="153">
        <f>IFERROR('Similarity matrix'!AV39/'Denominator matrix'!$G$23, "NA")</f>
        <v>0</v>
      </c>
      <c r="AW39" s="156">
        <f>IFERROR('Similarity matrix'!AW39/'Denominator matrix'!$H$23, "NA")</f>
        <v>0.0625</v>
      </c>
      <c r="AX39" s="153">
        <f>IFERROR('Similarity matrix'!AX39/'Denominator matrix'!$I$23, "NA")</f>
        <v>0</v>
      </c>
      <c r="AY39" s="153">
        <f>IFERROR('Similarity matrix'!AY39/'Denominator matrix'!$J$23, "NA")</f>
        <v>0</v>
      </c>
      <c r="AZ39" s="153">
        <f>IFERROR('Similarity matrix'!AZ39/'Denominator matrix'!$K$23, "NA")</f>
        <v>0</v>
      </c>
      <c r="BA39" s="154">
        <f>IFERROR('Similarity matrix'!BA39/'Denominator matrix'!$B$23, "NA")</f>
        <v>0</v>
      </c>
      <c r="BB39" s="153">
        <f>IFERROR('Similarity matrix'!BB39/'Denominator matrix'!$C$23, "NA")</f>
        <v>0.1666666667</v>
      </c>
      <c r="BC39" s="153">
        <f>IFERROR('Similarity matrix'!BC39/'Denominator matrix'!$D$23, "NA")</f>
        <v>0</v>
      </c>
      <c r="BD39" s="153">
        <f>IFERROR('Similarity matrix'!BD39/'Denominator matrix'!$E$23, "NA")</f>
        <v>0</v>
      </c>
      <c r="BE39" s="153">
        <f>IFERROR('Similarity matrix'!BE39/'Denominator matrix'!$F$23, "NA")</f>
        <v>0</v>
      </c>
      <c r="BF39" s="153">
        <f>IFERROR('Similarity matrix'!BF39/'Denominator matrix'!$G$23, "NA")</f>
        <v>0</v>
      </c>
      <c r="BG39" s="156">
        <f>IFERROR('Similarity matrix'!BG39/'Denominator matrix'!$H$23, "NA")</f>
        <v>0.0625</v>
      </c>
      <c r="BH39" s="153">
        <f>IFERROR('Similarity matrix'!BH39/'Denominator matrix'!$I$23, "NA")</f>
        <v>0.25</v>
      </c>
      <c r="BI39" s="153">
        <f>IFERROR('Similarity matrix'!BI39/'Denominator matrix'!$J$23, "NA")</f>
        <v>0.25</v>
      </c>
      <c r="BJ39" s="153">
        <f>IFERROR('Similarity matrix'!BJ39/'Denominator matrix'!$K$23, "NA")</f>
        <v>0.25</v>
      </c>
      <c r="BK39" s="154">
        <f>IFERROR('Similarity matrix'!BK39/'Denominator matrix'!$B$23, "NA")</f>
        <v>0</v>
      </c>
      <c r="BL39" s="153">
        <f>IFERROR('Similarity matrix'!BL39/'Denominator matrix'!$C$23, "NA")</f>
        <v>0</v>
      </c>
      <c r="BM39" s="153">
        <f>IFERROR('Similarity matrix'!BM39/'Denominator matrix'!$D$23, "NA")</f>
        <v>0</v>
      </c>
      <c r="BN39" s="153">
        <f>IFERROR('Similarity matrix'!BN39/'Denominator matrix'!$E$23, "NA")</f>
        <v>0</v>
      </c>
      <c r="BO39" s="153">
        <f>IFERROR('Similarity matrix'!BO39/'Denominator matrix'!$F$23, "NA")</f>
        <v>0</v>
      </c>
      <c r="BP39" s="153">
        <f>IFERROR('Similarity matrix'!BP39/'Denominator matrix'!$G$23, "NA")</f>
        <v>0</v>
      </c>
      <c r="BQ39" s="156">
        <f>IFERROR('Similarity matrix'!BQ39/'Denominator matrix'!$H$23, "NA")</f>
        <v>0</v>
      </c>
      <c r="BR39" s="153">
        <f>IFERROR('Similarity matrix'!BR39/'Denominator matrix'!$I$23, "NA")</f>
        <v>0</v>
      </c>
      <c r="BS39" s="153">
        <f>IFERROR('Similarity matrix'!BS39/'Denominator matrix'!$J$23, "NA")</f>
        <v>0</v>
      </c>
      <c r="BT39" s="153">
        <f>IFERROR('Similarity matrix'!BT39/'Denominator matrix'!$K$23, "NA")</f>
        <v>0</v>
      </c>
      <c r="BU39" s="154">
        <f>IFERROR('Similarity matrix'!BU39/'Denominator matrix'!$B$23, "NA")</f>
        <v>0</v>
      </c>
      <c r="BV39" s="153">
        <f>IFERROR('Similarity matrix'!BV39/'Denominator matrix'!$C$23, "NA")</f>
        <v>0</v>
      </c>
      <c r="BW39" s="153">
        <f>IFERROR('Similarity matrix'!BW39/'Denominator matrix'!$D$23, "NA")</f>
        <v>0</v>
      </c>
      <c r="BX39" s="153">
        <f>IFERROR('Similarity matrix'!BX39/'Denominator matrix'!$E$23, "NA")</f>
        <v>0</v>
      </c>
      <c r="BY39" s="153">
        <f>IFERROR('Similarity matrix'!BY39/'Denominator matrix'!$F$23, "NA")</f>
        <v>0</v>
      </c>
      <c r="BZ39" s="153">
        <f>IFERROR('Similarity matrix'!BZ39/'Denominator matrix'!$G$23, "NA")</f>
        <v>0</v>
      </c>
      <c r="CA39" s="156">
        <f>IFERROR('Similarity matrix'!CA39/'Denominator matrix'!$H$23, "NA")</f>
        <v>0</v>
      </c>
      <c r="CB39" s="153">
        <f>IFERROR('Similarity matrix'!CB39/'Denominator matrix'!$I$23, "NA")</f>
        <v>0</v>
      </c>
      <c r="CC39" s="153">
        <f>IFERROR('Similarity matrix'!CC39/'Denominator matrix'!$J$23, "NA")</f>
        <v>0</v>
      </c>
      <c r="CD39" s="153">
        <f>IFERROR('Similarity matrix'!CD39/'Denominator matrix'!$K$23, "NA")</f>
        <v>0</v>
      </c>
      <c r="CE39" s="154">
        <f>IFERROR('Similarity matrix'!CE39/'Denominator matrix'!$B$23, "NA")</f>
        <v>0</v>
      </c>
      <c r="CF39" s="153">
        <f>IFERROR('Similarity matrix'!CF39/'Denominator matrix'!$C$23, "NA")</f>
        <v>0</v>
      </c>
      <c r="CG39" s="153">
        <f>IFERROR('Similarity matrix'!CG39/'Denominator matrix'!$D$23, "NA")</f>
        <v>0</v>
      </c>
      <c r="CH39" s="153">
        <f>IFERROR('Similarity matrix'!CH39/'Denominator matrix'!$E$23, "NA")</f>
        <v>0</v>
      </c>
      <c r="CI39" s="153">
        <f>IFERROR('Similarity matrix'!CI39/'Denominator matrix'!$F$23, "NA")</f>
        <v>0</v>
      </c>
      <c r="CJ39" s="153">
        <f>IFERROR('Similarity matrix'!CJ39/'Denominator matrix'!$G$23, "NA")</f>
        <v>0</v>
      </c>
      <c r="CK39" s="156">
        <f>IFERROR('Similarity matrix'!CK39/'Denominator matrix'!$H$23, "NA")</f>
        <v>0</v>
      </c>
      <c r="CL39" s="153">
        <f>IFERROR('Similarity matrix'!CL39/'Denominator matrix'!$I$23, "NA")</f>
        <v>0</v>
      </c>
      <c r="CM39" s="153">
        <f>IFERROR('Similarity matrix'!CM39/'Denominator matrix'!$J$23, "NA")</f>
        <v>0</v>
      </c>
      <c r="CN39" s="153">
        <f>IFERROR('Similarity matrix'!CN39/'Denominator matrix'!$K$23, "NA")</f>
        <v>0</v>
      </c>
      <c r="CO39" s="154">
        <f>IFERROR('Similarity matrix'!CO39/'Denominator matrix'!$B$23, "NA")</f>
        <v>0</v>
      </c>
      <c r="CP39" s="153">
        <f>IFERROR('Similarity matrix'!CP39/'Denominator matrix'!$C$23, "NA")</f>
        <v>0</v>
      </c>
      <c r="CQ39" s="153">
        <f>IFERROR('Similarity matrix'!CQ39/'Denominator matrix'!$D$23, "NA")</f>
        <v>0</v>
      </c>
      <c r="CR39" s="153">
        <f>IFERROR('Similarity matrix'!CR39/'Denominator matrix'!$E$23, "NA")</f>
        <v>0</v>
      </c>
      <c r="CS39" s="153">
        <f>IFERROR('Similarity matrix'!CS39/'Denominator matrix'!$F$23, "NA")</f>
        <v>0</v>
      </c>
      <c r="CT39" s="153">
        <f>IFERROR('Similarity matrix'!CT39/'Denominator matrix'!$G$23, "NA")</f>
        <v>0</v>
      </c>
      <c r="CU39" s="156">
        <f>IFERROR('Similarity matrix'!CU39/'Denominator matrix'!$H$23, "NA")</f>
        <v>0</v>
      </c>
      <c r="CV39" s="153">
        <f>IFERROR('Similarity matrix'!CV39/'Denominator matrix'!$I$23, "NA")</f>
        <v>0</v>
      </c>
      <c r="CW39" s="153">
        <f>IFERROR('Similarity matrix'!CW39/'Denominator matrix'!$J$23, "NA")</f>
        <v>0</v>
      </c>
      <c r="CX39" s="153">
        <f>IFERROR('Similarity matrix'!CX39/'Denominator matrix'!$K$23, "NA")</f>
        <v>0</v>
      </c>
    </row>
    <row r="40" ht="35.25" customHeight="1">
      <c r="B40" s="124">
        <v>45873.0</v>
      </c>
      <c r="C40" s="154">
        <f>IFERROR('Similarity matrix'!C40/'Denominator matrix'!$B$24, "NA")</f>
        <v>0</v>
      </c>
      <c r="D40" s="153">
        <f>IFERROR('Similarity matrix'!D40/'Denominator matrix'!$C$24, "NA")</f>
        <v>0</v>
      </c>
      <c r="E40" s="153">
        <f>IFERROR('Similarity matrix'!E40/'Denominator matrix'!$D$24, "NA")</f>
        <v>0</v>
      </c>
      <c r="F40" s="153">
        <f>IFERROR('Similarity matrix'!F40/'Denominator matrix'!$E$24, "NA")</f>
        <v>0</v>
      </c>
      <c r="G40" s="153">
        <f>IFERROR('Similarity matrix'!G40/'Denominator matrix'!$F$24, "NA")</f>
        <v>0</v>
      </c>
      <c r="H40" s="153">
        <f>IFERROR('Similarity matrix'!H40/'Denominator matrix'!$G$24, "NA")</f>
        <v>0</v>
      </c>
      <c r="I40" s="153">
        <f>IFERROR('Similarity matrix'!I40/'Denominator matrix'!$H$24, "NA")</f>
        <v>0</v>
      </c>
      <c r="J40" s="156">
        <f>IFERROR('Similarity matrix'!J40/'Denominator matrix'!$I$24, "NA")</f>
        <v>0</v>
      </c>
      <c r="K40" s="153">
        <f>IFERROR('Similarity matrix'!K40/'Denominator matrix'!$J$24, "NA")</f>
        <v>0</v>
      </c>
      <c r="L40" s="153">
        <f>IFERROR('Similarity matrix'!L40/'Denominator matrix'!$K$24, "NA")</f>
        <v>0</v>
      </c>
      <c r="M40" s="154">
        <f>IFERROR('Similarity matrix'!M40/'Denominator matrix'!$B$24, "NA")</f>
        <v>0</v>
      </c>
      <c r="N40" s="153">
        <f>IFERROR('Similarity matrix'!N40/'Denominator matrix'!$C$24, "NA")</f>
        <v>0</v>
      </c>
      <c r="O40" s="153">
        <f>IFERROR('Similarity matrix'!O40/'Denominator matrix'!$D$24, "NA")</f>
        <v>0</v>
      </c>
      <c r="P40" s="153">
        <f>IFERROR('Similarity matrix'!P40/'Denominator matrix'!$E$24, "NA")</f>
        <v>0</v>
      </c>
      <c r="Q40" s="153">
        <f>IFERROR('Similarity matrix'!Q40/'Denominator matrix'!$F$24, "NA")</f>
        <v>0</v>
      </c>
      <c r="R40" s="153">
        <f>IFERROR('Similarity matrix'!R40/'Denominator matrix'!$G$24, "NA")</f>
        <v>0</v>
      </c>
      <c r="S40" s="153">
        <f>IFERROR('Similarity matrix'!S40/'Denominator matrix'!$H$24, "NA")</f>
        <v>0</v>
      </c>
      <c r="T40" s="156">
        <f>IFERROR('Similarity matrix'!T40/'Denominator matrix'!$I$24, "NA")</f>
        <v>0</v>
      </c>
      <c r="U40" s="153">
        <f>IFERROR('Similarity matrix'!U40/'Denominator matrix'!$J$24, "NA")</f>
        <v>0</v>
      </c>
      <c r="V40" s="153">
        <f>IFERROR('Similarity matrix'!V40/'Denominator matrix'!$K$24, "NA")</f>
        <v>0</v>
      </c>
      <c r="W40" s="154">
        <f>IFERROR('Similarity matrix'!W40/'Denominator matrix'!$B$24, "NA")</f>
        <v>0</v>
      </c>
      <c r="X40" s="153">
        <f>IFERROR('Similarity matrix'!X40/'Denominator matrix'!$C$24, "NA")</f>
        <v>0</v>
      </c>
      <c r="Y40" s="153">
        <f>IFERROR('Similarity matrix'!Y40/'Denominator matrix'!$D$24, "NA")</f>
        <v>0</v>
      </c>
      <c r="Z40" s="153">
        <f>IFERROR('Similarity matrix'!Z40/'Denominator matrix'!$E$24, "NA")</f>
        <v>0</v>
      </c>
      <c r="AA40" s="153">
        <f>IFERROR('Similarity matrix'!AA40/'Denominator matrix'!$F$24, "NA")</f>
        <v>0</v>
      </c>
      <c r="AB40" s="153">
        <f>IFERROR('Similarity matrix'!AB40/'Denominator matrix'!$G$24, "NA")</f>
        <v>0</v>
      </c>
      <c r="AC40" s="153">
        <f>IFERROR('Similarity matrix'!AC40/'Denominator matrix'!$H$24, "NA")</f>
        <v>0</v>
      </c>
      <c r="AD40" s="156">
        <f>IFERROR('Similarity matrix'!AD40/'Denominator matrix'!$I$24, "NA")</f>
        <v>0</v>
      </c>
      <c r="AE40" s="153">
        <f>IFERROR('Similarity matrix'!AE40/'Denominator matrix'!$J$24, "NA")</f>
        <v>0</v>
      </c>
      <c r="AF40" s="153">
        <f>IFERROR('Similarity matrix'!AF40/'Denominator matrix'!$K$24, "NA")</f>
        <v>0</v>
      </c>
      <c r="AG40" s="154">
        <f>IFERROR('Similarity matrix'!AG40/'Denominator matrix'!$B$24, "NA")</f>
        <v>0.75</v>
      </c>
      <c r="AH40" s="153">
        <f>IFERROR('Similarity matrix'!AH40/'Denominator matrix'!$C$24, "NA")</f>
        <v>0.75</v>
      </c>
      <c r="AI40" s="153">
        <f>IFERROR('Similarity matrix'!AI40/'Denominator matrix'!$D$24, "NA")</f>
        <v>0.8333333333</v>
      </c>
      <c r="AJ40" s="153">
        <f>IFERROR('Similarity matrix'!AJ40/'Denominator matrix'!$E$24, "NA")</f>
        <v>1</v>
      </c>
      <c r="AK40" s="153">
        <f>IFERROR('Similarity matrix'!AK40/'Denominator matrix'!$F$24, "NA")</f>
        <v>0.9</v>
      </c>
      <c r="AL40" s="153">
        <f>IFERROR('Similarity matrix'!AL40/'Denominator matrix'!$G$24, "NA")</f>
        <v>1</v>
      </c>
      <c r="AM40" s="153">
        <f>IFERROR('Similarity matrix'!AM40/'Denominator matrix'!$H$24, "NA")</f>
        <v>0.75</v>
      </c>
      <c r="AN40" s="155">
        <f>IFERROR('Similarity matrix'!AN40/'Denominator matrix'!$I$24, "NA")</f>
        <v>0</v>
      </c>
      <c r="AO40" s="153">
        <f>IFERROR('Similarity matrix'!AO40/'Denominator matrix'!$J$24, "NA")</f>
        <v>0.75</v>
      </c>
      <c r="AP40" s="153">
        <f>IFERROR('Similarity matrix'!AP40/'Denominator matrix'!$K$24, "NA")</f>
        <v>0.8333333333</v>
      </c>
      <c r="AQ40" s="154">
        <f>IFERROR('Similarity matrix'!AQ40/'Denominator matrix'!$B$24, "NA")</f>
        <v>0</v>
      </c>
      <c r="AR40" s="153">
        <f>IFERROR('Similarity matrix'!AR40/'Denominator matrix'!$C$24, "NA")</f>
        <v>0</v>
      </c>
      <c r="AS40" s="153">
        <f>IFERROR('Similarity matrix'!AS40/'Denominator matrix'!$D$24, "NA")</f>
        <v>0</v>
      </c>
      <c r="AT40" s="153">
        <f>IFERROR('Similarity matrix'!AT40/'Denominator matrix'!$E$24, "NA")</f>
        <v>0</v>
      </c>
      <c r="AU40" s="153">
        <f>IFERROR('Similarity matrix'!AU40/'Denominator matrix'!$F$24, "NA")</f>
        <v>0</v>
      </c>
      <c r="AV40" s="153">
        <f>IFERROR('Similarity matrix'!AV40/'Denominator matrix'!$G$24, "NA")</f>
        <v>0</v>
      </c>
      <c r="AW40" s="153">
        <f>IFERROR('Similarity matrix'!AW40/'Denominator matrix'!$H$24, "NA")</f>
        <v>0</v>
      </c>
      <c r="AX40" s="156">
        <f>IFERROR('Similarity matrix'!AX40/'Denominator matrix'!$I$24, "NA")</f>
        <v>0</v>
      </c>
      <c r="AY40" s="153">
        <f>IFERROR('Similarity matrix'!AY40/'Denominator matrix'!$J$24, "NA")</f>
        <v>0</v>
      </c>
      <c r="AZ40" s="153">
        <f>IFERROR('Similarity matrix'!AZ40/'Denominator matrix'!$K$24, "NA")</f>
        <v>0.1666666667</v>
      </c>
      <c r="BA40" s="154">
        <f>IFERROR('Similarity matrix'!BA40/'Denominator matrix'!$B$24, "NA")</f>
        <v>0</v>
      </c>
      <c r="BB40" s="153">
        <f>IFERROR('Similarity matrix'!BB40/'Denominator matrix'!$C$24, "NA")</f>
        <v>0</v>
      </c>
      <c r="BC40" s="153">
        <f>IFERROR('Similarity matrix'!BC40/'Denominator matrix'!$D$24, "NA")</f>
        <v>0</v>
      </c>
      <c r="BD40" s="153">
        <f>IFERROR('Similarity matrix'!BD40/'Denominator matrix'!$E$24, "NA")</f>
        <v>0</v>
      </c>
      <c r="BE40" s="153">
        <f>IFERROR('Similarity matrix'!BE40/'Denominator matrix'!$F$24, "NA")</f>
        <v>0</v>
      </c>
      <c r="BF40" s="153">
        <f>IFERROR('Similarity matrix'!BF40/'Denominator matrix'!$G$24, "NA")</f>
        <v>0</v>
      </c>
      <c r="BG40" s="153">
        <f>IFERROR('Similarity matrix'!BG40/'Denominator matrix'!$H$24, "NA")</f>
        <v>0</v>
      </c>
      <c r="BH40" s="156">
        <f>IFERROR('Similarity matrix'!BH40/'Denominator matrix'!$I$24, "NA")</f>
        <v>0</v>
      </c>
      <c r="BI40" s="153">
        <f>IFERROR('Similarity matrix'!BI40/'Denominator matrix'!$J$24, "NA")</f>
        <v>0</v>
      </c>
      <c r="BJ40" s="153">
        <f>IFERROR('Similarity matrix'!BJ40/'Denominator matrix'!$K$24, "NA")</f>
        <v>0</v>
      </c>
      <c r="BK40" s="154">
        <f>IFERROR('Similarity matrix'!BK40/'Denominator matrix'!$B$24, "NA")</f>
        <v>0</v>
      </c>
      <c r="BL40" s="153">
        <f>IFERROR('Similarity matrix'!BL40/'Denominator matrix'!$C$24, "NA")</f>
        <v>0</v>
      </c>
      <c r="BM40" s="153">
        <f>IFERROR('Similarity matrix'!BM40/'Denominator matrix'!$D$24, "NA")</f>
        <v>0</v>
      </c>
      <c r="BN40" s="153">
        <f>IFERROR('Similarity matrix'!BN40/'Denominator matrix'!$E$24, "NA")</f>
        <v>0</v>
      </c>
      <c r="BO40" s="153">
        <f>IFERROR('Similarity matrix'!BO40/'Denominator matrix'!$F$24, "NA")</f>
        <v>0</v>
      </c>
      <c r="BP40" s="153">
        <f>IFERROR('Similarity matrix'!BP40/'Denominator matrix'!$G$24, "NA")</f>
        <v>0</v>
      </c>
      <c r="BQ40" s="153">
        <f>IFERROR('Similarity matrix'!BQ40/'Denominator matrix'!$H$24, "NA")</f>
        <v>0</v>
      </c>
      <c r="BR40" s="156">
        <f>IFERROR('Similarity matrix'!BR40/'Denominator matrix'!$I$24, "NA")</f>
        <v>0</v>
      </c>
      <c r="BS40" s="153">
        <f>IFERROR('Similarity matrix'!BS40/'Denominator matrix'!$J$24, "NA")</f>
        <v>0</v>
      </c>
      <c r="BT40" s="153">
        <f>IFERROR('Similarity matrix'!BT40/'Denominator matrix'!$K$24, "NA")</f>
        <v>0</v>
      </c>
      <c r="BU40" s="154">
        <f>IFERROR('Similarity matrix'!BU40/'Denominator matrix'!$B$24, "NA")</f>
        <v>0</v>
      </c>
      <c r="BV40" s="153">
        <f>IFERROR('Similarity matrix'!BV40/'Denominator matrix'!$C$24, "NA")</f>
        <v>0</v>
      </c>
      <c r="BW40" s="153">
        <f>IFERROR('Similarity matrix'!BW40/'Denominator matrix'!$D$24, "NA")</f>
        <v>0</v>
      </c>
      <c r="BX40" s="153">
        <f>IFERROR('Similarity matrix'!BX40/'Denominator matrix'!$E$24, "NA")</f>
        <v>0</v>
      </c>
      <c r="BY40" s="153">
        <f>IFERROR('Similarity matrix'!BY40/'Denominator matrix'!$F$24, "NA")</f>
        <v>0</v>
      </c>
      <c r="BZ40" s="153">
        <f>IFERROR('Similarity matrix'!BZ40/'Denominator matrix'!$G$24, "NA")</f>
        <v>0</v>
      </c>
      <c r="CA40" s="153">
        <f>IFERROR('Similarity matrix'!CA40/'Denominator matrix'!$H$24, "NA")</f>
        <v>0</v>
      </c>
      <c r="CB40" s="156">
        <f>IFERROR('Similarity matrix'!CB40/'Denominator matrix'!$I$24, "NA")</f>
        <v>0</v>
      </c>
      <c r="CC40" s="153">
        <f>IFERROR('Similarity matrix'!CC40/'Denominator matrix'!$J$24, "NA")</f>
        <v>0</v>
      </c>
      <c r="CD40" s="153">
        <f>IFERROR('Similarity matrix'!CD40/'Denominator matrix'!$K$24, "NA")</f>
        <v>0</v>
      </c>
      <c r="CE40" s="154">
        <f>IFERROR('Similarity matrix'!CE40/'Denominator matrix'!$B$24, "NA")</f>
        <v>0</v>
      </c>
      <c r="CF40" s="153">
        <f>IFERROR('Similarity matrix'!CF40/'Denominator matrix'!$C$24, "NA")</f>
        <v>0</v>
      </c>
      <c r="CG40" s="153">
        <f>IFERROR('Similarity matrix'!CG40/'Denominator matrix'!$D$24, "NA")</f>
        <v>0</v>
      </c>
      <c r="CH40" s="153">
        <f>IFERROR('Similarity matrix'!CH40/'Denominator matrix'!$E$24, "NA")</f>
        <v>0</v>
      </c>
      <c r="CI40" s="153">
        <f>IFERROR('Similarity matrix'!CI40/'Denominator matrix'!$F$24, "NA")</f>
        <v>0</v>
      </c>
      <c r="CJ40" s="153">
        <f>IFERROR('Similarity matrix'!CJ40/'Denominator matrix'!$G$24, "NA")</f>
        <v>0</v>
      </c>
      <c r="CK40" s="153">
        <f>IFERROR('Similarity matrix'!CK40/'Denominator matrix'!$H$24, "NA")</f>
        <v>0</v>
      </c>
      <c r="CL40" s="156">
        <f>IFERROR('Similarity matrix'!CL40/'Denominator matrix'!$I$24, "NA")</f>
        <v>0</v>
      </c>
      <c r="CM40" s="153">
        <f>IFERROR('Similarity matrix'!CM40/'Denominator matrix'!$J$24, "NA")</f>
        <v>0</v>
      </c>
      <c r="CN40" s="153">
        <f>IFERROR('Similarity matrix'!CN40/'Denominator matrix'!$K$24, "NA")</f>
        <v>0</v>
      </c>
      <c r="CO40" s="154">
        <f>IFERROR('Similarity matrix'!CO40/'Denominator matrix'!$B$24, "NA")</f>
        <v>0</v>
      </c>
      <c r="CP40" s="153">
        <f>IFERROR('Similarity matrix'!CP40/'Denominator matrix'!$C$24, "NA")</f>
        <v>0</v>
      </c>
      <c r="CQ40" s="153">
        <f>IFERROR('Similarity matrix'!CQ40/'Denominator matrix'!$D$24, "NA")</f>
        <v>0</v>
      </c>
      <c r="CR40" s="153">
        <f>IFERROR('Similarity matrix'!CR40/'Denominator matrix'!$E$24, "NA")</f>
        <v>0</v>
      </c>
      <c r="CS40" s="153">
        <f>IFERROR('Similarity matrix'!CS40/'Denominator matrix'!$F$24, "NA")</f>
        <v>0</v>
      </c>
      <c r="CT40" s="153">
        <f>IFERROR('Similarity matrix'!CT40/'Denominator matrix'!$G$24, "NA")</f>
        <v>0</v>
      </c>
      <c r="CU40" s="153">
        <f>IFERROR('Similarity matrix'!CU40/'Denominator matrix'!$H$24, "NA")</f>
        <v>0</v>
      </c>
      <c r="CV40" s="156">
        <f>IFERROR('Similarity matrix'!CV40/'Denominator matrix'!$I$24, "NA")</f>
        <v>0</v>
      </c>
      <c r="CW40" s="153">
        <f>IFERROR('Similarity matrix'!CW40/'Denominator matrix'!$J$24, "NA")</f>
        <v>0</v>
      </c>
      <c r="CX40" s="153">
        <f>IFERROR('Similarity matrix'!CX40/'Denominator matrix'!$K$24, "NA")</f>
        <v>0.1666666667</v>
      </c>
    </row>
    <row r="41" ht="35.25" customHeight="1">
      <c r="B41" s="124">
        <v>45904.0</v>
      </c>
      <c r="C41" s="154">
        <f>IFERROR('Similarity matrix'!C41/'Denominator matrix'!$B$25, "NA")</f>
        <v>0</v>
      </c>
      <c r="D41" s="153">
        <f>IFERROR('Similarity matrix'!D41/'Denominator matrix'!$C$25, "NA")</f>
        <v>0</v>
      </c>
      <c r="E41" s="153">
        <f>IFERROR('Similarity matrix'!E41/'Denominator matrix'!$D$25, "NA")</f>
        <v>0</v>
      </c>
      <c r="F41" s="153">
        <f>IFERROR('Similarity matrix'!F41/'Denominator matrix'!$E$25, "NA")</f>
        <v>0</v>
      </c>
      <c r="G41" s="153">
        <f>IFERROR('Similarity matrix'!G41/'Denominator matrix'!$F$25, "NA")</f>
        <v>0</v>
      </c>
      <c r="H41" s="153">
        <f>IFERROR('Similarity matrix'!H41/'Denominator matrix'!$G$25, "NA")</f>
        <v>0</v>
      </c>
      <c r="I41" s="153">
        <f>IFERROR('Similarity matrix'!I41/'Denominator matrix'!$H$25, "NA")</f>
        <v>0</v>
      </c>
      <c r="J41" s="153">
        <f>IFERROR('Similarity matrix'!J41/'Denominator matrix'!$I$25, "NA")</f>
        <v>0</v>
      </c>
      <c r="K41" s="156">
        <f>IFERROR('Similarity matrix'!K41/'Denominator matrix'!$J$25, "NA")</f>
        <v>0</v>
      </c>
      <c r="L41" s="153">
        <f>IFERROR('Similarity matrix'!L41/'Denominator matrix'!$K$25, "NA")</f>
        <v>0</v>
      </c>
      <c r="M41" s="154">
        <f>IFERROR('Similarity matrix'!M41/'Denominator matrix'!$B$25, "NA")</f>
        <v>0</v>
      </c>
      <c r="N41" s="153">
        <f>IFERROR('Similarity matrix'!N41/'Denominator matrix'!$C$25, "NA")</f>
        <v>0</v>
      </c>
      <c r="O41" s="153">
        <f>IFERROR('Similarity matrix'!O41/'Denominator matrix'!$D$25, "NA")</f>
        <v>0</v>
      </c>
      <c r="P41" s="153">
        <f>IFERROR('Similarity matrix'!P41/'Denominator matrix'!$E$25, "NA")</f>
        <v>0</v>
      </c>
      <c r="Q41" s="153">
        <f>IFERROR('Similarity matrix'!Q41/'Denominator matrix'!$F$25, "NA")</f>
        <v>0</v>
      </c>
      <c r="R41" s="153">
        <f>IFERROR('Similarity matrix'!R41/'Denominator matrix'!$G$25, "NA")</f>
        <v>0</v>
      </c>
      <c r="S41" s="153">
        <f>IFERROR('Similarity matrix'!S41/'Denominator matrix'!$H$25, "NA")</f>
        <v>0</v>
      </c>
      <c r="T41" s="153">
        <f>IFERROR('Similarity matrix'!T41/'Denominator matrix'!$I$25, "NA")</f>
        <v>0</v>
      </c>
      <c r="U41" s="156">
        <f>IFERROR('Similarity matrix'!U41/'Denominator matrix'!$J$25, "NA")</f>
        <v>0</v>
      </c>
      <c r="V41" s="153">
        <f>IFERROR('Similarity matrix'!V41/'Denominator matrix'!$K$25, "NA")</f>
        <v>0</v>
      </c>
      <c r="W41" s="154">
        <f>IFERROR('Similarity matrix'!W41/'Denominator matrix'!$B$25, "NA")</f>
        <v>0</v>
      </c>
      <c r="X41" s="153">
        <f>IFERROR('Similarity matrix'!X41/'Denominator matrix'!$C$25, "NA")</f>
        <v>0</v>
      </c>
      <c r="Y41" s="153">
        <f>IFERROR('Similarity matrix'!Y41/'Denominator matrix'!$D$25, "NA")</f>
        <v>0</v>
      </c>
      <c r="Z41" s="153">
        <f>IFERROR('Similarity matrix'!Z41/'Denominator matrix'!$E$25, "NA")</f>
        <v>0</v>
      </c>
      <c r="AA41" s="153">
        <f>IFERROR('Similarity matrix'!AA41/'Denominator matrix'!$F$25, "NA")</f>
        <v>0</v>
      </c>
      <c r="AB41" s="153">
        <f>IFERROR('Similarity matrix'!AB41/'Denominator matrix'!$G$25, "NA")</f>
        <v>0</v>
      </c>
      <c r="AC41" s="153">
        <f>IFERROR('Similarity matrix'!AC41/'Denominator matrix'!$H$25, "NA")</f>
        <v>0.25</v>
      </c>
      <c r="AD41" s="153">
        <f>IFERROR('Similarity matrix'!AD41/'Denominator matrix'!$I$25, "NA")</f>
        <v>0</v>
      </c>
      <c r="AE41" s="156">
        <f>IFERROR('Similarity matrix'!AE41/'Denominator matrix'!$J$25, "NA")</f>
        <v>0.0625</v>
      </c>
      <c r="AF41" s="153">
        <f>IFERROR('Similarity matrix'!AF41/'Denominator matrix'!$K$25, "NA")</f>
        <v>0</v>
      </c>
      <c r="AG41" s="154">
        <f>IFERROR('Similarity matrix'!AG41/'Denominator matrix'!$B$25, "NA")</f>
        <v>0.8</v>
      </c>
      <c r="AH41" s="153">
        <f>IFERROR('Similarity matrix'!AH41/'Denominator matrix'!$C$25, "NA")</f>
        <v>1</v>
      </c>
      <c r="AI41" s="153">
        <f>IFERROR('Similarity matrix'!AI41/'Denominator matrix'!$D$25, "NA")</f>
        <v>1</v>
      </c>
      <c r="AJ41" s="153">
        <f>IFERROR('Similarity matrix'!AJ41/'Denominator matrix'!$E$25, "NA")</f>
        <v>0.5</v>
      </c>
      <c r="AK41" s="153">
        <f>IFERROR('Similarity matrix'!AK41/'Denominator matrix'!$F$25, "NA")</f>
        <v>0.8333333333</v>
      </c>
      <c r="AL41" s="153">
        <f>IFERROR('Similarity matrix'!AL41/'Denominator matrix'!$G$25, "NA")</f>
        <v>0.75</v>
      </c>
      <c r="AM41" s="153">
        <f>IFERROR('Similarity matrix'!AM41/'Denominator matrix'!$H$25, "NA")</f>
        <v>0.25</v>
      </c>
      <c r="AN41" s="153">
        <f>IFERROR('Similarity matrix'!AN41/'Denominator matrix'!$I$25, "NA")</f>
        <v>0.75</v>
      </c>
      <c r="AO41" s="155">
        <f>IFERROR('Similarity matrix'!AO41/'Denominator matrix'!$J$25, "NA")</f>
        <v>0</v>
      </c>
      <c r="AP41" s="153">
        <f>IFERROR('Similarity matrix'!AP41/'Denominator matrix'!$K$25, "NA")</f>
        <v>1</v>
      </c>
      <c r="AQ41" s="154">
        <f>IFERROR('Similarity matrix'!AQ41/'Denominator matrix'!$B$25, "NA")</f>
        <v>0</v>
      </c>
      <c r="AR41" s="153">
        <f>IFERROR('Similarity matrix'!AR41/'Denominator matrix'!$C$25, "NA")</f>
        <v>0</v>
      </c>
      <c r="AS41" s="153">
        <f>IFERROR('Similarity matrix'!AS41/'Denominator matrix'!$D$25, "NA")</f>
        <v>0</v>
      </c>
      <c r="AT41" s="153">
        <f>IFERROR('Similarity matrix'!AT41/'Denominator matrix'!$E$25, "NA")</f>
        <v>0</v>
      </c>
      <c r="AU41" s="153">
        <f>IFERROR('Similarity matrix'!AU41/'Denominator matrix'!$F$25, "NA")</f>
        <v>0</v>
      </c>
      <c r="AV41" s="153">
        <f>IFERROR('Similarity matrix'!AV41/'Denominator matrix'!$G$25, "NA")</f>
        <v>0</v>
      </c>
      <c r="AW41" s="153">
        <f>IFERROR('Similarity matrix'!AW41/'Denominator matrix'!$H$25, "NA")</f>
        <v>0</v>
      </c>
      <c r="AX41" s="153">
        <f>IFERROR('Similarity matrix'!AX41/'Denominator matrix'!$I$25, "NA")</f>
        <v>0</v>
      </c>
      <c r="AY41" s="156">
        <f>IFERROR('Similarity matrix'!AY41/'Denominator matrix'!$J$25, "NA")</f>
        <v>0</v>
      </c>
      <c r="AZ41" s="153">
        <f>IFERROR('Similarity matrix'!AZ41/'Denominator matrix'!$K$25, "NA")</f>
        <v>0</v>
      </c>
      <c r="BA41" s="154">
        <f>IFERROR('Similarity matrix'!BA41/'Denominator matrix'!$B$25, "NA")</f>
        <v>0</v>
      </c>
      <c r="BB41" s="153">
        <f>IFERROR('Similarity matrix'!BB41/'Denominator matrix'!$C$25, "NA")</f>
        <v>0</v>
      </c>
      <c r="BC41" s="153">
        <f>IFERROR('Similarity matrix'!BC41/'Denominator matrix'!$D$25, "NA")</f>
        <v>0</v>
      </c>
      <c r="BD41" s="153">
        <f>IFERROR('Similarity matrix'!BD41/'Denominator matrix'!$E$25, "NA")</f>
        <v>0</v>
      </c>
      <c r="BE41" s="153">
        <f>IFERROR('Similarity matrix'!BE41/'Denominator matrix'!$F$25, "NA")</f>
        <v>0</v>
      </c>
      <c r="BF41" s="153">
        <f>IFERROR('Similarity matrix'!BF41/'Denominator matrix'!$G$25, "NA")</f>
        <v>0</v>
      </c>
      <c r="BG41" s="153">
        <f>IFERROR('Similarity matrix'!BG41/'Denominator matrix'!$H$25, "NA")</f>
        <v>0</v>
      </c>
      <c r="BH41" s="153">
        <f>IFERROR('Similarity matrix'!BH41/'Denominator matrix'!$I$25, "NA")</f>
        <v>0</v>
      </c>
      <c r="BI41" s="156">
        <f>IFERROR('Similarity matrix'!BI41/'Denominator matrix'!$J$25, "NA")</f>
        <v>0</v>
      </c>
      <c r="BJ41" s="153">
        <f>IFERROR('Similarity matrix'!BJ41/'Denominator matrix'!$K$25, "NA")</f>
        <v>0</v>
      </c>
      <c r="BK41" s="154">
        <f>IFERROR('Similarity matrix'!BK41/'Denominator matrix'!$B$25, "NA")</f>
        <v>0</v>
      </c>
      <c r="BL41" s="153">
        <f>IFERROR('Similarity matrix'!BL41/'Denominator matrix'!$C$25, "NA")</f>
        <v>0</v>
      </c>
      <c r="BM41" s="153">
        <f>IFERROR('Similarity matrix'!BM41/'Denominator matrix'!$D$25, "NA")</f>
        <v>0</v>
      </c>
      <c r="BN41" s="153">
        <f>IFERROR('Similarity matrix'!BN41/'Denominator matrix'!$E$25, "NA")</f>
        <v>0</v>
      </c>
      <c r="BO41" s="153">
        <f>IFERROR('Similarity matrix'!BO41/'Denominator matrix'!$F$25, "NA")</f>
        <v>0</v>
      </c>
      <c r="BP41" s="153">
        <f>IFERROR('Similarity matrix'!BP41/'Denominator matrix'!$G$25, "NA")</f>
        <v>0</v>
      </c>
      <c r="BQ41" s="153">
        <f>IFERROR('Similarity matrix'!BQ41/'Denominator matrix'!$H$25, "NA")</f>
        <v>0</v>
      </c>
      <c r="BR41" s="153">
        <f>IFERROR('Similarity matrix'!BR41/'Denominator matrix'!$I$25, "NA")</f>
        <v>0</v>
      </c>
      <c r="BS41" s="156">
        <f>IFERROR('Similarity matrix'!BS41/'Denominator matrix'!$J$25, "NA")</f>
        <v>0</v>
      </c>
      <c r="BT41" s="153">
        <f>IFERROR('Similarity matrix'!BT41/'Denominator matrix'!$K$25, "NA")</f>
        <v>0</v>
      </c>
      <c r="BU41" s="154">
        <f>IFERROR('Similarity matrix'!BU41/'Denominator matrix'!$B$25, "NA")</f>
        <v>0</v>
      </c>
      <c r="BV41" s="153">
        <f>IFERROR('Similarity matrix'!BV41/'Denominator matrix'!$C$25, "NA")</f>
        <v>0</v>
      </c>
      <c r="BW41" s="153">
        <f>IFERROR('Similarity matrix'!BW41/'Denominator matrix'!$D$25, "NA")</f>
        <v>0</v>
      </c>
      <c r="BX41" s="153">
        <f>IFERROR('Similarity matrix'!BX41/'Denominator matrix'!$E$25, "NA")</f>
        <v>0</v>
      </c>
      <c r="BY41" s="153">
        <f>IFERROR('Similarity matrix'!BY41/'Denominator matrix'!$F$25, "NA")</f>
        <v>0</v>
      </c>
      <c r="BZ41" s="153">
        <f>IFERROR('Similarity matrix'!BZ41/'Denominator matrix'!$G$25, "NA")</f>
        <v>0</v>
      </c>
      <c r="CA41" s="153">
        <f>IFERROR('Similarity matrix'!CA41/'Denominator matrix'!$H$25, "NA")</f>
        <v>0</v>
      </c>
      <c r="CB41" s="153">
        <f>IFERROR('Similarity matrix'!CB41/'Denominator matrix'!$I$25, "NA")</f>
        <v>0</v>
      </c>
      <c r="CC41" s="156">
        <f>IFERROR('Similarity matrix'!CC41/'Denominator matrix'!$J$25, "NA")</f>
        <v>0</v>
      </c>
      <c r="CD41" s="153">
        <f>IFERROR('Similarity matrix'!CD41/'Denominator matrix'!$K$25, "NA")</f>
        <v>0</v>
      </c>
      <c r="CE41" s="154">
        <f>IFERROR('Similarity matrix'!CE41/'Denominator matrix'!$B$25, "NA")</f>
        <v>0</v>
      </c>
      <c r="CF41" s="153">
        <f>IFERROR('Similarity matrix'!CF41/'Denominator matrix'!$C$25, "NA")</f>
        <v>0</v>
      </c>
      <c r="CG41" s="153">
        <f>IFERROR('Similarity matrix'!CG41/'Denominator matrix'!$D$25, "NA")</f>
        <v>0</v>
      </c>
      <c r="CH41" s="153">
        <f>IFERROR('Similarity matrix'!CH41/'Denominator matrix'!$E$25, "NA")</f>
        <v>0</v>
      </c>
      <c r="CI41" s="153">
        <f>IFERROR('Similarity matrix'!CI41/'Denominator matrix'!$F$25, "NA")</f>
        <v>0</v>
      </c>
      <c r="CJ41" s="153">
        <f>IFERROR('Similarity matrix'!CJ41/'Denominator matrix'!$G$25, "NA")</f>
        <v>0</v>
      </c>
      <c r="CK41" s="153">
        <f>IFERROR('Similarity matrix'!CK41/'Denominator matrix'!$H$25, "NA")</f>
        <v>0</v>
      </c>
      <c r="CL41" s="153">
        <f>IFERROR('Similarity matrix'!CL41/'Denominator matrix'!$I$25, "NA")</f>
        <v>0</v>
      </c>
      <c r="CM41" s="156">
        <f>IFERROR('Similarity matrix'!CM41/'Denominator matrix'!$J$25, "NA")</f>
        <v>0</v>
      </c>
      <c r="CN41" s="153">
        <f>IFERROR('Similarity matrix'!CN41/'Denominator matrix'!$K$25, "NA")</f>
        <v>0</v>
      </c>
      <c r="CO41" s="154">
        <f>IFERROR('Similarity matrix'!CO41/'Denominator matrix'!$B$25, "NA")</f>
        <v>0</v>
      </c>
      <c r="CP41" s="153">
        <f>IFERROR('Similarity matrix'!CP41/'Denominator matrix'!$C$25, "NA")</f>
        <v>0</v>
      </c>
      <c r="CQ41" s="153">
        <f>IFERROR('Similarity matrix'!CQ41/'Denominator matrix'!$D$25, "NA")</f>
        <v>0</v>
      </c>
      <c r="CR41" s="153">
        <f>IFERROR('Similarity matrix'!CR41/'Denominator matrix'!$E$25, "NA")</f>
        <v>0</v>
      </c>
      <c r="CS41" s="153">
        <f>IFERROR('Similarity matrix'!CS41/'Denominator matrix'!$F$25, "NA")</f>
        <v>0</v>
      </c>
      <c r="CT41" s="153">
        <f>IFERROR('Similarity matrix'!CT41/'Denominator matrix'!$G$25, "NA")</f>
        <v>0</v>
      </c>
      <c r="CU41" s="153">
        <f>IFERROR('Similarity matrix'!CU41/'Denominator matrix'!$H$25, "NA")</f>
        <v>0</v>
      </c>
      <c r="CV41" s="153">
        <f>IFERROR('Similarity matrix'!CV41/'Denominator matrix'!$I$25, "NA")</f>
        <v>0</v>
      </c>
      <c r="CW41" s="156">
        <f>IFERROR('Similarity matrix'!CW41/'Denominator matrix'!$J$25, "NA")</f>
        <v>0</v>
      </c>
      <c r="CX41" s="153">
        <f>IFERROR('Similarity matrix'!CX41/'Denominator matrix'!$K$25, "NA")</f>
        <v>0</v>
      </c>
    </row>
    <row r="42" ht="35.25" customHeight="1">
      <c r="A42" s="125"/>
      <c r="B42" s="126">
        <v>45934.0</v>
      </c>
      <c r="C42" s="157">
        <f>IFERROR('Similarity matrix'!C42/'Denominator matrix'!$B$26, "NA")</f>
        <v>0</v>
      </c>
      <c r="D42" s="158">
        <f>IFERROR('Similarity matrix'!D42/'Denominator matrix'!$C$26, "NA")</f>
        <v>0</v>
      </c>
      <c r="E42" s="158">
        <f>IFERROR('Similarity matrix'!E42/'Denominator matrix'!$D$26, "NA")</f>
        <v>0</v>
      </c>
      <c r="F42" s="158">
        <f>IFERROR('Similarity matrix'!F42/'Denominator matrix'!$E$26, "NA")</f>
        <v>0</v>
      </c>
      <c r="G42" s="158">
        <f>IFERROR('Similarity matrix'!G42/'Denominator matrix'!$F$26, "NA")</f>
        <v>0</v>
      </c>
      <c r="H42" s="158">
        <f>IFERROR('Similarity matrix'!H42/'Denominator matrix'!$G$26, "NA")</f>
        <v>0</v>
      </c>
      <c r="I42" s="158">
        <f>IFERROR('Similarity matrix'!I42/'Denominator matrix'!$H$26, "NA")</f>
        <v>0.25</v>
      </c>
      <c r="J42" s="158">
        <f>IFERROR('Similarity matrix'!J42/'Denominator matrix'!$I$26, "NA")</f>
        <v>0</v>
      </c>
      <c r="K42" s="158">
        <f>IFERROR('Similarity matrix'!K42/'Denominator matrix'!$J$26, "NA")</f>
        <v>0</v>
      </c>
      <c r="L42" s="160">
        <f>IFERROR('Similarity matrix'!L42/'Denominator matrix'!$K$26, "NA")</f>
        <v>0</v>
      </c>
      <c r="M42" s="157">
        <f>IFERROR('Similarity matrix'!M42/'Denominator matrix'!$B$26, "NA")</f>
        <v>0</v>
      </c>
      <c r="N42" s="158">
        <f>IFERROR('Similarity matrix'!N42/'Denominator matrix'!$C$26, "NA")</f>
        <v>0</v>
      </c>
      <c r="O42" s="158">
        <f>IFERROR('Similarity matrix'!O42/'Denominator matrix'!$D$26, "NA")</f>
        <v>0</v>
      </c>
      <c r="P42" s="158">
        <f>IFERROR('Similarity matrix'!P42/'Denominator matrix'!$E$26, "NA")</f>
        <v>0</v>
      </c>
      <c r="Q42" s="158">
        <f>IFERROR('Similarity matrix'!Q42/'Denominator matrix'!$F$26, "NA")</f>
        <v>0</v>
      </c>
      <c r="R42" s="158">
        <f>IFERROR('Similarity matrix'!R42/'Denominator matrix'!$G$26, "NA")</f>
        <v>0</v>
      </c>
      <c r="S42" s="158">
        <f>IFERROR('Similarity matrix'!S42/'Denominator matrix'!$H$26, "NA")</f>
        <v>0</v>
      </c>
      <c r="T42" s="158">
        <f>IFERROR('Similarity matrix'!T42/'Denominator matrix'!$I$26, "NA")</f>
        <v>0</v>
      </c>
      <c r="U42" s="158">
        <f>IFERROR('Similarity matrix'!U42/'Denominator matrix'!$J$26, "NA")</f>
        <v>0</v>
      </c>
      <c r="V42" s="160">
        <f>IFERROR('Similarity matrix'!V42/'Denominator matrix'!$K$26, "NA")</f>
        <v>0</v>
      </c>
      <c r="W42" s="157">
        <f>IFERROR('Similarity matrix'!W42/'Denominator matrix'!$B$26, "NA")</f>
        <v>0</v>
      </c>
      <c r="X42" s="158">
        <f>IFERROR('Similarity matrix'!X42/'Denominator matrix'!$C$26, "NA")</f>
        <v>0</v>
      </c>
      <c r="Y42" s="158">
        <f>IFERROR('Similarity matrix'!Y42/'Denominator matrix'!$D$26, "NA")</f>
        <v>0</v>
      </c>
      <c r="Z42" s="158">
        <f>IFERROR('Similarity matrix'!Z42/'Denominator matrix'!$E$26, "NA")</f>
        <v>0</v>
      </c>
      <c r="AA42" s="158">
        <f>IFERROR('Similarity matrix'!AA42/'Denominator matrix'!$F$26, "NA")</f>
        <v>0</v>
      </c>
      <c r="AB42" s="158">
        <f>IFERROR('Similarity matrix'!AB42/'Denominator matrix'!$G$26, "NA")</f>
        <v>0</v>
      </c>
      <c r="AC42" s="158">
        <f>IFERROR('Similarity matrix'!AC42/'Denominator matrix'!$H$26, "NA")</f>
        <v>0</v>
      </c>
      <c r="AD42" s="158">
        <f>IFERROR('Similarity matrix'!AD42/'Denominator matrix'!$I$26, "NA")</f>
        <v>0</v>
      </c>
      <c r="AE42" s="158">
        <f>IFERROR('Similarity matrix'!AE42/'Denominator matrix'!$J$26, "NA")</f>
        <v>0</v>
      </c>
      <c r="AF42" s="160">
        <f>IFERROR('Similarity matrix'!AF42/'Denominator matrix'!$K$26, "NA")</f>
        <v>0</v>
      </c>
      <c r="AG42" s="157">
        <f>IFERROR('Similarity matrix'!AG42/'Denominator matrix'!$B$26, "NA")</f>
        <v>1</v>
      </c>
      <c r="AH42" s="158">
        <f>IFERROR('Similarity matrix'!AH42/'Denominator matrix'!$C$26, "NA")</f>
        <v>0.5</v>
      </c>
      <c r="AI42" s="158">
        <f>IFERROR('Similarity matrix'!AI42/'Denominator matrix'!$D$26, "NA")</f>
        <v>0.6666666667</v>
      </c>
      <c r="AJ42" s="158">
        <f>IFERROR('Similarity matrix'!AJ42/'Denominator matrix'!$E$26, "NA")</f>
        <v>0.5</v>
      </c>
      <c r="AK42" s="158">
        <f>IFERROR('Similarity matrix'!AK42/'Denominator matrix'!$F$26, "NA")</f>
        <v>1</v>
      </c>
      <c r="AL42" s="158">
        <f>IFERROR('Similarity matrix'!AL42/'Denominator matrix'!$G$26, "NA")</f>
        <v>1</v>
      </c>
      <c r="AM42" s="158">
        <f>IFERROR('Similarity matrix'!AM42/'Denominator matrix'!$H$26, "NA")</f>
        <v>0.5</v>
      </c>
      <c r="AN42" s="158">
        <f>IFERROR('Similarity matrix'!AN42/'Denominator matrix'!$I$26, "NA")</f>
        <v>0.8333333333</v>
      </c>
      <c r="AO42" s="158">
        <f>IFERROR('Similarity matrix'!AO42/'Denominator matrix'!$J$26, "NA")</f>
        <v>1</v>
      </c>
      <c r="AP42" s="159">
        <f>IFERROR('Similarity matrix'!AP42/'Denominator matrix'!$K$26, "NA")</f>
        <v>0</v>
      </c>
      <c r="AQ42" s="157">
        <f>IFERROR('Similarity matrix'!AQ42/'Denominator matrix'!$B$26, "NA")</f>
        <v>0</v>
      </c>
      <c r="AR42" s="158">
        <f>IFERROR('Similarity matrix'!AR42/'Denominator matrix'!$C$26, "NA")</f>
        <v>0.25</v>
      </c>
      <c r="AS42" s="158">
        <f>IFERROR('Similarity matrix'!AS42/'Denominator matrix'!$D$26, "NA")</f>
        <v>0.1666666667</v>
      </c>
      <c r="AT42" s="158">
        <f>IFERROR('Similarity matrix'!AT42/'Denominator matrix'!$E$26, "NA")</f>
        <v>0</v>
      </c>
      <c r="AU42" s="158">
        <f>IFERROR('Similarity matrix'!AU42/'Denominator matrix'!$F$26, "NA")</f>
        <v>0</v>
      </c>
      <c r="AV42" s="158">
        <f>IFERROR('Similarity matrix'!AV42/'Denominator matrix'!$G$26, "NA")</f>
        <v>0</v>
      </c>
      <c r="AW42" s="158">
        <f>IFERROR('Similarity matrix'!AW42/'Denominator matrix'!$H$26, "NA")</f>
        <v>0</v>
      </c>
      <c r="AX42" s="158">
        <f>IFERROR('Similarity matrix'!AX42/'Denominator matrix'!$I$26, "NA")</f>
        <v>0</v>
      </c>
      <c r="AY42" s="158">
        <f>IFERROR('Similarity matrix'!AY42/'Denominator matrix'!$J$26, "NA")</f>
        <v>0</v>
      </c>
      <c r="AZ42" s="160">
        <f>IFERROR('Similarity matrix'!AZ42/'Denominator matrix'!$K$26, "NA")</f>
        <v>0</v>
      </c>
      <c r="BA42" s="157">
        <f>IFERROR('Similarity matrix'!BA42/'Denominator matrix'!$B$26, "NA")</f>
        <v>0</v>
      </c>
      <c r="BB42" s="158">
        <f>IFERROR('Similarity matrix'!BB42/'Denominator matrix'!$C$26, "NA")</f>
        <v>0</v>
      </c>
      <c r="BC42" s="158">
        <f>IFERROR('Similarity matrix'!BC42/'Denominator matrix'!$D$26, "NA")</f>
        <v>0</v>
      </c>
      <c r="BD42" s="158">
        <f>IFERROR('Similarity matrix'!BD42/'Denominator matrix'!$E$26, "NA")</f>
        <v>0.25</v>
      </c>
      <c r="BE42" s="158">
        <f>IFERROR('Similarity matrix'!BE42/'Denominator matrix'!$F$26, "NA")</f>
        <v>0</v>
      </c>
      <c r="BF42" s="158">
        <f>IFERROR('Similarity matrix'!BF42/'Denominator matrix'!$G$26, "NA")</f>
        <v>0</v>
      </c>
      <c r="BG42" s="158">
        <f>IFERROR('Similarity matrix'!BG42/'Denominator matrix'!$H$26, "NA")</f>
        <v>0</v>
      </c>
      <c r="BH42" s="158">
        <f>IFERROR('Similarity matrix'!BH42/'Denominator matrix'!$I$26, "NA")</f>
        <v>0</v>
      </c>
      <c r="BI42" s="158">
        <f>IFERROR('Similarity matrix'!BI42/'Denominator matrix'!$J$26, "NA")</f>
        <v>0</v>
      </c>
      <c r="BJ42" s="160">
        <f>IFERROR('Similarity matrix'!BJ42/'Denominator matrix'!$K$26, "NA")</f>
        <v>0</v>
      </c>
      <c r="BK42" s="157">
        <f>IFERROR('Similarity matrix'!BK42/'Denominator matrix'!$B$26, "NA")</f>
        <v>0</v>
      </c>
      <c r="BL42" s="158">
        <f>IFERROR('Similarity matrix'!BL42/'Denominator matrix'!$C$26, "NA")</f>
        <v>0</v>
      </c>
      <c r="BM42" s="158">
        <f>IFERROR('Similarity matrix'!BM42/'Denominator matrix'!$D$26, "NA")</f>
        <v>0</v>
      </c>
      <c r="BN42" s="158">
        <f>IFERROR('Similarity matrix'!BN42/'Denominator matrix'!$E$26, "NA")</f>
        <v>0</v>
      </c>
      <c r="BO42" s="158">
        <f>IFERROR('Similarity matrix'!BO42/'Denominator matrix'!$F$26, "NA")</f>
        <v>0</v>
      </c>
      <c r="BP42" s="158">
        <f>IFERROR('Similarity matrix'!BP42/'Denominator matrix'!$G$26, "NA")</f>
        <v>0</v>
      </c>
      <c r="BQ42" s="158">
        <f>IFERROR('Similarity matrix'!BQ42/'Denominator matrix'!$H$26, "NA")</f>
        <v>0</v>
      </c>
      <c r="BR42" s="158">
        <f>IFERROR('Similarity matrix'!BR42/'Denominator matrix'!$I$26, "NA")</f>
        <v>0</v>
      </c>
      <c r="BS42" s="158">
        <f>IFERROR('Similarity matrix'!BS42/'Denominator matrix'!$J$26, "NA")</f>
        <v>0</v>
      </c>
      <c r="BT42" s="160">
        <f>IFERROR('Similarity matrix'!BT42/'Denominator matrix'!$K$26, "NA")</f>
        <v>0</v>
      </c>
      <c r="BU42" s="157">
        <f>IFERROR('Similarity matrix'!BU42/'Denominator matrix'!$B$26, "NA")</f>
        <v>0</v>
      </c>
      <c r="BV42" s="158">
        <f>IFERROR('Similarity matrix'!BV42/'Denominator matrix'!$C$26, "NA")</f>
        <v>0</v>
      </c>
      <c r="BW42" s="158">
        <f>IFERROR('Similarity matrix'!BW42/'Denominator matrix'!$D$26, "NA")</f>
        <v>0</v>
      </c>
      <c r="BX42" s="158">
        <f>IFERROR('Similarity matrix'!BX42/'Denominator matrix'!$E$26, "NA")</f>
        <v>0</v>
      </c>
      <c r="BY42" s="158">
        <f>IFERROR('Similarity matrix'!BY42/'Denominator matrix'!$F$26, "NA")</f>
        <v>0</v>
      </c>
      <c r="BZ42" s="158">
        <f>IFERROR('Similarity matrix'!BZ42/'Denominator matrix'!$G$26, "NA")</f>
        <v>0</v>
      </c>
      <c r="CA42" s="158">
        <f>IFERROR('Similarity matrix'!CA42/'Denominator matrix'!$H$26, "NA")</f>
        <v>0</v>
      </c>
      <c r="CB42" s="158">
        <f>IFERROR('Similarity matrix'!CB42/'Denominator matrix'!$I$26, "NA")</f>
        <v>0</v>
      </c>
      <c r="CC42" s="158">
        <f>IFERROR('Similarity matrix'!CC42/'Denominator matrix'!$J$26, "NA")</f>
        <v>0</v>
      </c>
      <c r="CD42" s="160">
        <f>IFERROR('Similarity matrix'!CD42/'Denominator matrix'!$K$26, "NA")</f>
        <v>0</v>
      </c>
      <c r="CE42" s="157">
        <f>IFERROR('Similarity matrix'!CE42/'Denominator matrix'!$B$26, "NA")</f>
        <v>0</v>
      </c>
      <c r="CF42" s="158">
        <f>IFERROR('Similarity matrix'!CF42/'Denominator matrix'!$C$26, "NA")</f>
        <v>0</v>
      </c>
      <c r="CG42" s="158">
        <f>IFERROR('Similarity matrix'!CG42/'Denominator matrix'!$D$26, "NA")</f>
        <v>0</v>
      </c>
      <c r="CH42" s="158">
        <f>IFERROR('Similarity matrix'!CH42/'Denominator matrix'!$E$26, "NA")</f>
        <v>0</v>
      </c>
      <c r="CI42" s="158">
        <f>IFERROR('Similarity matrix'!CI42/'Denominator matrix'!$F$26, "NA")</f>
        <v>0</v>
      </c>
      <c r="CJ42" s="158">
        <f>IFERROR('Similarity matrix'!CJ42/'Denominator matrix'!$G$26, "NA")</f>
        <v>0</v>
      </c>
      <c r="CK42" s="158">
        <f>IFERROR('Similarity matrix'!CK42/'Denominator matrix'!$H$26, "NA")</f>
        <v>0</v>
      </c>
      <c r="CL42" s="158">
        <f>IFERROR('Similarity matrix'!CL42/'Denominator matrix'!$I$26, "NA")</f>
        <v>0</v>
      </c>
      <c r="CM42" s="158">
        <f>IFERROR('Similarity matrix'!CM42/'Denominator matrix'!$J$26, "NA")</f>
        <v>0</v>
      </c>
      <c r="CN42" s="160">
        <f>IFERROR('Similarity matrix'!CN42/'Denominator matrix'!$K$26, "NA")</f>
        <v>0</v>
      </c>
      <c r="CO42" s="157">
        <f>IFERROR('Similarity matrix'!CO42/'Denominator matrix'!$B$26, "NA")</f>
        <v>0</v>
      </c>
      <c r="CP42" s="158">
        <f>IFERROR('Similarity matrix'!CP42/'Denominator matrix'!$C$26, "NA")</f>
        <v>0</v>
      </c>
      <c r="CQ42" s="158">
        <f>IFERROR('Similarity matrix'!CQ42/'Denominator matrix'!$D$26, "NA")</f>
        <v>0</v>
      </c>
      <c r="CR42" s="158">
        <f>IFERROR('Similarity matrix'!CR42/'Denominator matrix'!$E$26, "NA")</f>
        <v>0</v>
      </c>
      <c r="CS42" s="158">
        <f>IFERROR('Similarity matrix'!CS42/'Denominator matrix'!$F$26, "NA")</f>
        <v>0</v>
      </c>
      <c r="CT42" s="158">
        <f>IFERROR('Similarity matrix'!CT42/'Denominator matrix'!$G$26, "NA")</f>
        <v>0</v>
      </c>
      <c r="CU42" s="158">
        <f>IFERROR('Similarity matrix'!CU42/'Denominator matrix'!$H$26, "NA")</f>
        <v>0</v>
      </c>
      <c r="CV42" s="158">
        <f>IFERROR('Similarity matrix'!CV42/'Denominator matrix'!$I$26, "NA")</f>
        <v>0</v>
      </c>
      <c r="CW42" s="158">
        <f>IFERROR('Similarity matrix'!CW42/'Denominator matrix'!$J$26, "NA")</f>
        <v>0</v>
      </c>
      <c r="CX42" s="160">
        <f>IFERROR('Similarity matrix'!CX42/'Denominator matrix'!$K$26, "NA")</f>
        <v>0</v>
      </c>
    </row>
    <row r="43" ht="35.25" customHeight="1">
      <c r="A43" s="138" t="s">
        <v>2939</v>
      </c>
      <c r="B43" s="124">
        <v>45662.0</v>
      </c>
      <c r="C43" s="154">
        <f>IFERROR('Similarity matrix'!C43/'Denominator matrix'!$B$17, "NA")</f>
        <v>0</v>
      </c>
      <c r="D43" s="153">
        <f>IFERROR('Similarity matrix'!D43/'Denominator matrix'!$C$17, "NA")</f>
        <v>0</v>
      </c>
      <c r="E43" s="153">
        <f>IFERROR('Similarity matrix'!E43/'Denominator matrix'!$D$17, "NA")</f>
        <v>0</v>
      </c>
      <c r="F43" s="153">
        <f>IFERROR('Similarity matrix'!F43/'Denominator matrix'!$E$17, "NA")</f>
        <v>0</v>
      </c>
      <c r="G43" s="153">
        <f>IFERROR('Similarity matrix'!G43/'Denominator matrix'!$F$17, "NA")</f>
        <v>0</v>
      </c>
      <c r="H43" s="153">
        <f>IFERROR('Similarity matrix'!H43/'Denominator matrix'!$G$17, "NA")</f>
        <v>0</v>
      </c>
      <c r="I43" s="153">
        <f>IFERROR('Similarity matrix'!I43/'Denominator matrix'!$H$17, "NA")</f>
        <v>0</v>
      </c>
      <c r="J43" s="153">
        <f>IFERROR('Similarity matrix'!J43/'Denominator matrix'!$I$17, "NA")</f>
        <v>0</v>
      </c>
      <c r="K43" s="153">
        <f>IFERROR('Similarity matrix'!K43/'Denominator matrix'!$J$17, "NA")</f>
        <v>0</v>
      </c>
      <c r="L43" s="153">
        <f>IFERROR('Similarity matrix'!L43/'Denominator matrix'!$K$17, "NA")</f>
        <v>0</v>
      </c>
      <c r="M43" s="154">
        <f>IFERROR('Similarity matrix'!M43/'Denominator matrix'!$B$17, "NA")</f>
        <v>0</v>
      </c>
      <c r="N43" s="153">
        <f>IFERROR('Similarity matrix'!N43/'Denominator matrix'!$C$17, "NA")</f>
        <v>0</v>
      </c>
      <c r="O43" s="153">
        <f>IFERROR('Similarity matrix'!O43/'Denominator matrix'!$D$17, "NA")</f>
        <v>0</v>
      </c>
      <c r="P43" s="153">
        <f>IFERROR('Similarity matrix'!P43/'Denominator matrix'!$E$17, "NA")</f>
        <v>0</v>
      </c>
      <c r="Q43" s="153">
        <f>IFERROR('Similarity matrix'!Q43/'Denominator matrix'!$F$17, "NA")</f>
        <v>0</v>
      </c>
      <c r="R43" s="153">
        <f>IFERROR('Similarity matrix'!R43/'Denominator matrix'!$G$17, "NA")</f>
        <v>0</v>
      </c>
      <c r="S43" s="153">
        <f>IFERROR('Similarity matrix'!S43/'Denominator matrix'!$H$17, "NA")</f>
        <v>0</v>
      </c>
      <c r="T43" s="153">
        <f>IFERROR('Similarity matrix'!T43/'Denominator matrix'!$I$17, "NA")</f>
        <v>0</v>
      </c>
      <c r="U43" s="153">
        <f>IFERROR('Similarity matrix'!U43/'Denominator matrix'!$J$17, "NA")</f>
        <v>0</v>
      </c>
      <c r="V43" s="153">
        <f>IFERROR('Similarity matrix'!V43/'Denominator matrix'!$K$17, "NA")</f>
        <v>0</v>
      </c>
      <c r="W43" s="154">
        <f>IFERROR('Similarity matrix'!W43/'Denominator matrix'!$B$17, "NA")</f>
        <v>0</v>
      </c>
      <c r="X43" s="153">
        <f>IFERROR('Similarity matrix'!X43/'Denominator matrix'!$C$17, "NA")</f>
        <v>0</v>
      </c>
      <c r="Y43" s="153">
        <f>IFERROR('Similarity matrix'!Y43/'Denominator matrix'!$D$17, "NA")</f>
        <v>0</v>
      </c>
      <c r="Z43" s="153">
        <f>IFERROR('Similarity matrix'!Z43/'Denominator matrix'!$E$17, "NA")</f>
        <v>0</v>
      </c>
      <c r="AA43" s="153">
        <f>IFERROR('Similarity matrix'!AA43/'Denominator matrix'!$F$17, "NA")</f>
        <v>0</v>
      </c>
      <c r="AB43" s="153">
        <f>IFERROR('Similarity matrix'!AB43/'Denominator matrix'!$G$17, "NA")</f>
        <v>0</v>
      </c>
      <c r="AC43" s="153">
        <f>IFERROR('Similarity matrix'!AC43/'Denominator matrix'!$H$17, "NA")</f>
        <v>0</v>
      </c>
      <c r="AD43" s="153">
        <f>IFERROR('Similarity matrix'!AD43/'Denominator matrix'!$I$17, "NA")</f>
        <v>0</v>
      </c>
      <c r="AE43" s="153">
        <f>IFERROR('Similarity matrix'!AE43/'Denominator matrix'!$J$17, "NA")</f>
        <v>0</v>
      </c>
      <c r="AF43" s="153">
        <f>IFERROR('Similarity matrix'!AF43/'Denominator matrix'!$K$17, "NA")</f>
        <v>0</v>
      </c>
      <c r="AG43" s="154">
        <f>IFERROR('Similarity matrix'!AG43/'Denominator matrix'!$B$17, "NA")</f>
        <v>0</v>
      </c>
      <c r="AH43" s="153">
        <f>IFERROR('Similarity matrix'!AH43/'Denominator matrix'!$C$17, "NA")</f>
        <v>0</v>
      </c>
      <c r="AI43" s="153">
        <f>IFERROR('Similarity matrix'!AI43/'Denominator matrix'!$D$17, "NA")</f>
        <v>0</v>
      </c>
      <c r="AJ43" s="153">
        <f>IFERROR('Similarity matrix'!AJ43/'Denominator matrix'!$E$17, "NA")</f>
        <v>0</v>
      </c>
      <c r="AK43" s="153">
        <f>IFERROR('Similarity matrix'!AK43/'Denominator matrix'!$F$17, "NA")</f>
        <v>0</v>
      </c>
      <c r="AL43" s="153">
        <f>IFERROR('Similarity matrix'!AL43/'Denominator matrix'!$G$17, "NA")</f>
        <v>0</v>
      </c>
      <c r="AM43" s="153">
        <f>IFERROR('Similarity matrix'!AM43/'Denominator matrix'!$H$17, "NA")</f>
        <v>0</v>
      </c>
      <c r="AN43" s="153">
        <f>IFERROR('Similarity matrix'!AN43/'Denominator matrix'!$I$17, "NA")</f>
        <v>0</v>
      </c>
      <c r="AO43" s="153">
        <f>IFERROR('Similarity matrix'!AO43/'Denominator matrix'!$J$17, "NA")</f>
        <v>0</v>
      </c>
      <c r="AP43" s="153">
        <f>IFERROR('Similarity matrix'!AP43/'Denominator matrix'!$K$17, "NA")</f>
        <v>0</v>
      </c>
      <c r="AQ43" s="152">
        <f>IFERROR('Similarity matrix'!AQ43/'Denominator matrix'!$B$17, "NA")</f>
        <v>0</v>
      </c>
      <c r="AR43" s="153">
        <f>IFERROR('Similarity matrix'!AR43/'Denominator matrix'!$C$17, "NA")</f>
        <v>1</v>
      </c>
      <c r="AS43" s="153">
        <f>IFERROR('Similarity matrix'!AS43/'Denominator matrix'!$D$17, "NA")</f>
        <v>0.25</v>
      </c>
      <c r="AT43" s="153">
        <f>IFERROR('Similarity matrix'!AT43/'Denominator matrix'!$E$17, "NA")</f>
        <v>0.5</v>
      </c>
      <c r="AU43" s="153">
        <f>IFERROR('Similarity matrix'!AU43/'Denominator matrix'!$F$17, "NA")</f>
        <v>0.8</v>
      </c>
      <c r="AV43" s="153">
        <f>IFERROR('Similarity matrix'!AV43/'Denominator matrix'!$G$17, "NA")</f>
        <v>0.7</v>
      </c>
      <c r="AW43" s="153">
        <f>IFERROR('Similarity matrix'!AW43/'Denominator matrix'!$H$17, "NA")</f>
        <v>0.75</v>
      </c>
      <c r="AX43" s="153">
        <f>IFERROR('Similarity matrix'!AX43/'Denominator matrix'!$I$17, "NA")</f>
        <v>0.75</v>
      </c>
      <c r="AY43" s="153">
        <f>IFERROR('Similarity matrix'!AY43/'Denominator matrix'!$J$17, "NA")</f>
        <v>0.9</v>
      </c>
      <c r="AZ43" s="153">
        <f>IFERROR('Similarity matrix'!AZ43/'Denominator matrix'!$K$17, "NA")</f>
        <v>1</v>
      </c>
      <c r="BA43" s="154">
        <f>IFERROR('Similarity matrix'!BA43/'Denominator matrix'!$B$17, "NA")</f>
        <v>0</v>
      </c>
      <c r="BB43" s="153">
        <f>IFERROR('Similarity matrix'!BB43/'Denominator matrix'!$C$17, "NA")</f>
        <v>0</v>
      </c>
      <c r="BC43" s="153">
        <f>IFERROR('Similarity matrix'!BC43/'Denominator matrix'!$D$17, "NA")</f>
        <v>0</v>
      </c>
      <c r="BD43" s="153">
        <f>IFERROR('Similarity matrix'!BD43/'Denominator matrix'!$E$17, "NA")</f>
        <v>0</v>
      </c>
      <c r="BE43" s="153">
        <f>IFERROR('Similarity matrix'!BE43/'Denominator matrix'!$F$17, "NA")</f>
        <v>0</v>
      </c>
      <c r="BF43" s="153">
        <f>IFERROR('Similarity matrix'!BF43/'Denominator matrix'!$G$17, "NA")</f>
        <v>0</v>
      </c>
      <c r="BG43" s="153">
        <f>IFERROR('Similarity matrix'!BG43/'Denominator matrix'!$H$17, "NA")</f>
        <v>0</v>
      </c>
      <c r="BH43" s="153">
        <f>IFERROR('Similarity matrix'!BH43/'Denominator matrix'!$I$17, "NA")</f>
        <v>0</v>
      </c>
      <c r="BI43" s="153">
        <f>IFERROR('Similarity matrix'!BI43/'Denominator matrix'!$J$17, "NA")</f>
        <v>0</v>
      </c>
      <c r="BJ43" s="153">
        <f>IFERROR('Similarity matrix'!BJ43/'Denominator matrix'!$K$17, "NA")</f>
        <v>0</v>
      </c>
      <c r="BK43" s="154">
        <f>IFERROR('Similarity matrix'!BK43/'Denominator matrix'!$B$17, "NA")</f>
        <v>0</v>
      </c>
      <c r="BL43" s="153">
        <f>IFERROR('Similarity matrix'!BL43/'Denominator matrix'!$C$17, "NA")</f>
        <v>0</v>
      </c>
      <c r="BM43" s="153">
        <f>IFERROR('Similarity matrix'!BM43/'Denominator matrix'!$D$17, "NA")</f>
        <v>0</v>
      </c>
      <c r="BN43" s="153">
        <f>IFERROR('Similarity matrix'!BN43/'Denominator matrix'!$E$17, "NA")</f>
        <v>0</v>
      </c>
      <c r="BO43" s="153">
        <f>IFERROR('Similarity matrix'!BO43/'Denominator matrix'!$F$17, "NA")</f>
        <v>0</v>
      </c>
      <c r="BP43" s="153">
        <f>IFERROR('Similarity matrix'!BP43/'Denominator matrix'!$G$17, "NA")</f>
        <v>0</v>
      </c>
      <c r="BQ43" s="153">
        <f>IFERROR('Similarity matrix'!BQ43/'Denominator matrix'!$H$17, "NA")</f>
        <v>0</v>
      </c>
      <c r="BR43" s="153">
        <f>IFERROR('Similarity matrix'!BR43/'Denominator matrix'!$I$17, "NA")</f>
        <v>0</v>
      </c>
      <c r="BS43" s="153">
        <f>IFERROR('Similarity matrix'!BS43/'Denominator matrix'!$J$17, "NA")</f>
        <v>0</v>
      </c>
      <c r="BT43" s="153">
        <f>IFERROR('Similarity matrix'!BT43/'Denominator matrix'!$K$17, "NA")</f>
        <v>0</v>
      </c>
      <c r="BU43" s="154">
        <f>IFERROR('Similarity matrix'!BU43/'Denominator matrix'!$B$17, "NA")</f>
        <v>0</v>
      </c>
      <c r="BV43" s="153">
        <f>IFERROR('Similarity matrix'!BV43/'Denominator matrix'!$C$17, "NA")</f>
        <v>0</v>
      </c>
      <c r="BW43" s="153">
        <f>IFERROR('Similarity matrix'!BW43/'Denominator matrix'!$D$17, "NA")</f>
        <v>0</v>
      </c>
      <c r="BX43" s="153">
        <f>IFERROR('Similarity matrix'!BX43/'Denominator matrix'!$E$17, "NA")</f>
        <v>0</v>
      </c>
      <c r="BY43" s="153">
        <f>IFERROR('Similarity matrix'!BY43/'Denominator matrix'!$F$17, "NA")</f>
        <v>0</v>
      </c>
      <c r="BZ43" s="153">
        <f>IFERROR('Similarity matrix'!BZ43/'Denominator matrix'!$G$17, "NA")</f>
        <v>0</v>
      </c>
      <c r="CA43" s="153">
        <f>IFERROR('Similarity matrix'!CA43/'Denominator matrix'!$H$17, "NA")</f>
        <v>0</v>
      </c>
      <c r="CB43" s="153">
        <f>IFERROR('Similarity matrix'!CB43/'Denominator matrix'!$I$17, "NA")</f>
        <v>0</v>
      </c>
      <c r="CC43" s="153">
        <f>IFERROR('Similarity matrix'!CC43/'Denominator matrix'!$J$17, "NA")</f>
        <v>0</v>
      </c>
      <c r="CD43" s="153">
        <f>IFERROR('Similarity matrix'!CD43/'Denominator matrix'!$K$17, "NA")</f>
        <v>0</v>
      </c>
      <c r="CE43" s="154">
        <f>IFERROR('Similarity matrix'!CE43/'Denominator matrix'!$B$17, "NA")</f>
        <v>0.05555555556</v>
      </c>
      <c r="CF43" s="153">
        <f>IFERROR('Similarity matrix'!CF43/'Denominator matrix'!$C$17, "NA")</f>
        <v>0</v>
      </c>
      <c r="CG43" s="153">
        <f>IFERROR('Similarity matrix'!CG43/'Denominator matrix'!$D$17, "NA")</f>
        <v>0</v>
      </c>
      <c r="CH43" s="153">
        <f>IFERROR('Similarity matrix'!CH43/'Denominator matrix'!$E$17, "NA")</f>
        <v>0</v>
      </c>
      <c r="CI43" s="153">
        <f>IFERROR('Similarity matrix'!CI43/'Denominator matrix'!$F$17, "NA")</f>
        <v>0</v>
      </c>
      <c r="CJ43" s="153">
        <f>IFERROR('Similarity matrix'!CJ43/'Denominator matrix'!$G$17, "NA")</f>
        <v>0</v>
      </c>
      <c r="CK43" s="153">
        <f>IFERROR('Similarity matrix'!CK43/'Denominator matrix'!$H$17, "NA")</f>
        <v>0</v>
      </c>
      <c r="CL43" s="153">
        <f>IFERROR('Similarity matrix'!CL43/'Denominator matrix'!$I$17, "NA")</f>
        <v>0</v>
      </c>
      <c r="CM43" s="153">
        <f>IFERROR('Similarity matrix'!CM43/'Denominator matrix'!$J$17, "NA")</f>
        <v>0</v>
      </c>
      <c r="CN43" s="153">
        <f>IFERROR('Similarity matrix'!CN43/'Denominator matrix'!$K$17, "NA")</f>
        <v>0</v>
      </c>
      <c r="CO43" s="154">
        <f>IFERROR('Similarity matrix'!CO43/'Denominator matrix'!$B$17, "NA")</f>
        <v>0</v>
      </c>
      <c r="CP43" s="153">
        <f>IFERROR('Similarity matrix'!CP43/'Denominator matrix'!$C$17, "NA")</f>
        <v>0</v>
      </c>
      <c r="CQ43" s="153">
        <f>IFERROR('Similarity matrix'!CQ43/'Denominator matrix'!$D$17, "NA")</f>
        <v>0</v>
      </c>
      <c r="CR43" s="153">
        <f>IFERROR('Similarity matrix'!CR43/'Denominator matrix'!$E$17, "NA")</f>
        <v>0</v>
      </c>
      <c r="CS43" s="153">
        <f>IFERROR('Similarity matrix'!CS43/'Denominator matrix'!$F$17, "NA")</f>
        <v>0</v>
      </c>
      <c r="CT43" s="153">
        <f>IFERROR('Similarity matrix'!CT43/'Denominator matrix'!$G$17, "NA")</f>
        <v>0</v>
      </c>
      <c r="CU43" s="153">
        <f>IFERROR('Similarity matrix'!CU43/'Denominator matrix'!$H$17, "NA")</f>
        <v>0</v>
      </c>
      <c r="CV43" s="153">
        <f>IFERROR('Similarity matrix'!CV43/'Denominator matrix'!$I$17, "NA")</f>
        <v>0</v>
      </c>
      <c r="CW43" s="153">
        <f>IFERROR('Similarity matrix'!CW43/'Denominator matrix'!$J$17, "NA")</f>
        <v>0</v>
      </c>
      <c r="CX43" s="153">
        <f>IFERROR('Similarity matrix'!CX43/'Denominator matrix'!$K$17, "NA")</f>
        <v>0</v>
      </c>
    </row>
    <row r="44" ht="35.25" customHeight="1">
      <c r="B44" s="124">
        <v>45693.0</v>
      </c>
      <c r="C44" s="154">
        <f>IFERROR('Similarity matrix'!C44/'Denominator matrix'!$B$18, "NA")</f>
        <v>0</v>
      </c>
      <c r="D44" s="156">
        <f>IFERROR('Similarity matrix'!D44/'Denominator matrix'!$C$18, "NA")</f>
        <v>0</v>
      </c>
      <c r="E44" s="153">
        <f>IFERROR('Similarity matrix'!E44/'Denominator matrix'!$D$18, "NA")</f>
        <v>0</v>
      </c>
      <c r="F44" s="153">
        <f>IFERROR('Similarity matrix'!F44/'Denominator matrix'!$E$18, "NA")</f>
        <v>0</v>
      </c>
      <c r="G44" s="153">
        <f>IFERROR('Similarity matrix'!G44/'Denominator matrix'!$F$18, "NA")</f>
        <v>0</v>
      </c>
      <c r="H44" s="153">
        <f>IFERROR('Similarity matrix'!H44/'Denominator matrix'!$G$18, "NA")</f>
        <v>0</v>
      </c>
      <c r="I44" s="153">
        <f>IFERROR('Similarity matrix'!I44/'Denominator matrix'!$H$18, "NA")</f>
        <v>0</v>
      </c>
      <c r="J44" s="153">
        <f>IFERROR('Similarity matrix'!J44/'Denominator matrix'!$I$18, "NA")</f>
        <v>0</v>
      </c>
      <c r="K44" s="153">
        <f>IFERROR('Similarity matrix'!K44/'Denominator matrix'!$J$18, "NA")</f>
        <v>0</v>
      </c>
      <c r="L44" s="153">
        <f>IFERROR('Similarity matrix'!L44/'Denominator matrix'!$K$18, "NA")</f>
        <v>0</v>
      </c>
      <c r="M44" s="154">
        <f>IFERROR('Similarity matrix'!M44/'Denominator matrix'!$B$18, "NA")</f>
        <v>0</v>
      </c>
      <c r="N44" s="156">
        <f>IFERROR('Similarity matrix'!N44/'Denominator matrix'!$C$18, "NA")</f>
        <v>0</v>
      </c>
      <c r="O44" s="153">
        <f>IFERROR('Similarity matrix'!O44/'Denominator matrix'!$D$18, "NA")</f>
        <v>0</v>
      </c>
      <c r="P44" s="153">
        <f>IFERROR('Similarity matrix'!P44/'Denominator matrix'!$E$18, "NA")</f>
        <v>0</v>
      </c>
      <c r="Q44" s="153">
        <f>IFERROR('Similarity matrix'!Q44/'Denominator matrix'!$F$18, "NA")</f>
        <v>0</v>
      </c>
      <c r="R44" s="153">
        <f>IFERROR('Similarity matrix'!R44/'Denominator matrix'!$G$18, "NA")</f>
        <v>0</v>
      </c>
      <c r="S44" s="153">
        <f>IFERROR('Similarity matrix'!S44/'Denominator matrix'!$H$18, "NA")</f>
        <v>0</v>
      </c>
      <c r="T44" s="153">
        <f>IFERROR('Similarity matrix'!T44/'Denominator matrix'!$I$18, "NA")</f>
        <v>0</v>
      </c>
      <c r="U44" s="153">
        <f>IFERROR('Similarity matrix'!U44/'Denominator matrix'!$J$18, "NA")</f>
        <v>0</v>
      </c>
      <c r="V44" s="153">
        <f>IFERROR('Similarity matrix'!V44/'Denominator matrix'!$K$18, "NA")</f>
        <v>0</v>
      </c>
      <c r="W44" s="154">
        <f>IFERROR('Similarity matrix'!W44/'Denominator matrix'!$B$18, "NA")</f>
        <v>0</v>
      </c>
      <c r="X44" s="156">
        <f>IFERROR('Similarity matrix'!X44/'Denominator matrix'!$C$18, "NA")</f>
        <v>0</v>
      </c>
      <c r="Y44" s="153">
        <f>IFERROR('Similarity matrix'!Y44/'Denominator matrix'!$D$18, "NA")</f>
        <v>0</v>
      </c>
      <c r="Z44" s="153">
        <f>IFERROR('Similarity matrix'!Z44/'Denominator matrix'!$E$18, "NA")</f>
        <v>0</v>
      </c>
      <c r="AA44" s="153">
        <f>IFERROR('Similarity matrix'!AA44/'Denominator matrix'!$F$18, "NA")</f>
        <v>0</v>
      </c>
      <c r="AB44" s="153">
        <f>IFERROR('Similarity matrix'!AB44/'Denominator matrix'!$G$18, "NA")</f>
        <v>0</v>
      </c>
      <c r="AC44" s="153">
        <f>IFERROR('Similarity matrix'!AC44/'Denominator matrix'!$H$18, "NA")</f>
        <v>0</v>
      </c>
      <c r="AD44" s="153">
        <f>IFERROR('Similarity matrix'!AD44/'Denominator matrix'!$I$18, "NA")</f>
        <v>0</v>
      </c>
      <c r="AE44" s="153">
        <f>IFERROR('Similarity matrix'!AE44/'Denominator matrix'!$J$18, "NA")</f>
        <v>0</v>
      </c>
      <c r="AF44" s="153">
        <f>IFERROR('Similarity matrix'!AF44/'Denominator matrix'!$K$18, "NA")</f>
        <v>0</v>
      </c>
      <c r="AG44" s="154">
        <f>IFERROR('Similarity matrix'!AG44/'Denominator matrix'!$B$18, "NA")</f>
        <v>0</v>
      </c>
      <c r="AH44" s="156">
        <f>IFERROR('Similarity matrix'!AH44/'Denominator matrix'!$C$18, "NA")</f>
        <v>0</v>
      </c>
      <c r="AI44" s="153">
        <f>IFERROR('Similarity matrix'!AI44/'Denominator matrix'!$D$18, "NA")</f>
        <v>0</v>
      </c>
      <c r="AJ44" s="153">
        <f>IFERROR('Similarity matrix'!AJ44/'Denominator matrix'!$E$18, "NA")</f>
        <v>0</v>
      </c>
      <c r="AK44" s="153">
        <f>IFERROR('Similarity matrix'!AK44/'Denominator matrix'!$F$18, "NA")</f>
        <v>0</v>
      </c>
      <c r="AL44" s="153">
        <f>IFERROR('Similarity matrix'!AL44/'Denominator matrix'!$G$18, "NA")</f>
        <v>0</v>
      </c>
      <c r="AM44" s="153">
        <f>IFERROR('Similarity matrix'!AM44/'Denominator matrix'!$H$18, "NA")</f>
        <v>0</v>
      </c>
      <c r="AN44" s="153">
        <f>IFERROR('Similarity matrix'!AN44/'Denominator matrix'!$I$18, "NA")</f>
        <v>0</v>
      </c>
      <c r="AO44" s="153">
        <f>IFERROR('Similarity matrix'!AO44/'Denominator matrix'!$J$18, "NA")</f>
        <v>0</v>
      </c>
      <c r="AP44" s="153">
        <f>IFERROR('Similarity matrix'!AP44/'Denominator matrix'!$K$18, "NA")</f>
        <v>0.25</v>
      </c>
      <c r="AQ44" s="154">
        <f>IFERROR('Similarity matrix'!AQ44/'Denominator matrix'!$B$18, "NA")</f>
        <v>1</v>
      </c>
      <c r="AR44" s="155">
        <f>IFERROR('Similarity matrix'!AR44/'Denominator matrix'!$C$18, "NA")</f>
        <v>0</v>
      </c>
      <c r="AS44" s="153">
        <f>IFERROR('Similarity matrix'!AS44/'Denominator matrix'!$D$18, "NA")</f>
        <v>1</v>
      </c>
      <c r="AT44" s="153">
        <f>IFERROR('Similarity matrix'!AT44/'Denominator matrix'!$E$18, "NA")</f>
        <v>1</v>
      </c>
      <c r="AU44" s="153">
        <f>IFERROR('Similarity matrix'!AU44/'Denominator matrix'!$F$18, "NA")</f>
        <v>0.8333333333</v>
      </c>
      <c r="AV44" s="153">
        <f>IFERROR('Similarity matrix'!AV44/'Denominator matrix'!$G$18, "NA")</f>
        <v>1</v>
      </c>
      <c r="AW44" s="153">
        <f>IFERROR('Similarity matrix'!AW44/'Denominator matrix'!$H$18, "NA")</f>
        <v>0.5</v>
      </c>
      <c r="AX44" s="153">
        <f>IFERROR('Similarity matrix'!AX44/'Denominator matrix'!$I$18, "NA")</f>
        <v>0.75</v>
      </c>
      <c r="AY44" s="153">
        <f>IFERROR('Similarity matrix'!AY44/'Denominator matrix'!$J$18, "NA")</f>
        <v>1</v>
      </c>
      <c r="AZ44" s="153">
        <f>IFERROR('Similarity matrix'!AZ44/'Denominator matrix'!$K$18, "NA")</f>
        <v>0.5</v>
      </c>
      <c r="BA44" s="154">
        <f>IFERROR('Similarity matrix'!BA44/'Denominator matrix'!$B$18, "NA")</f>
        <v>0</v>
      </c>
      <c r="BB44" s="156">
        <f>IFERROR('Similarity matrix'!BB44/'Denominator matrix'!$C$18, "NA")</f>
        <v>0</v>
      </c>
      <c r="BC44" s="153">
        <f>IFERROR('Similarity matrix'!BC44/'Denominator matrix'!$D$18, "NA")</f>
        <v>0</v>
      </c>
      <c r="BD44" s="153">
        <f>IFERROR('Similarity matrix'!BD44/'Denominator matrix'!$E$18, "NA")</f>
        <v>0.25</v>
      </c>
      <c r="BE44" s="153">
        <f>IFERROR('Similarity matrix'!BE44/'Denominator matrix'!$F$18, "NA")</f>
        <v>0</v>
      </c>
      <c r="BF44" s="153">
        <f>IFERROR('Similarity matrix'!BF44/'Denominator matrix'!$G$18, "NA")</f>
        <v>0</v>
      </c>
      <c r="BG44" s="153">
        <f>IFERROR('Similarity matrix'!BG44/'Denominator matrix'!$H$18, "NA")</f>
        <v>0</v>
      </c>
      <c r="BH44" s="153">
        <f>IFERROR('Similarity matrix'!BH44/'Denominator matrix'!$I$18, "NA")</f>
        <v>0</v>
      </c>
      <c r="BI44" s="153">
        <f>IFERROR('Similarity matrix'!BI44/'Denominator matrix'!$J$18, "NA")</f>
        <v>0</v>
      </c>
      <c r="BJ44" s="153">
        <f>IFERROR('Similarity matrix'!BJ44/'Denominator matrix'!$K$18, "NA")</f>
        <v>0</v>
      </c>
      <c r="BK44" s="154">
        <f>IFERROR('Similarity matrix'!BK44/'Denominator matrix'!$B$18, "NA")</f>
        <v>0</v>
      </c>
      <c r="BL44" s="156">
        <f>IFERROR('Similarity matrix'!BL44/'Denominator matrix'!$C$18, "NA")</f>
        <v>0</v>
      </c>
      <c r="BM44" s="153">
        <f>IFERROR('Similarity matrix'!BM44/'Denominator matrix'!$D$18, "NA")</f>
        <v>0</v>
      </c>
      <c r="BN44" s="153">
        <f>IFERROR('Similarity matrix'!BN44/'Denominator matrix'!$E$18, "NA")</f>
        <v>0</v>
      </c>
      <c r="BO44" s="153">
        <f>IFERROR('Similarity matrix'!BO44/'Denominator matrix'!$F$18, "NA")</f>
        <v>0</v>
      </c>
      <c r="BP44" s="153">
        <f>IFERROR('Similarity matrix'!BP44/'Denominator matrix'!$G$18, "NA")</f>
        <v>0</v>
      </c>
      <c r="BQ44" s="153">
        <f>IFERROR('Similarity matrix'!BQ44/'Denominator matrix'!$H$18, "NA")</f>
        <v>0</v>
      </c>
      <c r="BR44" s="153">
        <f>IFERROR('Similarity matrix'!BR44/'Denominator matrix'!$I$18, "NA")</f>
        <v>0</v>
      </c>
      <c r="BS44" s="153">
        <f>IFERROR('Similarity matrix'!BS44/'Denominator matrix'!$J$18, "NA")</f>
        <v>0</v>
      </c>
      <c r="BT44" s="153">
        <f>IFERROR('Similarity matrix'!BT44/'Denominator matrix'!$K$18, "NA")</f>
        <v>0</v>
      </c>
      <c r="BU44" s="154">
        <f>IFERROR('Similarity matrix'!BU44/'Denominator matrix'!$B$18, "NA")</f>
        <v>0</v>
      </c>
      <c r="BV44" s="156">
        <f>IFERROR('Similarity matrix'!BV44/'Denominator matrix'!$C$18, "NA")</f>
        <v>0</v>
      </c>
      <c r="BW44" s="153">
        <f>IFERROR('Similarity matrix'!BW44/'Denominator matrix'!$D$18, "NA")</f>
        <v>0</v>
      </c>
      <c r="BX44" s="153">
        <f>IFERROR('Similarity matrix'!BX44/'Denominator matrix'!$E$18, "NA")</f>
        <v>0</v>
      </c>
      <c r="BY44" s="153">
        <f>IFERROR('Similarity matrix'!BY44/'Denominator matrix'!$F$18, "NA")</f>
        <v>0</v>
      </c>
      <c r="BZ44" s="153">
        <f>IFERROR('Similarity matrix'!BZ44/'Denominator matrix'!$G$18, "NA")</f>
        <v>0</v>
      </c>
      <c r="CA44" s="153">
        <f>IFERROR('Similarity matrix'!CA44/'Denominator matrix'!$H$18, "NA")</f>
        <v>0</v>
      </c>
      <c r="CB44" s="153">
        <f>IFERROR('Similarity matrix'!CB44/'Denominator matrix'!$I$18, "NA")</f>
        <v>0</v>
      </c>
      <c r="CC44" s="153">
        <f>IFERROR('Similarity matrix'!CC44/'Denominator matrix'!$J$18, "NA")</f>
        <v>0</v>
      </c>
      <c r="CD44" s="153">
        <f>IFERROR('Similarity matrix'!CD44/'Denominator matrix'!$K$18, "NA")</f>
        <v>0</v>
      </c>
      <c r="CE44" s="154">
        <f>IFERROR('Similarity matrix'!CE44/'Denominator matrix'!$B$18, "NA")</f>
        <v>0</v>
      </c>
      <c r="CF44" s="156">
        <f>IFERROR('Similarity matrix'!CF44/'Denominator matrix'!$C$18, "NA")</f>
        <v>0.07142857143</v>
      </c>
      <c r="CG44" s="153">
        <f>IFERROR('Similarity matrix'!CG44/'Denominator matrix'!$D$18, "NA")</f>
        <v>0</v>
      </c>
      <c r="CH44" s="153">
        <f>IFERROR('Similarity matrix'!CH44/'Denominator matrix'!$E$18, "NA")</f>
        <v>0</v>
      </c>
      <c r="CI44" s="153">
        <f>IFERROR('Similarity matrix'!CI44/'Denominator matrix'!$F$18, "NA")</f>
        <v>0</v>
      </c>
      <c r="CJ44" s="153">
        <f>IFERROR('Similarity matrix'!CJ44/'Denominator matrix'!$G$18, "NA")</f>
        <v>0</v>
      </c>
      <c r="CK44" s="153">
        <f>IFERROR('Similarity matrix'!CK44/'Denominator matrix'!$H$18, "NA")</f>
        <v>0.1666666667</v>
      </c>
      <c r="CL44" s="153">
        <f>IFERROR('Similarity matrix'!CL44/'Denominator matrix'!$I$18, "NA")</f>
        <v>0</v>
      </c>
      <c r="CM44" s="153">
        <f>IFERROR('Similarity matrix'!CM44/'Denominator matrix'!$J$18, "NA")</f>
        <v>0</v>
      </c>
      <c r="CN44" s="153">
        <f>IFERROR('Similarity matrix'!CN44/'Denominator matrix'!$K$18, "NA")</f>
        <v>0.25</v>
      </c>
      <c r="CO44" s="154">
        <f>IFERROR('Similarity matrix'!CO44/'Denominator matrix'!$B$18, "NA")</f>
        <v>0</v>
      </c>
      <c r="CP44" s="156">
        <f>IFERROR('Similarity matrix'!CP44/'Denominator matrix'!$C$18, "NA")</f>
        <v>0</v>
      </c>
      <c r="CQ44" s="153">
        <f>IFERROR('Similarity matrix'!CQ44/'Denominator matrix'!$D$18, "NA")</f>
        <v>0</v>
      </c>
      <c r="CR44" s="153">
        <f>IFERROR('Similarity matrix'!CR44/'Denominator matrix'!$E$18, "NA")</f>
        <v>0</v>
      </c>
      <c r="CS44" s="153">
        <f>IFERROR('Similarity matrix'!CS44/'Denominator matrix'!$F$18, "NA")</f>
        <v>0</v>
      </c>
      <c r="CT44" s="153">
        <f>IFERROR('Similarity matrix'!CT44/'Denominator matrix'!$G$18, "NA")</f>
        <v>0</v>
      </c>
      <c r="CU44" s="153">
        <f>IFERROR('Similarity matrix'!CU44/'Denominator matrix'!$H$18, "NA")</f>
        <v>0.1666666667</v>
      </c>
      <c r="CV44" s="153">
        <f>IFERROR('Similarity matrix'!CV44/'Denominator matrix'!$I$18, "NA")</f>
        <v>0</v>
      </c>
      <c r="CW44" s="153">
        <f>IFERROR('Similarity matrix'!CW44/'Denominator matrix'!$J$18, "NA")</f>
        <v>0</v>
      </c>
      <c r="CX44" s="153">
        <f>IFERROR('Similarity matrix'!CX44/'Denominator matrix'!$K$18, "NA")</f>
        <v>0</v>
      </c>
    </row>
    <row r="45" ht="35.25" customHeight="1">
      <c r="B45" s="124">
        <v>45721.0</v>
      </c>
      <c r="C45" s="154">
        <f>IFERROR('Similarity matrix'!C45/'Denominator matrix'!$B$19, "NA")</f>
        <v>0</v>
      </c>
      <c r="D45" s="153">
        <f>IFERROR('Similarity matrix'!D45/'Denominator matrix'!$C$19, "NA")</f>
        <v>0</v>
      </c>
      <c r="E45" s="156">
        <f>IFERROR('Similarity matrix'!E45/'Denominator matrix'!$D$19, "NA")</f>
        <v>0</v>
      </c>
      <c r="F45" s="153">
        <f>IFERROR('Similarity matrix'!F45/'Denominator matrix'!$E$19, "NA")</f>
        <v>0</v>
      </c>
      <c r="G45" s="153">
        <f>IFERROR('Similarity matrix'!G45/'Denominator matrix'!$F$19, "NA")</f>
        <v>0</v>
      </c>
      <c r="H45" s="153">
        <f>IFERROR('Similarity matrix'!H45/'Denominator matrix'!$G$19, "NA")</f>
        <v>0</v>
      </c>
      <c r="I45" s="153">
        <f>IFERROR('Similarity matrix'!I45/'Denominator matrix'!$H$19, "NA")</f>
        <v>0</v>
      </c>
      <c r="J45" s="153">
        <f>IFERROR('Similarity matrix'!J45/'Denominator matrix'!$I$19, "NA")</f>
        <v>0</v>
      </c>
      <c r="K45" s="153">
        <f>IFERROR('Similarity matrix'!K45/'Denominator matrix'!$J$19, "NA")</f>
        <v>0</v>
      </c>
      <c r="L45" s="153">
        <f>IFERROR('Similarity matrix'!L45/'Denominator matrix'!$K$19, "NA")</f>
        <v>0</v>
      </c>
      <c r="M45" s="154">
        <f>IFERROR('Similarity matrix'!M45/'Denominator matrix'!$B$19, "NA")</f>
        <v>0</v>
      </c>
      <c r="N45" s="153">
        <f>IFERROR('Similarity matrix'!N45/'Denominator matrix'!$C$19, "NA")</f>
        <v>0</v>
      </c>
      <c r="O45" s="156">
        <f>IFERROR('Similarity matrix'!O45/'Denominator matrix'!$D$19, "NA")</f>
        <v>0</v>
      </c>
      <c r="P45" s="153">
        <f>IFERROR('Similarity matrix'!P45/'Denominator matrix'!$E$19, "NA")</f>
        <v>0</v>
      </c>
      <c r="Q45" s="153">
        <f>IFERROR('Similarity matrix'!Q45/'Denominator matrix'!$F$19, "NA")</f>
        <v>0</v>
      </c>
      <c r="R45" s="153">
        <f>IFERROR('Similarity matrix'!R45/'Denominator matrix'!$G$19, "NA")</f>
        <v>0</v>
      </c>
      <c r="S45" s="153">
        <f>IFERROR('Similarity matrix'!S45/'Denominator matrix'!$H$19, "NA")</f>
        <v>0</v>
      </c>
      <c r="T45" s="153">
        <f>IFERROR('Similarity matrix'!T45/'Denominator matrix'!$I$19, "NA")</f>
        <v>0</v>
      </c>
      <c r="U45" s="153">
        <f>IFERROR('Similarity matrix'!U45/'Denominator matrix'!$J$19, "NA")</f>
        <v>0</v>
      </c>
      <c r="V45" s="153">
        <f>IFERROR('Similarity matrix'!V45/'Denominator matrix'!$K$19, "NA")</f>
        <v>0</v>
      </c>
      <c r="W45" s="154">
        <f>IFERROR('Similarity matrix'!W45/'Denominator matrix'!$B$19, "NA")</f>
        <v>0</v>
      </c>
      <c r="X45" s="153">
        <f>IFERROR('Similarity matrix'!X45/'Denominator matrix'!$C$19, "NA")</f>
        <v>0</v>
      </c>
      <c r="Y45" s="156">
        <f>IFERROR('Similarity matrix'!Y45/'Denominator matrix'!$D$19, "NA")</f>
        <v>0</v>
      </c>
      <c r="Z45" s="153">
        <f>IFERROR('Similarity matrix'!Z45/'Denominator matrix'!$E$19, "NA")</f>
        <v>0</v>
      </c>
      <c r="AA45" s="153">
        <f>IFERROR('Similarity matrix'!AA45/'Denominator matrix'!$F$19, "NA")</f>
        <v>0</v>
      </c>
      <c r="AB45" s="153">
        <f>IFERROR('Similarity matrix'!AB45/'Denominator matrix'!$G$19, "NA")</f>
        <v>0</v>
      </c>
      <c r="AC45" s="153">
        <f>IFERROR('Similarity matrix'!AC45/'Denominator matrix'!$H$19, "NA")</f>
        <v>0</v>
      </c>
      <c r="AD45" s="153">
        <f>IFERROR('Similarity matrix'!AD45/'Denominator matrix'!$I$19, "NA")</f>
        <v>0</v>
      </c>
      <c r="AE45" s="153">
        <f>IFERROR('Similarity matrix'!AE45/'Denominator matrix'!$J$19, "NA")</f>
        <v>0</v>
      </c>
      <c r="AF45" s="153">
        <f>IFERROR('Similarity matrix'!AF45/'Denominator matrix'!$K$19, "NA")</f>
        <v>0</v>
      </c>
      <c r="AG45" s="154">
        <f>IFERROR('Similarity matrix'!AG45/'Denominator matrix'!$B$19, "NA")</f>
        <v>0</v>
      </c>
      <c r="AH45" s="153">
        <f>IFERROR('Similarity matrix'!AH45/'Denominator matrix'!$C$19, "NA")</f>
        <v>0</v>
      </c>
      <c r="AI45" s="156">
        <f>IFERROR('Similarity matrix'!AI45/'Denominator matrix'!$D$19, "NA")</f>
        <v>0</v>
      </c>
      <c r="AJ45" s="153">
        <f>IFERROR('Similarity matrix'!AJ45/'Denominator matrix'!$E$19, "NA")</f>
        <v>0</v>
      </c>
      <c r="AK45" s="153">
        <f>IFERROR('Similarity matrix'!AK45/'Denominator matrix'!$F$19, "NA")</f>
        <v>0</v>
      </c>
      <c r="AL45" s="153">
        <f>IFERROR('Similarity matrix'!AL45/'Denominator matrix'!$G$19, "NA")</f>
        <v>0</v>
      </c>
      <c r="AM45" s="153">
        <f>IFERROR('Similarity matrix'!AM45/'Denominator matrix'!$H$19, "NA")</f>
        <v>0</v>
      </c>
      <c r="AN45" s="153">
        <f>IFERROR('Similarity matrix'!AN45/'Denominator matrix'!$I$19, "NA")</f>
        <v>0</v>
      </c>
      <c r="AO45" s="153">
        <f>IFERROR('Similarity matrix'!AO45/'Denominator matrix'!$J$19, "NA")</f>
        <v>0</v>
      </c>
      <c r="AP45" s="153">
        <f>IFERROR('Similarity matrix'!AP45/'Denominator matrix'!$K$19, "NA")</f>
        <v>0.1666666667</v>
      </c>
      <c r="AQ45" s="154">
        <f>IFERROR('Similarity matrix'!AQ45/'Denominator matrix'!$B$19, "NA")</f>
        <v>0.25</v>
      </c>
      <c r="AR45" s="153">
        <f>IFERROR('Similarity matrix'!AR45/'Denominator matrix'!$C$19, "NA")</f>
        <v>1</v>
      </c>
      <c r="AS45" s="155">
        <f>IFERROR('Similarity matrix'!AS45/'Denominator matrix'!$D$19, "NA")</f>
        <v>0</v>
      </c>
      <c r="AT45" s="153">
        <f>IFERROR('Similarity matrix'!AT45/'Denominator matrix'!$E$19, "NA")</f>
        <v>0.75</v>
      </c>
      <c r="AU45" s="153">
        <f>IFERROR('Similarity matrix'!AU45/'Denominator matrix'!$F$19, "NA")</f>
        <v>0.75</v>
      </c>
      <c r="AV45" s="153">
        <f>IFERROR('Similarity matrix'!AV45/'Denominator matrix'!$G$19, "NA")</f>
        <v>0.5</v>
      </c>
      <c r="AW45" s="153">
        <f>IFERROR('Similarity matrix'!AW45/'Denominator matrix'!$H$19, "NA")</f>
        <v>0.625</v>
      </c>
      <c r="AX45" s="153">
        <f>IFERROR('Similarity matrix'!AX45/'Denominator matrix'!$I$19, "NA")</f>
        <v>0.8333333333</v>
      </c>
      <c r="AY45" s="153">
        <f>IFERROR('Similarity matrix'!AY45/'Denominator matrix'!$J$19, "NA")</f>
        <v>1</v>
      </c>
      <c r="AZ45" s="153">
        <f>IFERROR('Similarity matrix'!AZ45/'Denominator matrix'!$K$19, "NA")</f>
        <v>0.6666666667</v>
      </c>
      <c r="BA45" s="154">
        <f>IFERROR('Similarity matrix'!BA45/'Denominator matrix'!$B$19, "NA")</f>
        <v>0</v>
      </c>
      <c r="BB45" s="153">
        <f>IFERROR('Similarity matrix'!BB45/'Denominator matrix'!$C$19, "NA")</f>
        <v>0</v>
      </c>
      <c r="BC45" s="156">
        <f>IFERROR('Similarity matrix'!BC45/'Denominator matrix'!$D$19, "NA")</f>
        <v>0</v>
      </c>
      <c r="BD45" s="153">
        <f>IFERROR('Similarity matrix'!BD45/'Denominator matrix'!$E$19, "NA")</f>
        <v>0</v>
      </c>
      <c r="BE45" s="153">
        <f>IFERROR('Similarity matrix'!BE45/'Denominator matrix'!$F$19, "NA")</f>
        <v>0</v>
      </c>
      <c r="BF45" s="153">
        <f>IFERROR('Similarity matrix'!BF45/'Denominator matrix'!$G$19, "NA")</f>
        <v>0</v>
      </c>
      <c r="BG45" s="153">
        <f>IFERROR('Similarity matrix'!BG45/'Denominator matrix'!$H$19, "NA")</f>
        <v>0</v>
      </c>
      <c r="BH45" s="153">
        <f>IFERROR('Similarity matrix'!BH45/'Denominator matrix'!$I$19, "NA")</f>
        <v>0</v>
      </c>
      <c r="BI45" s="153">
        <f>IFERROR('Similarity matrix'!BI45/'Denominator matrix'!$J$19, "NA")</f>
        <v>0</v>
      </c>
      <c r="BJ45" s="153">
        <f>IFERROR('Similarity matrix'!BJ45/'Denominator matrix'!$K$19, "NA")</f>
        <v>0</v>
      </c>
      <c r="BK45" s="154">
        <f>IFERROR('Similarity matrix'!BK45/'Denominator matrix'!$B$19, "NA")</f>
        <v>0</v>
      </c>
      <c r="BL45" s="153">
        <f>IFERROR('Similarity matrix'!BL45/'Denominator matrix'!$C$19, "NA")</f>
        <v>0</v>
      </c>
      <c r="BM45" s="156">
        <f>IFERROR('Similarity matrix'!BM45/'Denominator matrix'!$D$19, "NA")</f>
        <v>0</v>
      </c>
      <c r="BN45" s="153">
        <f>IFERROR('Similarity matrix'!BN45/'Denominator matrix'!$E$19, "NA")</f>
        <v>0</v>
      </c>
      <c r="BO45" s="153">
        <f>IFERROR('Similarity matrix'!BO45/'Denominator matrix'!$F$19, "NA")</f>
        <v>0</v>
      </c>
      <c r="BP45" s="153">
        <f>IFERROR('Similarity matrix'!BP45/'Denominator matrix'!$G$19, "NA")</f>
        <v>0</v>
      </c>
      <c r="BQ45" s="153">
        <f>IFERROR('Similarity matrix'!BQ45/'Denominator matrix'!$H$19, "NA")</f>
        <v>0</v>
      </c>
      <c r="BR45" s="153">
        <f>IFERROR('Similarity matrix'!BR45/'Denominator matrix'!$I$19, "NA")</f>
        <v>0</v>
      </c>
      <c r="BS45" s="153">
        <f>IFERROR('Similarity matrix'!BS45/'Denominator matrix'!$J$19, "NA")</f>
        <v>0</v>
      </c>
      <c r="BT45" s="153">
        <f>IFERROR('Similarity matrix'!BT45/'Denominator matrix'!$K$19, "NA")</f>
        <v>0</v>
      </c>
      <c r="BU45" s="154">
        <f>IFERROR('Similarity matrix'!BU45/'Denominator matrix'!$B$19, "NA")</f>
        <v>0</v>
      </c>
      <c r="BV45" s="153">
        <f>IFERROR('Similarity matrix'!BV45/'Denominator matrix'!$C$19, "NA")</f>
        <v>0</v>
      </c>
      <c r="BW45" s="156">
        <f>IFERROR('Similarity matrix'!BW45/'Denominator matrix'!$D$19, "NA")</f>
        <v>0</v>
      </c>
      <c r="BX45" s="153">
        <f>IFERROR('Similarity matrix'!BX45/'Denominator matrix'!$E$19, "NA")</f>
        <v>0</v>
      </c>
      <c r="BY45" s="153">
        <f>IFERROR('Similarity matrix'!BY45/'Denominator matrix'!$F$19, "NA")</f>
        <v>0</v>
      </c>
      <c r="BZ45" s="153">
        <f>IFERROR('Similarity matrix'!BZ45/'Denominator matrix'!$G$19, "NA")</f>
        <v>0</v>
      </c>
      <c r="CA45" s="153">
        <f>IFERROR('Similarity matrix'!CA45/'Denominator matrix'!$H$19, "NA")</f>
        <v>0</v>
      </c>
      <c r="CB45" s="153">
        <f>IFERROR('Similarity matrix'!CB45/'Denominator matrix'!$I$19, "NA")</f>
        <v>0</v>
      </c>
      <c r="CC45" s="153">
        <f>IFERROR('Similarity matrix'!CC45/'Denominator matrix'!$J$19, "NA")</f>
        <v>0</v>
      </c>
      <c r="CD45" s="153">
        <f>IFERROR('Similarity matrix'!CD45/'Denominator matrix'!$K$19, "NA")</f>
        <v>0</v>
      </c>
      <c r="CE45" s="154">
        <f>IFERROR('Similarity matrix'!CE45/'Denominator matrix'!$B$19, "NA")</f>
        <v>0</v>
      </c>
      <c r="CF45" s="153">
        <f>IFERROR('Similarity matrix'!CF45/'Denominator matrix'!$C$19, "NA")</f>
        <v>0.25</v>
      </c>
      <c r="CG45" s="156">
        <f>IFERROR('Similarity matrix'!CG45/'Denominator matrix'!$D$19, "NA")</f>
        <v>0</v>
      </c>
      <c r="CH45" s="153">
        <f>IFERROR('Similarity matrix'!CH45/'Denominator matrix'!$E$19, "NA")</f>
        <v>0</v>
      </c>
      <c r="CI45" s="153">
        <f>IFERROR('Similarity matrix'!CI45/'Denominator matrix'!$F$19, "NA")</f>
        <v>0</v>
      </c>
      <c r="CJ45" s="153">
        <f>IFERROR('Similarity matrix'!CJ45/'Denominator matrix'!$G$19, "NA")</f>
        <v>0</v>
      </c>
      <c r="CK45" s="153">
        <f>IFERROR('Similarity matrix'!CK45/'Denominator matrix'!$H$19, "NA")</f>
        <v>0.125</v>
      </c>
      <c r="CL45" s="153">
        <f>IFERROR('Similarity matrix'!CL45/'Denominator matrix'!$I$19, "NA")</f>
        <v>0</v>
      </c>
      <c r="CM45" s="153">
        <f>IFERROR('Similarity matrix'!CM45/'Denominator matrix'!$J$19, "NA")</f>
        <v>0</v>
      </c>
      <c r="CN45" s="153">
        <f>IFERROR('Similarity matrix'!CN45/'Denominator matrix'!$K$19, "NA")</f>
        <v>0.3333333333</v>
      </c>
      <c r="CO45" s="154">
        <f>IFERROR('Similarity matrix'!CO45/'Denominator matrix'!$B$19, "NA")</f>
        <v>0</v>
      </c>
      <c r="CP45" s="153">
        <f>IFERROR('Similarity matrix'!CP45/'Denominator matrix'!$C$19, "NA")</f>
        <v>0</v>
      </c>
      <c r="CQ45" s="156">
        <f>IFERROR('Similarity matrix'!CQ45/'Denominator matrix'!$D$19, "NA")</f>
        <v>0</v>
      </c>
      <c r="CR45" s="153">
        <f>IFERROR('Similarity matrix'!CR45/'Denominator matrix'!$E$19, "NA")</f>
        <v>0</v>
      </c>
      <c r="CS45" s="153">
        <f>IFERROR('Similarity matrix'!CS45/'Denominator matrix'!$F$19, "NA")</f>
        <v>0</v>
      </c>
      <c r="CT45" s="153">
        <f>IFERROR('Similarity matrix'!CT45/'Denominator matrix'!$G$19, "NA")</f>
        <v>0</v>
      </c>
      <c r="CU45" s="153">
        <f>IFERROR('Similarity matrix'!CU45/'Denominator matrix'!$H$19, "NA")</f>
        <v>0.125</v>
      </c>
      <c r="CV45" s="153">
        <f>IFERROR('Similarity matrix'!CV45/'Denominator matrix'!$I$19, "NA")</f>
        <v>0</v>
      </c>
      <c r="CW45" s="153">
        <f>IFERROR('Similarity matrix'!CW45/'Denominator matrix'!$J$19, "NA")</f>
        <v>0</v>
      </c>
      <c r="CX45" s="153">
        <f>IFERROR('Similarity matrix'!CX45/'Denominator matrix'!$K$19, "NA")</f>
        <v>0</v>
      </c>
    </row>
    <row r="46" ht="35.25" customHeight="1">
      <c r="B46" s="124">
        <v>45752.0</v>
      </c>
      <c r="C46" s="154">
        <f>IFERROR('Similarity matrix'!C46/'Denominator matrix'!$B$20, "NA")</f>
        <v>0</v>
      </c>
      <c r="D46" s="153">
        <f>IFERROR('Similarity matrix'!D46/'Denominator matrix'!$C$20, "NA")</f>
        <v>0</v>
      </c>
      <c r="E46" s="153">
        <f>IFERROR('Similarity matrix'!E46/'Denominator matrix'!$D$20, "NA")</f>
        <v>0</v>
      </c>
      <c r="F46" s="156">
        <f>IFERROR('Similarity matrix'!F46/'Denominator matrix'!$E$20, "NA")</f>
        <v>0</v>
      </c>
      <c r="G46" s="153">
        <f>IFERROR('Similarity matrix'!G46/'Denominator matrix'!$F$20, "NA")</f>
        <v>0</v>
      </c>
      <c r="H46" s="153">
        <f>IFERROR('Similarity matrix'!H46/'Denominator matrix'!$G$20, "NA")</f>
        <v>0</v>
      </c>
      <c r="I46" s="153">
        <f>IFERROR('Similarity matrix'!I46/'Denominator matrix'!$H$20, "NA")</f>
        <v>0</v>
      </c>
      <c r="J46" s="153">
        <f>IFERROR('Similarity matrix'!J46/'Denominator matrix'!$I$20, "NA")</f>
        <v>0</v>
      </c>
      <c r="K46" s="153">
        <f>IFERROR('Similarity matrix'!K46/'Denominator matrix'!$J$20, "NA")</f>
        <v>0</v>
      </c>
      <c r="L46" s="153">
        <f>IFERROR('Similarity matrix'!L46/'Denominator matrix'!$K$20, "NA")</f>
        <v>0</v>
      </c>
      <c r="M46" s="154">
        <f>IFERROR('Similarity matrix'!M46/'Denominator matrix'!$B$20, "NA")</f>
        <v>0</v>
      </c>
      <c r="N46" s="153">
        <f>IFERROR('Similarity matrix'!N46/'Denominator matrix'!$C$20, "NA")</f>
        <v>0</v>
      </c>
      <c r="O46" s="153">
        <f>IFERROR('Similarity matrix'!O46/'Denominator matrix'!$D$20, "NA")</f>
        <v>0</v>
      </c>
      <c r="P46" s="156">
        <f>IFERROR('Similarity matrix'!P46/'Denominator matrix'!$E$20, "NA")</f>
        <v>0</v>
      </c>
      <c r="Q46" s="153">
        <f>IFERROR('Similarity matrix'!Q46/'Denominator matrix'!$F$20, "NA")</f>
        <v>0</v>
      </c>
      <c r="R46" s="153">
        <f>IFERROR('Similarity matrix'!R46/'Denominator matrix'!$G$20, "NA")</f>
        <v>0</v>
      </c>
      <c r="S46" s="153">
        <f>IFERROR('Similarity matrix'!S46/'Denominator matrix'!$H$20, "NA")</f>
        <v>0</v>
      </c>
      <c r="T46" s="153">
        <f>IFERROR('Similarity matrix'!T46/'Denominator matrix'!$I$20, "NA")</f>
        <v>0</v>
      </c>
      <c r="U46" s="153">
        <f>IFERROR('Similarity matrix'!U46/'Denominator matrix'!$J$20, "NA")</f>
        <v>0</v>
      </c>
      <c r="V46" s="153">
        <f>IFERROR('Similarity matrix'!V46/'Denominator matrix'!$K$20, "NA")</f>
        <v>0</v>
      </c>
      <c r="W46" s="154">
        <f>IFERROR('Similarity matrix'!W46/'Denominator matrix'!$B$20, "NA")</f>
        <v>0</v>
      </c>
      <c r="X46" s="153">
        <f>IFERROR('Similarity matrix'!X46/'Denominator matrix'!$C$20, "NA")</f>
        <v>0</v>
      </c>
      <c r="Y46" s="153">
        <f>IFERROR('Similarity matrix'!Y46/'Denominator matrix'!$D$20, "NA")</f>
        <v>0</v>
      </c>
      <c r="Z46" s="156">
        <f>IFERROR('Similarity matrix'!Z46/'Denominator matrix'!$E$20, "NA")</f>
        <v>0</v>
      </c>
      <c r="AA46" s="153">
        <f>IFERROR('Similarity matrix'!AA46/'Denominator matrix'!$F$20, "NA")</f>
        <v>0</v>
      </c>
      <c r="AB46" s="153">
        <f>IFERROR('Similarity matrix'!AB46/'Denominator matrix'!$G$20, "NA")</f>
        <v>0</v>
      </c>
      <c r="AC46" s="153">
        <f>IFERROR('Similarity matrix'!AC46/'Denominator matrix'!$H$20, "NA")</f>
        <v>0</v>
      </c>
      <c r="AD46" s="153">
        <f>IFERROR('Similarity matrix'!AD46/'Denominator matrix'!$I$20, "NA")</f>
        <v>0</v>
      </c>
      <c r="AE46" s="153">
        <f>IFERROR('Similarity matrix'!AE46/'Denominator matrix'!$J$20, "NA")</f>
        <v>0</v>
      </c>
      <c r="AF46" s="153">
        <f>IFERROR('Similarity matrix'!AF46/'Denominator matrix'!$K$20, "NA")</f>
        <v>0</v>
      </c>
      <c r="AG46" s="154">
        <f>IFERROR('Similarity matrix'!AG46/'Denominator matrix'!$B$20, "NA")</f>
        <v>0</v>
      </c>
      <c r="AH46" s="153">
        <f>IFERROR('Similarity matrix'!AH46/'Denominator matrix'!$C$20, "NA")</f>
        <v>0</v>
      </c>
      <c r="AI46" s="153">
        <f>IFERROR('Similarity matrix'!AI46/'Denominator matrix'!$D$20, "NA")</f>
        <v>0</v>
      </c>
      <c r="AJ46" s="156">
        <f>IFERROR('Similarity matrix'!AJ46/'Denominator matrix'!$E$20, "NA")</f>
        <v>0</v>
      </c>
      <c r="AK46" s="153">
        <f>IFERROR('Similarity matrix'!AK46/'Denominator matrix'!$F$20, "NA")</f>
        <v>0</v>
      </c>
      <c r="AL46" s="153">
        <f>IFERROR('Similarity matrix'!AL46/'Denominator matrix'!$G$20, "NA")</f>
        <v>0</v>
      </c>
      <c r="AM46" s="153">
        <f>IFERROR('Similarity matrix'!AM46/'Denominator matrix'!$H$20, "NA")</f>
        <v>0</v>
      </c>
      <c r="AN46" s="153">
        <f>IFERROR('Similarity matrix'!AN46/'Denominator matrix'!$I$20, "NA")</f>
        <v>0</v>
      </c>
      <c r="AO46" s="153">
        <f>IFERROR('Similarity matrix'!AO46/'Denominator matrix'!$J$20, "NA")</f>
        <v>0</v>
      </c>
      <c r="AP46" s="153">
        <f>IFERROR('Similarity matrix'!AP46/'Denominator matrix'!$K$20, "NA")</f>
        <v>0</v>
      </c>
      <c r="AQ46" s="154">
        <f>IFERROR('Similarity matrix'!AQ46/'Denominator matrix'!$B$20, "NA")</f>
        <v>0.5</v>
      </c>
      <c r="AR46" s="153">
        <f>IFERROR('Similarity matrix'!AR46/'Denominator matrix'!$C$20, "NA")</f>
        <v>1</v>
      </c>
      <c r="AS46" s="153">
        <f>IFERROR('Similarity matrix'!AS46/'Denominator matrix'!$D$20, "NA")</f>
        <v>0.75</v>
      </c>
      <c r="AT46" s="155">
        <f>IFERROR('Similarity matrix'!AT46/'Denominator matrix'!$E$20, "NA")</f>
        <v>0</v>
      </c>
      <c r="AU46" s="153">
        <f>IFERROR('Similarity matrix'!AU46/'Denominator matrix'!$F$20, "NA")</f>
        <v>0.75</v>
      </c>
      <c r="AV46" s="153">
        <f>IFERROR('Similarity matrix'!AV46/'Denominator matrix'!$G$20, "NA")</f>
        <v>0.5</v>
      </c>
      <c r="AW46" s="153">
        <f>IFERROR('Similarity matrix'!AW46/'Denominator matrix'!$H$20, "NA")</f>
        <v>0.7</v>
      </c>
      <c r="AX46" s="153">
        <f>IFERROR('Similarity matrix'!AX46/'Denominator matrix'!$I$20, "NA")</f>
        <v>0.75</v>
      </c>
      <c r="AY46" s="153">
        <f>IFERROR('Similarity matrix'!AY46/'Denominator matrix'!$J$20, "NA")</f>
        <v>1</v>
      </c>
      <c r="AZ46" s="153">
        <f>IFERROR('Similarity matrix'!AZ46/'Denominator matrix'!$K$20, "NA")</f>
        <v>0.75</v>
      </c>
      <c r="BA46" s="154">
        <f>IFERROR('Similarity matrix'!BA46/'Denominator matrix'!$B$20, "NA")</f>
        <v>0</v>
      </c>
      <c r="BB46" s="153">
        <f>IFERROR('Similarity matrix'!BB46/'Denominator matrix'!$C$20, "NA")</f>
        <v>0</v>
      </c>
      <c r="BC46" s="153">
        <f>IFERROR('Similarity matrix'!BC46/'Denominator matrix'!$D$20, "NA")</f>
        <v>0</v>
      </c>
      <c r="BD46" s="156">
        <f>IFERROR('Similarity matrix'!BD46/'Denominator matrix'!$E$20, "NA")</f>
        <v>0.0625</v>
      </c>
      <c r="BE46" s="153">
        <f>IFERROR('Similarity matrix'!BE46/'Denominator matrix'!$F$20, "NA")</f>
        <v>0</v>
      </c>
      <c r="BF46" s="153">
        <f>IFERROR('Similarity matrix'!BF46/'Denominator matrix'!$G$20, "NA")</f>
        <v>0</v>
      </c>
      <c r="BG46" s="153">
        <f>IFERROR('Similarity matrix'!BG46/'Denominator matrix'!$H$20, "NA")</f>
        <v>0</v>
      </c>
      <c r="BH46" s="153">
        <f>IFERROR('Similarity matrix'!BH46/'Denominator matrix'!$I$20, "NA")</f>
        <v>0</v>
      </c>
      <c r="BI46" s="153">
        <f>IFERROR('Similarity matrix'!BI46/'Denominator matrix'!$J$20, "NA")</f>
        <v>0</v>
      </c>
      <c r="BJ46" s="153">
        <f>IFERROR('Similarity matrix'!BJ46/'Denominator matrix'!$K$20, "NA")</f>
        <v>0</v>
      </c>
      <c r="BK46" s="154">
        <f>IFERROR('Similarity matrix'!BK46/'Denominator matrix'!$B$20, "NA")</f>
        <v>0</v>
      </c>
      <c r="BL46" s="153">
        <f>IFERROR('Similarity matrix'!BL46/'Denominator matrix'!$C$20, "NA")</f>
        <v>0</v>
      </c>
      <c r="BM46" s="153">
        <f>IFERROR('Similarity matrix'!BM46/'Denominator matrix'!$D$20, "NA")</f>
        <v>0</v>
      </c>
      <c r="BN46" s="156">
        <f>IFERROR('Similarity matrix'!BN46/'Denominator matrix'!$E$20, "NA")</f>
        <v>0</v>
      </c>
      <c r="BO46" s="153">
        <f>IFERROR('Similarity matrix'!BO46/'Denominator matrix'!$F$20, "NA")</f>
        <v>0</v>
      </c>
      <c r="BP46" s="153">
        <f>IFERROR('Similarity matrix'!BP46/'Denominator matrix'!$G$20, "NA")</f>
        <v>0</v>
      </c>
      <c r="BQ46" s="153">
        <f>IFERROR('Similarity matrix'!BQ46/'Denominator matrix'!$H$20, "NA")</f>
        <v>0</v>
      </c>
      <c r="BR46" s="153">
        <f>IFERROR('Similarity matrix'!BR46/'Denominator matrix'!$I$20, "NA")</f>
        <v>0</v>
      </c>
      <c r="BS46" s="153">
        <f>IFERROR('Similarity matrix'!BS46/'Denominator matrix'!$J$20, "NA")</f>
        <v>0</v>
      </c>
      <c r="BT46" s="153">
        <f>IFERROR('Similarity matrix'!BT46/'Denominator matrix'!$K$20, "NA")</f>
        <v>0</v>
      </c>
      <c r="BU46" s="154">
        <f>IFERROR('Similarity matrix'!BU46/'Denominator matrix'!$B$20, "NA")</f>
        <v>0</v>
      </c>
      <c r="BV46" s="153">
        <f>IFERROR('Similarity matrix'!BV46/'Denominator matrix'!$C$20, "NA")</f>
        <v>0</v>
      </c>
      <c r="BW46" s="153">
        <f>IFERROR('Similarity matrix'!BW46/'Denominator matrix'!$D$20, "NA")</f>
        <v>0</v>
      </c>
      <c r="BX46" s="156">
        <f>IFERROR('Similarity matrix'!BX46/'Denominator matrix'!$E$20, "NA")</f>
        <v>0</v>
      </c>
      <c r="BY46" s="153">
        <f>IFERROR('Similarity matrix'!BY46/'Denominator matrix'!$F$20, "NA")</f>
        <v>0</v>
      </c>
      <c r="BZ46" s="153">
        <f>IFERROR('Similarity matrix'!BZ46/'Denominator matrix'!$G$20, "NA")</f>
        <v>0</v>
      </c>
      <c r="CA46" s="153">
        <f>IFERROR('Similarity matrix'!CA46/'Denominator matrix'!$H$20, "NA")</f>
        <v>0</v>
      </c>
      <c r="CB46" s="153">
        <f>IFERROR('Similarity matrix'!CB46/'Denominator matrix'!$I$20, "NA")</f>
        <v>0</v>
      </c>
      <c r="CC46" s="153">
        <f>IFERROR('Similarity matrix'!CC46/'Denominator matrix'!$J$20, "NA")</f>
        <v>0</v>
      </c>
      <c r="CD46" s="153">
        <f>IFERROR('Similarity matrix'!CD46/'Denominator matrix'!$K$20, "NA")</f>
        <v>0</v>
      </c>
      <c r="CE46" s="154">
        <f>IFERROR('Similarity matrix'!CE46/'Denominator matrix'!$B$20, "NA")</f>
        <v>0</v>
      </c>
      <c r="CF46" s="153">
        <f>IFERROR('Similarity matrix'!CF46/'Denominator matrix'!$C$20, "NA")</f>
        <v>0</v>
      </c>
      <c r="CG46" s="153">
        <f>IFERROR('Similarity matrix'!CG46/'Denominator matrix'!$D$20, "NA")</f>
        <v>0</v>
      </c>
      <c r="CH46" s="156">
        <f>IFERROR('Similarity matrix'!CH46/'Denominator matrix'!$E$20, "NA")</f>
        <v>0</v>
      </c>
      <c r="CI46" s="153">
        <f>IFERROR('Similarity matrix'!CI46/'Denominator matrix'!$F$20, "NA")</f>
        <v>0</v>
      </c>
      <c r="CJ46" s="153">
        <f>IFERROR('Similarity matrix'!CJ46/'Denominator matrix'!$G$20, "NA")</f>
        <v>0</v>
      </c>
      <c r="CK46" s="153">
        <f>IFERROR('Similarity matrix'!CK46/'Denominator matrix'!$H$20, "NA")</f>
        <v>0</v>
      </c>
      <c r="CL46" s="153">
        <f>IFERROR('Similarity matrix'!CL46/'Denominator matrix'!$I$20, "NA")</f>
        <v>0</v>
      </c>
      <c r="CM46" s="153">
        <f>IFERROR('Similarity matrix'!CM46/'Denominator matrix'!$J$20, "NA")</f>
        <v>0</v>
      </c>
      <c r="CN46" s="153">
        <f>IFERROR('Similarity matrix'!CN46/'Denominator matrix'!$K$20, "NA")</f>
        <v>0</v>
      </c>
      <c r="CO46" s="154">
        <f>IFERROR('Similarity matrix'!CO46/'Denominator matrix'!$B$20, "NA")</f>
        <v>0</v>
      </c>
      <c r="CP46" s="153">
        <f>IFERROR('Similarity matrix'!CP46/'Denominator matrix'!$C$20, "NA")</f>
        <v>0</v>
      </c>
      <c r="CQ46" s="153">
        <f>IFERROR('Similarity matrix'!CQ46/'Denominator matrix'!$D$20, "NA")</f>
        <v>0</v>
      </c>
      <c r="CR46" s="156">
        <f>IFERROR('Similarity matrix'!CR46/'Denominator matrix'!$E$20, "NA")</f>
        <v>0.0625</v>
      </c>
      <c r="CS46" s="153">
        <f>IFERROR('Similarity matrix'!CS46/'Denominator matrix'!$F$20, "NA")</f>
        <v>0</v>
      </c>
      <c r="CT46" s="153">
        <f>IFERROR('Similarity matrix'!CT46/'Denominator matrix'!$G$20, "NA")</f>
        <v>0</v>
      </c>
      <c r="CU46" s="153">
        <f>IFERROR('Similarity matrix'!CU46/'Denominator matrix'!$H$20, "NA")</f>
        <v>0.1</v>
      </c>
      <c r="CV46" s="153">
        <f>IFERROR('Similarity matrix'!CV46/'Denominator matrix'!$I$20, "NA")</f>
        <v>0</v>
      </c>
      <c r="CW46" s="153">
        <f>IFERROR('Similarity matrix'!CW46/'Denominator matrix'!$J$20, "NA")</f>
        <v>0</v>
      </c>
      <c r="CX46" s="153">
        <f>IFERROR('Similarity matrix'!CX46/'Denominator matrix'!$K$20, "NA")</f>
        <v>0.25</v>
      </c>
    </row>
    <row r="47" ht="35.25" customHeight="1">
      <c r="B47" s="124">
        <v>45782.0</v>
      </c>
      <c r="C47" s="154">
        <f>IFERROR('Similarity matrix'!C47/'Denominator matrix'!$B$21, "NA")</f>
        <v>0</v>
      </c>
      <c r="D47" s="153">
        <f>IFERROR('Similarity matrix'!D47/'Denominator matrix'!$C$21, "NA")</f>
        <v>0</v>
      </c>
      <c r="E47" s="153">
        <f>IFERROR('Similarity matrix'!E47/'Denominator matrix'!$D$21, "NA")</f>
        <v>0</v>
      </c>
      <c r="F47" s="153">
        <f>IFERROR('Similarity matrix'!F47/'Denominator matrix'!$E$21, "NA")</f>
        <v>0</v>
      </c>
      <c r="G47" s="156">
        <f>IFERROR('Similarity matrix'!G47/'Denominator matrix'!$F$21, "NA")</f>
        <v>0</v>
      </c>
      <c r="H47" s="153">
        <f>IFERROR('Similarity matrix'!H47/'Denominator matrix'!$G$21, "NA")</f>
        <v>0</v>
      </c>
      <c r="I47" s="153">
        <f>IFERROR('Similarity matrix'!I47/'Denominator matrix'!$H$21, "NA")</f>
        <v>0</v>
      </c>
      <c r="J47" s="153">
        <f>IFERROR('Similarity matrix'!J47/'Denominator matrix'!$I$21, "NA")</f>
        <v>0</v>
      </c>
      <c r="K47" s="153">
        <f>IFERROR('Similarity matrix'!K47/'Denominator matrix'!$J$21, "NA")</f>
        <v>0</v>
      </c>
      <c r="L47" s="153">
        <f>IFERROR('Similarity matrix'!L47/'Denominator matrix'!$K$21, "NA")</f>
        <v>0</v>
      </c>
      <c r="M47" s="154">
        <f>IFERROR('Similarity matrix'!M47/'Denominator matrix'!$B$21, "NA")</f>
        <v>0</v>
      </c>
      <c r="N47" s="153">
        <f>IFERROR('Similarity matrix'!N47/'Denominator matrix'!$C$21, "NA")</f>
        <v>0.1666666667</v>
      </c>
      <c r="O47" s="153">
        <f>IFERROR('Similarity matrix'!O47/'Denominator matrix'!$D$21, "NA")</f>
        <v>0</v>
      </c>
      <c r="P47" s="153">
        <f>IFERROR('Similarity matrix'!P47/'Denominator matrix'!$E$21, "NA")</f>
        <v>0.25</v>
      </c>
      <c r="Q47" s="156">
        <f>IFERROR('Similarity matrix'!Q47/'Denominator matrix'!$F$21, "NA")</f>
        <v>0.05555555556</v>
      </c>
      <c r="R47" s="153">
        <f>IFERROR('Similarity matrix'!R47/'Denominator matrix'!$G$21, "NA")</f>
        <v>0</v>
      </c>
      <c r="S47" s="153">
        <f>IFERROR('Similarity matrix'!S47/'Denominator matrix'!$H$21, "NA")</f>
        <v>0.25</v>
      </c>
      <c r="T47" s="153">
        <f>IFERROR('Similarity matrix'!T47/'Denominator matrix'!$I$21, "NA")</f>
        <v>0</v>
      </c>
      <c r="U47" s="153">
        <f>IFERROR('Similarity matrix'!U47/'Denominator matrix'!$J$21, "NA")</f>
        <v>0</v>
      </c>
      <c r="V47" s="153">
        <f>IFERROR('Similarity matrix'!V47/'Denominator matrix'!$K$21, "NA")</f>
        <v>0</v>
      </c>
      <c r="W47" s="154">
        <f>IFERROR('Similarity matrix'!W47/'Denominator matrix'!$B$21, "NA")</f>
        <v>0</v>
      </c>
      <c r="X47" s="153">
        <f>IFERROR('Similarity matrix'!X47/'Denominator matrix'!$C$21, "NA")</f>
        <v>0</v>
      </c>
      <c r="Y47" s="153">
        <f>IFERROR('Similarity matrix'!Y47/'Denominator matrix'!$D$21, "NA")</f>
        <v>0</v>
      </c>
      <c r="Z47" s="153">
        <f>IFERROR('Similarity matrix'!Z47/'Denominator matrix'!$E$21, "NA")</f>
        <v>0</v>
      </c>
      <c r="AA47" s="156">
        <f>IFERROR('Similarity matrix'!AA47/'Denominator matrix'!$F$21, "NA")</f>
        <v>0</v>
      </c>
      <c r="AB47" s="153">
        <f>IFERROR('Similarity matrix'!AB47/'Denominator matrix'!$G$21, "NA")</f>
        <v>0</v>
      </c>
      <c r="AC47" s="153">
        <f>IFERROR('Similarity matrix'!AC47/'Denominator matrix'!$H$21, "NA")</f>
        <v>0</v>
      </c>
      <c r="AD47" s="153">
        <f>IFERROR('Similarity matrix'!AD47/'Denominator matrix'!$I$21, "NA")</f>
        <v>0</v>
      </c>
      <c r="AE47" s="153">
        <f>IFERROR('Similarity matrix'!AE47/'Denominator matrix'!$J$21, "NA")</f>
        <v>0</v>
      </c>
      <c r="AF47" s="153">
        <f>IFERROR('Similarity matrix'!AF47/'Denominator matrix'!$K$21, "NA")</f>
        <v>0</v>
      </c>
      <c r="AG47" s="154">
        <f>IFERROR('Similarity matrix'!AG47/'Denominator matrix'!$B$21, "NA")</f>
        <v>0</v>
      </c>
      <c r="AH47" s="153">
        <f>IFERROR('Similarity matrix'!AH47/'Denominator matrix'!$C$21, "NA")</f>
        <v>0</v>
      </c>
      <c r="AI47" s="153">
        <f>IFERROR('Similarity matrix'!AI47/'Denominator matrix'!$D$21, "NA")</f>
        <v>0</v>
      </c>
      <c r="AJ47" s="153">
        <f>IFERROR('Similarity matrix'!AJ47/'Denominator matrix'!$E$21, "NA")</f>
        <v>0</v>
      </c>
      <c r="AK47" s="156">
        <f>IFERROR('Similarity matrix'!AK47/'Denominator matrix'!$F$21, "NA")</f>
        <v>0</v>
      </c>
      <c r="AL47" s="153">
        <f>IFERROR('Similarity matrix'!AL47/'Denominator matrix'!$G$21, "NA")</f>
        <v>0</v>
      </c>
      <c r="AM47" s="153">
        <f>IFERROR('Similarity matrix'!AM47/'Denominator matrix'!$H$21, "NA")</f>
        <v>0</v>
      </c>
      <c r="AN47" s="153">
        <f>IFERROR('Similarity matrix'!AN47/'Denominator matrix'!$I$21, "NA")</f>
        <v>0</v>
      </c>
      <c r="AO47" s="153">
        <f>IFERROR('Similarity matrix'!AO47/'Denominator matrix'!$J$21, "NA")</f>
        <v>0</v>
      </c>
      <c r="AP47" s="153">
        <f>IFERROR('Similarity matrix'!AP47/'Denominator matrix'!$K$21, "NA")</f>
        <v>0</v>
      </c>
      <c r="AQ47" s="154">
        <f>IFERROR('Similarity matrix'!AQ47/'Denominator matrix'!$B$21, "NA")</f>
        <v>0.8</v>
      </c>
      <c r="AR47" s="153">
        <f>IFERROR('Similarity matrix'!AR47/'Denominator matrix'!$C$21, "NA")</f>
        <v>0.8333333333</v>
      </c>
      <c r="AS47" s="153">
        <f>IFERROR('Similarity matrix'!AS47/'Denominator matrix'!$D$21, "NA")</f>
        <v>0.75</v>
      </c>
      <c r="AT47" s="153">
        <f>IFERROR('Similarity matrix'!AT47/'Denominator matrix'!$E$21, "NA")</f>
        <v>0.75</v>
      </c>
      <c r="AU47" s="155">
        <f>IFERROR('Similarity matrix'!AU47/'Denominator matrix'!$F$21, "NA")</f>
        <v>0</v>
      </c>
      <c r="AV47" s="153">
        <f>IFERROR('Similarity matrix'!AV47/'Denominator matrix'!$G$21, "NA")</f>
        <v>1</v>
      </c>
      <c r="AW47" s="153">
        <f>IFERROR('Similarity matrix'!AW47/'Denominator matrix'!$H$21, "NA")</f>
        <v>0.75</v>
      </c>
      <c r="AX47" s="153">
        <f>IFERROR('Similarity matrix'!AX47/'Denominator matrix'!$I$21, "NA")</f>
        <v>0.8</v>
      </c>
      <c r="AY47" s="153">
        <f>IFERROR('Similarity matrix'!AY47/'Denominator matrix'!$J$21, "NA")</f>
        <v>0.8333333333</v>
      </c>
      <c r="AZ47" s="153">
        <f>IFERROR('Similarity matrix'!AZ47/'Denominator matrix'!$K$21, "NA")</f>
        <v>1</v>
      </c>
      <c r="BA47" s="154">
        <f>IFERROR('Similarity matrix'!BA47/'Denominator matrix'!$B$21, "NA")</f>
        <v>0</v>
      </c>
      <c r="BB47" s="153">
        <f>IFERROR('Similarity matrix'!BB47/'Denominator matrix'!$C$21, "NA")</f>
        <v>0</v>
      </c>
      <c r="BC47" s="153">
        <f>IFERROR('Similarity matrix'!BC47/'Denominator matrix'!$D$21, "NA")</f>
        <v>0</v>
      </c>
      <c r="BD47" s="153">
        <f>IFERROR('Similarity matrix'!BD47/'Denominator matrix'!$E$21, "NA")</f>
        <v>0</v>
      </c>
      <c r="BE47" s="156">
        <f>IFERROR('Similarity matrix'!BE47/'Denominator matrix'!$F$21, "NA")</f>
        <v>0</v>
      </c>
      <c r="BF47" s="153">
        <f>IFERROR('Similarity matrix'!BF47/'Denominator matrix'!$G$21, "NA")</f>
        <v>0</v>
      </c>
      <c r="BG47" s="153">
        <f>IFERROR('Similarity matrix'!BG47/'Denominator matrix'!$H$21, "NA")</f>
        <v>0</v>
      </c>
      <c r="BH47" s="153">
        <f>IFERROR('Similarity matrix'!BH47/'Denominator matrix'!$I$21, "NA")</f>
        <v>0</v>
      </c>
      <c r="BI47" s="153">
        <f>IFERROR('Similarity matrix'!BI47/'Denominator matrix'!$J$21, "NA")</f>
        <v>0</v>
      </c>
      <c r="BJ47" s="153">
        <f>IFERROR('Similarity matrix'!BJ47/'Denominator matrix'!$K$21, "NA")</f>
        <v>0</v>
      </c>
      <c r="BK47" s="154">
        <f>IFERROR('Similarity matrix'!BK47/'Denominator matrix'!$B$21, "NA")</f>
        <v>0</v>
      </c>
      <c r="BL47" s="153">
        <f>IFERROR('Similarity matrix'!BL47/'Denominator matrix'!$C$21, "NA")</f>
        <v>0</v>
      </c>
      <c r="BM47" s="153">
        <f>IFERROR('Similarity matrix'!BM47/'Denominator matrix'!$D$21, "NA")</f>
        <v>0</v>
      </c>
      <c r="BN47" s="153">
        <f>IFERROR('Similarity matrix'!BN47/'Denominator matrix'!$E$21, "NA")</f>
        <v>0</v>
      </c>
      <c r="BO47" s="156">
        <f>IFERROR('Similarity matrix'!BO47/'Denominator matrix'!$F$21, "NA")</f>
        <v>0</v>
      </c>
      <c r="BP47" s="153">
        <f>IFERROR('Similarity matrix'!BP47/'Denominator matrix'!$G$21, "NA")</f>
        <v>0</v>
      </c>
      <c r="BQ47" s="153">
        <f>IFERROR('Similarity matrix'!BQ47/'Denominator matrix'!$H$21, "NA")</f>
        <v>0</v>
      </c>
      <c r="BR47" s="153">
        <f>IFERROR('Similarity matrix'!BR47/'Denominator matrix'!$I$21, "NA")</f>
        <v>0</v>
      </c>
      <c r="BS47" s="153">
        <f>IFERROR('Similarity matrix'!BS47/'Denominator matrix'!$J$21, "NA")</f>
        <v>0</v>
      </c>
      <c r="BT47" s="153">
        <f>IFERROR('Similarity matrix'!BT47/'Denominator matrix'!$K$21, "NA")</f>
        <v>0</v>
      </c>
      <c r="BU47" s="154">
        <f>IFERROR('Similarity matrix'!BU47/'Denominator matrix'!$B$21, "NA")</f>
        <v>0</v>
      </c>
      <c r="BV47" s="153">
        <f>IFERROR('Similarity matrix'!BV47/'Denominator matrix'!$C$21, "NA")</f>
        <v>0</v>
      </c>
      <c r="BW47" s="153">
        <f>IFERROR('Similarity matrix'!BW47/'Denominator matrix'!$D$21, "NA")</f>
        <v>0</v>
      </c>
      <c r="BX47" s="153">
        <f>IFERROR('Similarity matrix'!BX47/'Denominator matrix'!$E$21, "NA")</f>
        <v>0</v>
      </c>
      <c r="BY47" s="156">
        <f>IFERROR('Similarity matrix'!BY47/'Denominator matrix'!$F$21, "NA")</f>
        <v>0</v>
      </c>
      <c r="BZ47" s="153">
        <f>IFERROR('Similarity matrix'!BZ47/'Denominator matrix'!$G$21, "NA")</f>
        <v>0</v>
      </c>
      <c r="CA47" s="153">
        <f>IFERROR('Similarity matrix'!CA47/'Denominator matrix'!$H$21, "NA")</f>
        <v>0</v>
      </c>
      <c r="CB47" s="153">
        <f>IFERROR('Similarity matrix'!CB47/'Denominator matrix'!$I$21, "NA")</f>
        <v>0</v>
      </c>
      <c r="CC47" s="153">
        <f>IFERROR('Similarity matrix'!CC47/'Denominator matrix'!$J$21, "NA")</f>
        <v>0</v>
      </c>
      <c r="CD47" s="153">
        <f>IFERROR('Similarity matrix'!CD47/'Denominator matrix'!$K$21, "NA")</f>
        <v>0</v>
      </c>
      <c r="CE47" s="154">
        <f>IFERROR('Similarity matrix'!CE47/'Denominator matrix'!$B$21, "NA")</f>
        <v>0.1</v>
      </c>
      <c r="CF47" s="153">
        <f>IFERROR('Similarity matrix'!CF47/'Denominator matrix'!$C$21, "NA")</f>
        <v>0</v>
      </c>
      <c r="CG47" s="153">
        <f>IFERROR('Similarity matrix'!CG47/'Denominator matrix'!$D$21, "NA")</f>
        <v>0</v>
      </c>
      <c r="CH47" s="153">
        <f>IFERROR('Similarity matrix'!CH47/'Denominator matrix'!$E$21, "NA")</f>
        <v>0</v>
      </c>
      <c r="CI47" s="156">
        <f>IFERROR('Similarity matrix'!CI47/'Denominator matrix'!$F$21, "NA")</f>
        <v>0</v>
      </c>
      <c r="CJ47" s="153">
        <f>IFERROR('Similarity matrix'!CJ47/'Denominator matrix'!$G$21, "NA")</f>
        <v>0</v>
      </c>
      <c r="CK47" s="153">
        <f>IFERROR('Similarity matrix'!CK47/'Denominator matrix'!$H$21, "NA")</f>
        <v>0</v>
      </c>
      <c r="CL47" s="153">
        <f>IFERROR('Similarity matrix'!CL47/'Denominator matrix'!$I$21, "NA")</f>
        <v>0</v>
      </c>
      <c r="CM47" s="153">
        <f>IFERROR('Similarity matrix'!CM47/'Denominator matrix'!$J$21, "NA")</f>
        <v>0</v>
      </c>
      <c r="CN47" s="153">
        <f>IFERROR('Similarity matrix'!CN47/'Denominator matrix'!$K$21, "NA")</f>
        <v>0</v>
      </c>
      <c r="CO47" s="154">
        <f>IFERROR('Similarity matrix'!CO47/'Denominator matrix'!$B$21, "NA")</f>
        <v>0</v>
      </c>
      <c r="CP47" s="153">
        <f>IFERROR('Similarity matrix'!CP47/'Denominator matrix'!$C$21, "NA")</f>
        <v>0</v>
      </c>
      <c r="CQ47" s="153">
        <f>IFERROR('Similarity matrix'!CQ47/'Denominator matrix'!$D$21, "NA")</f>
        <v>0</v>
      </c>
      <c r="CR47" s="153">
        <f>IFERROR('Similarity matrix'!CR47/'Denominator matrix'!$E$21, "NA")</f>
        <v>0</v>
      </c>
      <c r="CS47" s="156">
        <f>IFERROR('Similarity matrix'!CS47/'Denominator matrix'!$F$21, "NA")</f>
        <v>0</v>
      </c>
      <c r="CT47" s="153">
        <f>IFERROR('Similarity matrix'!CT47/'Denominator matrix'!$G$21, "NA")</f>
        <v>0</v>
      </c>
      <c r="CU47" s="153">
        <f>IFERROR('Similarity matrix'!CU47/'Denominator matrix'!$H$21, "NA")</f>
        <v>0</v>
      </c>
      <c r="CV47" s="153">
        <f>IFERROR('Similarity matrix'!CV47/'Denominator matrix'!$I$21, "NA")</f>
        <v>0</v>
      </c>
      <c r="CW47" s="153">
        <f>IFERROR('Similarity matrix'!CW47/'Denominator matrix'!$J$21, "NA")</f>
        <v>0</v>
      </c>
      <c r="CX47" s="153">
        <f>IFERROR('Similarity matrix'!CX47/'Denominator matrix'!$K$21, "NA")</f>
        <v>0</v>
      </c>
    </row>
    <row r="48" ht="35.25" customHeight="1">
      <c r="B48" s="124">
        <v>45813.0</v>
      </c>
      <c r="C48" s="154">
        <f>IFERROR('Similarity matrix'!C48/'Denominator matrix'!$B$22, "NA")</f>
        <v>0</v>
      </c>
      <c r="D48" s="153">
        <f>IFERROR('Similarity matrix'!D48/'Denominator matrix'!$C$22, "NA")</f>
        <v>0</v>
      </c>
      <c r="E48" s="153">
        <f>IFERROR('Similarity matrix'!E48/'Denominator matrix'!$D$22, "NA")</f>
        <v>0</v>
      </c>
      <c r="F48" s="153">
        <f>IFERROR('Similarity matrix'!F48/'Denominator matrix'!$E$22, "NA")</f>
        <v>0</v>
      </c>
      <c r="G48" s="153">
        <f>IFERROR('Similarity matrix'!G48/'Denominator matrix'!$F$22, "NA")</f>
        <v>0</v>
      </c>
      <c r="H48" s="156">
        <f>IFERROR('Similarity matrix'!H48/'Denominator matrix'!$G$22, "NA")</f>
        <v>0</v>
      </c>
      <c r="I48" s="153">
        <f>IFERROR('Similarity matrix'!I48/'Denominator matrix'!$H$22, "NA")</f>
        <v>0</v>
      </c>
      <c r="J48" s="153">
        <f>IFERROR('Similarity matrix'!J48/'Denominator matrix'!$I$22, "NA")</f>
        <v>0</v>
      </c>
      <c r="K48" s="153">
        <f>IFERROR('Similarity matrix'!K48/'Denominator matrix'!$J$22, "NA")</f>
        <v>0</v>
      </c>
      <c r="L48" s="153">
        <f>IFERROR('Similarity matrix'!L48/'Denominator matrix'!$K$22, "NA")</f>
        <v>0</v>
      </c>
      <c r="M48" s="154">
        <f>IFERROR('Similarity matrix'!M48/'Denominator matrix'!$B$22, "NA")</f>
        <v>0.1</v>
      </c>
      <c r="N48" s="153">
        <f>IFERROR('Similarity matrix'!N48/'Denominator matrix'!$C$22, "NA")</f>
        <v>0</v>
      </c>
      <c r="O48" s="153">
        <f>IFERROR('Similarity matrix'!O48/'Denominator matrix'!$D$22, "NA")</f>
        <v>0</v>
      </c>
      <c r="P48" s="153">
        <f>IFERROR('Similarity matrix'!P48/'Denominator matrix'!$E$22, "NA")</f>
        <v>0</v>
      </c>
      <c r="Q48" s="153">
        <f>IFERROR('Similarity matrix'!Q48/'Denominator matrix'!$F$22, "NA")</f>
        <v>0</v>
      </c>
      <c r="R48" s="156">
        <f>IFERROR('Similarity matrix'!R48/'Denominator matrix'!$G$22, "NA")</f>
        <v>0.0625</v>
      </c>
      <c r="S48" s="153">
        <f>IFERROR('Similarity matrix'!S48/'Denominator matrix'!$H$22, "NA")</f>
        <v>0.25</v>
      </c>
      <c r="T48" s="153">
        <f>IFERROR('Similarity matrix'!T48/'Denominator matrix'!$I$22, "NA")</f>
        <v>0</v>
      </c>
      <c r="U48" s="153">
        <f>IFERROR('Similarity matrix'!U48/'Denominator matrix'!$J$22, "NA")</f>
        <v>0.25</v>
      </c>
      <c r="V48" s="153">
        <f>IFERROR('Similarity matrix'!V48/'Denominator matrix'!$K$22, "NA")</f>
        <v>0</v>
      </c>
      <c r="W48" s="154">
        <f>IFERROR('Similarity matrix'!W48/'Denominator matrix'!$B$22, "NA")</f>
        <v>0</v>
      </c>
      <c r="X48" s="153">
        <f>IFERROR('Similarity matrix'!X48/'Denominator matrix'!$C$22, "NA")</f>
        <v>0</v>
      </c>
      <c r="Y48" s="153">
        <f>IFERROR('Similarity matrix'!Y48/'Denominator matrix'!$D$22, "NA")</f>
        <v>0</v>
      </c>
      <c r="Z48" s="153">
        <f>IFERROR('Similarity matrix'!Z48/'Denominator matrix'!$E$22, "NA")</f>
        <v>0</v>
      </c>
      <c r="AA48" s="153">
        <f>IFERROR('Similarity matrix'!AA48/'Denominator matrix'!$F$22, "NA")</f>
        <v>0</v>
      </c>
      <c r="AB48" s="156">
        <f>IFERROR('Similarity matrix'!AB48/'Denominator matrix'!$G$22, "NA")</f>
        <v>0</v>
      </c>
      <c r="AC48" s="153">
        <f>IFERROR('Similarity matrix'!AC48/'Denominator matrix'!$H$22, "NA")</f>
        <v>0</v>
      </c>
      <c r="AD48" s="153">
        <f>IFERROR('Similarity matrix'!AD48/'Denominator matrix'!$I$22, "NA")</f>
        <v>0</v>
      </c>
      <c r="AE48" s="153">
        <f>IFERROR('Similarity matrix'!AE48/'Denominator matrix'!$J$22, "NA")</f>
        <v>0</v>
      </c>
      <c r="AF48" s="153">
        <f>IFERROR('Similarity matrix'!AF48/'Denominator matrix'!$K$22, "NA")</f>
        <v>0</v>
      </c>
      <c r="AG48" s="154">
        <f>IFERROR('Similarity matrix'!AG48/'Denominator matrix'!$B$22, "NA")</f>
        <v>0</v>
      </c>
      <c r="AH48" s="153">
        <f>IFERROR('Similarity matrix'!AH48/'Denominator matrix'!$C$22, "NA")</f>
        <v>0</v>
      </c>
      <c r="AI48" s="153">
        <f>IFERROR('Similarity matrix'!AI48/'Denominator matrix'!$D$22, "NA")</f>
        <v>0</v>
      </c>
      <c r="AJ48" s="153">
        <f>IFERROR('Similarity matrix'!AJ48/'Denominator matrix'!$E$22, "NA")</f>
        <v>0</v>
      </c>
      <c r="AK48" s="153">
        <f>IFERROR('Similarity matrix'!AK48/'Denominator matrix'!$F$22, "NA")</f>
        <v>0</v>
      </c>
      <c r="AL48" s="156">
        <f>IFERROR('Similarity matrix'!AL48/'Denominator matrix'!$G$22, "NA")</f>
        <v>0</v>
      </c>
      <c r="AM48" s="153">
        <f>IFERROR('Similarity matrix'!AM48/'Denominator matrix'!$H$22, "NA")</f>
        <v>0</v>
      </c>
      <c r="AN48" s="153">
        <f>IFERROR('Similarity matrix'!AN48/'Denominator matrix'!$I$22, "NA")</f>
        <v>0</v>
      </c>
      <c r="AO48" s="153">
        <f>IFERROR('Similarity matrix'!AO48/'Denominator matrix'!$J$22, "NA")</f>
        <v>0</v>
      </c>
      <c r="AP48" s="153">
        <f>IFERROR('Similarity matrix'!AP48/'Denominator matrix'!$K$22, "NA")</f>
        <v>0</v>
      </c>
      <c r="AQ48" s="154">
        <f>IFERROR('Similarity matrix'!AQ48/'Denominator matrix'!$B$22, "NA")</f>
        <v>0.7</v>
      </c>
      <c r="AR48" s="153">
        <f>IFERROR('Similarity matrix'!AR48/'Denominator matrix'!$C$22, "NA")</f>
        <v>1</v>
      </c>
      <c r="AS48" s="153">
        <f>IFERROR('Similarity matrix'!AS48/'Denominator matrix'!$D$22, "NA")</f>
        <v>0.5</v>
      </c>
      <c r="AT48" s="153">
        <f>IFERROR('Similarity matrix'!AT48/'Denominator matrix'!$E$22, "NA")</f>
        <v>0.5</v>
      </c>
      <c r="AU48" s="153">
        <f>IFERROR('Similarity matrix'!AU48/'Denominator matrix'!$F$22, "NA")</f>
        <v>1</v>
      </c>
      <c r="AV48" s="155">
        <f>IFERROR('Similarity matrix'!AV48/'Denominator matrix'!$G$22, "NA")</f>
        <v>0</v>
      </c>
      <c r="AW48" s="153">
        <f>IFERROR('Similarity matrix'!AW48/'Denominator matrix'!$H$22, "NA")</f>
        <v>0.75</v>
      </c>
      <c r="AX48" s="153">
        <f>IFERROR('Similarity matrix'!AX48/'Denominator matrix'!$I$22, "NA")</f>
        <v>1</v>
      </c>
      <c r="AY48" s="153">
        <f>IFERROR('Similarity matrix'!AY48/'Denominator matrix'!$J$22, "NA")</f>
        <v>0.75</v>
      </c>
      <c r="AZ48" s="153">
        <f>IFERROR('Similarity matrix'!AZ48/'Denominator matrix'!$K$22, "NA")</f>
        <v>1</v>
      </c>
      <c r="BA48" s="154">
        <f>IFERROR('Similarity matrix'!BA48/'Denominator matrix'!$B$22, "NA")</f>
        <v>0</v>
      </c>
      <c r="BB48" s="153">
        <f>IFERROR('Similarity matrix'!BB48/'Denominator matrix'!$C$22, "NA")</f>
        <v>0</v>
      </c>
      <c r="BC48" s="153">
        <f>IFERROR('Similarity matrix'!BC48/'Denominator matrix'!$D$22, "NA")</f>
        <v>0</v>
      </c>
      <c r="BD48" s="153">
        <f>IFERROR('Similarity matrix'!BD48/'Denominator matrix'!$E$22, "NA")</f>
        <v>0</v>
      </c>
      <c r="BE48" s="153">
        <f>IFERROR('Similarity matrix'!BE48/'Denominator matrix'!$F$22, "NA")</f>
        <v>0</v>
      </c>
      <c r="BF48" s="156">
        <f>IFERROR('Similarity matrix'!BF48/'Denominator matrix'!$G$22, "NA")</f>
        <v>0</v>
      </c>
      <c r="BG48" s="153">
        <f>IFERROR('Similarity matrix'!BG48/'Denominator matrix'!$H$22, "NA")</f>
        <v>0</v>
      </c>
      <c r="BH48" s="153">
        <f>IFERROR('Similarity matrix'!BH48/'Denominator matrix'!$I$22, "NA")</f>
        <v>0</v>
      </c>
      <c r="BI48" s="153">
        <f>IFERROR('Similarity matrix'!BI48/'Denominator matrix'!$J$22, "NA")</f>
        <v>0</v>
      </c>
      <c r="BJ48" s="153">
        <f>IFERROR('Similarity matrix'!BJ48/'Denominator matrix'!$K$22, "NA")</f>
        <v>0</v>
      </c>
      <c r="BK48" s="154">
        <f>IFERROR('Similarity matrix'!BK48/'Denominator matrix'!$B$22, "NA")</f>
        <v>0</v>
      </c>
      <c r="BL48" s="153">
        <f>IFERROR('Similarity matrix'!BL48/'Denominator matrix'!$C$22, "NA")</f>
        <v>0</v>
      </c>
      <c r="BM48" s="153">
        <f>IFERROR('Similarity matrix'!BM48/'Denominator matrix'!$D$22, "NA")</f>
        <v>0</v>
      </c>
      <c r="BN48" s="153">
        <f>IFERROR('Similarity matrix'!BN48/'Denominator matrix'!$E$22, "NA")</f>
        <v>0</v>
      </c>
      <c r="BO48" s="153">
        <f>IFERROR('Similarity matrix'!BO48/'Denominator matrix'!$F$22, "NA")</f>
        <v>0</v>
      </c>
      <c r="BP48" s="156">
        <f>IFERROR('Similarity matrix'!BP48/'Denominator matrix'!$G$22, "NA")</f>
        <v>0</v>
      </c>
      <c r="BQ48" s="153">
        <f>IFERROR('Similarity matrix'!BQ48/'Denominator matrix'!$H$22, "NA")</f>
        <v>0</v>
      </c>
      <c r="BR48" s="153">
        <f>IFERROR('Similarity matrix'!BR48/'Denominator matrix'!$I$22, "NA")</f>
        <v>0</v>
      </c>
      <c r="BS48" s="153">
        <f>IFERROR('Similarity matrix'!BS48/'Denominator matrix'!$J$22, "NA")</f>
        <v>0</v>
      </c>
      <c r="BT48" s="153">
        <f>IFERROR('Similarity matrix'!BT48/'Denominator matrix'!$K$22, "NA")</f>
        <v>0</v>
      </c>
      <c r="BU48" s="154">
        <f>IFERROR('Similarity matrix'!BU48/'Denominator matrix'!$B$22, "NA")</f>
        <v>0</v>
      </c>
      <c r="BV48" s="153">
        <f>IFERROR('Similarity matrix'!BV48/'Denominator matrix'!$C$22, "NA")</f>
        <v>0</v>
      </c>
      <c r="BW48" s="153">
        <f>IFERROR('Similarity matrix'!BW48/'Denominator matrix'!$D$22, "NA")</f>
        <v>0</v>
      </c>
      <c r="BX48" s="153">
        <f>IFERROR('Similarity matrix'!BX48/'Denominator matrix'!$E$22, "NA")</f>
        <v>0</v>
      </c>
      <c r="BY48" s="153">
        <f>IFERROR('Similarity matrix'!BY48/'Denominator matrix'!$F$22, "NA")</f>
        <v>0</v>
      </c>
      <c r="BZ48" s="156">
        <f>IFERROR('Similarity matrix'!BZ48/'Denominator matrix'!$G$22, "NA")</f>
        <v>0</v>
      </c>
      <c r="CA48" s="153">
        <f>IFERROR('Similarity matrix'!CA48/'Denominator matrix'!$H$22, "NA")</f>
        <v>0</v>
      </c>
      <c r="CB48" s="153">
        <f>IFERROR('Similarity matrix'!CB48/'Denominator matrix'!$I$22, "NA")</f>
        <v>0</v>
      </c>
      <c r="CC48" s="153">
        <f>IFERROR('Similarity matrix'!CC48/'Denominator matrix'!$J$22, "NA")</f>
        <v>0</v>
      </c>
      <c r="CD48" s="153">
        <f>IFERROR('Similarity matrix'!CD48/'Denominator matrix'!$K$22, "NA")</f>
        <v>0</v>
      </c>
      <c r="CE48" s="154">
        <f>IFERROR('Similarity matrix'!CE48/'Denominator matrix'!$B$22, "NA")</f>
        <v>0.1</v>
      </c>
      <c r="CF48" s="153">
        <f>IFERROR('Similarity matrix'!CF48/'Denominator matrix'!$C$22, "NA")</f>
        <v>0</v>
      </c>
      <c r="CG48" s="153">
        <f>IFERROR('Similarity matrix'!CG48/'Denominator matrix'!$D$22, "NA")</f>
        <v>0</v>
      </c>
      <c r="CH48" s="153">
        <f>IFERROR('Similarity matrix'!CH48/'Denominator matrix'!$E$22, "NA")</f>
        <v>0</v>
      </c>
      <c r="CI48" s="153">
        <f>IFERROR('Similarity matrix'!CI48/'Denominator matrix'!$F$22, "NA")</f>
        <v>0</v>
      </c>
      <c r="CJ48" s="156">
        <f>IFERROR('Similarity matrix'!CJ48/'Denominator matrix'!$G$22, "NA")</f>
        <v>0</v>
      </c>
      <c r="CK48" s="153">
        <f>IFERROR('Similarity matrix'!CK48/'Denominator matrix'!$H$22, "NA")</f>
        <v>0</v>
      </c>
      <c r="CL48" s="153">
        <f>IFERROR('Similarity matrix'!CL48/'Denominator matrix'!$I$22, "NA")</f>
        <v>0</v>
      </c>
      <c r="CM48" s="153">
        <f>IFERROR('Similarity matrix'!CM48/'Denominator matrix'!$J$22, "NA")</f>
        <v>0</v>
      </c>
      <c r="CN48" s="153">
        <f>IFERROR('Similarity matrix'!CN48/'Denominator matrix'!$K$22, "NA")</f>
        <v>0.25</v>
      </c>
      <c r="CO48" s="154">
        <f>IFERROR('Similarity matrix'!CO48/'Denominator matrix'!$B$22, "NA")</f>
        <v>0</v>
      </c>
      <c r="CP48" s="153">
        <f>IFERROR('Similarity matrix'!CP48/'Denominator matrix'!$C$22, "NA")</f>
        <v>0</v>
      </c>
      <c r="CQ48" s="153">
        <f>IFERROR('Similarity matrix'!CQ48/'Denominator matrix'!$D$22, "NA")</f>
        <v>0</v>
      </c>
      <c r="CR48" s="153">
        <f>IFERROR('Similarity matrix'!CR48/'Denominator matrix'!$E$22, "NA")</f>
        <v>0</v>
      </c>
      <c r="CS48" s="153">
        <f>IFERROR('Similarity matrix'!CS48/'Denominator matrix'!$F$22, "NA")</f>
        <v>0</v>
      </c>
      <c r="CT48" s="156">
        <f>IFERROR('Similarity matrix'!CT48/'Denominator matrix'!$G$22, "NA")</f>
        <v>0</v>
      </c>
      <c r="CU48" s="153">
        <f>IFERROR('Similarity matrix'!CU48/'Denominator matrix'!$H$22, "NA")</f>
        <v>0</v>
      </c>
      <c r="CV48" s="153">
        <f>IFERROR('Similarity matrix'!CV48/'Denominator matrix'!$I$22, "NA")</f>
        <v>0</v>
      </c>
      <c r="CW48" s="153">
        <f>IFERROR('Similarity matrix'!CW48/'Denominator matrix'!$J$22, "NA")</f>
        <v>0</v>
      </c>
      <c r="CX48" s="153">
        <f>IFERROR('Similarity matrix'!CX48/'Denominator matrix'!$K$22, "NA")</f>
        <v>0</v>
      </c>
    </row>
    <row r="49" ht="35.25" customHeight="1">
      <c r="B49" s="124">
        <v>45843.0</v>
      </c>
      <c r="C49" s="154">
        <f>IFERROR('Similarity matrix'!C49/'Denominator matrix'!$B$23, "NA")</f>
        <v>0</v>
      </c>
      <c r="D49" s="153">
        <f>IFERROR('Similarity matrix'!D49/'Denominator matrix'!$C$23, "NA")</f>
        <v>0</v>
      </c>
      <c r="E49" s="153">
        <f>IFERROR('Similarity matrix'!E49/'Denominator matrix'!$D$23, "NA")</f>
        <v>0</v>
      </c>
      <c r="F49" s="153">
        <f>IFERROR('Similarity matrix'!F49/'Denominator matrix'!$E$23, "NA")</f>
        <v>0</v>
      </c>
      <c r="G49" s="153">
        <f>IFERROR('Similarity matrix'!G49/'Denominator matrix'!$F$23, "NA")</f>
        <v>0</v>
      </c>
      <c r="H49" s="153">
        <f>IFERROR('Similarity matrix'!H49/'Denominator matrix'!$G$23, "NA")</f>
        <v>0</v>
      </c>
      <c r="I49" s="156">
        <f>IFERROR('Similarity matrix'!I49/'Denominator matrix'!$H$23, "NA")</f>
        <v>0</v>
      </c>
      <c r="J49" s="153">
        <f>IFERROR('Similarity matrix'!J49/'Denominator matrix'!$I$23, "NA")</f>
        <v>0.25</v>
      </c>
      <c r="K49" s="153">
        <f>IFERROR('Similarity matrix'!K49/'Denominator matrix'!$J$23, "NA")</f>
        <v>0</v>
      </c>
      <c r="L49" s="153">
        <f>IFERROR('Similarity matrix'!L49/'Denominator matrix'!$K$23, "NA")</f>
        <v>0.25</v>
      </c>
      <c r="M49" s="154">
        <f>IFERROR('Similarity matrix'!M49/'Denominator matrix'!$B$23, "NA")</f>
        <v>0</v>
      </c>
      <c r="N49" s="153">
        <f>IFERROR('Similarity matrix'!N49/'Denominator matrix'!$C$23, "NA")</f>
        <v>0.3333333333</v>
      </c>
      <c r="O49" s="153">
        <f>IFERROR('Similarity matrix'!O49/'Denominator matrix'!$D$23, "NA")</f>
        <v>0.125</v>
      </c>
      <c r="P49" s="153">
        <f>IFERROR('Similarity matrix'!P49/'Denominator matrix'!$E$23, "NA")</f>
        <v>0.1</v>
      </c>
      <c r="Q49" s="153">
        <f>IFERROR('Similarity matrix'!Q49/'Denominator matrix'!$F$23, "NA")</f>
        <v>0.25</v>
      </c>
      <c r="R49" s="153">
        <f>IFERROR('Similarity matrix'!R49/'Denominator matrix'!$G$23, "NA")</f>
        <v>0</v>
      </c>
      <c r="S49" s="156">
        <f>IFERROR('Similarity matrix'!S49/'Denominator matrix'!$H$23, "NA")</f>
        <v>0.125</v>
      </c>
      <c r="T49" s="153">
        <f>IFERROR('Similarity matrix'!T49/'Denominator matrix'!$I$23, "NA")</f>
        <v>0</v>
      </c>
      <c r="U49" s="153">
        <f>IFERROR('Similarity matrix'!U49/'Denominator matrix'!$J$23, "NA")</f>
        <v>0</v>
      </c>
      <c r="V49" s="153">
        <f>IFERROR('Similarity matrix'!V49/'Denominator matrix'!$K$23, "NA")</f>
        <v>0.25</v>
      </c>
      <c r="W49" s="154">
        <f>IFERROR('Similarity matrix'!W49/'Denominator matrix'!$B$23, "NA")</f>
        <v>0</v>
      </c>
      <c r="X49" s="153">
        <f>IFERROR('Similarity matrix'!X49/'Denominator matrix'!$C$23, "NA")</f>
        <v>0</v>
      </c>
      <c r="Y49" s="153">
        <f>IFERROR('Similarity matrix'!Y49/'Denominator matrix'!$D$23, "NA")</f>
        <v>0</v>
      </c>
      <c r="Z49" s="153">
        <f>IFERROR('Similarity matrix'!Z49/'Denominator matrix'!$E$23, "NA")</f>
        <v>0</v>
      </c>
      <c r="AA49" s="153">
        <f>IFERROR('Similarity matrix'!AA49/'Denominator matrix'!$F$23, "NA")</f>
        <v>0</v>
      </c>
      <c r="AB49" s="153">
        <f>IFERROR('Similarity matrix'!AB49/'Denominator matrix'!$G$23, "NA")</f>
        <v>0</v>
      </c>
      <c r="AC49" s="156">
        <f>IFERROR('Similarity matrix'!AC49/'Denominator matrix'!$H$23, "NA")</f>
        <v>0</v>
      </c>
      <c r="AD49" s="153">
        <f>IFERROR('Similarity matrix'!AD49/'Denominator matrix'!$I$23, "NA")</f>
        <v>0</v>
      </c>
      <c r="AE49" s="153">
        <f>IFERROR('Similarity matrix'!AE49/'Denominator matrix'!$J$23, "NA")</f>
        <v>0</v>
      </c>
      <c r="AF49" s="153">
        <f>IFERROR('Similarity matrix'!AF49/'Denominator matrix'!$K$23, "NA")</f>
        <v>0</v>
      </c>
      <c r="AG49" s="154">
        <f>IFERROR('Similarity matrix'!AG49/'Denominator matrix'!$B$23, "NA")</f>
        <v>0</v>
      </c>
      <c r="AH49" s="153">
        <f>IFERROR('Similarity matrix'!AH49/'Denominator matrix'!$C$23, "NA")</f>
        <v>0</v>
      </c>
      <c r="AI49" s="153">
        <f>IFERROR('Similarity matrix'!AI49/'Denominator matrix'!$D$23, "NA")</f>
        <v>0</v>
      </c>
      <c r="AJ49" s="153">
        <f>IFERROR('Similarity matrix'!AJ49/'Denominator matrix'!$E$23, "NA")</f>
        <v>0</v>
      </c>
      <c r="AK49" s="153">
        <f>IFERROR('Similarity matrix'!AK49/'Denominator matrix'!$F$23, "NA")</f>
        <v>0</v>
      </c>
      <c r="AL49" s="153">
        <f>IFERROR('Similarity matrix'!AL49/'Denominator matrix'!$G$23, "NA")</f>
        <v>0</v>
      </c>
      <c r="AM49" s="156">
        <f>IFERROR('Similarity matrix'!AM49/'Denominator matrix'!$H$23, "NA")</f>
        <v>0.0625</v>
      </c>
      <c r="AN49" s="153">
        <f>IFERROR('Similarity matrix'!AN49/'Denominator matrix'!$I$23, "NA")</f>
        <v>0</v>
      </c>
      <c r="AO49" s="153">
        <f>IFERROR('Similarity matrix'!AO49/'Denominator matrix'!$J$23, "NA")</f>
        <v>0</v>
      </c>
      <c r="AP49" s="153">
        <f>IFERROR('Similarity matrix'!AP49/'Denominator matrix'!$K$23, "NA")</f>
        <v>0</v>
      </c>
      <c r="AQ49" s="154">
        <f>IFERROR('Similarity matrix'!AQ49/'Denominator matrix'!$B$23, "NA")</f>
        <v>0.75</v>
      </c>
      <c r="AR49" s="153">
        <f>IFERROR('Similarity matrix'!AR49/'Denominator matrix'!$C$23, "NA")</f>
        <v>0.5</v>
      </c>
      <c r="AS49" s="153">
        <f>IFERROR('Similarity matrix'!AS49/'Denominator matrix'!$D$23, "NA")</f>
        <v>0.625</v>
      </c>
      <c r="AT49" s="153">
        <f>IFERROR('Similarity matrix'!AT49/'Denominator matrix'!$E$23, "NA")</f>
        <v>0.8</v>
      </c>
      <c r="AU49" s="153">
        <f>IFERROR('Similarity matrix'!AU49/'Denominator matrix'!$F$23, "NA")</f>
        <v>0.75</v>
      </c>
      <c r="AV49" s="153">
        <f>IFERROR('Similarity matrix'!AV49/'Denominator matrix'!$G$23, "NA")</f>
        <v>0.75</v>
      </c>
      <c r="AW49" s="155">
        <f>IFERROR('Similarity matrix'!AW49/'Denominator matrix'!$H$23, "NA")</f>
        <v>0</v>
      </c>
      <c r="AX49" s="153">
        <f>IFERROR('Similarity matrix'!AX49/'Denominator matrix'!$I$23, "NA")</f>
        <v>0.75</v>
      </c>
      <c r="AY49" s="153">
        <f>IFERROR('Similarity matrix'!AY49/'Denominator matrix'!$J$23, "NA")</f>
        <v>1</v>
      </c>
      <c r="AZ49" s="153">
        <f>IFERROR('Similarity matrix'!AZ49/'Denominator matrix'!$K$23, "NA")</f>
        <v>0.5</v>
      </c>
      <c r="BA49" s="154">
        <f>IFERROR('Similarity matrix'!BA49/'Denominator matrix'!$B$23, "NA")</f>
        <v>0</v>
      </c>
      <c r="BB49" s="153">
        <f>IFERROR('Similarity matrix'!BB49/'Denominator matrix'!$C$23, "NA")</f>
        <v>0</v>
      </c>
      <c r="BC49" s="153">
        <f>IFERROR('Similarity matrix'!BC49/'Denominator matrix'!$D$23, "NA")</f>
        <v>0</v>
      </c>
      <c r="BD49" s="153">
        <f>IFERROR('Similarity matrix'!BD49/'Denominator matrix'!$E$23, "NA")</f>
        <v>0</v>
      </c>
      <c r="BE49" s="153">
        <f>IFERROR('Similarity matrix'!BE49/'Denominator matrix'!$F$23, "NA")</f>
        <v>0</v>
      </c>
      <c r="BF49" s="153">
        <f>IFERROR('Similarity matrix'!BF49/'Denominator matrix'!$G$23, "NA")</f>
        <v>0</v>
      </c>
      <c r="BG49" s="156">
        <f>IFERROR('Similarity matrix'!BG49/'Denominator matrix'!$H$23, "NA")</f>
        <v>0.0625</v>
      </c>
      <c r="BH49" s="153">
        <f>IFERROR('Similarity matrix'!BH49/'Denominator matrix'!$I$23, "NA")</f>
        <v>0.25</v>
      </c>
      <c r="BI49" s="153">
        <f>IFERROR('Similarity matrix'!BI49/'Denominator matrix'!$J$23, "NA")</f>
        <v>0</v>
      </c>
      <c r="BJ49" s="153">
        <f>IFERROR('Similarity matrix'!BJ49/'Denominator matrix'!$K$23, "NA")</f>
        <v>0.25</v>
      </c>
      <c r="BK49" s="154">
        <f>IFERROR('Similarity matrix'!BK49/'Denominator matrix'!$B$23, "NA")</f>
        <v>0</v>
      </c>
      <c r="BL49" s="153">
        <f>IFERROR('Similarity matrix'!BL49/'Denominator matrix'!$C$23, "NA")</f>
        <v>0</v>
      </c>
      <c r="BM49" s="153">
        <f>IFERROR('Similarity matrix'!BM49/'Denominator matrix'!$D$23, "NA")</f>
        <v>0</v>
      </c>
      <c r="BN49" s="153">
        <f>IFERROR('Similarity matrix'!BN49/'Denominator matrix'!$E$23, "NA")</f>
        <v>0</v>
      </c>
      <c r="BO49" s="153">
        <f>IFERROR('Similarity matrix'!BO49/'Denominator matrix'!$F$23, "NA")</f>
        <v>0</v>
      </c>
      <c r="BP49" s="153">
        <f>IFERROR('Similarity matrix'!BP49/'Denominator matrix'!$G$23, "NA")</f>
        <v>0</v>
      </c>
      <c r="BQ49" s="156">
        <f>IFERROR('Similarity matrix'!BQ49/'Denominator matrix'!$H$23, "NA")</f>
        <v>0</v>
      </c>
      <c r="BR49" s="153">
        <f>IFERROR('Similarity matrix'!BR49/'Denominator matrix'!$I$23, "NA")</f>
        <v>0</v>
      </c>
      <c r="BS49" s="153">
        <f>IFERROR('Similarity matrix'!BS49/'Denominator matrix'!$J$23, "NA")</f>
        <v>0</v>
      </c>
      <c r="BT49" s="153">
        <f>IFERROR('Similarity matrix'!BT49/'Denominator matrix'!$K$23, "NA")</f>
        <v>0</v>
      </c>
      <c r="BU49" s="154">
        <f>IFERROR('Similarity matrix'!BU49/'Denominator matrix'!$B$23, "NA")</f>
        <v>0</v>
      </c>
      <c r="BV49" s="153">
        <f>IFERROR('Similarity matrix'!BV49/'Denominator matrix'!$C$23, "NA")</f>
        <v>0</v>
      </c>
      <c r="BW49" s="153">
        <f>IFERROR('Similarity matrix'!BW49/'Denominator matrix'!$D$23, "NA")</f>
        <v>0</v>
      </c>
      <c r="BX49" s="153">
        <f>IFERROR('Similarity matrix'!BX49/'Denominator matrix'!$E$23, "NA")</f>
        <v>0</v>
      </c>
      <c r="BY49" s="153">
        <f>IFERROR('Similarity matrix'!BY49/'Denominator matrix'!$F$23, "NA")</f>
        <v>0</v>
      </c>
      <c r="BZ49" s="153">
        <f>IFERROR('Similarity matrix'!BZ49/'Denominator matrix'!$G$23, "NA")</f>
        <v>0</v>
      </c>
      <c r="CA49" s="156">
        <f>IFERROR('Similarity matrix'!CA49/'Denominator matrix'!$H$23, "NA")</f>
        <v>0</v>
      </c>
      <c r="CB49" s="153">
        <f>IFERROR('Similarity matrix'!CB49/'Denominator matrix'!$I$23, "NA")</f>
        <v>0</v>
      </c>
      <c r="CC49" s="153">
        <f>IFERROR('Similarity matrix'!CC49/'Denominator matrix'!$J$23, "NA")</f>
        <v>0</v>
      </c>
      <c r="CD49" s="153">
        <f>IFERROR('Similarity matrix'!CD49/'Denominator matrix'!$K$23, "NA")</f>
        <v>0</v>
      </c>
      <c r="CE49" s="154">
        <f>IFERROR('Similarity matrix'!CE49/'Denominator matrix'!$B$23, "NA")</f>
        <v>0</v>
      </c>
      <c r="CF49" s="153">
        <f>IFERROR('Similarity matrix'!CF49/'Denominator matrix'!$C$23, "NA")</f>
        <v>0</v>
      </c>
      <c r="CG49" s="153">
        <f>IFERROR('Similarity matrix'!CG49/'Denominator matrix'!$D$23, "NA")</f>
        <v>0.125</v>
      </c>
      <c r="CH49" s="153">
        <f>IFERROR('Similarity matrix'!CH49/'Denominator matrix'!$E$23, "NA")</f>
        <v>0</v>
      </c>
      <c r="CI49" s="153">
        <f>IFERROR('Similarity matrix'!CI49/'Denominator matrix'!$F$23, "NA")</f>
        <v>0</v>
      </c>
      <c r="CJ49" s="153">
        <f>IFERROR('Similarity matrix'!CJ49/'Denominator matrix'!$G$23, "NA")</f>
        <v>0</v>
      </c>
      <c r="CK49" s="156">
        <f>IFERROR('Similarity matrix'!CK49/'Denominator matrix'!$H$23, "NA")</f>
        <v>0</v>
      </c>
      <c r="CL49" s="153">
        <f>IFERROR('Similarity matrix'!CL49/'Denominator matrix'!$I$23, "NA")</f>
        <v>0</v>
      </c>
      <c r="CM49" s="153">
        <f>IFERROR('Similarity matrix'!CM49/'Denominator matrix'!$J$23, "NA")</f>
        <v>0</v>
      </c>
      <c r="CN49" s="153">
        <f>IFERROR('Similarity matrix'!CN49/'Denominator matrix'!$K$23, "NA")</f>
        <v>0</v>
      </c>
      <c r="CO49" s="154">
        <f>IFERROR('Similarity matrix'!CO49/'Denominator matrix'!$B$23, "NA")</f>
        <v>0</v>
      </c>
      <c r="CP49" s="153">
        <f>IFERROR('Similarity matrix'!CP49/'Denominator matrix'!$C$23, "NA")</f>
        <v>0.1666666667</v>
      </c>
      <c r="CQ49" s="153">
        <f>IFERROR('Similarity matrix'!CQ49/'Denominator matrix'!$D$23, "NA")</f>
        <v>0.125</v>
      </c>
      <c r="CR49" s="153">
        <f>IFERROR('Similarity matrix'!CR49/'Denominator matrix'!$E$23, "NA")</f>
        <v>0</v>
      </c>
      <c r="CS49" s="153">
        <f>IFERROR('Similarity matrix'!CS49/'Denominator matrix'!$F$23, "NA")</f>
        <v>0</v>
      </c>
      <c r="CT49" s="153">
        <f>IFERROR('Similarity matrix'!CT49/'Denominator matrix'!$G$23, "NA")</f>
        <v>0</v>
      </c>
      <c r="CU49" s="156">
        <f>IFERROR('Similarity matrix'!CU49/'Denominator matrix'!$H$23, "NA")</f>
        <v>0</v>
      </c>
      <c r="CV49" s="153">
        <f>IFERROR('Similarity matrix'!CV49/'Denominator matrix'!$I$23, "NA")</f>
        <v>0</v>
      </c>
      <c r="CW49" s="153">
        <f>IFERROR('Similarity matrix'!CW49/'Denominator matrix'!$J$23, "NA")</f>
        <v>0</v>
      </c>
      <c r="CX49" s="153">
        <f>IFERROR('Similarity matrix'!CX49/'Denominator matrix'!$K$23, "NA")</f>
        <v>0.25</v>
      </c>
    </row>
    <row r="50" ht="35.25" customHeight="1">
      <c r="B50" s="124">
        <v>45874.0</v>
      </c>
      <c r="C50" s="154">
        <f>IFERROR('Similarity matrix'!C50/'Denominator matrix'!$B$24, "NA")</f>
        <v>0</v>
      </c>
      <c r="D50" s="153">
        <f>IFERROR('Similarity matrix'!D50/'Denominator matrix'!$C$24, "NA")</f>
        <v>0.25</v>
      </c>
      <c r="E50" s="153">
        <f>IFERROR('Similarity matrix'!E50/'Denominator matrix'!$D$24, "NA")</f>
        <v>0.1666666667</v>
      </c>
      <c r="F50" s="153">
        <f>IFERROR('Similarity matrix'!F50/'Denominator matrix'!$E$24, "NA")</f>
        <v>0.25</v>
      </c>
      <c r="G50" s="153">
        <f>IFERROR('Similarity matrix'!G50/'Denominator matrix'!$F$24, "NA")</f>
        <v>0.1</v>
      </c>
      <c r="H50" s="153">
        <f>IFERROR('Similarity matrix'!H50/'Denominator matrix'!$G$24, "NA")</f>
        <v>0</v>
      </c>
      <c r="I50" s="153">
        <f>IFERROR('Similarity matrix'!I50/'Denominator matrix'!$H$24, "NA")</f>
        <v>0</v>
      </c>
      <c r="J50" s="156">
        <f>IFERROR('Similarity matrix'!J50/'Denominator matrix'!$I$24, "NA")</f>
        <v>0</v>
      </c>
      <c r="K50" s="153">
        <f>IFERROR('Similarity matrix'!K50/'Denominator matrix'!$J$24, "NA")</f>
        <v>0</v>
      </c>
      <c r="L50" s="153">
        <f>IFERROR('Similarity matrix'!L50/'Denominator matrix'!$K$24, "NA")</f>
        <v>0</v>
      </c>
      <c r="M50" s="154">
        <f>IFERROR('Similarity matrix'!M50/'Denominator matrix'!$B$24, "NA")</f>
        <v>0</v>
      </c>
      <c r="N50" s="153">
        <f>IFERROR('Similarity matrix'!N50/'Denominator matrix'!$C$24, "NA")</f>
        <v>0</v>
      </c>
      <c r="O50" s="153">
        <f>IFERROR('Similarity matrix'!O50/'Denominator matrix'!$D$24, "NA")</f>
        <v>0</v>
      </c>
      <c r="P50" s="153">
        <f>IFERROR('Similarity matrix'!P50/'Denominator matrix'!$E$24, "NA")</f>
        <v>0</v>
      </c>
      <c r="Q50" s="153">
        <f>IFERROR('Similarity matrix'!Q50/'Denominator matrix'!$F$24, "NA")</f>
        <v>0</v>
      </c>
      <c r="R50" s="153">
        <f>IFERROR('Similarity matrix'!R50/'Denominator matrix'!$G$24, "NA")</f>
        <v>0</v>
      </c>
      <c r="S50" s="153">
        <f>IFERROR('Similarity matrix'!S50/'Denominator matrix'!$H$24, "NA")</f>
        <v>0</v>
      </c>
      <c r="T50" s="156">
        <f>IFERROR('Similarity matrix'!T50/'Denominator matrix'!$I$24, "NA")</f>
        <v>0</v>
      </c>
      <c r="U50" s="153">
        <f>IFERROR('Similarity matrix'!U50/'Denominator matrix'!$J$24, "NA")</f>
        <v>0</v>
      </c>
      <c r="V50" s="153">
        <f>IFERROR('Similarity matrix'!V50/'Denominator matrix'!$K$24, "NA")</f>
        <v>0</v>
      </c>
      <c r="W50" s="154">
        <f>IFERROR('Similarity matrix'!W50/'Denominator matrix'!$B$24, "NA")</f>
        <v>0</v>
      </c>
      <c r="X50" s="153">
        <f>IFERROR('Similarity matrix'!X50/'Denominator matrix'!$C$24, "NA")</f>
        <v>0</v>
      </c>
      <c r="Y50" s="153">
        <f>IFERROR('Similarity matrix'!Y50/'Denominator matrix'!$D$24, "NA")</f>
        <v>0</v>
      </c>
      <c r="Z50" s="153">
        <f>IFERROR('Similarity matrix'!Z50/'Denominator matrix'!$E$24, "NA")</f>
        <v>0</v>
      </c>
      <c r="AA50" s="153">
        <f>IFERROR('Similarity matrix'!AA50/'Denominator matrix'!$F$24, "NA")</f>
        <v>0</v>
      </c>
      <c r="AB50" s="153">
        <f>IFERROR('Similarity matrix'!AB50/'Denominator matrix'!$G$24, "NA")</f>
        <v>0</v>
      </c>
      <c r="AC50" s="153">
        <f>IFERROR('Similarity matrix'!AC50/'Denominator matrix'!$H$24, "NA")</f>
        <v>0</v>
      </c>
      <c r="AD50" s="156">
        <f>IFERROR('Similarity matrix'!AD50/'Denominator matrix'!$I$24, "NA")</f>
        <v>0</v>
      </c>
      <c r="AE50" s="153">
        <f>IFERROR('Similarity matrix'!AE50/'Denominator matrix'!$J$24, "NA")</f>
        <v>0</v>
      </c>
      <c r="AF50" s="153">
        <f>IFERROR('Similarity matrix'!AF50/'Denominator matrix'!$K$24, "NA")</f>
        <v>0</v>
      </c>
      <c r="AG50" s="154">
        <f>IFERROR('Similarity matrix'!AG50/'Denominator matrix'!$B$24, "NA")</f>
        <v>0</v>
      </c>
      <c r="AH50" s="153">
        <f>IFERROR('Similarity matrix'!AH50/'Denominator matrix'!$C$24, "NA")</f>
        <v>0</v>
      </c>
      <c r="AI50" s="153">
        <f>IFERROR('Similarity matrix'!AI50/'Denominator matrix'!$D$24, "NA")</f>
        <v>0</v>
      </c>
      <c r="AJ50" s="153">
        <f>IFERROR('Similarity matrix'!AJ50/'Denominator matrix'!$E$24, "NA")</f>
        <v>0</v>
      </c>
      <c r="AK50" s="153">
        <f>IFERROR('Similarity matrix'!AK50/'Denominator matrix'!$F$24, "NA")</f>
        <v>0</v>
      </c>
      <c r="AL50" s="153">
        <f>IFERROR('Similarity matrix'!AL50/'Denominator matrix'!$G$24, "NA")</f>
        <v>0</v>
      </c>
      <c r="AM50" s="153">
        <f>IFERROR('Similarity matrix'!AM50/'Denominator matrix'!$H$24, "NA")</f>
        <v>0</v>
      </c>
      <c r="AN50" s="156">
        <f>IFERROR('Similarity matrix'!AN50/'Denominator matrix'!$I$24, "NA")</f>
        <v>0</v>
      </c>
      <c r="AO50" s="153">
        <f>IFERROR('Similarity matrix'!AO50/'Denominator matrix'!$J$24, "NA")</f>
        <v>0</v>
      </c>
      <c r="AP50" s="153">
        <f>IFERROR('Similarity matrix'!AP50/'Denominator matrix'!$K$24, "NA")</f>
        <v>0</v>
      </c>
      <c r="AQ50" s="154">
        <f>IFERROR('Similarity matrix'!AQ50/'Denominator matrix'!$B$24, "NA")</f>
        <v>0.75</v>
      </c>
      <c r="AR50" s="153">
        <f>IFERROR('Similarity matrix'!AR50/'Denominator matrix'!$C$24, "NA")</f>
        <v>0.75</v>
      </c>
      <c r="AS50" s="153">
        <f>IFERROR('Similarity matrix'!AS50/'Denominator matrix'!$D$24, "NA")</f>
        <v>0.8333333333</v>
      </c>
      <c r="AT50" s="153">
        <f>IFERROR('Similarity matrix'!AT50/'Denominator matrix'!$E$24, "NA")</f>
        <v>0.75</v>
      </c>
      <c r="AU50" s="153">
        <f>IFERROR('Similarity matrix'!AU50/'Denominator matrix'!$F$24, "NA")</f>
        <v>0.8</v>
      </c>
      <c r="AV50" s="153">
        <f>IFERROR('Similarity matrix'!AV50/'Denominator matrix'!$G$24, "NA")</f>
        <v>1</v>
      </c>
      <c r="AW50" s="153">
        <f>IFERROR('Similarity matrix'!AW50/'Denominator matrix'!$H$24, "NA")</f>
        <v>0.75</v>
      </c>
      <c r="AX50" s="155">
        <f>IFERROR('Similarity matrix'!AX50/'Denominator matrix'!$I$24, "NA")</f>
        <v>0</v>
      </c>
      <c r="AY50" s="153">
        <f>IFERROR('Similarity matrix'!AY50/'Denominator matrix'!$J$24, "NA")</f>
        <v>0.75</v>
      </c>
      <c r="AZ50" s="153">
        <f>IFERROR('Similarity matrix'!AZ50/'Denominator matrix'!$K$24, "NA")</f>
        <v>0.8333333333</v>
      </c>
      <c r="BA50" s="154">
        <f>IFERROR('Similarity matrix'!BA50/'Denominator matrix'!$B$24, "NA")</f>
        <v>0</v>
      </c>
      <c r="BB50" s="153">
        <f>IFERROR('Similarity matrix'!BB50/'Denominator matrix'!$C$24, "NA")</f>
        <v>0</v>
      </c>
      <c r="BC50" s="153">
        <f>IFERROR('Similarity matrix'!BC50/'Denominator matrix'!$D$24, "NA")</f>
        <v>0</v>
      </c>
      <c r="BD50" s="153">
        <f>IFERROR('Similarity matrix'!BD50/'Denominator matrix'!$E$24, "NA")</f>
        <v>0</v>
      </c>
      <c r="BE50" s="153">
        <f>IFERROR('Similarity matrix'!BE50/'Denominator matrix'!$F$24, "NA")</f>
        <v>0</v>
      </c>
      <c r="BF50" s="153">
        <f>IFERROR('Similarity matrix'!BF50/'Denominator matrix'!$G$24, "NA")</f>
        <v>0</v>
      </c>
      <c r="BG50" s="153">
        <f>IFERROR('Similarity matrix'!BG50/'Denominator matrix'!$H$24, "NA")</f>
        <v>0</v>
      </c>
      <c r="BH50" s="156">
        <f>IFERROR('Similarity matrix'!BH50/'Denominator matrix'!$I$24, "NA")</f>
        <v>0</v>
      </c>
      <c r="BI50" s="153">
        <f>IFERROR('Similarity matrix'!BI50/'Denominator matrix'!$J$24, "NA")</f>
        <v>0</v>
      </c>
      <c r="BJ50" s="153">
        <f>IFERROR('Similarity matrix'!BJ50/'Denominator matrix'!$K$24, "NA")</f>
        <v>0</v>
      </c>
      <c r="BK50" s="154">
        <f>IFERROR('Similarity matrix'!BK50/'Denominator matrix'!$B$24, "NA")</f>
        <v>0</v>
      </c>
      <c r="BL50" s="153">
        <f>IFERROR('Similarity matrix'!BL50/'Denominator matrix'!$C$24, "NA")</f>
        <v>0</v>
      </c>
      <c r="BM50" s="153">
        <f>IFERROR('Similarity matrix'!BM50/'Denominator matrix'!$D$24, "NA")</f>
        <v>0</v>
      </c>
      <c r="BN50" s="153">
        <f>IFERROR('Similarity matrix'!BN50/'Denominator matrix'!$E$24, "NA")</f>
        <v>0</v>
      </c>
      <c r="BO50" s="153">
        <f>IFERROR('Similarity matrix'!BO50/'Denominator matrix'!$F$24, "NA")</f>
        <v>0</v>
      </c>
      <c r="BP50" s="153">
        <f>IFERROR('Similarity matrix'!BP50/'Denominator matrix'!$G$24, "NA")</f>
        <v>0</v>
      </c>
      <c r="BQ50" s="153">
        <f>IFERROR('Similarity matrix'!BQ50/'Denominator matrix'!$H$24, "NA")</f>
        <v>0</v>
      </c>
      <c r="BR50" s="156">
        <f>IFERROR('Similarity matrix'!BR50/'Denominator matrix'!$I$24, "NA")</f>
        <v>0</v>
      </c>
      <c r="BS50" s="153">
        <f>IFERROR('Similarity matrix'!BS50/'Denominator matrix'!$J$24, "NA")</f>
        <v>0</v>
      </c>
      <c r="BT50" s="153">
        <f>IFERROR('Similarity matrix'!BT50/'Denominator matrix'!$K$24, "NA")</f>
        <v>0</v>
      </c>
      <c r="BU50" s="154">
        <f>IFERROR('Similarity matrix'!BU50/'Denominator matrix'!$B$24, "NA")</f>
        <v>0</v>
      </c>
      <c r="BV50" s="153">
        <f>IFERROR('Similarity matrix'!BV50/'Denominator matrix'!$C$24, "NA")</f>
        <v>0.25</v>
      </c>
      <c r="BW50" s="153">
        <f>IFERROR('Similarity matrix'!BW50/'Denominator matrix'!$D$24, "NA")</f>
        <v>0</v>
      </c>
      <c r="BX50" s="153">
        <f>IFERROR('Similarity matrix'!BX50/'Denominator matrix'!$E$24, "NA")</f>
        <v>0</v>
      </c>
      <c r="BY50" s="153">
        <f>IFERROR('Similarity matrix'!BY50/'Denominator matrix'!$F$24, "NA")</f>
        <v>0</v>
      </c>
      <c r="BZ50" s="153">
        <f>IFERROR('Similarity matrix'!BZ50/'Denominator matrix'!$G$24, "NA")</f>
        <v>0</v>
      </c>
      <c r="CA50" s="153">
        <f>IFERROR('Similarity matrix'!CA50/'Denominator matrix'!$H$24, "NA")</f>
        <v>0</v>
      </c>
      <c r="CB50" s="156">
        <f>IFERROR('Similarity matrix'!CB50/'Denominator matrix'!$I$24, "NA")</f>
        <v>0</v>
      </c>
      <c r="CC50" s="153">
        <f>IFERROR('Similarity matrix'!CC50/'Denominator matrix'!$J$24, "NA")</f>
        <v>0</v>
      </c>
      <c r="CD50" s="153">
        <f>IFERROR('Similarity matrix'!CD50/'Denominator matrix'!$K$24, "NA")</f>
        <v>0</v>
      </c>
      <c r="CE50" s="154">
        <f>IFERROR('Similarity matrix'!CE50/'Denominator matrix'!$B$24, "NA")</f>
        <v>0</v>
      </c>
      <c r="CF50" s="153">
        <f>IFERROR('Similarity matrix'!CF50/'Denominator matrix'!$C$24, "NA")</f>
        <v>0</v>
      </c>
      <c r="CG50" s="153">
        <f>IFERROR('Similarity matrix'!CG50/'Denominator matrix'!$D$24, "NA")</f>
        <v>0</v>
      </c>
      <c r="CH50" s="153">
        <f>IFERROR('Similarity matrix'!CH50/'Denominator matrix'!$E$24, "NA")</f>
        <v>0</v>
      </c>
      <c r="CI50" s="153">
        <f>IFERROR('Similarity matrix'!CI50/'Denominator matrix'!$F$24, "NA")</f>
        <v>0</v>
      </c>
      <c r="CJ50" s="153">
        <f>IFERROR('Similarity matrix'!CJ50/'Denominator matrix'!$G$24, "NA")</f>
        <v>0</v>
      </c>
      <c r="CK50" s="153">
        <f>IFERROR('Similarity matrix'!CK50/'Denominator matrix'!$H$24, "NA")</f>
        <v>0</v>
      </c>
      <c r="CL50" s="156">
        <f>IFERROR('Similarity matrix'!CL50/'Denominator matrix'!$I$24, "NA")</f>
        <v>0</v>
      </c>
      <c r="CM50" s="153">
        <f>IFERROR('Similarity matrix'!CM50/'Denominator matrix'!$J$24, "NA")</f>
        <v>0</v>
      </c>
      <c r="CN50" s="153">
        <f>IFERROR('Similarity matrix'!CN50/'Denominator matrix'!$K$24, "NA")</f>
        <v>0.1666666667</v>
      </c>
      <c r="CO50" s="154">
        <f>IFERROR('Similarity matrix'!CO50/'Denominator matrix'!$B$24, "NA")</f>
        <v>0</v>
      </c>
      <c r="CP50" s="153">
        <f>IFERROR('Similarity matrix'!CP50/'Denominator matrix'!$C$24, "NA")</f>
        <v>0</v>
      </c>
      <c r="CQ50" s="153">
        <f>IFERROR('Similarity matrix'!CQ50/'Denominator matrix'!$D$24, "NA")</f>
        <v>0</v>
      </c>
      <c r="CR50" s="153">
        <f>IFERROR('Similarity matrix'!CR50/'Denominator matrix'!$E$24, "NA")</f>
        <v>0</v>
      </c>
      <c r="CS50" s="153">
        <f>IFERROR('Similarity matrix'!CS50/'Denominator matrix'!$F$24, "NA")</f>
        <v>0</v>
      </c>
      <c r="CT50" s="153">
        <f>IFERROR('Similarity matrix'!CT50/'Denominator matrix'!$G$24, "NA")</f>
        <v>0</v>
      </c>
      <c r="CU50" s="153">
        <f>IFERROR('Similarity matrix'!CU50/'Denominator matrix'!$H$24, "NA")</f>
        <v>0</v>
      </c>
      <c r="CV50" s="156">
        <f>IFERROR('Similarity matrix'!CV50/'Denominator matrix'!$I$24, "NA")</f>
        <v>0</v>
      </c>
      <c r="CW50" s="153">
        <f>IFERROR('Similarity matrix'!CW50/'Denominator matrix'!$J$24, "NA")</f>
        <v>0</v>
      </c>
      <c r="CX50" s="153">
        <f>IFERROR('Similarity matrix'!CX50/'Denominator matrix'!$K$24, "NA")</f>
        <v>0</v>
      </c>
    </row>
    <row r="51" ht="35.25" customHeight="1">
      <c r="B51" s="124">
        <v>45905.0</v>
      </c>
      <c r="C51" s="154">
        <f>IFERROR('Similarity matrix'!C51/'Denominator matrix'!$B$25, "NA")</f>
        <v>0</v>
      </c>
      <c r="D51" s="153">
        <f>IFERROR('Similarity matrix'!D51/'Denominator matrix'!$C$25, "NA")</f>
        <v>0</v>
      </c>
      <c r="E51" s="153">
        <f>IFERROR('Similarity matrix'!E51/'Denominator matrix'!$D$25, "NA")</f>
        <v>0</v>
      </c>
      <c r="F51" s="153">
        <f>IFERROR('Similarity matrix'!F51/'Denominator matrix'!$E$25, "NA")</f>
        <v>0</v>
      </c>
      <c r="G51" s="153">
        <f>IFERROR('Similarity matrix'!G51/'Denominator matrix'!$F$25, "NA")</f>
        <v>0</v>
      </c>
      <c r="H51" s="153">
        <f>IFERROR('Similarity matrix'!H51/'Denominator matrix'!$G$25, "NA")</f>
        <v>0</v>
      </c>
      <c r="I51" s="153">
        <f>IFERROR('Similarity matrix'!I51/'Denominator matrix'!$H$25, "NA")</f>
        <v>0</v>
      </c>
      <c r="J51" s="153">
        <f>IFERROR('Similarity matrix'!J51/'Denominator matrix'!$I$25, "NA")</f>
        <v>0</v>
      </c>
      <c r="K51" s="156">
        <f>IFERROR('Similarity matrix'!K51/'Denominator matrix'!$J$25, "NA")</f>
        <v>0</v>
      </c>
      <c r="L51" s="153">
        <f>IFERROR('Similarity matrix'!L51/'Denominator matrix'!$K$25, "NA")</f>
        <v>0</v>
      </c>
      <c r="M51" s="154">
        <f>IFERROR('Similarity matrix'!M51/'Denominator matrix'!$B$25, "NA")</f>
        <v>0</v>
      </c>
      <c r="N51" s="153">
        <f>IFERROR('Similarity matrix'!N51/'Denominator matrix'!$C$25, "NA")</f>
        <v>0</v>
      </c>
      <c r="O51" s="153">
        <f>IFERROR('Similarity matrix'!O51/'Denominator matrix'!$D$25, "NA")</f>
        <v>0</v>
      </c>
      <c r="P51" s="153">
        <f>IFERROR('Similarity matrix'!P51/'Denominator matrix'!$E$25, "NA")</f>
        <v>0</v>
      </c>
      <c r="Q51" s="153">
        <f>IFERROR('Similarity matrix'!Q51/'Denominator matrix'!$F$25, "NA")</f>
        <v>0</v>
      </c>
      <c r="R51" s="153">
        <f>IFERROR('Similarity matrix'!R51/'Denominator matrix'!$G$25, "NA")</f>
        <v>0</v>
      </c>
      <c r="S51" s="153">
        <f>IFERROR('Similarity matrix'!S51/'Denominator matrix'!$H$25, "NA")</f>
        <v>0</v>
      </c>
      <c r="T51" s="153">
        <f>IFERROR('Similarity matrix'!T51/'Denominator matrix'!$I$25, "NA")</f>
        <v>0</v>
      </c>
      <c r="U51" s="156">
        <f>IFERROR('Similarity matrix'!U51/'Denominator matrix'!$J$25, "NA")</f>
        <v>0</v>
      </c>
      <c r="V51" s="153">
        <f>IFERROR('Similarity matrix'!V51/'Denominator matrix'!$K$25, "NA")</f>
        <v>0</v>
      </c>
      <c r="W51" s="154">
        <f>IFERROR('Similarity matrix'!W51/'Denominator matrix'!$B$25, "NA")</f>
        <v>0</v>
      </c>
      <c r="X51" s="153">
        <f>IFERROR('Similarity matrix'!X51/'Denominator matrix'!$C$25, "NA")</f>
        <v>0</v>
      </c>
      <c r="Y51" s="153">
        <f>IFERROR('Similarity matrix'!Y51/'Denominator matrix'!$D$25, "NA")</f>
        <v>0</v>
      </c>
      <c r="Z51" s="153">
        <f>IFERROR('Similarity matrix'!Z51/'Denominator matrix'!$E$25, "NA")</f>
        <v>0</v>
      </c>
      <c r="AA51" s="153">
        <f>IFERROR('Similarity matrix'!AA51/'Denominator matrix'!$F$25, "NA")</f>
        <v>0</v>
      </c>
      <c r="AB51" s="153">
        <f>IFERROR('Similarity matrix'!AB51/'Denominator matrix'!$G$25, "NA")</f>
        <v>0</v>
      </c>
      <c r="AC51" s="153">
        <f>IFERROR('Similarity matrix'!AC51/'Denominator matrix'!$H$25, "NA")</f>
        <v>0</v>
      </c>
      <c r="AD51" s="153">
        <f>IFERROR('Similarity matrix'!AD51/'Denominator matrix'!$I$25, "NA")</f>
        <v>0</v>
      </c>
      <c r="AE51" s="156">
        <f>IFERROR('Similarity matrix'!AE51/'Denominator matrix'!$J$25, "NA")</f>
        <v>0</v>
      </c>
      <c r="AF51" s="153">
        <f>IFERROR('Similarity matrix'!AF51/'Denominator matrix'!$K$25, "NA")</f>
        <v>0</v>
      </c>
      <c r="AG51" s="154">
        <f>IFERROR('Similarity matrix'!AG51/'Denominator matrix'!$B$25, "NA")</f>
        <v>0</v>
      </c>
      <c r="AH51" s="153">
        <f>IFERROR('Similarity matrix'!AH51/'Denominator matrix'!$C$25, "NA")</f>
        <v>0</v>
      </c>
      <c r="AI51" s="153">
        <f>IFERROR('Similarity matrix'!AI51/'Denominator matrix'!$D$25, "NA")</f>
        <v>0</v>
      </c>
      <c r="AJ51" s="153">
        <f>IFERROR('Similarity matrix'!AJ51/'Denominator matrix'!$E$25, "NA")</f>
        <v>0</v>
      </c>
      <c r="AK51" s="153">
        <f>IFERROR('Similarity matrix'!AK51/'Denominator matrix'!$F$25, "NA")</f>
        <v>0</v>
      </c>
      <c r="AL51" s="153">
        <f>IFERROR('Similarity matrix'!AL51/'Denominator matrix'!$G$25, "NA")</f>
        <v>0</v>
      </c>
      <c r="AM51" s="153">
        <f>IFERROR('Similarity matrix'!AM51/'Denominator matrix'!$H$25, "NA")</f>
        <v>0</v>
      </c>
      <c r="AN51" s="153">
        <f>IFERROR('Similarity matrix'!AN51/'Denominator matrix'!$I$25, "NA")</f>
        <v>0</v>
      </c>
      <c r="AO51" s="156">
        <f>IFERROR('Similarity matrix'!AO51/'Denominator matrix'!$J$25, "NA")</f>
        <v>0</v>
      </c>
      <c r="AP51" s="153">
        <f>IFERROR('Similarity matrix'!AP51/'Denominator matrix'!$K$25, "NA")</f>
        <v>0</v>
      </c>
      <c r="AQ51" s="154">
        <f>IFERROR('Similarity matrix'!AQ51/'Denominator matrix'!$B$25, "NA")</f>
        <v>0.9</v>
      </c>
      <c r="AR51" s="153">
        <f>IFERROR('Similarity matrix'!AR51/'Denominator matrix'!$C$25, "NA")</f>
        <v>1</v>
      </c>
      <c r="AS51" s="153">
        <f>IFERROR('Similarity matrix'!AS51/'Denominator matrix'!$D$25, "NA")</f>
        <v>1</v>
      </c>
      <c r="AT51" s="153">
        <f>IFERROR('Similarity matrix'!AT51/'Denominator matrix'!$E$25, "NA")</f>
        <v>1</v>
      </c>
      <c r="AU51" s="153">
        <f>IFERROR('Similarity matrix'!AU51/'Denominator matrix'!$F$25, "NA")</f>
        <v>0.8333333333</v>
      </c>
      <c r="AV51" s="153">
        <f>IFERROR('Similarity matrix'!AV51/'Denominator matrix'!$G$25, "NA")</f>
        <v>0.75</v>
      </c>
      <c r="AW51" s="153">
        <f>IFERROR('Similarity matrix'!AW51/'Denominator matrix'!$H$25, "NA")</f>
        <v>1</v>
      </c>
      <c r="AX51" s="153">
        <f>IFERROR('Similarity matrix'!AX51/'Denominator matrix'!$I$25, "NA")</f>
        <v>0.75</v>
      </c>
      <c r="AY51" s="155">
        <f>IFERROR('Similarity matrix'!AY51/'Denominator matrix'!$J$25, "NA")</f>
        <v>0</v>
      </c>
      <c r="AZ51" s="153">
        <f>IFERROR('Similarity matrix'!AZ51/'Denominator matrix'!$K$25, "NA")</f>
        <v>1</v>
      </c>
      <c r="BA51" s="154">
        <f>IFERROR('Similarity matrix'!BA51/'Denominator matrix'!$B$25, "NA")</f>
        <v>0</v>
      </c>
      <c r="BB51" s="153">
        <f>IFERROR('Similarity matrix'!BB51/'Denominator matrix'!$C$25, "NA")</f>
        <v>0</v>
      </c>
      <c r="BC51" s="153">
        <f>IFERROR('Similarity matrix'!BC51/'Denominator matrix'!$D$25, "NA")</f>
        <v>0</v>
      </c>
      <c r="BD51" s="153">
        <f>IFERROR('Similarity matrix'!BD51/'Denominator matrix'!$E$25, "NA")</f>
        <v>0</v>
      </c>
      <c r="BE51" s="153">
        <f>IFERROR('Similarity matrix'!BE51/'Denominator matrix'!$F$25, "NA")</f>
        <v>0</v>
      </c>
      <c r="BF51" s="153">
        <f>IFERROR('Similarity matrix'!BF51/'Denominator matrix'!$G$25, "NA")</f>
        <v>0</v>
      </c>
      <c r="BG51" s="153">
        <f>IFERROR('Similarity matrix'!BG51/'Denominator matrix'!$H$25, "NA")</f>
        <v>0</v>
      </c>
      <c r="BH51" s="153">
        <f>IFERROR('Similarity matrix'!BH51/'Denominator matrix'!$I$25, "NA")</f>
        <v>0</v>
      </c>
      <c r="BI51" s="156">
        <f>IFERROR('Similarity matrix'!BI51/'Denominator matrix'!$J$25, "NA")</f>
        <v>0</v>
      </c>
      <c r="BJ51" s="153">
        <f>IFERROR('Similarity matrix'!BJ51/'Denominator matrix'!$K$25, "NA")</f>
        <v>0</v>
      </c>
      <c r="BK51" s="154">
        <f>IFERROR('Similarity matrix'!BK51/'Denominator matrix'!$B$25, "NA")</f>
        <v>0</v>
      </c>
      <c r="BL51" s="153">
        <f>IFERROR('Similarity matrix'!BL51/'Denominator matrix'!$C$25, "NA")</f>
        <v>0</v>
      </c>
      <c r="BM51" s="153">
        <f>IFERROR('Similarity matrix'!BM51/'Denominator matrix'!$D$25, "NA")</f>
        <v>0</v>
      </c>
      <c r="BN51" s="153">
        <f>IFERROR('Similarity matrix'!BN51/'Denominator matrix'!$E$25, "NA")</f>
        <v>0</v>
      </c>
      <c r="BO51" s="153">
        <f>IFERROR('Similarity matrix'!BO51/'Denominator matrix'!$F$25, "NA")</f>
        <v>0</v>
      </c>
      <c r="BP51" s="153">
        <f>IFERROR('Similarity matrix'!BP51/'Denominator matrix'!$G$25, "NA")</f>
        <v>0</v>
      </c>
      <c r="BQ51" s="153">
        <f>IFERROR('Similarity matrix'!BQ51/'Denominator matrix'!$H$25, "NA")</f>
        <v>0</v>
      </c>
      <c r="BR51" s="153">
        <f>IFERROR('Similarity matrix'!BR51/'Denominator matrix'!$I$25, "NA")</f>
        <v>0</v>
      </c>
      <c r="BS51" s="156">
        <f>IFERROR('Similarity matrix'!BS51/'Denominator matrix'!$J$25, "NA")</f>
        <v>0</v>
      </c>
      <c r="BT51" s="153">
        <f>IFERROR('Similarity matrix'!BT51/'Denominator matrix'!$K$25, "NA")</f>
        <v>0</v>
      </c>
      <c r="BU51" s="154">
        <f>IFERROR('Similarity matrix'!BU51/'Denominator matrix'!$B$25, "NA")</f>
        <v>0</v>
      </c>
      <c r="BV51" s="153">
        <f>IFERROR('Similarity matrix'!BV51/'Denominator matrix'!$C$25, "NA")</f>
        <v>0</v>
      </c>
      <c r="BW51" s="153">
        <f>IFERROR('Similarity matrix'!BW51/'Denominator matrix'!$D$25, "NA")</f>
        <v>0</v>
      </c>
      <c r="BX51" s="153">
        <f>IFERROR('Similarity matrix'!BX51/'Denominator matrix'!$E$25, "NA")</f>
        <v>0</v>
      </c>
      <c r="BY51" s="153">
        <f>IFERROR('Similarity matrix'!BY51/'Denominator matrix'!$F$25, "NA")</f>
        <v>0</v>
      </c>
      <c r="BZ51" s="153">
        <f>IFERROR('Similarity matrix'!BZ51/'Denominator matrix'!$G$25, "NA")</f>
        <v>0</v>
      </c>
      <c r="CA51" s="153">
        <f>IFERROR('Similarity matrix'!CA51/'Denominator matrix'!$H$25, "NA")</f>
        <v>0</v>
      </c>
      <c r="CB51" s="153">
        <f>IFERROR('Similarity matrix'!CB51/'Denominator matrix'!$I$25, "NA")</f>
        <v>0</v>
      </c>
      <c r="CC51" s="156">
        <f>IFERROR('Similarity matrix'!CC51/'Denominator matrix'!$J$25, "NA")</f>
        <v>0</v>
      </c>
      <c r="CD51" s="153">
        <f>IFERROR('Similarity matrix'!CD51/'Denominator matrix'!$K$25, "NA")</f>
        <v>0</v>
      </c>
      <c r="CE51" s="154">
        <f>IFERROR('Similarity matrix'!CE51/'Denominator matrix'!$B$25, "NA")</f>
        <v>0</v>
      </c>
      <c r="CF51" s="153">
        <f>IFERROR('Similarity matrix'!CF51/'Denominator matrix'!$C$25, "NA")</f>
        <v>0</v>
      </c>
      <c r="CG51" s="153">
        <f>IFERROR('Similarity matrix'!CG51/'Denominator matrix'!$D$25, "NA")</f>
        <v>0</v>
      </c>
      <c r="CH51" s="153">
        <f>IFERROR('Similarity matrix'!CH51/'Denominator matrix'!$E$25, "NA")</f>
        <v>0</v>
      </c>
      <c r="CI51" s="153">
        <f>IFERROR('Similarity matrix'!CI51/'Denominator matrix'!$F$25, "NA")</f>
        <v>0</v>
      </c>
      <c r="CJ51" s="153">
        <f>IFERROR('Similarity matrix'!CJ51/'Denominator matrix'!$G$25, "NA")</f>
        <v>0</v>
      </c>
      <c r="CK51" s="153">
        <f>IFERROR('Similarity matrix'!CK51/'Denominator matrix'!$H$25, "NA")</f>
        <v>0</v>
      </c>
      <c r="CL51" s="153">
        <f>IFERROR('Similarity matrix'!CL51/'Denominator matrix'!$I$25, "NA")</f>
        <v>0</v>
      </c>
      <c r="CM51" s="156">
        <f>IFERROR('Similarity matrix'!CM51/'Denominator matrix'!$J$25, "NA")</f>
        <v>0</v>
      </c>
      <c r="CN51" s="153">
        <f>IFERROR('Similarity matrix'!CN51/'Denominator matrix'!$K$25, "NA")</f>
        <v>0</v>
      </c>
      <c r="CO51" s="154">
        <f>IFERROR('Similarity matrix'!CO51/'Denominator matrix'!$B$25, "NA")</f>
        <v>0</v>
      </c>
      <c r="CP51" s="153">
        <f>IFERROR('Similarity matrix'!CP51/'Denominator matrix'!$C$25, "NA")</f>
        <v>0</v>
      </c>
      <c r="CQ51" s="153">
        <f>IFERROR('Similarity matrix'!CQ51/'Denominator matrix'!$D$25, "NA")</f>
        <v>0</v>
      </c>
      <c r="CR51" s="153">
        <f>IFERROR('Similarity matrix'!CR51/'Denominator matrix'!$E$25, "NA")</f>
        <v>0</v>
      </c>
      <c r="CS51" s="153">
        <f>IFERROR('Similarity matrix'!CS51/'Denominator matrix'!$F$25, "NA")</f>
        <v>0</v>
      </c>
      <c r="CT51" s="153">
        <f>IFERROR('Similarity matrix'!CT51/'Denominator matrix'!$G$25, "NA")</f>
        <v>0</v>
      </c>
      <c r="CU51" s="153">
        <f>IFERROR('Similarity matrix'!CU51/'Denominator matrix'!$H$25, "NA")</f>
        <v>0</v>
      </c>
      <c r="CV51" s="153">
        <f>IFERROR('Similarity matrix'!CV51/'Denominator matrix'!$I$25, "NA")</f>
        <v>0</v>
      </c>
      <c r="CW51" s="156">
        <f>IFERROR('Similarity matrix'!CW51/'Denominator matrix'!$J$25, "NA")</f>
        <v>0</v>
      </c>
      <c r="CX51" s="153">
        <f>IFERROR('Similarity matrix'!CX51/'Denominator matrix'!$K$25, "NA")</f>
        <v>0</v>
      </c>
    </row>
    <row r="52" ht="35.25" customHeight="1">
      <c r="A52" s="125"/>
      <c r="B52" s="126">
        <v>45935.0</v>
      </c>
      <c r="C52" s="157">
        <f>IFERROR('Similarity matrix'!C52/'Denominator matrix'!$B$26, "NA")</f>
        <v>0</v>
      </c>
      <c r="D52" s="158">
        <f>IFERROR('Similarity matrix'!D52/'Denominator matrix'!$C$26, "NA")</f>
        <v>0</v>
      </c>
      <c r="E52" s="158">
        <f>IFERROR('Similarity matrix'!E52/'Denominator matrix'!$D$26, "NA")</f>
        <v>0</v>
      </c>
      <c r="F52" s="158">
        <f>IFERROR('Similarity matrix'!F52/'Denominator matrix'!$E$26, "NA")</f>
        <v>0</v>
      </c>
      <c r="G52" s="158">
        <f>IFERROR('Similarity matrix'!G52/'Denominator matrix'!$F$26, "NA")</f>
        <v>0</v>
      </c>
      <c r="H52" s="158">
        <f>IFERROR('Similarity matrix'!H52/'Denominator matrix'!$G$26, "NA")</f>
        <v>0</v>
      </c>
      <c r="I52" s="158">
        <f>IFERROR('Similarity matrix'!I52/'Denominator matrix'!$H$26, "NA")</f>
        <v>0</v>
      </c>
      <c r="J52" s="158">
        <f>IFERROR('Similarity matrix'!J52/'Denominator matrix'!$I$26, "NA")</f>
        <v>0</v>
      </c>
      <c r="K52" s="158">
        <f>IFERROR('Similarity matrix'!K52/'Denominator matrix'!$J$26, "NA")</f>
        <v>0</v>
      </c>
      <c r="L52" s="160">
        <f>IFERROR('Similarity matrix'!L52/'Denominator matrix'!$K$26, "NA")</f>
        <v>0</v>
      </c>
      <c r="M52" s="157">
        <f>IFERROR('Similarity matrix'!M52/'Denominator matrix'!$B$26, "NA")</f>
        <v>0</v>
      </c>
      <c r="N52" s="158">
        <f>IFERROR('Similarity matrix'!N52/'Denominator matrix'!$C$26, "NA")</f>
        <v>0</v>
      </c>
      <c r="O52" s="158">
        <f>IFERROR('Similarity matrix'!O52/'Denominator matrix'!$D$26, "NA")</f>
        <v>0</v>
      </c>
      <c r="P52" s="158">
        <f>IFERROR('Similarity matrix'!P52/'Denominator matrix'!$E$26, "NA")</f>
        <v>0</v>
      </c>
      <c r="Q52" s="158">
        <f>IFERROR('Similarity matrix'!Q52/'Denominator matrix'!$F$26, "NA")</f>
        <v>0</v>
      </c>
      <c r="R52" s="158">
        <f>IFERROR('Similarity matrix'!R52/'Denominator matrix'!$G$26, "NA")</f>
        <v>0</v>
      </c>
      <c r="S52" s="158">
        <f>IFERROR('Similarity matrix'!S52/'Denominator matrix'!$H$26, "NA")</f>
        <v>0</v>
      </c>
      <c r="T52" s="158">
        <f>IFERROR('Similarity matrix'!T52/'Denominator matrix'!$I$26, "NA")</f>
        <v>0</v>
      </c>
      <c r="U52" s="158">
        <f>IFERROR('Similarity matrix'!U52/'Denominator matrix'!$J$26, "NA")</f>
        <v>0</v>
      </c>
      <c r="V52" s="160">
        <f>IFERROR('Similarity matrix'!V52/'Denominator matrix'!$K$26, "NA")</f>
        <v>0</v>
      </c>
      <c r="W52" s="157">
        <f>IFERROR('Similarity matrix'!W52/'Denominator matrix'!$B$26, "NA")</f>
        <v>0</v>
      </c>
      <c r="X52" s="158">
        <f>IFERROR('Similarity matrix'!X52/'Denominator matrix'!$C$26, "NA")</f>
        <v>0</v>
      </c>
      <c r="Y52" s="158">
        <f>IFERROR('Similarity matrix'!Y52/'Denominator matrix'!$D$26, "NA")</f>
        <v>0</v>
      </c>
      <c r="Z52" s="158">
        <f>IFERROR('Similarity matrix'!Z52/'Denominator matrix'!$E$26, "NA")</f>
        <v>0</v>
      </c>
      <c r="AA52" s="158">
        <f>IFERROR('Similarity matrix'!AA52/'Denominator matrix'!$F$26, "NA")</f>
        <v>0</v>
      </c>
      <c r="AB52" s="158">
        <f>IFERROR('Similarity matrix'!AB52/'Denominator matrix'!$G$26, "NA")</f>
        <v>0</v>
      </c>
      <c r="AC52" s="158">
        <f>IFERROR('Similarity matrix'!AC52/'Denominator matrix'!$H$26, "NA")</f>
        <v>0</v>
      </c>
      <c r="AD52" s="158">
        <f>IFERROR('Similarity matrix'!AD52/'Denominator matrix'!$I$26, "NA")</f>
        <v>0</v>
      </c>
      <c r="AE52" s="158">
        <f>IFERROR('Similarity matrix'!AE52/'Denominator matrix'!$J$26, "NA")</f>
        <v>0</v>
      </c>
      <c r="AF52" s="160">
        <f>IFERROR('Similarity matrix'!AF52/'Denominator matrix'!$K$26, "NA")</f>
        <v>0</v>
      </c>
      <c r="AG52" s="157">
        <f>IFERROR('Similarity matrix'!AG52/'Denominator matrix'!$B$26, "NA")</f>
        <v>0</v>
      </c>
      <c r="AH52" s="158">
        <f>IFERROR('Similarity matrix'!AH52/'Denominator matrix'!$C$26, "NA")</f>
        <v>0</v>
      </c>
      <c r="AI52" s="158">
        <f>IFERROR('Similarity matrix'!AI52/'Denominator matrix'!$D$26, "NA")</f>
        <v>0</v>
      </c>
      <c r="AJ52" s="158">
        <f>IFERROR('Similarity matrix'!AJ52/'Denominator matrix'!$E$26, "NA")</f>
        <v>0.25</v>
      </c>
      <c r="AK52" s="158">
        <f>IFERROR('Similarity matrix'!AK52/'Denominator matrix'!$F$26, "NA")</f>
        <v>0</v>
      </c>
      <c r="AL52" s="158">
        <f>IFERROR('Similarity matrix'!AL52/'Denominator matrix'!$G$26, "NA")</f>
        <v>0</v>
      </c>
      <c r="AM52" s="158">
        <f>IFERROR('Similarity matrix'!AM52/'Denominator matrix'!$H$26, "NA")</f>
        <v>0</v>
      </c>
      <c r="AN52" s="158">
        <f>IFERROR('Similarity matrix'!AN52/'Denominator matrix'!$I$26, "NA")</f>
        <v>0.1666666667</v>
      </c>
      <c r="AO52" s="158">
        <f>IFERROR('Similarity matrix'!AO52/'Denominator matrix'!$J$26, "NA")</f>
        <v>0</v>
      </c>
      <c r="AP52" s="160">
        <f>IFERROR('Similarity matrix'!AP52/'Denominator matrix'!$K$26, "NA")</f>
        <v>0</v>
      </c>
      <c r="AQ52" s="157">
        <f>IFERROR('Similarity matrix'!AQ52/'Denominator matrix'!$B$26, "NA")</f>
        <v>1</v>
      </c>
      <c r="AR52" s="158">
        <f>IFERROR('Similarity matrix'!AR52/'Denominator matrix'!$C$26, "NA")</f>
        <v>0.5</v>
      </c>
      <c r="AS52" s="158">
        <f>IFERROR('Similarity matrix'!AS52/'Denominator matrix'!$D$26, "NA")</f>
        <v>0.6666666667</v>
      </c>
      <c r="AT52" s="158">
        <f>IFERROR('Similarity matrix'!AT52/'Denominator matrix'!$E$26, "NA")</f>
        <v>0.75</v>
      </c>
      <c r="AU52" s="158">
        <f>IFERROR('Similarity matrix'!AU52/'Denominator matrix'!$F$26, "NA")</f>
        <v>1</v>
      </c>
      <c r="AV52" s="158">
        <f>IFERROR('Similarity matrix'!AV52/'Denominator matrix'!$G$26, "NA")</f>
        <v>1</v>
      </c>
      <c r="AW52" s="158">
        <f>IFERROR('Similarity matrix'!AW52/'Denominator matrix'!$H$26, "NA")</f>
        <v>0.5</v>
      </c>
      <c r="AX52" s="158">
        <f>IFERROR('Similarity matrix'!AX52/'Denominator matrix'!$I$26, "NA")</f>
        <v>0.8333333333</v>
      </c>
      <c r="AY52" s="158">
        <f>IFERROR('Similarity matrix'!AY52/'Denominator matrix'!$J$26, "NA")</f>
        <v>1</v>
      </c>
      <c r="AZ52" s="159">
        <f>IFERROR('Similarity matrix'!AZ52/'Denominator matrix'!$K$26, "NA")</f>
        <v>0</v>
      </c>
      <c r="BA52" s="157">
        <f>IFERROR('Similarity matrix'!BA52/'Denominator matrix'!$B$26, "NA")</f>
        <v>0</v>
      </c>
      <c r="BB52" s="158">
        <f>IFERROR('Similarity matrix'!BB52/'Denominator matrix'!$C$26, "NA")</f>
        <v>0</v>
      </c>
      <c r="BC52" s="158">
        <f>IFERROR('Similarity matrix'!BC52/'Denominator matrix'!$D$26, "NA")</f>
        <v>0</v>
      </c>
      <c r="BD52" s="158">
        <f>IFERROR('Similarity matrix'!BD52/'Denominator matrix'!$E$26, "NA")</f>
        <v>0</v>
      </c>
      <c r="BE52" s="158">
        <f>IFERROR('Similarity matrix'!BE52/'Denominator matrix'!$F$26, "NA")</f>
        <v>0</v>
      </c>
      <c r="BF52" s="158">
        <f>IFERROR('Similarity matrix'!BF52/'Denominator matrix'!$G$26, "NA")</f>
        <v>0</v>
      </c>
      <c r="BG52" s="158">
        <f>IFERROR('Similarity matrix'!BG52/'Denominator matrix'!$H$26, "NA")</f>
        <v>0</v>
      </c>
      <c r="BH52" s="158">
        <f>IFERROR('Similarity matrix'!BH52/'Denominator matrix'!$I$26, "NA")</f>
        <v>0</v>
      </c>
      <c r="BI52" s="158">
        <f>IFERROR('Similarity matrix'!BI52/'Denominator matrix'!$J$26, "NA")</f>
        <v>0</v>
      </c>
      <c r="BJ52" s="160">
        <f>IFERROR('Similarity matrix'!BJ52/'Denominator matrix'!$K$26, "NA")</f>
        <v>0</v>
      </c>
      <c r="BK52" s="157">
        <f>IFERROR('Similarity matrix'!BK52/'Denominator matrix'!$B$26, "NA")</f>
        <v>0</v>
      </c>
      <c r="BL52" s="158">
        <f>IFERROR('Similarity matrix'!BL52/'Denominator matrix'!$C$26, "NA")</f>
        <v>0</v>
      </c>
      <c r="BM52" s="158">
        <f>IFERROR('Similarity matrix'!BM52/'Denominator matrix'!$D$26, "NA")</f>
        <v>0</v>
      </c>
      <c r="BN52" s="158">
        <f>IFERROR('Similarity matrix'!BN52/'Denominator matrix'!$E$26, "NA")</f>
        <v>0</v>
      </c>
      <c r="BO52" s="158">
        <f>IFERROR('Similarity matrix'!BO52/'Denominator matrix'!$F$26, "NA")</f>
        <v>0</v>
      </c>
      <c r="BP52" s="158">
        <f>IFERROR('Similarity matrix'!BP52/'Denominator matrix'!$G$26, "NA")</f>
        <v>0</v>
      </c>
      <c r="BQ52" s="158">
        <f>IFERROR('Similarity matrix'!BQ52/'Denominator matrix'!$H$26, "NA")</f>
        <v>0</v>
      </c>
      <c r="BR52" s="158">
        <f>IFERROR('Similarity matrix'!BR52/'Denominator matrix'!$I$26, "NA")</f>
        <v>0</v>
      </c>
      <c r="BS52" s="158">
        <f>IFERROR('Similarity matrix'!BS52/'Denominator matrix'!$J$26, "NA")</f>
        <v>0</v>
      </c>
      <c r="BT52" s="160">
        <f>IFERROR('Similarity matrix'!BT52/'Denominator matrix'!$K$26, "NA")</f>
        <v>0</v>
      </c>
      <c r="BU52" s="157">
        <f>IFERROR('Similarity matrix'!BU52/'Denominator matrix'!$B$26, "NA")</f>
        <v>0</v>
      </c>
      <c r="BV52" s="158">
        <f>IFERROR('Similarity matrix'!BV52/'Denominator matrix'!$C$26, "NA")</f>
        <v>0</v>
      </c>
      <c r="BW52" s="158">
        <f>IFERROR('Similarity matrix'!BW52/'Denominator matrix'!$D$26, "NA")</f>
        <v>0</v>
      </c>
      <c r="BX52" s="158">
        <f>IFERROR('Similarity matrix'!BX52/'Denominator matrix'!$E$26, "NA")</f>
        <v>0</v>
      </c>
      <c r="BY52" s="158">
        <f>IFERROR('Similarity matrix'!BY52/'Denominator matrix'!$F$26, "NA")</f>
        <v>0</v>
      </c>
      <c r="BZ52" s="158">
        <f>IFERROR('Similarity matrix'!BZ52/'Denominator matrix'!$G$26, "NA")</f>
        <v>0</v>
      </c>
      <c r="CA52" s="158">
        <f>IFERROR('Similarity matrix'!CA52/'Denominator matrix'!$H$26, "NA")</f>
        <v>0</v>
      </c>
      <c r="CB52" s="158">
        <f>IFERROR('Similarity matrix'!CB52/'Denominator matrix'!$I$26, "NA")</f>
        <v>0</v>
      </c>
      <c r="CC52" s="158">
        <f>IFERROR('Similarity matrix'!CC52/'Denominator matrix'!$J$26, "NA")</f>
        <v>0</v>
      </c>
      <c r="CD52" s="160">
        <f>IFERROR('Similarity matrix'!CD52/'Denominator matrix'!$K$26, "NA")</f>
        <v>0</v>
      </c>
      <c r="CE52" s="157">
        <f>IFERROR('Similarity matrix'!CE52/'Denominator matrix'!$B$26, "NA")</f>
        <v>0.25</v>
      </c>
      <c r="CF52" s="158">
        <f>IFERROR('Similarity matrix'!CF52/'Denominator matrix'!$C$26, "NA")</f>
        <v>0.25</v>
      </c>
      <c r="CG52" s="158">
        <f>IFERROR('Similarity matrix'!CG52/'Denominator matrix'!$D$26, "NA")</f>
        <v>0.3333333333</v>
      </c>
      <c r="CH52" s="158">
        <f>IFERROR('Similarity matrix'!CH52/'Denominator matrix'!$E$26, "NA")</f>
        <v>0</v>
      </c>
      <c r="CI52" s="158">
        <f>IFERROR('Similarity matrix'!CI52/'Denominator matrix'!$F$26, "NA")</f>
        <v>0</v>
      </c>
      <c r="CJ52" s="158">
        <f>IFERROR('Similarity matrix'!CJ52/'Denominator matrix'!$G$26, "NA")</f>
        <v>0</v>
      </c>
      <c r="CK52" s="158">
        <f>IFERROR('Similarity matrix'!CK52/'Denominator matrix'!$H$26, "NA")</f>
        <v>0.25</v>
      </c>
      <c r="CL52" s="158">
        <f>IFERROR('Similarity matrix'!CL52/'Denominator matrix'!$I$26, "NA")</f>
        <v>0</v>
      </c>
      <c r="CM52" s="158">
        <f>IFERROR('Similarity matrix'!CM52/'Denominator matrix'!$J$26, "NA")</f>
        <v>0</v>
      </c>
      <c r="CN52" s="160">
        <f>IFERROR('Similarity matrix'!CN52/'Denominator matrix'!$K$26, "NA")</f>
        <v>0.1428571429</v>
      </c>
      <c r="CO52" s="157">
        <f>IFERROR('Similarity matrix'!CO52/'Denominator matrix'!$B$26, "NA")</f>
        <v>0</v>
      </c>
      <c r="CP52" s="158">
        <f>IFERROR('Similarity matrix'!CP52/'Denominator matrix'!$C$26, "NA")</f>
        <v>0.25</v>
      </c>
      <c r="CQ52" s="158">
        <f>IFERROR('Similarity matrix'!CQ52/'Denominator matrix'!$D$26, "NA")</f>
        <v>0.1666666667</v>
      </c>
      <c r="CR52" s="158">
        <f>IFERROR('Similarity matrix'!CR52/'Denominator matrix'!$E$26, "NA")</f>
        <v>0</v>
      </c>
      <c r="CS52" s="158">
        <f>IFERROR('Similarity matrix'!CS52/'Denominator matrix'!$F$26, "NA")</f>
        <v>0</v>
      </c>
      <c r="CT52" s="158">
        <f>IFERROR('Similarity matrix'!CT52/'Denominator matrix'!$G$26, "NA")</f>
        <v>0</v>
      </c>
      <c r="CU52" s="158">
        <f>IFERROR('Similarity matrix'!CU52/'Denominator matrix'!$H$26, "NA")</f>
        <v>0</v>
      </c>
      <c r="CV52" s="158">
        <f>IFERROR('Similarity matrix'!CV52/'Denominator matrix'!$I$26, "NA")</f>
        <v>0</v>
      </c>
      <c r="CW52" s="158">
        <f>IFERROR('Similarity matrix'!CW52/'Denominator matrix'!$J$26, "NA")</f>
        <v>0</v>
      </c>
      <c r="CX52" s="160">
        <f>IFERROR('Similarity matrix'!CX52/'Denominator matrix'!$K$26, "NA")</f>
        <v>0.1428571429</v>
      </c>
    </row>
    <row r="53" ht="35.25" customHeight="1">
      <c r="A53" s="134" t="s">
        <v>2940</v>
      </c>
      <c r="B53" s="124">
        <v>45663.0</v>
      </c>
      <c r="C53" s="154">
        <f>IFERROR('Similarity matrix'!C53/'Denominator matrix'!$B$17, "NA")</f>
        <v>0.05555555556</v>
      </c>
      <c r="D53" s="153">
        <f>IFERROR('Similarity matrix'!D53/'Denominator matrix'!$C$17, "NA")</f>
        <v>0</v>
      </c>
      <c r="E53" s="153">
        <f>IFERROR('Similarity matrix'!E53/'Denominator matrix'!$D$17, "NA")</f>
        <v>0</v>
      </c>
      <c r="F53" s="153">
        <f>IFERROR('Similarity matrix'!F53/'Denominator matrix'!$E$17, "NA")</f>
        <v>0</v>
      </c>
      <c r="G53" s="153">
        <f>IFERROR('Similarity matrix'!G53/'Denominator matrix'!$F$17, "NA")</f>
        <v>0.1</v>
      </c>
      <c r="H53" s="153">
        <f>IFERROR('Similarity matrix'!H53/'Denominator matrix'!$G$17, "NA")</f>
        <v>0.1</v>
      </c>
      <c r="I53" s="153">
        <f>IFERROR('Similarity matrix'!I53/'Denominator matrix'!$H$17, "NA")</f>
        <v>0.25</v>
      </c>
      <c r="J53" s="153">
        <f>IFERROR('Similarity matrix'!J53/'Denominator matrix'!$I$17, "NA")</f>
        <v>0</v>
      </c>
      <c r="K53" s="153">
        <f>IFERROR('Similarity matrix'!K53/'Denominator matrix'!$J$17, "NA")</f>
        <v>0</v>
      </c>
      <c r="L53" s="153">
        <f>IFERROR('Similarity matrix'!L53/'Denominator matrix'!$K$17, "NA")</f>
        <v>0.25</v>
      </c>
      <c r="M53" s="154">
        <f>IFERROR('Similarity matrix'!M53/'Denominator matrix'!$B$17, "NA")</f>
        <v>0</v>
      </c>
      <c r="N53" s="153">
        <f>IFERROR('Similarity matrix'!N53/'Denominator matrix'!$C$17, "NA")</f>
        <v>0</v>
      </c>
      <c r="O53" s="153">
        <f>IFERROR('Similarity matrix'!O53/'Denominator matrix'!$D$17, "NA")</f>
        <v>0</v>
      </c>
      <c r="P53" s="153">
        <f>IFERROR('Similarity matrix'!P53/'Denominator matrix'!$E$17, "NA")</f>
        <v>0</v>
      </c>
      <c r="Q53" s="153">
        <f>IFERROR('Similarity matrix'!Q53/'Denominator matrix'!$F$17, "NA")</f>
        <v>0</v>
      </c>
      <c r="R53" s="153">
        <f>IFERROR('Similarity matrix'!R53/'Denominator matrix'!$G$17, "NA")</f>
        <v>0</v>
      </c>
      <c r="S53" s="153">
        <f>IFERROR('Similarity matrix'!S53/'Denominator matrix'!$H$17, "NA")</f>
        <v>0</v>
      </c>
      <c r="T53" s="153">
        <f>IFERROR('Similarity matrix'!T53/'Denominator matrix'!$I$17, "NA")</f>
        <v>0</v>
      </c>
      <c r="U53" s="153">
        <f>IFERROR('Similarity matrix'!U53/'Denominator matrix'!$J$17, "NA")</f>
        <v>0</v>
      </c>
      <c r="V53" s="153">
        <f>IFERROR('Similarity matrix'!V53/'Denominator matrix'!$K$17, "NA")</f>
        <v>0</v>
      </c>
      <c r="W53" s="154">
        <f>IFERROR('Similarity matrix'!W53/'Denominator matrix'!$B$17, "NA")</f>
        <v>0</v>
      </c>
      <c r="X53" s="153">
        <f>IFERROR('Similarity matrix'!X53/'Denominator matrix'!$C$17, "NA")</f>
        <v>0</v>
      </c>
      <c r="Y53" s="153">
        <f>IFERROR('Similarity matrix'!Y53/'Denominator matrix'!$D$17, "NA")</f>
        <v>0</v>
      </c>
      <c r="Z53" s="153">
        <f>IFERROR('Similarity matrix'!Z53/'Denominator matrix'!$E$17, "NA")</f>
        <v>0</v>
      </c>
      <c r="AA53" s="153">
        <f>IFERROR('Similarity matrix'!AA53/'Denominator matrix'!$F$17, "NA")</f>
        <v>0</v>
      </c>
      <c r="AB53" s="153">
        <f>IFERROR('Similarity matrix'!AB53/'Denominator matrix'!$G$17, "NA")</f>
        <v>0</v>
      </c>
      <c r="AC53" s="153">
        <f>IFERROR('Similarity matrix'!AC53/'Denominator matrix'!$H$17, "NA")</f>
        <v>0</v>
      </c>
      <c r="AD53" s="153">
        <f>IFERROR('Similarity matrix'!AD53/'Denominator matrix'!$I$17, "NA")</f>
        <v>0</v>
      </c>
      <c r="AE53" s="153">
        <f>IFERROR('Similarity matrix'!AE53/'Denominator matrix'!$J$17, "NA")</f>
        <v>0</v>
      </c>
      <c r="AF53" s="153">
        <f>IFERROR('Similarity matrix'!AF53/'Denominator matrix'!$K$17, "NA")</f>
        <v>0</v>
      </c>
      <c r="AG53" s="154">
        <f>IFERROR('Similarity matrix'!AG53/'Denominator matrix'!$B$17, "NA")</f>
        <v>0.05555555556</v>
      </c>
      <c r="AH53" s="153">
        <f>IFERROR('Similarity matrix'!AH53/'Denominator matrix'!$C$17, "NA")</f>
        <v>0</v>
      </c>
      <c r="AI53" s="153">
        <f>IFERROR('Similarity matrix'!AI53/'Denominator matrix'!$D$17, "NA")</f>
        <v>0</v>
      </c>
      <c r="AJ53" s="153">
        <f>IFERROR('Similarity matrix'!AJ53/'Denominator matrix'!$E$17, "NA")</f>
        <v>0</v>
      </c>
      <c r="AK53" s="153">
        <f>IFERROR('Similarity matrix'!AK53/'Denominator matrix'!$F$17, "NA")</f>
        <v>0</v>
      </c>
      <c r="AL53" s="153">
        <f>IFERROR('Similarity matrix'!AL53/'Denominator matrix'!$G$17, "NA")</f>
        <v>0</v>
      </c>
      <c r="AM53" s="153">
        <f>IFERROR('Similarity matrix'!AM53/'Denominator matrix'!$H$17, "NA")</f>
        <v>0</v>
      </c>
      <c r="AN53" s="153">
        <f>IFERROR('Similarity matrix'!AN53/'Denominator matrix'!$I$17, "NA")</f>
        <v>0</v>
      </c>
      <c r="AO53" s="153">
        <f>IFERROR('Similarity matrix'!AO53/'Denominator matrix'!$J$17, "NA")</f>
        <v>0</v>
      </c>
      <c r="AP53" s="153">
        <f>IFERROR('Similarity matrix'!AP53/'Denominator matrix'!$K$17, "NA")</f>
        <v>0</v>
      </c>
      <c r="AQ53" s="154">
        <f>IFERROR('Similarity matrix'!AQ53/'Denominator matrix'!$B$17, "NA")</f>
        <v>0</v>
      </c>
      <c r="AR53" s="153">
        <f>IFERROR('Similarity matrix'!AR53/'Denominator matrix'!$C$17, "NA")</f>
        <v>0</v>
      </c>
      <c r="AS53" s="153">
        <f>IFERROR('Similarity matrix'!AS53/'Denominator matrix'!$D$17, "NA")</f>
        <v>0</v>
      </c>
      <c r="AT53" s="153">
        <f>IFERROR('Similarity matrix'!AT53/'Denominator matrix'!$E$17, "NA")</f>
        <v>0</v>
      </c>
      <c r="AU53" s="153">
        <f>IFERROR('Similarity matrix'!AU53/'Denominator matrix'!$F$17, "NA")</f>
        <v>0</v>
      </c>
      <c r="AV53" s="153">
        <f>IFERROR('Similarity matrix'!AV53/'Denominator matrix'!$G$17, "NA")</f>
        <v>0</v>
      </c>
      <c r="AW53" s="153">
        <f>IFERROR('Similarity matrix'!AW53/'Denominator matrix'!$H$17, "NA")</f>
        <v>0</v>
      </c>
      <c r="AX53" s="153">
        <f>IFERROR('Similarity matrix'!AX53/'Denominator matrix'!$I$17, "NA")</f>
        <v>0</v>
      </c>
      <c r="AY53" s="153">
        <f>IFERROR('Similarity matrix'!AY53/'Denominator matrix'!$J$17, "NA")</f>
        <v>0</v>
      </c>
      <c r="AZ53" s="153">
        <f>IFERROR('Similarity matrix'!AZ53/'Denominator matrix'!$K$17, "NA")</f>
        <v>0</v>
      </c>
      <c r="BA53" s="152">
        <f>IFERROR('Similarity matrix'!BA53/'Denominator matrix'!$B$17, "NA")</f>
        <v>0</v>
      </c>
      <c r="BB53" s="153">
        <f>IFERROR('Similarity matrix'!BB53/'Denominator matrix'!$C$17, "NA")</f>
        <v>1</v>
      </c>
      <c r="BC53" s="153">
        <f>IFERROR('Similarity matrix'!BC53/'Denominator matrix'!$D$17, "NA")</f>
        <v>0.25</v>
      </c>
      <c r="BD53" s="153">
        <f>IFERROR('Similarity matrix'!BD53/'Denominator matrix'!$E$17, "NA")</f>
        <v>0.5</v>
      </c>
      <c r="BE53" s="153">
        <f>IFERROR('Similarity matrix'!BE53/'Denominator matrix'!$F$17, "NA")</f>
        <v>0.6</v>
      </c>
      <c r="BF53" s="153">
        <f>IFERROR('Similarity matrix'!BF53/'Denominator matrix'!$G$17, "NA")</f>
        <v>0.6</v>
      </c>
      <c r="BG53" s="153">
        <f>IFERROR('Similarity matrix'!BG53/'Denominator matrix'!$H$17, "NA")</f>
        <v>0.5</v>
      </c>
      <c r="BH53" s="153">
        <f>IFERROR('Similarity matrix'!BH53/'Denominator matrix'!$I$17, "NA")</f>
        <v>0.75</v>
      </c>
      <c r="BI53" s="153">
        <f>IFERROR('Similarity matrix'!BI53/'Denominator matrix'!$J$17, "NA")</f>
        <v>0.8</v>
      </c>
      <c r="BJ53" s="153">
        <f>IFERROR('Similarity matrix'!BJ53/'Denominator matrix'!$K$17, "NA")</f>
        <v>0.75</v>
      </c>
      <c r="BK53" s="154">
        <f>IFERROR('Similarity matrix'!BK53/'Denominator matrix'!$B$17, "NA")</f>
        <v>0</v>
      </c>
      <c r="BL53" s="153">
        <f>IFERROR('Similarity matrix'!BL53/'Denominator matrix'!$C$17, "NA")</f>
        <v>0</v>
      </c>
      <c r="BM53" s="153">
        <f>IFERROR('Similarity matrix'!BM53/'Denominator matrix'!$D$17, "NA")</f>
        <v>0</v>
      </c>
      <c r="BN53" s="153">
        <f>IFERROR('Similarity matrix'!BN53/'Denominator matrix'!$E$17, "NA")</f>
        <v>0</v>
      </c>
      <c r="BO53" s="153">
        <f>IFERROR('Similarity matrix'!BO53/'Denominator matrix'!$F$17, "NA")</f>
        <v>0</v>
      </c>
      <c r="BP53" s="153">
        <f>IFERROR('Similarity matrix'!BP53/'Denominator matrix'!$G$17, "NA")</f>
        <v>0</v>
      </c>
      <c r="BQ53" s="153">
        <f>IFERROR('Similarity matrix'!BQ53/'Denominator matrix'!$H$17, "NA")</f>
        <v>0</v>
      </c>
      <c r="BR53" s="153">
        <f>IFERROR('Similarity matrix'!BR53/'Denominator matrix'!$I$17, "NA")</f>
        <v>0</v>
      </c>
      <c r="BS53" s="153">
        <f>IFERROR('Similarity matrix'!BS53/'Denominator matrix'!$J$17, "NA")</f>
        <v>0</v>
      </c>
      <c r="BT53" s="153">
        <f>IFERROR('Similarity matrix'!BT53/'Denominator matrix'!$K$17, "NA")</f>
        <v>0</v>
      </c>
      <c r="BU53" s="154">
        <f>IFERROR('Similarity matrix'!BU53/'Denominator matrix'!$B$17, "NA")</f>
        <v>0</v>
      </c>
      <c r="BV53" s="153">
        <f>IFERROR('Similarity matrix'!BV53/'Denominator matrix'!$C$17, "NA")</f>
        <v>0</v>
      </c>
      <c r="BW53" s="153">
        <f>IFERROR('Similarity matrix'!BW53/'Denominator matrix'!$D$17, "NA")</f>
        <v>0</v>
      </c>
      <c r="BX53" s="153">
        <f>IFERROR('Similarity matrix'!BX53/'Denominator matrix'!$E$17, "NA")</f>
        <v>0</v>
      </c>
      <c r="BY53" s="153">
        <f>IFERROR('Similarity matrix'!BY53/'Denominator matrix'!$F$17, "NA")</f>
        <v>0</v>
      </c>
      <c r="BZ53" s="153">
        <f>IFERROR('Similarity matrix'!BZ53/'Denominator matrix'!$G$17, "NA")</f>
        <v>0</v>
      </c>
      <c r="CA53" s="153">
        <f>IFERROR('Similarity matrix'!CA53/'Denominator matrix'!$H$17, "NA")</f>
        <v>0</v>
      </c>
      <c r="CB53" s="153">
        <f>IFERROR('Similarity matrix'!CB53/'Denominator matrix'!$I$17, "NA")</f>
        <v>0</v>
      </c>
      <c r="CC53" s="153">
        <f>IFERROR('Similarity matrix'!CC53/'Denominator matrix'!$J$17, "NA")</f>
        <v>0</v>
      </c>
      <c r="CD53" s="153">
        <f>IFERROR('Similarity matrix'!CD53/'Denominator matrix'!$K$17, "NA")</f>
        <v>0</v>
      </c>
      <c r="CE53" s="154">
        <f>IFERROR('Similarity matrix'!CE53/'Denominator matrix'!$B$17, "NA")</f>
        <v>0</v>
      </c>
      <c r="CF53" s="153">
        <f>IFERROR('Similarity matrix'!CF53/'Denominator matrix'!$C$17, "NA")</f>
        <v>0</v>
      </c>
      <c r="CG53" s="153">
        <f>IFERROR('Similarity matrix'!CG53/'Denominator matrix'!$D$17, "NA")</f>
        <v>0</v>
      </c>
      <c r="CH53" s="153">
        <f>IFERROR('Similarity matrix'!CH53/'Denominator matrix'!$E$17, "NA")</f>
        <v>0</v>
      </c>
      <c r="CI53" s="153">
        <f>IFERROR('Similarity matrix'!CI53/'Denominator matrix'!$F$17, "NA")</f>
        <v>0</v>
      </c>
      <c r="CJ53" s="153">
        <f>IFERROR('Similarity matrix'!CJ53/'Denominator matrix'!$G$17, "NA")</f>
        <v>0</v>
      </c>
      <c r="CK53" s="153">
        <f>IFERROR('Similarity matrix'!CK53/'Denominator matrix'!$H$17, "NA")</f>
        <v>0</v>
      </c>
      <c r="CL53" s="153">
        <f>IFERROR('Similarity matrix'!CL53/'Denominator matrix'!$I$17, "NA")</f>
        <v>0</v>
      </c>
      <c r="CM53" s="153">
        <f>IFERROR('Similarity matrix'!CM53/'Denominator matrix'!$J$17, "NA")</f>
        <v>0</v>
      </c>
      <c r="CN53" s="153">
        <f>IFERROR('Similarity matrix'!CN53/'Denominator matrix'!$K$17, "NA")</f>
        <v>0</v>
      </c>
      <c r="CO53" s="154">
        <f>IFERROR('Similarity matrix'!CO53/'Denominator matrix'!$B$17, "NA")</f>
        <v>0</v>
      </c>
      <c r="CP53" s="153">
        <f>IFERROR('Similarity matrix'!CP53/'Denominator matrix'!$C$17, "NA")</f>
        <v>0</v>
      </c>
      <c r="CQ53" s="153">
        <f>IFERROR('Similarity matrix'!CQ53/'Denominator matrix'!$D$17, "NA")</f>
        <v>0</v>
      </c>
      <c r="CR53" s="153">
        <f>IFERROR('Similarity matrix'!CR53/'Denominator matrix'!$E$17, "NA")</f>
        <v>0</v>
      </c>
      <c r="CS53" s="153">
        <f>IFERROR('Similarity matrix'!CS53/'Denominator matrix'!$F$17, "NA")</f>
        <v>0</v>
      </c>
      <c r="CT53" s="153">
        <f>IFERROR('Similarity matrix'!CT53/'Denominator matrix'!$G$17, "NA")</f>
        <v>0</v>
      </c>
      <c r="CU53" s="153">
        <f>IFERROR('Similarity matrix'!CU53/'Denominator matrix'!$H$17, "NA")</f>
        <v>0</v>
      </c>
      <c r="CV53" s="153">
        <f>IFERROR('Similarity matrix'!CV53/'Denominator matrix'!$I$17, "NA")</f>
        <v>0</v>
      </c>
      <c r="CW53" s="153">
        <f>IFERROR('Similarity matrix'!CW53/'Denominator matrix'!$J$17, "NA")</f>
        <v>0</v>
      </c>
      <c r="CX53" s="153">
        <f>IFERROR('Similarity matrix'!CX53/'Denominator matrix'!$K$17, "NA")</f>
        <v>0</v>
      </c>
    </row>
    <row r="54" ht="35.25" customHeight="1">
      <c r="B54" s="124">
        <v>45694.0</v>
      </c>
      <c r="C54" s="154">
        <f>IFERROR('Similarity matrix'!C54/'Denominator matrix'!$B$18, "NA")</f>
        <v>0</v>
      </c>
      <c r="D54" s="156">
        <f>IFERROR('Similarity matrix'!D54/'Denominator matrix'!$C$18, "NA")</f>
        <v>0</v>
      </c>
      <c r="E54" s="153">
        <f>IFERROR('Similarity matrix'!E54/'Denominator matrix'!$D$18, "NA")</f>
        <v>0</v>
      </c>
      <c r="F54" s="153">
        <f>IFERROR('Similarity matrix'!F54/'Denominator matrix'!$E$18, "NA")</f>
        <v>0</v>
      </c>
      <c r="G54" s="153">
        <f>IFERROR('Similarity matrix'!G54/'Denominator matrix'!$F$18, "NA")</f>
        <v>0</v>
      </c>
      <c r="H54" s="153">
        <f>IFERROR('Similarity matrix'!H54/'Denominator matrix'!$G$18, "NA")</f>
        <v>0</v>
      </c>
      <c r="I54" s="153">
        <f>IFERROR('Similarity matrix'!I54/'Denominator matrix'!$H$18, "NA")</f>
        <v>0.1666666667</v>
      </c>
      <c r="J54" s="153">
        <f>IFERROR('Similarity matrix'!J54/'Denominator matrix'!$I$18, "NA")</f>
        <v>0.25</v>
      </c>
      <c r="K54" s="153">
        <f>IFERROR('Similarity matrix'!K54/'Denominator matrix'!$J$18, "NA")</f>
        <v>0</v>
      </c>
      <c r="L54" s="153">
        <f>IFERROR('Similarity matrix'!L54/'Denominator matrix'!$K$18, "NA")</f>
        <v>0</v>
      </c>
      <c r="M54" s="154">
        <f>IFERROR('Similarity matrix'!M54/'Denominator matrix'!$B$18, "NA")</f>
        <v>0</v>
      </c>
      <c r="N54" s="156">
        <f>IFERROR('Similarity matrix'!N54/'Denominator matrix'!$C$18, "NA")</f>
        <v>0</v>
      </c>
      <c r="O54" s="153">
        <f>IFERROR('Similarity matrix'!O54/'Denominator matrix'!$D$18, "NA")</f>
        <v>0</v>
      </c>
      <c r="P54" s="153">
        <f>IFERROR('Similarity matrix'!P54/'Denominator matrix'!$E$18, "NA")</f>
        <v>0</v>
      </c>
      <c r="Q54" s="153">
        <f>IFERROR('Similarity matrix'!Q54/'Denominator matrix'!$F$18, "NA")</f>
        <v>0</v>
      </c>
      <c r="R54" s="153">
        <f>IFERROR('Similarity matrix'!R54/'Denominator matrix'!$G$18, "NA")</f>
        <v>0</v>
      </c>
      <c r="S54" s="153">
        <f>IFERROR('Similarity matrix'!S54/'Denominator matrix'!$H$18, "NA")</f>
        <v>0</v>
      </c>
      <c r="T54" s="153">
        <f>IFERROR('Similarity matrix'!T54/'Denominator matrix'!$I$18, "NA")</f>
        <v>0</v>
      </c>
      <c r="U54" s="153">
        <f>IFERROR('Similarity matrix'!U54/'Denominator matrix'!$J$18, "NA")</f>
        <v>0</v>
      </c>
      <c r="V54" s="153">
        <f>IFERROR('Similarity matrix'!V54/'Denominator matrix'!$K$18, "NA")</f>
        <v>0</v>
      </c>
      <c r="W54" s="154">
        <f>IFERROR('Similarity matrix'!W54/'Denominator matrix'!$B$18, "NA")</f>
        <v>0</v>
      </c>
      <c r="X54" s="156">
        <f>IFERROR('Similarity matrix'!X54/'Denominator matrix'!$C$18, "NA")</f>
        <v>0</v>
      </c>
      <c r="Y54" s="153">
        <f>IFERROR('Similarity matrix'!Y54/'Denominator matrix'!$D$18, "NA")</f>
        <v>0</v>
      </c>
      <c r="Z54" s="153">
        <f>IFERROR('Similarity matrix'!Z54/'Denominator matrix'!$E$18, "NA")</f>
        <v>0</v>
      </c>
      <c r="AA54" s="153">
        <f>IFERROR('Similarity matrix'!AA54/'Denominator matrix'!$F$18, "NA")</f>
        <v>0</v>
      </c>
      <c r="AB54" s="153">
        <f>IFERROR('Similarity matrix'!AB54/'Denominator matrix'!$G$18, "NA")</f>
        <v>0</v>
      </c>
      <c r="AC54" s="153">
        <f>IFERROR('Similarity matrix'!AC54/'Denominator matrix'!$H$18, "NA")</f>
        <v>0</v>
      </c>
      <c r="AD54" s="153">
        <f>IFERROR('Similarity matrix'!AD54/'Denominator matrix'!$I$18, "NA")</f>
        <v>0</v>
      </c>
      <c r="AE54" s="153">
        <f>IFERROR('Similarity matrix'!AE54/'Denominator matrix'!$J$18, "NA")</f>
        <v>0</v>
      </c>
      <c r="AF54" s="153">
        <f>IFERROR('Similarity matrix'!AF54/'Denominator matrix'!$K$18, "NA")</f>
        <v>0</v>
      </c>
      <c r="AG54" s="154">
        <f>IFERROR('Similarity matrix'!AG54/'Denominator matrix'!$B$18, "NA")</f>
        <v>0</v>
      </c>
      <c r="AH54" s="156">
        <f>IFERROR('Similarity matrix'!AH54/'Denominator matrix'!$C$18, "NA")</f>
        <v>0</v>
      </c>
      <c r="AI54" s="153">
        <f>IFERROR('Similarity matrix'!AI54/'Denominator matrix'!$D$18, "NA")</f>
        <v>0</v>
      </c>
      <c r="AJ54" s="153">
        <f>IFERROR('Similarity matrix'!AJ54/'Denominator matrix'!$E$18, "NA")</f>
        <v>0</v>
      </c>
      <c r="AK54" s="153">
        <f>IFERROR('Similarity matrix'!AK54/'Denominator matrix'!$F$18, "NA")</f>
        <v>0</v>
      </c>
      <c r="AL54" s="153">
        <f>IFERROR('Similarity matrix'!AL54/'Denominator matrix'!$G$18, "NA")</f>
        <v>0</v>
      </c>
      <c r="AM54" s="153">
        <f>IFERROR('Similarity matrix'!AM54/'Denominator matrix'!$H$18, "NA")</f>
        <v>0.1666666667</v>
      </c>
      <c r="AN54" s="153">
        <f>IFERROR('Similarity matrix'!AN54/'Denominator matrix'!$I$18, "NA")</f>
        <v>0</v>
      </c>
      <c r="AO54" s="153">
        <f>IFERROR('Similarity matrix'!AO54/'Denominator matrix'!$J$18, "NA")</f>
        <v>0</v>
      </c>
      <c r="AP54" s="153">
        <f>IFERROR('Similarity matrix'!AP54/'Denominator matrix'!$K$18, "NA")</f>
        <v>0</v>
      </c>
      <c r="AQ54" s="154">
        <f>IFERROR('Similarity matrix'!AQ54/'Denominator matrix'!$B$18, "NA")</f>
        <v>0</v>
      </c>
      <c r="AR54" s="156">
        <f>IFERROR('Similarity matrix'!AR54/'Denominator matrix'!$C$18, "NA")</f>
        <v>0</v>
      </c>
      <c r="AS54" s="153">
        <f>IFERROR('Similarity matrix'!AS54/'Denominator matrix'!$D$18, "NA")</f>
        <v>0</v>
      </c>
      <c r="AT54" s="153">
        <f>IFERROR('Similarity matrix'!AT54/'Denominator matrix'!$E$18, "NA")</f>
        <v>0</v>
      </c>
      <c r="AU54" s="153">
        <f>IFERROR('Similarity matrix'!AU54/'Denominator matrix'!$F$18, "NA")</f>
        <v>0</v>
      </c>
      <c r="AV54" s="153">
        <f>IFERROR('Similarity matrix'!AV54/'Denominator matrix'!$G$18, "NA")</f>
        <v>0</v>
      </c>
      <c r="AW54" s="153">
        <f>IFERROR('Similarity matrix'!AW54/'Denominator matrix'!$H$18, "NA")</f>
        <v>0</v>
      </c>
      <c r="AX54" s="153">
        <f>IFERROR('Similarity matrix'!AX54/'Denominator matrix'!$I$18, "NA")</f>
        <v>0</v>
      </c>
      <c r="AY54" s="153">
        <f>IFERROR('Similarity matrix'!AY54/'Denominator matrix'!$J$18, "NA")</f>
        <v>0</v>
      </c>
      <c r="AZ54" s="153">
        <f>IFERROR('Similarity matrix'!AZ54/'Denominator matrix'!$K$18, "NA")</f>
        <v>0</v>
      </c>
      <c r="BA54" s="154">
        <f>IFERROR('Similarity matrix'!BA54/'Denominator matrix'!$B$18, "NA")</f>
        <v>1</v>
      </c>
      <c r="BB54" s="155">
        <f>IFERROR('Similarity matrix'!BB54/'Denominator matrix'!$C$18, "NA")</f>
        <v>0</v>
      </c>
      <c r="BC54" s="153">
        <f>IFERROR('Similarity matrix'!BC54/'Denominator matrix'!$D$18, "NA")</f>
        <v>0.75</v>
      </c>
      <c r="BD54" s="153">
        <f>IFERROR('Similarity matrix'!BD54/'Denominator matrix'!$E$18, "NA")</f>
        <v>0.5</v>
      </c>
      <c r="BE54" s="153">
        <f>IFERROR('Similarity matrix'!BE54/'Denominator matrix'!$F$18, "NA")</f>
        <v>0.8333333333</v>
      </c>
      <c r="BF54" s="153">
        <f>IFERROR('Similarity matrix'!BF54/'Denominator matrix'!$G$18, "NA")</f>
        <v>0.8333333333</v>
      </c>
      <c r="BG54" s="153">
        <f>IFERROR('Similarity matrix'!BG54/'Denominator matrix'!$H$18, "NA")</f>
        <v>0.5</v>
      </c>
      <c r="BH54" s="153">
        <f>IFERROR('Similarity matrix'!BH54/'Denominator matrix'!$I$18, "NA")</f>
        <v>1</v>
      </c>
      <c r="BI54" s="153">
        <f>IFERROR('Similarity matrix'!BI54/'Denominator matrix'!$J$18, "NA")</f>
        <v>1</v>
      </c>
      <c r="BJ54" s="153">
        <f>IFERROR('Similarity matrix'!BJ54/'Denominator matrix'!$K$18, "NA")</f>
        <v>0.75</v>
      </c>
      <c r="BK54" s="154">
        <f>IFERROR('Similarity matrix'!BK54/'Denominator matrix'!$B$18, "NA")</f>
        <v>0</v>
      </c>
      <c r="BL54" s="156">
        <f>IFERROR('Similarity matrix'!BL54/'Denominator matrix'!$C$18, "NA")</f>
        <v>0</v>
      </c>
      <c r="BM54" s="153">
        <f>IFERROR('Similarity matrix'!BM54/'Denominator matrix'!$D$18, "NA")</f>
        <v>0</v>
      </c>
      <c r="BN54" s="153">
        <f>IFERROR('Similarity matrix'!BN54/'Denominator matrix'!$E$18, "NA")</f>
        <v>0</v>
      </c>
      <c r="BO54" s="153">
        <f>IFERROR('Similarity matrix'!BO54/'Denominator matrix'!$F$18, "NA")</f>
        <v>0</v>
      </c>
      <c r="BP54" s="153">
        <f>IFERROR('Similarity matrix'!BP54/'Denominator matrix'!$G$18, "NA")</f>
        <v>0</v>
      </c>
      <c r="BQ54" s="153">
        <f>IFERROR('Similarity matrix'!BQ54/'Denominator matrix'!$H$18, "NA")</f>
        <v>0</v>
      </c>
      <c r="BR54" s="153">
        <f>IFERROR('Similarity matrix'!BR54/'Denominator matrix'!$I$18, "NA")</f>
        <v>0</v>
      </c>
      <c r="BS54" s="153">
        <f>IFERROR('Similarity matrix'!BS54/'Denominator matrix'!$J$18, "NA")</f>
        <v>0</v>
      </c>
      <c r="BT54" s="153">
        <f>IFERROR('Similarity matrix'!BT54/'Denominator matrix'!$K$18, "NA")</f>
        <v>0</v>
      </c>
      <c r="BU54" s="154">
        <f>IFERROR('Similarity matrix'!BU54/'Denominator matrix'!$B$18, "NA")</f>
        <v>0</v>
      </c>
      <c r="BV54" s="156">
        <f>IFERROR('Similarity matrix'!BV54/'Denominator matrix'!$C$18, "NA")</f>
        <v>0</v>
      </c>
      <c r="BW54" s="153">
        <f>IFERROR('Similarity matrix'!BW54/'Denominator matrix'!$D$18, "NA")</f>
        <v>0</v>
      </c>
      <c r="BX54" s="153">
        <f>IFERROR('Similarity matrix'!BX54/'Denominator matrix'!$E$18, "NA")</f>
        <v>0</v>
      </c>
      <c r="BY54" s="153">
        <f>IFERROR('Similarity matrix'!BY54/'Denominator matrix'!$F$18, "NA")</f>
        <v>0</v>
      </c>
      <c r="BZ54" s="153">
        <f>IFERROR('Similarity matrix'!BZ54/'Denominator matrix'!$G$18, "NA")</f>
        <v>0</v>
      </c>
      <c r="CA54" s="153">
        <f>IFERROR('Similarity matrix'!CA54/'Denominator matrix'!$H$18, "NA")</f>
        <v>0</v>
      </c>
      <c r="CB54" s="153">
        <f>IFERROR('Similarity matrix'!CB54/'Denominator matrix'!$I$18, "NA")</f>
        <v>0</v>
      </c>
      <c r="CC54" s="153">
        <f>IFERROR('Similarity matrix'!CC54/'Denominator matrix'!$J$18, "NA")</f>
        <v>0</v>
      </c>
      <c r="CD54" s="153">
        <f>IFERROR('Similarity matrix'!CD54/'Denominator matrix'!$K$18, "NA")</f>
        <v>0</v>
      </c>
      <c r="CE54" s="154">
        <f>IFERROR('Similarity matrix'!CE54/'Denominator matrix'!$B$18, "NA")</f>
        <v>0</v>
      </c>
      <c r="CF54" s="156">
        <f>IFERROR('Similarity matrix'!CF54/'Denominator matrix'!$C$18, "NA")</f>
        <v>0</v>
      </c>
      <c r="CG54" s="153">
        <f>IFERROR('Similarity matrix'!CG54/'Denominator matrix'!$D$18, "NA")</f>
        <v>0</v>
      </c>
      <c r="CH54" s="153">
        <f>IFERROR('Similarity matrix'!CH54/'Denominator matrix'!$E$18, "NA")</f>
        <v>0</v>
      </c>
      <c r="CI54" s="153">
        <f>IFERROR('Similarity matrix'!CI54/'Denominator matrix'!$F$18, "NA")</f>
        <v>0</v>
      </c>
      <c r="CJ54" s="153">
        <f>IFERROR('Similarity matrix'!CJ54/'Denominator matrix'!$G$18, "NA")</f>
        <v>0</v>
      </c>
      <c r="CK54" s="153">
        <f>IFERROR('Similarity matrix'!CK54/'Denominator matrix'!$H$18, "NA")</f>
        <v>0</v>
      </c>
      <c r="CL54" s="153">
        <f>IFERROR('Similarity matrix'!CL54/'Denominator matrix'!$I$18, "NA")</f>
        <v>0</v>
      </c>
      <c r="CM54" s="153">
        <f>IFERROR('Similarity matrix'!CM54/'Denominator matrix'!$J$18, "NA")</f>
        <v>0</v>
      </c>
      <c r="CN54" s="153">
        <f>IFERROR('Similarity matrix'!CN54/'Denominator matrix'!$K$18, "NA")</f>
        <v>0</v>
      </c>
      <c r="CO54" s="154">
        <f>IFERROR('Similarity matrix'!CO54/'Denominator matrix'!$B$18, "NA")</f>
        <v>0</v>
      </c>
      <c r="CP54" s="156">
        <f>IFERROR('Similarity matrix'!CP54/'Denominator matrix'!$C$18, "NA")</f>
        <v>0</v>
      </c>
      <c r="CQ54" s="153">
        <f>IFERROR('Similarity matrix'!CQ54/'Denominator matrix'!$D$18, "NA")</f>
        <v>0</v>
      </c>
      <c r="CR54" s="153">
        <f>IFERROR('Similarity matrix'!CR54/'Denominator matrix'!$E$18, "NA")</f>
        <v>0</v>
      </c>
      <c r="CS54" s="153">
        <f>IFERROR('Similarity matrix'!CS54/'Denominator matrix'!$F$18, "NA")</f>
        <v>0</v>
      </c>
      <c r="CT54" s="153">
        <f>IFERROR('Similarity matrix'!CT54/'Denominator matrix'!$G$18, "NA")</f>
        <v>0</v>
      </c>
      <c r="CU54" s="153">
        <f>IFERROR('Similarity matrix'!CU54/'Denominator matrix'!$H$18, "NA")</f>
        <v>0</v>
      </c>
      <c r="CV54" s="153">
        <f>IFERROR('Similarity matrix'!CV54/'Denominator matrix'!$I$18, "NA")</f>
        <v>0</v>
      </c>
      <c r="CW54" s="153">
        <f>IFERROR('Similarity matrix'!CW54/'Denominator matrix'!$J$18, "NA")</f>
        <v>0</v>
      </c>
      <c r="CX54" s="153">
        <f>IFERROR('Similarity matrix'!CX54/'Denominator matrix'!$K$18, "NA")</f>
        <v>0</v>
      </c>
    </row>
    <row r="55" ht="35.25" customHeight="1">
      <c r="B55" s="124">
        <v>45722.0</v>
      </c>
      <c r="C55" s="154">
        <f>IFERROR('Similarity matrix'!C55/'Denominator matrix'!$B$19, "NA")</f>
        <v>0</v>
      </c>
      <c r="D55" s="153">
        <f>IFERROR('Similarity matrix'!D55/'Denominator matrix'!$C$19, "NA")</f>
        <v>0</v>
      </c>
      <c r="E55" s="156">
        <f>IFERROR('Similarity matrix'!E55/'Denominator matrix'!$D$19, "NA")</f>
        <v>0</v>
      </c>
      <c r="F55" s="153">
        <f>IFERROR('Similarity matrix'!F55/'Denominator matrix'!$E$19, "NA")</f>
        <v>0</v>
      </c>
      <c r="G55" s="153">
        <f>IFERROR('Similarity matrix'!G55/'Denominator matrix'!$F$19, "NA")</f>
        <v>0</v>
      </c>
      <c r="H55" s="153">
        <f>IFERROR('Similarity matrix'!H55/'Denominator matrix'!$G$19, "NA")</f>
        <v>0</v>
      </c>
      <c r="I55" s="153">
        <f>IFERROR('Similarity matrix'!I55/'Denominator matrix'!$H$19, "NA")</f>
        <v>0</v>
      </c>
      <c r="J55" s="153">
        <f>IFERROR('Similarity matrix'!J55/'Denominator matrix'!$I$19, "NA")</f>
        <v>0.1666666667</v>
      </c>
      <c r="K55" s="153">
        <f>IFERROR('Similarity matrix'!K55/'Denominator matrix'!$J$19, "NA")</f>
        <v>0</v>
      </c>
      <c r="L55" s="153">
        <f>IFERROR('Similarity matrix'!L55/'Denominator matrix'!$K$19, "NA")</f>
        <v>0</v>
      </c>
      <c r="M55" s="154">
        <f>IFERROR('Similarity matrix'!M55/'Denominator matrix'!$B$19, "NA")</f>
        <v>0</v>
      </c>
      <c r="N55" s="153">
        <f>IFERROR('Similarity matrix'!N55/'Denominator matrix'!$C$19, "NA")</f>
        <v>0</v>
      </c>
      <c r="O55" s="156">
        <f>IFERROR('Similarity matrix'!O55/'Denominator matrix'!$D$19, "NA")</f>
        <v>0</v>
      </c>
      <c r="P55" s="153">
        <f>IFERROR('Similarity matrix'!P55/'Denominator matrix'!$E$19, "NA")</f>
        <v>0</v>
      </c>
      <c r="Q55" s="153">
        <f>IFERROR('Similarity matrix'!Q55/'Denominator matrix'!$F$19, "NA")</f>
        <v>0</v>
      </c>
      <c r="R55" s="153">
        <f>IFERROR('Similarity matrix'!R55/'Denominator matrix'!$G$19, "NA")</f>
        <v>0</v>
      </c>
      <c r="S55" s="153">
        <f>IFERROR('Similarity matrix'!S55/'Denominator matrix'!$H$19, "NA")</f>
        <v>0</v>
      </c>
      <c r="T55" s="153">
        <f>IFERROR('Similarity matrix'!T55/'Denominator matrix'!$I$19, "NA")</f>
        <v>0</v>
      </c>
      <c r="U55" s="153">
        <f>IFERROR('Similarity matrix'!U55/'Denominator matrix'!$J$19, "NA")</f>
        <v>0</v>
      </c>
      <c r="V55" s="153">
        <f>IFERROR('Similarity matrix'!V55/'Denominator matrix'!$K$19, "NA")</f>
        <v>0</v>
      </c>
      <c r="W55" s="154">
        <f>IFERROR('Similarity matrix'!W55/'Denominator matrix'!$B$19, "NA")</f>
        <v>0</v>
      </c>
      <c r="X55" s="153">
        <f>IFERROR('Similarity matrix'!X55/'Denominator matrix'!$C$19, "NA")</f>
        <v>0</v>
      </c>
      <c r="Y55" s="156">
        <f>IFERROR('Similarity matrix'!Y55/'Denominator matrix'!$D$19, "NA")</f>
        <v>0</v>
      </c>
      <c r="Z55" s="153">
        <f>IFERROR('Similarity matrix'!Z55/'Denominator matrix'!$E$19, "NA")</f>
        <v>0</v>
      </c>
      <c r="AA55" s="153">
        <f>IFERROR('Similarity matrix'!AA55/'Denominator matrix'!$F$19, "NA")</f>
        <v>0</v>
      </c>
      <c r="AB55" s="153">
        <f>IFERROR('Similarity matrix'!AB55/'Denominator matrix'!$G$19, "NA")</f>
        <v>0</v>
      </c>
      <c r="AC55" s="153">
        <f>IFERROR('Similarity matrix'!AC55/'Denominator matrix'!$H$19, "NA")</f>
        <v>0</v>
      </c>
      <c r="AD55" s="153">
        <f>IFERROR('Similarity matrix'!AD55/'Denominator matrix'!$I$19, "NA")</f>
        <v>0</v>
      </c>
      <c r="AE55" s="153">
        <f>IFERROR('Similarity matrix'!AE55/'Denominator matrix'!$J$19, "NA")</f>
        <v>0</v>
      </c>
      <c r="AF55" s="153">
        <f>IFERROR('Similarity matrix'!AF55/'Denominator matrix'!$K$19, "NA")</f>
        <v>0</v>
      </c>
      <c r="AG55" s="154">
        <f>IFERROR('Similarity matrix'!AG55/'Denominator matrix'!$B$19, "NA")</f>
        <v>0</v>
      </c>
      <c r="AH55" s="153">
        <f>IFERROR('Similarity matrix'!AH55/'Denominator matrix'!$C$19, "NA")</f>
        <v>0</v>
      </c>
      <c r="AI55" s="156">
        <f>IFERROR('Similarity matrix'!AI55/'Denominator matrix'!$D$19, "NA")</f>
        <v>0</v>
      </c>
      <c r="AJ55" s="153">
        <f>IFERROR('Similarity matrix'!AJ55/'Denominator matrix'!$E$19, "NA")</f>
        <v>0</v>
      </c>
      <c r="AK55" s="153">
        <f>IFERROR('Similarity matrix'!AK55/'Denominator matrix'!$F$19, "NA")</f>
        <v>0</v>
      </c>
      <c r="AL55" s="153">
        <f>IFERROR('Similarity matrix'!AL55/'Denominator matrix'!$G$19, "NA")</f>
        <v>0</v>
      </c>
      <c r="AM55" s="153">
        <f>IFERROR('Similarity matrix'!AM55/'Denominator matrix'!$H$19, "NA")</f>
        <v>0</v>
      </c>
      <c r="AN55" s="153">
        <f>IFERROR('Similarity matrix'!AN55/'Denominator matrix'!$I$19, "NA")</f>
        <v>0</v>
      </c>
      <c r="AO55" s="153">
        <f>IFERROR('Similarity matrix'!AO55/'Denominator matrix'!$J$19, "NA")</f>
        <v>0</v>
      </c>
      <c r="AP55" s="153">
        <f>IFERROR('Similarity matrix'!AP55/'Denominator matrix'!$K$19, "NA")</f>
        <v>0</v>
      </c>
      <c r="AQ55" s="154">
        <f>IFERROR('Similarity matrix'!AQ55/'Denominator matrix'!$B$19, "NA")</f>
        <v>0</v>
      </c>
      <c r="AR55" s="153">
        <f>IFERROR('Similarity matrix'!AR55/'Denominator matrix'!$C$19, "NA")</f>
        <v>0</v>
      </c>
      <c r="AS55" s="156">
        <f>IFERROR('Similarity matrix'!AS55/'Denominator matrix'!$D$19, "NA")</f>
        <v>0</v>
      </c>
      <c r="AT55" s="153">
        <f>IFERROR('Similarity matrix'!AT55/'Denominator matrix'!$E$19, "NA")</f>
        <v>0</v>
      </c>
      <c r="AU55" s="153">
        <f>IFERROR('Similarity matrix'!AU55/'Denominator matrix'!$F$19, "NA")</f>
        <v>0</v>
      </c>
      <c r="AV55" s="153">
        <f>IFERROR('Similarity matrix'!AV55/'Denominator matrix'!$G$19, "NA")</f>
        <v>0</v>
      </c>
      <c r="AW55" s="153">
        <f>IFERROR('Similarity matrix'!AW55/'Denominator matrix'!$H$19, "NA")</f>
        <v>0</v>
      </c>
      <c r="AX55" s="153">
        <f>IFERROR('Similarity matrix'!AX55/'Denominator matrix'!$I$19, "NA")</f>
        <v>0</v>
      </c>
      <c r="AY55" s="153">
        <f>IFERROR('Similarity matrix'!AY55/'Denominator matrix'!$J$19, "NA")</f>
        <v>0</v>
      </c>
      <c r="AZ55" s="153">
        <f>IFERROR('Similarity matrix'!AZ55/'Denominator matrix'!$K$19, "NA")</f>
        <v>0</v>
      </c>
      <c r="BA55" s="154">
        <f>IFERROR('Similarity matrix'!BA55/'Denominator matrix'!$B$19, "NA")</f>
        <v>0.25</v>
      </c>
      <c r="BB55" s="153">
        <f>IFERROR('Similarity matrix'!BB55/'Denominator matrix'!$C$19, "NA")</f>
        <v>0.75</v>
      </c>
      <c r="BC55" s="155">
        <f>IFERROR('Similarity matrix'!BC55/'Denominator matrix'!$D$19, "NA")</f>
        <v>0</v>
      </c>
      <c r="BD55" s="153">
        <f>IFERROR('Similarity matrix'!BD55/'Denominator matrix'!$E$19, "NA")</f>
        <v>0.75</v>
      </c>
      <c r="BE55" s="153">
        <f>IFERROR('Similarity matrix'!BE55/'Denominator matrix'!$F$19, "NA")</f>
        <v>0.75</v>
      </c>
      <c r="BF55" s="153">
        <f>IFERROR('Similarity matrix'!BF55/'Denominator matrix'!$G$19, "NA")</f>
        <v>0.5</v>
      </c>
      <c r="BG55" s="153">
        <f>IFERROR('Similarity matrix'!BG55/'Denominator matrix'!$H$19, "NA")</f>
        <v>0.75</v>
      </c>
      <c r="BH55" s="153">
        <f>IFERROR('Similarity matrix'!BH55/'Denominator matrix'!$I$19, "NA")</f>
        <v>0.8333333333</v>
      </c>
      <c r="BI55" s="153">
        <f>IFERROR('Similarity matrix'!BI55/'Denominator matrix'!$J$19, "NA")</f>
        <v>0.75</v>
      </c>
      <c r="BJ55" s="153">
        <f>IFERROR('Similarity matrix'!BJ55/'Denominator matrix'!$K$19, "NA")</f>
        <v>0.8333333333</v>
      </c>
      <c r="BK55" s="154">
        <f>IFERROR('Similarity matrix'!BK55/'Denominator matrix'!$B$19, "NA")</f>
        <v>0</v>
      </c>
      <c r="BL55" s="153">
        <f>IFERROR('Similarity matrix'!BL55/'Denominator matrix'!$C$19, "NA")</f>
        <v>0.25</v>
      </c>
      <c r="BM55" s="156">
        <f>IFERROR('Similarity matrix'!BM55/'Denominator matrix'!$D$19, "NA")</f>
        <v>0.0625</v>
      </c>
      <c r="BN55" s="153">
        <f>IFERROR('Similarity matrix'!BN55/'Denominator matrix'!$E$19, "NA")</f>
        <v>0</v>
      </c>
      <c r="BO55" s="153">
        <f>IFERROR('Similarity matrix'!BO55/'Denominator matrix'!$F$19, "NA")</f>
        <v>0</v>
      </c>
      <c r="BP55" s="153">
        <f>IFERROR('Similarity matrix'!BP55/'Denominator matrix'!$G$19, "NA")</f>
        <v>0</v>
      </c>
      <c r="BQ55" s="153">
        <f>IFERROR('Similarity matrix'!BQ55/'Denominator matrix'!$H$19, "NA")</f>
        <v>0.125</v>
      </c>
      <c r="BR55" s="153">
        <f>IFERROR('Similarity matrix'!BR55/'Denominator matrix'!$I$19, "NA")</f>
        <v>0</v>
      </c>
      <c r="BS55" s="153">
        <f>IFERROR('Similarity matrix'!BS55/'Denominator matrix'!$J$19, "NA")</f>
        <v>0</v>
      </c>
      <c r="BT55" s="153">
        <f>IFERROR('Similarity matrix'!BT55/'Denominator matrix'!$K$19, "NA")</f>
        <v>0.1666666667</v>
      </c>
      <c r="BU55" s="154">
        <f>IFERROR('Similarity matrix'!BU55/'Denominator matrix'!$B$19, "NA")</f>
        <v>0</v>
      </c>
      <c r="BV55" s="153">
        <f>IFERROR('Similarity matrix'!BV55/'Denominator matrix'!$C$19, "NA")</f>
        <v>0</v>
      </c>
      <c r="BW55" s="156">
        <f>IFERROR('Similarity matrix'!BW55/'Denominator matrix'!$D$19, "NA")</f>
        <v>0</v>
      </c>
      <c r="BX55" s="153">
        <f>IFERROR('Similarity matrix'!BX55/'Denominator matrix'!$E$19, "NA")</f>
        <v>0</v>
      </c>
      <c r="BY55" s="153">
        <f>IFERROR('Similarity matrix'!BY55/'Denominator matrix'!$F$19, "NA")</f>
        <v>0</v>
      </c>
      <c r="BZ55" s="153">
        <f>IFERROR('Similarity matrix'!BZ55/'Denominator matrix'!$G$19, "NA")</f>
        <v>0</v>
      </c>
      <c r="CA55" s="153">
        <f>IFERROR('Similarity matrix'!CA55/'Denominator matrix'!$H$19, "NA")</f>
        <v>0</v>
      </c>
      <c r="CB55" s="153">
        <f>IFERROR('Similarity matrix'!CB55/'Denominator matrix'!$I$19, "NA")</f>
        <v>0</v>
      </c>
      <c r="CC55" s="153">
        <f>IFERROR('Similarity matrix'!CC55/'Denominator matrix'!$J$19, "NA")</f>
        <v>0</v>
      </c>
      <c r="CD55" s="153">
        <f>IFERROR('Similarity matrix'!CD55/'Denominator matrix'!$K$19, "NA")</f>
        <v>0</v>
      </c>
      <c r="CE55" s="154">
        <f>IFERROR('Similarity matrix'!CE55/'Denominator matrix'!$B$19, "NA")</f>
        <v>0</v>
      </c>
      <c r="CF55" s="153">
        <f>IFERROR('Similarity matrix'!CF55/'Denominator matrix'!$C$19, "NA")</f>
        <v>0</v>
      </c>
      <c r="CG55" s="156">
        <f>IFERROR('Similarity matrix'!CG55/'Denominator matrix'!$D$19, "NA")</f>
        <v>0</v>
      </c>
      <c r="CH55" s="153">
        <f>IFERROR('Similarity matrix'!CH55/'Denominator matrix'!$E$19, "NA")</f>
        <v>0</v>
      </c>
      <c r="CI55" s="153">
        <f>IFERROR('Similarity matrix'!CI55/'Denominator matrix'!$F$19, "NA")</f>
        <v>0</v>
      </c>
      <c r="CJ55" s="153">
        <f>IFERROR('Similarity matrix'!CJ55/'Denominator matrix'!$G$19, "NA")</f>
        <v>0</v>
      </c>
      <c r="CK55" s="153">
        <f>IFERROR('Similarity matrix'!CK55/'Denominator matrix'!$H$19, "NA")</f>
        <v>0</v>
      </c>
      <c r="CL55" s="153">
        <f>IFERROR('Similarity matrix'!CL55/'Denominator matrix'!$I$19, "NA")</f>
        <v>0</v>
      </c>
      <c r="CM55" s="153">
        <f>IFERROR('Similarity matrix'!CM55/'Denominator matrix'!$J$19, "NA")</f>
        <v>0</v>
      </c>
      <c r="CN55" s="153">
        <f>IFERROR('Similarity matrix'!CN55/'Denominator matrix'!$K$19, "NA")</f>
        <v>0</v>
      </c>
      <c r="CO55" s="154">
        <f>IFERROR('Similarity matrix'!CO55/'Denominator matrix'!$B$19, "NA")</f>
        <v>0</v>
      </c>
      <c r="CP55" s="153">
        <f>IFERROR('Similarity matrix'!CP55/'Denominator matrix'!$C$19, "NA")</f>
        <v>0</v>
      </c>
      <c r="CQ55" s="156">
        <f>IFERROR('Similarity matrix'!CQ55/'Denominator matrix'!$D$19, "NA")</f>
        <v>0</v>
      </c>
      <c r="CR55" s="153">
        <f>IFERROR('Similarity matrix'!CR55/'Denominator matrix'!$E$19, "NA")</f>
        <v>0</v>
      </c>
      <c r="CS55" s="153">
        <f>IFERROR('Similarity matrix'!CS55/'Denominator matrix'!$F$19, "NA")</f>
        <v>0</v>
      </c>
      <c r="CT55" s="153">
        <f>IFERROR('Similarity matrix'!CT55/'Denominator matrix'!$G$19, "NA")</f>
        <v>0</v>
      </c>
      <c r="CU55" s="153">
        <f>IFERROR('Similarity matrix'!CU55/'Denominator matrix'!$H$19, "NA")</f>
        <v>0</v>
      </c>
      <c r="CV55" s="153">
        <f>IFERROR('Similarity matrix'!CV55/'Denominator matrix'!$I$19, "NA")</f>
        <v>0</v>
      </c>
      <c r="CW55" s="153">
        <f>IFERROR('Similarity matrix'!CW55/'Denominator matrix'!$J$19, "NA")</f>
        <v>0</v>
      </c>
      <c r="CX55" s="153">
        <f>IFERROR('Similarity matrix'!CX55/'Denominator matrix'!$K$19, "NA")</f>
        <v>0</v>
      </c>
    </row>
    <row r="56" ht="35.25" customHeight="1">
      <c r="B56" s="124">
        <v>45753.0</v>
      </c>
      <c r="C56" s="154">
        <f>IFERROR('Similarity matrix'!C56/'Denominator matrix'!$B$20, "NA")</f>
        <v>0</v>
      </c>
      <c r="D56" s="153">
        <f>IFERROR('Similarity matrix'!D56/'Denominator matrix'!$C$20, "NA")</f>
        <v>0</v>
      </c>
      <c r="E56" s="153">
        <f>IFERROR('Similarity matrix'!E56/'Denominator matrix'!$D$20, "NA")</f>
        <v>0</v>
      </c>
      <c r="F56" s="156">
        <f>IFERROR('Similarity matrix'!F56/'Denominator matrix'!$E$20, "NA")</f>
        <v>0</v>
      </c>
      <c r="G56" s="153">
        <f>IFERROR('Similarity matrix'!G56/'Denominator matrix'!$F$20, "NA")</f>
        <v>0</v>
      </c>
      <c r="H56" s="153">
        <f>IFERROR('Similarity matrix'!H56/'Denominator matrix'!$G$20, "NA")</f>
        <v>0</v>
      </c>
      <c r="I56" s="153">
        <f>IFERROR('Similarity matrix'!I56/'Denominator matrix'!$H$20, "NA")</f>
        <v>0.1</v>
      </c>
      <c r="J56" s="153">
        <f>IFERROR('Similarity matrix'!J56/'Denominator matrix'!$I$20, "NA")</f>
        <v>0</v>
      </c>
      <c r="K56" s="153">
        <f>IFERROR('Similarity matrix'!K56/'Denominator matrix'!$J$20, "NA")</f>
        <v>0</v>
      </c>
      <c r="L56" s="153">
        <f>IFERROR('Similarity matrix'!L56/'Denominator matrix'!$K$20, "NA")</f>
        <v>0</v>
      </c>
      <c r="M56" s="154">
        <f>IFERROR('Similarity matrix'!M56/'Denominator matrix'!$B$20, "NA")</f>
        <v>0</v>
      </c>
      <c r="N56" s="153">
        <f>IFERROR('Similarity matrix'!N56/'Denominator matrix'!$C$20, "NA")</f>
        <v>0</v>
      </c>
      <c r="O56" s="153">
        <f>IFERROR('Similarity matrix'!O56/'Denominator matrix'!$D$20, "NA")</f>
        <v>0</v>
      </c>
      <c r="P56" s="156">
        <f>IFERROR('Similarity matrix'!P56/'Denominator matrix'!$E$20, "NA")</f>
        <v>0</v>
      </c>
      <c r="Q56" s="153">
        <f>IFERROR('Similarity matrix'!Q56/'Denominator matrix'!$F$20, "NA")</f>
        <v>0</v>
      </c>
      <c r="R56" s="153">
        <f>IFERROR('Similarity matrix'!R56/'Denominator matrix'!$G$20, "NA")</f>
        <v>0</v>
      </c>
      <c r="S56" s="153">
        <f>IFERROR('Similarity matrix'!S56/'Denominator matrix'!$H$20, "NA")</f>
        <v>0</v>
      </c>
      <c r="T56" s="153">
        <f>IFERROR('Similarity matrix'!T56/'Denominator matrix'!$I$20, "NA")</f>
        <v>0</v>
      </c>
      <c r="U56" s="153">
        <f>IFERROR('Similarity matrix'!U56/'Denominator matrix'!$J$20, "NA")</f>
        <v>0</v>
      </c>
      <c r="V56" s="153">
        <f>IFERROR('Similarity matrix'!V56/'Denominator matrix'!$K$20, "NA")</f>
        <v>0</v>
      </c>
      <c r="W56" s="154">
        <f>IFERROR('Similarity matrix'!W56/'Denominator matrix'!$B$20, "NA")</f>
        <v>0</v>
      </c>
      <c r="X56" s="153">
        <f>IFERROR('Similarity matrix'!X56/'Denominator matrix'!$C$20, "NA")</f>
        <v>0</v>
      </c>
      <c r="Y56" s="153">
        <f>IFERROR('Similarity matrix'!Y56/'Denominator matrix'!$D$20, "NA")</f>
        <v>0</v>
      </c>
      <c r="Z56" s="156">
        <f>IFERROR('Similarity matrix'!Z56/'Denominator matrix'!$E$20, "NA")</f>
        <v>0</v>
      </c>
      <c r="AA56" s="153">
        <f>IFERROR('Similarity matrix'!AA56/'Denominator matrix'!$F$20, "NA")</f>
        <v>0</v>
      </c>
      <c r="AB56" s="153">
        <f>IFERROR('Similarity matrix'!AB56/'Denominator matrix'!$G$20, "NA")</f>
        <v>0</v>
      </c>
      <c r="AC56" s="153">
        <f>IFERROR('Similarity matrix'!AC56/'Denominator matrix'!$H$20, "NA")</f>
        <v>0</v>
      </c>
      <c r="AD56" s="153">
        <f>IFERROR('Similarity matrix'!AD56/'Denominator matrix'!$I$20, "NA")</f>
        <v>0</v>
      </c>
      <c r="AE56" s="153">
        <f>IFERROR('Similarity matrix'!AE56/'Denominator matrix'!$J$20, "NA")</f>
        <v>0</v>
      </c>
      <c r="AF56" s="153">
        <f>IFERROR('Similarity matrix'!AF56/'Denominator matrix'!$K$20, "NA")</f>
        <v>0</v>
      </c>
      <c r="AG56" s="154">
        <f>IFERROR('Similarity matrix'!AG56/'Denominator matrix'!$B$20, "NA")</f>
        <v>0</v>
      </c>
      <c r="AH56" s="153">
        <f>IFERROR('Similarity matrix'!AH56/'Denominator matrix'!$C$20, "NA")</f>
        <v>0</v>
      </c>
      <c r="AI56" s="153">
        <f>IFERROR('Similarity matrix'!AI56/'Denominator matrix'!$D$20, "NA")</f>
        <v>0</v>
      </c>
      <c r="AJ56" s="156">
        <f>IFERROR('Similarity matrix'!AJ56/'Denominator matrix'!$E$20, "NA")</f>
        <v>0</v>
      </c>
      <c r="AK56" s="153">
        <f>IFERROR('Similarity matrix'!AK56/'Denominator matrix'!$F$20, "NA")</f>
        <v>0</v>
      </c>
      <c r="AL56" s="153">
        <f>IFERROR('Similarity matrix'!AL56/'Denominator matrix'!$G$20, "NA")</f>
        <v>0</v>
      </c>
      <c r="AM56" s="153">
        <f>IFERROR('Similarity matrix'!AM56/'Denominator matrix'!$H$20, "NA")</f>
        <v>0</v>
      </c>
      <c r="AN56" s="153">
        <f>IFERROR('Similarity matrix'!AN56/'Denominator matrix'!$I$20, "NA")</f>
        <v>0</v>
      </c>
      <c r="AO56" s="153">
        <f>IFERROR('Similarity matrix'!AO56/'Denominator matrix'!$J$20, "NA")</f>
        <v>0</v>
      </c>
      <c r="AP56" s="153">
        <f>IFERROR('Similarity matrix'!AP56/'Denominator matrix'!$K$20, "NA")</f>
        <v>0.25</v>
      </c>
      <c r="AQ56" s="154">
        <f>IFERROR('Similarity matrix'!AQ56/'Denominator matrix'!$B$20, "NA")</f>
        <v>0</v>
      </c>
      <c r="AR56" s="153">
        <f>IFERROR('Similarity matrix'!AR56/'Denominator matrix'!$C$20, "NA")</f>
        <v>0.25</v>
      </c>
      <c r="AS56" s="153">
        <f>IFERROR('Similarity matrix'!AS56/'Denominator matrix'!$D$20, "NA")</f>
        <v>0</v>
      </c>
      <c r="AT56" s="156">
        <f>IFERROR('Similarity matrix'!AT56/'Denominator matrix'!$E$20, "NA")</f>
        <v>0.0625</v>
      </c>
      <c r="AU56" s="153">
        <f>IFERROR('Similarity matrix'!AU56/'Denominator matrix'!$F$20, "NA")</f>
        <v>0</v>
      </c>
      <c r="AV56" s="153">
        <f>IFERROR('Similarity matrix'!AV56/'Denominator matrix'!$G$20, "NA")</f>
        <v>0</v>
      </c>
      <c r="AW56" s="153">
        <f>IFERROR('Similarity matrix'!AW56/'Denominator matrix'!$H$20, "NA")</f>
        <v>0</v>
      </c>
      <c r="AX56" s="153">
        <f>IFERROR('Similarity matrix'!AX56/'Denominator matrix'!$I$20, "NA")</f>
        <v>0</v>
      </c>
      <c r="AY56" s="153">
        <f>IFERROR('Similarity matrix'!AY56/'Denominator matrix'!$J$20, "NA")</f>
        <v>0</v>
      </c>
      <c r="AZ56" s="153">
        <f>IFERROR('Similarity matrix'!AZ56/'Denominator matrix'!$K$20, "NA")</f>
        <v>0</v>
      </c>
      <c r="BA56" s="154">
        <f>IFERROR('Similarity matrix'!BA56/'Denominator matrix'!$B$20, "NA")</f>
        <v>0.5</v>
      </c>
      <c r="BB56" s="153">
        <f>IFERROR('Similarity matrix'!BB56/'Denominator matrix'!$C$20, "NA")</f>
        <v>0.5</v>
      </c>
      <c r="BC56" s="153">
        <f>IFERROR('Similarity matrix'!BC56/'Denominator matrix'!$D$20, "NA")</f>
        <v>0.625</v>
      </c>
      <c r="BD56" s="155">
        <f>IFERROR('Similarity matrix'!BD56/'Denominator matrix'!$E$20, "NA")</f>
        <v>0</v>
      </c>
      <c r="BE56" s="153">
        <f>IFERROR('Similarity matrix'!BE56/'Denominator matrix'!$F$20, "NA")</f>
        <v>0.75</v>
      </c>
      <c r="BF56" s="153">
        <f>IFERROR('Similarity matrix'!BF56/'Denominator matrix'!$G$20, "NA")</f>
        <v>0.25</v>
      </c>
      <c r="BG56" s="153">
        <f>IFERROR('Similarity matrix'!BG56/'Denominator matrix'!$H$20, "NA")</f>
        <v>0.7</v>
      </c>
      <c r="BH56" s="153">
        <f>IFERROR('Similarity matrix'!BH56/'Denominator matrix'!$I$20, "NA")</f>
        <v>0.75</v>
      </c>
      <c r="BI56" s="153">
        <f>IFERROR('Similarity matrix'!BI56/'Denominator matrix'!$J$20, "NA")</f>
        <v>0.8333333333</v>
      </c>
      <c r="BJ56" s="153">
        <f>IFERROR('Similarity matrix'!BJ56/'Denominator matrix'!$K$20, "NA")</f>
        <v>0.5</v>
      </c>
      <c r="BK56" s="154">
        <f>IFERROR('Similarity matrix'!BK56/'Denominator matrix'!$B$20, "NA")</f>
        <v>0</v>
      </c>
      <c r="BL56" s="153">
        <f>IFERROR('Similarity matrix'!BL56/'Denominator matrix'!$C$20, "NA")</f>
        <v>0</v>
      </c>
      <c r="BM56" s="153">
        <f>IFERROR('Similarity matrix'!BM56/'Denominator matrix'!$D$20, "NA")</f>
        <v>0</v>
      </c>
      <c r="BN56" s="156">
        <f>IFERROR('Similarity matrix'!BN56/'Denominator matrix'!$E$20, "NA")</f>
        <v>0</v>
      </c>
      <c r="BO56" s="153">
        <f>IFERROR('Similarity matrix'!BO56/'Denominator matrix'!$F$20, "NA")</f>
        <v>0</v>
      </c>
      <c r="BP56" s="153">
        <f>IFERROR('Similarity matrix'!BP56/'Denominator matrix'!$G$20, "NA")</f>
        <v>0</v>
      </c>
      <c r="BQ56" s="153">
        <f>IFERROR('Similarity matrix'!BQ56/'Denominator matrix'!$H$20, "NA")</f>
        <v>0</v>
      </c>
      <c r="BR56" s="153">
        <f>IFERROR('Similarity matrix'!BR56/'Denominator matrix'!$I$20, "NA")</f>
        <v>0</v>
      </c>
      <c r="BS56" s="153">
        <f>IFERROR('Similarity matrix'!BS56/'Denominator matrix'!$J$20, "NA")</f>
        <v>0</v>
      </c>
      <c r="BT56" s="153">
        <f>IFERROR('Similarity matrix'!BT56/'Denominator matrix'!$K$20, "NA")</f>
        <v>0</v>
      </c>
      <c r="BU56" s="154">
        <f>IFERROR('Similarity matrix'!BU56/'Denominator matrix'!$B$20, "NA")</f>
        <v>0</v>
      </c>
      <c r="BV56" s="153">
        <f>IFERROR('Similarity matrix'!BV56/'Denominator matrix'!$C$20, "NA")</f>
        <v>0</v>
      </c>
      <c r="BW56" s="153">
        <f>IFERROR('Similarity matrix'!BW56/'Denominator matrix'!$D$20, "NA")</f>
        <v>0</v>
      </c>
      <c r="BX56" s="156">
        <f>IFERROR('Similarity matrix'!BX56/'Denominator matrix'!$E$20, "NA")</f>
        <v>0</v>
      </c>
      <c r="BY56" s="153">
        <f>IFERROR('Similarity matrix'!BY56/'Denominator matrix'!$F$20, "NA")</f>
        <v>0</v>
      </c>
      <c r="BZ56" s="153">
        <f>IFERROR('Similarity matrix'!BZ56/'Denominator matrix'!$G$20, "NA")</f>
        <v>0</v>
      </c>
      <c r="CA56" s="153">
        <f>IFERROR('Similarity matrix'!CA56/'Denominator matrix'!$H$20, "NA")</f>
        <v>0</v>
      </c>
      <c r="CB56" s="153">
        <f>IFERROR('Similarity matrix'!CB56/'Denominator matrix'!$I$20, "NA")</f>
        <v>0</v>
      </c>
      <c r="CC56" s="153">
        <f>IFERROR('Similarity matrix'!CC56/'Denominator matrix'!$J$20, "NA")</f>
        <v>0</v>
      </c>
      <c r="CD56" s="153">
        <f>IFERROR('Similarity matrix'!CD56/'Denominator matrix'!$K$20, "NA")</f>
        <v>0</v>
      </c>
      <c r="CE56" s="154">
        <f>IFERROR('Similarity matrix'!CE56/'Denominator matrix'!$B$20, "NA")</f>
        <v>0</v>
      </c>
      <c r="CF56" s="153">
        <f>IFERROR('Similarity matrix'!CF56/'Denominator matrix'!$C$20, "NA")</f>
        <v>0</v>
      </c>
      <c r="CG56" s="153">
        <f>IFERROR('Similarity matrix'!CG56/'Denominator matrix'!$D$20, "NA")</f>
        <v>0</v>
      </c>
      <c r="CH56" s="156">
        <f>IFERROR('Similarity matrix'!CH56/'Denominator matrix'!$E$20, "NA")</f>
        <v>0</v>
      </c>
      <c r="CI56" s="153">
        <f>IFERROR('Similarity matrix'!CI56/'Denominator matrix'!$F$20, "NA")</f>
        <v>0</v>
      </c>
      <c r="CJ56" s="153">
        <f>IFERROR('Similarity matrix'!CJ56/'Denominator matrix'!$G$20, "NA")</f>
        <v>0</v>
      </c>
      <c r="CK56" s="153">
        <f>IFERROR('Similarity matrix'!CK56/'Denominator matrix'!$H$20, "NA")</f>
        <v>0</v>
      </c>
      <c r="CL56" s="153">
        <f>IFERROR('Similarity matrix'!CL56/'Denominator matrix'!$I$20, "NA")</f>
        <v>0</v>
      </c>
      <c r="CM56" s="153">
        <f>IFERROR('Similarity matrix'!CM56/'Denominator matrix'!$J$20, "NA")</f>
        <v>0</v>
      </c>
      <c r="CN56" s="153">
        <f>IFERROR('Similarity matrix'!CN56/'Denominator matrix'!$K$20, "NA")</f>
        <v>0</v>
      </c>
      <c r="CO56" s="154">
        <f>IFERROR('Similarity matrix'!CO56/'Denominator matrix'!$B$20, "NA")</f>
        <v>0</v>
      </c>
      <c r="CP56" s="153">
        <f>IFERROR('Similarity matrix'!CP56/'Denominator matrix'!$C$20, "NA")</f>
        <v>0</v>
      </c>
      <c r="CQ56" s="153">
        <f>IFERROR('Similarity matrix'!CQ56/'Denominator matrix'!$D$20, "NA")</f>
        <v>0</v>
      </c>
      <c r="CR56" s="156">
        <f>IFERROR('Similarity matrix'!CR56/'Denominator matrix'!$E$20, "NA")</f>
        <v>0</v>
      </c>
      <c r="CS56" s="153">
        <f>IFERROR('Similarity matrix'!CS56/'Denominator matrix'!$F$20, "NA")</f>
        <v>0</v>
      </c>
      <c r="CT56" s="153">
        <f>IFERROR('Similarity matrix'!CT56/'Denominator matrix'!$G$20, "NA")</f>
        <v>0</v>
      </c>
      <c r="CU56" s="153">
        <f>IFERROR('Similarity matrix'!CU56/'Denominator matrix'!$H$20, "NA")</f>
        <v>0</v>
      </c>
      <c r="CV56" s="153">
        <f>IFERROR('Similarity matrix'!CV56/'Denominator matrix'!$I$20, "NA")</f>
        <v>0</v>
      </c>
      <c r="CW56" s="153">
        <f>IFERROR('Similarity matrix'!CW56/'Denominator matrix'!$J$20, "NA")</f>
        <v>0</v>
      </c>
      <c r="CX56" s="153">
        <f>IFERROR('Similarity matrix'!CX56/'Denominator matrix'!$K$20, "NA")</f>
        <v>0</v>
      </c>
    </row>
    <row r="57" ht="35.25" customHeight="1">
      <c r="B57" s="124">
        <v>45783.0</v>
      </c>
      <c r="C57" s="154">
        <f>IFERROR('Similarity matrix'!C57/'Denominator matrix'!$B$21, "NA")</f>
        <v>0.1</v>
      </c>
      <c r="D57" s="153">
        <f>IFERROR('Similarity matrix'!D57/'Denominator matrix'!$C$21, "NA")</f>
        <v>0</v>
      </c>
      <c r="E57" s="153">
        <f>IFERROR('Similarity matrix'!E57/'Denominator matrix'!$D$21, "NA")</f>
        <v>0</v>
      </c>
      <c r="F57" s="153">
        <f>IFERROR('Similarity matrix'!F57/'Denominator matrix'!$E$21, "NA")</f>
        <v>0</v>
      </c>
      <c r="G57" s="156">
        <f>IFERROR('Similarity matrix'!G57/'Denominator matrix'!$F$21, "NA")</f>
        <v>0.05555555556</v>
      </c>
      <c r="H57" s="153">
        <f>IFERROR('Similarity matrix'!H57/'Denominator matrix'!$G$21, "NA")</f>
        <v>0.1666666667</v>
      </c>
      <c r="I57" s="153">
        <f>IFERROR('Similarity matrix'!I57/'Denominator matrix'!$H$21, "NA")</f>
        <v>0.25</v>
      </c>
      <c r="J57" s="153">
        <f>IFERROR('Similarity matrix'!J57/'Denominator matrix'!$I$21, "NA")</f>
        <v>0.1</v>
      </c>
      <c r="K57" s="153">
        <f>IFERROR('Similarity matrix'!K57/'Denominator matrix'!$J$21, "NA")</f>
        <v>0</v>
      </c>
      <c r="L57" s="153">
        <f>IFERROR('Similarity matrix'!L57/'Denominator matrix'!$K$21, "NA")</f>
        <v>0.25</v>
      </c>
      <c r="M57" s="154">
        <f>IFERROR('Similarity matrix'!M57/'Denominator matrix'!$B$21, "NA")</f>
        <v>0</v>
      </c>
      <c r="N57" s="153">
        <f>IFERROR('Similarity matrix'!N57/'Denominator matrix'!$C$21, "NA")</f>
        <v>0</v>
      </c>
      <c r="O57" s="153">
        <f>IFERROR('Similarity matrix'!O57/'Denominator matrix'!$D$21, "NA")</f>
        <v>0</v>
      </c>
      <c r="P57" s="153">
        <f>IFERROR('Similarity matrix'!P57/'Denominator matrix'!$E$21, "NA")</f>
        <v>0</v>
      </c>
      <c r="Q57" s="156">
        <f>IFERROR('Similarity matrix'!Q57/'Denominator matrix'!$F$21, "NA")</f>
        <v>0</v>
      </c>
      <c r="R57" s="153">
        <f>IFERROR('Similarity matrix'!R57/'Denominator matrix'!$G$21, "NA")</f>
        <v>0</v>
      </c>
      <c r="S57" s="153">
        <f>IFERROR('Similarity matrix'!S57/'Denominator matrix'!$H$21, "NA")</f>
        <v>0</v>
      </c>
      <c r="T57" s="153">
        <f>IFERROR('Similarity matrix'!T57/'Denominator matrix'!$I$21, "NA")</f>
        <v>0</v>
      </c>
      <c r="U57" s="153">
        <f>IFERROR('Similarity matrix'!U57/'Denominator matrix'!$J$21, "NA")</f>
        <v>0</v>
      </c>
      <c r="V57" s="153">
        <f>IFERROR('Similarity matrix'!V57/'Denominator matrix'!$K$21, "NA")</f>
        <v>0</v>
      </c>
      <c r="W57" s="154">
        <f>IFERROR('Similarity matrix'!W57/'Denominator matrix'!$B$21, "NA")</f>
        <v>0</v>
      </c>
      <c r="X57" s="153">
        <f>IFERROR('Similarity matrix'!X57/'Denominator matrix'!$C$21, "NA")</f>
        <v>0</v>
      </c>
      <c r="Y57" s="153">
        <f>IFERROR('Similarity matrix'!Y57/'Denominator matrix'!$D$21, "NA")</f>
        <v>0</v>
      </c>
      <c r="Z57" s="153">
        <f>IFERROR('Similarity matrix'!Z57/'Denominator matrix'!$E$21, "NA")</f>
        <v>0</v>
      </c>
      <c r="AA57" s="156">
        <f>IFERROR('Similarity matrix'!AA57/'Denominator matrix'!$F$21, "NA")</f>
        <v>0</v>
      </c>
      <c r="AB57" s="153">
        <f>IFERROR('Similarity matrix'!AB57/'Denominator matrix'!$G$21, "NA")</f>
        <v>0</v>
      </c>
      <c r="AC57" s="153">
        <f>IFERROR('Similarity matrix'!AC57/'Denominator matrix'!$H$21, "NA")</f>
        <v>0</v>
      </c>
      <c r="AD57" s="153">
        <f>IFERROR('Similarity matrix'!AD57/'Denominator matrix'!$I$21, "NA")</f>
        <v>0</v>
      </c>
      <c r="AE57" s="153">
        <f>IFERROR('Similarity matrix'!AE57/'Denominator matrix'!$J$21, "NA")</f>
        <v>0</v>
      </c>
      <c r="AF57" s="153">
        <f>IFERROR('Similarity matrix'!AF57/'Denominator matrix'!$K$21, "NA")</f>
        <v>0</v>
      </c>
      <c r="AG57" s="154">
        <f>IFERROR('Similarity matrix'!AG57/'Denominator matrix'!$B$21, "NA")</f>
        <v>0</v>
      </c>
      <c r="AH57" s="153">
        <f>IFERROR('Similarity matrix'!AH57/'Denominator matrix'!$C$21, "NA")</f>
        <v>0</v>
      </c>
      <c r="AI57" s="153">
        <f>IFERROR('Similarity matrix'!AI57/'Denominator matrix'!$D$21, "NA")</f>
        <v>0</v>
      </c>
      <c r="AJ57" s="153">
        <f>IFERROR('Similarity matrix'!AJ57/'Denominator matrix'!$E$21, "NA")</f>
        <v>0</v>
      </c>
      <c r="AK57" s="156">
        <f>IFERROR('Similarity matrix'!AK57/'Denominator matrix'!$F$21, "NA")</f>
        <v>0</v>
      </c>
      <c r="AL57" s="153">
        <f>IFERROR('Similarity matrix'!AL57/'Denominator matrix'!$G$21, "NA")</f>
        <v>0</v>
      </c>
      <c r="AM57" s="153">
        <f>IFERROR('Similarity matrix'!AM57/'Denominator matrix'!$H$21, "NA")</f>
        <v>0</v>
      </c>
      <c r="AN57" s="153">
        <f>IFERROR('Similarity matrix'!AN57/'Denominator matrix'!$I$21, "NA")</f>
        <v>0</v>
      </c>
      <c r="AO57" s="153">
        <f>IFERROR('Similarity matrix'!AO57/'Denominator matrix'!$J$21, "NA")</f>
        <v>0</v>
      </c>
      <c r="AP57" s="153">
        <f>IFERROR('Similarity matrix'!AP57/'Denominator matrix'!$K$21, "NA")</f>
        <v>0</v>
      </c>
      <c r="AQ57" s="154">
        <f>IFERROR('Similarity matrix'!AQ57/'Denominator matrix'!$B$21, "NA")</f>
        <v>0</v>
      </c>
      <c r="AR57" s="153">
        <f>IFERROR('Similarity matrix'!AR57/'Denominator matrix'!$C$21, "NA")</f>
        <v>0</v>
      </c>
      <c r="AS57" s="153">
        <f>IFERROR('Similarity matrix'!AS57/'Denominator matrix'!$D$21, "NA")</f>
        <v>0</v>
      </c>
      <c r="AT57" s="153">
        <f>IFERROR('Similarity matrix'!AT57/'Denominator matrix'!$E$21, "NA")</f>
        <v>0</v>
      </c>
      <c r="AU57" s="156">
        <f>IFERROR('Similarity matrix'!AU57/'Denominator matrix'!$F$21, "NA")</f>
        <v>0</v>
      </c>
      <c r="AV57" s="153">
        <f>IFERROR('Similarity matrix'!AV57/'Denominator matrix'!$G$21, "NA")</f>
        <v>0</v>
      </c>
      <c r="AW57" s="153">
        <f>IFERROR('Similarity matrix'!AW57/'Denominator matrix'!$H$21, "NA")</f>
        <v>0</v>
      </c>
      <c r="AX57" s="153">
        <f>IFERROR('Similarity matrix'!AX57/'Denominator matrix'!$I$21, "NA")</f>
        <v>0</v>
      </c>
      <c r="AY57" s="153">
        <f>IFERROR('Similarity matrix'!AY57/'Denominator matrix'!$J$21, "NA")</f>
        <v>0</v>
      </c>
      <c r="AZ57" s="153">
        <f>IFERROR('Similarity matrix'!AZ57/'Denominator matrix'!$K$21, "NA")</f>
        <v>0</v>
      </c>
      <c r="BA57" s="154">
        <f>IFERROR('Similarity matrix'!BA57/'Denominator matrix'!$B$21, "NA")</f>
        <v>0.7</v>
      </c>
      <c r="BB57" s="153">
        <f>IFERROR('Similarity matrix'!BB57/'Denominator matrix'!$C$21, "NA")</f>
        <v>0.8333333333</v>
      </c>
      <c r="BC57" s="153">
        <f>IFERROR('Similarity matrix'!BC57/'Denominator matrix'!$D$21, "NA")</f>
        <v>0.75</v>
      </c>
      <c r="BD57" s="153">
        <f>IFERROR('Similarity matrix'!BD57/'Denominator matrix'!$E$21, "NA")</f>
        <v>0.75</v>
      </c>
      <c r="BE57" s="155">
        <f>IFERROR('Similarity matrix'!BE57/'Denominator matrix'!$F$21, "NA")</f>
        <v>0</v>
      </c>
      <c r="BF57" s="153">
        <f>IFERROR('Similarity matrix'!BF57/'Denominator matrix'!$G$21, "NA")</f>
        <v>0.8333333333</v>
      </c>
      <c r="BG57" s="153">
        <f>IFERROR('Similarity matrix'!BG57/'Denominator matrix'!$H$21, "NA")</f>
        <v>0.5</v>
      </c>
      <c r="BH57" s="153">
        <f>IFERROR('Similarity matrix'!BH57/'Denominator matrix'!$I$21, "NA")</f>
        <v>0.9</v>
      </c>
      <c r="BI57" s="153">
        <f>IFERROR('Similarity matrix'!BI57/'Denominator matrix'!$J$21, "NA")</f>
        <v>0.8333333333</v>
      </c>
      <c r="BJ57" s="153">
        <f>IFERROR('Similarity matrix'!BJ57/'Denominator matrix'!$K$21, "NA")</f>
        <v>0.75</v>
      </c>
      <c r="BK57" s="154">
        <f>IFERROR('Similarity matrix'!BK57/'Denominator matrix'!$B$21, "NA")</f>
        <v>0</v>
      </c>
      <c r="BL57" s="153">
        <f>IFERROR('Similarity matrix'!BL57/'Denominator matrix'!$C$21, "NA")</f>
        <v>0</v>
      </c>
      <c r="BM57" s="153">
        <f>IFERROR('Similarity matrix'!BM57/'Denominator matrix'!$D$21, "NA")</f>
        <v>0</v>
      </c>
      <c r="BN57" s="153">
        <f>IFERROR('Similarity matrix'!BN57/'Denominator matrix'!$E$21, "NA")</f>
        <v>0</v>
      </c>
      <c r="BO57" s="156">
        <f>IFERROR('Similarity matrix'!BO57/'Denominator matrix'!$F$21, "NA")</f>
        <v>0</v>
      </c>
      <c r="BP57" s="153">
        <f>IFERROR('Similarity matrix'!BP57/'Denominator matrix'!$G$21, "NA")</f>
        <v>0</v>
      </c>
      <c r="BQ57" s="153">
        <f>IFERROR('Similarity matrix'!BQ57/'Denominator matrix'!$H$21, "NA")</f>
        <v>0</v>
      </c>
      <c r="BR57" s="153">
        <f>IFERROR('Similarity matrix'!BR57/'Denominator matrix'!$I$21, "NA")</f>
        <v>0</v>
      </c>
      <c r="BS57" s="153">
        <f>IFERROR('Similarity matrix'!BS57/'Denominator matrix'!$J$21, "NA")</f>
        <v>0</v>
      </c>
      <c r="BT57" s="153">
        <f>IFERROR('Similarity matrix'!BT57/'Denominator matrix'!$K$21, "NA")</f>
        <v>0</v>
      </c>
      <c r="BU57" s="154">
        <f>IFERROR('Similarity matrix'!BU57/'Denominator matrix'!$B$21, "NA")</f>
        <v>0</v>
      </c>
      <c r="BV57" s="153">
        <f>IFERROR('Similarity matrix'!BV57/'Denominator matrix'!$C$21, "NA")</f>
        <v>0</v>
      </c>
      <c r="BW57" s="153">
        <f>IFERROR('Similarity matrix'!BW57/'Denominator matrix'!$D$21, "NA")</f>
        <v>0</v>
      </c>
      <c r="BX57" s="153">
        <f>IFERROR('Similarity matrix'!BX57/'Denominator matrix'!$E$21, "NA")</f>
        <v>0</v>
      </c>
      <c r="BY57" s="156">
        <f>IFERROR('Similarity matrix'!BY57/'Denominator matrix'!$F$21, "NA")</f>
        <v>0</v>
      </c>
      <c r="BZ57" s="153">
        <f>IFERROR('Similarity matrix'!BZ57/'Denominator matrix'!$G$21, "NA")</f>
        <v>0</v>
      </c>
      <c r="CA57" s="153">
        <f>IFERROR('Similarity matrix'!CA57/'Denominator matrix'!$H$21, "NA")</f>
        <v>0</v>
      </c>
      <c r="CB57" s="153">
        <f>IFERROR('Similarity matrix'!CB57/'Denominator matrix'!$I$21, "NA")</f>
        <v>0</v>
      </c>
      <c r="CC57" s="153">
        <f>IFERROR('Similarity matrix'!CC57/'Denominator matrix'!$J$21, "NA")</f>
        <v>0</v>
      </c>
      <c r="CD57" s="153">
        <f>IFERROR('Similarity matrix'!CD57/'Denominator matrix'!$K$21, "NA")</f>
        <v>0</v>
      </c>
      <c r="CE57" s="154">
        <f>IFERROR('Similarity matrix'!CE57/'Denominator matrix'!$B$21, "NA")</f>
        <v>0</v>
      </c>
      <c r="CF57" s="153">
        <f>IFERROR('Similarity matrix'!CF57/'Denominator matrix'!$C$21, "NA")</f>
        <v>0</v>
      </c>
      <c r="CG57" s="153">
        <f>IFERROR('Similarity matrix'!CG57/'Denominator matrix'!$D$21, "NA")</f>
        <v>0</v>
      </c>
      <c r="CH57" s="153">
        <f>IFERROR('Similarity matrix'!CH57/'Denominator matrix'!$E$21, "NA")</f>
        <v>0</v>
      </c>
      <c r="CI57" s="156">
        <f>IFERROR('Similarity matrix'!CI57/'Denominator matrix'!$F$21, "NA")</f>
        <v>0</v>
      </c>
      <c r="CJ57" s="153">
        <f>IFERROR('Similarity matrix'!CJ57/'Denominator matrix'!$G$21, "NA")</f>
        <v>0</v>
      </c>
      <c r="CK57" s="153">
        <f>IFERROR('Similarity matrix'!CK57/'Denominator matrix'!$H$21, "NA")</f>
        <v>0</v>
      </c>
      <c r="CL57" s="153">
        <f>IFERROR('Similarity matrix'!CL57/'Denominator matrix'!$I$21, "NA")</f>
        <v>0</v>
      </c>
      <c r="CM57" s="153">
        <f>IFERROR('Similarity matrix'!CM57/'Denominator matrix'!$J$21, "NA")</f>
        <v>0</v>
      </c>
      <c r="CN57" s="153">
        <f>IFERROR('Similarity matrix'!CN57/'Denominator matrix'!$K$21, "NA")</f>
        <v>0</v>
      </c>
      <c r="CO57" s="154">
        <f>IFERROR('Similarity matrix'!CO57/'Denominator matrix'!$B$21, "NA")</f>
        <v>0</v>
      </c>
      <c r="CP57" s="153">
        <f>IFERROR('Similarity matrix'!CP57/'Denominator matrix'!$C$21, "NA")</f>
        <v>0</v>
      </c>
      <c r="CQ57" s="153">
        <f>IFERROR('Similarity matrix'!CQ57/'Denominator matrix'!$D$21, "NA")</f>
        <v>0</v>
      </c>
      <c r="CR57" s="153">
        <f>IFERROR('Similarity matrix'!CR57/'Denominator matrix'!$E$21, "NA")</f>
        <v>0</v>
      </c>
      <c r="CS57" s="156">
        <f>IFERROR('Similarity matrix'!CS57/'Denominator matrix'!$F$21, "NA")</f>
        <v>0</v>
      </c>
      <c r="CT57" s="153">
        <f>IFERROR('Similarity matrix'!CT57/'Denominator matrix'!$G$21, "NA")</f>
        <v>0</v>
      </c>
      <c r="CU57" s="153">
        <f>IFERROR('Similarity matrix'!CU57/'Denominator matrix'!$H$21, "NA")</f>
        <v>0</v>
      </c>
      <c r="CV57" s="153">
        <f>IFERROR('Similarity matrix'!CV57/'Denominator matrix'!$I$21, "NA")</f>
        <v>0</v>
      </c>
      <c r="CW57" s="153">
        <f>IFERROR('Similarity matrix'!CW57/'Denominator matrix'!$J$21, "NA")</f>
        <v>0</v>
      </c>
      <c r="CX57" s="153">
        <f>IFERROR('Similarity matrix'!CX57/'Denominator matrix'!$K$21, "NA")</f>
        <v>0</v>
      </c>
    </row>
    <row r="58" ht="35.25" customHeight="1">
      <c r="B58" s="124">
        <v>45814.0</v>
      </c>
      <c r="C58" s="154">
        <f>IFERROR('Similarity matrix'!C58/'Denominator matrix'!$B$22, "NA")</f>
        <v>0.1</v>
      </c>
      <c r="D58" s="153">
        <f>IFERROR('Similarity matrix'!D58/'Denominator matrix'!$C$22, "NA")</f>
        <v>0</v>
      </c>
      <c r="E58" s="153">
        <f>IFERROR('Similarity matrix'!E58/'Denominator matrix'!$D$22, "NA")</f>
        <v>0</v>
      </c>
      <c r="F58" s="153">
        <f>IFERROR('Similarity matrix'!F58/'Denominator matrix'!$E$22, "NA")</f>
        <v>0</v>
      </c>
      <c r="G58" s="153">
        <f>IFERROR('Similarity matrix'!G58/'Denominator matrix'!$F$22, "NA")</f>
        <v>0.1666666667</v>
      </c>
      <c r="H58" s="156">
        <f>IFERROR('Similarity matrix'!H58/'Denominator matrix'!$G$22, "NA")</f>
        <v>0.0625</v>
      </c>
      <c r="I58" s="153">
        <f>IFERROR('Similarity matrix'!I58/'Denominator matrix'!$H$22, "NA")</f>
        <v>0</v>
      </c>
      <c r="J58" s="153">
        <f>IFERROR('Similarity matrix'!J58/'Denominator matrix'!$I$22, "NA")</f>
        <v>0</v>
      </c>
      <c r="K58" s="153">
        <f>IFERROR('Similarity matrix'!K58/'Denominator matrix'!$J$22, "NA")</f>
        <v>0</v>
      </c>
      <c r="L58" s="153">
        <f>IFERROR('Similarity matrix'!L58/'Denominator matrix'!$K$22, "NA")</f>
        <v>0.25</v>
      </c>
      <c r="M58" s="154">
        <f>IFERROR('Similarity matrix'!M58/'Denominator matrix'!$B$22, "NA")</f>
        <v>0</v>
      </c>
      <c r="N58" s="153">
        <f>IFERROR('Similarity matrix'!N58/'Denominator matrix'!$C$22, "NA")</f>
        <v>0</v>
      </c>
      <c r="O58" s="153">
        <f>IFERROR('Similarity matrix'!O58/'Denominator matrix'!$D$22, "NA")</f>
        <v>0</v>
      </c>
      <c r="P58" s="153">
        <f>IFERROR('Similarity matrix'!P58/'Denominator matrix'!$E$22, "NA")</f>
        <v>0</v>
      </c>
      <c r="Q58" s="153">
        <f>IFERROR('Similarity matrix'!Q58/'Denominator matrix'!$F$22, "NA")</f>
        <v>0</v>
      </c>
      <c r="R58" s="156">
        <f>IFERROR('Similarity matrix'!R58/'Denominator matrix'!$G$22, "NA")</f>
        <v>0</v>
      </c>
      <c r="S58" s="153">
        <f>IFERROR('Similarity matrix'!S58/'Denominator matrix'!$H$22, "NA")</f>
        <v>0</v>
      </c>
      <c r="T58" s="153">
        <f>IFERROR('Similarity matrix'!T58/'Denominator matrix'!$I$22, "NA")</f>
        <v>0</v>
      </c>
      <c r="U58" s="153">
        <f>IFERROR('Similarity matrix'!U58/'Denominator matrix'!$J$22, "NA")</f>
        <v>0</v>
      </c>
      <c r="V58" s="153">
        <f>IFERROR('Similarity matrix'!V58/'Denominator matrix'!$K$22, "NA")</f>
        <v>0</v>
      </c>
      <c r="W58" s="154">
        <f>IFERROR('Similarity matrix'!W58/'Denominator matrix'!$B$22, "NA")</f>
        <v>0</v>
      </c>
      <c r="X58" s="153">
        <f>IFERROR('Similarity matrix'!X58/'Denominator matrix'!$C$22, "NA")</f>
        <v>0</v>
      </c>
      <c r="Y58" s="153">
        <f>IFERROR('Similarity matrix'!Y58/'Denominator matrix'!$D$22, "NA")</f>
        <v>0</v>
      </c>
      <c r="Z58" s="153">
        <f>IFERROR('Similarity matrix'!Z58/'Denominator matrix'!$E$22, "NA")</f>
        <v>0</v>
      </c>
      <c r="AA58" s="153">
        <f>IFERROR('Similarity matrix'!AA58/'Denominator matrix'!$F$22, "NA")</f>
        <v>0</v>
      </c>
      <c r="AB58" s="156">
        <f>IFERROR('Similarity matrix'!AB58/'Denominator matrix'!$G$22, "NA")</f>
        <v>0</v>
      </c>
      <c r="AC58" s="153">
        <f>IFERROR('Similarity matrix'!AC58/'Denominator matrix'!$H$22, "NA")</f>
        <v>0</v>
      </c>
      <c r="AD58" s="153">
        <f>IFERROR('Similarity matrix'!AD58/'Denominator matrix'!$I$22, "NA")</f>
        <v>0</v>
      </c>
      <c r="AE58" s="153">
        <f>IFERROR('Similarity matrix'!AE58/'Denominator matrix'!$J$22, "NA")</f>
        <v>0</v>
      </c>
      <c r="AF58" s="153">
        <f>IFERROR('Similarity matrix'!AF58/'Denominator matrix'!$K$22, "NA")</f>
        <v>0</v>
      </c>
      <c r="AG58" s="154">
        <f>IFERROR('Similarity matrix'!AG58/'Denominator matrix'!$B$22, "NA")</f>
        <v>0</v>
      </c>
      <c r="AH58" s="153">
        <f>IFERROR('Similarity matrix'!AH58/'Denominator matrix'!$C$22, "NA")</f>
        <v>0</v>
      </c>
      <c r="AI58" s="153">
        <f>IFERROR('Similarity matrix'!AI58/'Denominator matrix'!$D$22, "NA")</f>
        <v>0</v>
      </c>
      <c r="AJ58" s="153">
        <f>IFERROR('Similarity matrix'!AJ58/'Denominator matrix'!$E$22, "NA")</f>
        <v>0</v>
      </c>
      <c r="AK58" s="153">
        <f>IFERROR('Similarity matrix'!AK58/'Denominator matrix'!$F$22, "NA")</f>
        <v>0</v>
      </c>
      <c r="AL58" s="156">
        <f>IFERROR('Similarity matrix'!AL58/'Denominator matrix'!$G$22, "NA")</f>
        <v>0</v>
      </c>
      <c r="AM58" s="153">
        <f>IFERROR('Similarity matrix'!AM58/'Denominator matrix'!$H$22, "NA")</f>
        <v>0</v>
      </c>
      <c r="AN58" s="153">
        <f>IFERROR('Similarity matrix'!AN58/'Denominator matrix'!$I$22, "NA")</f>
        <v>0</v>
      </c>
      <c r="AO58" s="153">
        <f>IFERROR('Similarity matrix'!AO58/'Denominator matrix'!$J$22, "NA")</f>
        <v>0</v>
      </c>
      <c r="AP58" s="153">
        <f>IFERROR('Similarity matrix'!AP58/'Denominator matrix'!$K$22, "NA")</f>
        <v>0</v>
      </c>
      <c r="AQ58" s="154">
        <f>IFERROR('Similarity matrix'!AQ58/'Denominator matrix'!$B$22, "NA")</f>
        <v>0</v>
      </c>
      <c r="AR58" s="153">
        <f>IFERROR('Similarity matrix'!AR58/'Denominator matrix'!$C$22, "NA")</f>
        <v>0</v>
      </c>
      <c r="AS58" s="153">
        <f>IFERROR('Similarity matrix'!AS58/'Denominator matrix'!$D$22, "NA")</f>
        <v>0</v>
      </c>
      <c r="AT58" s="153">
        <f>IFERROR('Similarity matrix'!AT58/'Denominator matrix'!$E$22, "NA")</f>
        <v>0</v>
      </c>
      <c r="AU58" s="153">
        <f>IFERROR('Similarity matrix'!AU58/'Denominator matrix'!$F$22, "NA")</f>
        <v>0</v>
      </c>
      <c r="AV58" s="156">
        <f>IFERROR('Similarity matrix'!AV58/'Denominator matrix'!$G$22, "NA")</f>
        <v>0</v>
      </c>
      <c r="AW58" s="153">
        <f>IFERROR('Similarity matrix'!AW58/'Denominator matrix'!$H$22, "NA")</f>
        <v>0</v>
      </c>
      <c r="AX58" s="153">
        <f>IFERROR('Similarity matrix'!AX58/'Denominator matrix'!$I$22, "NA")</f>
        <v>0</v>
      </c>
      <c r="AY58" s="153">
        <f>IFERROR('Similarity matrix'!AY58/'Denominator matrix'!$J$22, "NA")</f>
        <v>0</v>
      </c>
      <c r="AZ58" s="153">
        <f>IFERROR('Similarity matrix'!AZ58/'Denominator matrix'!$K$22, "NA")</f>
        <v>0</v>
      </c>
      <c r="BA58" s="154">
        <f>IFERROR('Similarity matrix'!BA58/'Denominator matrix'!$B$22, "NA")</f>
        <v>0.6</v>
      </c>
      <c r="BB58" s="153">
        <f>IFERROR('Similarity matrix'!BB58/'Denominator matrix'!$C$22, "NA")</f>
        <v>0.8333333333</v>
      </c>
      <c r="BC58" s="153">
        <f>IFERROR('Similarity matrix'!BC58/'Denominator matrix'!$D$22, "NA")</f>
        <v>0.5</v>
      </c>
      <c r="BD58" s="153">
        <f>IFERROR('Similarity matrix'!BD58/'Denominator matrix'!$E$22, "NA")</f>
        <v>0.25</v>
      </c>
      <c r="BE58" s="153">
        <f>IFERROR('Similarity matrix'!BE58/'Denominator matrix'!$F$22, "NA")</f>
        <v>0.8333333333</v>
      </c>
      <c r="BF58" s="155">
        <f>IFERROR('Similarity matrix'!BF58/'Denominator matrix'!$G$22, "NA")</f>
        <v>0</v>
      </c>
      <c r="BG58" s="153">
        <f>IFERROR('Similarity matrix'!BG58/'Denominator matrix'!$H$22, "NA")</f>
        <v>0.5</v>
      </c>
      <c r="BH58" s="153">
        <f>IFERROR('Similarity matrix'!BH58/'Denominator matrix'!$I$22, "NA")</f>
        <v>0.8333333333</v>
      </c>
      <c r="BI58" s="153">
        <f>IFERROR('Similarity matrix'!BI58/'Denominator matrix'!$J$22, "NA")</f>
        <v>0.75</v>
      </c>
      <c r="BJ58" s="153">
        <f>IFERROR('Similarity matrix'!BJ58/'Denominator matrix'!$K$22, "NA")</f>
        <v>0.75</v>
      </c>
      <c r="BK58" s="154">
        <f>IFERROR('Similarity matrix'!BK58/'Denominator matrix'!$B$22, "NA")</f>
        <v>0</v>
      </c>
      <c r="BL58" s="153">
        <f>IFERROR('Similarity matrix'!BL58/'Denominator matrix'!$C$22, "NA")</f>
        <v>0</v>
      </c>
      <c r="BM58" s="153">
        <f>IFERROR('Similarity matrix'!BM58/'Denominator matrix'!$D$22, "NA")</f>
        <v>0</v>
      </c>
      <c r="BN58" s="153">
        <f>IFERROR('Similarity matrix'!BN58/'Denominator matrix'!$E$22, "NA")</f>
        <v>0</v>
      </c>
      <c r="BO58" s="153">
        <f>IFERROR('Similarity matrix'!BO58/'Denominator matrix'!$F$22, "NA")</f>
        <v>0</v>
      </c>
      <c r="BP58" s="156">
        <f>IFERROR('Similarity matrix'!BP58/'Denominator matrix'!$G$22, "NA")</f>
        <v>0</v>
      </c>
      <c r="BQ58" s="153">
        <f>IFERROR('Similarity matrix'!BQ58/'Denominator matrix'!$H$22, "NA")</f>
        <v>0</v>
      </c>
      <c r="BR58" s="153">
        <f>IFERROR('Similarity matrix'!BR58/'Denominator matrix'!$I$22, "NA")</f>
        <v>0</v>
      </c>
      <c r="BS58" s="153">
        <f>IFERROR('Similarity matrix'!BS58/'Denominator matrix'!$J$22, "NA")</f>
        <v>0</v>
      </c>
      <c r="BT58" s="153">
        <f>IFERROR('Similarity matrix'!BT58/'Denominator matrix'!$K$22, "NA")</f>
        <v>0</v>
      </c>
      <c r="BU58" s="154">
        <f>IFERROR('Similarity matrix'!BU58/'Denominator matrix'!$B$22, "NA")</f>
        <v>0</v>
      </c>
      <c r="BV58" s="153">
        <f>IFERROR('Similarity matrix'!BV58/'Denominator matrix'!$C$22, "NA")</f>
        <v>0</v>
      </c>
      <c r="BW58" s="153">
        <f>IFERROR('Similarity matrix'!BW58/'Denominator matrix'!$D$22, "NA")</f>
        <v>0</v>
      </c>
      <c r="BX58" s="153">
        <f>IFERROR('Similarity matrix'!BX58/'Denominator matrix'!$E$22, "NA")</f>
        <v>0</v>
      </c>
      <c r="BY58" s="153">
        <f>IFERROR('Similarity matrix'!BY58/'Denominator matrix'!$F$22, "NA")</f>
        <v>0</v>
      </c>
      <c r="BZ58" s="156">
        <f>IFERROR('Similarity matrix'!BZ58/'Denominator matrix'!$G$22, "NA")</f>
        <v>0</v>
      </c>
      <c r="CA58" s="153">
        <f>IFERROR('Similarity matrix'!CA58/'Denominator matrix'!$H$22, "NA")</f>
        <v>0</v>
      </c>
      <c r="CB58" s="153">
        <f>IFERROR('Similarity matrix'!CB58/'Denominator matrix'!$I$22, "NA")</f>
        <v>0</v>
      </c>
      <c r="CC58" s="153">
        <f>IFERROR('Similarity matrix'!CC58/'Denominator matrix'!$J$22, "NA")</f>
        <v>0</v>
      </c>
      <c r="CD58" s="153">
        <f>IFERROR('Similarity matrix'!CD58/'Denominator matrix'!$K$22, "NA")</f>
        <v>0</v>
      </c>
      <c r="CE58" s="154">
        <f>IFERROR('Similarity matrix'!CE58/'Denominator matrix'!$B$22, "NA")</f>
        <v>0</v>
      </c>
      <c r="CF58" s="153">
        <f>IFERROR('Similarity matrix'!CF58/'Denominator matrix'!$C$22, "NA")</f>
        <v>0</v>
      </c>
      <c r="CG58" s="153">
        <f>IFERROR('Similarity matrix'!CG58/'Denominator matrix'!$D$22, "NA")</f>
        <v>0</v>
      </c>
      <c r="CH58" s="153">
        <f>IFERROR('Similarity matrix'!CH58/'Denominator matrix'!$E$22, "NA")</f>
        <v>0</v>
      </c>
      <c r="CI58" s="153">
        <f>IFERROR('Similarity matrix'!CI58/'Denominator matrix'!$F$22, "NA")</f>
        <v>0</v>
      </c>
      <c r="CJ58" s="156">
        <f>IFERROR('Similarity matrix'!CJ58/'Denominator matrix'!$G$22, "NA")</f>
        <v>0</v>
      </c>
      <c r="CK58" s="153">
        <f>IFERROR('Similarity matrix'!CK58/'Denominator matrix'!$H$22, "NA")</f>
        <v>0</v>
      </c>
      <c r="CL58" s="153">
        <f>IFERROR('Similarity matrix'!CL58/'Denominator matrix'!$I$22, "NA")</f>
        <v>0</v>
      </c>
      <c r="CM58" s="153">
        <f>IFERROR('Similarity matrix'!CM58/'Denominator matrix'!$J$22, "NA")</f>
        <v>0</v>
      </c>
      <c r="CN58" s="153">
        <f>IFERROR('Similarity matrix'!CN58/'Denominator matrix'!$K$22, "NA")</f>
        <v>0</v>
      </c>
      <c r="CO58" s="154">
        <f>IFERROR('Similarity matrix'!CO58/'Denominator matrix'!$B$22, "NA")</f>
        <v>0</v>
      </c>
      <c r="CP58" s="153">
        <f>IFERROR('Similarity matrix'!CP58/'Denominator matrix'!$C$22, "NA")</f>
        <v>0</v>
      </c>
      <c r="CQ58" s="153">
        <f>IFERROR('Similarity matrix'!CQ58/'Denominator matrix'!$D$22, "NA")</f>
        <v>0</v>
      </c>
      <c r="CR58" s="153">
        <f>IFERROR('Similarity matrix'!CR58/'Denominator matrix'!$E$22, "NA")</f>
        <v>0</v>
      </c>
      <c r="CS58" s="153">
        <f>IFERROR('Similarity matrix'!CS58/'Denominator matrix'!$F$22, "NA")</f>
        <v>0</v>
      </c>
      <c r="CT58" s="156">
        <f>IFERROR('Similarity matrix'!CT58/'Denominator matrix'!$G$22, "NA")</f>
        <v>0</v>
      </c>
      <c r="CU58" s="153">
        <f>IFERROR('Similarity matrix'!CU58/'Denominator matrix'!$H$22, "NA")</f>
        <v>0</v>
      </c>
      <c r="CV58" s="153">
        <f>IFERROR('Similarity matrix'!CV58/'Denominator matrix'!$I$22, "NA")</f>
        <v>0</v>
      </c>
      <c r="CW58" s="153">
        <f>IFERROR('Similarity matrix'!CW58/'Denominator matrix'!$J$22, "NA")</f>
        <v>0</v>
      </c>
      <c r="CX58" s="153">
        <f>IFERROR('Similarity matrix'!CX58/'Denominator matrix'!$K$22, "NA")</f>
        <v>0</v>
      </c>
    </row>
    <row r="59" ht="35.25" customHeight="1">
      <c r="B59" s="124">
        <v>45844.0</v>
      </c>
      <c r="C59" s="154">
        <f>IFERROR('Similarity matrix'!C59/'Denominator matrix'!$B$23, "NA")</f>
        <v>0</v>
      </c>
      <c r="D59" s="153">
        <f>IFERROR('Similarity matrix'!D59/'Denominator matrix'!$C$23, "NA")</f>
        <v>0</v>
      </c>
      <c r="E59" s="153">
        <f>IFERROR('Similarity matrix'!E59/'Denominator matrix'!$D$23, "NA")</f>
        <v>0</v>
      </c>
      <c r="F59" s="153">
        <f>IFERROR('Similarity matrix'!F59/'Denominator matrix'!$E$23, "NA")</f>
        <v>0</v>
      </c>
      <c r="G59" s="153">
        <f>IFERROR('Similarity matrix'!G59/'Denominator matrix'!$F$23, "NA")</f>
        <v>0</v>
      </c>
      <c r="H59" s="153">
        <f>IFERROR('Similarity matrix'!H59/'Denominator matrix'!$G$23, "NA")</f>
        <v>0</v>
      </c>
      <c r="I59" s="156">
        <f>IFERROR('Similarity matrix'!I59/'Denominator matrix'!$H$23, "NA")</f>
        <v>0.125</v>
      </c>
      <c r="J59" s="153">
        <f>IFERROR('Similarity matrix'!J59/'Denominator matrix'!$I$23, "NA")</f>
        <v>0.5</v>
      </c>
      <c r="K59" s="153">
        <f>IFERROR('Similarity matrix'!K59/'Denominator matrix'!$J$23, "NA")</f>
        <v>0</v>
      </c>
      <c r="L59" s="153">
        <f>IFERROR('Similarity matrix'!L59/'Denominator matrix'!$K$23, "NA")</f>
        <v>0.25</v>
      </c>
      <c r="M59" s="154">
        <f>IFERROR('Similarity matrix'!M59/'Denominator matrix'!$B$23, "NA")</f>
        <v>0</v>
      </c>
      <c r="N59" s="153">
        <f>IFERROR('Similarity matrix'!N59/'Denominator matrix'!$C$23, "NA")</f>
        <v>0</v>
      </c>
      <c r="O59" s="153">
        <f>IFERROR('Similarity matrix'!O59/'Denominator matrix'!$D$23, "NA")</f>
        <v>0</v>
      </c>
      <c r="P59" s="153">
        <f>IFERROR('Similarity matrix'!P59/'Denominator matrix'!$E$23, "NA")</f>
        <v>0</v>
      </c>
      <c r="Q59" s="153">
        <f>IFERROR('Similarity matrix'!Q59/'Denominator matrix'!$F$23, "NA")</f>
        <v>0</v>
      </c>
      <c r="R59" s="153">
        <f>IFERROR('Similarity matrix'!R59/'Denominator matrix'!$G$23, "NA")</f>
        <v>0</v>
      </c>
      <c r="S59" s="156">
        <f>IFERROR('Similarity matrix'!S59/'Denominator matrix'!$H$23, "NA")</f>
        <v>0</v>
      </c>
      <c r="T59" s="153">
        <f>IFERROR('Similarity matrix'!T59/'Denominator matrix'!$I$23, "NA")</f>
        <v>0</v>
      </c>
      <c r="U59" s="153">
        <f>IFERROR('Similarity matrix'!U59/'Denominator matrix'!$J$23, "NA")</f>
        <v>0</v>
      </c>
      <c r="V59" s="153">
        <f>IFERROR('Similarity matrix'!V59/'Denominator matrix'!$K$23, "NA")</f>
        <v>0</v>
      </c>
      <c r="W59" s="154">
        <f>IFERROR('Similarity matrix'!W59/'Denominator matrix'!$B$23, "NA")</f>
        <v>0</v>
      </c>
      <c r="X59" s="153">
        <f>IFERROR('Similarity matrix'!X59/'Denominator matrix'!$C$23, "NA")</f>
        <v>0</v>
      </c>
      <c r="Y59" s="153">
        <f>IFERROR('Similarity matrix'!Y59/'Denominator matrix'!$D$23, "NA")</f>
        <v>0</v>
      </c>
      <c r="Z59" s="153">
        <f>IFERROR('Similarity matrix'!Z59/'Denominator matrix'!$E$23, "NA")</f>
        <v>0</v>
      </c>
      <c r="AA59" s="153">
        <f>IFERROR('Similarity matrix'!AA59/'Denominator matrix'!$F$23, "NA")</f>
        <v>0</v>
      </c>
      <c r="AB59" s="153">
        <f>IFERROR('Similarity matrix'!AB59/'Denominator matrix'!$G$23, "NA")</f>
        <v>0</v>
      </c>
      <c r="AC59" s="156">
        <f>IFERROR('Similarity matrix'!AC59/'Denominator matrix'!$H$23, "NA")</f>
        <v>0</v>
      </c>
      <c r="AD59" s="153">
        <f>IFERROR('Similarity matrix'!AD59/'Denominator matrix'!$I$23, "NA")</f>
        <v>0</v>
      </c>
      <c r="AE59" s="153">
        <f>IFERROR('Similarity matrix'!AE59/'Denominator matrix'!$J$23, "NA")</f>
        <v>0</v>
      </c>
      <c r="AF59" s="153">
        <f>IFERROR('Similarity matrix'!AF59/'Denominator matrix'!$K$23, "NA")</f>
        <v>0</v>
      </c>
      <c r="AG59" s="154">
        <f>IFERROR('Similarity matrix'!AG59/'Denominator matrix'!$B$23, "NA")</f>
        <v>0.25</v>
      </c>
      <c r="AH59" s="153">
        <f>IFERROR('Similarity matrix'!AH59/'Denominator matrix'!$C$23, "NA")</f>
        <v>0</v>
      </c>
      <c r="AI59" s="153">
        <f>IFERROR('Similarity matrix'!AI59/'Denominator matrix'!$D$23, "NA")</f>
        <v>0</v>
      </c>
      <c r="AJ59" s="153">
        <f>IFERROR('Similarity matrix'!AJ59/'Denominator matrix'!$E$23, "NA")</f>
        <v>0</v>
      </c>
      <c r="AK59" s="153">
        <f>IFERROR('Similarity matrix'!AK59/'Denominator matrix'!$F$23, "NA")</f>
        <v>0</v>
      </c>
      <c r="AL59" s="153">
        <f>IFERROR('Similarity matrix'!AL59/'Denominator matrix'!$G$23, "NA")</f>
        <v>0</v>
      </c>
      <c r="AM59" s="156">
        <f>IFERROR('Similarity matrix'!AM59/'Denominator matrix'!$H$23, "NA")</f>
        <v>0.0625</v>
      </c>
      <c r="AN59" s="153">
        <f>IFERROR('Similarity matrix'!AN59/'Denominator matrix'!$I$23, "NA")</f>
        <v>0</v>
      </c>
      <c r="AO59" s="153">
        <f>IFERROR('Similarity matrix'!AO59/'Denominator matrix'!$J$23, "NA")</f>
        <v>0</v>
      </c>
      <c r="AP59" s="153">
        <f>IFERROR('Similarity matrix'!AP59/'Denominator matrix'!$K$23, "NA")</f>
        <v>0</v>
      </c>
      <c r="AQ59" s="154">
        <f>IFERROR('Similarity matrix'!AQ59/'Denominator matrix'!$B$23, "NA")</f>
        <v>0</v>
      </c>
      <c r="AR59" s="153">
        <f>IFERROR('Similarity matrix'!AR59/'Denominator matrix'!$C$23, "NA")</f>
        <v>0</v>
      </c>
      <c r="AS59" s="153">
        <f>IFERROR('Similarity matrix'!AS59/'Denominator matrix'!$D$23, "NA")</f>
        <v>0</v>
      </c>
      <c r="AT59" s="153">
        <f>IFERROR('Similarity matrix'!AT59/'Denominator matrix'!$E$23, "NA")</f>
        <v>0</v>
      </c>
      <c r="AU59" s="153">
        <f>IFERROR('Similarity matrix'!AU59/'Denominator matrix'!$F$23, "NA")</f>
        <v>0</v>
      </c>
      <c r="AV59" s="153">
        <f>IFERROR('Similarity matrix'!AV59/'Denominator matrix'!$G$23, "NA")</f>
        <v>0</v>
      </c>
      <c r="AW59" s="156">
        <f>IFERROR('Similarity matrix'!AW59/'Denominator matrix'!$H$23, "NA")</f>
        <v>0.0625</v>
      </c>
      <c r="AX59" s="153">
        <f>IFERROR('Similarity matrix'!AX59/'Denominator matrix'!$I$23, "NA")</f>
        <v>0</v>
      </c>
      <c r="AY59" s="153">
        <f>IFERROR('Similarity matrix'!AY59/'Denominator matrix'!$J$23, "NA")</f>
        <v>0</v>
      </c>
      <c r="AZ59" s="153">
        <f>IFERROR('Similarity matrix'!AZ59/'Denominator matrix'!$K$23, "NA")</f>
        <v>0</v>
      </c>
      <c r="BA59" s="154">
        <f>IFERROR('Similarity matrix'!BA59/'Denominator matrix'!$B$23, "NA")</f>
        <v>0.75</v>
      </c>
      <c r="BB59" s="153">
        <f>IFERROR('Similarity matrix'!BB59/'Denominator matrix'!$C$23, "NA")</f>
        <v>0.5</v>
      </c>
      <c r="BC59" s="153">
        <f>IFERROR('Similarity matrix'!BC59/'Denominator matrix'!$D$23, "NA")</f>
        <v>0.75</v>
      </c>
      <c r="BD59" s="153">
        <f>IFERROR('Similarity matrix'!BD59/'Denominator matrix'!$E$23, "NA")</f>
        <v>0.7</v>
      </c>
      <c r="BE59" s="153">
        <f>IFERROR('Similarity matrix'!BE59/'Denominator matrix'!$F$23, "NA")</f>
        <v>0.5</v>
      </c>
      <c r="BF59" s="153">
        <f>IFERROR('Similarity matrix'!BF59/'Denominator matrix'!$G$23, "NA")</f>
        <v>0.5</v>
      </c>
      <c r="BG59" s="155">
        <f>IFERROR('Similarity matrix'!BG59/'Denominator matrix'!$H$23, "NA")</f>
        <v>0</v>
      </c>
      <c r="BH59" s="153">
        <f>IFERROR('Similarity matrix'!BH59/'Denominator matrix'!$I$23, "NA")</f>
        <v>1</v>
      </c>
      <c r="BI59" s="153">
        <f>IFERROR('Similarity matrix'!BI59/'Denominator matrix'!$J$23, "NA")</f>
        <v>0.75</v>
      </c>
      <c r="BJ59" s="153">
        <f>IFERROR('Similarity matrix'!BJ59/'Denominator matrix'!$K$23, "NA")</f>
        <v>0.75</v>
      </c>
      <c r="BK59" s="154">
        <f>IFERROR('Similarity matrix'!BK59/'Denominator matrix'!$B$23, "NA")</f>
        <v>0</v>
      </c>
      <c r="BL59" s="153">
        <f>IFERROR('Similarity matrix'!BL59/'Denominator matrix'!$C$23, "NA")</f>
        <v>0</v>
      </c>
      <c r="BM59" s="153">
        <f>IFERROR('Similarity matrix'!BM59/'Denominator matrix'!$D$23, "NA")</f>
        <v>0</v>
      </c>
      <c r="BN59" s="153">
        <f>IFERROR('Similarity matrix'!BN59/'Denominator matrix'!$E$23, "NA")</f>
        <v>0</v>
      </c>
      <c r="BO59" s="153">
        <f>IFERROR('Similarity matrix'!BO59/'Denominator matrix'!$F$23, "NA")</f>
        <v>0</v>
      </c>
      <c r="BP59" s="153">
        <f>IFERROR('Similarity matrix'!BP59/'Denominator matrix'!$G$23, "NA")</f>
        <v>0</v>
      </c>
      <c r="BQ59" s="156">
        <f>IFERROR('Similarity matrix'!BQ59/'Denominator matrix'!$H$23, "NA")</f>
        <v>0</v>
      </c>
      <c r="BR59" s="153">
        <f>IFERROR('Similarity matrix'!BR59/'Denominator matrix'!$I$23, "NA")</f>
        <v>0</v>
      </c>
      <c r="BS59" s="153">
        <f>IFERROR('Similarity matrix'!BS59/'Denominator matrix'!$J$23, "NA")</f>
        <v>0</v>
      </c>
      <c r="BT59" s="153">
        <f>IFERROR('Similarity matrix'!BT59/'Denominator matrix'!$K$23, "NA")</f>
        <v>0</v>
      </c>
      <c r="BU59" s="154">
        <f>IFERROR('Similarity matrix'!BU59/'Denominator matrix'!$B$23, "NA")</f>
        <v>0</v>
      </c>
      <c r="BV59" s="153">
        <f>IFERROR('Similarity matrix'!BV59/'Denominator matrix'!$C$23, "NA")</f>
        <v>0</v>
      </c>
      <c r="BW59" s="153">
        <f>IFERROR('Similarity matrix'!BW59/'Denominator matrix'!$D$23, "NA")</f>
        <v>0</v>
      </c>
      <c r="BX59" s="153">
        <f>IFERROR('Similarity matrix'!BX59/'Denominator matrix'!$E$23, "NA")</f>
        <v>0</v>
      </c>
      <c r="BY59" s="153">
        <f>IFERROR('Similarity matrix'!BY59/'Denominator matrix'!$F$23, "NA")</f>
        <v>0</v>
      </c>
      <c r="BZ59" s="153">
        <f>IFERROR('Similarity matrix'!BZ59/'Denominator matrix'!$G$23, "NA")</f>
        <v>0</v>
      </c>
      <c r="CA59" s="156">
        <f>IFERROR('Similarity matrix'!CA59/'Denominator matrix'!$H$23, "NA")</f>
        <v>0</v>
      </c>
      <c r="CB59" s="153">
        <f>IFERROR('Similarity matrix'!CB59/'Denominator matrix'!$I$23, "NA")</f>
        <v>0</v>
      </c>
      <c r="CC59" s="153">
        <f>IFERROR('Similarity matrix'!CC59/'Denominator matrix'!$J$23, "NA")</f>
        <v>0</v>
      </c>
      <c r="CD59" s="153">
        <f>IFERROR('Similarity matrix'!CD59/'Denominator matrix'!$K$23, "NA")</f>
        <v>0</v>
      </c>
      <c r="CE59" s="154">
        <f>IFERROR('Similarity matrix'!CE59/'Denominator matrix'!$B$23, "NA")</f>
        <v>0</v>
      </c>
      <c r="CF59" s="153">
        <f>IFERROR('Similarity matrix'!CF59/'Denominator matrix'!$C$23, "NA")</f>
        <v>0</v>
      </c>
      <c r="CG59" s="153">
        <f>IFERROR('Similarity matrix'!CG59/'Denominator matrix'!$D$23, "NA")</f>
        <v>0</v>
      </c>
      <c r="CH59" s="153">
        <f>IFERROR('Similarity matrix'!CH59/'Denominator matrix'!$E$23, "NA")</f>
        <v>0</v>
      </c>
      <c r="CI59" s="153">
        <f>IFERROR('Similarity matrix'!CI59/'Denominator matrix'!$F$23, "NA")</f>
        <v>0</v>
      </c>
      <c r="CJ59" s="153">
        <f>IFERROR('Similarity matrix'!CJ59/'Denominator matrix'!$G$23, "NA")</f>
        <v>0</v>
      </c>
      <c r="CK59" s="156">
        <f>IFERROR('Similarity matrix'!CK59/'Denominator matrix'!$H$23, "NA")</f>
        <v>0</v>
      </c>
      <c r="CL59" s="153">
        <f>IFERROR('Similarity matrix'!CL59/'Denominator matrix'!$I$23, "NA")</f>
        <v>0</v>
      </c>
      <c r="CM59" s="153">
        <f>IFERROR('Similarity matrix'!CM59/'Denominator matrix'!$J$23, "NA")</f>
        <v>0</v>
      </c>
      <c r="CN59" s="153">
        <f>IFERROR('Similarity matrix'!CN59/'Denominator matrix'!$K$23, "NA")</f>
        <v>0</v>
      </c>
      <c r="CO59" s="154">
        <f>IFERROR('Similarity matrix'!CO59/'Denominator matrix'!$B$23, "NA")</f>
        <v>0</v>
      </c>
      <c r="CP59" s="153">
        <f>IFERROR('Similarity matrix'!CP59/'Denominator matrix'!$C$23, "NA")</f>
        <v>0</v>
      </c>
      <c r="CQ59" s="153">
        <f>IFERROR('Similarity matrix'!CQ59/'Denominator matrix'!$D$23, "NA")</f>
        <v>0</v>
      </c>
      <c r="CR59" s="153">
        <f>IFERROR('Similarity matrix'!CR59/'Denominator matrix'!$E$23, "NA")</f>
        <v>0</v>
      </c>
      <c r="CS59" s="153">
        <f>IFERROR('Similarity matrix'!CS59/'Denominator matrix'!$F$23, "NA")</f>
        <v>0</v>
      </c>
      <c r="CT59" s="153">
        <f>IFERROR('Similarity matrix'!CT59/'Denominator matrix'!$G$23, "NA")</f>
        <v>0</v>
      </c>
      <c r="CU59" s="156">
        <f>IFERROR('Similarity matrix'!CU59/'Denominator matrix'!$H$23, "NA")</f>
        <v>0</v>
      </c>
      <c r="CV59" s="153">
        <f>IFERROR('Similarity matrix'!CV59/'Denominator matrix'!$I$23, "NA")</f>
        <v>0</v>
      </c>
      <c r="CW59" s="153">
        <f>IFERROR('Similarity matrix'!CW59/'Denominator matrix'!$J$23, "NA")</f>
        <v>0</v>
      </c>
      <c r="CX59" s="153">
        <f>IFERROR('Similarity matrix'!CX59/'Denominator matrix'!$K$23, "NA")</f>
        <v>0</v>
      </c>
    </row>
    <row r="60" ht="35.25" customHeight="1">
      <c r="B60" s="124">
        <v>45875.0</v>
      </c>
      <c r="C60" s="154">
        <f>IFERROR('Similarity matrix'!C60/'Denominator matrix'!$B$24, "NA")</f>
        <v>0</v>
      </c>
      <c r="D60" s="153">
        <f>IFERROR('Similarity matrix'!D60/'Denominator matrix'!$C$24, "NA")</f>
        <v>0</v>
      </c>
      <c r="E60" s="153">
        <f>IFERROR('Similarity matrix'!E60/'Denominator matrix'!$D$24, "NA")</f>
        <v>0</v>
      </c>
      <c r="F60" s="153">
        <f>IFERROR('Similarity matrix'!F60/'Denominator matrix'!$E$24, "NA")</f>
        <v>0</v>
      </c>
      <c r="G60" s="153">
        <f>IFERROR('Similarity matrix'!G60/'Denominator matrix'!$F$24, "NA")</f>
        <v>0</v>
      </c>
      <c r="H60" s="153">
        <f>IFERROR('Similarity matrix'!H60/'Denominator matrix'!$G$24, "NA")</f>
        <v>0</v>
      </c>
      <c r="I60" s="153">
        <f>IFERROR('Similarity matrix'!I60/'Denominator matrix'!$H$24, "NA")</f>
        <v>0</v>
      </c>
      <c r="J60" s="156">
        <f>IFERROR('Similarity matrix'!J60/'Denominator matrix'!$I$24, "NA")</f>
        <v>0.1875</v>
      </c>
      <c r="K60" s="153">
        <f>IFERROR('Similarity matrix'!K60/'Denominator matrix'!$J$24, "NA")</f>
        <v>0</v>
      </c>
      <c r="L60" s="153">
        <f>IFERROR('Similarity matrix'!L60/'Denominator matrix'!$K$24, "NA")</f>
        <v>0.3333333333</v>
      </c>
      <c r="M60" s="154">
        <f>IFERROR('Similarity matrix'!M60/'Denominator matrix'!$B$24, "NA")</f>
        <v>0</v>
      </c>
      <c r="N60" s="153">
        <f>IFERROR('Similarity matrix'!N60/'Denominator matrix'!$C$24, "NA")</f>
        <v>0</v>
      </c>
      <c r="O60" s="153">
        <f>IFERROR('Similarity matrix'!O60/'Denominator matrix'!$D$24, "NA")</f>
        <v>0</v>
      </c>
      <c r="P60" s="153">
        <f>IFERROR('Similarity matrix'!P60/'Denominator matrix'!$E$24, "NA")</f>
        <v>0</v>
      </c>
      <c r="Q60" s="153">
        <f>IFERROR('Similarity matrix'!Q60/'Denominator matrix'!$F$24, "NA")</f>
        <v>0</v>
      </c>
      <c r="R60" s="153">
        <f>IFERROR('Similarity matrix'!R60/'Denominator matrix'!$G$24, "NA")</f>
        <v>0</v>
      </c>
      <c r="S60" s="153">
        <f>IFERROR('Similarity matrix'!S60/'Denominator matrix'!$H$24, "NA")</f>
        <v>0</v>
      </c>
      <c r="T60" s="156">
        <f>IFERROR('Similarity matrix'!T60/'Denominator matrix'!$I$24, "NA")</f>
        <v>0</v>
      </c>
      <c r="U60" s="153">
        <f>IFERROR('Similarity matrix'!U60/'Denominator matrix'!$J$24, "NA")</f>
        <v>0</v>
      </c>
      <c r="V60" s="153">
        <f>IFERROR('Similarity matrix'!V60/'Denominator matrix'!$K$24, "NA")</f>
        <v>0</v>
      </c>
      <c r="W60" s="154">
        <f>IFERROR('Similarity matrix'!W60/'Denominator matrix'!$B$24, "NA")</f>
        <v>0</v>
      </c>
      <c r="X60" s="153">
        <f>IFERROR('Similarity matrix'!X60/'Denominator matrix'!$C$24, "NA")</f>
        <v>0</v>
      </c>
      <c r="Y60" s="153">
        <f>IFERROR('Similarity matrix'!Y60/'Denominator matrix'!$D$24, "NA")</f>
        <v>0</v>
      </c>
      <c r="Z60" s="153">
        <f>IFERROR('Similarity matrix'!Z60/'Denominator matrix'!$E$24, "NA")</f>
        <v>0</v>
      </c>
      <c r="AA60" s="153">
        <f>IFERROR('Similarity matrix'!AA60/'Denominator matrix'!$F$24, "NA")</f>
        <v>0</v>
      </c>
      <c r="AB60" s="153">
        <f>IFERROR('Similarity matrix'!AB60/'Denominator matrix'!$G$24, "NA")</f>
        <v>0</v>
      </c>
      <c r="AC60" s="153">
        <f>IFERROR('Similarity matrix'!AC60/'Denominator matrix'!$H$24, "NA")</f>
        <v>0</v>
      </c>
      <c r="AD60" s="156">
        <f>IFERROR('Similarity matrix'!AD60/'Denominator matrix'!$I$24, "NA")</f>
        <v>0</v>
      </c>
      <c r="AE60" s="153">
        <f>IFERROR('Similarity matrix'!AE60/'Denominator matrix'!$J$24, "NA")</f>
        <v>0</v>
      </c>
      <c r="AF60" s="153">
        <f>IFERROR('Similarity matrix'!AF60/'Denominator matrix'!$K$24, "NA")</f>
        <v>0</v>
      </c>
      <c r="AG60" s="154">
        <f>IFERROR('Similarity matrix'!AG60/'Denominator matrix'!$B$24, "NA")</f>
        <v>0</v>
      </c>
      <c r="AH60" s="153">
        <f>IFERROR('Similarity matrix'!AH60/'Denominator matrix'!$C$24, "NA")</f>
        <v>0</v>
      </c>
      <c r="AI60" s="153">
        <f>IFERROR('Similarity matrix'!AI60/'Denominator matrix'!$D$24, "NA")</f>
        <v>0</v>
      </c>
      <c r="AJ60" s="153">
        <f>IFERROR('Similarity matrix'!AJ60/'Denominator matrix'!$E$24, "NA")</f>
        <v>0</v>
      </c>
      <c r="AK60" s="153">
        <f>IFERROR('Similarity matrix'!AK60/'Denominator matrix'!$F$24, "NA")</f>
        <v>0</v>
      </c>
      <c r="AL60" s="153">
        <f>IFERROR('Similarity matrix'!AL60/'Denominator matrix'!$G$24, "NA")</f>
        <v>0</v>
      </c>
      <c r="AM60" s="153">
        <f>IFERROR('Similarity matrix'!AM60/'Denominator matrix'!$H$24, "NA")</f>
        <v>0.25</v>
      </c>
      <c r="AN60" s="156">
        <f>IFERROR('Similarity matrix'!AN60/'Denominator matrix'!$I$24, "NA")</f>
        <v>0</v>
      </c>
      <c r="AO60" s="153">
        <f>IFERROR('Similarity matrix'!AO60/'Denominator matrix'!$J$24, "NA")</f>
        <v>0</v>
      </c>
      <c r="AP60" s="153">
        <f>IFERROR('Similarity matrix'!AP60/'Denominator matrix'!$K$24, "NA")</f>
        <v>0</v>
      </c>
      <c r="AQ60" s="154">
        <f>IFERROR('Similarity matrix'!AQ60/'Denominator matrix'!$B$24, "NA")</f>
        <v>0</v>
      </c>
      <c r="AR60" s="153">
        <f>IFERROR('Similarity matrix'!AR60/'Denominator matrix'!$C$24, "NA")</f>
        <v>0</v>
      </c>
      <c r="AS60" s="153">
        <f>IFERROR('Similarity matrix'!AS60/'Denominator matrix'!$D$24, "NA")</f>
        <v>0</v>
      </c>
      <c r="AT60" s="153">
        <f>IFERROR('Similarity matrix'!AT60/'Denominator matrix'!$E$24, "NA")</f>
        <v>0</v>
      </c>
      <c r="AU60" s="153">
        <f>IFERROR('Similarity matrix'!AU60/'Denominator matrix'!$F$24, "NA")</f>
        <v>0</v>
      </c>
      <c r="AV60" s="153">
        <f>IFERROR('Similarity matrix'!AV60/'Denominator matrix'!$G$24, "NA")</f>
        <v>0</v>
      </c>
      <c r="AW60" s="153">
        <f>IFERROR('Similarity matrix'!AW60/'Denominator matrix'!$H$24, "NA")</f>
        <v>0.25</v>
      </c>
      <c r="AX60" s="156">
        <f>IFERROR('Similarity matrix'!AX60/'Denominator matrix'!$I$24, "NA")</f>
        <v>0</v>
      </c>
      <c r="AY60" s="153">
        <f>IFERROR('Similarity matrix'!AY60/'Denominator matrix'!$J$24, "NA")</f>
        <v>0</v>
      </c>
      <c r="AZ60" s="153">
        <f>IFERROR('Similarity matrix'!AZ60/'Denominator matrix'!$K$24, "NA")</f>
        <v>0</v>
      </c>
      <c r="BA60" s="154">
        <f>IFERROR('Similarity matrix'!BA60/'Denominator matrix'!$B$24, "NA")</f>
        <v>0.75</v>
      </c>
      <c r="BB60" s="153">
        <f>IFERROR('Similarity matrix'!BB60/'Denominator matrix'!$C$24, "NA")</f>
        <v>1</v>
      </c>
      <c r="BC60" s="153">
        <f>IFERROR('Similarity matrix'!BC60/'Denominator matrix'!$D$24, "NA")</f>
        <v>0.8333333333</v>
      </c>
      <c r="BD60" s="153">
        <f>IFERROR('Similarity matrix'!BD60/'Denominator matrix'!$E$24, "NA")</f>
        <v>0.75</v>
      </c>
      <c r="BE60" s="153">
        <f>IFERROR('Similarity matrix'!BE60/'Denominator matrix'!$F$24, "NA")</f>
        <v>0.8</v>
      </c>
      <c r="BF60" s="153">
        <f>IFERROR('Similarity matrix'!BF60/'Denominator matrix'!$G$24, "NA")</f>
        <v>0.8333333333</v>
      </c>
      <c r="BG60" s="153">
        <f>IFERROR('Similarity matrix'!BG60/'Denominator matrix'!$H$24, "NA")</f>
        <v>1</v>
      </c>
      <c r="BH60" s="155">
        <f>IFERROR('Similarity matrix'!BH60/'Denominator matrix'!$I$24, "NA")</f>
        <v>0</v>
      </c>
      <c r="BI60" s="153">
        <f>IFERROR('Similarity matrix'!BI60/'Denominator matrix'!$J$24, "NA")</f>
        <v>0.75</v>
      </c>
      <c r="BJ60" s="153">
        <f>IFERROR('Similarity matrix'!BJ60/'Denominator matrix'!$K$24, "NA")</f>
        <v>0.8333333333</v>
      </c>
      <c r="BK60" s="154">
        <f>IFERROR('Similarity matrix'!BK60/'Denominator matrix'!$B$24, "NA")</f>
        <v>0</v>
      </c>
      <c r="BL60" s="153">
        <f>IFERROR('Similarity matrix'!BL60/'Denominator matrix'!$C$24, "NA")</f>
        <v>0</v>
      </c>
      <c r="BM60" s="153">
        <f>IFERROR('Similarity matrix'!BM60/'Denominator matrix'!$D$24, "NA")</f>
        <v>0</v>
      </c>
      <c r="BN60" s="153">
        <f>IFERROR('Similarity matrix'!BN60/'Denominator matrix'!$E$24, "NA")</f>
        <v>0</v>
      </c>
      <c r="BO60" s="153">
        <f>IFERROR('Similarity matrix'!BO60/'Denominator matrix'!$F$24, "NA")</f>
        <v>0</v>
      </c>
      <c r="BP60" s="153">
        <f>IFERROR('Similarity matrix'!BP60/'Denominator matrix'!$G$24, "NA")</f>
        <v>0</v>
      </c>
      <c r="BQ60" s="153">
        <f>IFERROR('Similarity matrix'!BQ60/'Denominator matrix'!$H$24, "NA")</f>
        <v>0</v>
      </c>
      <c r="BR60" s="156">
        <f>IFERROR('Similarity matrix'!BR60/'Denominator matrix'!$I$24, "NA")</f>
        <v>0</v>
      </c>
      <c r="BS60" s="153">
        <f>IFERROR('Similarity matrix'!BS60/'Denominator matrix'!$J$24, "NA")</f>
        <v>0</v>
      </c>
      <c r="BT60" s="153">
        <f>IFERROR('Similarity matrix'!BT60/'Denominator matrix'!$K$24, "NA")</f>
        <v>0</v>
      </c>
      <c r="BU60" s="154">
        <f>IFERROR('Similarity matrix'!BU60/'Denominator matrix'!$B$24, "NA")</f>
        <v>0</v>
      </c>
      <c r="BV60" s="153">
        <f>IFERROR('Similarity matrix'!BV60/'Denominator matrix'!$C$24, "NA")</f>
        <v>0</v>
      </c>
      <c r="BW60" s="153">
        <f>IFERROR('Similarity matrix'!BW60/'Denominator matrix'!$D$24, "NA")</f>
        <v>0</v>
      </c>
      <c r="BX60" s="153">
        <f>IFERROR('Similarity matrix'!BX60/'Denominator matrix'!$E$24, "NA")</f>
        <v>0</v>
      </c>
      <c r="BY60" s="153">
        <f>IFERROR('Similarity matrix'!BY60/'Denominator matrix'!$F$24, "NA")</f>
        <v>0</v>
      </c>
      <c r="BZ60" s="153">
        <f>IFERROR('Similarity matrix'!BZ60/'Denominator matrix'!$G$24, "NA")</f>
        <v>0</v>
      </c>
      <c r="CA60" s="153">
        <f>IFERROR('Similarity matrix'!CA60/'Denominator matrix'!$H$24, "NA")</f>
        <v>0</v>
      </c>
      <c r="CB60" s="156">
        <f>IFERROR('Similarity matrix'!CB60/'Denominator matrix'!$I$24, "NA")</f>
        <v>0</v>
      </c>
      <c r="CC60" s="153">
        <f>IFERROR('Similarity matrix'!CC60/'Denominator matrix'!$J$24, "NA")</f>
        <v>0</v>
      </c>
      <c r="CD60" s="153">
        <f>IFERROR('Similarity matrix'!CD60/'Denominator matrix'!$K$24, "NA")</f>
        <v>0</v>
      </c>
      <c r="CE60" s="154">
        <f>IFERROR('Similarity matrix'!CE60/'Denominator matrix'!$B$24, "NA")</f>
        <v>0</v>
      </c>
      <c r="CF60" s="153">
        <f>IFERROR('Similarity matrix'!CF60/'Denominator matrix'!$C$24, "NA")</f>
        <v>0</v>
      </c>
      <c r="CG60" s="153">
        <f>IFERROR('Similarity matrix'!CG60/'Denominator matrix'!$D$24, "NA")</f>
        <v>0</v>
      </c>
      <c r="CH60" s="153">
        <f>IFERROR('Similarity matrix'!CH60/'Denominator matrix'!$E$24, "NA")</f>
        <v>0</v>
      </c>
      <c r="CI60" s="153">
        <f>IFERROR('Similarity matrix'!CI60/'Denominator matrix'!$F$24, "NA")</f>
        <v>0</v>
      </c>
      <c r="CJ60" s="153">
        <f>IFERROR('Similarity matrix'!CJ60/'Denominator matrix'!$G$24, "NA")</f>
        <v>0</v>
      </c>
      <c r="CK60" s="153">
        <f>IFERROR('Similarity matrix'!CK60/'Denominator matrix'!$H$24, "NA")</f>
        <v>0</v>
      </c>
      <c r="CL60" s="156">
        <f>IFERROR('Similarity matrix'!CL60/'Denominator matrix'!$I$24, "NA")</f>
        <v>0</v>
      </c>
      <c r="CM60" s="153">
        <f>IFERROR('Similarity matrix'!CM60/'Denominator matrix'!$J$24, "NA")</f>
        <v>0</v>
      </c>
      <c r="CN60" s="153">
        <f>IFERROR('Similarity matrix'!CN60/'Denominator matrix'!$K$24, "NA")</f>
        <v>0</v>
      </c>
      <c r="CO60" s="154">
        <f>IFERROR('Similarity matrix'!CO60/'Denominator matrix'!$B$24, "NA")</f>
        <v>0</v>
      </c>
      <c r="CP60" s="153">
        <f>IFERROR('Similarity matrix'!CP60/'Denominator matrix'!$C$24, "NA")</f>
        <v>0</v>
      </c>
      <c r="CQ60" s="153">
        <f>IFERROR('Similarity matrix'!CQ60/'Denominator matrix'!$D$24, "NA")</f>
        <v>0</v>
      </c>
      <c r="CR60" s="153">
        <f>IFERROR('Similarity matrix'!CR60/'Denominator matrix'!$E$24, "NA")</f>
        <v>0</v>
      </c>
      <c r="CS60" s="153">
        <f>IFERROR('Similarity matrix'!CS60/'Denominator matrix'!$F$24, "NA")</f>
        <v>0</v>
      </c>
      <c r="CT60" s="153">
        <f>IFERROR('Similarity matrix'!CT60/'Denominator matrix'!$G$24, "NA")</f>
        <v>0</v>
      </c>
      <c r="CU60" s="153">
        <f>IFERROR('Similarity matrix'!CU60/'Denominator matrix'!$H$24, "NA")</f>
        <v>0</v>
      </c>
      <c r="CV60" s="156">
        <f>IFERROR('Similarity matrix'!CV60/'Denominator matrix'!$I$24, "NA")</f>
        <v>0</v>
      </c>
      <c r="CW60" s="153">
        <f>IFERROR('Similarity matrix'!CW60/'Denominator matrix'!$J$24, "NA")</f>
        <v>0</v>
      </c>
      <c r="CX60" s="153">
        <f>IFERROR('Similarity matrix'!CX60/'Denominator matrix'!$K$24, "NA")</f>
        <v>0</v>
      </c>
    </row>
    <row r="61" ht="35.25" customHeight="1">
      <c r="B61" s="124">
        <v>45906.0</v>
      </c>
      <c r="C61" s="154">
        <f>IFERROR('Similarity matrix'!C61/'Denominator matrix'!$B$25, "NA")</f>
        <v>0</v>
      </c>
      <c r="D61" s="153">
        <f>IFERROR('Similarity matrix'!D61/'Denominator matrix'!$C$25, "NA")</f>
        <v>0</v>
      </c>
      <c r="E61" s="153">
        <f>IFERROR('Similarity matrix'!E61/'Denominator matrix'!$D$25, "NA")</f>
        <v>0</v>
      </c>
      <c r="F61" s="153">
        <f>IFERROR('Similarity matrix'!F61/'Denominator matrix'!$E$25, "NA")</f>
        <v>0</v>
      </c>
      <c r="G61" s="153">
        <f>IFERROR('Similarity matrix'!G61/'Denominator matrix'!$F$25, "NA")</f>
        <v>0</v>
      </c>
      <c r="H61" s="153">
        <f>IFERROR('Similarity matrix'!H61/'Denominator matrix'!$G$25, "NA")</f>
        <v>0</v>
      </c>
      <c r="I61" s="153">
        <f>IFERROR('Similarity matrix'!I61/'Denominator matrix'!$H$25, "NA")</f>
        <v>0</v>
      </c>
      <c r="J61" s="153">
        <f>IFERROR('Similarity matrix'!J61/'Denominator matrix'!$I$25, "NA")</f>
        <v>0</v>
      </c>
      <c r="K61" s="156">
        <f>IFERROR('Similarity matrix'!K61/'Denominator matrix'!$J$25, "NA")</f>
        <v>0</v>
      </c>
      <c r="L61" s="153">
        <f>IFERROR('Similarity matrix'!L61/'Denominator matrix'!$K$25, "NA")</f>
        <v>0</v>
      </c>
      <c r="M61" s="154">
        <f>IFERROR('Similarity matrix'!M61/'Denominator matrix'!$B$25, "NA")</f>
        <v>0</v>
      </c>
      <c r="N61" s="153">
        <f>IFERROR('Similarity matrix'!N61/'Denominator matrix'!$C$25, "NA")</f>
        <v>0</v>
      </c>
      <c r="O61" s="153">
        <f>IFERROR('Similarity matrix'!O61/'Denominator matrix'!$D$25, "NA")</f>
        <v>0</v>
      </c>
      <c r="P61" s="153">
        <f>IFERROR('Similarity matrix'!P61/'Denominator matrix'!$E$25, "NA")</f>
        <v>0</v>
      </c>
      <c r="Q61" s="153">
        <f>IFERROR('Similarity matrix'!Q61/'Denominator matrix'!$F$25, "NA")</f>
        <v>0</v>
      </c>
      <c r="R61" s="153">
        <f>IFERROR('Similarity matrix'!R61/'Denominator matrix'!$G$25, "NA")</f>
        <v>0</v>
      </c>
      <c r="S61" s="153">
        <f>IFERROR('Similarity matrix'!S61/'Denominator matrix'!$H$25, "NA")</f>
        <v>0</v>
      </c>
      <c r="T61" s="153">
        <f>IFERROR('Similarity matrix'!T61/'Denominator matrix'!$I$25, "NA")</f>
        <v>0</v>
      </c>
      <c r="U61" s="156">
        <f>IFERROR('Similarity matrix'!U61/'Denominator matrix'!$J$25, "NA")</f>
        <v>0</v>
      </c>
      <c r="V61" s="153">
        <f>IFERROR('Similarity matrix'!V61/'Denominator matrix'!$K$25, "NA")</f>
        <v>0</v>
      </c>
      <c r="W61" s="154">
        <f>IFERROR('Similarity matrix'!W61/'Denominator matrix'!$B$25, "NA")</f>
        <v>0</v>
      </c>
      <c r="X61" s="153">
        <f>IFERROR('Similarity matrix'!X61/'Denominator matrix'!$C$25, "NA")</f>
        <v>0</v>
      </c>
      <c r="Y61" s="153">
        <f>IFERROR('Similarity matrix'!Y61/'Denominator matrix'!$D$25, "NA")</f>
        <v>0</v>
      </c>
      <c r="Z61" s="153">
        <f>IFERROR('Similarity matrix'!Z61/'Denominator matrix'!$E$25, "NA")</f>
        <v>0</v>
      </c>
      <c r="AA61" s="153">
        <f>IFERROR('Similarity matrix'!AA61/'Denominator matrix'!$F$25, "NA")</f>
        <v>0</v>
      </c>
      <c r="AB61" s="153">
        <f>IFERROR('Similarity matrix'!AB61/'Denominator matrix'!$G$25, "NA")</f>
        <v>0</v>
      </c>
      <c r="AC61" s="153">
        <f>IFERROR('Similarity matrix'!AC61/'Denominator matrix'!$H$25, "NA")</f>
        <v>0</v>
      </c>
      <c r="AD61" s="153">
        <f>IFERROR('Similarity matrix'!AD61/'Denominator matrix'!$I$25, "NA")</f>
        <v>0</v>
      </c>
      <c r="AE61" s="156">
        <f>IFERROR('Similarity matrix'!AE61/'Denominator matrix'!$J$25, "NA")</f>
        <v>0</v>
      </c>
      <c r="AF61" s="153">
        <f>IFERROR('Similarity matrix'!AF61/'Denominator matrix'!$K$25, "NA")</f>
        <v>0</v>
      </c>
      <c r="AG61" s="154">
        <f>IFERROR('Similarity matrix'!AG61/'Denominator matrix'!$B$25, "NA")</f>
        <v>0</v>
      </c>
      <c r="AH61" s="153">
        <f>IFERROR('Similarity matrix'!AH61/'Denominator matrix'!$C$25, "NA")</f>
        <v>0</v>
      </c>
      <c r="AI61" s="153">
        <f>IFERROR('Similarity matrix'!AI61/'Denominator matrix'!$D$25, "NA")</f>
        <v>0</v>
      </c>
      <c r="AJ61" s="153">
        <f>IFERROR('Similarity matrix'!AJ61/'Denominator matrix'!$E$25, "NA")</f>
        <v>0</v>
      </c>
      <c r="AK61" s="153">
        <f>IFERROR('Similarity matrix'!AK61/'Denominator matrix'!$F$25, "NA")</f>
        <v>0</v>
      </c>
      <c r="AL61" s="153">
        <f>IFERROR('Similarity matrix'!AL61/'Denominator matrix'!$G$25, "NA")</f>
        <v>0.25</v>
      </c>
      <c r="AM61" s="153">
        <f>IFERROR('Similarity matrix'!AM61/'Denominator matrix'!$H$25, "NA")</f>
        <v>0.25</v>
      </c>
      <c r="AN61" s="153">
        <f>IFERROR('Similarity matrix'!AN61/'Denominator matrix'!$I$25, "NA")</f>
        <v>0</v>
      </c>
      <c r="AO61" s="156">
        <f>IFERROR('Similarity matrix'!AO61/'Denominator matrix'!$J$25, "NA")</f>
        <v>0</v>
      </c>
      <c r="AP61" s="153">
        <f>IFERROR('Similarity matrix'!AP61/'Denominator matrix'!$K$25, "NA")</f>
        <v>0</v>
      </c>
      <c r="AQ61" s="154">
        <f>IFERROR('Similarity matrix'!AQ61/'Denominator matrix'!$B$25, "NA")</f>
        <v>0</v>
      </c>
      <c r="AR61" s="153">
        <f>IFERROR('Similarity matrix'!AR61/'Denominator matrix'!$C$25, "NA")</f>
        <v>0</v>
      </c>
      <c r="AS61" s="153">
        <f>IFERROR('Similarity matrix'!AS61/'Denominator matrix'!$D$25, "NA")</f>
        <v>0</v>
      </c>
      <c r="AT61" s="153">
        <f>IFERROR('Similarity matrix'!AT61/'Denominator matrix'!$E$25, "NA")</f>
        <v>0</v>
      </c>
      <c r="AU61" s="153">
        <f>IFERROR('Similarity matrix'!AU61/'Denominator matrix'!$F$25, "NA")</f>
        <v>0</v>
      </c>
      <c r="AV61" s="153">
        <f>IFERROR('Similarity matrix'!AV61/'Denominator matrix'!$G$25, "NA")</f>
        <v>0</v>
      </c>
      <c r="AW61" s="153">
        <f>IFERROR('Similarity matrix'!AW61/'Denominator matrix'!$H$25, "NA")</f>
        <v>0</v>
      </c>
      <c r="AX61" s="153">
        <f>IFERROR('Similarity matrix'!AX61/'Denominator matrix'!$I$25, "NA")</f>
        <v>0</v>
      </c>
      <c r="AY61" s="156">
        <f>IFERROR('Similarity matrix'!AY61/'Denominator matrix'!$J$25, "NA")</f>
        <v>0</v>
      </c>
      <c r="AZ61" s="153">
        <f>IFERROR('Similarity matrix'!AZ61/'Denominator matrix'!$K$25, "NA")</f>
        <v>0</v>
      </c>
      <c r="BA61" s="154">
        <f>IFERROR('Similarity matrix'!BA61/'Denominator matrix'!$B$25, "NA")</f>
        <v>0.8</v>
      </c>
      <c r="BB61" s="153">
        <f>IFERROR('Similarity matrix'!BB61/'Denominator matrix'!$C$25, "NA")</f>
        <v>1</v>
      </c>
      <c r="BC61" s="153">
        <f>IFERROR('Similarity matrix'!BC61/'Denominator matrix'!$D$25, "NA")</f>
        <v>1</v>
      </c>
      <c r="BD61" s="153">
        <f>IFERROR('Similarity matrix'!BD61/'Denominator matrix'!$E$25, "NA")</f>
        <v>0.8333333333</v>
      </c>
      <c r="BE61" s="153">
        <f>IFERROR('Similarity matrix'!BE61/'Denominator matrix'!$F$25, "NA")</f>
        <v>0.8333333333</v>
      </c>
      <c r="BF61" s="153">
        <f>IFERROR('Similarity matrix'!BF61/'Denominator matrix'!$G$25, "NA")</f>
        <v>0.75</v>
      </c>
      <c r="BG61" s="153">
        <f>IFERROR('Similarity matrix'!BG61/'Denominator matrix'!$H$25, "NA")</f>
        <v>0.75</v>
      </c>
      <c r="BH61" s="153">
        <f>IFERROR('Similarity matrix'!BH61/'Denominator matrix'!$I$25, "NA")</f>
        <v>0.75</v>
      </c>
      <c r="BI61" s="155">
        <f>IFERROR('Similarity matrix'!BI61/'Denominator matrix'!$J$25, "NA")</f>
        <v>0</v>
      </c>
      <c r="BJ61" s="153">
        <f>IFERROR('Similarity matrix'!BJ61/'Denominator matrix'!$K$25, "NA")</f>
        <v>0.8333333333</v>
      </c>
      <c r="BK61" s="154">
        <f>IFERROR('Similarity matrix'!BK61/'Denominator matrix'!$B$25, "NA")</f>
        <v>0</v>
      </c>
      <c r="BL61" s="153">
        <f>IFERROR('Similarity matrix'!BL61/'Denominator matrix'!$C$25, "NA")</f>
        <v>0</v>
      </c>
      <c r="BM61" s="153">
        <f>IFERROR('Similarity matrix'!BM61/'Denominator matrix'!$D$25, "NA")</f>
        <v>0</v>
      </c>
      <c r="BN61" s="153">
        <f>IFERROR('Similarity matrix'!BN61/'Denominator matrix'!$E$25, "NA")</f>
        <v>0</v>
      </c>
      <c r="BO61" s="153">
        <f>IFERROR('Similarity matrix'!BO61/'Denominator matrix'!$F$25, "NA")</f>
        <v>0</v>
      </c>
      <c r="BP61" s="153">
        <f>IFERROR('Similarity matrix'!BP61/'Denominator matrix'!$G$25, "NA")</f>
        <v>0</v>
      </c>
      <c r="BQ61" s="153">
        <f>IFERROR('Similarity matrix'!BQ61/'Denominator matrix'!$H$25, "NA")</f>
        <v>0</v>
      </c>
      <c r="BR61" s="153">
        <f>IFERROR('Similarity matrix'!BR61/'Denominator matrix'!$I$25, "NA")</f>
        <v>0</v>
      </c>
      <c r="BS61" s="156">
        <f>IFERROR('Similarity matrix'!BS61/'Denominator matrix'!$J$25, "NA")</f>
        <v>0</v>
      </c>
      <c r="BT61" s="153">
        <f>IFERROR('Similarity matrix'!BT61/'Denominator matrix'!$K$25, "NA")</f>
        <v>0</v>
      </c>
      <c r="BU61" s="154">
        <f>IFERROR('Similarity matrix'!BU61/'Denominator matrix'!$B$25, "NA")</f>
        <v>0</v>
      </c>
      <c r="BV61" s="153">
        <f>IFERROR('Similarity matrix'!BV61/'Denominator matrix'!$C$25, "NA")</f>
        <v>0</v>
      </c>
      <c r="BW61" s="153">
        <f>IFERROR('Similarity matrix'!BW61/'Denominator matrix'!$D$25, "NA")</f>
        <v>0</v>
      </c>
      <c r="BX61" s="153">
        <f>IFERROR('Similarity matrix'!BX61/'Denominator matrix'!$E$25, "NA")</f>
        <v>0</v>
      </c>
      <c r="BY61" s="153">
        <f>IFERROR('Similarity matrix'!BY61/'Denominator matrix'!$F$25, "NA")</f>
        <v>0</v>
      </c>
      <c r="BZ61" s="153">
        <f>IFERROR('Similarity matrix'!BZ61/'Denominator matrix'!$G$25, "NA")</f>
        <v>0</v>
      </c>
      <c r="CA61" s="153">
        <f>IFERROR('Similarity matrix'!CA61/'Denominator matrix'!$H$25, "NA")</f>
        <v>0</v>
      </c>
      <c r="CB61" s="153">
        <f>IFERROR('Similarity matrix'!CB61/'Denominator matrix'!$I$25, "NA")</f>
        <v>0</v>
      </c>
      <c r="CC61" s="156">
        <f>IFERROR('Similarity matrix'!CC61/'Denominator matrix'!$J$25, "NA")</f>
        <v>0</v>
      </c>
      <c r="CD61" s="153">
        <f>IFERROR('Similarity matrix'!CD61/'Denominator matrix'!$K$25, "NA")</f>
        <v>0</v>
      </c>
      <c r="CE61" s="154">
        <f>IFERROR('Similarity matrix'!CE61/'Denominator matrix'!$B$25, "NA")</f>
        <v>0</v>
      </c>
      <c r="CF61" s="153">
        <f>IFERROR('Similarity matrix'!CF61/'Denominator matrix'!$C$25, "NA")</f>
        <v>0</v>
      </c>
      <c r="CG61" s="153">
        <f>IFERROR('Similarity matrix'!CG61/'Denominator matrix'!$D$25, "NA")</f>
        <v>0</v>
      </c>
      <c r="CH61" s="153">
        <f>IFERROR('Similarity matrix'!CH61/'Denominator matrix'!$E$25, "NA")</f>
        <v>0</v>
      </c>
      <c r="CI61" s="153">
        <f>IFERROR('Similarity matrix'!CI61/'Denominator matrix'!$F$25, "NA")</f>
        <v>0</v>
      </c>
      <c r="CJ61" s="153">
        <f>IFERROR('Similarity matrix'!CJ61/'Denominator matrix'!$G$25, "NA")</f>
        <v>0</v>
      </c>
      <c r="CK61" s="153">
        <f>IFERROR('Similarity matrix'!CK61/'Denominator matrix'!$H$25, "NA")</f>
        <v>0</v>
      </c>
      <c r="CL61" s="153">
        <f>IFERROR('Similarity matrix'!CL61/'Denominator matrix'!$I$25, "NA")</f>
        <v>0</v>
      </c>
      <c r="CM61" s="156">
        <f>IFERROR('Similarity matrix'!CM61/'Denominator matrix'!$J$25, "NA")</f>
        <v>0</v>
      </c>
      <c r="CN61" s="153">
        <f>IFERROR('Similarity matrix'!CN61/'Denominator matrix'!$K$25, "NA")</f>
        <v>0</v>
      </c>
      <c r="CO61" s="154">
        <f>IFERROR('Similarity matrix'!CO61/'Denominator matrix'!$B$25, "NA")</f>
        <v>0</v>
      </c>
      <c r="CP61" s="153">
        <f>IFERROR('Similarity matrix'!CP61/'Denominator matrix'!$C$25, "NA")</f>
        <v>0</v>
      </c>
      <c r="CQ61" s="153">
        <f>IFERROR('Similarity matrix'!CQ61/'Denominator matrix'!$D$25, "NA")</f>
        <v>0</v>
      </c>
      <c r="CR61" s="153">
        <f>IFERROR('Similarity matrix'!CR61/'Denominator matrix'!$E$25, "NA")</f>
        <v>0</v>
      </c>
      <c r="CS61" s="153">
        <f>IFERROR('Similarity matrix'!CS61/'Denominator matrix'!$F$25, "NA")</f>
        <v>0</v>
      </c>
      <c r="CT61" s="153">
        <f>IFERROR('Similarity matrix'!CT61/'Denominator matrix'!$G$25, "NA")</f>
        <v>0</v>
      </c>
      <c r="CU61" s="153">
        <f>IFERROR('Similarity matrix'!CU61/'Denominator matrix'!$H$25, "NA")</f>
        <v>0</v>
      </c>
      <c r="CV61" s="153">
        <f>IFERROR('Similarity matrix'!CV61/'Denominator matrix'!$I$25, "NA")</f>
        <v>0</v>
      </c>
      <c r="CW61" s="156">
        <f>IFERROR('Similarity matrix'!CW61/'Denominator matrix'!$J$25, "NA")</f>
        <v>0</v>
      </c>
      <c r="CX61" s="153">
        <f>IFERROR('Similarity matrix'!CX61/'Denominator matrix'!$K$25, "NA")</f>
        <v>0</v>
      </c>
    </row>
    <row r="62" ht="35.25" customHeight="1">
      <c r="A62" s="125"/>
      <c r="B62" s="126">
        <v>45936.0</v>
      </c>
      <c r="C62" s="157">
        <f>IFERROR('Similarity matrix'!C62/'Denominator matrix'!$B$26, "NA")</f>
        <v>0.25</v>
      </c>
      <c r="D62" s="158">
        <f>IFERROR('Similarity matrix'!D62/'Denominator matrix'!$C$26, "NA")</f>
        <v>0</v>
      </c>
      <c r="E62" s="158">
        <f>IFERROR('Similarity matrix'!E62/'Denominator matrix'!$D$26, "NA")</f>
        <v>0</v>
      </c>
      <c r="F62" s="158">
        <f>IFERROR('Similarity matrix'!F62/'Denominator matrix'!$E$26, "NA")</f>
        <v>0</v>
      </c>
      <c r="G62" s="158">
        <f>IFERROR('Similarity matrix'!G62/'Denominator matrix'!$F$26, "NA")</f>
        <v>0.25</v>
      </c>
      <c r="H62" s="158">
        <f>IFERROR('Similarity matrix'!H62/'Denominator matrix'!$G$26, "NA")</f>
        <v>0.25</v>
      </c>
      <c r="I62" s="158">
        <f>IFERROR('Similarity matrix'!I62/'Denominator matrix'!$H$26, "NA")</f>
        <v>0</v>
      </c>
      <c r="J62" s="158">
        <f>IFERROR('Similarity matrix'!J62/'Denominator matrix'!$I$26, "NA")</f>
        <v>0.1666666667</v>
      </c>
      <c r="K62" s="158">
        <f>IFERROR('Similarity matrix'!K62/'Denominator matrix'!$J$26, "NA")</f>
        <v>0</v>
      </c>
      <c r="L62" s="160">
        <f>IFERROR('Similarity matrix'!L62/'Denominator matrix'!$K$26, "NA")</f>
        <v>0.1428571429</v>
      </c>
      <c r="M62" s="157">
        <f>IFERROR('Similarity matrix'!M62/'Denominator matrix'!$B$26, "NA")</f>
        <v>0</v>
      </c>
      <c r="N62" s="158">
        <f>IFERROR('Similarity matrix'!N62/'Denominator matrix'!$C$26, "NA")</f>
        <v>0</v>
      </c>
      <c r="O62" s="158">
        <f>IFERROR('Similarity matrix'!O62/'Denominator matrix'!$D$26, "NA")</f>
        <v>0</v>
      </c>
      <c r="P62" s="158">
        <f>IFERROR('Similarity matrix'!P62/'Denominator matrix'!$E$26, "NA")</f>
        <v>0</v>
      </c>
      <c r="Q62" s="158">
        <f>IFERROR('Similarity matrix'!Q62/'Denominator matrix'!$F$26, "NA")</f>
        <v>0</v>
      </c>
      <c r="R62" s="158">
        <f>IFERROR('Similarity matrix'!R62/'Denominator matrix'!$G$26, "NA")</f>
        <v>0</v>
      </c>
      <c r="S62" s="158">
        <f>IFERROR('Similarity matrix'!S62/'Denominator matrix'!$H$26, "NA")</f>
        <v>0</v>
      </c>
      <c r="T62" s="158">
        <f>IFERROR('Similarity matrix'!T62/'Denominator matrix'!$I$26, "NA")</f>
        <v>0</v>
      </c>
      <c r="U62" s="158">
        <f>IFERROR('Similarity matrix'!U62/'Denominator matrix'!$J$26, "NA")</f>
        <v>0</v>
      </c>
      <c r="V62" s="160">
        <f>IFERROR('Similarity matrix'!V62/'Denominator matrix'!$K$26, "NA")</f>
        <v>0</v>
      </c>
      <c r="W62" s="157">
        <f>IFERROR('Similarity matrix'!W62/'Denominator matrix'!$B$26, "NA")</f>
        <v>0</v>
      </c>
      <c r="X62" s="158">
        <f>IFERROR('Similarity matrix'!X62/'Denominator matrix'!$C$26, "NA")</f>
        <v>0</v>
      </c>
      <c r="Y62" s="158">
        <f>IFERROR('Similarity matrix'!Y62/'Denominator matrix'!$D$26, "NA")</f>
        <v>0</v>
      </c>
      <c r="Z62" s="158">
        <f>IFERROR('Similarity matrix'!Z62/'Denominator matrix'!$E$26, "NA")</f>
        <v>0</v>
      </c>
      <c r="AA62" s="158">
        <f>IFERROR('Similarity matrix'!AA62/'Denominator matrix'!$F$26, "NA")</f>
        <v>0</v>
      </c>
      <c r="AB62" s="158">
        <f>IFERROR('Similarity matrix'!AB62/'Denominator matrix'!$G$26, "NA")</f>
        <v>0</v>
      </c>
      <c r="AC62" s="158">
        <f>IFERROR('Similarity matrix'!AC62/'Denominator matrix'!$H$26, "NA")</f>
        <v>0</v>
      </c>
      <c r="AD62" s="158">
        <f>IFERROR('Similarity matrix'!AD62/'Denominator matrix'!$I$26, "NA")</f>
        <v>0</v>
      </c>
      <c r="AE62" s="158">
        <f>IFERROR('Similarity matrix'!AE62/'Denominator matrix'!$J$26, "NA")</f>
        <v>0</v>
      </c>
      <c r="AF62" s="160">
        <f>IFERROR('Similarity matrix'!AF62/'Denominator matrix'!$K$26, "NA")</f>
        <v>0</v>
      </c>
      <c r="AG62" s="157">
        <f>IFERROR('Similarity matrix'!AG62/'Denominator matrix'!$B$26, "NA")</f>
        <v>0</v>
      </c>
      <c r="AH62" s="158">
        <f>IFERROR('Similarity matrix'!AH62/'Denominator matrix'!$C$26, "NA")</f>
        <v>0</v>
      </c>
      <c r="AI62" s="158">
        <f>IFERROR('Similarity matrix'!AI62/'Denominator matrix'!$D$26, "NA")</f>
        <v>0</v>
      </c>
      <c r="AJ62" s="158">
        <f>IFERROR('Similarity matrix'!AJ62/'Denominator matrix'!$E$26, "NA")</f>
        <v>0</v>
      </c>
      <c r="AK62" s="158">
        <f>IFERROR('Similarity matrix'!AK62/'Denominator matrix'!$F$26, "NA")</f>
        <v>0</v>
      </c>
      <c r="AL62" s="158">
        <f>IFERROR('Similarity matrix'!AL62/'Denominator matrix'!$G$26, "NA")</f>
        <v>0</v>
      </c>
      <c r="AM62" s="158">
        <f>IFERROR('Similarity matrix'!AM62/'Denominator matrix'!$H$26, "NA")</f>
        <v>0.25</v>
      </c>
      <c r="AN62" s="158">
        <f>IFERROR('Similarity matrix'!AN62/'Denominator matrix'!$I$26, "NA")</f>
        <v>0</v>
      </c>
      <c r="AO62" s="158">
        <f>IFERROR('Similarity matrix'!AO62/'Denominator matrix'!$J$26, "NA")</f>
        <v>0</v>
      </c>
      <c r="AP62" s="160">
        <f>IFERROR('Similarity matrix'!AP62/'Denominator matrix'!$K$26, "NA")</f>
        <v>0</v>
      </c>
      <c r="AQ62" s="157">
        <f>IFERROR('Similarity matrix'!AQ62/'Denominator matrix'!$B$26, "NA")</f>
        <v>0</v>
      </c>
      <c r="AR62" s="158">
        <f>IFERROR('Similarity matrix'!AR62/'Denominator matrix'!$C$26, "NA")</f>
        <v>0</v>
      </c>
      <c r="AS62" s="158">
        <f>IFERROR('Similarity matrix'!AS62/'Denominator matrix'!$D$26, "NA")</f>
        <v>0</v>
      </c>
      <c r="AT62" s="158">
        <f>IFERROR('Similarity matrix'!AT62/'Denominator matrix'!$E$26, "NA")</f>
        <v>0</v>
      </c>
      <c r="AU62" s="158">
        <f>IFERROR('Similarity matrix'!AU62/'Denominator matrix'!$F$26, "NA")</f>
        <v>0</v>
      </c>
      <c r="AV62" s="158">
        <f>IFERROR('Similarity matrix'!AV62/'Denominator matrix'!$G$26, "NA")</f>
        <v>0</v>
      </c>
      <c r="AW62" s="158">
        <f>IFERROR('Similarity matrix'!AW62/'Denominator matrix'!$H$26, "NA")</f>
        <v>0.25</v>
      </c>
      <c r="AX62" s="158">
        <f>IFERROR('Similarity matrix'!AX62/'Denominator matrix'!$I$26, "NA")</f>
        <v>0</v>
      </c>
      <c r="AY62" s="158">
        <f>IFERROR('Similarity matrix'!AY62/'Denominator matrix'!$J$26, "NA")</f>
        <v>0</v>
      </c>
      <c r="AZ62" s="160">
        <f>IFERROR('Similarity matrix'!AZ62/'Denominator matrix'!$K$26, "NA")</f>
        <v>0</v>
      </c>
      <c r="BA62" s="157">
        <f>IFERROR('Similarity matrix'!BA62/'Denominator matrix'!$B$26, "NA")</f>
        <v>0.75</v>
      </c>
      <c r="BB62" s="158">
        <f>IFERROR('Similarity matrix'!BB62/'Denominator matrix'!$C$26, "NA")</f>
        <v>0.75</v>
      </c>
      <c r="BC62" s="158">
        <f>IFERROR('Similarity matrix'!BC62/'Denominator matrix'!$D$26, "NA")</f>
        <v>1</v>
      </c>
      <c r="BD62" s="158">
        <f>IFERROR('Similarity matrix'!BD62/'Denominator matrix'!$E$26, "NA")</f>
        <v>0.5</v>
      </c>
      <c r="BE62" s="158">
        <f>IFERROR('Similarity matrix'!BE62/'Denominator matrix'!$F$26, "NA")</f>
        <v>0.75</v>
      </c>
      <c r="BF62" s="158">
        <f>IFERROR('Similarity matrix'!BF62/'Denominator matrix'!$G$26, "NA")</f>
        <v>0.75</v>
      </c>
      <c r="BG62" s="158">
        <f>IFERROR('Similarity matrix'!BG62/'Denominator matrix'!$H$26, "NA")</f>
        <v>0.75</v>
      </c>
      <c r="BH62" s="158">
        <f>IFERROR('Similarity matrix'!BH62/'Denominator matrix'!$I$26, "NA")</f>
        <v>0.8333333333</v>
      </c>
      <c r="BI62" s="158">
        <f>IFERROR('Similarity matrix'!BI62/'Denominator matrix'!$J$26, "NA")</f>
        <v>0.8333333333</v>
      </c>
      <c r="BJ62" s="159">
        <f>IFERROR('Similarity matrix'!BJ62/'Denominator matrix'!$K$26, "NA")</f>
        <v>0</v>
      </c>
      <c r="BK62" s="157">
        <f>IFERROR('Similarity matrix'!BK62/'Denominator matrix'!$B$26, "NA")</f>
        <v>0</v>
      </c>
      <c r="BL62" s="158">
        <f>IFERROR('Similarity matrix'!BL62/'Denominator matrix'!$C$26, "NA")</f>
        <v>0.25</v>
      </c>
      <c r="BM62" s="158">
        <f>IFERROR('Similarity matrix'!BM62/'Denominator matrix'!$D$26, "NA")</f>
        <v>0.1666666667</v>
      </c>
      <c r="BN62" s="158">
        <f>IFERROR('Similarity matrix'!BN62/'Denominator matrix'!$E$26, "NA")</f>
        <v>0</v>
      </c>
      <c r="BO62" s="158">
        <f>IFERROR('Similarity matrix'!BO62/'Denominator matrix'!$F$26, "NA")</f>
        <v>0</v>
      </c>
      <c r="BP62" s="158">
        <f>IFERROR('Similarity matrix'!BP62/'Denominator matrix'!$G$26, "NA")</f>
        <v>0</v>
      </c>
      <c r="BQ62" s="158">
        <f>IFERROR('Similarity matrix'!BQ62/'Denominator matrix'!$H$26, "NA")</f>
        <v>0.25</v>
      </c>
      <c r="BR62" s="158">
        <f>IFERROR('Similarity matrix'!BR62/'Denominator matrix'!$I$26, "NA")</f>
        <v>0</v>
      </c>
      <c r="BS62" s="158">
        <f>IFERROR('Similarity matrix'!BS62/'Denominator matrix'!$J$26, "NA")</f>
        <v>0</v>
      </c>
      <c r="BT62" s="160">
        <f>IFERROR('Similarity matrix'!BT62/'Denominator matrix'!$K$26, "NA")</f>
        <v>0.07142857143</v>
      </c>
      <c r="BU62" s="157">
        <f>IFERROR('Similarity matrix'!BU62/'Denominator matrix'!$B$26, "NA")</f>
        <v>0</v>
      </c>
      <c r="BV62" s="158">
        <f>IFERROR('Similarity matrix'!BV62/'Denominator matrix'!$C$26, "NA")</f>
        <v>0</v>
      </c>
      <c r="BW62" s="158">
        <f>IFERROR('Similarity matrix'!BW62/'Denominator matrix'!$D$26, "NA")</f>
        <v>0</v>
      </c>
      <c r="BX62" s="158">
        <f>IFERROR('Similarity matrix'!BX62/'Denominator matrix'!$E$26, "NA")</f>
        <v>0</v>
      </c>
      <c r="BY62" s="158">
        <f>IFERROR('Similarity matrix'!BY62/'Denominator matrix'!$F$26, "NA")</f>
        <v>0</v>
      </c>
      <c r="BZ62" s="158">
        <f>IFERROR('Similarity matrix'!BZ62/'Denominator matrix'!$G$26, "NA")</f>
        <v>0</v>
      </c>
      <c r="CA62" s="158">
        <f>IFERROR('Similarity matrix'!CA62/'Denominator matrix'!$H$26, "NA")</f>
        <v>0</v>
      </c>
      <c r="CB62" s="158">
        <f>IFERROR('Similarity matrix'!CB62/'Denominator matrix'!$I$26, "NA")</f>
        <v>0</v>
      </c>
      <c r="CC62" s="158">
        <f>IFERROR('Similarity matrix'!CC62/'Denominator matrix'!$J$26, "NA")</f>
        <v>0</v>
      </c>
      <c r="CD62" s="160">
        <f>IFERROR('Similarity matrix'!CD62/'Denominator matrix'!$K$26, "NA")</f>
        <v>0</v>
      </c>
      <c r="CE62" s="157">
        <f>IFERROR('Similarity matrix'!CE62/'Denominator matrix'!$B$26, "NA")</f>
        <v>0</v>
      </c>
      <c r="CF62" s="158">
        <f>IFERROR('Similarity matrix'!CF62/'Denominator matrix'!$C$26, "NA")</f>
        <v>0</v>
      </c>
      <c r="CG62" s="158">
        <f>IFERROR('Similarity matrix'!CG62/'Denominator matrix'!$D$26, "NA")</f>
        <v>0</v>
      </c>
      <c r="CH62" s="158">
        <f>IFERROR('Similarity matrix'!CH62/'Denominator matrix'!$E$26, "NA")</f>
        <v>0</v>
      </c>
      <c r="CI62" s="158">
        <f>IFERROR('Similarity matrix'!CI62/'Denominator matrix'!$F$26, "NA")</f>
        <v>0</v>
      </c>
      <c r="CJ62" s="158">
        <f>IFERROR('Similarity matrix'!CJ62/'Denominator matrix'!$G$26, "NA")</f>
        <v>0</v>
      </c>
      <c r="CK62" s="158">
        <f>IFERROR('Similarity matrix'!CK62/'Denominator matrix'!$H$26, "NA")</f>
        <v>0</v>
      </c>
      <c r="CL62" s="158">
        <f>IFERROR('Similarity matrix'!CL62/'Denominator matrix'!$I$26, "NA")</f>
        <v>0</v>
      </c>
      <c r="CM62" s="158">
        <f>IFERROR('Similarity matrix'!CM62/'Denominator matrix'!$J$26, "NA")</f>
        <v>0</v>
      </c>
      <c r="CN62" s="160">
        <f>IFERROR('Similarity matrix'!CN62/'Denominator matrix'!$K$26, "NA")</f>
        <v>0</v>
      </c>
      <c r="CO62" s="157">
        <f>IFERROR('Similarity matrix'!CO62/'Denominator matrix'!$B$26, "NA")</f>
        <v>0</v>
      </c>
      <c r="CP62" s="158">
        <f>IFERROR('Similarity matrix'!CP62/'Denominator matrix'!$C$26, "NA")</f>
        <v>0</v>
      </c>
      <c r="CQ62" s="158">
        <f>IFERROR('Similarity matrix'!CQ62/'Denominator matrix'!$D$26, "NA")</f>
        <v>0</v>
      </c>
      <c r="CR62" s="158">
        <f>IFERROR('Similarity matrix'!CR62/'Denominator matrix'!$E$26, "NA")</f>
        <v>0</v>
      </c>
      <c r="CS62" s="158">
        <f>IFERROR('Similarity matrix'!CS62/'Denominator matrix'!$F$26, "NA")</f>
        <v>0</v>
      </c>
      <c r="CT62" s="158">
        <f>IFERROR('Similarity matrix'!CT62/'Denominator matrix'!$G$26, "NA")</f>
        <v>0</v>
      </c>
      <c r="CU62" s="158">
        <f>IFERROR('Similarity matrix'!CU62/'Denominator matrix'!$H$26, "NA")</f>
        <v>0</v>
      </c>
      <c r="CV62" s="158">
        <f>IFERROR('Similarity matrix'!CV62/'Denominator matrix'!$I$26, "NA")</f>
        <v>0</v>
      </c>
      <c r="CW62" s="158">
        <f>IFERROR('Similarity matrix'!CW62/'Denominator matrix'!$J$26, "NA")</f>
        <v>0</v>
      </c>
      <c r="CX62" s="160">
        <f>IFERROR('Similarity matrix'!CX62/'Denominator matrix'!$K$26, "NA")</f>
        <v>0</v>
      </c>
    </row>
    <row r="63" ht="35.25" customHeight="1">
      <c r="A63" s="138" t="s">
        <v>2941</v>
      </c>
      <c r="B63" s="124">
        <v>45664.0</v>
      </c>
      <c r="C63" s="154">
        <f>IFERROR('Similarity matrix'!C63/'Denominator matrix'!$B$17, "NA")</f>
        <v>0</v>
      </c>
      <c r="D63" s="153">
        <f>IFERROR('Similarity matrix'!D63/'Denominator matrix'!$C$17, "NA")</f>
        <v>0</v>
      </c>
      <c r="E63" s="153">
        <f>IFERROR('Similarity matrix'!E63/'Denominator matrix'!$D$17, "NA")</f>
        <v>0</v>
      </c>
      <c r="F63" s="153">
        <f>IFERROR('Similarity matrix'!F63/'Denominator matrix'!$E$17, "NA")</f>
        <v>0</v>
      </c>
      <c r="G63" s="153">
        <f>IFERROR('Similarity matrix'!G63/'Denominator matrix'!$F$17, "NA")</f>
        <v>0</v>
      </c>
      <c r="H63" s="153">
        <f>IFERROR('Similarity matrix'!H63/'Denominator matrix'!$G$17, "NA")</f>
        <v>0</v>
      </c>
      <c r="I63" s="153">
        <f>IFERROR('Similarity matrix'!I63/'Denominator matrix'!$H$17, "NA")</f>
        <v>0</v>
      </c>
      <c r="J63" s="153">
        <f>IFERROR('Similarity matrix'!J63/'Denominator matrix'!$I$17, "NA")</f>
        <v>0</v>
      </c>
      <c r="K63" s="153">
        <f>IFERROR('Similarity matrix'!K63/'Denominator matrix'!$J$17, "NA")</f>
        <v>0</v>
      </c>
      <c r="L63" s="153">
        <f>IFERROR('Similarity matrix'!L63/'Denominator matrix'!$K$17, "NA")</f>
        <v>0</v>
      </c>
      <c r="M63" s="154">
        <f>IFERROR('Similarity matrix'!M63/'Denominator matrix'!$B$17, "NA")</f>
        <v>0</v>
      </c>
      <c r="N63" s="153">
        <f>IFERROR('Similarity matrix'!N63/'Denominator matrix'!$C$17, "NA")</f>
        <v>0</v>
      </c>
      <c r="O63" s="153">
        <f>IFERROR('Similarity matrix'!O63/'Denominator matrix'!$D$17, "NA")</f>
        <v>0</v>
      </c>
      <c r="P63" s="153">
        <f>IFERROR('Similarity matrix'!P63/'Denominator matrix'!$E$17, "NA")</f>
        <v>0</v>
      </c>
      <c r="Q63" s="153">
        <f>IFERROR('Similarity matrix'!Q63/'Denominator matrix'!$F$17, "NA")</f>
        <v>0</v>
      </c>
      <c r="R63" s="153">
        <f>IFERROR('Similarity matrix'!R63/'Denominator matrix'!$G$17, "NA")</f>
        <v>0</v>
      </c>
      <c r="S63" s="153">
        <f>IFERROR('Similarity matrix'!S63/'Denominator matrix'!$H$17, "NA")</f>
        <v>0</v>
      </c>
      <c r="T63" s="153">
        <f>IFERROR('Similarity matrix'!T63/'Denominator matrix'!$I$17, "NA")</f>
        <v>0</v>
      </c>
      <c r="U63" s="153">
        <f>IFERROR('Similarity matrix'!U63/'Denominator matrix'!$J$17, "NA")</f>
        <v>0</v>
      </c>
      <c r="V63" s="153">
        <f>IFERROR('Similarity matrix'!V63/'Denominator matrix'!$K$17, "NA")</f>
        <v>0</v>
      </c>
      <c r="W63" s="154">
        <f>IFERROR('Similarity matrix'!W63/'Denominator matrix'!$B$17, "NA")</f>
        <v>0</v>
      </c>
      <c r="X63" s="153">
        <f>IFERROR('Similarity matrix'!X63/'Denominator matrix'!$C$17, "NA")</f>
        <v>0</v>
      </c>
      <c r="Y63" s="153">
        <f>IFERROR('Similarity matrix'!Y63/'Denominator matrix'!$D$17, "NA")</f>
        <v>0</v>
      </c>
      <c r="Z63" s="153">
        <f>IFERROR('Similarity matrix'!Z63/'Denominator matrix'!$E$17, "NA")</f>
        <v>0</v>
      </c>
      <c r="AA63" s="153">
        <f>IFERROR('Similarity matrix'!AA63/'Denominator matrix'!$F$17, "NA")</f>
        <v>0</v>
      </c>
      <c r="AB63" s="153">
        <f>IFERROR('Similarity matrix'!AB63/'Denominator matrix'!$G$17, "NA")</f>
        <v>0</v>
      </c>
      <c r="AC63" s="153">
        <f>IFERROR('Similarity matrix'!AC63/'Denominator matrix'!$H$17, "NA")</f>
        <v>0</v>
      </c>
      <c r="AD63" s="153">
        <f>IFERROR('Similarity matrix'!AD63/'Denominator matrix'!$I$17, "NA")</f>
        <v>0</v>
      </c>
      <c r="AE63" s="153">
        <f>IFERROR('Similarity matrix'!AE63/'Denominator matrix'!$J$17, "NA")</f>
        <v>0</v>
      </c>
      <c r="AF63" s="153">
        <f>IFERROR('Similarity matrix'!AF63/'Denominator matrix'!$K$17, "NA")</f>
        <v>0</v>
      </c>
      <c r="AG63" s="154">
        <f>IFERROR('Similarity matrix'!AG63/'Denominator matrix'!$B$17, "NA")</f>
        <v>0</v>
      </c>
      <c r="AH63" s="153">
        <f>IFERROR('Similarity matrix'!AH63/'Denominator matrix'!$C$17, "NA")</f>
        <v>0</v>
      </c>
      <c r="AI63" s="153">
        <f>IFERROR('Similarity matrix'!AI63/'Denominator matrix'!$D$17, "NA")</f>
        <v>0</v>
      </c>
      <c r="AJ63" s="153">
        <f>IFERROR('Similarity matrix'!AJ63/'Denominator matrix'!$E$17, "NA")</f>
        <v>0</v>
      </c>
      <c r="AK63" s="153">
        <f>IFERROR('Similarity matrix'!AK63/'Denominator matrix'!$F$17, "NA")</f>
        <v>0</v>
      </c>
      <c r="AL63" s="153">
        <f>IFERROR('Similarity matrix'!AL63/'Denominator matrix'!$G$17, "NA")</f>
        <v>0</v>
      </c>
      <c r="AM63" s="153">
        <f>IFERROR('Similarity matrix'!AM63/'Denominator matrix'!$H$17, "NA")</f>
        <v>0</v>
      </c>
      <c r="AN63" s="153">
        <f>IFERROR('Similarity matrix'!AN63/'Denominator matrix'!$I$17, "NA")</f>
        <v>0</v>
      </c>
      <c r="AO63" s="153">
        <f>IFERROR('Similarity matrix'!AO63/'Denominator matrix'!$J$17, "NA")</f>
        <v>0</v>
      </c>
      <c r="AP63" s="153">
        <f>IFERROR('Similarity matrix'!AP63/'Denominator matrix'!$K$17, "NA")</f>
        <v>0</v>
      </c>
      <c r="AQ63" s="154">
        <f>IFERROR('Similarity matrix'!AQ63/'Denominator matrix'!$B$17, "NA")</f>
        <v>0</v>
      </c>
      <c r="AR63" s="153">
        <f>IFERROR('Similarity matrix'!AR63/'Denominator matrix'!$C$17, "NA")</f>
        <v>0</v>
      </c>
      <c r="AS63" s="153">
        <f>IFERROR('Similarity matrix'!AS63/'Denominator matrix'!$D$17, "NA")</f>
        <v>0</v>
      </c>
      <c r="AT63" s="153">
        <f>IFERROR('Similarity matrix'!AT63/'Denominator matrix'!$E$17, "NA")</f>
        <v>0</v>
      </c>
      <c r="AU63" s="153">
        <f>IFERROR('Similarity matrix'!AU63/'Denominator matrix'!$F$17, "NA")</f>
        <v>0</v>
      </c>
      <c r="AV63" s="153">
        <f>IFERROR('Similarity matrix'!AV63/'Denominator matrix'!$G$17, "NA")</f>
        <v>0</v>
      </c>
      <c r="AW63" s="153">
        <f>IFERROR('Similarity matrix'!AW63/'Denominator matrix'!$H$17, "NA")</f>
        <v>0</v>
      </c>
      <c r="AX63" s="153">
        <f>IFERROR('Similarity matrix'!AX63/'Denominator matrix'!$I$17, "NA")</f>
        <v>0</v>
      </c>
      <c r="AY63" s="153">
        <f>IFERROR('Similarity matrix'!AY63/'Denominator matrix'!$J$17, "NA")</f>
        <v>0</v>
      </c>
      <c r="AZ63" s="153">
        <f>IFERROR('Similarity matrix'!AZ63/'Denominator matrix'!$K$17, "NA")</f>
        <v>0</v>
      </c>
      <c r="BA63" s="154">
        <f>IFERROR('Similarity matrix'!BA63/'Denominator matrix'!$B$17, "NA")</f>
        <v>0</v>
      </c>
      <c r="BB63" s="153">
        <f>IFERROR('Similarity matrix'!BB63/'Denominator matrix'!$C$17, "NA")</f>
        <v>0</v>
      </c>
      <c r="BC63" s="153">
        <f>IFERROR('Similarity matrix'!BC63/'Denominator matrix'!$D$17, "NA")</f>
        <v>0</v>
      </c>
      <c r="BD63" s="153">
        <f>IFERROR('Similarity matrix'!BD63/'Denominator matrix'!$E$17, "NA")</f>
        <v>0</v>
      </c>
      <c r="BE63" s="153">
        <f>IFERROR('Similarity matrix'!BE63/'Denominator matrix'!$F$17, "NA")</f>
        <v>0</v>
      </c>
      <c r="BF63" s="153">
        <f>IFERROR('Similarity matrix'!BF63/'Denominator matrix'!$G$17, "NA")</f>
        <v>0</v>
      </c>
      <c r="BG63" s="153">
        <f>IFERROR('Similarity matrix'!BG63/'Denominator matrix'!$H$17, "NA")</f>
        <v>0</v>
      </c>
      <c r="BH63" s="153">
        <f>IFERROR('Similarity matrix'!BH63/'Denominator matrix'!$I$17, "NA")</f>
        <v>0</v>
      </c>
      <c r="BI63" s="153">
        <f>IFERROR('Similarity matrix'!BI63/'Denominator matrix'!$J$17, "NA")</f>
        <v>0</v>
      </c>
      <c r="BJ63" s="153">
        <f>IFERROR('Similarity matrix'!BJ63/'Denominator matrix'!$K$17, "NA")</f>
        <v>0</v>
      </c>
      <c r="BK63" s="152">
        <f>IFERROR('Similarity matrix'!BK63/'Denominator matrix'!$B$17, "NA")</f>
        <v>0</v>
      </c>
      <c r="BL63" s="153">
        <f>IFERROR('Similarity matrix'!BL63/'Denominator matrix'!$C$17, "NA")</f>
        <v>1</v>
      </c>
      <c r="BM63" s="153">
        <f>IFERROR('Similarity matrix'!BM63/'Denominator matrix'!$D$17, "NA")</f>
        <v>0.25</v>
      </c>
      <c r="BN63" s="153">
        <f>IFERROR('Similarity matrix'!BN63/'Denominator matrix'!$E$17, "NA")</f>
        <v>0.5</v>
      </c>
      <c r="BO63" s="153">
        <f>IFERROR('Similarity matrix'!BO63/'Denominator matrix'!$F$17, "NA")</f>
        <v>0.8</v>
      </c>
      <c r="BP63" s="153">
        <f>IFERROR('Similarity matrix'!BP63/'Denominator matrix'!$G$17, "NA")</f>
        <v>0.8</v>
      </c>
      <c r="BQ63" s="153">
        <f>IFERROR('Similarity matrix'!BQ63/'Denominator matrix'!$H$17, "NA")</f>
        <v>0.75</v>
      </c>
      <c r="BR63" s="153">
        <f>IFERROR('Similarity matrix'!BR63/'Denominator matrix'!$I$17, "NA")</f>
        <v>0.75</v>
      </c>
      <c r="BS63" s="153">
        <f>IFERROR('Similarity matrix'!BS63/'Denominator matrix'!$J$17, "NA")</f>
        <v>0.9</v>
      </c>
      <c r="BT63" s="153">
        <f>IFERROR('Similarity matrix'!BT63/'Denominator matrix'!$K$17, "NA")</f>
        <v>1</v>
      </c>
      <c r="BU63" s="154">
        <f>IFERROR('Similarity matrix'!BU63/'Denominator matrix'!$B$17, "NA")</f>
        <v>0.05555555556</v>
      </c>
      <c r="BV63" s="153">
        <f>IFERROR('Similarity matrix'!BV63/'Denominator matrix'!$C$17, "NA")</f>
        <v>0</v>
      </c>
      <c r="BW63" s="153">
        <f>IFERROR('Similarity matrix'!BW63/'Denominator matrix'!$D$17, "NA")</f>
        <v>0</v>
      </c>
      <c r="BX63" s="153">
        <f>IFERROR('Similarity matrix'!BX63/'Denominator matrix'!$E$17, "NA")</f>
        <v>0</v>
      </c>
      <c r="BY63" s="153">
        <f>IFERROR('Similarity matrix'!BY63/'Denominator matrix'!$F$17, "NA")</f>
        <v>0</v>
      </c>
      <c r="BZ63" s="153">
        <f>IFERROR('Similarity matrix'!BZ63/'Denominator matrix'!$G$17, "NA")</f>
        <v>0</v>
      </c>
      <c r="CA63" s="153">
        <f>IFERROR('Similarity matrix'!CA63/'Denominator matrix'!$H$17, "NA")</f>
        <v>0</v>
      </c>
      <c r="CB63" s="153">
        <f>IFERROR('Similarity matrix'!CB63/'Denominator matrix'!$I$17, "NA")</f>
        <v>0</v>
      </c>
      <c r="CC63" s="153">
        <f>IFERROR('Similarity matrix'!CC63/'Denominator matrix'!$J$17, "NA")</f>
        <v>0</v>
      </c>
      <c r="CD63" s="153">
        <f>IFERROR('Similarity matrix'!CD63/'Denominator matrix'!$K$17, "NA")</f>
        <v>0</v>
      </c>
      <c r="CE63" s="154">
        <f>IFERROR('Similarity matrix'!CE63/'Denominator matrix'!$B$17, "NA")</f>
        <v>0</v>
      </c>
      <c r="CF63" s="153">
        <f>IFERROR('Similarity matrix'!CF63/'Denominator matrix'!$C$17, "NA")</f>
        <v>0</v>
      </c>
      <c r="CG63" s="153">
        <f>IFERROR('Similarity matrix'!CG63/'Denominator matrix'!$D$17, "NA")</f>
        <v>0</v>
      </c>
      <c r="CH63" s="153">
        <f>IFERROR('Similarity matrix'!CH63/'Denominator matrix'!$E$17, "NA")</f>
        <v>0</v>
      </c>
      <c r="CI63" s="153">
        <f>IFERROR('Similarity matrix'!CI63/'Denominator matrix'!$F$17, "NA")</f>
        <v>0</v>
      </c>
      <c r="CJ63" s="153">
        <f>IFERROR('Similarity matrix'!CJ63/'Denominator matrix'!$G$17, "NA")</f>
        <v>0</v>
      </c>
      <c r="CK63" s="153">
        <f>IFERROR('Similarity matrix'!CK63/'Denominator matrix'!$H$17, "NA")</f>
        <v>0</v>
      </c>
      <c r="CL63" s="153">
        <f>IFERROR('Similarity matrix'!CL63/'Denominator matrix'!$I$17, "NA")</f>
        <v>0</v>
      </c>
      <c r="CM63" s="153">
        <f>IFERROR('Similarity matrix'!CM63/'Denominator matrix'!$J$17, "NA")</f>
        <v>0</v>
      </c>
      <c r="CN63" s="153">
        <f>IFERROR('Similarity matrix'!CN63/'Denominator matrix'!$K$17, "NA")</f>
        <v>0</v>
      </c>
      <c r="CO63" s="154">
        <f>IFERROR('Similarity matrix'!CO63/'Denominator matrix'!$B$17, "NA")</f>
        <v>0</v>
      </c>
      <c r="CP63" s="153">
        <f>IFERROR('Similarity matrix'!CP63/'Denominator matrix'!$C$17, "NA")</f>
        <v>0</v>
      </c>
      <c r="CQ63" s="153">
        <f>IFERROR('Similarity matrix'!CQ63/'Denominator matrix'!$D$17, "NA")</f>
        <v>0</v>
      </c>
      <c r="CR63" s="153">
        <f>IFERROR('Similarity matrix'!CR63/'Denominator matrix'!$E$17, "NA")</f>
        <v>0</v>
      </c>
      <c r="CS63" s="153">
        <f>IFERROR('Similarity matrix'!CS63/'Denominator matrix'!$F$17, "NA")</f>
        <v>0</v>
      </c>
      <c r="CT63" s="153">
        <f>IFERROR('Similarity matrix'!CT63/'Denominator matrix'!$G$17, "NA")</f>
        <v>0</v>
      </c>
      <c r="CU63" s="153">
        <f>IFERROR('Similarity matrix'!CU63/'Denominator matrix'!$H$17, "NA")</f>
        <v>0</v>
      </c>
      <c r="CV63" s="153">
        <f>IFERROR('Similarity matrix'!CV63/'Denominator matrix'!$I$17, "NA")</f>
        <v>0</v>
      </c>
      <c r="CW63" s="153">
        <f>IFERROR('Similarity matrix'!CW63/'Denominator matrix'!$J$17, "NA")</f>
        <v>0</v>
      </c>
      <c r="CX63" s="153">
        <f>IFERROR('Similarity matrix'!CX63/'Denominator matrix'!$K$17, "NA")</f>
        <v>0</v>
      </c>
    </row>
    <row r="64" ht="35.25" customHeight="1">
      <c r="B64" s="124">
        <v>45695.0</v>
      </c>
      <c r="C64" s="154">
        <f>IFERROR('Similarity matrix'!C64/'Denominator matrix'!$B$18, "NA")</f>
        <v>0</v>
      </c>
      <c r="D64" s="156">
        <f>IFERROR('Similarity matrix'!D64/'Denominator matrix'!$C$18, "NA")</f>
        <v>0</v>
      </c>
      <c r="E64" s="153">
        <f>IFERROR('Similarity matrix'!E64/'Denominator matrix'!$D$18, "NA")</f>
        <v>0</v>
      </c>
      <c r="F64" s="153">
        <f>IFERROR('Similarity matrix'!F64/'Denominator matrix'!$E$18, "NA")</f>
        <v>0</v>
      </c>
      <c r="G64" s="153">
        <f>IFERROR('Similarity matrix'!G64/'Denominator matrix'!$F$18, "NA")</f>
        <v>0</v>
      </c>
      <c r="H64" s="153">
        <f>IFERROR('Similarity matrix'!H64/'Denominator matrix'!$G$18, "NA")</f>
        <v>0</v>
      </c>
      <c r="I64" s="153">
        <f>IFERROR('Similarity matrix'!I64/'Denominator matrix'!$H$18, "NA")</f>
        <v>0</v>
      </c>
      <c r="J64" s="153">
        <f>IFERROR('Similarity matrix'!J64/'Denominator matrix'!$I$18, "NA")</f>
        <v>0</v>
      </c>
      <c r="K64" s="153">
        <f>IFERROR('Similarity matrix'!K64/'Denominator matrix'!$J$18, "NA")</f>
        <v>0</v>
      </c>
      <c r="L64" s="153">
        <f>IFERROR('Similarity matrix'!L64/'Denominator matrix'!$K$18, "NA")</f>
        <v>0</v>
      </c>
      <c r="M64" s="154">
        <f>IFERROR('Similarity matrix'!M64/'Denominator matrix'!$B$18, "NA")</f>
        <v>0</v>
      </c>
      <c r="N64" s="156">
        <f>IFERROR('Similarity matrix'!N64/'Denominator matrix'!$C$18, "NA")</f>
        <v>0</v>
      </c>
      <c r="O64" s="153">
        <f>IFERROR('Similarity matrix'!O64/'Denominator matrix'!$D$18, "NA")</f>
        <v>0</v>
      </c>
      <c r="P64" s="153">
        <f>IFERROR('Similarity matrix'!P64/'Denominator matrix'!$E$18, "NA")</f>
        <v>0</v>
      </c>
      <c r="Q64" s="153">
        <f>IFERROR('Similarity matrix'!Q64/'Denominator matrix'!$F$18, "NA")</f>
        <v>0</v>
      </c>
      <c r="R64" s="153">
        <f>IFERROR('Similarity matrix'!R64/'Denominator matrix'!$G$18, "NA")</f>
        <v>0</v>
      </c>
      <c r="S64" s="153">
        <f>IFERROR('Similarity matrix'!S64/'Denominator matrix'!$H$18, "NA")</f>
        <v>0</v>
      </c>
      <c r="T64" s="153">
        <f>IFERROR('Similarity matrix'!T64/'Denominator matrix'!$I$18, "NA")</f>
        <v>0</v>
      </c>
      <c r="U64" s="153">
        <f>IFERROR('Similarity matrix'!U64/'Denominator matrix'!$J$18, "NA")</f>
        <v>0</v>
      </c>
      <c r="V64" s="153">
        <f>IFERROR('Similarity matrix'!V64/'Denominator matrix'!$K$18, "NA")</f>
        <v>0</v>
      </c>
      <c r="W64" s="154">
        <f>IFERROR('Similarity matrix'!W64/'Denominator matrix'!$B$18, "NA")</f>
        <v>0</v>
      </c>
      <c r="X64" s="156">
        <f>IFERROR('Similarity matrix'!X64/'Denominator matrix'!$C$18, "NA")</f>
        <v>0</v>
      </c>
      <c r="Y64" s="153">
        <f>IFERROR('Similarity matrix'!Y64/'Denominator matrix'!$D$18, "NA")</f>
        <v>0</v>
      </c>
      <c r="Z64" s="153">
        <f>IFERROR('Similarity matrix'!Z64/'Denominator matrix'!$E$18, "NA")</f>
        <v>0</v>
      </c>
      <c r="AA64" s="153">
        <f>IFERROR('Similarity matrix'!AA64/'Denominator matrix'!$F$18, "NA")</f>
        <v>0</v>
      </c>
      <c r="AB64" s="153">
        <f>IFERROR('Similarity matrix'!AB64/'Denominator matrix'!$G$18, "NA")</f>
        <v>0</v>
      </c>
      <c r="AC64" s="153">
        <f>IFERROR('Similarity matrix'!AC64/'Denominator matrix'!$H$18, "NA")</f>
        <v>0</v>
      </c>
      <c r="AD64" s="153">
        <f>IFERROR('Similarity matrix'!AD64/'Denominator matrix'!$I$18, "NA")</f>
        <v>0</v>
      </c>
      <c r="AE64" s="153">
        <f>IFERROR('Similarity matrix'!AE64/'Denominator matrix'!$J$18, "NA")</f>
        <v>0</v>
      </c>
      <c r="AF64" s="153">
        <f>IFERROR('Similarity matrix'!AF64/'Denominator matrix'!$K$18, "NA")</f>
        <v>0</v>
      </c>
      <c r="AG64" s="154">
        <f>IFERROR('Similarity matrix'!AG64/'Denominator matrix'!$B$18, "NA")</f>
        <v>0</v>
      </c>
      <c r="AH64" s="156">
        <f>IFERROR('Similarity matrix'!AH64/'Denominator matrix'!$C$18, "NA")</f>
        <v>0</v>
      </c>
      <c r="AI64" s="153">
        <f>IFERROR('Similarity matrix'!AI64/'Denominator matrix'!$D$18, "NA")</f>
        <v>0</v>
      </c>
      <c r="AJ64" s="153">
        <f>IFERROR('Similarity matrix'!AJ64/'Denominator matrix'!$E$18, "NA")</f>
        <v>0</v>
      </c>
      <c r="AK64" s="153">
        <f>IFERROR('Similarity matrix'!AK64/'Denominator matrix'!$F$18, "NA")</f>
        <v>0</v>
      </c>
      <c r="AL64" s="153">
        <f>IFERROR('Similarity matrix'!AL64/'Denominator matrix'!$G$18, "NA")</f>
        <v>0</v>
      </c>
      <c r="AM64" s="153">
        <f>IFERROR('Similarity matrix'!AM64/'Denominator matrix'!$H$18, "NA")</f>
        <v>0</v>
      </c>
      <c r="AN64" s="153">
        <f>IFERROR('Similarity matrix'!AN64/'Denominator matrix'!$I$18, "NA")</f>
        <v>0</v>
      </c>
      <c r="AO64" s="153">
        <f>IFERROR('Similarity matrix'!AO64/'Denominator matrix'!$J$18, "NA")</f>
        <v>0</v>
      </c>
      <c r="AP64" s="153">
        <f>IFERROR('Similarity matrix'!AP64/'Denominator matrix'!$K$18, "NA")</f>
        <v>0</v>
      </c>
      <c r="AQ64" s="154">
        <f>IFERROR('Similarity matrix'!AQ64/'Denominator matrix'!$B$18, "NA")</f>
        <v>0</v>
      </c>
      <c r="AR64" s="156">
        <f>IFERROR('Similarity matrix'!AR64/'Denominator matrix'!$C$18, "NA")</f>
        <v>0</v>
      </c>
      <c r="AS64" s="153">
        <f>IFERROR('Similarity matrix'!AS64/'Denominator matrix'!$D$18, "NA")</f>
        <v>0</v>
      </c>
      <c r="AT64" s="153">
        <f>IFERROR('Similarity matrix'!AT64/'Denominator matrix'!$E$18, "NA")</f>
        <v>0</v>
      </c>
      <c r="AU64" s="153">
        <f>IFERROR('Similarity matrix'!AU64/'Denominator matrix'!$F$18, "NA")</f>
        <v>0</v>
      </c>
      <c r="AV64" s="153">
        <f>IFERROR('Similarity matrix'!AV64/'Denominator matrix'!$G$18, "NA")</f>
        <v>0</v>
      </c>
      <c r="AW64" s="153">
        <f>IFERROR('Similarity matrix'!AW64/'Denominator matrix'!$H$18, "NA")</f>
        <v>0</v>
      </c>
      <c r="AX64" s="153">
        <f>IFERROR('Similarity matrix'!AX64/'Denominator matrix'!$I$18, "NA")</f>
        <v>0</v>
      </c>
      <c r="AY64" s="153">
        <f>IFERROR('Similarity matrix'!AY64/'Denominator matrix'!$J$18, "NA")</f>
        <v>0</v>
      </c>
      <c r="AZ64" s="153">
        <f>IFERROR('Similarity matrix'!AZ64/'Denominator matrix'!$K$18, "NA")</f>
        <v>0</v>
      </c>
      <c r="BA64" s="154">
        <f>IFERROR('Similarity matrix'!BA64/'Denominator matrix'!$B$18, "NA")</f>
        <v>0</v>
      </c>
      <c r="BB64" s="156">
        <f>IFERROR('Similarity matrix'!BB64/'Denominator matrix'!$C$18, "NA")</f>
        <v>0</v>
      </c>
      <c r="BC64" s="153">
        <f>IFERROR('Similarity matrix'!BC64/'Denominator matrix'!$D$18, "NA")</f>
        <v>0.25</v>
      </c>
      <c r="BD64" s="153">
        <f>IFERROR('Similarity matrix'!BD64/'Denominator matrix'!$E$18, "NA")</f>
        <v>0</v>
      </c>
      <c r="BE64" s="153">
        <f>IFERROR('Similarity matrix'!BE64/'Denominator matrix'!$F$18, "NA")</f>
        <v>0</v>
      </c>
      <c r="BF64" s="153">
        <f>IFERROR('Similarity matrix'!BF64/'Denominator matrix'!$G$18, "NA")</f>
        <v>0</v>
      </c>
      <c r="BG64" s="153">
        <f>IFERROR('Similarity matrix'!BG64/'Denominator matrix'!$H$18, "NA")</f>
        <v>0</v>
      </c>
      <c r="BH64" s="153">
        <f>IFERROR('Similarity matrix'!BH64/'Denominator matrix'!$I$18, "NA")</f>
        <v>0</v>
      </c>
      <c r="BI64" s="153">
        <f>IFERROR('Similarity matrix'!BI64/'Denominator matrix'!$J$18, "NA")</f>
        <v>0</v>
      </c>
      <c r="BJ64" s="153">
        <f>IFERROR('Similarity matrix'!BJ64/'Denominator matrix'!$K$18, "NA")</f>
        <v>0.25</v>
      </c>
      <c r="BK64" s="154">
        <f>IFERROR('Similarity matrix'!BK64/'Denominator matrix'!$B$18, "NA")</f>
        <v>1</v>
      </c>
      <c r="BL64" s="155">
        <f>IFERROR('Similarity matrix'!BL64/'Denominator matrix'!$C$18, "NA")</f>
        <v>0</v>
      </c>
      <c r="BM64" s="153">
        <f>IFERROR('Similarity matrix'!BM64/'Denominator matrix'!$D$18, "NA")</f>
        <v>1</v>
      </c>
      <c r="BN64" s="153">
        <f>IFERROR('Similarity matrix'!BN64/'Denominator matrix'!$E$18, "NA")</f>
        <v>1</v>
      </c>
      <c r="BO64" s="153">
        <f>IFERROR('Similarity matrix'!BO64/'Denominator matrix'!$F$18, "NA")</f>
        <v>1</v>
      </c>
      <c r="BP64" s="153">
        <f>IFERROR('Similarity matrix'!BP64/'Denominator matrix'!$G$18, "NA")</f>
        <v>1</v>
      </c>
      <c r="BQ64" s="153">
        <f>IFERROR('Similarity matrix'!BQ64/'Denominator matrix'!$H$18, "NA")</f>
        <v>1</v>
      </c>
      <c r="BR64" s="153">
        <f>IFERROR('Similarity matrix'!BR64/'Denominator matrix'!$I$18, "NA")</f>
        <v>1</v>
      </c>
      <c r="BS64" s="153">
        <f>IFERROR('Similarity matrix'!BS64/'Denominator matrix'!$J$18, "NA")</f>
        <v>1</v>
      </c>
      <c r="BT64" s="153">
        <f>IFERROR('Similarity matrix'!BT64/'Denominator matrix'!$K$18, "NA")</f>
        <v>1</v>
      </c>
      <c r="BU64" s="154">
        <f>IFERROR('Similarity matrix'!BU64/'Denominator matrix'!$B$18, "NA")</f>
        <v>0</v>
      </c>
      <c r="BV64" s="156">
        <f>IFERROR('Similarity matrix'!BV64/'Denominator matrix'!$C$18, "NA")</f>
        <v>0</v>
      </c>
      <c r="BW64" s="153">
        <f>IFERROR('Similarity matrix'!BW64/'Denominator matrix'!$D$18, "NA")</f>
        <v>0</v>
      </c>
      <c r="BX64" s="153">
        <f>IFERROR('Similarity matrix'!BX64/'Denominator matrix'!$E$18, "NA")</f>
        <v>0</v>
      </c>
      <c r="BY64" s="153">
        <f>IFERROR('Similarity matrix'!BY64/'Denominator matrix'!$F$18, "NA")</f>
        <v>0</v>
      </c>
      <c r="BZ64" s="153">
        <f>IFERROR('Similarity matrix'!BZ64/'Denominator matrix'!$G$18, "NA")</f>
        <v>0</v>
      </c>
      <c r="CA64" s="153">
        <f>IFERROR('Similarity matrix'!CA64/'Denominator matrix'!$H$18, "NA")</f>
        <v>0</v>
      </c>
      <c r="CB64" s="153">
        <f>IFERROR('Similarity matrix'!CB64/'Denominator matrix'!$I$18, "NA")</f>
        <v>0</v>
      </c>
      <c r="CC64" s="153">
        <f>IFERROR('Similarity matrix'!CC64/'Denominator matrix'!$J$18, "NA")</f>
        <v>0</v>
      </c>
      <c r="CD64" s="153">
        <f>IFERROR('Similarity matrix'!CD64/'Denominator matrix'!$K$18, "NA")</f>
        <v>0</v>
      </c>
      <c r="CE64" s="154">
        <f>IFERROR('Similarity matrix'!CE64/'Denominator matrix'!$B$18, "NA")</f>
        <v>0</v>
      </c>
      <c r="CF64" s="156">
        <f>IFERROR('Similarity matrix'!CF64/'Denominator matrix'!$C$18, "NA")</f>
        <v>0</v>
      </c>
      <c r="CG64" s="153">
        <f>IFERROR('Similarity matrix'!CG64/'Denominator matrix'!$D$18, "NA")</f>
        <v>0</v>
      </c>
      <c r="CH64" s="153">
        <f>IFERROR('Similarity matrix'!CH64/'Denominator matrix'!$E$18, "NA")</f>
        <v>0</v>
      </c>
      <c r="CI64" s="153">
        <f>IFERROR('Similarity matrix'!CI64/'Denominator matrix'!$F$18, "NA")</f>
        <v>0</v>
      </c>
      <c r="CJ64" s="153">
        <f>IFERROR('Similarity matrix'!CJ64/'Denominator matrix'!$G$18, "NA")</f>
        <v>0</v>
      </c>
      <c r="CK64" s="153">
        <f>IFERROR('Similarity matrix'!CK64/'Denominator matrix'!$H$18, "NA")</f>
        <v>0</v>
      </c>
      <c r="CL64" s="153">
        <f>IFERROR('Similarity matrix'!CL64/'Denominator matrix'!$I$18, "NA")</f>
        <v>0</v>
      </c>
      <c r="CM64" s="153">
        <f>IFERROR('Similarity matrix'!CM64/'Denominator matrix'!$J$18, "NA")</f>
        <v>0</v>
      </c>
      <c r="CN64" s="153">
        <f>IFERROR('Similarity matrix'!CN64/'Denominator matrix'!$K$18, "NA")</f>
        <v>0</v>
      </c>
      <c r="CO64" s="154">
        <f>IFERROR('Similarity matrix'!CO64/'Denominator matrix'!$B$18, "NA")</f>
        <v>0</v>
      </c>
      <c r="CP64" s="156">
        <f>IFERROR('Similarity matrix'!CP64/'Denominator matrix'!$C$18, "NA")</f>
        <v>0</v>
      </c>
      <c r="CQ64" s="153">
        <f>IFERROR('Similarity matrix'!CQ64/'Denominator matrix'!$D$18, "NA")</f>
        <v>0</v>
      </c>
      <c r="CR64" s="153">
        <f>IFERROR('Similarity matrix'!CR64/'Denominator matrix'!$E$18, "NA")</f>
        <v>0</v>
      </c>
      <c r="CS64" s="153">
        <f>IFERROR('Similarity matrix'!CS64/'Denominator matrix'!$F$18, "NA")</f>
        <v>0</v>
      </c>
      <c r="CT64" s="153">
        <f>IFERROR('Similarity matrix'!CT64/'Denominator matrix'!$G$18, "NA")</f>
        <v>0</v>
      </c>
      <c r="CU64" s="153">
        <f>IFERROR('Similarity matrix'!CU64/'Denominator matrix'!$H$18, "NA")</f>
        <v>0</v>
      </c>
      <c r="CV64" s="153">
        <f>IFERROR('Similarity matrix'!CV64/'Denominator matrix'!$I$18, "NA")</f>
        <v>0</v>
      </c>
      <c r="CW64" s="153">
        <f>IFERROR('Similarity matrix'!CW64/'Denominator matrix'!$J$18, "NA")</f>
        <v>0</v>
      </c>
      <c r="CX64" s="153">
        <f>IFERROR('Similarity matrix'!CX64/'Denominator matrix'!$K$18, "NA")</f>
        <v>0</v>
      </c>
    </row>
    <row r="65" ht="35.25" customHeight="1">
      <c r="B65" s="124">
        <v>45723.0</v>
      </c>
      <c r="C65" s="154">
        <f>IFERROR('Similarity matrix'!C65/'Denominator matrix'!$B$19, "NA")</f>
        <v>0</v>
      </c>
      <c r="D65" s="153">
        <f>IFERROR('Similarity matrix'!D65/'Denominator matrix'!$C$19, "NA")</f>
        <v>0</v>
      </c>
      <c r="E65" s="156">
        <f>IFERROR('Similarity matrix'!E65/'Denominator matrix'!$D$19, "NA")</f>
        <v>0</v>
      </c>
      <c r="F65" s="153">
        <f>IFERROR('Similarity matrix'!F65/'Denominator matrix'!$E$19, "NA")</f>
        <v>0</v>
      </c>
      <c r="G65" s="153">
        <f>IFERROR('Similarity matrix'!G65/'Denominator matrix'!$F$19, "NA")</f>
        <v>0</v>
      </c>
      <c r="H65" s="153">
        <f>IFERROR('Similarity matrix'!H65/'Denominator matrix'!$G$19, "NA")</f>
        <v>0</v>
      </c>
      <c r="I65" s="153">
        <f>IFERROR('Similarity matrix'!I65/'Denominator matrix'!$H$19, "NA")</f>
        <v>0</v>
      </c>
      <c r="J65" s="153">
        <f>IFERROR('Similarity matrix'!J65/'Denominator matrix'!$I$19, "NA")</f>
        <v>0</v>
      </c>
      <c r="K65" s="153">
        <f>IFERROR('Similarity matrix'!K65/'Denominator matrix'!$J$19, "NA")</f>
        <v>0</v>
      </c>
      <c r="L65" s="153">
        <f>IFERROR('Similarity matrix'!L65/'Denominator matrix'!$K$19, "NA")</f>
        <v>0</v>
      </c>
      <c r="M65" s="154">
        <f>IFERROR('Similarity matrix'!M65/'Denominator matrix'!$B$19, "NA")</f>
        <v>0</v>
      </c>
      <c r="N65" s="153">
        <f>IFERROR('Similarity matrix'!N65/'Denominator matrix'!$C$19, "NA")</f>
        <v>0</v>
      </c>
      <c r="O65" s="156">
        <f>IFERROR('Similarity matrix'!O65/'Denominator matrix'!$D$19, "NA")</f>
        <v>0</v>
      </c>
      <c r="P65" s="153">
        <f>IFERROR('Similarity matrix'!P65/'Denominator matrix'!$E$19, "NA")</f>
        <v>0</v>
      </c>
      <c r="Q65" s="153">
        <f>IFERROR('Similarity matrix'!Q65/'Denominator matrix'!$F$19, "NA")</f>
        <v>0</v>
      </c>
      <c r="R65" s="153">
        <f>IFERROR('Similarity matrix'!R65/'Denominator matrix'!$G$19, "NA")</f>
        <v>0</v>
      </c>
      <c r="S65" s="153">
        <f>IFERROR('Similarity matrix'!S65/'Denominator matrix'!$H$19, "NA")</f>
        <v>0</v>
      </c>
      <c r="T65" s="153">
        <f>IFERROR('Similarity matrix'!T65/'Denominator matrix'!$I$19, "NA")</f>
        <v>0</v>
      </c>
      <c r="U65" s="153">
        <f>IFERROR('Similarity matrix'!U65/'Denominator matrix'!$J$19, "NA")</f>
        <v>0</v>
      </c>
      <c r="V65" s="153">
        <f>IFERROR('Similarity matrix'!V65/'Denominator matrix'!$K$19, "NA")</f>
        <v>0</v>
      </c>
      <c r="W65" s="154">
        <f>IFERROR('Similarity matrix'!W65/'Denominator matrix'!$B$19, "NA")</f>
        <v>0</v>
      </c>
      <c r="X65" s="153">
        <f>IFERROR('Similarity matrix'!X65/'Denominator matrix'!$C$19, "NA")</f>
        <v>0</v>
      </c>
      <c r="Y65" s="156">
        <f>IFERROR('Similarity matrix'!Y65/'Denominator matrix'!$D$19, "NA")</f>
        <v>0</v>
      </c>
      <c r="Z65" s="153">
        <f>IFERROR('Similarity matrix'!Z65/'Denominator matrix'!$E$19, "NA")</f>
        <v>0</v>
      </c>
      <c r="AA65" s="153">
        <f>IFERROR('Similarity matrix'!AA65/'Denominator matrix'!$F$19, "NA")</f>
        <v>0</v>
      </c>
      <c r="AB65" s="153">
        <f>IFERROR('Similarity matrix'!AB65/'Denominator matrix'!$G$19, "NA")</f>
        <v>0</v>
      </c>
      <c r="AC65" s="153">
        <f>IFERROR('Similarity matrix'!AC65/'Denominator matrix'!$H$19, "NA")</f>
        <v>0</v>
      </c>
      <c r="AD65" s="153">
        <f>IFERROR('Similarity matrix'!AD65/'Denominator matrix'!$I$19, "NA")</f>
        <v>0</v>
      </c>
      <c r="AE65" s="153">
        <f>IFERROR('Similarity matrix'!AE65/'Denominator matrix'!$J$19, "NA")</f>
        <v>0</v>
      </c>
      <c r="AF65" s="153">
        <f>IFERROR('Similarity matrix'!AF65/'Denominator matrix'!$K$19, "NA")</f>
        <v>0</v>
      </c>
      <c r="AG65" s="154">
        <f>IFERROR('Similarity matrix'!AG65/'Denominator matrix'!$B$19, "NA")</f>
        <v>0</v>
      </c>
      <c r="AH65" s="153">
        <f>IFERROR('Similarity matrix'!AH65/'Denominator matrix'!$C$19, "NA")</f>
        <v>0</v>
      </c>
      <c r="AI65" s="156">
        <f>IFERROR('Similarity matrix'!AI65/'Denominator matrix'!$D$19, "NA")</f>
        <v>0</v>
      </c>
      <c r="AJ65" s="153">
        <f>IFERROR('Similarity matrix'!AJ65/'Denominator matrix'!$E$19, "NA")</f>
        <v>0</v>
      </c>
      <c r="AK65" s="153">
        <f>IFERROR('Similarity matrix'!AK65/'Denominator matrix'!$F$19, "NA")</f>
        <v>0</v>
      </c>
      <c r="AL65" s="153">
        <f>IFERROR('Similarity matrix'!AL65/'Denominator matrix'!$G$19, "NA")</f>
        <v>0</v>
      </c>
      <c r="AM65" s="153">
        <f>IFERROR('Similarity matrix'!AM65/'Denominator matrix'!$H$19, "NA")</f>
        <v>0</v>
      </c>
      <c r="AN65" s="153">
        <f>IFERROR('Similarity matrix'!AN65/'Denominator matrix'!$I$19, "NA")</f>
        <v>0</v>
      </c>
      <c r="AO65" s="153">
        <f>IFERROR('Similarity matrix'!AO65/'Denominator matrix'!$J$19, "NA")</f>
        <v>0</v>
      </c>
      <c r="AP65" s="153">
        <f>IFERROR('Similarity matrix'!AP65/'Denominator matrix'!$K$19, "NA")</f>
        <v>0</v>
      </c>
      <c r="AQ65" s="154">
        <f>IFERROR('Similarity matrix'!AQ65/'Denominator matrix'!$B$19, "NA")</f>
        <v>0</v>
      </c>
      <c r="AR65" s="153">
        <f>IFERROR('Similarity matrix'!AR65/'Denominator matrix'!$C$19, "NA")</f>
        <v>0</v>
      </c>
      <c r="AS65" s="156">
        <f>IFERROR('Similarity matrix'!AS65/'Denominator matrix'!$D$19, "NA")</f>
        <v>0</v>
      </c>
      <c r="AT65" s="153">
        <f>IFERROR('Similarity matrix'!AT65/'Denominator matrix'!$E$19, "NA")</f>
        <v>0</v>
      </c>
      <c r="AU65" s="153">
        <f>IFERROR('Similarity matrix'!AU65/'Denominator matrix'!$F$19, "NA")</f>
        <v>0</v>
      </c>
      <c r="AV65" s="153">
        <f>IFERROR('Similarity matrix'!AV65/'Denominator matrix'!$G$19, "NA")</f>
        <v>0</v>
      </c>
      <c r="AW65" s="153">
        <f>IFERROR('Similarity matrix'!AW65/'Denominator matrix'!$H$19, "NA")</f>
        <v>0</v>
      </c>
      <c r="AX65" s="153">
        <f>IFERROR('Similarity matrix'!AX65/'Denominator matrix'!$I$19, "NA")</f>
        <v>0</v>
      </c>
      <c r="AY65" s="153">
        <f>IFERROR('Similarity matrix'!AY65/'Denominator matrix'!$J$19, "NA")</f>
        <v>0</v>
      </c>
      <c r="AZ65" s="153">
        <f>IFERROR('Similarity matrix'!AZ65/'Denominator matrix'!$K$19, "NA")</f>
        <v>0</v>
      </c>
      <c r="BA65" s="154">
        <f>IFERROR('Similarity matrix'!BA65/'Denominator matrix'!$B$19, "NA")</f>
        <v>0</v>
      </c>
      <c r="BB65" s="153">
        <f>IFERROR('Similarity matrix'!BB65/'Denominator matrix'!$C$19, "NA")</f>
        <v>0</v>
      </c>
      <c r="BC65" s="156">
        <f>IFERROR('Similarity matrix'!BC65/'Denominator matrix'!$D$19, "NA")</f>
        <v>0.0625</v>
      </c>
      <c r="BD65" s="153">
        <f>IFERROR('Similarity matrix'!BD65/'Denominator matrix'!$E$19, "NA")</f>
        <v>0</v>
      </c>
      <c r="BE65" s="153">
        <f>IFERROR('Similarity matrix'!BE65/'Denominator matrix'!$F$19, "NA")</f>
        <v>0</v>
      </c>
      <c r="BF65" s="153">
        <f>IFERROR('Similarity matrix'!BF65/'Denominator matrix'!$G$19, "NA")</f>
        <v>0</v>
      </c>
      <c r="BG65" s="153">
        <f>IFERROR('Similarity matrix'!BG65/'Denominator matrix'!$H$19, "NA")</f>
        <v>0</v>
      </c>
      <c r="BH65" s="153">
        <f>IFERROR('Similarity matrix'!BH65/'Denominator matrix'!$I$19, "NA")</f>
        <v>0</v>
      </c>
      <c r="BI65" s="153">
        <f>IFERROR('Similarity matrix'!BI65/'Denominator matrix'!$J$19, "NA")</f>
        <v>0</v>
      </c>
      <c r="BJ65" s="153">
        <f>IFERROR('Similarity matrix'!BJ65/'Denominator matrix'!$K$19, "NA")</f>
        <v>0.1666666667</v>
      </c>
      <c r="BK65" s="154">
        <f>IFERROR('Similarity matrix'!BK65/'Denominator matrix'!$B$19, "NA")</f>
        <v>0.25</v>
      </c>
      <c r="BL65" s="153">
        <f>IFERROR('Similarity matrix'!BL65/'Denominator matrix'!$C$19, "NA")</f>
        <v>1</v>
      </c>
      <c r="BM65" s="155">
        <f>IFERROR('Similarity matrix'!BM65/'Denominator matrix'!$D$19, "NA")</f>
        <v>0</v>
      </c>
      <c r="BN65" s="153">
        <f>IFERROR('Similarity matrix'!BN65/'Denominator matrix'!$E$19, "NA")</f>
        <v>0.75</v>
      </c>
      <c r="BO65" s="153">
        <f>IFERROR('Similarity matrix'!BO65/'Denominator matrix'!$F$19, "NA")</f>
        <v>0.75</v>
      </c>
      <c r="BP65" s="153">
        <f>IFERROR('Similarity matrix'!BP65/'Denominator matrix'!$G$19, "NA")</f>
        <v>0.5</v>
      </c>
      <c r="BQ65" s="153">
        <f>IFERROR('Similarity matrix'!BQ65/'Denominator matrix'!$H$19, "NA")</f>
        <v>0.875</v>
      </c>
      <c r="BR65" s="153">
        <f>IFERROR('Similarity matrix'!BR65/'Denominator matrix'!$I$19, "NA")</f>
        <v>1</v>
      </c>
      <c r="BS65" s="153">
        <f>IFERROR('Similarity matrix'!BS65/'Denominator matrix'!$J$19, "NA")</f>
        <v>1</v>
      </c>
      <c r="BT65" s="153">
        <f>IFERROR('Similarity matrix'!BT65/'Denominator matrix'!$K$19, "NA")</f>
        <v>1</v>
      </c>
      <c r="BU65" s="154">
        <f>IFERROR('Similarity matrix'!BU65/'Denominator matrix'!$B$19, "NA")</f>
        <v>0</v>
      </c>
      <c r="BV65" s="153">
        <f>IFERROR('Similarity matrix'!BV65/'Denominator matrix'!$C$19, "NA")</f>
        <v>0</v>
      </c>
      <c r="BW65" s="156">
        <f>IFERROR('Similarity matrix'!BW65/'Denominator matrix'!$D$19, "NA")</f>
        <v>0</v>
      </c>
      <c r="BX65" s="153">
        <f>IFERROR('Similarity matrix'!BX65/'Denominator matrix'!$E$19, "NA")</f>
        <v>0</v>
      </c>
      <c r="BY65" s="153">
        <f>IFERROR('Similarity matrix'!BY65/'Denominator matrix'!$F$19, "NA")</f>
        <v>0</v>
      </c>
      <c r="BZ65" s="153">
        <f>IFERROR('Similarity matrix'!BZ65/'Denominator matrix'!$G$19, "NA")</f>
        <v>0</v>
      </c>
      <c r="CA65" s="153">
        <f>IFERROR('Similarity matrix'!CA65/'Denominator matrix'!$H$19, "NA")</f>
        <v>0</v>
      </c>
      <c r="CB65" s="153">
        <f>IFERROR('Similarity matrix'!CB65/'Denominator matrix'!$I$19, "NA")</f>
        <v>0</v>
      </c>
      <c r="CC65" s="153">
        <f>IFERROR('Similarity matrix'!CC65/'Denominator matrix'!$J$19, "NA")</f>
        <v>0</v>
      </c>
      <c r="CD65" s="153">
        <f>IFERROR('Similarity matrix'!CD65/'Denominator matrix'!$K$19, "NA")</f>
        <v>0</v>
      </c>
      <c r="CE65" s="154">
        <f>IFERROR('Similarity matrix'!CE65/'Denominator matrix'!$B$19, "NA")</f>
        <v>0</v>
      </c>
      <c r="CF65" s="153">
        <f>IFERROR('Similarity matrix'!CF65/'Denominator matrix'!$C$19, "NA")</f>
        <v>0</v>
      </c>
      <c r="CG65" s="156">
        <f>IFERROR('Similarity matrix'!CG65/'Denominator matrix'!$D$19, "NA")</f>
        <v>0</v>
      </c>
      <c r="CH65" s="153">
        <f>IFERROR('Similarity matrix'!CH65/'Denominator matrix'!$E$19, "NA")</f>
        <v>0</v>
      </c>
      <c r="CI65" s="153">
        <f>IFERROR('Similarity matrix'!CI65/'Denominator matrix'!$F$19, "NA")</f>
        <v>0</v>
      </c>
      <c r="CJ65" s="153">
        <f>IFERROR('Similarity matrix'!CJ65/'Denominator matrix'!$G$19, "NA")</f>
        <v>0</v>
      </c>
      <c r="CK65" s="153">
        <f>IFERROR('Similarity matrix'!CK65/'Denominator matrix'!$H$19, "NA")</f>
        <v>0</v>
      </c>
      <c r="CL65" s="153">
        <f>IFERROR('Similarity matrix'!CL65/'Denominator matrix'!$I$19, "NA")</f>
        <v>0</v>
      </c>
      <c r="CM65" s="153">
        <f>IFERROR('Similarity matrix'!CM65/'Denominator matrix'!$J$19, "NA")</f>
        <v>0</v>
      </c>
      <c r="CN65" s="153">
        <f>IFERROR('Similarity matrix'!CN65/'Denominator matrix'!$K$19, "NA")</f>
        <v>0</v>
      </c>
      <c r="CO65" s="154">
        <f>IFERROR('Similarity matrix'!CO65/'Denominator matrix'!$B$19, "NA")</f>
        <v>0</v>
      </c>
      <c r="CP65" s="153">
        <f>IFERROR('Similarity matrix'!CP65/'Denominator matrix'!$C$19, "NA")</f>
        <v>0</v>
      </c>
      <c r="CQ65" s="156">
        <f>IFERROR('Similarity matrix'!CQ65/'Denominator matrix'!$D$19, "NA")</f>
        <v>0</v>
      </c>
      <c r="CR65" s="153">
        <f>IFERROR('Similarity matrix'!CR65/'Denominator matrix'!$E$19, "NA")</f>
        <v>0</v>
      </c>
      <c r="CS65" s="153">
        <f>IFERROR('Similarity matrix'!CS65/'Denominator matrix'!$F$19, "NA")</f>
        <v>0</v>
      </c>
      <c r="CT65" s="153">
        <f>IFERROR('Similarity matrix'!CT65/'Denominator matrix'!$G$19, "NA")</f>
        <v>0</v>
      </c>
      <c r="CU65" s="153">
        <f>IFERROR('Similarity matrix'!CU65/'Denominator matrix'!$H$19, "NA")</f>
        <v>0</v>
      </c>
      <c r="CV65" s="153">
        <f>IFERROR('Similarity matrix'!CV65/'Denominator matrix'!$I$19, "NA")</f>
        <v>0</v>
      </c>
      <c r="CW65" s="153">
        <f>IFERROR('Similarity matrix'!CW65/'Denominator matrix'!$J$19, "NA")</f>
        <v>0</v>
      </c>
      <c r="CX65" s="153">
        <f>IFERROR('Similarity matrix'!CX65/'Denominator matrix'!$K$19, "NA")</f>
        <v>0</v>
      </c>
    </row>
    <row r="66" ht="35.25" customHeight="1">
      <c r="B66" s="124">
        <v>45754.0</v>
      </c>
      <c r="C66" s="154">
        <f>IFERROR('Similarity matrix'!C66/'Denominator matrix'!$B$20, "NA")</f>
        <v>0</v>
      </c>
      <c r="D66" s="153">
        <f>IFERROR('Similarity matrix'!D66/'Denominator matrix'!$C$20, "NA")</f>
        <v>0</v>
      </c>
      <c r="E66" s="153">
        <f>IFERROR('Similarity matrix'!E66/'Denominator matrix'!$D$20, "NA")</f>
        <v>0</v>
      </c>
      <c r="F66" s="156">
        <f>IFERROR('Similarity matrix'!F66/'Denominator matrix'!$E$20, "NA")</f>
        <v>0</v>
      </c>
      <c r="G66" s="153">
        <f>IFERROR('Similarity matrix'!G66/'Denominator matrix'!$F$20, "NA")</f>
        <v>0</v>
      </c>
      <c r="H66" s="153">
        <f>IFERROR('Similarity matrix'!H66/'Denominator matrix'!$G$20, "NA")</f>
        <v>0</v>
      </c>
      <c r="I66" s="153">
        <f>IFERROR('Similarity matrix'!I66/'Denominator matrix'!$H$20, "NA")</f>
        <v>0</v>
      </c>
      <c r="J66" s="153">
        <f>IFERROR('Similarity matrix'!J66/'Denominator matrix'!$I$20, "NA")</f>
        <v>0</v>
      </c>
      <c r="K66" s="153">
        <f>IFERROR('Similarity matrix'!K66/'Denominator matrix'!$J$20, "NA")</f>
        <v>0</v>
      </c>
      <c r="L66" s="153">
        <f>IFERROR('Similarity matrix'!L66/'Denominator matrix'!$K$20, "NA")</f>
        <v>0</v>
      </c>
      <c r="M66" s="154">
        <f>IFERROR('Similarity matrix'!M66/'Denominator matrix'!$B$20, "NA")</f>
        <v>0</v>
      </c>
      <c r="N66" s="153">
        <f>IFERROR('Similarity matrix'!N66/'Denominator matrix'!$C$20, "NA")</f>
        <v>0</v>
      </c>
      <c r="O66" s="153">
        <f>IFERROR('Similarity matrix'!O66/'Denominator matrix'!$D$20, "NA")</f>
        <v>0</v>
      </c>
      <c r="P66" s="156">
        <f>IFERROR('Similarity matrix'!P66/'Denominator matrix'!$E$20, "NA")</f>
        <v>0</v>
      </c>
      <c r="Q66" s="153">
        <f>IFERROR('Similarity matrix'!Q66/'Denominator matrix'!$F$20, "NA")</f>
        <v>0</v>
      </c>
      <c r="R66" s="153">
        <f>IFERROR('Similarity matrix'!R66/'Denominator matrix'!$G$20, "NA")</f>
        <v>0</v>
      </c>
      <c r="S66" s="153">
        <f>IFERROR('Similarity matrix'!S66/'Denominator matrix'!$H$20, "NA")</f>
        <v>0</v>
      </c>
      <c r="T66" s="153">
        <f>IFERROR('Similarity matrix'!T66/'Denominator matrix'!$I$20, "NA")</f>
        <v>0</v>
      </c>
      <c r="U66" s="153">
        <f>IFERROR('Similarity matrix'!U66/'Denominator matrix'!$J$20, "NA")</f>
        <v>0</v>
      </c>
      <c r="V66" s="153">
        <f>IFERROR('Similarity matrix'!V66/'Denominator matrix'!$K$20, "NA")</f>
        <v>0</v>
      </c>
      <c r="W66" s="154">
        <f>IFERROR('Similarity matrix'!W66/'Denominator matrix'!$B$20, "NA")</f>
        <v>0</v>
      </c>
      <c r="X66" s="153">
        <f>IFERROR('Similarity matrix'!X66/'Denominator matrix'!$C$20, "NA")</f>
        <v>0</v>
      </c>
      <c r="Y66" s="153">
        <f>IFERROR('Similarity matrix'!Y66/'Denominator matrix'!$D$20, "NA")</f>
        <v>0</v>
      </c>
      <c r="Z66" s="156">
        <f>IFERROR('Similarity matrix'!Z66/'Denominator matrix'!$E$20, "NA")</f>
        <v>0</v>
      </c>
      <c r="AA66" s="153">
        <f>IFERROR('Similarity matrix'!AA66/'Denominator matrix'!$F$20, "NA")</f>
        <v>0</v>
      </c>
      <c r="AB66" s="153">
        <f>IFERROR('Similarity matrix'!AB66/'Denominator matrix'!$G$20, "NA")</f>
        <v>0</v>
      </c>
      <c r="AC66" s="153">
        <f>IFERROR('Similarity matrix'!AC66/'Denominator matrix'!$H$20, "NA")</f>
        <v>0</v>
      </c>
      <c r="AD66" s="153">
        <f>IFERROR('Similarity matrix'!AD66/'Denominator matrix'!$I$20, "NA")</f>
        <v>0</v>
      </c>
      <c r="AE66" s="153">
        <f>IFERROR('Similarity matrix'!AE66/'Denominator matrix'!$J$20, "NA")</f>
        <v>0</v>
      </c>
      <c r="AF66" s="153">
        <f>IFERROR('Similarity matrix'!AF66/'Denominator matrix'!$K$20, "NA")</f>
        <v>0</v>
      </c>
      <c r="AG66" s="154">
        <f>IFERROR('Similarity matrix'!AG66/'Denominator matrix'!$B$20, "NA")</f>
        <v>0</v>
      </c>
      <c r="AH66" s="153">
        <f>IFERROR('Similarity matrix'!AH66/'Denominator matrix'!$C$20, "NA")</f>
        <v>0</v>
      </c>
      <c r="AI66" s="153">
        <f>IFERROR('Similarity matrix'!AI66/'Denominator matrix'!$D$20, "NA")</f>
        <v>0</v>
      </c>
      <c r="AJ66" s="156">
        <f>IFERROR('Similarity matrix'!AJ66/'Denominator matrix'!$E$20, "NA")</f>
        <v>0</v>
      </c>
      <c r="AK66" s="153">
        <f>IFERROR('Similarity matrix'!AK66/'Denominator matrix'!$F$20, "NA")</f>
        <v>0</v>
      </c>
      <c r="AL66" s="153">
        <f>IFERROR('Similarity matrix'!AL66/'Denominator matrix'!$G$20, "NA")</f>
        <v>0</v>
      </c>
      <c r="AM66" s="153">
        <f>IFERROR('Similarity matrix'!AM66/'Denominator matrix'!$H$20, "NA")</f>
        <v>0</v>
      </c>
      <c r="AN66" s="153">
        <f>IFERROR('Similarity matrix'!AN66/'Denominator matrix'!$I$20, "NA")</f>
        <v>0</v>
      </c>
      <c r="AO66" s="153">
        <f>IFERROR('Similarity matrix'!AO66/'Denominator matrix'!$J$20, "NA")</f>
        <v>0</v>
      </c>
      <c r="AP66" s="153">
        <f>IFERROR('Similarity matrix'!AP66/'Denominator matrix'!$K$20, "NA")</f>
        <v>0</v>
      </c>
      <c r="AQ66" s="154">
        <f>IFERROR('Similarity matrix'!AQ66/'Denominator matrix'!$B$20, "NA")</f>
        <v>0</v>
      </c>
      <c r="AR66" s="153">
        <f>IFERROR('Similarity matrix'!AR66/'Denominator matrix'!$C$20, "NA")</f>
        <v>0</v>
      </c>
      <c r="AS66" s="153">
        <f>IFERROR('Similarity matrix'!AS66/'Denominator matrix'!$D$20, "NA")</f>
        <v>0</v>
      </c>
      <c r="AT66" s="156">
        <f>IFERROR('Similarity matrix'!AT66/'Denominator matrix'!$E$20, "NA")</f>
        <v>0</v>
      </c>
      <c r="AU66" s="153">
        <f>IFERROR('Similarity matrix'!AU66/'Denominator matrix'!$F$20, "NA")</f>
        <v>0</v>
      </c>
      <c r="AV66" s="153">
        <f>IFERROR('Similarity matrix'!AV66/'Denominator matrix'!$G$20, "NA")</f>
        <v>0</v>
      </c>
      <c r="AW66" s="153">
        <f>IFERROR('Similarity matrix'!AW66/'Denominator matrix'!$H$20, "NA")</f>
        <v>0</v>
      </c>
      <c r="AX66" s="153">
        <f>IFERROR('Similarity matrix'!AX66/'Denominator matrix'!$I$20, "NA")</f>
        <v>0</v>
      </c>
      <c r="AY66" s="153">
        <f>IFERROR('Similarity matrix'!AY66/'Denominator matrix'!$J$20, "NA")</f>
        <v>0</v>
      </c>
      <c r="AZ66" s="153">
        <f>IFERROR('Similarity matrix'!AZ66/'Denominator matrix'!$K$20, "NA")</f>
        <v>0</v>
      </c>
      <c r="BA66" s="154">
        <f>IFERROR('Similarity matrix'!BA66/'Denominator matrix'!$B$20, "NA")</f>
        <v>0</v>
      </c>
      <c r="BB66" s="153">
        <f>IFERROR('Similarity matrix'!BB66/'Denominator matrix'!$C$20, "NA")</f>
        <v>0</v>
      </c>
      <c r="BC66" s="153">
        <f>IFERROR('Similarity matrix'!BC66/'Denominator matrix'!$D$20, "NA")</f>
        <v>0</v>
      </c>
      <c r="BD66" s="156">
        <f>IFERROR('Similarity matrix'!BD66/'Denominator matrix'!$E$20, "NA")</f>
        <v>0</v>
      </c>
      <c r="BE66" s="153">
        <f>IFERROR('Similarity matrix'!BE66/'Denominator matrix'!$F$20, "NA")</f>
        <v>0</v>
      </c>
      <c r="BF66" s="153">
        <f>IFERROR('Similarity matrix'!BF66/'Denominator matrix'!$G$20, "NA")</f>
        <v>0</v>
      </c>
      <c r="BG66" s="153">
        <f>IFERROR('Similarity matrix'!BG66/'Denominator matrix'!$H$20, "NA")</f>
        <v>0</v>
      </c>
      <c r="BH66" s="153">
        <f>IFERROR('Similarity matrix'!BH66/'Denominator matrix'!$I$20, "NA")</f>
        <v>0</v>
      </c>
      <c r="BI66" s="153">
        <f>IFERROR('Similarity matrix'!BI66/'Denominator matrix'!$J$20, "NA")</f>
        <v>0</v>
      </c>
      <c r="BJ66" s="153">
        <f>IFERROR('Similarity matrix'!BJ66/'Denominator matrix'!$K$20, "NA")</f>
        <v>0</v>
      </c>
      <c r="BK66" s="154">
        <f>IFERROR('Similarity matrix'!BK66/'Denominator matrix'!$B$20, "NA")</f>
        <v>0.5</v>
      </c>
      <c r="BL66" s="153">
        <f>IFERROR('Similarity matrix'!BL66/'Denominator matrix'!$C$20, "NA")</f>
        <v>1</v>
      </c>
      <c r="BM66" s="153">
        <f>IFERROR('Similarity matrix'!BM66/'Denominator matrix'!$D$20, "NA")</f>
        <v>0.75</v>
      </c>
      <c r="BN66" s="155">
        <f>IFERROR('Similarity matrix'!BN66/'Denominator matrix'!$E$20, "NA")</f>
        <v>0</v>
      </c>
      <c r="BO66" s="153">
        <f>IFERROR('Similarity matrix'!BO66/'Denominator matrix'!$F$20, "NA")</f>
        <v>1</v>
      </c>
      <c r="BP66" s="153">
        <f>IFERROR('Similarity matrix'!BP66/'Denominator matrix'!$G$20, "NA")</f>
        <v>0.5</v>
      </c>
      <c r="BQ66" s="153">
        <f>IFERROR('Similarity matrix'!BQ66/'Denominator matrix'!$H$20, "NA")</f>
        <v>1</v>
      </c>
      <c r="BR66" s="153">
        <f>IFERROR('Similarity matrix'!BR66/'Denominator matrix'!$I$20, "NA")</f>
        <v>1</v>
      </c>
      <c r="BS66" s="153">
        <f>IFERROR('Similarity matrix'!BS66/'Denominator matrix'!$J$20, "NA")</f>
        <v>1</v>
      </c>
      <c r="BT66" s="153">
        <f>IFERROR('Similarity matrix'!BT66/'Denominator matrix'!$K$20, "NA")</f>
        <v>1</v>
      </c>
      <c r="BU66" s="154">
        <f>IFERROR('Similarity matrix'!BU66/'Denominator matrix'!$B$20, "NA")</f>
        <v>0</v>
      </c>
      <c r="BV66" s="153">
        <f>IFERROR('Similarity matrix'!BV66/'Denominator matrix'!$C$20, "NA")</f>
        <v>0</v>
      </c>
      <c r="BW66" s="153">
        <f>IFERROR('Similarity matrix'!BW66/'Denominator matrix'!$D$20, "NA")</f>
        <v>0</v>
      </c>
      <c r="BX66" s="156">
        <f>IFERROR('Similarity matrix'!BX66/'Denominator matrix'!$E$20, "NA")</f>
        <v>0</v>
      </c>
      <c r="BY66" s="153">
        <f>IFERROR('Similarity matrix'!BY66/'Denominator matrix'!$F$20, "NA")</f>
        <v>0</v>
      </c>
      <c r="BZ66" s="153">
        <f>IFERROR('Similarity matrix'!BZ66/'Denominator matrix'!$G$20, "NA")</f>
        <v>0</v>
      </c>
      <c r="CA66" s="153">
        <f>IFERROR('Similarity matrix'!CA66/'Denominator matrix'!$H$20, "NA")</f>
        <v>0</v>
      </c>
      <c r="CB66" s="153">
        <f>IFERROR('Similarity matrix'!CB66/'Denominator matrix'!$I$20, "NA")</f>
        <v>0</v>
      </c>
      <c r="CC66" s="153">
        <f>IFERROR('Similarity matrix'!CC66/'Denominator matrix'!$J$20, "NA")</f>
        <v>0</v>
      </c>
      <c r="CD66" s="153">
        <f>IFERROR('Similarity matrix'!CD66/'Denominator matrix'!$K$20, "NA")</f>
        <v>0.25</v>
      </c>
      <c r="CE66" s="154">
        <f>IFERROR('Similarity matrix'!CE66/'Denominator matrix'!$B$20, "NA")</f>
        <v>0</v>
      </c>
      <c r="CF66" s="153">
        <f>IFERROR('Similarity matrix'!CF66/'Denominator matrix'!$C$20, "NA")</f>
        <v>0</v>
      </c>
      <c r="CG66" s="153">
        <f>IFERROR('Similarity matrix'!CG66/'Denominator matrix'!$D$20, "NA")</f>
        <v>0</v>
      </c>
      <c r="CH66" s="156">
        <f>IFERROR('Similarity matrix'!CH66/'Denominator matrix'!$E$20, "NA")</f>
        <v>0</v>
      </c>
      <c r="CI66" s="153">
        <f>IFERROR('Similarity matrix'!CI66/'Denominator matrix'!$F$20, "NA")</f>
        <v>0</v>
      </c>
      <c r="CJ66" s="153">
        <f>IFERROR('Similarity matrix'!CJ66/'Denominator matrix'!$G$20, "NA")</f>
        <v>0</v>
      </c>
      <c r="CK66" s="153">
        <f>IFERROR('Similarity matrix'!CK66/'Denominator matrix'!$H$20, "NA")</f>
        <v>0</v>
      </c>
      <c r="CL66" s="153">
        <f>IFERROR('Similarity matrix'!CL66/'Denominator matrix'!$I$20, "NA")</f>
        <v>0</v>
      </c>
      <c r="CM66" s="153">
        <f>IFERROR('Similarity matrix'!CM66/'Denominator matrix'!$J$20, "NA")</f>
        <v>0</v>
      </c>
      <c r="CN66" s="153">
        <f>IFERROR('Similarity matrix'!CN66/'Denominator matrix'!$K$20, "NA")</f>
        <v>0</v>
      </c>
      <c r="CO66" s="154">
        <f>IFERROR('Similarity matrix'!CO66/'Denominator matrix'!$B$20, "NA")</f>
        <v>0</v>
      </c>
      <c r="CP66" s="153">
        <f>IFERROR('Similarity matrix'!CP66/'Denominator matrix'!$C$20, "NA")</f>
        <v>0</v>
      </c>
      <c r="CQ66" s="153">
        <f>IFERROR('Similarity matrix'!CQ66/'Denominator matrix'!$D$20, "NA")</f>
        <v>0</v>
      </c>
      <c r="CR66" s="156">
        <f>IFERROR('Similarity matrix'!CR66/'Denominator matrix'!$E$20, "NA")</f>
        <v>0</v>
      </c>
      <c r="CS66" s="153">
        <f>IFERROR('Similarity matrix'!CS66/'Denominator matrix'!$F$20, "NA")</f>
        <v>0</v>
      </c>
      <c r="CT66" s="153">
        <f>IFERROR('Similarity matrix'!CT66/'Denominator matrix'!$G$20, "NA")</f>
        <v>0</v>
      </c>
      <c r="CU66" s="153">
        <f>IFERROR('Similarity matrix'!CU66/'Denominator matrix'!$H$20, "NA")</f>
        <v>0</v>
      </c>
      <c r="CV66" s="153">
        <f>IFERROR('Similarity matrix'!CV66/'Denominator matrix'!$I$20, "NA")</f>
        <v>0</v>
      </c>
      <c r="CW66" s="153">
        <f>IFERROR('Similarity matrix'!CW66/'Denominator matrix'!$J$20, "NA")</f>
        <v>0</v>
      </c>
      <c r="CX66" s="153">
        <f>IFERROR('Similarity matrix'!CX66/'Denominator matrix'!$K$20, "NA")</f>
        <v>0</v>
      </c>
    </row>
    <row r="67" ht="35.25" customHeight="1">
      <c r="B67" s="124">
        <v>45784.0</v>
      </c>
      <c r="C67" s="154">
        <f>IFERROR('Similarity matrix'!C67/'Denominator matrix'!$B$21, "NA")</f>
        <v>0</v>
      </c>
      <c r="D67" s="153">
        <f>IFERROR('Similarity matrix'!D67/'Denominator matrix'!$C$21, "NA")</f>
        <v>0</v>
      </c>
      <c r="E67" s="153">
        <f>IFERROR('Similarity matrix'!E67/'Denominator matrix'!$D$21, "NA")</f>
        <v>0</v>
      </c>
      <c r="F67" s="153">
        <f>IFERROR('Similarity matrix'!F67/'Denominator matrix'!$E$21, "NA")</f>
        <v>0</v>
      </c>
      <c r="G67" s="156">
        <f>IFERROR('Similarity matrix'!G67/'Denominator matrix'!$F$21, "NA")</f>
        <v>0</v>
      </c>
      <c r="H67" s="153">
        <f>IFERROR('Similarity matrix'!H67/'Denominator matrix'!$G$21, "NA")</f>
        <v>0</v>
      </c>
      <c r="I67" s="153">
        <f>IFERROR('Similarity matrix'!I67/'Denominator matrix'!$H$21, "NA")</f>
        <v>0</v>
      </c>
      <c r="J67" s="153">
        <f>IFERROR('Similarity matrix'!J67/'Denominator matrix'!$I$21, "NA")</f>
        <v>0</v>
      </c>
      <c r="K67" s="153">
        <f>IFERROR('Similarity matrix'!K67/'Denominator matrix'!$J$21, "NA")</f>
        <v>0</v>
      </c>
      <c r="L67" s="153">
        <f>IFERROR('Similarity matrix'!L67/'Denominator matrix'!$K$21, "NA")</f>
        <v>0</v>
      </c>
      <c r="M67" s="154">
        <f>IFERROR('Similarity matrix'!M67/'Denominator matrix'!$B$21, "NA")</f>
        <v>0</v>
      </c>
      <c r="N67" s="153">
        <f>IFERROR('Similarity matrix'!N67/'Denominator matrix'!$C$21, "NA")</f>
        <v>0</v>
      </c>
      <c r="O67" s="153">
        <f>IFERROR('Similarity matrix'!O67/'Denominator matrix'!$D$21, "NA")</f>
        <v>0</v>
      </c>
      <c r="P67" s="153">
        <f>IFERROR('Similarity matrix'!P67/'Denominator matrix'!$E$21, "NA")</f>
        <v>0</v>
      </c>
      <c r="Q67" s="156">
        <f>IFERROR('Similarity matrix'!Q67/'Denominator matrix'!$F$21, "NA")</f>
        <v>0</v>
      </c>
      <c r="R67" s="153">
        <f>IFERROR('Similarity matrix'!R67/'Denominator matrix'!$G$21, "NA")</f>
        <v>0</v>
      </c>
      <c r="S67" s="153">
        <f>IFERROR('Similarity matrix'!S67/'Denominator matrix'!$H$21, "NA")</f>
        <v>0</v>
      </c>
      <c r="T67" s="153">
        <f>IFERROR('Similarity matrix'!T67/'Denominator matrix'!$I$21, "NA")</f>
        <v>0</v>
      </c>
      <c r="U67" s="153">
        <f>IFERROR('Similarity matrix'!U67/'Denominator matrix'!$J$21, "NA")</f>
        <v>0</v>
      </c>
      <c r="V67" s="153">
        <f>IFERROR('Similarity matrix'!V67/'Denominator matrix'!$K$21, "NA")</f>
        <v>0</v>
      </c>
      <c r="W67" s="154">
        <f>IFERROR('Similarity matrix'!W67/'Denominator matrix'!$B$21, "NA")</f>
        <v>0</v>
      </c>
      <c r="X67" s="153">
        <f>IFERROR('Similarity matrix'!X67/'Denominator matrix'!$C$21, "NA")</f>
        <v>0</v>
      </c>
      <c r="Y67" s="153">
        <f>IFERROR('Similarity matrix'!Y67/'Denominator matrix'!$D$21, "NA")</f>
        <v>0</v>
      </c>
      <c r="Z67" s="153">
        <f>IFERROR('Similarity matrix'!Z67/'Denominator matrix'!$E$21, "NA")</f>
        <v>0</v>
      </c>
      <c r="AA67" s="156">
        <f>IFERROR('Similarity matrix'!AA67/'Denominator matrix'!$F$21, "NA")</f>
        <v>0</v>
      </c>
      <c r="AB67" s="153">
        <f>IFERROR('Similarity matrix'!AB67/'Denominator matrix'!$G$21, "NA")</f>
        <v>0</v>
      </c>
      <c r="AC67" s="153">
        <f>IFERROR('Similarity matrix'!AC67/'Denominator matrix'!$H$21, "NA")</f>
        <v>0</v>
      </c>
      <c r="AD67" s="153">
        <f>IFERROR('Similarity matrix'!AD67/'Denominator matrix'!$I$21, "NA")</f>
        <v>0</v>
      </c>
      <c r="AE67" s="153">
        <f>IFERROR('Similarity matrix'!AE67/'Denominator matrix'!$J$21, "NA")</f>
        <v>0</v>
      </c>
      <c r="AF67" s="153">
        <f>IFERROR('Similarity matrix'!AF67/'Denominator matrix'!$K$21, "NA")</f>
        <v>0</v>
      </c>
      <c r="AG67" s="154">
        <f>IFERROR('Similarity matrix'!AG67/'Denominator matrix'!$B$21, "NA")</f>
        <v>0</v>
      </c>
      <c r="AH67" s="153">
        <f>IFERROR('Similarity matrix'!AH67/'Denominator matrix'!$C$21, "NA")</f>
        <v>0</v>
      </c>
      <c r="AI67" s="153">
        <f>IFERROR('Similarity matrix'!AI67/'Denominator matrix'!$D$21, "NA")</f>
        <v>0</v>
      </c>
      <c r="AJ67" s="153">
        <f>IFERROR('Similarity matrix'!AJ67/'Denominator matrix'!$E$21, "NA")</f>
        <v>0</v>
      </c>
      <c r="AK67" s="156">
        <f>IFERROR('Similarity matrix'!AK67/'Denominator matrix'!$F$21, "NA")</f>
        <v>0</v>
      </c>
      <c r="AL67" s="153">
        <f>IFERROR('Similarity matrix'!AL67/'Denominator matrix'!$G$21, "NA")</f>
        <v>0</v>
      </c>
      <c r="AM67" s="153">
        <f>IFERROR('Similarity matrix'!AM67/'Denominator matrix'!$H$21, "NA")</f>
        <v>0</v>
      </c>
      <c r="AN67" s="153">
        <f>IFERROR('Similarity matrix'!AN67/'Denominator matrix'!$I$21, "NA")</f>
        <v>0</v>
      </c>
      <c r="AO67" s="153">
        <f>IFERROR('Similarity matrix'!AO67/'Denominator matrix'!$J$21, "NA")</f>
        <v>0</v>
      </c>
      <c r="AP67" s="153">
        <f>IFERROR('Similarity matrix'!AP67/'Denominator matrix'!$K$21, "NA")</f>
        <v>0</v>
      </c>
      <c r="AQ67" s="154">
        <f>IFERROR('Similarity matrix'!AQ67/'Denominator matrix'!$B$21, "NA")</f>
        <v>0</v>
      </c>
      <c r="AR67" s="153">
        <f>IFERROR('Similarity matrix'!AR67/'Denominator matrix'!$C$21, "NA")</f>
        <v>0</v>
      </c>
      <c r="AS67" s="153">
        <f>IFERROR('Similarity matrix'!AS67/'Denominator matrix'!$D$21, "NA")</f>
        <v>0</v>
      </c>
      <c r="AT67" s="153">
        <f>IFERROR('Similarity matrix'!AT67/'Denominator matrix'!$E$21, "NA")</f>
        <v>0</v>
      </c>
      <c r="AU67" s="156">
        <f>IFERROR('Similarity matrix'!AU67/'Denominator matrix'!$F$21, "NA")</f>
        <v>0</v>
      </c>
      <c r="AV67" s="153">
        <f>IFERROR('Similarity matrix'!AV67/'Denominator matrix'!$G$21, "NA")</f>
        <v>0</v>
      </c>
      <c r="AW67" s="153">
        <f>IFERROR('Similarity matrix'!AW67/'Denominator matrix'!$H$21, "NA")</f>
        <v>0</v>
      </c>
      <c r="AX67" s="153">
        <f>IFERROR('Similarity matrix'!AX67/'Denominator matrix'!$I$21, "NA")</f>
        <v>0</v>
      </c>
      <c r="AY67" s="153">
        <f>IFERROR('Similarity matrix'!AY67/'Denominator matrix'!$J$21, "NA")</f>
        <v>0</v>
      </c>
      <c r="AZ67" s="153">
        <f>IFERROR('Similarity matrix'!AZ67/'Denominator matrix'!$K$21, "NA")</f>
        <v>0</v>
      </c>
      <c r="BA67" s="154">
        <f>IFERROR('Similarity matrix'!BA67/'Denominator matrix'!$B$21, "NA")</f>
        <v>0</v>
      </c>
      <c r="BB67" s="153">
        <f>IFERROR('Similarity matrix'!BB67/'Denominator matrix'!$C$21, "NA")</f>
        <v>0</v>
      </c>
      <c r="BC67" s="153">
        <f>IFERROR('Similarity matrix'!BC67/'Denominator matrix'!$D$21, "NA")</f>
        <v>0</v>
      </c>
      <c r="BD67" s="153">
        <f>IFERROR('Similarity matrix'!BD67/'Denominator matrix'!$E$21, "NA")</f>
        <v>0</v>
      </c>
      <c r="BE67" s="156">
        <f>IFERROR('Similarity matrix'!BE67/'Denominator matrix'!$F$21, "NA")</f>
        <v>0</v>
      </c>
      <c r="BF67" s="153">
        <f>IFERROR('Similarity matrix'!BF67/'Denominator matrix'!$G$21, "NA")</f>
        <v>0</v>
      </c>
      <c r="BG67" s="153">
        <f>IFERROR('Similarity matrix'!BG67/'Denominator matrix'!$H$21, "NA")</f>
        <v>0</v>
      </c>
      <c r="BH67" s="153">
        <f>IFERROR('Similarity matrix'!BH67/'Denominator matrix'!$I$21, "NA")</f>
        <v>0</v>
      </c>
      <c r="BI67" s="153">
        <f>IFERROR('Similarity matrix'!BI67/'Denominator matrix'!$J$21, "NA")</f>
        <v>0</v>
      </c>
      <c r="BJ67" s="153">
        <f>IFERROR('Similarity matrix'!BJ67/'Denominator matrix'!$K$21, "NA")</f>
        <v>0</v>
      </c>
      <c r="BK67" s="154">
        <f>IFERROR('Similarity matrix'!BK67/'Denominator matrix'!$B$21, "NA")</f>
        <v>0.8</v>
      </c>
      <c r="BL67" s="153">
        <f>IFERROR('Similarity matrix'!BL67/'Denominator matrix'!$C$21, "NA")</f>
        <v>1</v>
      </c>
      <c r="BM67" s="153">
        <f>IFERROR('Similarity matrix'!BM67/'Denominator matrix'!$D$21, "NA")</f>
        <v>0.75</v>
      </c>
      <c r="BN67" s="153">
        <f>IFERROR('Similarity matrix'!BN67/'Denominator matrix'!$E$21, "NA")</f>
        <v>1</v>
      </c>
      <c r="BO67" s="155">
        <f>IFERROR('Similarity matrix'!BO67/'Denominator matrix'!$F$21, "NA")</f>
        <v>0</v>
      </c>
      <c r="BP67" s="153">
        <f>IFERROR('Similarity matrix'!BP67/'Denominator matrix'!$G$21, "NA")</f>
        <v>1</v>
      </c>
      <c r="BQ67" s="153">
        <f>IFERROR('Similarity matrix'!BQ67/'Denominator matrix'!$H$21, "NA")</f>
        <v>0.75</v>
      </c>
      <c r="BR67" s="153">
        <f>IFERROR('Similarity matrix'!BR67/'Denominator matrix'!$I$21, "NA")</f>
        <v>0.9</v>
      </c>
      <c r="BS67" s="153">
        <f>IFERROR('Similarity matrix'!BS67/'Denominator matrix'!$J$21, "NA")</f>
        <v>0.8333333333</v>
      </c>
      <c r="BT67" s="153">
        <f>IFERROR('Similarity matrix'!BT67/'Denominator matrix'!$K$21, "NA")</f>
        <v>1</v>
      </c>
      <c r="BU67" s="154">
        <f>IFERROR('Similarity matrix'!BU67/'Denominator matrix'!$B$21, "NA")</f>
        <v>0</v>
      </c>
      <c r="BV67" s="153">
        <f>IFERROR('Similarity matrix'!BV67/'Denominator matrix'!$C$21, "NA")</f>
        <v>0</v>
      </c>
      <c r="BW67" s="153">
        <f>IFERROR('Similarity matrix'!BW67/'Denominator matrix'!$D$21, "NA")</f>
        <v>0</v>
      </c>
      <c r="BX67" s="153">
        <f>IFERROR('Similarity matrix'!BX67/'Denominator matrix'!$E$21, "NA")</f>
        <v>0</v>
      </c>
      <c r="BY67" s="156">
        <f>IFERROR('Similarity matrix'!BY67/'Denominator matrix'!$F$21, "NA")</f>
        <v>0</v>
      </c>
      <c r="BZ67" s="153">
        <f>IFERROR('Similarity matrix'!BZ67/'Denominator matrix'!$G$21, "NA")</f>
        <v>0</v>
      </c>
      <c r="CA67" s="153">
        <f>IFERROR('Similarity matrix'!CA67/'Denominator matrix'!$H$21, "NA")</f>
        <v>0</v>
      </c>
      <c r="CB67" s="153">
        <f>IFERROR('Similarity matrix'!CB67/'Denominator matrix'!$I$21, "NA")</f>
        <v>0</v>
      </c>
      <c r="CC67" s="153">
        <f>IFERROR('Similarity matrix'!CC67/'Denominator matrix'!$J$21, "NA")</f>
        <v>0</v>
      </c>
      <c r="CD67" s="153">
        <f>IFERROR('Similarity matrix'!CD67/'Denominator matrix'!$K$21, "NA")</f>
        <v>0</v>
      </c>
      <c r="CE67" s="154">
        <f>IFERROR('Similarity matrix'!CE67/'Denominator matrix'!$B$21, "NA")</f>
        <v>0</v>
      </c>
      <c r="CF67" s="153">
        <f>IFERROR('Similarity matrix'!CF67/'Denominator matrix'!$C$21, "NA")</f>
        <v>0</v>
      </c>
      <c r="CG67" s="153">
        <f>IFERROR('Similarity matrix'!CG67/'Denominator matrix'!$D$21, "NA")</f>
        <v>0</v>
      </c>
      <c r="CH67" s="153">
        <f>IFERROR('Similarity matrix'!CH67/'Denominator matrix'!$E$21, "NA")</f>
        <v>0</v>
      </c>
      <c r="CI67" s="156">
        <f>IFERROR('Similarity matrix'!CI67/'Denominator matrix'!$F$21, "NA")</f>
        <v>0</v>
      </c>
      <c r="CJ67" s="153">
        <f>IFERROR('Similarity matrix'!CJ67/'Denominator matrix'!$G$21, "NA")</f>
        <v>0</v>
      </c>
      <c r="CK67" s="153">
        <f>IFERROR('Similarity matrix'!CK67/'Denominator matrix'!$H$21, "NA")</f>
        <v>0</v>
      </c>
      <c r="CL67" s="153">
        <f>IFERROR('Similarity matrix'!CL67/'Denominator matrix'!$I$21, "NA")</f>
        <v>0</v>
      </c>
      <c r="CM67" s="153">
        <f>IFERROR('Similarity matrix'!CM67/'Denominator matrix'!$J$21, "NA")</f>
        <v>0</v>
      </c>
      <c r="CN67" s="153">
        <f>IFERROR('Similarity matrix'!CN67/'Denominator matrix'!$K$21, "NA")</f>
        <v>0</v>
      </c>
      <c r="CO67" s="154">
        <f>IFERROR('Similarity matrix'!CO67/'Denominator matrix'!$B$21, "NA")</f>
        <v>0</v>
      </c>
      <c r="CP67" s="153">
        <f>IFERROR('Similarity matrix'!CP67/'Denominator matrix'!$C$21, "NA")</f>
        <v>0</v>
      </c>
      <c r="CQ67" s="153">
        <f>IFERROR('Similarity matrix'!CQ67/'Denominator matrix'!$D$21, "NA")</f>
        <v>0</v>
      </c>
      <c r="CR67" s="153">
        <f>IFERROR('Similarity matrix'!CR67/'Denominator matrix'!$E$21, "NA")</f>
        <v>0</v>
      </c>
      <c r="CS67" s="156">
        <f>IFERROR('Similarity matrix'!CS67/'Denominator matrix'!$F$21, "NA")</f>
        <v>0</v>
      </c>
      <c r="CT67" s="153">
        <f>IFERROR('Similarity matrix'!CT67/'Denominator matrix'!$G$21, "NA")</f>
        <v>0</v>
      </c>
      <c r="CU67" s="153">
        <f>IFERROR('Similarity matrix'!CU67/'Denominator matrix'!$H$21, "NA")</f>
        <v>0</v>
      </c>
      <c r="CV67" s="153">
        <f>IFERROR('Similarity matrix'!CV67/'Denominator matrix'!$I$21, "NA")</f>
        <v>0</v>
      </c>
      <c r="CW67" s="153">
        <f>IFERROR('Similarity matrix'!CW67/'Denominator matrix'!$J$21, "NA")</f>
        <v>0</v>
      </c>
      <c r="CX67" s="153">
        <f>IFERROR('Similarity matrix'!CX67/'Denominator matrix'!$K$21, "NA")</f>
        <v>0</v>
      </c>
    </row>
    <row r="68" ht="35.25" customHeight="1">
      <c r="B68" s="124">
        <v>45815.0</v>
      </c>
      <c r="C68" s="154">
        <f>IFERROR('Similarity matrix'!C68/'Denominator matrix'!$B$22, "NA")</f>
        <v>0</v>
      </c>
      <c r="D68" s="153">
        <f>IFERROR('Similarity matrix'!D68/'Denominator matrix'!$C$22, "NA")</f>
        <v>0</v>
      </c>
      <c r="E68" s="153">
        <f>IFERROR('Similarity matrix'!E68/'Denominator matrix'!$D$22, "NA")</f>
        <v>0</v>
      </c>
      <c r="F68" s="153">
        <f>IFERROR('Similarity matrix'!F68/'Denominator matrix'!$E$22, "NA")</f>
        <v>0</v>
      </c>
      <c r="G68" s="153">
        <f>IFERROR('Similarity matrix'!G68/'Denominator matrix'!$F$22, "NA")</f>
        <v>0</v>
      </c>
      <c r="H68" s="156">
        <f>IFERROR('Similarity matrix'!H68/'Denominator matrix'!$G$22, "NA")</f>
        <v>0</v>
      </c>
      <c r="I68" s="153">
        <f>IFERROR('Similarity matrix'!I68/'Denominator matrix'!$H$22, "NA")</f>
        <v>0</v>
      </c>
      <c r="J68" s="153">
        <f>IFERROR('Similarity matrix'!J68/'Denominator matrix'!$I$22, "NA")</f>
        <v>0</v>
      </c>
      <c r="K68" s="153">
        <f>IFERROR('Similarity matrix'!K68/'Denominator matrix'!$J$22, "NA")</f>
        <v>0</v>
      </c>
      <c r="L68" s="153">
        <f>IFERROR('Similarity matrix'!L68/'Denominator matrix'!$K$22, "NA")</f>
        <v>0</v>
      </c>
      <c r="M68" s="154">
        <f>IFERROR('Similarity matrix'!M68/'Denominator matrix'!$B$22, "NA")</f>
        <v>0</v>
      </c>
      <c r="N68" s="153">
        <f>IFERROR('Similarity matrix'!N68/'Denominator matrix'!$C$22, "NA")</f>
        <v>0</v>
      </c>
      <c r="O68" s="153">
        <f>IFERROR('Similarity matrix'!O68/'Denominator matrix'!$D$22, "NA")</f>
        <v>0</v>
      </c>
      <c r="P68" s="153">
        <f>IFERROR('Similarity matrix'!P68/'Denominator matrix'!$E$22, "NA")</f>
        <v>0</v>
      </c>
      <c r="Q68" s="153">
        <f>IFERROR('Similarity matrix'!Q68/'Denominator matrix'!$F$22, "NA")</f>
        <v>0</v>
      </c>
      <c r="R68" s="156">
        <f>IFERROR('Similarity matrix'!R68/'Denominator matrix'!$G$22, "NA")</f>
        <v>0</v>
      </c>
      <c r="S68" s="153">
        <f>IFERROR('Similarity matrix'!S68/'Denominator matrix'!$H$22, "NA")</f>
        <v>0</v>
      </c>
      <c r="T68" s="153">
        <f>IFERROR('Similarity matrix'!T68/'Denominator matrix'!$I$22, "NA")</f>
        <v>0</v>
      </c>
      <c r="U68" s="153">
        <f>IFERROR('Similarity matrix'!U68/'Denominator matrix'!$J$22, "NA")</f>
        <v>0</v>
      </c>
      <c r="V68" s="153">
        <f>IFERROR('Similarity matrix'!V68/'Denominator matrix'!$K$22, "NA")</f>
        <v>0</v>
      </c>
      <c r="W68" s="154">
        <f>IFERROR('Similarity matrix'!W68/'Denominator matrix'!$B$22, "NA")</f>
        <v>0</v>
      </c>
      <c r="X68" s="153">
        <f>IFERROR('Similarity matrix'!X68/'Denominator matrix'!$C$22, "NA")</f>
        <v>0</v>
      </c>
      <c r="Y68" s="153">
        <f>IFERROR('Similarity matrix'!Y68/'Denominator matrix'!$D$22, "NA")</f>
        <v>0</v>
      </c>
      <c r="Z68" s="153">
        <f>IFERROR('Similarity matrix'!Z68/'Denominator matrix'!$E$22, "NA")</f>
        <v>0</v>
      </c>
      <c r="AA68" s="153">
        <f>IFERROR('Similarity matrix'!AA68/'Denominator matrix'!$F$22, "NA")</f>
        <v>0</v>
      </c>
      <c r="AB68" s="156">
        <f>IFERROR('Similarity matrix'!AB68/'Denominator matrix'!$G$22, "NA")</f>
        <v>0</v>
      </c>
      <c r="AC68" s="153">
        <f>IFERROR('Similarity matrix'!AC68/'Denominator matrix'!$H$22, "NA")</f>
        <v>0</v>
      </c>
      <c r="AD68" s="153">
        <f>IFERROR('Similarity matrix'!AD68/'Denominator matrix'!$I$22, "NA")</f>
        <v>0</v>
      </c>
      <c r="AE68" s="153">
        <f>IFERROR('Similarity matrix'!AE68/'Denominator matrix'!$J$22, "NA")</f>
        <v>0</v>
      </c>
      <c r="AF68" s="153">
        <f>IFERROR('Similarity matrix'!AF68/'Denominator matrix'!$K$22, "NA")</f>
        <v>0</v>
      </c>
      <c r="AG68" s="154">
        <f>IFERROR('Similarity matrix'!AG68/'Denominator matrix'!$B$22, "NA")</f>
        <v>0</v>
      </c>
      <c r="AH68" s="153">
        <f>IFERROR('Similarity matrix'!AH68/'Denominator matrix'!$C$22, "NA")</f>
        <v>0</v>
      </c>
      <c r="AI68" s="153">
        <f>IFERROR('Similarity matrix'!AI68/'Denominator matrix'!$D$22, "NA")</f>
        <v>0</v>
      </c>
      <c r="AJ68" s="153">
        <f>IFERROR('Similarity matrix'!AJ68/'Denominator matrix'!$E$22, "NA")</f>
        <v>0</v>
      </c>
      <c r="AK68" s="153">
        <f>IFERROR('Similarity matrix'!AK68/'Denominator matrix'!$F$22, "NA")</f>
        <v>0</v>
      </c>
      <c r="AL68" s="156">
        <f>IFERROR('Similarity matrix'!AL68/'Denominator matrix'!$G$22, "NA")</f>
        <v>0</v>
      </c>
      <c r="AM68" s="153">
        <f>IFERROR('Similarity matrix'!AM68/'Denominator matrix'!$H$22, "NA")</f>
        <v>0</v>
      </c>
      <c r="AN68" s="153">
        <f>IFERROR('Similarity matrix'!AN68/'Denominator matrix'!$I$22, "NA")</f>
        <v>0</v>
      </c>
      <c r="AO68" s="153">
        <f>IFERROR('Similarity matrix'!AO68/'Denominator matrix'!$J$22, "NA")</f>
        <v>0</v>
      </c>
      <c r="AP68" s="153">
        <f>IFERROR('Similarity matrix'!AP68/'Denominator matrix'!$K$22, "NA")</f>
        <v>0</v>
      </c>
      <c r="AQ68" s="154">
        <f>IFERROR('Similarity matrix'!AQ68/'Denominator matrix'!$B$22, "NA")</f>
        <v>0</v>
      </c>
      <c r="AR68" s="153">
        <f>IFERROR('Similarity matrix'!AR68/'Denominator matrix'!$C$22, "NA")</f>
        <v>0</v>
      </c>
      <c r="AS68" s="153">
        <f>IFERROR('Similarity matrix'!AS68/'Denominator matrix'!$D$22, "NA")</f>
        <v>0</v>
      </c>
      <c r="AT68" s="153">
        <f>IFERROR('Similarity matrix'!AT68/'Denominator matrix'!$E$22, "NA")</f>
        <v>0</v>
      </c>
      <c r="AU68" s="153">
        <f>IFERROR('Similarity matrix'!AU68/'Denominator matrix'!$F$22, "NA")</f>
        <v>0</v>
      </c>
      <c r="AV68" s="156">
        <f>IFERROR('Similarity matrix'!AV68/'Denominator matrix'!$G$22, "NA")</f>
        <v>0</v>
      </c>
      <c r="AW68" s="153">
        <f>IFERROR('Similarity matrix'!AW68/'Denominator matrix'!$H$22, "NA")</f>
        <v>0</v>
      </c>
      <c r="AX68" s="153">
        <f>IFERROR('Similarity matrix'!AX68/'Denominator matrix'!$I$22, "NA")</f>
        <v>0</v>
      </c>
      <c r="AY68" s="153">
        <f>IFERROR('Similarity matrix'!AY68/'Denominator matrix'!$J$22, "NA")</f>
        <v>0</v>
      </c>
      <c r="AZ68" s="153">
        <f>IFERROR('Similarity matrix'!AZ68/'Denominator matrix'!$K$22, "NA")</f>
        <v>0</v>
      </c>
      <c r="BA68" s="154">
        <f>IFERROR('Similarity matrix'!BA68/'Denominator matrix'!$B$22, "NA")</f>
        <v>0</v>
      </c>
      <c r="BB68" s="153">
        <f>IFERROR('Similarity matrix'!BB68/'Denominator matrix'!$C$22, "NA")</f>
        <v>0</v>
      </c>
      <c r="BC68" s="153">
        <f>IFERROR('Similarity matrix'!BC68/'Denominator matrix'!$D$22, "NA")</f>
        <v>0</v>
      </c>
      <c r="BD68" s="153">
        <f>IFERROR('Similarity matrix'!BD68/'Denominator matrix'!$E$22, "NA")</f>
        <v>0</v>
      </c>
      <c r="BE68" s="153">
        <f>IFERROR('Similarity matrix'!BE68/'Denominator matrix'!$F$22, "NA")</f>
        <v>0</v>
      </c>
      <c r="BF68" s="156">
        <f>IFERROR('Similarity matrix'!BF68/'Denominator matrix'!$G$22, "NA")</f>
        <v>0</v>
      </c>
      <c r="BG68" s="153">
        <f>IFERROR('Similarity matrix'!BG68/'Denominator matrix'!$H$22, "NA")</f>
        <v>0</v>
      </c>
      <c r="BH68" s="153">
        <f>IFERROR('Similarity matrix'!BH68/'Denominator matrix'!$I$22, "NA")</f>
        <v>0</v>
      </c>
      <c r="BI68" s="153">
        <f>IFERROR('Similarity matrix'!BI68/'Denominator matrix'!$J$22, "NA")</f>
        <v>0</v>
      </c>
      <c r="BJ68" s="153">
        <f>IFERROR('Similarity matrix'!BJ68/'Denominator matrix'!$K$22, "NA")</f>
        <v>0</v>
      </c>
      <c r="BK68" s="154">
        <f>IFERROR('Similarity matrix'!BK68/'Denominator matrix'!$B$22, "NA")</f>
        <v>0.8</v>
      </c>
      <c r="BL68" s="153">
        <f>IFERROR('Similarity matrix'!BL68/'Denominator matrix'!$C$22, "NA")</f>
        <v>1</v>
      </c>
      <c r="BM68" s="153">
        <f>IFERROR('Similarity matrix'!BM68/'Denominator matrix'!$D$22, "NA")</f>
        <v>0.5</v>
      </c>
      <c r="BN68" s="153">
        <f>IFERROR('Similarity matrix'!BN68/'Denominator matrix'!$E$22, "NA")</f>
        <v>0.5</v>
      </c>
      <c r="BO68" s="153">
        <f>IFERROR('Similarity matrix'!BO68/'Denominator matrix'!$F$22, "NA")</f>
        <v>1</v>
      </c>
      <c r="BP68" s="155">
        <f>IFERROR('Similarity matrix'!BP68/'Denominator matrix'!$G$22, "NA")</f>
        <v>0</v>
      </c>
      <c r="BQ68" s="153">
        <f>IFERROR('Similarity matrix'!BQ68/'Denominator matrix'!$H$22, "NA")</f>
        <v>1</v>
      </c>
      <c r="BR68" s="153">
        <f>IFERROR('Similarity matrix'!BR68/'Denominator matrix'!$I$22, "NA")</f>
        <v>1</v>
      </c>
      <c r="BS68" s="153">
        <f>IFERROR('Similarity matrix'!BS68/'Denominator matrix'!$J$22, "NA")</f>
        <v>1</v>
      </c>
      <c r="BT68" s="153">
        <f>IFERROR('Similarity matrix'!BT68/'Denominator matrix'!$K$22, "NA")</f>
        <v>1</v>
      </c>
      <c r="BU68" s="154">
        <f>IFERROR('Similarity matrix'!BU68/'Denominator matrix'!$B$22, "NA")</f>
        <v>0.1</v>
      </c>
      <c r="BV68" s="153">
        <f>IFERROR('Similarity matrix'!BV68/'Denominator matrix'!$C$22, "NA")</f>
        <v>0</v>
      </c>
      <c r="BW68" s="153">
        <f>IFERROR('Similarity matrix'!BW68/'Denominator matrix'!$D$22, "NA")</f>
        <v>0</v>
      </c>
      <c r="BX68" s="153">
        <f>IFERROR('Similarity matrix'!BX68/'Denominator matrix'!$E$22, "NA")</f>
        <v>0</v>
      </c>
      <c r="BY68" s="153">
        <f>IFERROR('Similarity matrix'!BY68/'Denominator matrix'!$F$22, "NA")</f>
        <v>0</v>
      </c>
      <c r="BZ68" s="156">
        <f>IFERROR('Similarity matrix'!BZ68/'Denominator matrix'!$G$22, "NA")</f>
        <v>0</v>
      </c>
      <c r="CA68" s="153">
        <f>IFERROR('Similarity matrix'!CA68/'Denominator matrix'!$H$22, "NA")</f>
        <v>0</v>
      </c>
      <c r="CB68" s="153">
        <f>IFERROR('Similarity matrix'!CB68/'Denominator matrix'!$I$22, "NA")</f>
        <v>0</v>
      </c>
      <c r="CC68" s="153">
        <f>IFERROR('Similarity matrix'!CC68/'Denominator matrix'!$J$22, "NA")</f>
        <v>0</v>
      </c>
      <c r="CD68" s="153">
        <f>IFERROR('Similarity matrix'!CD68/'Denominator matrix'!$K$22, "NA")</f>
        <v>0</v>
      </c>
      <c r="CE68" s="154">
        <f>IFERROR('Similarity matrix'!CE68/'Denominator matrix'!$B$22, "NA")</f>
        <v>0</v>
      </c>
      <c r="CF68" s="153">
        <f>IFERROR('Similarity matrix'!CF68/'Denominator matrix'!$C$22, "NA")</f>
        <v>0</v>
      </c>
      <c r="CG68" s="153">
        <f>IFERROR('Similarity matrix'!CG68/'Denominator matrix'!$D$22, "NA")</f>
        <v>0</v>
      </c>
      <c r="CH68" s="153">
        <f>IFERROR('Similarity matrix'!CH68/'Denominator matrix'!$E$22, "NA")</f>
        <v>0</v>
      </c>
      <c r="CI68" s="153">
        <f>IFERROR('Similarity matrix'!CI68/'Denominator matrix'!$F$22, "NA")</f>
        <v>0</v>
      </c>
      <c r="CJ68" s="156">
        <f>IFERROR('Similarity matrix'!CJ68/'Denominator matrix'!$G$22, "NA")</f>
        <v>0</v>
      </c>
      <c r="CK68" s="153">
        <f>IFERROR('Similarity matrix'!CK68/'Denominator matrix'!$H$22, "NA")</f>
        <v>0</v>
      </c>
      <c r="CL68" s="153">
        <f>IFERROR('Similarity matrix'!CL68/'Denominator matrix'!$I$22, "NA")</f>
        <v>0</v>
      </c>
      <c r="CM68" s="153">
        <f>IFERROR('Similarity matrix'!CM68/'Denominator matrix'!$J$22, "NA")</f>
        <v>0</v>
      </c>
      <c r="CN68" s="153">
        <f>IFERROR('Similarity matrix'!CN68/'Denominator matrix'!$K$22, "NA")</f>
        <v>0</v>
      </c>
      <c r="CO68" s="154">
        <f>IFERROR('Similarity matrix'!CO68/'Denominator matrix'!$B$22, "NA")</f>
        <v>0</v>
      </c>
      <c r="CP68" s="153">
        <f>IFERROR('Similarity matrix'!CP68/'Denominator matrix'!$C$22, "NA")</f>
        <v>0</v>
      </c>
      <c r="CQ68" s="153">
        <f>IFERROR('Similarity matrix'!CQ68/'Denominator matrix'!$D$22, "NA")</f>
        <v>0</v>
      </c>
      <c r="CR68" s="153">
        <f>IFERROR('Similarity matrix'!CR68/'Denominator matrix'!$E$22, "NA")</f>
        <v>0</v>
      </c>
      <c r="CS68" s="153">
        <f>IFERROR('Similarity matrix'!CS68/'Denominator matrix'!$F$22, "NA")</f>
        <v>0</v>
      </c>
      <c r="CT68" s="156">
        <f>IFERROR('Similarity matrix'!CT68/'Denominator matrix'!$G$22, "NA")</f>
        <v>0</v>
      </c>
      <c r="CU68" s="153">
        <f>IFERROR('Similarity matrix'!CU68/'Denominator matrix'!$H$22, "NA")</f>
        <v>0</v>
      </c>
      <c r="CV68" s="153">
        <f>IFERROR('Similarity matrix'!CV68/'Denominator matrix'!$I$22, "NA")</f>
        <v>0</v>
      </c>
      <c r="CW68" s="153">
        <f>IFERROR('Similarity matrix'!CW68/'Denominator matrix'!$J$22, "NA")</f>
        <v>0</v>
      </c>
      <c r="CX68" s="153">
        <f>IFERROR('Similarity matrix'!CX68/'Denominator matrix'!$K$22, "NA")</f>
        <v>0</v>
      </c>
    </row>
    <row r="69" ht="35.25" customHeight="1">
      <c r="B69" s="124">
        <v>45845.0</v>
      </c>
      <c r="C69" s="154">
        <f>IFERROR('Similarity matrix'!C69/'Denominator matrix'!$B$23, "NA")</f>
        <v>0</v>
      </c>
      <c r="D69" s="153">
        <f>IFERROR('Similarity matrix'!D69/'Denominator matrix'!$C$23, "NA")</f>
        <v>0</v>
      </c>
      <c r="E69" s="153">
        <f>IFERROR('Similarity matrix'!E69/'Denominator matrix'!$D$23, "NA")</f>
        <v>0</v>
      </c>
      <c r="F69" s="153">
        <f>IFERROR('Similarity matrix'!F69/'Denominator matrix'!$E$23, "NA")</f>
        <v>0</v>
      </c>
      <c r="G69" s="153">
        <f>IFERROR('Similarity matrix'!G69/'Denominator matrix'!$F$23, "NA")</f>
        <v>0</v>
      </c>
      <c r="H69" s="153">
        <f>IFERROR('Similarity matrix'!H69/'Denominator matrix'!$G$23, "NA")</f>
        <v>0</v>
      </c>
      <c r="I69" s="156">
        <f>IFERROR('Similarity matrix'!I69/'Denominator matrix'!$H$23, "NA")</f>
        <v>0</v>
      </c>
      <c r="J69" s="153">
        <f>IFERROR('Similarity matrix'!J69/'Denominator matrix'!$I$23, "NA")</f>
        <v>0</v>
      </c>
      <c r="K69" s="153">
        <f>IFERROR('Similarity matrix'!K69/'Denominator matrix'!$J$23, "NA")</f>
        <v>0</v>
      </c>
      <c r="L69" s="153">
        <f>IFERROR('Similarity matrix'!L69/'Denominator matrix'!$K$23, "NA")</f>
        <v>0</v>
      </c>
      <c r="M69" s="154">
        <f>IFERROR('Similarity matrix'!M69/'Denominator matrix'!$B$23, "NA")</f>
        <v>0</v>
      </c>
      <c r="N69" s="153">
        <f>IFERROR('Similarity matrix'!N69/'Denominator matrix'!$C$23, "NA")</f>
        <v>0</v>
      </c>
      <c r="O69" s="153">
        <f>IFERROR('Similarity matrix'!O69/'Denominator matrix'!$D$23, "NA")</f>
        <v>0</v>
      </c>
      <c r="P69" s="153">
        <f>IFERROR('Similarity matrix'!P69/'Denominator matrix'!$E$23, "NA")</f>
        <v>0</v>
      </c>
      <c r="Q69" s="153">
        <f>IFERROR('Similarity matrix'!Q69/'Denominator matrix'!$F$23, "NA")</f>
        <v>0</v>
      </c>
      <c r="R69" s="153">
        <f>IFERROR('Similarity matrix'!R69/'Denominator matrix'!$G$23, "NA")</f>
        <v>0</v>
      </c>
      <c r="S69" s="156">
        <f>IFERROR('Similarity matrix'!S69/'Denominator matrix'!$H$23, "NA")</f>
        <v>0</v>
      </c>
      <c r="T69" s="153">
        <f>IFERROR('Similarity matrix'!T69/'Denominator matrix'!$I$23, "NA")</f>
        <v>0</v>
      </c>
      <c r="U69" s="153">
        <f>IFERROR('Similarity matrix'!U69/'Denominator matrix'!$J$23, "NA")</f>
        <v>0</v>
      </c>
      <c r="V69" s="153">
        <f>IFERROR('Similarity matrix'!V69/'Denominator matrix'!$K$23, "NA")</f>
        <v>0</v>
      </c>
      <c r="W69" s="154">
        <f>IFERROR('Similarity matrix'!W69/'Denominator matrix'!$B$23, "NA")</f>
        <v>0</v>
      </c>
      <c r="X69" s="153">
        <f>IFERROR('Similarity matrix'!X69/'Denominator matrix'!$C$23, "NA")</f>
        <v>0</v>
      </c>
      <c r="Y69" s="153">
        <f>IFERROR('Similarity matrix'!Y69/'Denominator matrix'!$D$23, "NA")</f>
        <v>0</v>
      </c>
      <c r="Z69" s="153">
        <f>IFERROR('Similarity matrix'!Z69/'Denominator matrix'!$E$23, "NA")</f>
        <v>0</v>
      </c>
      <c r="AA69" s="153">
        <f>IFERROR('Similarity matrix'!AA69/'Denominator matrix'!$F$23, "NA")</f>
        <v>0</v>
      </c>
      <c r="AB69" s="153">
        <f>IFERROR('Similarity matrix'!AB69/'Denominator matrix'!$G$23, "NA")</f>
        <v>0</v>
      </c>
      <c r="AC69" s="156">
        <f>IFERROR('Similarity matrix'!AC69/'Denominator matrix'!$H$23, "NA")</f>
        <v>0</v>
      </c>
      <c r="AD69" s="153">
        <f>IFERROR('Similarity matrix'!AD69/'Denominator matrix'!$I$23, "NA")</f>
        <v>0</v>
      </c>
      <c r="AE69" s="153">
        <f>IFERROR('Similarity matrix'!AE69/'Denominator matrix'!$J$23, "NA")</f>
        <v>0</v>
      </c>
      <c r="AF69" s="153">
        <f>IFERROR('Similarity matrix'!AF69/'Denominator matrix'!$K$23, "NA")</f>
        <v>0</v>
      </c>
      <c r="AG69" s="154">
        <f>IFERROR('Similarity matrix'!AG69/'Denominator matrix'!$B$23, "NA")</f>
        <v>0</v>
      </c>
      <c r="AH69" s="153">
        <f>IFERROR('Similarity matrix'!AH69/'Denominator matrix'!$C$23, "NA")</f>
        <v>0</v>
      </c>
      <c r="AI69" s="153">
        <f>IFERROR('Similarity matrix'!AI69/'Denominator matrix'!$D$23, "NA")</f>
        <v>0</v>
      </c>
      <c r="AJ69" s="153">
        <f>IFERROR('Similarity matrix'!AJ69/'Denominator matrix'!$E$23, "NA")</f>
        <v>0</v>
      </c>
      <c r="AK69" s="153">
        <f>IFERROR('Similarity matrix'!AK69/'Denominator matrix'!$F$23, "NA")</f>
        <v>0</v>
      </c>
      <c r="AL69" s="153">
        <f>IFERROR('Similarity matrix'!AL69/'Denominator matrix'!$G$23, "NA")</f>
        <v>0</v>
      </c>
      <c r="AM69" s="156">
        <f>IFERROR('Similarity matrix'!AM69/'Denominator matrix'!$H$23, "NA")</f>
        <v>0</v>
      </c>
      <c r="AN69" s="153">
        <f>IFERROR('Similarity matrix'!AN69/'Denominator matrix'!$I$23, "NA")</f>
        <v>0</v>
      </c>
      <c r="AO69" s="153">
        <f>IFERROR('Similarity matrix'!AO69/'Denominator matrix'!$J$23, "NA")</f>
        <v>0</v>
      </c>
      <c r="AP69" s="153">
        <f>IFERROR('Similarity matrix'!AP69/'Denominator matrix'!$K$23, "NA")</f>
        <v>0</v>
      </c>
      <c r="AQ69" s="154">
        <f>IFERROR('Similarity matrix'!AQ69/'Denominator matrix'!$B$23, "NA")</f>
        <v>0</v>
      </c>
      <c r="AR69" s="153">
        <f>IFERROR('Similarity matrix'!AR69/'Denominator matrix'!$C$23, "NA")</f>
        <v>0</v>
      </c>
      <c r="AS69" s="153">
        <f>IFERROR('Similarity matrix'!AS69/'Denominator matrix'!$D$23, "NA")</f>
        <v>0</v>
      </c>
      <c r="AT69" s="153">
        <f>IFERROR('Similarity matrix'!AT69/'Denominator matrix'!$E$23, "NA")</f>
        <v>0</v>
      </c>
      <c r="AU69" s="153">
        <f>IFERROR('Similarity matrix'!AU69/'Denominator matrix'!$F$23, "NA")</f>
        <v>0</v>
      </c>
      <c r="AV69" s="153">
        <f>IFERROR('Similarity matrix'!AV69/'Denominator matrix'!$G$23, "NA")</f>
        <v>0</v>
      </c>
      <c r="AW69" s="156">
        <f>IFERROR('Similarity matrix'!AW69/'Denominator matrix'!$H$23, "NA")</f>
        <v>0</v>
      </c>
      <c r="AX69" s="153">
        <f>IFERROR('Similarity matrix'!AX69/'Denominator matrix'!$I$23, "NA")</f>
        <v>0</v>
      </c>
      <c r="AY69" s="153">
        <f>IFERROR('Similarity matrix'!AY69/'Denominator matrix'!$J$23, "NA")</f>
        <v>0</v>
      </c>
      <c r="AZ69" s="153">
        <f>IFERROR('Similarity matrix'!AZ69/'Denominator matrix'!$K$23, "NA")</f>
        <v>0</v>
      </c>
      <c r="BA69" s="154">
        <f>IFERROR('Similarity matrix'!BA69/'Denominator matrix'!$B$23, "NA")</f>
        <v>0</v>
      </c>
      <c r="BB69" s="153">
        <f>IFERROR('Similarity matrix'!BB69/'Denominator matrix'!$C$23, "NA")</f>
        <v>0</v>
      </c>
      <c r="BC69" s="153">
        <f>IFERROR('Similarity matrix'!BC69/'Denominator matrix'!$D$23, "NA")</f>
        <v>0.125</v>
      </c>
      <c r="BD69" s="153">
        <f>IFERROR('Similarity matrix'!BD69/'Denominator matrix'!$E$23, "NA")</f>
        <v>0</v>
      </c>
      <c r="BE69" s="153">
        <f>IFERROR('Similarity matrix'!BE69/'Denominator matrix'!$F$23, "NA")</f>
        <v>0</v>
      </c>
      <c r="BF69" s="153">
        <f>IFERROR('Similarity matrix'!BF69/'Denominator matrix'!$G$23, "NA")</f>
        <v>0</v>
      </c>
      <c r="BG69" s="156">
        <f>IFERROR('Similarity matrix'!BG69/'Denominator matrix'!$H$23, "NA")</f>
        <v>0</v>
      </c>
      <c r="BH69" s="153">
        <f>IFERROR('Similarity matrix'!BH69/'Denominator matrix'!$I$23, "NA")</f>
        <v>0</v>
      </c>
      <c r="BI69" s="153">
        <f>IFERROR('Similarity matrix'!BI69/'Denominator matrix'!$J$23, "NA")</f>
        <v>0</v>
      </c>
      <c r="BJ69" s="153">
        <f>IFERROR('Similarity matrix'!BJ69/'Denominator matrix'!$K$23, "NA")</f>
        <v>0.25</v>
      </c>
      <c r="BK69" s="154">
        <f>IFERROR('Similarity matrix'!BK69/'Denominator matrix'!$B$23, "NA")</f>
        <v>0.75</v>
      </c>
      <c r="BL69" s="153">
        <f>IFERROR('Similarity matrix'!BL69/'Denominator matrix'!$C$23, "NA")</f>
        <v>1</v>
      </c>
      <c r="BM69" s="153">
        <f>IFERROR('Similarity matrix'!BM69/'Denominator matrix'!$D$23, "NA")</f>
        <v>0.875</v>
      </c>
      <c r="BN69" s="153">
        <f>IFERROR('Similarity matrix'!BN69/'Denominator matrix'!$E$23, "NA")</f>
        <v>1</v>
      </c>
      <c r="BO69" s="153">
        <f>IFERROR('Similarity matrix'!BO69/'Denominator matrix'!$F$23, "NA")</f>
        <v>0.75</v>
      </c>
      <c r="BP69" s="153">
        <f>IFERROR('Similarity matrix'!BP69/'Denominator matrix'!$G$23, "NA")</f>
        <v>1</v>
      </c>
      <c r="BQ69" s="155">
        <f>IFERROR('Similarity matrix'!BQ69/'Denominator matrix'!$H$23, "NA")</f>
        <v>0</v>
      </c>
      <c r="BR69" s="153">
        <f>IFERROR('Similarity matrix'!BR69/'Denominator matrix'!$I$23, "NA")</f>
        <v>1</v>
      </c>
      <c r="BS69" s="153">
        <f>IFERROR('Similarity matrix'!BS69/'Denominator matrix'!$J$23, "NA")</f>
        <v>1</v>
      </c>
      <c r="BT69" s="153">
        <f>IFERROR('Similarity matrix'!BT69/'Denominator matrix'!$K$23, "NA")</f>
        <v>1</v>
      </c>
      <c r="BU69" s="154">
        <f>IFERROR('Similarity matrix'!BU69/'Denominator matrix'!$B$23, "NA")</f>
        <v>0.25</v>
      </c>
      <c r="BV69" s="153">
        <f>IFERROR('Similarity matrix'!BV69/'Denominator matrix'!$C$23, "NA")</f>
        <v>0</v>
      </c>
      <c r="BW69" s="153">
        <f>IFERROR('Similarity matrix'!BW69/'Denominator matrix'!$D$23, "NA")</f>
        <v>0</v>
      </c>
      <c r="BX69" s="153">
        <f>IFERROR('Similarity matrix'!BX69/'Denominator matrix'!$E$23, "NA")</f>
        <v>0</v>
      </c>
      <c r="BY69" s="153">
        <f>IFERROR('Similarity matrix'!BY69/'Denominator matrix'!$F$23, "NA")</f>
        <v>0</v>
      </c>
      <c r="BZ69" s="153">
        <f>IFERROR('Similarity matrix'!BZ69/'Denominator matrix'!$G$23, "NA")</f>
        <v>0</v>
      </c>
      <c r="CA69" s="156">
        <f>IFERROR('Similarity matrix'!CA69/'Denominator matrix'!$H$23, "NA")</f>
        <v>0</v>
      </c>
      <c r="CB69" s="153">
        <f>IFERROR('Similarity matrix'!CB69/'Denominator matrix'!$I$23, "NA")</f>
        <v>0</v>
      </c>
      <c r="CC69" s="153">
        <f>IFERROR('Similarity matrix'!CC69/'Denominator matrix'!$J$23, "NA")</f>
        <v>0</v>
      </c>
      <c r="CD69" s="153">
        <f>IFERROR('Similarity matrix'!CD69/'Denominator matrix'!$K$23, "NA")</f>
        <v>0.25</v>
      </c>
      <c r="CE69" s="154">
        <f>IFERROR('Similarity matrix'!CE69/'Denominator matrix'!$B$23, "NA")</f>
        <v>0</v>
      </c>
      <c r="CF69" s="153">
        <f>IFERROR('Similarity matrix'!CF69/'Denominator matrix'!$C$23, "NA")</f>
        <v>0</v>
      </c>
      <c r="CG69" s="153">
        <f>IFERROR('Similarity matrix'!CG69/'Denominator matrix'!$D$23, "NA")</f>
        <v>0</v>
      </c>
      <c r="CH69" s="153">
        <f>IFERROR('Similarity matrix'!CH69/'Denominator matrix'!$E$23, "NA")</f>
        <v>0</v>
      </c>
      <c r="CI69" s="153">
        <f>IFERROR('Similarity matrix'!CI69/'Denominator matrix'!$F$23, "NA")</f>
        <v>0</v>
      </c>
      <c r="CJ69" s="153">
        <f>IFERROR('Similarity matrix'!CJ69/'Denominator matrix'!$G$23, "NA")</f>
        <v>0</v>
      </c>
      <c r="CK69" s="156">
        <f>IFERROR('Similarity matrix'!CK69/'Denominator matrix'!$H$23, "NA")</f>
        <v>0</v>
      </c>
      <c r="CL69" s="153">
        <f>IFERROR('Similarity matrix'!CL69/'Denominator matrix'!$I$23, "NA")</f>
        <v>0</v>
      </c>
      <c r="CM69" s="153">
        <f>IFERROR('Similarity matrix'!CM69/'Denominator matrix'!$J$23, "NA")</f>
        <v>0</v>
      </c>
      <c r="CN69" s="153">
        <f>IFERROR('Similarity matrix'!CN69/'Denominator matrix'!$K$23, "NA")</f>
        <v>0</v>
      </c>
      <c r="CO69" s="154">
        <f>IFERROR('Similarity matrix'!CO69/'Denominator matrix'!$B$23, "NA")</f>
        <v>0</v>
      </c>
      <c r="CP69" s="153">
        <f>IFERROR('Similarity matrix'!CP69/'Denominator matrix'!$C$23, "NA")</f>
        <v>0</v>
      </c>
      <c r="CQ69" s="153">
        <f>IFERROR('Similarity matrix'!CQ69/'Denominator matrix'!$D$23, "NA")</f>
        <v>0</v>
      </c>
      <c r="CR69" s="153">
        <f>IFERROR('Similarity matrix'!CR69/'Denominator matrix'!$E$23, "NA")</f>
        <v>0</v>
      </c>
      <c r="CS69" s="153">
        <f>IFERROR('Similarity matrix'!CS69/'Denominator matrix'!$F$23, "NA")</f>
        <v>0</v>
      </c>
      <c r="CT69" s="153">
        <f>IFERROR('Similarity matrix'!CT69/'Denominator matrix'!$G$23, "NA")</f>
        <v>0</v>
      </c>
      <c r="CU69" s="156">
        <f>IFERROR('Similarity matrix'!CU69/'Denominator matrix'!$H$23, "NA")</f>
        <v>0</v>
      </c>
      <c r="CV69" s="153">
        <f>IFERROR('Similarity matrix'!CV69/'Denominator matrix'!$I$23, "NA")</f>
        <v>0</v>
      </c>
      <c r="CW69" s="153">
        <f>IFERROR('Similarity matrix'!CW69/'Denominator matrix'!$J$23, "NA")</f>
        <v>0</v>
      </c>
      <c r="CX69" s="153">
        <f>IFERROR('Similarity matrix'!CX69/'Denominator matrix'!$K$23, "NA")</f>
        <v>0</v>
      </c>
    </row>
    <row r="70" ht="35.25" customHeight="1">
      <c r="B70" s="124">
        <v>45876.0</v>
      </c>
      <c r="C70" s="154">
        <f>IFERROR('Similarity matrix'!C70/'Denominator matrix'!$B$24, "NA")</f>
        <v>0</v>
      </c>
      <c r="D70" s="153">
        <f>IFERROR('Similarity matrix'!D70/'Denominator matrix'!$C$24, "NA")</f>
        <v>0</v>
      </c>
      <c r="E70" s="153">
        <f>IFERROR('Similarity matrix'!E70/'Denominator matrix'!$D$24, "NA")</f>
        <v>0</v>
      </c>
      <c r="F70" s="153">
        <f>IFERROR('Similarity matrix'!F70/'Denominator matrix'!$E$24, "NA")</f>
        <v>0</v>
      </c>
      <c r="G70" s="153">
        <f>IFERROR('Similarity matrix'!G70/'Denominator matrix'!$F$24, "NA")</f>
        <v>0</v>
      </c>
      <c r="H70" s="153">
        <f>IFERROR('Similarity matrix'!H70/'Denominator matrix'!$G$24, "NA")</f>
        <v>0</v>
      </c>
      <c r="I70" s="153">
        <f>IFERROR('Similarity matrix'!I70/'Denominator matrix'!$H$24, "NA")</f>
        <v>0</v>
      </c>
      <c r="J70" s="156">
        <f>IFERROR('Similarity matrix'!J70/'Denominator matrix'!$I$24, "NA")</f>
        <v>0</v>
      </c>
      <c r="K70" s="153">
        <f>IFERROR('Similarity matrix'!K70/'Denominator matrix'!$J$24, "NA")</f>
        <v>0</v>
      </c>
      <c r="L70" s="153">
        <f>IFERROR('Similarity matrix'!L70/'Denominator matrix'!$K$24, "NA")</f>
        <v>0</v>
      </c>
      <c r="M70" s="154">
        <f>IFERROR('Similarity matrix'!M70/'Denominator matrix'!$B$24, "NA")</f>
        <v>0</v>
      </c>
      <c r="N70" s="153">
        <f>IFERROR('Similarity matrix'!N70/'Denominator matrix'!$C$24, "NA")</f>
        <v>0</v>
      </c>
      <c r="O70" s="153">
        <f>IFERROR('Similarity matrix'!O70/'Denominator matrix'!$D$24, "NA")</f>
        <v>0</v>
      </c>
      <c r="P70" s="153">
        <f>IFERROR('Similarity matrix'!P70/'Denominator matrix'!$E$24, "NA")</f>
        <v>0</v>
      </c>
      <c r="Q70" s="153">
        <f>IFERROR('Similarity matrix'!Q70/'Denominator matrix'!$F$24, "NA")</f>
        <v>0</v>
      </c>
      <c r="R70" s="153">
        <f>IFERROR('Similarity matrix'!R70/'Denominator matrix'!$G$24, "NA")</f>
        <v>0</v>
      </c>
      <c r="S70" s="153">
        <f>IFERROR('Similarity matrix'!S70/'Denominator matrix'!$H$24, "NA")</f>
        <v>0</v>
      </c>
      <c r="T70" s="156">
        <f>IFERROR('Similarity matrix'!T70/'Denominator matrix'!$I$24, "NA")</f>
        <v>0</v>
      </c>
      <c r="U70" s="153">
        <f>IFERROR('Similarity matrix'!U70/'Denominator matrix'!$J$24, "NA")</f>
        <v>0</v>
      </c>
      <c r="V70" s="153">
        <f>IFERROR('Similarity matrix'!V70/'Denominator matrix'!$K$24, "NA")</f>
        <v>0</v>
      </c>
      <c r="W70" s="154">
        <f>IFERROR('Similarity matrix'!W70/'Denominator matrix'!$B$24, "NA")</f>
        <v>0</v>
      </c>
      <c r="X70" s="153">
        <f>IFERROR('Similarity matrix'!X70/'Denominator matrix'!$C$24, "NA")</f>
        <v>0</v>
      </c>
      <c r="Y70" s="153">
        <f>IFERROR('Similarity matrix'!Y70/'Denominator matrix'!$D$24, "NA")</f>
        <v>0</v>
      </c>
      <c r="Z70" s="153">
        <f>IFERROR('Similarity matrix'!Z70/'Denominator matrix'!$E$24, "NA")</f>
        <v>0</v>
      </c>
      <c r="AA70" s="153">
        <f>IFERROR('Similarity matrix'!AA70/'Denominator matrix'!$F$24, "NA")</f>
        <v>0</v>
      </c>
      <c r="AB70" s="153">
        <f>IFERROR('Similarity matrix'!AB70/'Denominator matrix'!$G$24, "NA")</f>
        <v>0</v>
      </c>
      <c r="AC70" s="153">
        <f>IFERROR('Similarity matrix'!AC70/'Denominator matrix'!$H$24, "NA")</f>
        <v>0</v>
      </c>
      <c r="AD70" s="156">
        <f>IFERROR('Similarity matrix'!AD70/'Denominator matrix'!$I$24, "NA")</f>
        <v>0</v>
      </c>
      <c r="AE70" s="153">
        <f>IFERROR('Similarity matrix'!AE70/'Denominator matrix'!$J$24, "NA")</f>
        <v>0</v>
      </c>
      <c r="AF70" s="153">
        <f>IFERROR('Similarity matrix'!AF70/'Denominator matrix'!$K$24, "NA")</f>
        <v>0</v>
      </c>
      <c r="AG70" s="154">
        <f>IFERROR('Similarity matrix'!AG70/'Denominator matrix'!$B$24, "NA")</f>
        <v>0</v>
      </c>
      <c r="AH70" s="153">
        <f>IFERROR('Similarity matrix'!AH70/'Denominator matrix'!$C$24, "NA")</f>
        <v>0</v>
      </c>
      <c r="AI70" s="153">
        <f>IFERROR('Similarity matrix'!AI70/'Denominator matrix'!$D$24, "NA")</f>
        <v>0</v>
      </c>
      <c r="AJ70" s="153">
        <f>IFERROR('Similarity matrix'!AJ70/'Denominator matrix'!$E$24, "NA")</f>
        <v>0</v>
      </c>
      <c r="AK70" s="153">
        <f>IFERROR('Similarity matrix'!AK70/'Denominator matrix'!$F$24, "NA")</f>
        <v>0</v>
      </c>
      <c r="AL70" s="153">
        <f>IFERROR('Similarity matrix'!AL70/'Denominator matrix'!$G$24, "NA")</f>
        <v>0</v>
      </c>
      <c r="AM70" s="153">
        <f>IFERROR('Similarity matrix'!AM70/'Denominator matrix'!$H$24, "NA")</f>
        <v>0</v>
      </c>
      <c r="AN70" s="156">
        <f>IFERROR('Similarity matrix'!AN70/'Denominator matrix'!$I$24, "NA")</f>
        <v>0</v>
      </c>
      <c r="AO70" s="153">
        <f>IFERROR('Similarity matrix'!AO70/'Denominator matrix'!$J$24, "NA")</f>
        <v>0</v>
      </c>
      <c r="AP70" s="153">
        <f>IFERROR('Similarity matrix'!AP70/'Denominator matrix'!$K$24, "NA")</f>
        <v>0</v>
      </c>
      <c r="AQ70" s="154">
        <f>IFERROR('Similarity matrix'!AQ70/'Denominator matrix'!$B$24, "NA")</f>
        <v>0</v>
      </c>
      <c r="AR70" s="153">
        <f>IFERROR('Similarity matrix'!AR70/'Denominator matrix'!$C$24, "NA")</f>
        <v>0</v>
      </c>
      <c r="AS70" s="153">
        <f>IFERROR('Similarity matrix'!AS70/'Denominator matrix'!$D$24, "NA")</f>
        <v>0</v>
      </c>
      <c r="AT70" s="153">
        <f>IFERROR('Similarity matrix'!AT70/'Denominator matrix'!$E$24, "NA")</f>
        <v>0</v>
      </c>
      <c r="AU70" s="153">
        <f>IFERROR('Similarity matrix'!AU70/'Denominator matrix'!$F$24, "NA")</f>
        <v>0</v>
      </c>
      <c r="AV70" s="153">
        <f>IFERROR('Similarity matrix'!AV70/'Denominator matrix'!$G$24, "NA")</f>
        <v>0</v>
      </c>
      <c r="AW70" s="153">
        <f>IFERROR('Similarity matrix'!AW70/'Denominator matrix'!$H$24, "NA")</f>
        <v>0</v>
      </c>
      <c r="AX70" s="156">
        <f>IFERROR('Similarity matrix'!AX70/'Denominator matrix'!$I$24, "NA")</f>
        <v>0</v>
      </c>
      <c r="AY70" s="153">
        <f>IFERROR('Similarity matrix'!AY70/'Denominator matrix'!$J$24, "NA")</f>
        <v>0</v>
      </c>
      <c r="AZ70" s="153">
        <f>IFERROR('Similarity matrix'!AZ70/'Denominator matrix'!$K$24, "NA")</f>
        <v>0</v>
      </c>
      <c r="BA70" s="154">
        <f>IFERROR('Similarity matrix'!BA70/'Denominator matrix'!$B$24, "NA")</f>
        <v>0</v>
      </c>
      <c r="BB70" s="153">
        <f>IFERROR('Similarity matrix'!BB70/'Denominator matrix'!$C$24, "NA")</f>
        <v>0</v>
      </c>
      <c r="BC70" s="153">
        <f>IFERROR('Similarity matrix'!BC70/'Denominator matrix'!$D$24, "NA")</f>
        <v>0</v>
      </c>
      <c r="BD70" s="153">
        <f>IFERROR('Similarity matrix'!BD70/'Denominator matrix'!$E$24, "NA")</f>
        <v>0</v>
      </c>
      <c r="BE70" s="153">
        <f>IFERROR('Similarity matrix'!BE70/'Denominator matrix'!$F$24, "NA")</f>
        <v>0</v>
      </c>
      <c r="BF70" s="153">
        <f>IFERROR('Similarity matrix'!BF70/'Denominator matrix'!$G$24, "NA")</f>
        <v>0</v>
      </c>
      <c r="BG70" s="153">
        <f>IFERROR('Similarity matrix'!BG70/'Denominator matrix'!$H$24, "NA")</f>
        <v>0</v>
      </c>
      <c r="BH70" s="156">
        <f>IFERROR('Similarity matrix'!BH70/'Denominator matrix'!$I$24, "NA")</f>
        <v>0</v>
      </c>
      <c r="BI70" s="153">
        <f>IFERROR('Similarity matrix'!BI70/'Denominator matrix'!$J$24, "NA")</f>
        <v>0</v>
      </c>
      <c r="BJ70" s="153">
        <f>IFERROR('Similarity matrix'!BJ70/'Denominator matrix'!$K$24, "NA")</f>
        <v>0</v>
      </c>
      <c r="BK70" s="154">
        <f>IFERROR('Similarity matrix'!BK70/'Denominator matrix'!$B$24, "NA")</f>
        <v>0.75</v>
      </c>
      <c r="BL70" s="153">
        <f>IFERROR('Similarity matrix'!BL70/'Denominator matrix'!$C$24, "NA")</f>
        <v>1</v>
      </c>
      <c r="BM70" s="153">
        <f>IFERROR('Similarity matrix'!BM70/'Denominator matrix'!$D$24, "NA")</f>
        <v>1</v>
      </c>
      <c r="BN70" s="153">
        <f>IFERROR('Similarity matrix'!BN70/'Denominator matrix'!$E$24, "NA")</f>
        <v>1</v>
      </c>
      <c r="BO70" s="153">
        <f>IFERROR('Similarity matrix'!BO70/'Denominator matrix'!$F$24, "NA")</f>
        <v>0.9</v>
      </c>
      <c r="BP70" s="153">
        <f>IFERROR('Similarity matrix'!BP70/'Denominator matrix'!$G$24, "NA")</f>
        <v>1</v>
      </c>
      <c r="BQ70" s="153">
        <f>IFERROR('Similarity matrix'!BQ70/'Denominator matrix'!$H$24, "NA")</f>
        <v>1</v>
      </c>
      <c r="BR70" s="155">
        <f>IFERROR('Similarity matrix'!BR70/'Denominator matrix'!$I$24, "NA")</f>
        <v>0</v>
      </c>
      <c r="BS70" s="153">
        <f>IFERROR('Similarity matrix'!BS70/'Denominator matrix'!$J$24, "NA")</f>
        <v>0.75</v>
      </c>
      <c r="BT70" s="153">
        <f>IFERROR('Similarity matrix'!BT70/'Denominator matrix'!$K$24, "NA")</f>
        <v>1</v>
      </c>
      <c r="BU70" s="154">
        <f>IFERROR('Similarity matrix'!BU70/'Denominator matrix'!$B$24, "NA")</f>
        <v>0</v>
      </c>
      <c r="BV70" s="153">
        <f>IFERROR('Similarity matrix'!BV70/'Denominator matrix'!$C$24, "NA")</f>
        <v>0</v>
      </c>
      <c r="BW70" s="153">
        <f>IFERROR('Similarity matrix'!BW70/'Denominator matrix'!$D$24, "NA")</f>
        <v>0</v>
      </c>
      <c r="BX70" s="153">
        <f>IFERROR('Similarity matrix'!BX70/'Denominator matrix'!$E$24, "NA")</f>
        <v>0</v>
      </c>
      <c r="BY70" s="153">
        <f>IFERROR('Similarity matrix'!BY70/'Denominator matrix'!$F$24, "NA")</f>
        <v>0</v>
      </c>
      <c r="BZ70" s="153">
        <f>IFERROR('Similarity matrix'!BZ70/'Denominator matrix'!$G$24, "NA")</f>
        <v>0</v>
      </c>
      <c r="CA70" s="153">
        <f>IFERROR('Similarity matrix'!CA70/'Denominator matrix'!$H$24, "NA")</f>
        <v>0</v>
      </c>
      <c r="CB70" s="156">
        <f>IFERROR('Similarity matrix'!CB70/'Denominator matrix'!$I$24, "NA")</f>
        <v>0</v>
      </c>
      <c r="CC70" s="153">
        <f>IFERROR('Similarity matrix'!CC70/'Denominator matrix'!$J$24, "NA")</f>
        <v>0</v>
      </c>
      <c r="CD70" s="153">
        <f>IFERROR('Similarity matrix'!CD70/'Denominator matrix'!$K$24, "NA")</f>
        <v>0.1666666667</v>
      </c>
      <c r="CE70" s="154">
        <f>IFERROR('Similarity matrix'!CE70/'Denominator matrix'!$B$24, "NA")</f>
        <v>0</v>
      </c>
      <c r="CF70" s="153">
        <f>IFERROR('Similarity matrix'!CF70/'Denominator matrix'!$C$24, "NA")</f>
        <v>0</v>
      </c>
      <c r="CG70" s="153">
        <f>IFERROR('Similarity matrix'!CG70/'Denominator matrix'!$D$24, "NA")</f>
        <v>0</v>
      </c>
      <c r="CH70" s="153">
        <f>IFERROR('Similarity matrix'!CH70/'Denominator matrix'!$E$24, "NA")</f>
        <v>0</v>
      </c>
      <c r="CI70" s="153">
        <f>IFERROR('Similarity matrix'!CI70/'Denominator matrix'!$F$24, "NA")</f>
        <v>0</v>
      </c>
      <c r="CJ70" s="153">
        <f>IFERROR('Similarity matrix'!CJ70/'Denominator matrix'!$G$24, "NA")</f>
        <v>0</v>
      </c>
      <c r="CK70" s="153">
        <f>IFERROR('Similarity matrix'!CK70/'Denominator matrix'!$H$24, "NA")</f>
        <v>0</v>
      </c>
      <c r="CL70" s="156">
        <f>IFERROR('Similarity matrix'!CL70/'Denominator matrix'!$I$24, "NA")</f>
        <v>0</v>
      </c>
      <c r="CM70" s="153">
        <f>IFERROR('Similarity matrix'!CM70/'Denominator matrix'!$J$24, "NA")</f>
        <v>0</v>
      </c>
      <c r="CN70" s="153">
        <f>IFERROR('Similarity matrix'!CN70/'Denominator matrix'!$K$24, "NA")</f>
        <v>0</v>
      </c>
      <c r="CO70" s="154">
        <f>IFERROR('Similarity matrix'!CO70/'Denominator matrix'!$B$24, "NA")</f>
        <v>0</v>
      </c>
      <c r="CP70" s="153">
        <f>IFERROR('Similarity matrix'!CP70/'Denominator matrix'!$C$24, "NA")</f>
        <v>0</v>
      </c>
      <c r="CQ70" s="153">
        <f>IFERROR('Similarity matrix'!CQ70/'Denominator matrix'!$D$24, "NA")</f>
        <v>0</v>
      </c>
      <c r="CR70" s="153">
        <f>IFERROR('Similarity matrix'!CR70/'Denominator matrix'!$E$24, "NA")</f>
        <v>0</v>
      </c>
      <c r="CS70" s="153">
        <f>IFERROR('Similarity matrix'!CS70/'Denominator matrix'!$F$24, "NA")</f>
        <v>0</v>
      </c>
      <c r="CT70" s="153">
        <f>IFERROR('Similarity matrix'!CT70/'Denominator matrix'!$G$24, "NA")</f>
        <v>0</v>
      </c>
      <c r="CU70" s="153">
        <f>IFERROR('Similarity matrix'!CU70/'Denominator matrix'!$H$24, "NA")</f>
        <v>0</v>
      </c>
      <c r="CV70" s="156">
        <f>IFERROR('Similarity matrix'!CV70/'Denominator matrix'!$I$24, "NA")</f>
        <v>0</v>
      </c>
      <c r="CW70" s="153">
        <f>IFERROR('Similarity matrix'!CW70/'Denominator matrix'!$J$24, "NA")</f>
        <v>0</v>
      </c>
      <c r="CX70" s="153">
        <f>IFERROR('Similarity matrix'!CX70/'Denominator matrix'!$K$24, "NA")</f>
        <v>0</v>
      </c>
    </row>
    <row r="71" ht="35.25" customHeight="1">
      <c r="B71" s="124">
        <v>45907.0</v>
      </c>
      <c r="C71" s="154">
        <f>IFERROR('Similarity matrix'!C71/'Denominator matrix'!$B$25, "NA")</f>
        <v>0</v>
      </c>
      <c r="D71" s="153">
        <f>IFERROR('Similarity matrix'!D71/'Denominator matrix'!$C$25, "NA")</f>
        <v>0</v>
      </c>
      <c r="E71" s="153">
        <f>IFERROR('Similarity matrix'!E71/'Denominator matrix'!$D$25, "NA")</f>
        <v>0</v>
      </c>
      <c r="F71" s="153">
        <f>IFERROR('Similarity matrix'!F71/'Denominator matrix'!$E$25, "NA")</f>
        <v>0</v>
      </c>
      <c r="G71" s="153">
        <f>IFERROR('Similarity matrix'!G71/'Denominator matrix'!$F$25, "NA")</f>
        <v>0</v>
      </c>
      <c r="H71" s="153">
        <f>IFERROR('Similarity matrix'!H71/'Denominator matrix'!$G$25, "NA")</f>
        <v>0</v>
      </c>
      <c r="I71" s="153">
        <f>IFERROR('Similarity matrix'!I71/'Denominator matrix'!$H$25, "NA")</f>
        <v>0</v>
      </c>
      <c r="J71" s="153">
        <f>IFERROR('Similarity matrix'!J71/'Denominator matrix'!$I$25, "NA")</f>
        <v>0</v>
      </c>
      <c r="K71" s="156">
        <f>IFERROR('Similarity matrix'!K71/'Denominator matrix'!$J$25, "NA")</f>
        <v>0</v>
      </c>
      <c r="L71" s="153">
        <f>IFERROR('Similarity matrix'!L71/'Denominator matrix'!$K$25, "NA")</f>
        <v>0</v>
      </c>
      <c r="M71" s="154">
        <f>IFERROR('Similarity matrix'!M71/'Denominator matrix'!$B$25, "NA")</f>
        <v>0</v>
      </c>
      <c r="N71" s="153">
        <f>IFERROR('Similarity matrix'!N71/'Denominator matrix'!$C$25, "NA")</f>
        <v>0</v>
      </c>
      <c r="O71" s="153">
        <f>IFERROR('Similarity matrix'!O71/'Denominator matrix'!$D$25, "NA")</f>
        <v>0</v>
      </c>
      <c r="P71" s="153">
        <f>IFERROR('Similarity matrix'!P71/'Denominator matrix'!$E$25, "NA")</f>
        <v>0</v>
      </c>
      <c r="Q71" s="153">
        <f>IFERROR('Similarity matrix'!Q71/'Denominator matrix'!$F$25, "NA")</f>
        <v>0</v>
      </c>
      <c r="R71" s="153">
        <f>IFERROR('Similarity matrix'!R71/'Denominator matrix'!$G$25, "NA")</f>
        <v>0</v>
      </c>
      <c r="S71" s="153">
        <f>IFERROR('Similarity matrix'!S71/'Denominator matrix'!$H$25, "NA")</f>
        <v>0</v>
      </c>
      <c r="T71" s="153">
        <f>IFERROR('Similarity matrix'!T71/'Denominator matrix'!$I$25, "NA")</f>
        <v>0</v>
      </c>
      <c r="U71" s="156">
        <f>IFERROR('Similarity matrix'!U71/'Denominator matrix'!$J$25, "NA")</f>
        <v>0</v>
      </c>
      <c r="V71" s="153">
        <f>IFERROR('Similarity matrix'!V71/'Denominator matrix'!$K$25, "NA")</f>
        <v>0</v>
      </c>
      <c r="W71" s="154">
        <f>IFERROR('Similarity matrix'!W71/'Denominator matrix'!$B$25, "NA")</f>
        <v>0</v>
      </c>
      <c r="X71" s="153">
        <f>IFERROR('Similarity matrix'!X71/'Denominator matrix'!$C$25, "NA")</f>
        <v>0</v>
      </c>
      <c r="Y71" s="153">
        <f>IFERROR('Similarity matrix'!Y71/'Denominator matrix'!$D$25, "NA")</f>
        <v>0</v>
      </c>
      <c r="Z71" s="153">
        <f>IFERROR('Similarity matrix'!Z71/'Denominator matrix'!$E$25, "NA")</f>
        <v>0</v>
      </c>
      <c r="AA71" s="153">
        <f>IFERROR('Similarity matrix'!AA71/'Denominator matrix'!$F$25, "NA")</f>
        <v>0</v>
      </c>
      <c r="AB71" s="153">
        <f>IFERROR('Similarity matrix'!AB71/'Denominator matrix'!$G$25, "NA")</f>
        <v>0</v>
      </c>
      <c r="AC71" s="153">
        <f>IFERROR('Similarity matrix'!AC71/'Denominator matrix'!$H$25, "NA")</f>
        <v>0</v>
      </c>
      <c r="AD71" s="153">
        <f>IFERROR('Similarity matrix'!AD71/'Denominator matrix'!$I$25, "NA")</f>
        <v>0</v>
      </c>
      <c r="AE71" s="156">
        <f>IFERROR('Similarity matrix'!AE71/'Denominator matrix'!$J$25, "NA")</f>
        <v>0</v>
      </c>
      <c r="AF71" s="153">
        <f>IFERROR('Similarity matrix'!AF71/'Denominator matrix'!$K$25, "NA")</f>
        <v>0</v>
      </c>
      <c r="AG71" s="154">
        <f>IFERROR('Similarity matrix'!AG71/'Denominator matrix'!$B$25, "NA")</f>
        <v>0</v>
      </c>
      <c r="AH71" s="153">
        <f>IFERROR('Similarity matrix'!AH71/'Denominator matrix'!$C$25, "NA")</f>
        <v>0</v>
      </c>
      <c r="AI71" s="153">
        <f>IFERROR('Similarity matrix'!AI71/'Denominator matrix'!$D$25, "NA")</f>
        <v>0</v>
      </c>
      <c r="AJ71" s="153">
        <f>IFERROR('Similarity matrix'!AJ71/'Denominator matrix'!$E$25, "NA")</f>
        <v>0</v>
      </c>
      <c r="AK71" s="153">
        <f>IFERROR('Similarity matrix'!AK71/'Denominator matrix'!$F$25, "NA")</f>
        <v>0</v>
      </c>
      <c r="AL71" s="153">
        <f>IFERROR('Similarity matrix'!AL71/'Denominator matrix'!$G$25, "NA")</f>
        <v>0</v>
      </c>
      <c r="AM71" s="153">
        <f>IFERROR('Similarity matrix'!AM71/'Denominator matrix'!$H$25, "NA")</f>
        <v>0</v>
      </c>
      <c r="AN71" s="153">
        <f>IFERROR('Similarity matrix'!AN71/'Denominator matrix'!$I$25, "NA")</f>
        <v>0</v>
      </c>
      <c r="AO71" s="156">
        <f>IFERROR('Similarity matrix'!AO71/'Denominator matrix'!$J$25, "NA")</f>
        <v>0</v>
      </c>
      <c r="AP71" s="153">
        <f>IFERROR('Similarity matrix'!AP71/'Denominator matrix'!$K$25, "NA")</f>
        <v>0</v>
      </c>
      <c r="AQ71" s="154">
        <f>IFERROR('Similarity matrix'!AQ71/'Denominator matrix'!$B$25, "NA")</f>
        <v>0</v>
      </c>
      <c r="AR71" s="153">
        <f>IFERROR('Similarity matrix'!AR71/'Denominator matrix'!$C$25, "NA")</f>
        <v>0</v>
      </c>
      <c r="AS71" s="153">
        <f>IFERROR('Similarity matrix'!AS71/'Denominator matrix'!$D$25, "NA")</f>
        <v>0</v>
      </c>
      <c r="AT71" s="153">
        <f>IFERROR('Similarity matrix'!AT71/'Denominator matrix'!$E$25, "NA")</f>
        <v>0</v>
      </c>
      <c r="AU71" s="153">
        <f>IFERROR('Similarity matrix'!AU71/'Denominator matrix'!$F$25, "NA")</f>
        <v>0</v>
      </c>
      <c r="AV71" s="153">
        <f>IFERROR('Similarity matrix'!AV71/'Denominator matrix'!$G$25, "NA")</f>
        <v>0</v>
      </c>
      <c r="AW71" s="153">
        <f>IFERROR('Similarity matrix'!AW71/'Denominator matrix'!$H$25, "NA")</f>
        <v>0</v>
      </c>
      <c r="AX71" s="153">
        <f>IFERROR('Similarity matrix'!AX71/'Denominator matrix'!$I$25, "NA")</f>
        <v>0</v>
      </c>
      <c r="AY71" s="156">
        <f>IFERROR('Similarity matrix'!AY71/'Denominator matrix'!$J$25, "NA")</f>
        <v>0</v>
      </c>
      <c r="AZ71" s="153">
        <f>IFERROR('Similarity matrix'!AZ71/'Denominator matrix'!$K$25, "NA")</f>
        <v>0</v>
      </c>
      <c r="BA71" s="154">
        <f>IFERROR('Similarity matrix'!BA71/'Denominator matrix'!$B$25, "NA")</f>
        <v>0</v>
      </c>
      <c r="BB71" s="153">
        <f>IFERROR('Similarity matrix'!BB71/'Denominator matrix'!$C$25, "NA")</f>
        <v>0</v>
      </c>
      <c r="BC71" s="153">
        <f>IFERROR('Similarity matrix'!BC71/'Denominator matrix'!$D$25, "NA")</f>
        <v>0</v>
      </c>
      <c r="BD71" s="153">
        <f>IFERROR('Similarity matrix'!BD71/'Denominator matrix'!$E$25, "NA")</f>
        <v>0</v>
      </c>
      <c r="BE71" s="153">
        <f>IFERROR('Similarity matrix'!BE71/'Denominator matrix'!$F$25, "NA")</f>
        <v>0</v>
      </c>
      <c r="BF71" s="153">
        <f>IFERROR('Similarity matrix'!BF71/'Denominator matrix'!$G$25, "NA")</f>
        <v>0</v>
      </c>
      <c r="BG71" s="153">
        <f>IFERROR('Similarity matrix'!BG71/'Denominator matrix'!$H$25, "NA")</f>
        <v>0</v>
      </c>
      <c r="BH71" s="153">
        <f>IFERROR('Similarity matrix'!BH71/'Denominator matrix'!$I$25, "NA")</f>
        <v>0</v>
      </c>
      <c r="BI71" s="156">
        <f>IFERROR('Similarity matrix'!BI71/'Denominator matrix'!$J$25, "NA")</f>
        <v>0</v>
      </c>
      <c r="BJ71" s="153">
        <f>IFERROR('Similarity matrix'!BJ71/'Denominator matrix'!$K$25, "NA")</f>
        <v>0</v>
      </c>
      <c r="BK71" s="154">
        <f>IFERROR('Similarity matrix'!BK71/'Denominator matrix'!$B$25, "NA")</f>
        <v>0.9</v>
      </c>
      <c r="BL71" s="153">
        <f>IFERROR('Similarity matrix'!BL71/'Denominator matrix'!$C$25, "NA")</f>
        <v>1</v>
      </c>
      <c r="BM71" s="153">
        <f>IFERROR('Similarity matrix'!BM71/'Denominator matrix'!$D$25, "NA")</f>
        <v>1</v>
      </c>
      <c r="BN71" s="153">
        <f>IFERROR('Similarity matrix'!BN71/'Denominator matrix'!$E$25, "NA")</f>
        <v>1</v>
      </c>
      <c r="BO71" s="153">
        <f>IFERROR('Similarity matrix'!BO71/'Denominator matrix'!$F$25, "NA")</f>
        <v>0.8333333333</v>
      </c>
      <c r="BP71" s="153">
        <f>IFERROR('Similarity matrix'!BP71/'Denominator matrix'!$G$25, "NA")</f>
        <v>1</v>
      </c>
      <c r="BQ71" s="153">
        <f>IFERROR('Similarity matrix'!BQ71/'Denominator matrix'!$H$25, "NA")</f>
        <v>1</v>
      </c>
      <c r="BR71" s="153">
        <f>IFERROR('Similarity matrix'!BR71/'Denominator matrix'!$I$25, "NA")</f>
        <v>0.75</v>
      </c>
      <c r="BS71" s="155">
        <f>IFERROR('Similarity matrix'!BS71/'Denominator matrix'!$J$25, "NA")</f>
        <v>0</v>
      </c>
      <c r="BT71" s="153">
        <f>IFERROR('Similarity matrix'!BT71/'Denominator matrix'!$K$25, "NA")</f>
        <v>1</v>
      </c>
      <c r="BU71" s="154">
        <f>IFERROR('Similarity matrix'!BU71/'Denominator matrix'!$B$25, "NA")</f>
        <v>0.1</v>
      </c>
      <c r="BV71" s="153">
        <f>IFERROR('Similarity matrix'!BV71/'Denominator matrix'!$C$25, "NA")</f>
        <v>0</v>
      </c>
      <c r="BW71" s="153">
        <f>IFERROR('Similarity matrix'!BW71/'Denominator matrix'!$D$25, "NA")</f>
        <v>0</v>
      </c>
      <c r="BX71" s="153">
        <f>IFERROR('Similarity matrix'!BX71/'Denominator matrix'!$E$25, "NA")</f>
        <v>0</v>
      </c>
      <c r="BY71" s="153">
        <f>IFERROR('Similarity matrix'!BY71/'Denominator matrix'!$F$25, "NA")</f>
        <v>0</v>
      </c>
      <c r="BZ71" s="153">
        <f>IFERROR('Similarity matrix'!BZ71/'Denominator matrix'!$G$25, "NA")</f>
        <v>0</v>
      </c>
      <c r="CA71" s="153">
        <f>IFERROR('Similarity matrix'!CA71/'Denominator matrix'!$H$25, "NA")</f>
        <v>0</v>
      </c>
      <c r="CB71" s="153">
        <f>IFERROR('Similarity matrix'!CB71/'Denominator matrix'!$I$25, "NA")</f>
        <v>0</v>
      </c>
      <c r="CC71" s="156">
        <f>IFERROR('Similarity matrix'!CC71/'Denominator matrix'!$J$25, "NA")</f>
        <v>0</v>
      </c>
      <c r="CD71" s="153">
        <f>IFERROR('Similarity matrix'!CD71/'Denominator matrix'!$K$25, "NA")</f>
        <v>0</v>
      </c>
      <c r="CE71" s="154">
        <f>IFERROR('Similarity matrix'!CE71/'Denominator matrix'!$B$25, "NA")</f>
        <v>0</v>
      </c>
      <c r="CF71" s="153">
        <f>IFERROR('Similarity matrix'!CF71/'Denominator matrix'!$C$25, "NA")</f>
        <v>0</v>
      </c>
      <c r="CG71" s="153">
        <f>IFERROR('Similarity matrix'!CG71/'Denominator matrix'!$D$25, "NA")</f>
        <v>0</v>
      </c>
      <c r="CH71" s="153">
        <f>IFERROR('Similarity matrix'!CH71/'Denominator matrix'!$E$25, "NA")</f>
        <v>0</v>
      </c>
      <c r="CI71" s="153">
        <f>IFERROR('Similarity matrix'!CI71/'Denominator matrix'!$F$25, "NA")</f>
        <v>0</v>
      </c>
      <c r="CJ71" s="153">
        <f>IFERROR('Similarity matrix'!CJ71/'Denominator matrix'!$G$25, "NA")</f>
        <v>0</v>
      </c>
      <c r="CK71" s="153">
        <f>IFERROR('Similarity matrix'!CK71/'Denominator matrix'!$H$25, "NA")</f>
        <v>0</v>
      </c>
      <c r="CL71" s="153">
        <f>IFERROR('Similarity matrix'!CL71/'Denominator matrix'!$I$25, "NA")</f>
        <v>0</v>
      </c>
      <c r="CM71" s="156">
        <f>IFERROR('Similarity matrix'!CM71/'Denominator matrix'!$J$25, "NA")</f>
        <v>0</v>
      </c>
      <c r="CN71" s="153">
        <f>IFERROR('Similarity matrix'!CN71/'Denominator matrix'!$K$25, "NA")</f>
        <v>0</v>
      </c>
      <c r="CO71" s="154">
        <f>IFERROR('Similarity matrix'!CO71/'Denominator matrix'!$B$25, "NA")</f>
        <v>0</v>
      </c>
      <c r="CP71" s="153">
        <f>IFERROR('Similarity matrix'!CP71/'Denominator matrix'!$C$25, "NA")</f>
        <v>0</v>
      </c>
      <c r="CQ71" s="153">
        <f>IFERROR('Similarity matrix'!CQ71/'Denominator matrix'!$D$25, "NA")</f>
        <v>0</v>
      </c>
      <c r="CR71" s="153">
        <f>IFERROR('Similarity matrix'!CR71/'Denominator matrix'!$E$25, "NA")</f>
        <v>0</v>
      </c>
      <c r="CS71" s="153">
        <f>IFERROR('Similarity matrix'!CS71/'Denominator matrix'!$F$25, "NA")</f>
        <v>0</v>
      </c>
      <c r="CT71" s="153">
        <f>IFERROR('Similarity matrix'!CT71/'Denominator matrix'!$G$25, "NA")</f>
        <v>0</v>
      </c>
      <c r="CU71" s="153">
        <f>IFERROR('Similarity matrix'!CU71/'Denominator matrix'!$H$25, "NA")</f>
        <v>0</v>
      </c>
      <c r="CV71" s="153">
        <f>IFERROR('Similarity matrix'!CV71/'Denominator matrix'!$I$25, "NA")</f>
        <v>0</v>
      </c>
      <c r="CW71" s="156">
        <f>IFERROR('Similarity matrix'!CW71/'Denominator matrix'!$J$25, "NA")</f>
        <v>0</v>
      </c>
      <c r="CX71" s="153">
        <f>IFERROR('Similarity matrix'!CX71/'Denominator matrix'!$K$25, "NA")</f>
        <v>0</v>
      </c>
    </row>
    <row r="72" ht="35.25" customHeight="1">
      <c r="A72" s="103"/>
      <c r="B72" s="126">
        <v>45937.0</v>
      </c>
      <c r="C72" s="157">
        <f>IFERROR('Similarity matrix'!C72/'Denominator matrix'!$B$26, "NA")</f>
        <v>0</v>
      </c>
      <c r="D72" s="158">
        <f>IFERROR('Similarity matrix'!D72/'Denominator matrix'!$C$26, "NA")</f>
        <v>0</v>
      </c>
      <c r="E72" s="158">
        <f>IFERROR('Similarity matrix'!E72/'Denominator matrix'!$D$26, "NA")</f>
        <v>0</v>
      </c>
      <c r="F72" s="158">
        <f>IFERROR('Similarity matrix'!F72/'Denominator matrix'!$E$26, "NA")</f>
        <v>0</v>
      </c>
      <c r="G72" s="158">
        <f>IFERROR('Similarity matrix'!G72/'Denominator matrix'!$F$26, "NA")</f>
        <v>0</v>
      </c>
      <c r="H72" s="158">
        <f>IFERROR('Similarity matrix'!H72/'Denominator matrix'!$G$26, "NA")</f>
        <v>0</v>
      </c>
      <c r="I72" s="158">
        <f>IFERROR('Similarity matrix'!I72/'Denominator matrix'!$H$26, "NA")</f>
        <v>0</v>
      </c>
      <c r="J72" s="158">
        <f>IFERROR('Similarity matrix'!J72/'Denominator matrix'!$I$26, "NA")</f>
        <v>0</v>
      </c>
      <c r="K72" s="158">
        <f>IFERROR('Similarity matrix'!K72/'Denominator matrix'!$J$26, "NA")</f>
        <v>0</v>
      </c>
      <c r="L72" s="160">
        <f>IFERROR('Similarity matrix'!L72/'Denominator matrix'!$K$26, "NA")</f>
        <v>0</v>
      </c>
      <c r="M72" s="157">
        <f>IFERROR('Similarity matrix'!M72/'Denominator matrix'!$B$26, "NA")</f>
        <v>0</v>
      </c>
      <c r="N72" s="158">
        <f>IFERROR('Similarity matrix'!N72/'Denominator matrix'!$C$26, "NA")</f>
        <v>0</v>
      </c>
      <c r="O72" s="158">
        <f>IFERROR('Similarity matrix'!O72/'Denominator matrix'!$D$26, "NA")</f>
        <v>0</v>
      </c>
      <c r="P72" s="158">
        <f>IFERROR('Similarity matrix'!P72/'Denominator matrix'!$E$26, "NA")</f>
        <v>0</v>
      </c>
      <c r="Q72" s="158">
        <f>IFERROR('Similarity matrix'!Q72/'Denominator matrix'!$F$26, "NA")</f>
        <v>0</v>
      </c>
      <c r="R72" s="158">
        <f>IFERROR('Similarity matrix'!R72/'Denominator matrix'!$G$26, "NA")</f>
        <v>0</v>
      </c>
      <c r="S72" s="158">
        <f>IFERROR('Similarity matrix'!S72/'Denominator matrix'!$H$26, "NA")</f>
        <v>0</v>
      </c>
      <c r="T72" s="158">
        <f>IFERROR('Similarity matrix'!T72/'Denominator matrix'!$I$26, "NA")</f>
        <v>0</v>
      </c>
      <c r="U72" s="158">
        <f>IFERROR('Similarity matrix'!U72/'Denominator matrix'!$J$26, "NA")</f>
        <v>0</v>
      </c>
      <c r="V72" s="160">
        <f>IFERROR('Similarity matrix'!V72/'Denominator matrix'!$K$26, "NA")</f>
        <v>0</v>
      </c>
      <c r="W72" s="157">
        <f>IFERROR('Similarity matrix'!W72/'Denominator matrix'!$B$26, "NA")</f>
        <v>0</v>
      </c>
      <c r="X72" s="158">
        <f>IFERROR('Similarity matrix'!X72/'Denominator matrix'!$C$26, "NA")</f>
        <v>0</v>
      </c>
      <c r="Y72" s="158">
        <f>IFERROR('Similarity matrix'!Y72/'Denominator matrix'!$D$26, "NA")</f>
        <v>0</v>
      </c>
      <c r="Z72" s="158">
        <f>IFERROR('Similarity matrix'!Z72/'Denominator matrix'!$E$26, "NA")</f>
        <v>0</v>
      </c>
      <c r="AA72" s="158">
        <f>IFERROR('Similarity matrix'!AA72/'Denominator matrix'!$F$26, "NA")</f>
        <v>0</v>
      </c>
      <c r="AB72" s="158">
        <f>IFERROR('Similarity matrix'!AB72/'Denominator matrix'!$G$26, "NA")</f>
        <v>0</v>
      </c>
      <c r="AC72" s="158">
        <f>IFERROR('Similarity matrix'!AC72/'Denominator matrix'!$H$26, "NA")</f>
        <v>0</v>
      </c>
      <c r="AD72" s="158">
        <f>IFERROR('Similarity matrix'!AD72/'Denominator matrix'!$I$26, "NA")</f>
        <v>0</v>
      </c>
      <c r="AE72" s="158">
        <f>IFERROR('Similarity matrix'!AE72/'Denominator matrix'!$J$26, "NA")</f>
        <v>0</v>
      </c>
      <c r="AF72" s="160">
        <f>IFERROR('Similarity matrix'!AF72/'Denominator matrix'!$K$26, "NA")</f>
        <v>0</v>
      </c>
      <c r="AG72" s="157">
        <f>IFERROR('Similarity matrix'!AG72/'Denominator matrix'!$B$26, "NA")</f>
        <v>0</v>
      </c>
      <c r="AH72" s="158">
        <f>IFERROR('Similarity matrix'!AH72/'Denominator matrix'!$C$26, "NA")</f>
        <v>0</v>
      </c>
      <c r="AI72" s="158">
        <f>IFERROR('Similarity matrix'!AI72/'Denominator matrix'!$D$26, "NA")</f>
        <v>0</v>
      </c>
      <c r="AJ72" s="158">
        <f>IFERROR('Similarity matrix'!AJ72/'Denominator matrix'!$E$26, "NA")</f>
        <v>0</v>
      </c>
      <c r="AK72" s="158">
        <f>IFERROR('Similarity matrix'!AK72/'Denominator matrix'!$F$26, "NA")</f>
        <v>0</v>
      </c>
      <c r="AL72" s="158">
        <f>IFERROR('Similarity matrix'!AL72/'Denominator matrix'!$G$26, "NA")</f>
        <v>0</v>
      </c>
      <c r="AM72" s="158">
        <f>IFERROR('Similarity matrix'!AM72/'Denominator matrix'!$H$26, "NA")</f>
        <v>0</v>
      </c>
      <c r="AN72" s="158">
        <f>IFERROR('Similarity matrix'!AN72/'Denominator matrix'!$I$26, "NA")</f>
        <v>0</v>
      </c>
      <c r="AO72" s="158">
        <f>IFERROR('Similarity matrix'!AO72/'Denominator matrix'!$J$26, "NA")</f>
        <v>0</v>
      </c>
      <c r="AP72" s="160">
        <f>IFERROR('Similarity matrix'!AP72/'Denominator matrix'!$K$26, "NA")</f>
        <v>0</v>
      </c>
      <c r="AQ72" s="157">
        <f>IFERROR('Similarity matrix'!AQ72/'Denominator matrix'!$B$26, "NA")</f>
        <v>0</v>
      </c>
      <c r="AR72" s="158">
        <f>IFERROR('Similarity matrix'!AR72/'Denominator matrix'!$C$26, "NA")</f>
        <v>0</v>
      </c>
      <c r="AS72" s="158">
        <f>IFERROR('Similarity matrix'!AS72/'Denominator matrix'!$D$26, "NA")</f>
        <v>0</v>
      </c>
      <c r="AT72" s="158">
        <f>IFERROR('Similarity matrix'!AT72/'Denominator matrix'!$E$26, "NA")</f>
        <v>0</v>
      </c>
      <c r="AU72" s="158">
        <f>IFERROR('Similarity matrix'!AU72/'Denominator matrix'!$F$26, "NA")</f>
        <v>0</v>
      </c>
      <c r="AV72" s="158">
        <f>IFERROR('Similarity matrix'!AV72/'Denominator matrix'!$G$26, "NA")</f>
        <v>0</v>
      </c>
      <c r="AW72" s="158">
        <f>IFERROR('Similarity matrix'!AW72/'Denominator matrix'!$H$26, "NA")</f>
        <v>0</v>
      </c>
      <c r="AX72" s="158">
        <f>IFERROR('Similarity matrix'!AX72/'Denominator matrix'!$I$26, "NA")</f>
        <v>0</v>
      </c>
      <c r="AY72" s="158">
        <f>IFERROR('Similarity matrix'!AY72/'Denominator matrix'!$J$26, "NA")</f>
        <v>0</v>
      </c>
      <c r="AZ72" s="160">
        <f>IFERROR('Similarity matrix'!AZ72/'Denominator matrix'!$K$26, "NA")</f>
        <v>0</v>
      </c>
      <c r="BA72" s="157">
        <f>IFERROR('Similarity matrix'!BA72/'Denominator matrix'!$B$26, "NA")</f>
        <v>0</v>
      </c>
      <c r="BB72" s="158">
        <f>IFERROR('Similarity matrix'!BB72/'Denominator matrix'!$C$26, "NA")</f>
        <v>0</v>
      </c>
      <c r="BC72" s="158">
        <f>IFERROR('Similarity matrix'!BC72/'Denominator matrix'!$D$26, "NA")</f>
        <v>0.1666666667</v>
      </c>
      <c r="BD72" s="158">
        <f>IFERROR('Similarity matrix'!BD72/'Denominator matrix'!$E$26, "NA")</f>
        <v>0</v>
      </c>
      <c r="BE72" s="158">
        <f>IFERROR('Similarity matrix'!BE72/'Denominator matrix'!$F$26, "NA")</f>
        <v>0</v>
      </c>
      <c r="BF72" s="158">
        <f>IFERROR('Similarity matrix'!BF72/'Denominator matrix'!$G$26, "NA")</f>
        <v>0</v>
      </c>
      <c r="BG72" s="158">
        <f>IFERROR('Similarity matrix'!BG72/'Denominator matrix'!$H$26, "NA")</f>
        <v>0</v>
      </c>
      <c r="BH72" s="158">
        <f>IFERROR('Similarity matrix'!BH72/'Denominator matrix'!$I$26, "NA")</f>
        <v>0</v>
      </c>
      <c r="BI72" s="158">
        <f>IFERROR('Similarity matrix'!BI72/'Denominator matrix'!$J$26, "NA")</f>
        <v>0</v>
      </c>
      <c r="BJ72" s="160">
        <f>IFERROR('Similarity matrix'!BJ72/'Denominator matrix'!$K$26, "NA")</f>
        <v>0.07142857143</v>
      </c>
      <c r="BK72" s="157">
        <f>IFERROR('Similarity matrix'!BK72/'Denominator matrix'!$B$26, "NA")</f>
        <v>1</v>
      </c>
      <c r="BL72" s="158">
        <f>IFERROR('Similarity matrix'!BL72/'Denominator matrix'!$C$26, "NA")</f>
        <v>1</v>
      </c>
      <c r="BM72" s="158">
        <f>IFERROR('Similarity matrix'!BM72/'Denominator matrix'!$D$26, "NA")</f>
        <v>1</v>
      </c>
      <c r="BN72" s="158">
        <f>IFERROR('Similarity matrix'!BN72/'Denominator matrix'!$E$26, "NA")</f>
        <v>1</v>
      </c>
      <c r="BO72" s="158">
        <f>IFERROR('Similarity matrix'!BO72/'Denominator matrix'!$F$26, "NA")</f>
        <v>1</v>
      </c>
      <c r="BP72" s="158">
        <f>IFERROR('Similarity matrix'!BP72/'Denominator matrix'!$G$26, "NA")</f>
        <v>1</v>
      </c>
      <c r="BQ72" s="158">
        <f>IFERROR('Similarity matrix'!BQ72/'Denominator matrix'!$H$26, "NA")</f>
        <v>1</v>
      </c>
      <c r="BR72" s="158">
        <f>IFERROR('Similarity matrix'!BR72/'Denominator matrix'!$I$26, "NA")</f>
        <v>1</v>
      </c>
      <c r="BS72" s="158">
        <f>IFERROR('Similarity matrix'!BS72/'Denominator matrix'!$J$26, "NA")</f>
        <v>1</v>
      </c>
      <c r="BT72" s="159">
        <f>IFERROR('Similarity matrix'!BT72/'Denominator matrix'!$K$26, "NA")</f>
        <v>0</v>
      </c>
      <c r="BU72" s="157">
        <f>IFERROR('Similarity matrix'!BU72/'Denominator matrix'!$B$26, "NA")</f>
        <v>0</v>
      </c>
      <c r="BV72" s="158">
        <f>IFERROR('Similarity matrix'!BV72/'Denominator matrix'!$C$26, "NA")</f>
        <v>0</v>
      </c>
      <c r="BW72" s="158">
        <f>IFERROR('Similarity matrix'!BW72/'Denominator matrix'!$D$26, "NA")</f>
        <v>0</v>
      </c>
      <c r="BX72" s="158">
        <f>IFERROR('Similarity matrix'!BX72/'Denominator matrix'!$E$26, "NA")</f>
        <v>0</v>
      </c>
      <c r="BY72" s="158">
        <f>IFERROR('Similarity matrix'!BY72/'Denominator matrix'!$F$26, "NA")</f>
        <v>0</v>
      </c>
      <c r="BZ72" s="158">
        <f>IFERROR('Similarity matrix'!BZ72/'Denominator matrix'!$G$26, "NA")</f>
        <v>0</v>
      </c>
      <c r="CA72" s="158">
        <f>IFERROR('Similarity matrix'!CA72/'Denominator matrix'!$H$26, "NA")</f>
        <v>0</v>
      </c>
      <c r="CB72" s="158">
        <f>IFERROR('Similarity matrix'!CB72/'Denominator matrix'!$I$26, "NA")</f>
        <v>0</v>
      </c>
      <c r="CC72" s="158">
        <f>IFERROR('Similarity matrix'!CC72/'Denominator matrix'!$J$26, "NA")</f>
        <v>0</v>
      </c>
      <c r="CD72" s="160">
        <f>IFERROR('Similarity matrix'!CD72/'Denominator matrix'!$K$26, "NA")</f>
        <v>0.07142857143</v>
      </c>
      <c r="CE72" s="157">
        <f>IFERROR('Similarity matrix'!CE72/'Denominator matrix'!$B$26, "NA")</f>
        <v>0</v>
      </c>
      <c r="CF72" s="158">
        <f>IFERROR('Similarity matrix'!CF72/'Denominator matrix'!$C$26, "NA")</f>
        <v>0</v>
      </c>
      <c r="CG72" s="158">
        <f>IFERROR('Similarity matrix'!CG72/'Denominator matrix'!$D$26, "NA")</f>
        <v>0</v>
      </c>
      <c r="CH72" s="158">
        <f>IFERROR('Similarity matrix'!CH72/'Denominator matrix'!$E$26, "NA")</f>
        <v>0</v>
      </c>
      <c r="CI72" s="158">
        <f>IFERROR('Similarity matrix'!CI72/'Denominator matrix'!$F$26, "NA")</f>
        <v>0</v>
      </c>
      <c r="CJ72" s="158">
        <f>IFERROR('Similarity matrix'!CJ72/'Denominator matrix'!$G$26, "NA")</f>
        <v>0</v>
      </c>
      <c r="CK72" s="158">
        <f>IFERROR('Similarity matrix'!CK72/'Denominator matrix'!$H$26, "NA")</f>
        <v>0</v>
      </c>
      <c r="CL72" s="158">
        <f>IFERROR('Similarity matrix'!CL72/'Denominator matrix'!$I$26, "NA")</f>
        <v>0</v>
      </c>
      <c r="CM72" s="158">
        <f>IFERROR('Similarity matrix'!CM72/'Denominator matrix'!$J$26, "NA")</f>
        <v>0</v>
      </c>
      <c r="CN72" s="160">
        <f>IFERROR('Similarity matrix'!CN72/'Denominator matrix'!$K$26, "NA")</f>
        <v>0</v>
      </c>
      <c r="CO72" s="157">
        <f>IFERROR('Similarity matrix'!CO72/'Denominator matrix'!$B$26, "NA")</f>
        <v>0</v>
      </c>
      <c r="CP72" s="158">
        <f>IFERROR('Similarity matrix'!CP72/'Denominator matrix'!$C$26, "NA")</f>
        <v>0</v>
      </c>
      <c r="CQ72" s="158">
        <f>IFERROR('Similarity matrix'!CQ72/'Denominator matrix'!$D$26, "NA")</f>
        <v>0</v>
      </c>
      <c r="CR72" s="158">
        <f>IFERROR('Similarity matrix'!CR72/'Denominator matrix'!$E$26, "NA")</f>
        <v>0</v>
      </c>
      <c r="CS72" s="158">
        <f>IFERROR('Similarity matrix'!CS72/'Denominator matrix'!$F$26, "NA")</f>
        <v>0</v>
      </c>
      <c r="CT72" s="158">
        <f>IFERROR('Similarity matrix'!CT72/'Denominator matrix'!$G$26, "NA")</f>
        <v>0</v>
      </c>
      <c r="CU72" s="158">
        <f>IFERROR('Similarity matrix'!CU72/'Denominator matrix'!$H$26, "NA")</f>
        <v>0</v>
      </c>
      <c r="CV72" s="158">
        <f>IFERROR('Similarity matrix'!CV72/'Denominator matrix'!$I$26, "NA")</f>
        <v>0</v>
      </c>
      <c r="CW72" s="158">
        <f>IFERROR('Similarity matrix'!CW72/'Denominator matrix'!$J$26, "NA")</f>
        <v>0</v>
      </c>
      <c r="CX72" s="160">
        <f>IFERROR('Similarity matrix'!CX72/'Denominator matrix'!$K$26, "NA")</f>
        <v>0</v>
      </c>
    </row>
    <row r="73" ht="35.25" customHeight="1">
      <c r="A73" s="134" t="s">
        <v>2942</v>
      </c>
      <c r="B73" s="124">
        <v>45665.0</v>
      </c>
      <c r="C73" s="154">
        <f>IFERROR('Similarity matrix'!C73/'Denominator matrix'!$B$17, "NA")</f>
        <v>0</v>
      </c>
      <c r="D73" s="153">
        <f>IFERROR('Similarity matrix'!D73/'Denominator matrix'!$C$17, "NA")</f>
        <v>0</v>
      </c>
      <c r="E73" s="153">
        <f>IFERROR('Similarity matrix'!E73/'Denominator matrix'!$D$17, "NA")</f>
        <v>0</v>
      </c>
      <c r="F73" s="153">
        <f>IFERROR('Similarity matrix'!F73/'Denominator matrix'!$E$17, "NA")</f>
        <v>0</v>
      </c>
      <c r="G73" s="153">
        <f>IFERROR('Similarity matrix'!G73/'Denominator matrix'!$F$17, "NA")</f>
        <v>0</v>
      </c>
      <c r="H73" s="153">
        <f>IFERROR('Similarity matrix'!H73/'Denominator matrix'!$G$17, "NA")</f>
        <v>0</v>
      </c>
      <c r="I73" s="153">
        <f>IFERROR('Similarity matrix'!I73/'Denominator matrix'!$H$17, "NA")</f>
        <v>0</v>
      </c>
      <c r="J73" s="153">
        <f>IFERROR('Similarity matrix'!J73/'Denominator matrix'!$I$17, "NA")</f>
        <v>0</v>
      </c>
      <c r="K73" s="153">
        <f>IFERROR('Similarity matrix'!K73/'Denominator matrix'!$J$17, "NA")</f>
        <v>0</v>
      </c>
      <c r="L73" s="153">
        <f>IFERROR('Similarity matrix'!L73/'Denominator matrix'!$K$17, "NA")</f>
        <v>0</v>
      </c>
      <c r="M73" s="154">
        <f>IFERROR('Similarity matrix'!M73/'Denominator matrix'!$B$17, "NA")</f>
        <v>0</v>
      </c>
      <c r="N73" s="153">
        <f>IFERROR('Similarity matrix'!N73/'Denominator matrix'!$C$17, "NA")</f>
        <v>0</v>
      </c>
      <c r="O73" s="153">
        <f>IFERROR('Similarity matrix'!O73/'Denominator matrix'!$D$17, "NA")</f>
        <v>0</v>
      </c>
      <c r="P73" s="153">
        <f>IFERROR('Similarity matrix'!P73/'Denominator matrix'!$E$17, "NA")</f>
        <v>0</v>
      </c>
      <c r="Q73" s="153">
        <f>IFERROR('Similarity matrix'!Q73/'Denominator matrix'!$F$17, "NA")</f>
        <v>0</v>
      </c>
      <c r="R73" s="153">
        <f>IFERROR('Similarity matrix'!R73/'Denominator matrix'!$G$17, "NA")</f>
        <v>0</v>
      </c>
      <c r="S73" s="153">
        <f>IFERROR('Similarity matrix'!S73/'Denominator matrix'!$H$17, "NA")</f>
        <v>0</v>
      </c>
      <c r="T73" s="153">
        <f>IFERROR('Similarity matrix'!T73/'Denominator matrix'!$I$17, "NA")</f>
        <v>0</v>
      </c>
      <c r="U73" s="153">
        <f>IFERROR('Similarity matrix'!U73/'Denominator matrix'!$J$17, "NA")</f>
        <v>0</v>
      </c>
      <c r="V73" s="153">
        <f>IFERROR('Similarity matrix'!V73/'Denominator matrix'!$K$17, "NA")</f>
        <v>0</v>
      </c>
      <c r="W73" s="154">
        <f>IFERROR('Similarity matrix'!W73/'Denominator matrix'!$B$17, "NA")</f>
        <v>0</v>
      </c>
      <c r="X73" s="153">
        <f>IFERROR('Similarity matrix'!X73/'Denominator matrix'!$C$17, "NA")</f>
        <v>0</v>
      </c>
      <c r="Y73" s="153">
        <f>IFERROR('Similarity matrix'!Y73/'Denominator matrix'!$D$17, "NA")</f>
        <v>0</v>
      </c>
      <c r="Z73" s="153">
        <f>IFERROR('Similarity matrix'!Z73/'Denominator matrix'!$E$17, "NA")</f>
        <v>0</v>
      </c>
      <c r="AA73" s="153">
        <f>IFERROR('Similarity matrix'!AA73/'Denominator matrix'!$F$17, "NA")</f>
        <v>0</v>
      </c>
      <c r="AB73" s="153">
        <f>IFERROR('Similarity matrix'!AB73/'Denominator matrix'!$G$17, "NA")</f>
        <v>0</v>
      </c>
      <c r="AC73" s="153">
        <f>IFERROR('Similarity matrix'!AC73/'Denominator matrix'!$H$17, "NA")</f>
        <v>0</v>
      </c>
      <c r="AD73" s="153">
        <f>IFERROR('Similarity matrix'!AD73/'Denominator matrix'!$I$17, "NA")</f>
        <v>0</v>
      </c>
      <c r="AE73" s="153">
        <f>IFERROR('Similarity matrix'!AE73/'Denominator matrix'!$J$17, "NA")</f>
        <v>0</v>
      </c>
      <c r="AF73" s="153">
        <f>IFERROR('Similarity matrix'!AF73/'Denominator matrix'!$K$17, "NA")</f>
        <v>0</v>
      </c>
      <c r="AG73" s="154">
        <f>IFERROR('Similarity matrix'!AG73/'Denominator matrix'!$B$17, "NA")</f>
        <v>0</v>
      </c>
      <c r="AH73" s="153">
        <f>IFERROR('Similarity matrix'!AH73/'Denominator matrix'!$C$17, "NA")</f>
        <v>0</v>
      </c>
      <c r="AI73" s="153">
        <f>IFERROR('Similarity matrix'!AI73/'Denominator matrix'!$D$17, "NA")</f>
        <v>0</v>
      </c>
      <c r="AJ73" s="153">
        <f>IFERROR('Similarity matrix'!AJ73/'Denominator matrix'!$E$17, "NA")</f>
        <v>0</v>
      </c>
      <c r="AK73" s="153">
        <f>IFERROR('Similarity matrix'!AK73/'Denominator matrix'!$F$17, "NA")</f>
        <v>0</v>
      </c>
      <c r="AL73" s="153">
        <f>IFERROR('Similarity matrix'!AL73/'Denominator matrix'!$G$17, "NA")</f>
        <v>0</v>
      </c>
      <c r="AM73" s="153">
        <f>IFERROR('Similarity matrix'!AM73/'Denominator matrix'!$H$17, "NA")</f>
        <v>0</v>
      </c>
      <c r="AN73" s="153">
        <f>IFERROR('Similarity matrix'!AN73/'Denominator matrix'!$I$17, "NA")</f>
        <v>0</v>
      </c>
      <c r="AO73" s="153">
        <f>IFERROR('Similarity matrix'!AO73/'Denominator matrix'!$J$17, "NA")</f>
        <v>0</v>
      </c>
      <c r="AP73" s="153">
        <f>IFERROR('Similarity matrix'!AP73/'Denominator matrix'!$K$17, "NA")</f>
        <v>0</v>
      </c>
      <c r="AQ73" s="154">
        <f>IFERROR('Similarity matrix'!AQ73/'Denominator matrix'!$B$17, "NA")</f>
        <v>0</v>
      </c>
      <c r="AR73" s="153">
        <f>IFERROR('Similarity matrix'!AR73/'Denominator matrix'!$C$17, "NA")</f>
        <v>0</v>
      </c>
      <c r="AS73" s="153">
        <f>IFERROR('Similarity matrix'!AS73/'Denominator matrix'!$D$17, "NA")</f>
        <v>0</v>
      </c>
      <c r="AT73" s="153">
        <f>IFERROR('Similarity matrix'!AT73/'Denominator matrix'!$E$17, "NA")</f>
        <v>0</v>
      </c>
      <c r="AU73" s="153">
        <f>IFERROR('Similarity matrix'!AU73/'Denominator matrix'!$F$17, "NA")</f>
        <v>0</v>
      </c>
      <c r="AV73" s="153">
        <f>IFERROR('Similarity matrix'!AV73/'Denominator matrix'!$G$17, "NA")</f>
        <v>0</v>
      </c>
      <c r="AW73" s="153">
        <f>IFERROR('Similarity matrix'!AW73/'Denominator matrix'!$H$17, "NA")</f>
        <v>0</v>
      </c>
      <c r="AX73" s="153">
        <f>IFERROR('Similarity matrix'!AX73/'Denominator matrix'!$I$17, "NA")</f>
        <v>0</v>
      </c>
      <c r="AY73" s="153">
        <f>IFERROR('Similarity matrix'!AY73/'Denominator matrix'!$J$17, "NA")</f>
        <v>0</v>
      </c>
      <c r="AZ73" s="153">
        <f>IFERROR('Similarity matrix'!AZ73/'Denominator matrix'!$K$17, "NA")</f>
        <v>0</v>
      </c>
      <c r="BA73" s="154">
        <f>IFERROR('Similarity matrix'!BA73/'Denominator matrix'!$B$17, "NA")</f>
        <v>0</v>
      </c>
      <c r="BB73" s="153">
        <f>IFERROR('Similarity matrix'!BB73/'Denominator matrix'!$C$17, "NA")</f>
        <v>0</v>
      </c>
      <c r="BC73" s="153">
        <f>IFERROR('Similarity matrix'!BC73/'Denominator matrix'!$D$17, "NA")</f>
        <v>0</v>
      </c>
      <c r="BD73" s="153">
        <f>IFERROR('Similarity matrix'!BD73/'Denominator matrix'!$E$17, "NA")</f>
        <v>0</v>
      </c>
      <c r="BE73" s="153">
        <f>IFERROR('Similarity matrix'!BE73/'Denominator matrix'!$F$17, "NA")</f>
        <v>0</v>
      </c>
      <c r="BF73" s="153">
        <f>IFERROR('Similarity matrix'!BF73/'Denominator matrix'!$G$17, "NA")</f>
        <v>0</v>
      </c>
      <c r="BG73" s="153">
        <f>IFERROR('Similarity matrix'!BG73/'Denominator matrix'!$H$17, "NA")</f>
        <v>0</v>
      </c>
      <c r="BH73" s="153">
        <f>IFERROR('Similarity matrix'!BH73/'Denominator matrix'!$I$17, "NA")</f>
        <v>0</v>
      </c>
      <c r="BI73" s="153">
        <f>IFERROR('Similarity matrix'!BI73/'Denominator matrix'!$J$17, "NA")</f>
        <v>0</v>
      </c>
      <c r="BJ73" s="153">
        <f>IFERROR('Similarity matrix'!BJ73/'Denominator matrix'!$K$17, "NA")</f>
        <v>0</v>
      </c>
      <c r="BK73" s="154">
        <f>IFERROR('Similarity matrix'!BK73/'Denominator matrix'!$B$17, "NA")</f>
        <v>0.05555555556</v>
      </c>
      <c r="BL73" s="153">
        <f>IFERROR('Similarity matrix'!BL73/'Denominator matrix'!$C$17, "NA")</f>
        <v>0</v>
      </c>
      <c r="BM73" s="153">
        <f>IFERROR('Similarity matrix'!BM73/'Denominator matrix'!$D$17, "NA")</f>
        <v>0</v>
      </c>
      <c r="BN73" s="153">
        <f>IFERROR('Similarity matrix'!BN73/'Denominator matrix'!$E$17, "NA")</f>
        <v>0</v>
      </c>
      <c r="BO73" s="153">
        <f>IFERROR('Similarity matrix'!BO73/'Denominator matrix'!$F$17, "NA")</f>
        <v>0</v>
      </c>
      <c r="BP73" s="153">
        <f>IFERROR('Similarity matrix'!BP73/'Denominator matrix'!$G$17, "NA")</f>
        <v>0.1</v>
      </c>
      <c r="BQ73" s="153">
        <f>IFERROR('Similarity matrix'!BQ73/'Denominator matrix'!$H$17, "NA")</f>
        <v>0.25</v>
      </c>
      <c r="BR73" s="153">
        <f>IFERROR('Similarity matrix'!BR73/'Denominator matrix'!$I$17, "NA")</f>
        <v>0</v>
      </c>
      <c r="BS73" s="153">
        <f>IFERROR('Similarity matrix'!BS73/'Denominator matrix'!$J$17, "NA")</f>
        <v>0.1</v>
      </c>
      <c r="BT73" s="153">
        <f>IFERROR('Similarity matrix'!BT73/'Denominator matrix'!$K$17, "NA")</f>
        <v>0</v>
      </c>
      <c r="BU73" s="152">
        <f>IFERROR('Similarity matrix'!BU73/'Denominator matrix'!$B$17, "NA")</f>
        <v>0</v>
      </c>
      <c r="BV73" s="153">
        <f>IFERROR('Similarity matrix'!BV73/'Denominator matrix'!$C$17, "NA")</f>
        <v>1</v>
      </c>
      <c r="BW73" s="153">
        <f>IFERROR('Similarity matrix'!BW73/'Denominator matrix'!$D$17, "NA")</f>
        <v>0.25</v>
      </c>
      <c r="BX73" s="153">
        <f>IFERROR('Similarity matrix'!BX73/'Denominator matrix'!$E$17, "NA")</f>
        <v>0.5</v>
      </c>
      <c r="BY73" s="153">
        <f>IFERROR('Similarity matrix'!BY73/'Denominator matrix'!$F$17, "NA")</f>
        <v>0.8</v>
      </c>
      <c r="BZ73" s="153">
        <f>IFERROR('Similarity matrix'!BZ73/'Denominator matrix'!$G$17, "NA")</f>
        <v>0.7</v>
      </c>
      <c r="CA73" s="153">
        <f>IFERROR('Similarity matrix'!CA73/'Denominator matrix'!$H$17, "NA")</f>
        <v>0.5</v>
      </c>
      <c r="CB73" s="153">
        <f>IFERROR('Similarity matrix'!CB73/'Denominator matrix'!$I$17, "NA")</f>
        <v>0.75</v>
      </c>
      <c r="CC73" s="153">
        <f>IFERROR('Similarity matrix'!CC73/'Denominator matrix'!$J$17, "NA")</f>
        <v>0.8</v>
      </c>
      <c r="CD73" s="153">
        <f>IFERROR('Similarity matrix'!CD73/'Denominator matrix'!$K$17, "NA")</f>
        <v>1</v>
      </c>
      <c r="CE73" s="154">
        <f>IFERROR('Similarity matrix'!CE73/'Denominator matrix'!$B$17, "NA")</f>
        <v>0</v>
      </c>
      <c r="CF73" s="153">
        <f>IFERROR('Similarity matrix'!CF73/'Denominator matrix'!$C$17, "NA")</f>
        <v>0</v>
      </c>
      <c r="CG73" s="153">
        <f>IFERROR('Similarity matrix'!CG73/'Denominator matrix'!$D$17, "NA")</f>
        <v>0</v>
      </c>
      <c r="CH73" s="153">
        <f>IFERROR('Similarity matrix'!CH73/'Denominator matrix'!$E$17, "NA")</f>
        <v>0</v>
      </c>
      <c r="CI73" s="153">
        <f>IFERROR('Similarity matrix'!CI73/'Denominator matrix'!$F$17, "NA")</f>
        <v>0</v>
      </c>
      <c r="CJ73" s="153">
        <f>IFERROR('Similarity matrix'!CJ73/'Denominator matrix'!$G$17, "NA")</f>
        <v>0</v>
      </c>
      <c r="CK73" s="153">
        <f>IFERROR('Similarity matrix'!CK73/'Denominator matrix'!$H$17, "NA")</f>
        <v>0</v>
      </c>
      <c r="CL73" s="153">
        <f>IFERROR('Similarity matrix'!CL73/'Denominator matrix'!$I$17, "NA")</f>
        <v>0</v>
      </c>
      <c r="CM73" s="153">
        <f>IFERROR('Similarity matrix'!CM73/'Denominator matrix'!$J$17, "NA")</f>
        <v>0</v>
      </c>
      <c r="CN73" s="153">
        <f>IFERROR('Similarity matrix'!CN73/'Denominator matrix'!$K$17, "NA")</f>
        <v>0</v>
      </c>
      <c r="CO73" s="154">
        <f>IFERROR('Similarity matrix'!CO73/'Denominator matrix'!$B$17, "NA")</f>
        <v>0</v>
      </c>
      <c r="CP73" s="153">
        <f>IFERROR('Similarity matrix'!CP73/'Denominator matrix'!$C$17, "NA")</f>
        <v>0</v>
      </c>
      <c r="CQ73" s="153">
        <f>IFERROR('Similarity matrix'!CQ73/'Denominator matrix'!$D$17, "NA")</f>
        <v>0</v>
      </c>
      <c r="CR73" s="153">
        <f>IFERROR('Similarity matrix'!CR73/'Denominator matrix'!$E$17, "NA")</f>
        <v>0</v>
      </c>
      <c r="CS73" s="153">
        <f>IFERROR('Similarity matrix'!CS73/'Denominator matrix'!$F$17, "NA")</f>
        <v>0</v>
      </c>
      <c r="CT73" s="153">
        <f>IFERROR('Similarity matrix'!CT73/'Denominator matrix'!$G$17, "NA")</f>
        <v>0</v>
      </c>
      <c r="CU73" s="153">
        <f>IFERROR('Similarity matrix'!CU73/'Denominator matrix'!$H$17, "NA")</f>
        <v>0</v>
      </c>
      <c r="CV73" s="153">
        <f>IFERROR('Similarity matrix'!CV73/'Denominator matrix'!$I$17, "NA")</f>
        <v>0</v>
      </c>
      <c r="CW73" s="153">
        <f>IFERROR('Similarity matrix'!CW73/'Denominator matrix'!$J$17, "NA")</f>
        <v>0</v>
      </c>
      <c r="CX73" s="153">
        <f>IFERROR('Similarity matrix'!CX73/'Denominator matrix'!$K$17, "NA")</f>
        <v>0</v>
      </c>
    </row>
    <row r="74" ht="35.25" customHeight="1">
      <c r="B74" s="124">
        <v>45696.0</v>
      </c>
      <c r="C74" s="154">
        <f>IFERROR('Similarity matrix'!C74/'Denominator matrix'!$B$18, "NA")</f>
        <v>0</v>
      </c>
      <c r="D74" s="156">
        <f>IFERROR('Similarity matrix'!D74/'Denominator matrix'!$C$18, "NA")</f>
        <v>0.07142857143</v>
      </c>
      <c r="E74" s="153">
        <f>IFERROR('Similarity matrix'!E74/'Denominator matrix'!$D$18, "NA")</f>
        <v>0.25</v>
      </c>
      <c r="F74" s="153">
        <f>IFERROR('Similarity matrix'!F74/'Denominator matrix'!$E$18, "NA")</f>
        <v>0</v>
      </c>
      <c r="G74" s="153">
        <f>IFERROR('Similarity matrix'!G74/'Denominator matrix'!$F$18, "NA")</f>
        <v>0.1666666667</v>
      </c>
      <c r="H74" s="153">
        <f>IFERROR('Similarity matrix'!H74/'Denominator matrix'!$G$18, "NA")</f>
        <v>0</v>
      </c>
      <c r="I74" s="153">
        <f>IFERROR('Similarity matrix'!I74/'Denominator matrix'!$H$18, "NA")</f>
        <v>0</v>
      </c>
      <c r="J74" s="153">
        <f>IFERROR('Similarity matrix'!J74/'Denominator matrix'!$I$18, "NA")</f>
        <v>0</v>
      </c>
      <c r="K74" s="153">
        <f>IFERROR('Similarity matrix'!K74/'Denominator matrix'!$J$18, "NA")</f>
        <v>0</v>
      </c>
      <c r="L74" s="153">
        <f>IFERROR('Similarity matrix'!L74/'Denominator matrix'!$K$18, "NA")</f>
        <v>0</v>
      </c>
      <c r="M74" s="154">
        <f>IFERROR('Similarity matrix'!M74/'Denominator matrix'!$B$18, "NA")</f>
        <v>0</v>
      </c>
      <c r="N74" s="156">
        <f>IFERROR('Similarity matrix'!N74/'Denominator matrix'!$C$18, "NA")</f>
        <v>0</v>
      </c>
      <c r="O74" s="153">
        <f>IFERROR('Similarity matrix'!O74/'Denominator matrix'!$D$18, "NA")</f>
        <v>0</v>
      </c>
      <c r="P74" s="153">
        <f>IFERROR('Similarity matrix'!P74/'Denominator matrix'!$E$18, "NA")</f>
        <v>0</v>
      </c>
      <c r="Q74" s="153">
        <f>IFERROR('Similarity matrix'!Q74/'Denominator matrix'!$F$18, "NA")</f>
        <v>0</v>
      </c>
      <c r="R74" s="153">
        <f>IFERROR('Similarity matrix'!R74/'Denominator matrix'!$G$18, "NA")</f>
        <v>0</v>
      </c>
      <c r="S74" s="153">
        <f>IFERROR('Similarity matrix'!S74/'Denominator matrix'!$H$18, "NA")</f>
        <v>0</v>
      </c>
      <c r="T74" s="153">
        <f>IFERROR('Similarity matrix'!T74/'Denominator matrix'!$I$18, "NA")</f>
        <v>0</v>
      </c>
      <c r="U74" s="153">
        <f>IFERROR('Similarity matrix'!U74/'Denominator matrix'!$J$18, "NA")</f>
        <v>0</v>
      </c>
      <c r="V74" s="153">
        <f>IFERROR('Similarity matrix'!V74/'Denominator matrix'!$K$18, "NA")</f>
        <v>0</v>
      </c>
      <c r="W74" s="154">
        <f>IFERROR('Similarity matrix'!W74/'Denominator matrix'!$B$18, "NA")</f>
        <v>0</v>
      </c>
      <c r="X74" s="156">
        <f>IFERROR('Similarity matrix'!X74/'Denominator matrix'!$C$18, "NA")</f>
        <v>0</v>
      </c>
      <c r="Y74" s="153">
        <f>IFERROR('Similarity matrix'!Y74/'Denominator matrix'!$D$18, "NA")</f>
        <v>0</v>
      </c>
      <c r="Z74" s="153">
        <f>IFERROR('Similarity matrix'!Z74/'Denominator matrix'!$E$18, "NA")</f>
        <v>0</v>
      </c>
      <c r="AA74" s="153">
        <f>IFERROR('Similarity matrix'!AA74/'Denominator matrix'!$F$18, "NA")</f>
        <v>0</v>
      </c>
      <c r="AB74" s="153">
        <f>IFERROR('Similarity matrix'!AB74/'Denominator matrix'!$G$18, "NA")</f>
        <v>0</v>
      </c>
      <c r="AC74" s="153">
        <f>IFERROR('Similarity matrix'!AC74/'Denominator matrix'!$H$18, "NA")</f>
        <v>0</v>
      </c>
      <c r="AD74" s="153">
        <f>IFERROR('Similarity matrix'!AD74/'Denominator matrix'!$I$18, "NA")</f>
        <v>0</v>
      </c>
      <c r="AE74" s="153">
        <f>IFERROR('Similarity matrix'!AE74/'Denominator matrix'!$J$18, "NA")</f>
        <v>0</v>
      </c>
      <c r="AF74" s="153">
        <f>IFERROR('Similarity matrix'!AF74/'Denominator matrix'!$K$18, "NA")</f>
        <v>0</v>
      </c>
      <c r="AG74" s="154">
        <f>IFERROR('Similarity matrix'!AG74/'Denominator matrix'!$B$18, "NA")</f>
        <v>0</v>
      </c>
      <c r="AH74" s="156">
        <f>IFERROR('Similarity matrix'!AH74/'Denominator matrix'!$C$18, "NA")</f>
        <v>0</v>
      </c>
      <c r="AI74" s="153">
        <f>IFERROR('Similarity matrix'!AI74/'Denominator matrix'!$D$18, "NA")</f>
        <v>0</v>
      </c>
      <c r="AJ74" s="153">
        <f>IFERROR('Similarity matrix'!AJ74/'Denominator matrix'!$E$18, "NA")</f>
        <v>0</v>
      </c>
      <c r="AK74" s="153">
        <f>IFERROR('Similarity matrix'!AK74/'Denominator matrix'!$F$18, "NA")</f>
        <v>0</v>
      </c>
      <c r="AL74" s="153">
        <f>IFERROR('Similarity matrix'!AL74/'Denominator matrix'!$G$18, "NA")</f>
        <v>0</v>
      </c>
      <c r="AM74" s="153">
        <f>IFERROR('Similarity matrix'!AM74/'Denominator matrix'!$H$18, "NA")</f>
        <v>0</v>
      </c>
      <c r="AN74" s="153">
        <f>IFERROR('Similarity matrix'!AN74/'Denominator matrix'!$I$18, "NA")</f>
        <v>0</v>
      </c>
      <c r="AO74" s="153">
        <f>IFERROR('Similarity matrix'!AO74/'Denominator matrix'!$J$18, "NA")</f>
        <v>0</v>
      </c>
      <c r="AP74" s="153">
        <f>IFERROR('Similarity matrix'!AP74/'Denominator matrix'!$K$18, "NA")</f>
        <v>0</v>
      </c>
      <c r="AQ74" s="154">
        <f>IFERROR('Similarity matrix'!AQ74/'Denominator matrix'!$B$18, "NA")</f>
        <v>0</v>
      </c>
      <c r="AR74" s="156">
        <f>IFERROR('Similarity matrix'!AR74/'Denominator matrix'!$C$18, "NA")</f>
        <v>0</v>
      </c>
      <c r="AS74" s="153">
        <f>IFERROR('Similarity matrix'!AS74/'Denominator matrix'!$D$18, "NA")</f>
        <v>0</v>
      </c>
      <c r="AT74" s="153">
        <f>IFERROR('Similarity matrix'!AT74/'Denominator matrix'!$E$18, "NA")</f>
        <v>0</v>
      </c>
      <c r="AU74" s="153">
        <f>IFERROR('Similarity matrix'!AU74/'Denominator matrix'!$F$18, "NA")</f>
        <v>0</v>
      </c>
      <c r="AV74" s="153">
        <f>IFERROR('Similarity matrix'!AV74/'Denominator matrix'!$G$18, "NA")</f>
        <v>0</v>
      </c>
      <c r="AW74" s="153">
        <f>IFERROR('Similarity matrix'!AW74/'Denominator matrix'!$H$18, "NA")</f>
        <v>0</v>
      </c>
      <c r="AX74" s="153">
        <f>IFERROR('Similarity matrix'!AX74/'Denominator matrix'!$I$18, "NA")</f>
        <v>0.25</v>
      </c>
      <c r="AY74" s="153">
        <f>IFERROR('Similarity matrix'!AY74/'Denominator matrix'!$J$18, "NA")</f>
        <v>0</v>
      </c>
      <c r="AZ74" s="153">
        <f>IFERROR('Similarity matrix'!AZ74/'Denominator matrix'!$K$18, "NA")</f>
        <v>0</v>
      </c>
      <c r="BA74" s="154">
        <f>IFERROR('Similarity matrix'!BA74/'Denominator matrix'!$B$18, "NA")</f>
        <v>0</v>
      </c>
      <c r="BB74" s="156">
        <f>IFERROR('Similarity matrix'!BB74/'Denominator matrix'!$C$18, "NA")</f>
        <v>0</v>
      </c>
      <c r="BC74" s="153">
        <f>IFERROR('Similarity matrix'!BC74/'Denominator matrix'!$D$18, "NA")</f>
        <v>0</v>
      </c>
      <c r="BD74" s="153">
        <f>IFERROR('Similarity matrix'!BD74/'Denominator matrix'!$E$18, "NA")</f>
        <v>0</v>
      </c>
      <c r="BE74" s="153">
        <f>IFERROR('Similarity matrix'!BE74/'Denominator matrix'!$F$18, "NA")</f>
        <v>0</v>
      </c>
      <c r="BF74" s="153">
        <f>IFERROR('Similarity matrix'!BF74/'Denominator matrix'!$G$18, "NA")</f>
        <v>0</v>
      </c>
      <c r="BG74" s="153">
        <f>IFERROR('Similarity matrix'!BG74/'Denominator matrix'!$H$18, "NA")</f>
        <v>0</v>
      </c>
      <c r="BH74" s="153">
        <f>IFERROR('Similarity matrix'!BH74/'Denominator matrix'!$I$18, "NA")</f>
        <v>0</v>
      </c>
      <c r="BI74" s="153">
        <f>IFERROR('Similarity matrix'!BI74/'Denominator matrix'!$J$18, "NA")</f>
        <v>0</v>
      </c>
      <c r="BJ74" s="153">
        <f>IFERROR('Similarity matrix'!BJ74/'Denominator matrix'!$K$18, "NA")</f>
        <v>0</v>
      </c>
      <c r="BK74" s="154">
        <f>IFERROR('Similarity matrix'!BK74/'Denominator matrix'!$B$18, "NA")</f>
        <v>0</v>
      </c>
      <c r="BL74" s="156">
        <f>IFERROR('Similarity matrix'!BL74/'Denominator matrix'!$C$18, "NA")</f>
        <v>0</v>
      </c>
      <c r="BM74" s="153">
        <f>IFERROR('Similarity matrix'!BM74/'Denominator matrix'!$D$18, "NA")</f>
        <v>0</v>
      </c>
      <c r="BN74" s="153">
        <f>IFERROR('Similarity matrix'!BN74/'Denominator matrix'!$E$18, "NA")</f>
        <v>0</v>
      </c>
      <c r="BO74" s="153">
        <f>IFERROR('Similarity matrix'!BO74/'Denominator matrix'!$F$18, "NA")</f>
        <v>0</v>
      </c>
      <c r="BP74" s="153">
        <f>IFERROR('Similarity matrix'!BP74/'Denominator matrix'!$G$18, "NA")</f>
        <v>0</v>
      </c>
      <c r="BQ74" s="153">
        <f>IFERROR('Similarity matrix'!BQ74/'Denominator matrix'!$H$18, "NA")</f>
        <v>0</v>
      </c>
      <c r="BR74" s="153">
        <f>IFERROR('Similarity matrix'!BR74/'Denominator matrix'!$I$18, "NA")</f>
        <v>0</v>
      </c>
      <c r="BS74" s="153">
        <f>IFERROR('Similarity matrix'!BS74/'Denominator matrix'!$J$18, "NA")</f>
        <v>0</v>
      </c>
      <c r="BT74" s="153">
        <f>IFERROR('Similarity matrix'!BT74/'Denominator matrix'!$K$18, "NA")</f>
        <v>0</v>
      </c>
      <c r="BU74" s="154">
        <f>IFERROR('Similarity matrix'!BU74/'Denominator matrix'!$B$18, "NA")</f>
        <v>1</v>
      </c>
      <c r="BV74" s="155">
        <f>IFERROR('Similarity matrix'!BV74/'Denominator matrix'!$C$18, "NA")</f>
        <v>0</v>
      </c>
      <c r="BW74" s="153">
        <f>IFERROR('Similarity matrix'!BW74/'Denominator matrix'!$D$18, "NA")</f>
        <v>0.5</v>
      </c>
      <c r="BX74" s="153">
        <f>IFERROR('Similarity matrix'!BX74/'Denominator matrix'!$E$18, "NA")</f>
        <v>1</v>
      </c>
      <c r="BY74" s="153">
        <f>IFERROR('Similarity matrix'!BY74/'Denominator matrix'!$F$18, "NA")</f>
        <v>0.8333333333</v>
      </c>
      <c r="BZ74" s="153">
        <f>IFERROR('Similarity matrix'!BZ74/'Denominator matrix'!$G$18, "NA")</f>
        <v>1</v>
      </c>
      <c r="CA74" s="153">
        <f>IFERROR('Similarity matrix'!CA74/'Denominator matrix'!$H$18, "NA")</f>
        <v>1</v>
      </c>
      <c r="CB74" s="153">
        <f>IFERROR('Similarity matrix'!CB74/'Denominator matrix'!$I$18, "NA")</f>
        <v>0.75</v>
      </c>
      <c r="CC74" s="153">
        <f>IFERROR('Similarity matrix'!CC74/'Denominator matrix'!$J$18, "NA")</f>
        <v>1</v>
      </c>
      <c r="CD74" s="153">
        <f>IFERROR('Similarity matrix'!CD74/'Denominator matrix'!$K$18, "NA")</f>
        <v>0.75</v>
      </c>
      <c r="CE74" s="154">
        <f>IFERROR('Similarity matrix'!CE74/'Denominator matrix'!$B$18, "NA")</f>
        <v>0</v>
      </c>
      <c r="CF74" s="156">
        <f>IFERROR('Similarity matrix'!CF74/'Denominator matrix'!$C$18, "NA")</f>
        <v>0</v>
      </c>
      <c r="CG74" s="153">
        <f>IFERROR('Similarity matrix'!CG74/'Denominator matrix'!$D$18, "NA")</f>
        <v>0</v>
      </c>
      <c r="CH74" s="153">
        <f>IFERROR('Similarity matrix'!CH74/'Denominator matrix'!$E$18, "NA")</f>
        <v>0</v>
      </c>
      <c r="CI74" s="153">
        <f>IFERROR('Similarity matrix'!CI74/'Denominator matrix'!$F$18, "NA")</f>
        <v>0</v>
      </c>
      <c r="CJ74" s="153">
        <f>IFERROR('Similarity matrix'!CJ74/'Denominator matrix'!$G$18, "NA")</f>
        <v>0</v>
      </c>
      <c r="CK74" s="153">
        <f>IFERROR('Similarity matrix'!CK74/'Denominator matrix'!$H$18, "NA")</f>
        <v>0</v>
      </c>
      <c r="CL74" s="153">
        <f>IFERROR('Similarity matrix'!CL74/'Denominator matrix'!$I$18, "NA")</f>
        <v>0</v>
      </c>
      <c r="CM74" s="153">
        <f>IFERROR('Similarity matrix'!CM74/'Denominator matrix'!$J$18, "NA")</f>
        <v>0</v>
      </c>
      <c r="CN74" s="153">
        <f>IFERROR('Similarity matrix'!CN74/'Denominator matrix'!$K$18, "NA")</f>
        <v>0</v>
      </c>
      <c r="CO74" s="154">
        <f>IFERROR('Similarity matrix'!CO74/'Denominator matrix'!$B$18, "NA")</f>
        <v>0</v>
      </c>
      <c r="CP74" s="156">
        <f>IFERROR('Similarity matrix'!CP74/'Denominator matrix'!$C$18, "NA")</f>
        <v>0</v>
      </c>
      <c r="CQ74" s="153">
        <f>IFERROR('Similarity matrix'!CQ74/'Denominator matrix'!$D$18, "NA")</f>
        <v>0</v>
      </c>
      <c r="CR74" s="153">
        <f>IFERROR('Similarity matrix'!CR74/'Denominator matrix'!$E$18, "NA")</f>
        <v>0</v>
      </c>
      <c r="CS74" s="153">
        <f>IFERROR('Similarity matrix'!CS74/'Denominator matrix'!$F$18, "NA")</f>
        <v>0</v>
      </c>
      <c r="CT74" s="153">
        <f>IFERROR('Similarity matrix'!CT74/'Denominator matrix'!$G$18, "NA")</f>
        <v>0</v>
      </c>
      <c r="CU74" s="153">
        <f>IFERROR('Similarity matrix'!CU74/'Denominator matrix'!$H$18, "NA")</f>
        <v>0</v>
      </c>
      <c r="CV74" s="153">
        <f>IFERROR('Similarity matrix'!CV74/'Denominator matrix'!$I$18, "NA")</f>
        <v>0</v>
      </c>
      <c r="CW74" s="153">
        <f>IFERROR('Similarity matrix'!CW74/'Denominator matrix'!$J$18, "NA")</f>
        <v>0</v>
      </c>
      <c r="CX74" s="153">
        <f>IFERROR('Similarity matrix'!CX74/'Denominator matrix'!$K$18, "NA")</f>
        <v>0</v>
      </c>
    </row>
    <row r="75" ht="35.25" customHeight="1">
      <c r="B75" s="124">
        <v>45724.0</v>
      </c>
      <c r="C75" s="154">
        <f>IFERROR('Similarity matrix'!C75/'Denominator matrix'!$B$19, "NA")</f>
        <v>0</v>
      </c>
      <c r="D75" s="153">
        <f>IFERROR('Similarity matrix'!D75/'Denominator matrix'!$C$19, "NA")</f>
        <v>0</v>
      </c>
      <c r="E75" s="156">
        <f>IFERROR('Similarity matrix'!E75/'Denominator matrix'!$D$19, "NA")</f>
        <v>0</v>
      </c>
      <c r="F75" s="153">
        <f>IFERROR('Similarity matrix'!F75/'Denominator matrix'!$E$19, "NA")</f>
        <v>0</v>
      </c>
      <c r="G75" s="153">
        <f>IFERROR('Similarity matrix'!G75/'Denominator matrix'!$F$19, "NA")</f>
        <v>0</v>
      </c>
      <c r="H75" s="153">
        <f>IFERROR('Similarity matrix'!H75/'Denominator matrix'!$G$19, "NA")</f>
        <v>0</v>
      </c>
      <c r="I75" s="153">
        <f>IFERROR('Similarity matrix'!I75/'Denominator matrix'!$H$19, "NA")</f>
        <v>0</v>
      </c>
      <c r="J75" s="153">
        <f>IFERROR('Similarity matrix'!J75/'Denominator matrix'!$I$19, "NA")</f>
        <v>0</v>
      </c>
      <c r="K75" s="153">
        <f>IFERROR('Similarity matrix'!K75/'Denominator matrix'!$J$19, "NA")</f>
        <v>0.25</v>
      </c>
      <c r="L75" s="153">
        <f>IFERROR('Similarity matrix'!L75/'Denominator matrix'!$K$19, "NA")</f>
        <v>0</v>
      </c>
      <c r="M75" s="154">
        <f>IFERROR('Similarity matrix'!M75/'Denominator matrix'!$B$19, "NA")</f>
        <v>0</v>
      </c>
      <c r="N75" s="153">
        <f>IFERROR('Similarity matrix'!N75/'Denominator matrix'!$C$19, "NA")</f>
        <v>0.25</v>
      </c>
      <c r="O75" s="156">
        <f>IFERROR('Similarity matrix'!O75/'Denominator matrix'!$D$19, "NA")</f>
        <v>0.0625</v>
      </c>
      <c r="P75" s="153">
        <f>IFERROR('Similarity matrix'!P75/'Denominator matrix'!$E$19, "NA")</f>
        <v>0</v>
      </c>
      <c r="Q75" s="153">
        <f>IFERROR('Similarity matrix'!Q75/'Denominator matrix'!$F$19, "NA")</f>
        <v>0</v>
      </c>
      <c r="R75" s="153">
        <f>IFERROR('Similarity matrix'!R75/'Denominator matrix'!$G$19, "NA")</f>
        <v>0</v>
      </c>
      <c r="S75" s="153">
        <f>IFERROR('Similarity matrix'!S75/'Denominator matrix'!$H$19, "NA")</f>
        <v>0.125</v>
      </c>
      <c r="T75" s="153">
        <f>IFERROR('Similarity matrix'!T75/'Denominator matrix'!$I$19, "NA")</f>
        <v>0</v>
      </c>
      <c r="U75" s="153">
        <f>IFERROR('Similarity matrix'!U75/'Denominator matrix'!$J$19, "NA")</f>
        <v>0</v>
      </c>
      <c r="V75" s="153">
        <f>IFERROR('Similarity matrix'!V75/'Denominator matrix'!$K$19, "NA")</f>
        <v>0.1666666667</v>
      </c>
      <c r="W75" s="154">
        <f>IFERROR('Similarity matrix'!W75/'Denominator matrix'!$B$19, "NA")</f>
        <v>0</v>
      </c>
      <c r="X75" s="153">
        <f>IFERROR('Similarity matrix'!X75/'Denominator matrix'!$C$19, "NA")</f>
        <v>0</v>
      </c>
      <c r="Y75" s="156">
        <f>IFERROR('Similarity matrix'!Y75/'Denominator matrix'!$D$19, "NA")</f>
        <v>0</v>
      </c>
      <c r="Z75" s="153">
        <f>IFERROR('Similarity matrix'!Z75/'Denominator matrix'!$E$19, "NA")</f>
        <v>0</v>
      </c>
      <c r="AA75" s="153">
        <f>IFERROR('Similarity matrix'!AA75/'Denominator matrix'!$F$19, "NA")</f>
        <v>0</v>
      </c>
      <c r="AB75" s="153">
        <f>IFERROR('Similarity matrix'!AB75/'Denominator matrix'!$G$19, "NA")</f>
        <v>0</v>
      </c>
      <c r="AC75" s="153">
        <f>IFERROR('Similarity matrix'!AC75/'Denominator matrix'!$H$19, "NA")</f>
        <v>0</v>
      </c>
      <c r="AD75" s="153">
        <f>IFERROR('Similarity matrix'!AD75/'Denominator matrix'!$I$19, "NA")</f>
        <v>0</v>
      </c>
      <c r="AE75" s="153">
        <f>IFERROR('Similarity matrix'!AE75/'Denominator matrix'!$J$19, "NA")</f>
        <v>0</v>
      </c>
      <c r="AF75" s="153">
        <f>IFERROR('Similarity matrix'!AF75/'Denominator matrix'!$K$19, "NA")</f>
        <v>0</v>
      </c>
      <c r="AG75" s="154">
        <f>IFERROR('Similarity matrix'!AG75/'Denominator matrix'!$B$19, "NA")</f>
        <v>0</v>
      </c>
      <c r="AH75" s="153">
        <f>IFERROR('Similarity matrix'!AH75/'Denominator matrix'!$C$19, "NA")</f>
        <v>0</v>
      </c>
      <c r="AI75" s="156">
        <f>IFERROR('Similarity matrix'!AI75/'Denominator matrix'!$D$19, "NA")</f>
        <v>0</v>
      </c>
      <c r="AJ75" s="153">
        <f>IFERROR('Similarity matrix'!AJ75/'Denominator matrix'!$E$19, "NA")</f>
        <v>0</v>
      </c>
      <c r="AK75" s="153">
        <f>IFERROR('Similarity matrix'!AK75/'Denominator matrix'!$F$19, "NA")</f>
        <v>0</v>
      </c>
      <c r="AL75" s="153">
        <f>IFERROR('Similarity matrix'!AL75/'Denominator matrix'!$G$19, "NA")</f>
        <v>0</v>
      </c>
      <c r="AM75" s="153">
        <f>IFERROR('Similarity matrix'!AM75/'Denominator matrix'!$H$19, "NA")</f>
        <v>0</v>
      </c>
      <c r="AN75" s="153">
        <f>IFERROR('Similarity matrix'!AN75/'Denominator matrix'!$I$19, "NA")</f>
        <v>0</v>
      </c>
      <c r="AO75" s="153">
        <f>IFERROR('Similarity matrix'!AO75/'Denominator matrix'!$J$19, "NA")</f>
        <v>0</v>
      </c>
      <c r="AP75" s="153">
        <f>IFERROR('Similarity matrix'!AP75/'Denominator matrix'!$K$19, "NA")</f>
        <v>0</v>
      </c>
      <c r="AQ75" s="154">
        <f>IFERROR('Similarity matrix'!AQ75/'Denominator matrix'!$B$19, "NA")</f>
        <v>0</v>
      </c>
      <c r="AR75" s="153">
        <f>IFERROR('Similarity matrix'!AR75/'Denominator matrix'!$C$19, "NA")</f>
        <v>0</v>
      </c>
      <c r="AS75" s="156">
        <f>IFERROR('Similarity matrix'!AS75/'Denominator matrix'!$D$19, "NA")</f>
        <v>0</v>
      </c>
      <c r="AT75" s="153">
        <f>IFERROR('Similarity matrix'!AT75/'Denominator matrix'!$E$19, "NA")</f>
        <v>0</v>
      </c>
      <c r="AU75" s="153">
        <f>IFERROR('Similarity matrix'!AU75/'Denominator matrix'!$F$19, "NA")</f>
        <v>0</v>
      </c>
      <c r="AV75" s="153">
        <f>IFERROR('Similarity matrix'!AV75/'Denominator matrix'!$G$19, "NA")</f>
        <v>0</v>
      </c>
      <c r="AW75" s="153">
        <f>IFERROR('Similarity matrix'!AW75/'Denominator matrix'!$H$19, "NA")</f>
        <v>0</v>
      </c>
      <c r="AX75" s="153">
        <f>IFERROR('Similarity matrix'!AX75/'Denominator matrix'!$I$19, "NA")</f>
        <v>0</v>
      </c>
      <c r="AY75" s="153">
        <f>IFERROR('Similarity matrix'!AY75/'Denominator matrix'!$J$19, "NA")</f>
        <v>0</v>
      </c>
      <c r="AZ75" s="153">
        <f>IFERROR('Similarity matrix'!AZ75/'Denominator matrix'!$K$19, "NA")</f>
        <v>0</v>
      </c>
      <c r="BA75" s="154">
        <f>IFERROR('Similarity matrix'!BA75/'Denominator matrix'!$B$19, "NA")</f>
        <v>0</v>
      </c>
      <c r="BB75" s="153">
        <f>IFERROR('Similarity matrix'!BB75/'Denominator matrix'!$C$19, "NA")</f>
        <v>0</v>
      </c>
      <c r="BC75" s="156">
        <f>IFERROR('Similarity matrix'!BC75/'Denominator matrix'!$D$19, "NA")</f>
        <v>0</v>
      </c>
      <c r="BD75" s="153">
        <f>IFERROR('Similarity matrix'!BD75/'Denominator matrix'!$E$19, "NA")</f>
        <v>0</v>
      </c>
      <c r="BE75" s="153">
        <f>IFERROR('Similarity matrix'!BE75/'Denominator matrix'!$F$19, "NA")</f>
        <v>0</v>
      </c>
      <c r="BF75" s="153">
        <f>IFERROR('Similarity matrix'!BF75/'Denominator matrix'!$G$19, "NA")</f>
        <v>0</v>
      </c>
      <c r="BG75" s="153">
        <f>IFERROR('Similarity matrix'!BG75/'Denominator matrix'!$H$19, "NA")</f>
        <v>0</v>
      </c>
      <c r="BH75" s="153">
        <f>IFERROR('Similarity matrix'!BH75/'Denominator matrix'!$I$19, "NA")</f>
        <v>0</v>
      </c>
      <c r="BI75" s="153">
        <f>IFERROR('Similarity matrix'!BI75/'Denominator matrix'!$J$19, "NA")</f>
        <v>0</v>
      </c>
      <c r="BJ75" s="153">
        <f>IFERROR('Similarity matrix'!BJ75/'Denominator matrix'!$K$19, "NA")</f>
        <v>0</v>
      </c>
      <c r="BK75" s="154">
        <f>IFERROR('Similarity matrix'!BK75/'Denominator matrix'!$B$19, "NA")</f>
        <v>0</v>
      </c>
      <c r="BL75" s="153">
        <f>IFERROR('Similarity matrix'!BL75/'Denominator matrix'!$C$19, "NA")</f>
        <v>0</v>
      </c>
      <c r="BM75" s="156">
        <f>IFERROR('Similarity matrix'!BM75/'Denominator matrix'!$D$19, "NA")</f>
        <v>0</v>
      </c>
      <c r="BN75" s="153">
        <f>IFERROR('Similarity matrix'!BN75/'Denominator matrix'!$E$19, "NA")</f>
        <v>0</v>
      </c>
      <c r="BO75" s="153">
        <f>IFERROR('Similarity matrix'!BO75/'Denominator matrix'!$F$19, "NA")</f>
        <v>0</v>
      </c>
      <c r="BP75" s="153">
        <f>IFERROR('Similarity matrix'!BP75/'Denominator matrix'!$G$19, "NA")</f>
        <v>0</v>
      </c>
      <c r="BQ75" s="153">
        <f>IFERROR('Similarity matrix'!BQ75/'Denominator matrix'!$H$19, "NA")</f>
        <v>0</v>
      </c>
      <c r="BR75" s="153">
        <f>IFERROR('Similarity matrix'!BR75/'Denominator matrix'!$I$19, "NA")</f>
        <v>0</v>
      </c>
      <c r="BS75" s="153">
        <f>IFERROR('Similarity matrix'!BS75/'Denominator matrix'!$J$19, "NA")</f>
        <v>0</v>
      </c>
      <c r="BT75" s="153">
        <f>IFERROR('Similarity matrix'!BT75/'Denominator matrix'!$K$19, "NA")</f>
        <v>0</v>
      </c>
      <c r="BU75" s="154">
        <f>IFERROR('Similarity matrix'!BU75/'Denominator matrix'!$B$19, "NA")</f>
        <v>0.25</v>
      </c>
      <c r="BV75" s="153">
        <f>IFERROR('Similarity matrix'!BV75/'Denominator matrix'!$C$19, "NA")</f>
        <v>0.5</v>
      </c>
      <c r="BW75" s="155">
        <f>IFERROR('Similarity matrix'!BW75/'Denominator matrix'!$D$19, "NA")</f>
        <v>0</v>
      </c>
      <c r="BX75" s="153">
        <f>IFERROR('Similarity matrix'!BX75/'Denominator matrix'!$E$19, "NA")</f>
        <v>0.625</v>
      </c>
      <c r="BY75" s="153">
        <f>IFERROR('Similarity matrix'!BY75/'Denominator matrix'!$F$19, "NA")</f>
        <v>0.75</v>
      </c>
      <c r="BZ75" s="153">
        <f>IFERROR('Similarity matrix'!BZ75/'Denominator matrix'!$G$19, "NA")</f>
        <v>0.5</v>
      </c>
      <c r="CA75" s="153">
        <f>IFERROR('Similarity matrix'!CA75/'Denominator matrix'!$H$19, "NA")</f>
        <v>0.625</v>
      </c>
      <c r="CB75" s="153">
        <f>IFERROR('Similarity matrix'!CB75/'Denominator matrix'!$I$19, "NA")</f>
        <v>1</v>
      </c>
      <c r="CC75" s="153">
        <f>IFERROR('Similarity matrix'!CC75/'Denominator matrix'!$J$19, "NA")</f>
        <v>1</v>
      </c>
      <c r="CD75" s="153">
        <f>IFERROR('Similarity matrix'!CD75/'Denominator matrix'!$K$19, "NA")</f>
        <v>0.8333333333</v>
      </c>
      <c r="CE75" s="154">
        <f>IFERROR('Similarity matrix'!CE75/'Denominator matrix'!$B$19, "NA")</f>
        <v>0</v>
      </c>
      <c r="CF75" s="153">
        <f>IFERROR('Similarity matrix'!CF75/'Denominator matrix'!$C$19, "NA")</f>
        <v>0</v>
      </c>
      <c r="CG75" s="156">
        <f>IFERROR('Similarity matrix'!CG75/'Denominator matrix'!$D$19, "NA")</f>
        <v>0.0625</v>
      </c>
      <c r="CH75" s="153">
        <f>IFERROR('Similarity matrix'!CH75/'Denominator matrix'!$E$19, "NA")</f>
        <v>0</v>
      </c>
      <c r="CI75" s="153">
        <f>IFERROR('Similarity matrix'!CI75/'Denominator matrix'!$F$19, "NA")</f>
        <v>0</v>
      </c>
      <c r="CJ75" s="153">
        <f>IFERROR('Similarity matrix'!CJ75/'Denominator matrix'!$G$19, "NA")</f>
        <v>0</v>
      </c>
      <c r="CK75" s="153">
        <f>IFERROR('Similarity matrix'!CK75/'Denominator matrix'!$H$19, "NA")</f>
        <v>0</v>
      </c>
      <c r="CL75" s="153">
        <f>IFERROR('Similarity matrix'!CL75/'Denominator matrix'!$I$19, "NA")</f>
        <v>0</v>
      </c>
      <c r="CM75" s="153">
        <f>IFERROR('Similarity matrix'!CM75/'Denominator matrix'!$J$19, "NA")</f>
        <v>0</v>
      </c>
      <c r="CN75" s="153">
        <f>IFERROR('Similarity matrix'!CN75/'Denominator matrix'!$K$19, "NA")</f>
        <v>0</v>
      </c>
      <c r="CO75" s="154">
        <f>IFERROR('Similarity matrix'!CO75/'Denominator matrix'!$B$19, "NA")</f>
        <v>0</v>
      </c>
      <c r="CP75" s="153">
        <f>IFERROR('Similarity matrix'!CP75/'Denominator matrix'!$C$19, "NA")</f>
        <v>0</v>
      </c>
      <c r="CQ75" s="156">
        <f>IFERROR('Similarity matrix'!CQ75/'Denominator matrix'!$D$19, "NA")</f>
        <v>0</v>
      </c>
      <c r="CR75" s="153">
        <f>IFERROR('Similarity matrix'!CR75/'Denominator matrix'!$E$19, "NA")</f>
        <v>0</v>
      </c>
      <c r="CS75" s="153">
        <f>IFERROR('Similarity matrix'!CS75/'Denominator matrix'!$F$19, "NA")</f>
        <v>0</v>
      </c>
      <c r="CT75" s="153">
        <f>IFERROR('Similarity matrix'!CT75/'Denominator matrix'!$G$19, "NA")</f>
        <v>0</v>
      </c>
      <c r="CU75" s="153">
        <f>IFERROR('Similarity matrix'!CU75/'Denominator matrix'!$H$19, "NA")</f>
        <v>0</v>
      </c>
      <c r="CV75" s="153">
        <f>IFERROR('Similarity matrix'!CV75/'Denominator matrix'!$I$19, "NA")</f>
        <v>0</v>
      </c>
      <c r="CW75" s="153">
        <f>IFERROR('Similarity matrix'!CW75/'Denominator matrix'!$J$19, "NA")</f>
        <v>0</v>
      </c>
      <c r="CX75" s="153">
        <f>IFERROR('Similarity matrix'!CX75/'Denominator matrix'!$K$19, "NA")</f>
        <v>0</v>
      </c>
    </row>
    <row r="76" ht="35.25" customHeight="1">
      <c r="B76" s="124">
        <v>45755.0</v>
      </c>
      <c r="C76" s="154">
        <f>IFERROR('Similarity matrix'!C76/'Denominator matrix'!$B$20, "NA")</f>
        <v>0</v>
      </c>
      <c r="D76" s="153">
        <f>IFERROR('Similarity matrix'!D76/'Denominator matrix'!$C$20, "NA")</f>
        <v>0</v>
      </c>
      <c r="E76" s="153">
        <f>IFERROR('Similarity matrix'!E76/'Denominator matrix'!$D$20, "NA")</f>
        <v>0</v>
      </c>
      <c r="F76" s="156">
        <f>IFERROR('Similarity matrix'!F76/'Denominator matrix'!$E$20, "NA")</f>
        <v>0</v>
      </c>
      <c r="G76" s="153">
        <f>IFERROR('Similarity matrix'!G76/'Denominator matrix'!$F$20, "NA")</f>
        <v>0</v>
      </c>
      <c r="H76" s="153">
        <f>IFERROR('Similarity matrix'!H76/'Denominator matrix'!$G$20, "NA")</f>
        <v>0</v>
      </c>
      <c r="I76" s="153">
        <f>IFERROR('Similarity matrix'!I76/'Denominator matrix'!$H$20, "NA")</f>
        <v>0</v>
      </c>
      <c r="J76" s="153">
        <f>IFERROR('Similarity matrix'!J76/'Denominator matrix'!$I$20, "NA")</f>
        <v>0</v>
      </c>
      <c r="K76" s="153">
        <f>IFERROR('Similarity matrix'!K76/'Denominator matrix'!$J$20, "NA")</f>
        <v>0</v>
      </c>
      <c r="L76" s="153">
        <f>IFERROR('Similarity matrix'!L76/'Denominator matrix'!$K$20, "NA")</f>
        <v>0</v>
      </c>
      <c r="M76" s="154">
        <f>IFERROR('Similarity matrix'!M76/'Denominator matrix'!$B$20, "NA")</f>
        <v>0</v>
      </c>
      <c r="N76" s="153">
        <f>IFERROR('Similarity matrix'!N76/'Denominator matrix'!$C$20, "NA")</f>
        <v>0</v>
      </c>
      <c r="O76" s="153">
        <f>IFERROR('Similarity matrix'!O76/'Denominator matrix'!$D$20, "NA")</f>
        <v>0</v>
      </c>
      <c r="P76" s="156">
        <f>IFERROR('Similarity matrix'!P76/'Denominator matrix'!$E$20, "NA")</f>
        <v>0</v>
      </c>
      <c r="Q76" s="153">
        <f>IFERROR('Similarity matrix'!Q76/'Denominator matrix'!$F$20, "NA")</f>
        <v>0</v>
      </c>
      <c r="R76" s="153">
        <f>IFERROR('Similarity matrix'!R76/'Denominator matrix'!$G$20, "NA")</f>
        <v>0</v>
      </c>
      <c r="S76" s="153">
        <f>IFERROR('Similarity matrix'!S76/'Denominator matrix'!$H$20, "NA")</f>
        <v>0</v>
      </c>
      <c r="T76" s="153">
        <f>IFERROR('Similarity matrix'!T76/'Denominator matrix'!$I$20, "NA")</f>
        <v>0</v>
      </c>
      <c r="U76" s="153">
        <f>IFERROR('Similarity matrix'!U76/'Denominator matrix'!$J$20, "NA")</f>
        <v>0</v>
      </c>
      <c r="V76" s="153">
        <f>IFERROR('Similarity matrix'!V76/'Denominator matrix'!$K$20, "NA")</f>
        <v>0</v>
      </c>
      <c r="W76" s="154">
        <f>IFERROR('Similarity matrix'!W76/'Denominator matrix'!$B$20, "NA")</f>
        <v>0</v>
      </c>
      <c r="X76" s="153">
        <f>IFERROR('Similarity matrix'!X76/'Denominator matrix'!$C$20, "NA")</f>
        <v>0</v>
      </c>
      <c r="Y76" s="153">
        <f>IFERROR('Similarity matrix'!Y76/'Denominator matrix'!$D$20, "NA")</f>
        <v>0</v>
      </c>
      <c r="Z76" s="156">
        <f>IFERROR('Similarity matrix'!Z76/'Denominator matrix'!$E$20, "NA")</f>
        <v>0</v>
      </c>
      <c r="AA76" s="153">
        <f>IFERROR('Similarity matrix'!AA76/'Denominator matrix'!$F$20, "NA")</f>
        <v>0</v>
      </c>
      <c r="AB76" s="153">
        <f>IFERROR('Similarity matrix'!AB76/'Denominator matrix'!$G$20, "NA")</f>
        <v>0</v>
      </c>
      <c r="AC76" s="153">
        <f>IFERROR('Similarity matrix'!AC76/'Denominator matrix'!$H$20, "NA")</f>
        <v>0</v>
      </c>
      <c r="AD76" s="153">
        <f>IFERROR('Similarity matrix'!AD76/'Denominator matrix'!$I$20, "NA")</f>
        <v>0</v>
      </c>
      <c r="AE76" s="153">
        <f>IFERROR('Similarity matrix'!AE76/'Denominator matrix'!$J$20, "NA")</f>
        <v>0</v>
      </c>
      <c r="AF76" s="153">
        <f>IFERROR('Similarity matrix'!AF76/'Denominator matrix'!$K$20, "NA")</f>
        <v>0</v>
      </c>
      <c r="AG76" s="154">
        <f>IFERROR('Similarity matrix'!AG76/'Denominator matrix'!$B$20, "NA")</f>
        <v>0</v>
      </c>
      <c r="AH76" s="153">
        <f>IFERROR('Similarity matrix'!AH76/'Denominator matrix'!$C$20, "NA")</f>
        <v>0</v>
      </c>
      <c r="AI76" s="153">
        <f>IFERROR('Similarity matrix'!AI76/'Denominator matrix'!$D$20, "NA")</f>
        <v>0</v>
      </c>
      <c r="AJ76" s="156">
        <f>IFERROR('Similarity matrix'!AJ76/'Denominator matrix'!$E$20, "NA")</f>
        <v>0</v>
      </c>
      <c r="AK76" s="153">
        <f>IFERROR('Similarity matrix'!AK76/'Denominator matrix'!$F$20, "NA")</f>
        <v>0</v>
      </c>
      <c r="AL76" s="153">
        <f>IFERROR('Similarity matrix'!AL76/'Denominator matrix'!$G$20, "NA")</f>
        <v>0</v>
      </c>
      <c r="AM76" s="153">
        <f>IFERROR('Similarity matrix'!AM76/'Denominator matrix'!$H$20, "NA")</f>
        <v>0</v>
      </c>
      <c r="AN76" s="153">
        <f>IFERROR('Similarity matrix'!AN76/'Denominator matrix'!$I$20, "NA")</f>
        <v>0</v>
      </c>
      <c r="AO76" s="153">
        <f>IFERROR('Similarity matrix'!AO76/'Denominator matrix'!$J$20, "NA")</f>
        <v>0</v>
      </c>
      <c r="AP76" s="153">
        <f>IFERROR('Similarity matrix'!AP76/'Denominator matrix'!$K$20, "NA")</f>
        <v>0</v>
      </c>
      <c r="AQ76" s="154">
        <f>IFERROR('Similarity matrix'!AQ76/'Denominator matrix'!$B$20, "NA")</f>
        <v>0</v>
      </c>
      <c r="AR76" s="153">
        <f>IFERROR('Similarity matrix'!AR76/'Denominator matrix'!$C$20, "NA")</f>
        <v>0</v>
      </c>
      <c r="AS76" s="153">
        <f>IFERROR('Similarity matrix'!AS76/'Denominator matrix'!$D$20, "NA")</f>
        <v>0</v>
      </c>
      <c r="AT76" s="156">
        <f>IFERROR('Similarity matrix'!AT76/'Denominator matrix'!$E$20, "NA")</f>
        <v>0</v>
      </c>
      <c r="AU76" s="153">
        <f>IFERROR('Similarity matrix'!AU76/'Denominator matrix'!$F$20, "NA")</f>
        <v>0</v>
      </c>
      <c r="AV76" s="153">
        <f>IFERROR('Similarity matrix'!AV76/'Denominator matrix'!$G$20, "NA")</f>
        <v>0</v>
      </c>
      <c r="AW76" s="153">
        <f>IFERROR('Similarity matrix'!AW76/'Denominator matrix'!$H$20, "NA")</f>
        <v>0</v>
      </c>
      <c r="AX76" s="153">
        <f>IFERROR('Similarity matrix'!AX76/'Denominator matrix'!$I$20, "NA")</f>
        <v>0</v>
      </c>
      <c r="AY76" s="153">
        <f>IFERROR('Similarity matrix'!AY76/'Denominator matrix'!$J$20, "NA")</f>
        <v>0</v>
      </c>
      <c r="AZ76" s="153">
        <f>IFERROR('Similarity matrix'!AZ76/'Denominator matrix'!$K$20, "NA")</f>
        <v>0</v>
      </c>
      <c r="BA76" s="154">
        <f>IFERROR('Similarity matrix'!BA76/'Denominator matrix'!$B$20, "NA")</f>
        <v>0</v>
      </c>
      <c r="BB76" s="153">
        <f>IFERROR('Similarity matrix'!BB76/'Denominator matrix'!$C$20, "NA")</f>
        <v>0</v>
      </c>
      <c r="BC76" s="153">
        <f>IFERROR('Similarity matrix'!BC76/'Denominator matrix'!$D$20, "NA")</f>
        <v>0</v>
      </c>
      <c r="BD76" s="156">
        <f>IFERROR('Similarity matrix'!BD76/'Denominator matrix'!$E$20, "NA")</f>
        <v>0</v>
      </c>
      <c r="BE76" s="153">
        <f>IFERROR('Similarity matrix'!BE76/'Denominator matrix'!$F$20, "NA")</f>
        <v>0</v>
      </c>
      <c r="BF76" s="153">
        <f>IFERROR('Similarity matrix'!BF76/'Denominator matrix'!$G$20, "NA")</f>
        <v>0</v>
      </c>
      <c r="BG76" s="153">
        <f>IFERROR('Similarity matrix'!BG76/'Denominator matrix'!$H$20, "NA")</f>
        <v>0</v>
      </c>
      <c r="BH76" s="153">
        <f>IFERROR('Similarity matrix'!BH76/'Denominator matrix'!$I$20, "NA")</f>
        <v>0</v>
      </c>
      <c r="BI76" s="153">
        <f>IFERROR('Similarity matrix'!BI76/'Denominator matrix'!$J$20, "NA")</f>
        <v>0</v>
      </c>
      <c r="BJ76" s="153">
        <f>IFERROR('Similarity matrix'!BJ76/'Denominator matrix'!$K$20, "NA")</f>
        <v>0</v>
      </c>
      <c r="BK76" s="154">
        <f>IFERROR('Similarity matrix'!BK76/'Denominator matrix'!$B$20, "NA")</f>
        <v>0</v>
      </c>
      <c r="BL76" s="153">
        <f>IFERROR('Similarity matrix'!BL76/'Denominator matrix'!$C$20, "NA")</f>
        <v>0</v>
      </c>
      <c r="BM76" s="153">
        <f>IFERROR('Similarity matrix'!BM76/'Denominator matrix'!$D$20, "NA")</f>
        <v>0</v>
      </c>
      <c r="BN76" s="156">
        <f>IFERROR('Similarity matrix'!BN76/'Denominator matrix'!$E$20, "NA")</f>
        <v>0</v>
      </c>
      <c r="BO76" s="153">
        <f>IFERROR('Similarity matrix'!BO76/'Denominator matrix'!$F$20, "NA")</f>
        <v>0</v>
      </c>
      <c r="BP76" s="153">
        <f>IFERROR('Similarity matrix'!BP76/'Denominator matrix'!$G$20, "NA")</f>
        <v>0</v>
      </c>
      <c r="BQ76" s="153">
        <f>IFERROR('Similarity matrix'!BQ76/'Denominator matrix'!$H$20, "NA")</f>
        <v>0</v>
      </c>
      <c r="BR76" s="153">
        <f>IFERROR('Similarity matrix'!BR76/'Denominator matrix'!$I$20, "NA")</f>
        <v>0</v>
      </c>
      <c r="BS76" s="153">
        <f>IFERROR('Similarity matrix'!BS76/'Denominator matrix'!$J$20, "NA")</f>
        <v>0</v>
      </c>
      <c r="BT76" s="153">
        <f>IFERROR('Similarity matrix'!BT76/'Denominator matrix'!$K$20, "NA")</f>
        <v>0</v>
      </c>
      <c r="BU76" s="154">
        <f>IFERROR('Similarity matrix'!BU76/'Denominator matrix'!$B$20, "NA")</f>
        <v>0.5</v>
      </c>
      <c r="BV76" s="153">
        <f>IFERROR('Similarity matrix'!BV76/'Denominator matrix'!$C$20, "NA")</f>
        <v>1</v>
      </c>
      <c r="BW76" s="153">
        <f>IFERROR('Similarity matrix'!BW76/'Denominator matrix'!$D$20, "NA")</f>
        <v>0.625</v>
      </c>
      <c r="BX76" s="155">
        <f>IFERROR('Similarity matrix'!BX76/'Denominator matrix'!$E$20, "NA")</f>
        <v>0</v>
      </c>
      <c r="BY76" s="153">
        <f>IFERROR('Similarity matrix'!BY76/'Denominator matrix'!$F$20, "NA")</f>
        <v>1</v>
      </c>
      <c r="BZ76" s="153">
        <f>IFERROR('Similarity matrix'!BZ76/'Denominator matrix'!$G$20, "NA")</f>
        <v>0.5</v>
      </c>
      <c r="CA76" s="153">
        <f>IFERROR('Similarity matrix'!CA76/'Denominator matrix'!$H$20, "NA")</f>
        <v>0.9</v>
      </c>
      <c r="CB76" s="153">
        <f>IFERROR('Similarity matrix'!CB76/'Denominator matrix'!$I$20, "NA")</f>
        <v>1</v>
      </c>
      <c r="CC76" s="153">
        <f>IFERROR('Similarity matrix'!CC76/'Denominator matrix'!$J$20, "NA")</f>
        <v>0.8333333333</v>
      </c>
      <c r="CD76" s="153">
        <f>IFERROR('Similarity matrix'!CD76/'Denominator matrix'!$K$20, "NA")</f>
        <v>0.75</v>
      </c>
      <c r="CE76" s="154">
        <f>IFERROR('Similarity matrix'!CE76/'Denominator matrix'!$B$20, "NA")</f>
        <v>0</v>
      </c>
      <c r="CF76" s="153">
        <f>IFERROR('Similarity matrix'!CF76/'Denominator matrix'!$C$20, "NA")</f>
        <v>0</v>
      </c>
      <c r="CG76" s="153">
        <f>IFERROR('Similarity matrix'!CG76/'Denominator matrix'!$D$20, "NA")</f>
        <v>0</v>
      </c>
      <c r="CH76" s="156">
        <f>IFERROR('Similarity matrix'!CH76/'Denominator matrix'!$E$20, "NA")</f>
        <v>0</v>
      </c>
      <c r="CI76" s="153">
        <f>IFERROR('Similarity matrix'!CI76/'Denominator matrix'!$F$20, "NA")</f>
        <v>0</v>
      </c>
      <c r="CJ76" s="153">
        <f>IFERROR('Similarity matrix'!CJ76/'Denominator matrix'!$G$20, "NA")</f>
        <v>0</v>
      </c>
      <c r="CK76" s="153">
        <f>IFERROR('Similarity matrix'!CK76/'Denominator matrix'!$H$20, "NA")</f>
        <v>0</v>
      </c>
      <c r="CL76" s="153">
        <f>IFERROR('Similarity matrix'!CL76/'Denominator matrix'!$I$20, "NA")</f>
        <v>0</v>
      </c>
      <c r="CM76" s="153">
        <f>IFERROR('Similarity matrix'!CM76/'Denominator matrix'!$J$20, "NA")</f>
        <v>0</v>
      </c>
      <c r="CN76" s="153">
        <f>IFERROR('Similarity matrix'!CN76/'Denominator matrix'!$K$20, "NA")</f>
        <v>0</v>
      </c>
      <c r="CO76" s="154">
        <f>IFERROR('Similarity matrix'!CO76/'Denominator matrix'!$B$20, "NA")</f>
        <v>0</v>
      </c>
      <c r="CP76" s="153">
        <f>IFERROR('Similarity matrix'!CP76/'Denominator matrix'!$C$20, "NA")</f>
        <v>0</v>
      </c>
      <c r="CQ76" s="153">
        <f>IFERROR('Similarity matrix'!CQ76/'Denominator matrix'!$D$20, "NA")</f>
        <v>0</v>
      </c>
      <c r="CR76" s="156">
        <f>IFERROR('Similarity matrix'!CR76/'Denominator matrix'!$E$20, "NA")</f>
        <v>0</v>
      </c>
      <c r="CS76" s="153">
        <f>IFERROR('Similarity matrix'!CS76/'Denominator matrix'!$F$20, "NA")</f>
        <v>0</v>
      </c>
      <c r="CT76" s="153">
        <f>IFERROR('Similarity matrix'!CT76/'Denominator matrix'!$G$20, "NA")</f>
        <v>0</v>
      </c>
      <c r="CU76" s="153">
        <f>IFERROR('Similarity matrix'!CU76/'Denominator matrix'!$H$20, "NA")</f>
        <v>0</v>
      </c>
      <c r="CV76" s="153">
        <f>IFERROR('Similarity matrix'!CV76/'Denominator matrix'!$I$20, "NA")</f>
        <v>0</v>
      </c>
      <c r="CW76" s="153">
        <f>IFERROR('Similarity matrix'!CW76/'Denominator matrix'!$J$20, "NA")</f>
        <v>0</v>
      </c>
      <c r="CX76" s="153">
        <f>IFERROR('Similarity matrix'!CX76/'Denominator matrix'!$K$20, "NA")</f>
        <v>0</v>
      </c>
    </row>
    <row r="77" ht="35.25" customHeight="1">
      <c r="B77" s="124">
        <v>45785.0</v>
      </c>
      <c r="C77" s="154">
        <f>IFERROR('Similarity matrix'!C77/'Denominator matrix'!$B$21, "NA")</f>
        <v>0</v>
      </c>
      <c r="D77" s="153">
        <f>IFERROR('Similarity matrix'!D77/'Denominator matrix'!$C$21, "NA")</f>
        <v>0</v>
      </c>
      <c r="E77" s="153">
        <f>IFERROR('Similarity matrix'!E77/'Denominator matrix'!$D$21, "NA")</f>
        <v>0</v>
      </c>
      <c r="F77" s="153">
        <f>IFERROR('Similarity matrix'!F77/'Denominator matrix'!$E$21, "NA")</f>
        <v>0</v>
      </c>
      <c r="G77" s="156">
        <f>IFERROR('Similarity matrix'!G77/'Denominator matrix'!$F$21, "NA")</f>
        <v>0</v>
      </c>
      <c r="H77" s="153">
        <f>IFERROR('Similarity matrix'!H77/'Denominator matrix'!$G$21, "NA")</f>
        <v>0</v>
      </c>
      <c r="I77" s="153">
        <f>IFERROR('Similarity matrix'!I77/'Denominator matrix'!$H$21, "NA")</f>
        <v>0</v>
      </c>
      <c r="J77" s="153">
        <f>IFERROR('Similarity matrix'!J77/'Denominator matrix'!$I$21, "NA")</f>
        <v>0</v>
      </c>
      <c r="K77" s="153">
        <f>IFERROR('Similarity matrix'!K77/'Denominator matrix'!$J$21, "NA")</f>
        <v>0</v>
      </c>
      <c r="L77" s="153">
        <f>IFERROR('Similarity matrix'!L77/'Denominator matrix'!$K$21, "NA")</f>
        <v>0</v>
      </c>
      <c r="M77" s="154">
        <f>IFERROR('Similarity matrix'!M77/'Denominator matrix'!$B$21, "NA")</f>
        <v>0</v>
      </c>
      <c r="N77" s="153">
        <f>IFERROR('Similarity matrix'!N77/'Denominator matrix'!$C$21, "NA")</f>
        <v>0</v>
      </c>
      <c r="O77" s="153">
        <f>IFERROR('Similarity matrix'!O77/'Denominator matrix'!$D$21, "NA")</f>
        <v>0</v>
      </c>
      <c r="P77" s="153">
        <f>IFERROR('Similarity matrix'!P77/'Denominator matrix'!$E$21, "NA")</f>
        <v>0</v>
      </c>
      <c r="Q77" s="156">
        <f>IFERROR('Similarity matrix'!Q77/'Denominator matrix'!$F$21, "NA")</f>
        <v>0</v>
      </c>
      <c r="R77" s="153">
        <f>IFERROR('Similarity matrix'!R77/'Denominator matrix'!$G$21, "NA")</f>
        <v>0</v>
      </c>
      <c r="S77" s="153">
        <f>IFERROR('Similarity matrix'!S77/'Denominator matrix'!$H$21, "NA")</f>
        <v>0</v>
      </c>
      <c r="T77" s="153">
        <f>IFERROR('Similarity matrix'!T77/'Denominator matrix'!$I$21, "NA")</f>
        <v>0</v>
      </c>
      <c r="U77" s="153">
        <f>IFERROR('Similarity matrix'!U77/'Denominator matrix'!$J$21, "NA")</f>
        <v>0</v>
      </c>
      <c r="V77" s="153">
        <f>IFERROR('Similarity matrix'!V77/'Denominator matrix'!$K$21, "NA")</f>
        <v>0</v>
      </c>
      <c r="W77" s="154">
        <f>IFERROR('Similarity matrix'!W77/'Denominator matrix'!$B$21, "NA")</f>
        <v>0</v>
      </c>
      <c r="X77" s="153">
        <f>IFERROR('Similarity matrix'!X77/'Denominator matrix'!$C$21, "NA")</f>
        <v>0</v>
      </c>
      <c r="Y77" s="153">
        <f>IFERROR('Similarity matrix'!Y77/'Denominator matrix'!$D$21, "NA")</f>
        <v>0</v>
      </c>
      <c r="Z77" s="153">
        <f>IFERROR('Similarity matrix'!Z77/'Denominator matrix'!$E$21, "NA")</f>
        <v>0</v>
      </c>
      <c r="AA77" s="156">
        <f>IFERROR('Similarity matrix'!AA77/'Denominator matrix'!$F$21, "NA")</f>
        <v>0</v>
      </c>
      <c r="AB77" s="153">
        <f>IFERROR('Similarity matrix'!AB77/'Denominator matrix'!$G$21, "NA")</f>
        <v>0</v>
      </c>
      <c r="AC77" s="153">
        <f>IFERROR('Similarity matrix'!AC77/'Denominator matrix'!$H$21, "NA")</f>
        <v>0</v>
      </c>
      <c r="AD77" s="153">
        <f>IFERROR('Similarity matrix'!AD77/'Denominator matrix'!$I$21, "NA")</f>
        <v>0</v>
      </c>
      <c r="AE77" s="153">
        <f>IFERROR('Similarity matrix'!AE77/'Denominator matrix'!$J$21, "NA")</f>
        <v>0</v>
      </c>
      <c r="AF77" s="153">
        <f>IFERROR('Similarity matrix'!AF77/'Denominator matrix'!$K$21, "NA")</f>
        <v>0</v>
      </c>
      <c r="AG77" s="154">
        <f>IFERROR('Similarity matrix'!AG77/'Denominator matrix'!$B$21, "NA")</f>
        <v>0</v>
      </c>
      <c r="AH77" s="153">
        <f>IFERROR('Similarity matrix'!AH77/'Denominator matrix'!$C$21, "NA")</f>
        <v>0</v>
      </c>
      <c r="AI77" s="153">
        <f>IFERROR('Similarity matrix'!AI77/'Denominator matrix'!$D$21, "NA")</f>
        <v>0</v>
      </c>
      <c r="AJ77" s="153">
        <f>IFERROR('Similarity matrix'!AJ77/'Denominator matrix'!$E$21, "NA")</f>
        <v>0</v>
      </c>
      <c r="AK77" s="156">
        <f>IFERROR('Similarity matrix'!AK77/'Denominator matrix'!$F$21, "NA")</f>
        <v>0</v>
      </c>
      <c r="AL77" s="153">
        <f>IFERROR('Similarity matrix'!AL77/'Denominator matrix'!$G$21, "NA")</f>
        <v>0</v>
      </c>
      <c r="AM77" s="153">
        <f>IFERROR('Similarity matrix'!AM77/'Denominator matrix'!$H$21, "NA")</f>
        <v>0</v>
      </c>
      <c r="AN77" s="153">
        <f>IFERROR('Similarity matrix'!AN77/'Denominator matrix'!$I$21, "NA")</f>
        <v>0</v>
      </c>
      <c r="AO77" s="153">
        <f>IFERROR('Similarity matrix'!AO77/'Denominator matrix'!$J$21, "NA")</f>
        <v>0</v>
      </c>
      <c r="AP77" s="153">
        <f>IFERROR('Similarity matrix'!AP77/'Denominator matrix'!$K$21, "NA")</f>
        <v>0</v>
      </c>
      <c r="AQ77" s="154">
        <f>IFERROR('Similarity matrix'!AQ77/'Denominator matrix'!$B$21, "NA")</f>
        <v>0</v>
      </c>
      <c r="AR77" s="153">
        <f>IFERROR('Similarity matrix'!AR77/'Denominator matrix'!$C$21, "NA")</f>
        <v>0</v>
      </c>
      <c r="AS77" s="153">
        <f>IFERROR('Similarity matrix'!AS77/'Denominator matrix'!$D$21, "NA")</f>
        <v>0</v>
      </c>
      <c r="AT77" s="153">
        <f>IFERROR('Similarity matrix'!AT77/'Denominator matrix'!$E$21, "NA")</f>
        <v>0</v>
      </c>
      <c r="AU77" s="156">
        <f>IFERROR('Similarity matrix'!AU77/'Denominator matrix'!$F$21, "NA")</f>
        <v>0</v>
      </c>
      <c r="AV77" s="153">
        <f>IFERROR('Similarity matrix'!AV77/'Denominator matrix'!$G$21, "NA")</f>
        <v>0</v>
      </c>
      <c r="AW77" s="153">
        <f>IFERROR('Similarity matrix'!AW77/'Denominator matrix'!$H$21, "NA")</f>
        <v>0</v>
      </c>
      <c r="AX77" s="153">
        <f>IFERROR('Similarity matrix'!AX77/'Denominator matrix'!$I$21, "NA")</f>
        <v>0</v>
      </c>
      <c r="AY77" s="153">
        <f>IFERROR('Similarity matrix'!AY77/'Denominator matrix'!$J$21, "NA")</f>
        <v>0</v>
      </c>
      <c r="AZ77" s="153">
        <f>IFERROR('Similarity matrix'!AZ77/'Denominator matrix'!$K$21, "NA")</f>
        <v>0</v>
      </c>
      <c r="BA77" s="154">
        <f>IFERROR('Similarity matrix'!BA77/'Denominator matrix'!$B$21, "NA")</f>
        <v>0</v>
      </c>
      <c r="BB77" s="153">
        <f>IFERROR('Similarity matrix'!BB77/'Denominator matrix'!$C$21, "NA")</f>
        <v>0</v>
      </c>
      <c r="BC77" s="153">
        <f>IFERROR('Similarity matrix'!BC77/'Denominator matrix'!$D$21, "NA")</f>
        <v>0</v>
      </c>
      <c r="BD77" s="153">
        <f>IFERROR('Similarity matrix'!BD77/'Denominator matrix'!$E$21, "NA")</f>
        <v>0</v>
      </c>
      <c r="BE77" s="156">
        <f>IFERROR('Similarity matrix'!BE77/'Denominator matrix'!$F$21, "NA")</f>
        <v>0</v>
      </c>
      <c r="BF77" s="153">
        <f>IFERROR('Similarity matrix'!BF77/'Denominator matrix'!$G$21, "NA")</f>
        <v>0</v>
      </c>
      <c r="BG77" s="153">
        <f>IFERROR('Similarity matrix'!BG77/'Denominator matrix'!$H$21, "NA")</f>
        <v>0</v>
      </c>
      <c r="BH77" s="153">
        <f>IFERROR('Similarity matrix'!BH77/'Denominator matrix'!$I$21, "NA")</f>
        <v>0</v>
      </c>
      <c r="BI77" s="153">
        <f>IFERROR('Similarity matrix'!BI77/'Denominator matrix'!$J$21, "NA")</f>
        <v>0</v>
      </c>
      <c r="BJ77" s="153">
        <f>IFERROR('Similarity matrix'!BJ77/'Denominator matrix'!$K$21, "NA")</f>
        <v>0</v>
      </c>
      <c r="BK77" s="154">
        <f>IFERROR('Similarity matrix'!BK77/'Denominator matrix'!$B$21, "NA")</f>
        <v>0</v>
      </c>
      <c r="BL77" s="153">
        <f>IFERROR('Similarity matrix'!BL77/'Denominator matrix'!$C$21, "NA")</f>
        <v>0</v>
      </c>
      <c r="BM77" s="153">
        <f>IFERROR('Similarity matrix'!BM77/'Denominator matrix'!$D$21, "NA")</f>
        <v>0</v>
      </c>
      <c r="BN77" s="153">
        <f>IFERROR('Similarity matrix'!BN77/'Denominator matrix'!$E$21, "NA")</f>
        <v>0</v>
      </c>
      <c r="BO77" s="156">
        <f>IFERROR('Similarity matrix'!BO77/'Denominator matrix'!$F$21, "NA")</f>
        <v>0</v>
      </c>
      <c r="BP77" s="153">
        <f>IFERROR('Similarity matrix'!BP77/'Denominator matrix'!$G$21, "NA")</f>
        <v>0</v>
      </c>
      <c r="BQ77" s="153">
        <f>IFERROR('Similarity matrix'!BQ77/'Denominator matrix'!$H$21, "NA")</f>
        <v>0</v>
      </c>
      <c r="BR77" s="153">
        <f>IFERROR('Similarity matrix'!BR77/'Denominator matrix'!$I$21, "NA")</f>
        <v>0</v>
      </c>
      <c r="BS77" s="153">
        <f>IFERROR('Similarity matrix'!BS77/'Denominator matrix'!$J$21, "NA")</f>
        <v>0</v>
      </c>
      <c r="BT77" s="153">
        <f>IFERROR('Similarity matrix'!BT77/'Denominator matrix'!$K$21, "NA")</f>
        <v>0</v>
      </c>
      <c r="BU77" s="154">
        <f>IFERROR('Similarity matrix'!BU77/'Denominator matrix'!$B$21, "NA")</f>
        <v>0.8</v>
      </c>
      <c r="BV77" s="153">
        <f>IFERROR('Similarity matrix'!BV77/'Denominator matrix'!$C$21, "NA")</f>
        <v>0.8333333333</v>
      </c>
      <c r="BW77" s="153">
        <f>IFERROR('Similarity matrix'!BW77/'Denominator matrix'!$D$21, "NA")</f>
        <v>0.75</v>
      </c>
      <c r="BX77" s="153">
        <f>IFERROR('Similarity matrix'!BX77/'Denominator matrix'!$E$21, "NA")</f>
        <v>1</v>
      </c>
      <c r="BY77" s="155">
        <f>IFERROR('Similarity matrix'!BY77/'Denominator matrix'!$F$21, "NA")</f>
        <v>0</v>
      </c>
      <c r="BZ77" s="153">
        <f>IFERROR('Similarity matrix'!BZ77/'Denominator matrix'!$G$21, "NA")</f>
        <v>1</v>
      </c>
      <c r="CA77" s="153">
        <f>IFERROR('Similarity matrix'!CA77/'Denominator matrix'!$H$21, "NA")</f>
        <v>0.75</v>
      </c>
      <c r="CB77" s="153">
        <f>IFERROR('Similarity matrix'!CB77/'Denominator matrix'!$I$21, "NA")</f>
        <v>0.9</v>
      </c>
      <c r="CC77" s="153">
        <f>IFERROR('Similarity matrix'!CC77/'Denominator matrix'!$J$21, "NA")</f>
        <v>0.8333333333</v>
      </c>
      <c r="CD77" s="153">
        <f>IFERROR('Similarity matrix'!CD77/'Denominator matrix'!$K$21, "NA")</f>
        <v>1</v>
      </c>
      <c r="CE77" s="154">
        <f>IFERROR('Similarity matrix'!CE77/'Denominator matrix'!$B$21, "NA")</f>
        <v>0</v>
      </c>
      <c r="CF77" s="153">
        <f>IFERROR('Similarity matrix'!CF77/'Denominator matrix'!$C$21, "NA")</f>
        <v>0</v>
      </c>
      <c r="CG77" s="153">
        <f>IFERROR('Similarity matrix'!CG77/'Denominator matrix'!$D$21, "NA")</f>
        <v>0.25</v>
      </c>
      <c r="CH77" s="153">
        <f>IFERROR('Similarity matrix'!CH77/'Denominator matrix'!$E$21, "NA")</f>
        <v>0</v>
      </c>
      <c r="CI77" s="156">
        <f>IFERROR('Similarity matrix'!CI77/'Denominator matrix'!$F$21, "NA")</f>
        <v>0</v>
      </c>
      <c r="CJ77" s="153">
        <f>IFERROR('Similarity matrix'!CJ77/'Denominator matrix'!$G$21, "NA")</f>
        <v>0</v>
      </c>
      <c r="CK77" s="153">
        <f>IFERROR('Similarity matrix'!CK77/'Denominator matrix'!$H$21, "NA")</f>
        <v>0</v>
      </c>
      <c r="CL77" s="153">
        <f>IFERROR('Similarity matrix'!CL77/'Denominator matrix'!$I$21, "NA")</f>
        <v>0</v>
      </c>
      <c r="CM77" s="153">
        <f>IFERROR('Similarity matrix'!CM77/'Denominator matrix'!$J$21, "NA")</f>
        <v>0</v>
      </c>
      <c r="CN77" s="153">
        <f>IFERROR('Similarity matrix'!CN77/'Denominator matrix'!$K$21, "NA")</f>
        <v>0</v>
      </c>
      <c r="CO77" s="154">
        <f>IFERROR('Similarity matrix'!CO77/'Denominator matrix'!$B$21, "NA")</f>
        <v>0</v>
      </c>
      <c r="CP77" s="153">
        <f>IFERROR('Similarity matrix'!CP77/'Denominator matrix'!$C$21, "NA")</f>
        <v>0</v>
      </c>
      <c r="CQ77" s="153">
        <f>IFERROR('Similarity matrix'!CQ77/'Denominator matrix'!$D$21, "NA")</f>
        <v>0</v>
      </c>
      <c r="CR77" s="153">
        <f>IFERROR('Similarity matrix'!CR77/'Denominator matrix'!$E$21, "NA")</f>
        <v>0</v>
      </c>
      <c r="CS77" s="156">
        <f>IFERROR('Similarity matrix'!CS77/'Denominator matrix'!$F$21, "NA")</f>
        <v>0</v>
      </c>
      <c r="CT77" s="153">
        <f>IFERROR('Similarity matrix'!CT77/'Denominator matrix'!$G$21, "NA")</f>
        <v>0</v>
      </c>
      <c r="CU77" s="153">
        <f>IFERROR('Similarity matrix'!CU77/'Denominator matrix'!$H$21, "NA")</f>
        <v>0</v>
      </c>
      <c r="CV77" s="153">
        <f>IFERROR('Similarity matrix'!CV77/'Denominator matrix'!$I$21, "NA")</f>
        <v>0</v>
      </c>
      <c r="CW77" s="153">
        <f>IFERROR('Similarity matrix'!CW77/'Denominator matrix'!$J$21, "NA")</f>
        <v>0</v>
      </c>
      <c r="CX77" s="153">
        <f>IFERROR('Similarity matrix'!CX77/'Denominator matrix'!$K$21, "NA")</f>
        <v>0</v>
      </c>
    </row>
    <row r="78" ht="35.25" customHeight="1">
      <c r="B78" s="124">
        <v>45816.0</v>
      </c>
      <c r="C78" s="154">
        <f>IFERROR('Similarity matrix'!C78/'Denominator matrix'!$B$22, "NA")</f>
        <v>0</v>
      </c>
      <c r="D78" s="153">
        <f>IFERROR('Similarity matrix'!D78/'Denominator matrix'!$C$22, "NA")</f>
        <v>0</v>
      </c>
      <c r="E78" s="153">
        <f>IFERROR('Similarity matrix'!E78/'Denominator matrix'!$D$22, "NA")</f>
        <v>0</v>
      </c>
      <c r="F78" s="153">
        <f>IFERROR('Similarity matrix'!F78/'Denominator matrix'!$E$22, "NA")</f>
        <v>0</v>
      </c>
      <c r="G78" s="153">
        <f>IFERROR('Similarity matrix'!G78/'Denominator matrix'!$F$22, "NA")</f>
        <v>0</v>
      </c>
      <c r="H78" s="156">
        <f>IFERROR('Similarity matrix'!H78/'Denominator matrix'!$G$22, "NA")</f>
        <v>0</v>
      </c>
      <c r="I78" s="153">
        <f>IFERROR('Similarity matrix'!I78/'Denominator matrix'!$H$22, "NA")</f>
        <v>0</v>
      </c>
      <c r="J78" s="153">
        <f>IFERROR('Similarity matrix'!J78/'Denominator matrix'!$I$22, "NA")</f>
        <v>0</v>
      </c>
      <c r="K78" s="153">
        <f>IFERROR('Similarity matrix'!K78/'Denominator matrix'!$J$22, "NA")</f>
        <v>0</v>
      </c>
      <c r="L78" s="153">
        <f>IFERROR('Similarity matrix'!L78/'Denominator matrix'!$K$22, "NA")</f>
        <v>0</v>
      </c>
      <c r="M78" s="154">
        <f>IFERROR('Similarity matrix'!M78/'Denominator matrix'!$B$22, "NA")</f>
        <v>0</v>
      </c>
      <c r="N78" s="153">
        <f>IFERROR('Similarity matrix'!N78/'Denominator matrix'!$C$22, "NA")</f>
        <v>0</v>
      </c>
      <c r="O78" s="153">
        <f>IFERROR('Similarity matrix'!O78/'Denominator matrix'!$D$22, "NA")</f>
        <v>0</v>
      </c>
      <c r="P78" s="153">
        <f>IFERROR('Similarity matrix'!P78/'Denominator matrix'!$E$22, "NA")</f>
        <v>0</v>
      </c>
      <c r="Q78" s="153">
        <f>IFERROR('Similarity matrix'!Q78/'Denominator matrix'!$F$22, "NA")</f>
        <v>0</v>
      </c>
      <c r="R78" s="156">
        <f>IFERROR('Similarity matrix'!R78/'Denominator matrix'!$G$22, "NA")</f>
        <v>0</v>
      </c>
      <c r="S78" s="153">
        <f>IFERROR('Similarity matrix'!S78/'Denominator matrix'!$H$22, "NA")</f>
        <v>0</v>
      </c>
      <c r="T78" s="153">
        <f>IFERROR('Similarity matrix'!T78/'Denominator matrix'!$I$22, "NA")</f>
        <v>0</v>
      </c>
      <c r="U78" s="153">
        <f>IFERROR('Similarity matrix'!U78/'Denominator matrix'!$J$22, "NA")</f>
        <v>0</v>
      </c>
      <c r="V78" s="153">
        <f>IFERROR('Similarity matrix'!V78/'Denominator matrix'!$K$22, "NA")</f>
        <v>0</v>
      </c>
      <c r="W78" s="154">
        <f>IFERROR('Similarity matrix'!W78/'Denominator matrix'!$B$22, "NA")</f>
        <v>0</v>
      </c>
      <c r="X78" s="153">
        <f>IFERROR('Similarity matrix'!X78/'Denominator matrix'!$C$22, "NA")</f>
        <v>0</v>
      </c>
      <c r="Y78" s="153">
        <f>IFERROR('Similarity matrix'!Y78/'Denominator matrix'!$D$22, "NA")</f>
        <v>0</v>
      </c>
      <c r="Z78" s="153">
        <f>IFERROR('Similarity matrix'!Z78/'Denominator matrix'!$E$22, "NA")</f>
        <v>0</v>
      </c>
      <c r="AA78" s="153">
        <f>IFERROR('Similarity matrix'!AA78/'Denominator matrix'!$F$22, "NA")</f>
        <v>0</v>
      </c>
      <c r="AB78" s="156">
        <f>IFERROR('Similarity matrix'!AB78/'Denominator matrix'!$G$22, "NA")</f>
        <v>0</v>
      </c>
      <c r="AC78" s="153">
        <f>IFERROR('Similarity matrix'!AC78/'Denominator matrix'!$H$22, "NA")</f>
        <v>0</v>
      </c>
      <c r="AD78" s="153">
        <f>IFERROR('Similarity matrix'!AD78/'Denominator matrix'!$I$22, "NA")</f>
        <v>0</v>
      </c>
      <c r="AE78" s="153">
        <f>IFERROR('Similarity matrix'!AE78/'Denominator matrix'!$J$22, "NA")</f>
        <v>0</v>
      </c>
      <c r="AF78" s="153">
        <f>IFERROR('Similarity matrix'!AF78/'Denominator matrix'!$K$22, "NA")</f>
        <v>0</v>
      </c>
      <c r="AG78" s="154">
        <f>IFERROR('Similarity matrix'!AG78/'Denominator matrix'!$B$22, "NA")</f>
        <v>0</v>
      </c>
      <c r="AH78" s="153">
        <f>IFERROR('Similarity matrix'!AH78/'Denominator matrix'!$C$22, "NA")</f>
        <v>0</v>
      </c>
      <c r="AI78" s="153">
        <f>IFERROR('Similarity matrix'!AI78/'Denominator matrix'!$D$22, "NA")</f>
        <v>0</v>
      </c>
      <c r="AJ78" s="153">
        <f>IFERROR('Similarity matrix'!AJ78/'Denominator matrix'!$E$22, "NA")</f>
        <v>0</v>
      </c>
      <c r="AK78" s="153">
        <f>IFERROR('Similarity matrix'!AK78/'Denominator matrix'!$F$22, "NA")</f>
        <v>0</v>
      </c>
      <c r="AL78" s="156">
        <f>IFERROR('Similarity matrix'!AL78/'Denominator matrix'!$G$22, "NA")</f>
        <v>0</v>
      </c>
      <c r="AM78" s="153">
        <f>IFERROR('Similarity matrix'!AM78/'Denominator matrix'!$H$22, "NA")</f>
        <v>0</v>
      </c>
      <c r="AN78" s="153">
        <f>IFERROR('Similarity matrix'!AN78/'Denominator matrix'!$I$22, "NA")</f>
        <v>0</v>
      </c>
      <c r="AO78" s="153">
        <f>IFERROR('Similarity matrix'!AO78/'Denominator matrix'!$J$22, "NA")</f>
        <v>0</v>
      </c>
      <c r="AP78" s="153">
        <f>IFERROR('Similarity matrix'!AP78/'Denominator matrix'!$K$22, "NA")</f>
        <v>0</v>
      </c>
      <c r="AQ78" s="154">
        <f>IFERROR('Similarity matrix'!AQ78/'Denominator matrix'!$B$22, "NA")</f>
        <v>0</v>
      </c>
      <c r="AR78" s="153">
        <f>IFERROR('Similarity matrix'!AR78/'Denominator matrix'!$C$22, "NA")</f>
        <v>0</v>
      </c>
      <c r="AS78" s="153">
        <f>IFERROR('Similarity matrix'!AS78/'Denominator matrix'!$D$22, "NA")</f>
        <v>0</v>
      </c>
      <c r="AT78" s="153">
        <f>IFERROR('Similarity matrix'!AT78/'Denominator matrix'!$E$22, "NA")</f>
        <v>0</v>
      </c>
      <c r="AU78" s="153">
        <f>IFERROR('Similarity matrix'!AU78/'Denominator matrix'!$F$22, "NA")</f>
        <v>0</v>
      </c>
      <c r="AV78" s="156">
        <f>IFERROR('Similarity matrix'!AV78/'Denominator matrix'!$G$22, "NA")</f>
        <v>0</v>
      </c>
      <c r="AW78" s="153">
        <f>IFERROR('Similarity matrix'!AW78/'Denominator matrix'!$H$22, "NA")</f>
        <v>0</v>
      </c>
      <c r="AX78" s="153">
        <f>IFERROR('Similarity matrix'!AX78/'Denominator matrix'!$I$22, "NA")</f>
        <v>0</v>
      </c>
      <c r="AY78" s="153">
        <f>IFERROR('Similarity matrix'!AY78/'Denominator matrix'!$J$22, "NA")</f>
        <v>0</v>
      </c>
      <c r="AZ78" s="153">
        <f>IFERROR('Similarity matrix'!AZ78/'Denominator matrix'!$K$22, "NA")</f>
        <v>0</v>
      </c>
      <c r="BA78" s="154">
        <f>IFERROR('Similarity matrix'!BA78/'Denominator matrix'!$B$22, "NA")</f>
        <v>0</v>
      </c>
      <c r="BB78" s="153">
        <f>IFERROR('Similarity matrix'!BB78/'Denominator matrix'!$C$22, "NA")</f>
        <v>0</v>
      </c>
      <c r="BC78" s="153">
        <f>IFERROR('Similarity matrix'!BC78/'Denominator matrix'!$D$22, "NA")</f>
        <v>0</v>
      </c>
      <c r="BD78" s="153">
        <f>IFERROR('Similarity matrix'!BD78/'Denominator matrix'!$E$22, "NA")</f>
        <v>0</v>
      </c>
      <c r="BE78" s="153">
        <f>IFERROR('Similarity matrix'!BE78/'Denominator matrix'!$F$22, "NA")</f>
        <v>0</v>
      </c>
      <c r="BF78" s="156">
        <f>IFERROR('Similarity matrix'!BF78/'Denominator matrix'!$G$22, "NA")</f>
        <v>0</v>
      </c>
      <c r="BG78" s="153">
        <f>IFERROR('Similarity matrix'!BG78/'Denominator matrix'!$H$22, "NA")</f>
        <v>0</v>
      </c>
      <c r="BH78" s="153">
        <f>IFERROR('Similarity matrix'!BH78/'Denominator matrix'!$I$22, "NA")</f>
        <v>0</v>
      </c>
      <c r="BI78" s="153">
        <f>IFERROR('Similarity matrix'!BI78/'Denominator matrix'!$J$22, "NA")</f>
        <v>0</v>
      </c>
      <c r="BJ78" s="153">
        <f>IFERROR('Similarity matrix'!BJ78/'Denominator matrix'!$K$22, "NA")</f>
        <v>0</v>
      </c>
      <c r="BK78" s="154">
        <f>IFERROR('Similarity matrix'!BK78/'Denominator matrix'!$B$22, "NA")</f>
        <v>0</v>
      </c>
      <c r="BL78" s="153">
        <f>IFERROR('Similarity matrix'!BL78/'Denominator matrix'!$C$22, "NA")</f>
        <v>0</v>
      </c>
      <c r="BM78" s="153">
        <f>IFERROR('Similarity matrix'!BM78/'Denominator matrix'!$D$22, "NA")</f>
        <v>0</v>
      </c>
      <c r="BN78" s="153">
        <f>IFERROR('Similarity matrix'!BN78/'Denominator matrix'!$E$22, "NA")</f>
        <v>0</v>
      </c>
      <c r="BO78" s="153">
        <f>IFERROR('Similarity matrix'!BO78/'Denominator matrix'!$F$22, "NA")</f>
        <v>0</v>
      </c>
      <c r="BP78" s="156">
        <f>IFERROR('Similarity matrix'!BP78/'Denominator matrix'!$G$22, "NA")</f>
        <v>0</v>
      </c>
      <c r="BQ78" s="153">
        <f>IFERROR('Similarity matrix'!BQ78/'Denominator matrix'!$H$22, "NA")</f>
        <v>0</v>
      </c>
      <c r="BR78" s="153">
        <f>IFERROR('Similarity matrix'!BR78/'Denominator matrix'!$I$22, "NA")</f>
        <v>0</v>
      </c>
      <c r="BS78" s="153">
        <f>IFERROR('Similarity matrix'!BS78/'Denominator matrix'!$J$22, "NA")</f>
        <v>0</v>
      </c>
      <c r="BT78" s="153">
        <f>IFERROR('Similarity matrix'!BT78/'Denominator matrix'!$K$22, "NA")</f>
        <v>0</v>
      </c>
      <c r="BU78" s="154">
        <f>IFERROR('Similarity matrix'!BU78/'Denominator matrix'!$B$22, "NA")</f>
        <v>0.7</v>
      </c>
      <c r="BV78" s="153">
        <f>IFERROR('Similarity matrix'!BV78/'Denominator matrix'!$C$22, "NA")</f>
        <v>1</v>
      </c>
      <c r="BW78" s="153">
        <f>IFERROR('Similarity matrix'!BW78/'Denominator matrix'!$D$22, "NA")</f>
        <v>0.5</v>
      </c>
      <c r="BX78" s="153">
        <f>IFERROR('Similarity matrix'!BX78/'Denominator matrix'!$E$22, "NA")</f>
        <v>0.5</v>
      </c>
      <c r="BY78" s="153">
        <f>IFERROR('Similarity matrix'!BY78/'Denominator matrix'!$F$22, "NA")</f>
        <v>1</v>
      </c>
      <c r="BZ78" s="155">
        <f>IFERROR('Similarity matrix'!BZ78/'Denominator matrix'!$G$22, "NA")</f>
        <v>0</v>
      </c>
      <c r="CA78" s="153">
        <f>IFERROR('Similarity matrix'!CA78/'Denominator matrix'!$H$22, "NA")</f>
        <v>1</v>
      </c>
      <c r="CB78" s="153">
        <f>IFERROR('Similarity matrix'!CB78/'Denominator matrix'!$I$22, "NA")</f>
        <v>1</v>
      </c>
      <c r="CC78" s="153">
        <f>IFERROR('Similarity matrix'!CC78/'Denominator matrix'!$J$22, "NA")</f>
        <v>1</v>
      </c>
      <c r="CD78" s="153">
        <f>IFERROR('Similarity matrix'!CD78/'Denominator matrix'!$K$22, "NA")</f>
        <v>1</v>
      </c>
      <c r="CE78" s="154">
        <f>IFERROR('Similarity matrix'!CE78/'Denominator matrix'!$B$22, "NA")</f>
        <v>0</v>
      </c>
      <c r="CF78" s="153">
        <f>IFERROR('Similarity matrix'!CF78/'Denominator matrix'!$C$22, "NA")</f>
        <v>0</v>
      </c>
      <c r="CG78" s="153">
        <f>IFERROR('Similarity matrix'!CG78/'Denominator matrix'!$D$22, "NA")</f>
        <v>0</v>
      </c>
      <c r="CH78" s="153">
        <f>IFERROR('Similarity matrix'!CH78/'Denominator matrix'!$E$22, "NA")</f>
        <v>0</v>
      </c>
      <c r="CI78" s="153">
        <f>IFERROR('Similarity matrix'!CI78/'Denominator matrix'!$F$22, "NA")</f>
        <v>0</v>
      </c>
      <c r="CJ78" s="156">
        <f>IFERROR('Similarity matrix'!CJ78/'Denominator matrix'!$G$22, "NA")</f>
        <v>0</v>
      </c>
      <c r="CK78" s="153">
        <f>IFERROR('Similarity matrix'!CK78/'Denominator matrix'!$H$22, "NA")</f>
        <v>0</v>
      </c>
      <c r="CL78" s="153">
        <f>IFERROR('Similarity matrix'!CL78/'Denominator matrix'!$I$22, "NA")</f>
        <v>0</v>
      </c>
      <c r="CM78" s="153">
        <f>IFERROR('Similarity matrix'!CM78/'Denominator matrix'!$J$22, "NA")</f>
        <v>0</v>
      </c>
      <c r="CN78" s="153">
        <f>IFERROR('Similarity matrix'!CN78/'Denominator matrix'!$K$22, "NA")</f>
        <v>0</v>
      </c>
      <c r="CO78" s="154">
        <f>IFERROR('Similarity matrix'!CO78/'Denominator matrix'!$B$22, "NA")</f>
        <v>0</v>
      </c>
      <c r="CP78" s="153">
        <f>IFERROR('Similarity matrix'!CP78/'Denominator matrix'!$C$22, "NA")</f>
        <v>0</v>
      </c>
      <c r="CQ78" s="153">
        <f>IFERROR('Similarity matrix'!CQ78/'Denominator matrix'!$D$22, "NA")</f>
        <v>0</v>
      </c>
      <c r="CR78" s="153">
        <f>IFERROR('Similarity matrix'!CR78/'Denominator matrix'!$E$22, "NA")</f>
        <v>0</v>
      </c>
      <c r="CS78" s="153">
        <f>IFERROR('Similarity matrix'!CS78/'Denominator matrix'!$F$22, "NA")</f>
        <v>0</v>
      </c>
      <c r="CT78" s="156">
        <f>IFERROR('Similarity matrix'!CT78/'Denominator matrix'!$G$22, "NA")</f>
        <v>0</v>
      </c>
      <c r="CU78" s="153">
        <f>IFERROR('Similarity matrix'!CU78/'Denominator matrix'!$H$22, "NA")</f>
        <v>0</v>
      </c>
      <c r="CV78" s="153">
        <f>IFERROR('Similarity matrix'!CV78/'Denominator matrix'!$I$22, "NA")</f>
        <v>0</v>
      </c>
      <c r="CW78" s="153">
        <f>IFERROR('Similarity matrix'!CW78/'Denominator matrix'!$J$22, "NA")</f>
        <v>0</v>
      </c>
      <c r="CX78" s="153">
        <f>IFERROR('Similarity matrix'!CX78/'Denominator matrix'!$K$22, "NA")</f>
        <v>0</v>
      </c>
    </row>
    <row r="79" ht="35.25" customHeight="1">
      <c r="B79" s="124">
        <v>45846.0</v>
      </c>
      <c r="C79" s="154">
        <f>IFERROR('Similarity matrix'!C79/'Denominator matrix'!$B$23, "NA")</f>
        <v>0</v>
      </c>
      <c r="D79" s="153">
        <f>IFERROR('Similarity matrix'!D79/'Denominator matrix'!$C$23, "NA")</f>
        <v>0</v>
      </c>
      <c r="E79" s="153">
        <f>IFERROR('Similarity matrix'!E79/'Denominator matrix'!$D$23, "NA")</f>
        <v>0</v>
      </c>
      <c r="F79" s="153">
        <f>IFERROR('Similarity matrix'!F79/'Denominator matrix'!$E$23, "NA")</f>
        <v>0</v>
      </c>
      <c r="G79" s="153">
        <f>IFERROR('Similarity matrix'!G79/'Denominator matrix'!$F$23, "NA")</f>
        <v>0</v>
      </c>
      <c r="H79" s="153">
        <f>IFERROR('Similarity matrix'!H79/'Denominator matrix'!$G$23, "NA")</f>
        <v>0</v>
      </c>
      <c r="I79" s="156">
        <f>IFERROR('Similarity matrix'!I79/'Denominator matrix'!$H$23, "NA")</f>
        <v>0.0625</v>
      </c>
      <c r="J79" s="153">
        <f>IFERROR('Similarity matrix'!J79/'Denominator matrix'!$I$23, "NA")</f>
        <v>0</v>
      </c>
      <c r="K79" s="153">
        <f>IFERROR('Similarity matrix'!K79/'Denominator matrix'!$J$23, "NA")</f>
        <v>0</v>
      </c>
      <c r="L79" s="153">
        <f>IFERROR('Similarity matrix'!L79/'Denominator matrix'!$K$23, "NA")</f>
        <v>0</v>
      </c>
      <c r="M79" s="154">
        <f>IFERROR('Similarity matrix'!M79/'Denominator matrix'!$B$23, "NA")</f>
        <v>0</v>
      </c>
      <c r="N79" s="153">
        <f>IFERROR('Similarity matrix'!N79/'Denominator matrix'!$C$23, "NA")</f>
        <v>0</v>
      </c>
      <c r="O79" s="153">
        <f>IFERROR('Similarity matrix'!O79/'Denominator matrix'!$D$23, "NA")</f>
        <v>0</v>
      </c>
      <c r="P79" s="153">
        <f>IFERROR('Similarity matrix'!P79/'Denominator matrix'!$E$23, "NA")</f>
        <v>0</v>
      </c>
      <c r="Q79" s="153">
        <f>IFERROR('Similarity matrix'!Q79/'Denominator matrix'!$F$23, "NA")</f>
        <v>0</v>
      </c>
      <c r="R79" s="153">
        <f>IFERROR('Similarity matrix'!R79/'Denominator matrix'!$G$23, "NA")</f>
        <v>0</v>
      </c>
      <c r="S79" s="156">
        <f>IFERROR('Similarity matrix'!S79/'Denominator matrix'!$H$23, "NA")</f>
        <v>0</v>
      </c>
      <c r="T79" s="153">
        <f>IFERROR('Similarity matrix'!T79/'Denominator matrix'!$I$23, "NA")</f>
        <v>0</v>
      </c>
      <c r="U79" s="153">
        <f>IFERROR('Similarity matrix'!U79/'Denominator matrix'!$J$23, "NA")</f>
        <v>0</v>
      </c>
      <c r="V79" s="153">
        <f>IFERROR('Similarity matrix'!V79/'Denominator matrix'!$K$23, "NA")</f>
        <v>0</v>
      </c>
      <c r="W79" s="154">
        <f>IFERROR('Similarity matrix'!W79/'Denominator matrix'!$B$23, "NA")</f>
        <v>0</v>
      </c>
      <c r="X79" s="153">
        <f>IFERROR('Similarity matrix'!X79/'Denominator matrix'!$C$23, "NA")</f>
        <v>0</v>
      </c>
      <c r="Y79" s="153">
        <f>IFERROR('Similarity matrix'!Y79/'Denominator matrix'!$D$23, "NA")</f>
        <v>0</v>
      </c>
      <c r="Z79" s="153">
        <f>IFERROR('Similarity matrix'!Z79/'Denominator matrix'!$E$23, "NA")</f>
        <v>0</v>
      </c>
      <c r="AA79" s="153">
        <f>IFERROR('Similarity matrix'!AA79/'Denominator matrix'!$F$23, "NA")</f>
        <v>0</v>
      </c>
      <c r="AB79" s="153">
        <f>IFERROR('Similarity matrix'!AB79/'Denominator matrix'!$G$23, "NA")</f>
        <v>0</v>
      </c>
      <c r="AC79" s="156">
        <f>IFERROR('Similarity matrix'!AC79/'Denominator matrix'!$H$23, "NA")</f>
        <v>0</v>
      </c>
      <c r="AD79" s="153">
        <f>IFERROR('Similarity matrix'!AD79/'Denominator matrix'!$I$23, "NA")</f>
        <v>0</v>
      </c>
      <c r="AE79" s="153">
        <f>IFERROR('Similarity matrix'!AE79/'Denominator matrix'!$J$23, "NA")</f>
        <v>0</v>
      </c>
      <c r="AF79" s="153">
        <f>IFERROR('Similarity matrix'!AF79/'Denominator matrix'!$K$23, "NA")</f>
        <v>0</v>
      </c>
      <c r="AG79" s="154">
        <f>IFERROR('Similarity matrix'!AG79/'Denominator matrix'!$B$23, "NA")</f>
        <v>0</v>
      </c>
      <c r="AH79" s="153">
        <f>IFERROR('Similarity matrix'!AH79/'Denominator matrix'!$C$23, "NA")</f>
        <v>0</v>
      </c>
      <c r="AI79" s="153">
        <f>IFERROR('Similarity matrix'!AI79/'Denominator matrix'!$D$23, "NA")</f>
        <v>0</v>
      </c>
      <c r="AJ79" s="153">
        <f>IFERROR('Similarity matrix'!AJ79/'Denominator matrix'!$E$23, "NA")</f>
        <v>0</v>
      </c>
      <c r="AK79" s="153">
        <f>IFERROR('Similarity matrix'!AK79/'Denominator matrix'!$F$23, "NA")</f>
        <v>0</v>
      </c>
      <c r="AL79" s="153">
        <f>IFERROR('Similarity matrix'!AL79/'Denominator matrix'!$G$23, "NA")</f>
        <v>0</v>
      </c>
      <c r="AM79" s="156">
        <f>IFERROR('Similarity matrix'!AM79/'Denominator matrix'!$H$23, "NA")</f>
        <v>0</v>
      </c>
      <c r="AN79" s="153">
        <f>IFERROR('Similarity matrix'!AN79/'Denominator matrix'!$I$23, "NA")</f>
        <v>0</v>
      </c>
      <c r="AO79" s="153">
        <f>IFERROR('Similarity matrix'!AO79/'Denominator matrix'!$J$23, "NA")</f>
        <v>0</v>
      </c>
      <c r="AP79" s="153">
        <f>IFERROR('Similarity matrix'!AP79/'Denominator matrix'!$K$23, "NA")</f>
        <v>0</v>
      </c>
      <c r="AQ79" s="154">
        <f>IFERROR('Similarity matrix'!AQ79/'Denominator matrix'!$B$23, "NA")</f>
        <v>0</v>
      </c>
      <c r="AR79" s="153">
        <f>IFERROR('Similarity matrix'!AR79/'Denominator matrix'!$C$23, "NA")</f>
        <v>0</v>
      </c>
      <c r="AS79" s="153">
        <f>IFERROR('Similarity matrix'!AS79/'Denominator matrix'!$D$23, "NA")</f>
        <v>0</v>
      </c>
      <c r="AT79" s="153">
        <f>IFERROR('Similarity matrix'!AT79/'Denominator matrix'!$E$23, "NA")</f>
        <v>0</v>
      </c>
      <c r="AU79" s="153">
        <f>IFERROR('Similarity matrix'!AU79/'Denominator matrix'!$F$23, "NA")</f>
        <v>0</v>
      </c>
      <c r="AV79" s="153">
        <f>IFERROR('Similarity matrix'!AV79/'Denominator matrix'!$G$23, "NA")</f>
        <v>0</v>
      </c>
      <c r="AW79" s="156">
        <f>IFERROR('Similarity matrix'!AW79/'Denominator matrix'!$H$23, "NA")</f>
        <v>0</v>
      </c>
      <c r="AX79" s="153">
        <f>IFERROR('Similarity matrix'!AX79/'Denominator matrix'!$I$23, "NA")</f>
        <v>0</v>
      </c>
      <c r="AY79" s="153">
        <f>IFERROR('Similarity matrix'!AY79/'Denominator matrix'!$J$23, "NA")</f>
        <v>0</v>
      </c>
      <c r="AZ79" s="153">
        <f>IFERROR('Similarity matrix'!AZ79/'Denominator matrix'!$K$23, "NA")</f>
        <v>0</v>
      </c>
      <c r="BA79" s="154">
        <f>IFERROR('Similarity matrix'!BA79/'Denominator matrix'!$B$23, "NA")</f>
        <v>0</v>
      </c>
      <c r="BB79" s="153">
        <f>IFERROR('Similarity matrix'!BB79/'Denominator matrix'!$C$23, "NA")</f>
        <v>0</v>
      </c>
      <c r="BC79" s="153">
        <f>IFERROR('Similarity matrix'!BC79/'Denominator matrix'!$D$23, "NA")</f>
        <v>0</v>
      </c>
      <c r="BD79" s="153">
        <f>IFERROR('Similarity matrix'!BD79/'Denominator matrix'!$E$23, "NA")</f>
        <v>0</v>
      </c>
      <c r="BE79" s="153">
        <f>IFERROR('Similarity matrix'!BE79/'Denominator matrix'!$F$23, "NA")</f>
        <v>0</v>
      </c>
      <c r="BF79" s="153">
        <f>IFERROR('Similarity matrix'!BF79/'Denominator matrix'!$G$23, "NA")</f>
        <v>0</v>
      </c>
      <c r="BG79" s="156">
        <f>IFERROR('Similarity matrix'!BG79/'Denominator matrix'!$H$23, "NA")</f>
        <v>0</v>
      </c>
      <c r="BH79" s="153">
        <f>IFERROR('Similarity matrix'!BH79/'Denominator matrix'!$I$23, "NA")</f>
        <v>0</v>
      </c>
      <c r="BI79" s="153">
        <f>IFERROR('Similarity matrix'!BI79/'Denominator matrix'!$J$23, "NA")</f>
        <v>0</v>
      </c>
      <c r="BJ79" s="153">
        <f>IFERROR('Similarity matrix'!BJ79/'Denominator matrix'!$K$23, "NA")</f>
        <v>0</v>
      </c>
      <c r="BK79" s="154">
        <f>IFERROR('Similarity matrix'!BK79/'Denominator matrix'!$B$23, "NA")</f>
        <v>0</v>
      </c>
      <c r="BL79" s="153">
        <f>IFERROR('Similarity matrix'!BL79/'Denominator matrix'!$C$23, "NA")</f>
        <v>0</v>
      </c>
      <c r="BM79" s="153">
        <f>IFERROR('Similarity matrix'!BM79/'Denominator matrix'!$D$23, "NA")</f>
        <v>0</v>
      </c>
      <c r="BN79" s="153">
        <f>IFERROR('Similarity matrix'!BN79/'Denominator matrix'!$E$23, "NA")</f>
        <v>0</v>
      </c>
      <c r="BO79" s="153">
        <f>IFERROR('Similarity matrix'!BO79/'Denominator matrix'!$F$23, "NA")</f>
        <v>0</v>
      </c>
      <c r="BP79" s="153">
        <f>IFERROR('Similarity matrix'!BP79/'Denominator matrix'!$G$23, "NA")</f>
        <v>0</v>
      </c>
      <c r="BQ79" s="156">
        <f>IFERROR('Similarity matrix'!BQ79/'Denominator matrix'!$H$23, "NA")</f>
        <v>0</v>
      </c>
      <c r="BR79" s="153">
        <f>IFERROR('Similarity matrix'!BR79/'Denominator matrix'!$I$23, "NA")</f>
        <v>0</v>
      </c>
      <c r="BS79" s="153">
        <f>IFERROR('Similarity matrix'!BS79/'Denominator matrix'!$J$23, "NA")</f>
        <v>0</v>
      </c>
      <c r="BT79" s="153">
        <f>IFERROR('Similarity matrix'!BT79/'Denominator matrix'!$K$23, "NA")</f>
        <v>0</v>
      </c>
      <c r="BU79" s="154">
        <f>IFERROR('Similarity matrix'!BU79/'Denominator matrix'!$B$23, "NA")</f>
        <v>0.5</v>
      </c>
      <c r="BV79" s="153">
        <f>IFERROR('Similarity matrix'!BV79/'Denominator matrix'!$C$23, "NA")</f>
        <v>1</v>
      </c>
      <c r="BW79" s="153">
        <f>IFERROR('Similarity matrix'!BW79/'Denominator matrix'!$D$23, "NA")</f>
        <v>0.625</v>
      </c>
      <c r="BX79" s="153">
        <f>IFERROR('Similarity matrix'!BX79/'Denominator matrix'!$E$23, "NA")</f>
        <v>0.9</v>
      </c>
      <c r="BY79" s="153">
        <f>IFERROR('Similarity matrix'!BY79/'Denominator matrix'!$F$23, "NA")</f>
        <v>0.75</v>
      </c>
      <c r="BZ79" s="153">
        <f>IFERROR('Similarity matrix'!BZ79/'Denominator matrix'!$G$23, "NA")</f>
        <v>1</v>
      </c>
      <c r="CA79" s="155">
        <f>IFERROR('Similarity matrix'!CA79/'Denominator matrix'!$H$23, "NA")</f>
        <v>0</v>
      </c>
      <c r="CB79" s="153">
        <f>IFERROR('Similarity matrix'!CB79/'Denominator matrix'!$I$23, "NA")</f>
        <v>1</v>
      </c>
      <c r="CC79" s="153">
        <f>IFERROR('Similarity matrix'!CC79/'Denominator matrix'!$J$23, "NA")</f>
        <v>0.75</v>
      </c>
      <c r="CD79" s="153">
        <f>IFERROR('Similarity matrix'!CD79/'Denominator matrix'!$K$23, "NA")</f>
        <v>0.5</v>
      </c>
      <c r="CE79" s="154">
        <f>IFERROR('Similarity matrix'!CE79/'Denominator matrix'!$B$23, "NA")</f>
        <v>0</v>
      </c>
      <c r="CF79" s="153">
        <f>IFERROR('Similarity matrix'!CF79/'Denominator matrix'!$C$23, "NA")</f>
        <v>0</v>
      </c>
      <c r="CG79" s="153">
        <f>IFERROR('Similarity matrix'!CG79/'Denominator matrix'!$D$23, "NA")</f>
        <v>0</v>
      </c>
      <c r="CH79" s="153">
        <f>IFERROR('Similarity matrix'!CH79/'Denominator matrix'!$E$23, "NA")</f>
        <v>0</v>
      </c>
      <c r="CI79" s="153">
        <f>IFERROR('Similarity matrix'!CI79/'Denominator matrix'!$F$23, "NA")</f>
        <v>0</v>
      </c>
      <c r="CJ79" s="153">
        <f>IFERROR('Similarity matrix'!CJ79/'Denominator matrix'!$G$23, "NA")</f>
        <v>0</v>
      </c>
      <c r="CK79" s="156">
        <f>IFERROR('Similarity matrix'!CK79/'Denominator matrix'!$H$23, "NA")</f>
        <v>0</v>
      </c>
      <c r="CL79" s="153">
        <f>IFERROR('Similarity matrix'!CL79/'Denominator matrix'!$I$23, "NA")</f>
        <v>0</v>
      </c>
      <c r="CM79" s="153">
        <f>IFERROR('Similarity matrix'!CM79/'Denominator matrix'!$J$23, "NA")</f>
        <v>0</v>
      </c>
      <c r="CN79" s="153">
        <f>IFERROR('Similarity matrix'!CN79/'Denominator matrix'!$K$23, "NA")</f>
        <v>0</v>
      </c>
      <c r="CO79" s="154">
        <f>IFERROR('Similarity matrix'!CO79/'Denominator matrix'!$B$23, "NA")</f>
        <v>0</v>
      </c>
      <c r="CP79" s="153">
        <f>IFERROR('Similarity matrix'!CP79/'Denominator matrix'!$C$23, "NA")</f>
        <v>0</v>
      </c>
      <c r="CQ79" s="153">
        <f>IFERROR('Similarity matrix'!CQ79/'Denominator matrix'!$D$23, "NA")</f>
        <v>0</v>
      </c>
      <c r="CR79" s="153">
        <f>IFERROR('Similarity matrix'!CR79/'Denominator matrix'!$E$23, "NA")</f>
        <v>0</v>
      </c>
      <c r="CS79" s="153">
        <f>IFERROR('Similarity matrix'!CS79/'Denominator matrix'!$F$23, "NA")</f>
        <v>0</v>
      </c>
      <c r="CT79" s="153">
        <f>IFERROR('Similarity matrix'!CT79/'Denominator matrix'!$G$23, "NA")</f>
        <v>0</v>
      </c>
      <c r="CU79" s="156">
        <f>IFERROR('Similarity matrix'!CU79/'Denominator matrix'!$H$23, "NA")</f>
        <v>0</v>
      </c>
      <c r="CV79" s="153">
        <f>IFERROR('Similarity matrix'!CV79/'Denominator matrix'!$I$23, "NA")</f>
        <v>0</v>
      </c>
      <c r="CW79" s="153">
        <f>IFERROR('Similarity matrix'!CW79/'Denominator matrix'!$J$23, "NA")</f>
        <v>0</v>
      </c>
      <c r="CX79" s="153">
        <f>IFERROR('Similarity matrix'!CX79/'Denominator matrix'!$K$23, "NA")</f>
        <v>0</v>
      </c>
    </row>
    <row r="80" ht="35.25" customHeight="1">
      <c r="B80" s="124">
        <v>45877.0</v>
      </c>
      <c r="C80" s="154">
        <f>IFERROR('Similarity matrix'!C80/'Denominator matrix'!$B$24, "NA")</f>
        <v>0</v>
      </c>
      <c r="D80" s="153">
        <f>IFERROR('Similarity matrix'!D80/'Denominator matrix'!$C$24, "NA")</f>
        <v>0</v>
      </c>
      <c r="E80" s="153">
        <f>IFERROR('Similarity matrix'!E80/'Denominator matrix'!$D$24, "NA")</f>
        <v>0</v>
      </c>
      <c r="F80" s="153">
        <f>IFERROR('Similarity matrix'!F80/'Denominator matrix'!$E$24, "NA")</f>
        <v>0</v>
      </c>
      <c r="G80" s="153">
        <f>IFERROR('Similarity matrix'!G80/'Denominator matrix'!$F$24, "NA")</f>
        <v>0</v>
      </c>
      <c r="H80" s="153">
        <f>IFERROR('Similarity matrix'!H80/'Denominator matrix'!$G$24, "NA")</f>
        <v>0</v>
      </c>
      <c r="I80" s="153">
        <f>IFERROR('Similarity matrix'!I80/'Denominator matrix'!$H$24, "NA")</f>
        <v>0</v>
      </c>
      <c r="J80" s="156">
        <f>IFERROR('Similarity matrix'!J80/'Denominator matrix'!$I$24, "NA")</f>
        <v>0</v>
      </c>
      <c r="K80" s="153">
        <f>IFERROR('Similarity matrix'!K80/'Denominator matrix'!$J$24, "NA")</f>
        <v>0</v>
      </c>
      <c r="L80" s="153">
        <f>IFERROR('Similarity matrix'!L80/'Denominator matrix'!$K$24, "NA")</f>
        <v>0</v>
      </c>
      <c r="M80" s="154">
        <f>IFERROR('Similarity matrix'!M80/'Denominator matrix'!$B$24, "NA")</f>
        <v>0</v>
      </c>
      <c r="N80" s="153">
        <f>IFERROR('Similarity matrix'!N80/'Denominator matrix'!$C$24, "NA")</f>
        <v>0</v>
      </c>
      <c r="O80" s="153">
        <f>IFERROR('Similarity matrix'!O80/'Denominator matrix'!$D$24, "NA")</f>
        <v>0</v>
      </c>
      <c r="P80" s="153">
        <f>IFERROR('Similarity matrix'!P80/'Denominator matrix'!$E$24, "NA")</f>
        <v>0</v>
      </c>
      <c r="Q80" s="153">
        <f>IFERROR('Similarity matrix'!Q80/'Denominator matrix'!$F$24, "NA")</f>
        <v>0</v>
      </c>
      <c r="R80" s="153">
        <f>IFERROR('Similarity matrix'!R80/'Denominator matrix'!$G$24, "NA")</f>
        <v>0</v>
      </c>
      <c r="S80" s="153">
        <f>IFERROR('Similarity matrix'!S80/'Denominator matrix'!$H$24, "NA")</f>
        <v>0</v>
      </c>
      <c r="T80" s="156">
        <f>IFERROR('Similarity matrix'!T80/'Denominator matrix'!$I$24, "NA")</f>
        <v>0</v>
      </c>
      <c r="U80" s="153">
        <f>IFERROR('Similarity matrix'!U80/'Denominator matrix'!$J$24, "NA")</f>
        <v>0</v>
      </c>
      <c r="V80" s="153">
        <f>IFERROR('Similarity matrix'!V80/'Denominator matrix'!$K$24, "NA")</f>
        <v>0</v>
      </c>
      <c r="W80" s="154">
        <f>IFERROR('Similarity matrix'!W80/'Denominator matrix'!$B$24, "NA")</f>
        <v>0</v>
      </c>
      <c r="X80" s="153">
        <f>IFERROR('Similarity matrix'!X80/'Denominator matrix'!$C$24, "NA")</f>
        <v>0</v>
      </c>
      <c r="Y80" s="153">
        <f>IFERROR('Similarity matrix'!Y80/'Denominator matrix'!$D$24, "NA")</f>
        <v>0</v>
      </c>
      <c r="Z80" s="153">
        <f>IFERROR('Similarity matrix'!Z80/'Denominator matrix'!$E$24, "NA")</f>
        <v>0</v>
      </c>
      <c r="AA80" s="153">
        <f>IFERROR('Similarity matrix'!AA80/'Denominator matrix'!$F$24, "NA")</f>
        <v>0</v>
      </c>
      <c r="AB80" s="153">
        <f>IFERROR('Similarity matrix'!AB80/'Denominator matrix'!$G$24, "NA")</f>
        <v>0</v>
      </c>
      <c r="AC80" s="153">
        <f>IFERROR('Similarity matrix'!AC80/'Denominator matrix'!$H$24, "NA")</f>
        <v>0</v>
      </c>
      <c r="AD80" s="156">
        <f>IFERROR('Similarity matrix'!AD80/'Denominator matrix'!$I$24, "NA")</f>
        <v>0</v>
      </c>
      <c r="AE80" s="153">
        <f>IFERROR('Similarity matrix'!AE80/'Denominator matrix'!$J$24, "NA")</f>
        <v>0</v>
      </c>
      <c r="AF80" s="153">
        <f>IFERROR('Similarity matrix'!AF80/'Denominator matrix'!$K$24, "NA")</f>
        <v>0</v>
      </c>
      <c r="AG80" s="154">
        <f>IFERROR('Similarity matrix'!AG80/'Denominator matrix'!$B$24, "NA")</f>
        <v>0</v>
      </c>
      <c r="AH80" s="153">
        <f>IFERROR('Similarity matrix'!AH80/'Denominator matrix'!$C$24, "NA")</f>
        <v>0</v>
      </c>
      <c r="AI80" s="153">
        <f>IFERROR('Similarity matrix'!AI80/'Denominator matrix'!$D$24, "NA")</f>
        <v>0</v>
      </c>
      <c r="AJ80" s="153">
        <f>IFERROR('Similarity matrix'!AJ80/'Denominator matrix'!$E$24, "NA")</f>
        <v>0</v>
      </c>
      <c r="AK80" s="153">
        <f>IFERROR('Similarity matrix'!AK80/'Denominator matrix'!$F$24, "NA")</f>
        <v>0</v>
      </c>
      <c r="AL80" s="153">
        <f>IFERROR('Similarity matrix'!AL80/'Denominator matrix'!$G$24, "NA")</f>
        <v>0</v>
      </c>
      <c r="AM80" s="153">
        <f>IFERROR('Similarity matrix'!AM80/'Denominator matrix'!$H$24, "NA")</f>
        <v>0</v>
      </c>
      <c r="AN80" s="156">
        <f>IFERROR('Similarity matrix'!AN80/'Denominator matrix'!$I$24, "NA")</f>
        <v>0</v>
      </c>
      <c r="AO80" s="153">
        <f>IFERROR('Similarity matrix'!AO80/'Denominator matrix'!$J$24, "NA")</f>
        <v>0</v>
      </c>
      <c r="AP80" s="153">
        <f>IFERROR('Similarity matrix'!AP80/'Denominator matrix'!$K$24, "NA")</f>
        <v>0</v>
      </c>
      <c r="AQ80" s="154">
        <f>IFERROR('Similarity matrix'!AQ80/'Denominator matrix'!$B$24, "NA")</f>
        <v>0</v>
      </c>
      <c r="AR80" s="153">
        <f>IFERROR('Similarity matrix'!AR80/'Denominator matrix'!$C$24, "NA")</f>
        <v>0</v>
      </c>
      <c r="AS80" s="153">
        <f>IFERROR('Similarity matrix'!AS80/'Denominator matrix'!$D$24, "NA")</f>
        <v>0</v>
      </c>
      <c r="AT80" s="153">
        <f>IFERROR('Similarity matrix'!AT80/'Denominator matrix'!$E$24, "NA")</f>
        <v>0</v>
      </c>
      <c r="AU80" s="153">
        <f>IFERROR('Similarity matrix'!AU80/'Denominator matrix'!$F$24, "NA")</f>
        <v>0</v>
      </c>
      <c r="AV80" s="153">
        <f>IFERROR('Similarity matrix'!AV80/'Denominator matrix'!$G$24, "NA")</f>
        <v>0</v>
      </c>
      <c r="AW80" s="153">
        <f>IFERROR('Similarity matrix'!AW80/'Denominator matrix'!$H$24, "NA")</f>
        <v>0</v>
      </c>
      <c r="AX80" s="156">
        <f>IFERROR('Similarity matrix'!AX80/'Denominator matrix'!$I$24, "NA")</f>
        <v>0</v>
      </c>
      <c r="AY80" s="153">
        <f>IFERROR('Similarity matrix'!AY80/'Denominator matrix'!$J$24, "NA")</f>
        <v>0</v>
      </c>
      <c r="AZ80" s="153">
        <f>IFERROR('Similarity matrix'!AZ80/'Denominator matrix'!$K$24, "NA")</f>
        <v>0</v>
      </c>
      <c r="BA80" s="154">
        <f>IFERROR('Similarity matrix'!BA80/'Denominator matrix'!$B$24, "NA")</f>
        <v>0</v>
      </c>
      <c r="BB80" s="153">
        <f>IFERROR('Similarity matrix'!BB80/'Denominator matrix'!$C$24, "NA")</f>
        <v>0</v>
      </c>
      <c r="BC80" s="153">
        <f>IFERROR('Similarity matrix'!BC80/'Denominator matrix'!$D$24, "NA")</f>
        <v>0</v>
      </c>
      <c r="BD80" s="153">
        <f>IFERROR('Similarity matrix'!BD80/'Denominator matrix'!$E$24, "NA")</f>
        <v>0</v>
      </c>
      <c r="BE80" s="153">
        <f>IFERROR('Similarity matrix'!BE80/'Denominator matrix'!$F$24, "NA")</f>
        <v>0</v>
      </c>
      <c r="BF80" s="153">
        <f>IFERROR('Similarity matrix'!BF80/'Denominator matrix'!$G$24, "NA")</f>
        <v>0</v>
      </c>
      <c r="BG80" s="153">
        <f>IFERROR('Similarity matrix'!BG80/'Denominator matrix'!$H$24, "NA")</f>
        <v>0</v>
      </c>
      <c r="BH80" s="156">
        <f>IFERROR('Similarity matrix'!BH80/'Denominator matrix'!$I$24, "NA")</f>
        <v>0</v>
      </c>
      <c r="BI80" s="153">
        <f>IFERROR('Similarity matrix'!BI80/'Denominator matrix'!$J$24, "NA")</f>
        <v>0</v>
      </c>
      <c r="BJ80" s="153">
        <f>IFERROR('Similarity matrix'!BJ80/'Denominator matrix'!$K$24, "NA")</f>
        <v>0</v>
      </c>
      <c r="BK80" s="154">
        <f>IFERROR('Similarity matrix'!BK80/'Denominator matrix'!$B$24, "NA")</f>
        <v>0</v>
      </c>
      <c r="BL80" s="153">
        <f>IFERROR('Similarity matrix'!BL80/'Denominator matrix'!$C$24, "NA")</f>
        <v>0</v>
      </c>
      <c r="BM80" s="153">
        <f>IFERROR('Similarity matrix'!BM80/'Denominator matrix'!$D$24, "NA")</f>
        <v>0</v>
      </c>
      <c r="BN80" s="153">
        <f>IFERROR('Similarity matrix'!BN80/'Denominator matrix'!$E$24, "NA")</f>
        <v>0</v>
      </c>
      <c r="BO80" s="153">
        <f>IFERROR('Similarity matrix'!BO80/'Denominator matrix'!$F$24, "NA")</f>
        <v>0</v>
      </c>
      <c r="BP80" s="153">
        <f>IFERROR('Similarity matrix'!BP80/'Denominator matrix'!$G$24, "NA")</f>
        <v>0</v>
      </c>
      <c r="BQ80" s="153">
        <f>IFERROR('Similarity matrix'!BQ80/'Denominator matrix'!$H$24, "NA")</f>
        <v>0</v>
      </c>
      <c r="BR80" s="156">
        <f>IFERROR('Similarity matrix'!BR80/'Denominator matrix'!$I$24, "NA")</f>
        <v>0</v>
      </c>
      <c r="BS80" s="153">
        <f>IFERROR('Similarity matrix'!BS80/'Denominator matrix'!$J$24, "NA")</f>
        <v>0</v>
      </c>
      <c r="BT80" s="153">
        <f>IFERROR('Similarity matrix'!BT80/'Denominator matrix'!$K$24, "NA")</f>
        <v>0</v>
      </c>
      <c r="BU80" s="154">
        <f>IFERROR('Similarity matrix'!BU80/'Denominator matrix'!$B$24, "NA")</f>
        <v>0.75</v>
      </c>
      <c r="BV80" s="153">
        <f>IFERROR('Similarity matrix'!BV80/'Denominator matrix'!$C$24, "NA")</f>
        <v>0.75</v>
      </c>
      <c r="BW80" s="153">
        <f>IFERROR('Similarity matrix'!BW80/'Denominator matrix'!$D$24, "NA")</f>
        <v>1</v>
      </c>
      <c r="BX80" s="153">
        <f>IFERROR('Similarity matrix'!BX80/'Denominator matrix'!$E$24, "NA")</f>
        <v>1</v>
      </c>
      <c r="BY80" s="153">
        <f>IFERROR('Similarity matrix'!BY80/'Denominator matrix'!$F$24, "NA")</f>
        <v>0.9</v>
      </c>
      <c r="BZ80" s="153">
        <f>IFERROR('Similarity matrix'!BZ80/'Denominator matrix'!$G$24, "NA")</f>
        <v>1</v>
      </c>
      <c r="CA80" s="153">
        <f>IFERROR('Similarity matrix'!CA80/'Denominator matrix'!$H$24, "NA")</f>
        <v>1</v>
      </c>
      <c r="CB80" s="155">
        <f>IFERROR('Similarity matrix'!CB80/'Denominator matrix'!$I$24, "NA")</f>
        <v>0</v>
      </c>
      <c r="CC80" s="153">
        <f>IFERROR('Similarity matrix'!CC80/'Denominator matrix'!$J$24, "NA")</f>
        <v>0.75</v>
      </c>
      <c r="CD80" s="153">
        <f>IFERROR('Similarity matrix'!CD80/'Denominator matrix'!$K$24, "NA")</f>
        <v>0.8333333333</v>
      </c>
      <c r="CE80" s="154">
        <f>IFERROR('Similarity matrix'!CE80/'Denominator matrix'!$B$24, "NA")</f>
        <v>0</v>
      </c>
      <c r="CF80" s="153">
        <f>IFERROR('Similarity matrix'!CF80/'Denominator matrix'!$C$24, "NA")</f>
        <v>0</v>
      </c>
      <c r="CG80" s="153">
        <f>IFERROR('Similarity matrix'!CG80/'Denominator matrix'!$D$24, "NA")</f>
        <v>0.1666666667</v>
      </c>
      <c r="CH80" s="153">
        <f>IFERROR('Similarity matrix'!CH80/'Denominator matrix'!$E$24, "NA")</f>
        <v>0</v>
      </c>
      <c r="CI80" s="153">
        <f>IFERROR('Similarity matrix'!CI80/'Denominator matrix'!$F$24, "NA")</f>
        <v>0</v>
      </c>
      <c r="CJ80" s="153">
        <f>IFERROR('Similarity matrix'!CJ80/'Denominator matrix'!$G$24, "NA")</f>
        <v>0</v>
      </c>
      <c r="CK80" s="153">
        <f>IFERROR('Similarity matrix'!CK80/'Denominator matrix'!$H$24, "NA")</f>
        <v>0</v>
      </c>
      <c r="CL80" s="156">
        <f>IFERROR('Similarity matrix'!CL80/'Denominator matrix'!$I$24, "NA")</f>
        <v>0</v>
      </c>
      <c r="CM80" s="153">
        <f>IFERROR('Similarity matrix'!CM80/'Denominator matrix'!$J$24, "NA")</f>
        <v>0</v>
      </c>
      <c r="CN80" s="153">
        <f>IFERROR('Similarity matrix'!CN80/'Denominator matrix'!$K$24, "NA")</f>
        <v>0</v>
      </c>
      <c r="CO80" s="154">
        <f>IFERROR('Similarity matrix'!CO80/'Denominator matrix'!$B$24, "NA")</f>
        <v>0</v>
      </c>
      <c r="CP80" s="153">
        <f>IFERROR('Similarity matrix'!CP80/'Denominator matrix'!$C$24, "NA")</f>
        <v>0</v>
      </c>
      <c r="CQ80" s="153">
        <f>IFERROR('Similarity matrix'!CQ80/'Denominator matrix'!$D$24, "NA")</f>
        <v>0</v>
      </c>
      <c r="CR80" s="153">
        <f>IFERROR('Similarity matrix'!CR80/'Denominator matrix'!$E$24, "NA")</f>
        <v>0</v>
      </c>
      <c r="CS80" s="153">
        <f>IFERROR('Similarity matrix'!CS80/'Denominator matrix'!$F$24, "NA")</f>
        <v>0</v>
      </c>
      <c r="CT80" s="153">
        <f>IFERROR('Similarity matrix'!CT80/'Denominator matrix'!$G$24, "NA")</f>
        <v>0</v>
      </c>
      <c r="CU80" s="153">
        <f>IFERROR('Similarity matrix'!CU80/'Denominator matrix'!$H$24, "NA")</f>
        <v>0</v>
      </c>
      <c r="CV80" s="156">
        <f>IFERROR('Similarity matrix'!CV80/'Denominator matrix'!$I$24, "NA")</f>
        <v>0</v>
      </c>
      <c r="CW80" s="153">
        <f>IFERROR('Similarity matrix'!CW80/'Denominator matrix'!$J$24, "NA")</f>
        <v>0</v>
      </c>
      <c r="CX80" s="153">
        <f>IFERROR('Similarity matrix'!CX80/'Denominator matrix'!$K$24, "NA")</f>
        <v>0</v>
      </c>
    </row>
    <row r="81" ht="35.25" customHeight="1">
      <c r="B81" s="124">
        <v>45908.0</v>
      </c>
      <c r="C81" s="154">
        <f>IFERROR('Similarity matrix'!C81/'Denominator matrix'!$B$25, "NA")</f>
        <v>0</v>
      </c>
      <c r="D81" s="153">
        <f>IFERROR('Similarity matrix'!D81/'Denominator matrix'!$C$25, "NA")</f>
        <v>0</v>
      </c>
      <c r="E81" s="153">
        <f>IFERROR('Similarity matrix'!E81/'Denominator matrix'!$D$25, "NA")</f>
        <v>0</v>
      </c>
      <c r="F81" s="153">
        <f>IFERROR('Similarity matrix'!F81/'Denominator matrix'!$E$25, "NA")</f>
        <v>0</v>
      </c>
      <c r="G81" s="153">
        <f>IFERROR('Similarity matrix'!G81/'Denominator matrix'!$F$25, "NA")</f>
        <v>0</v>
      </c>
      <c r="H81" s="153">
        <f>IFERROR('Similarity matrix'!H81/'Denominator matrix'!$G$25, "NA")</f>
        <v>0</v>
      </c>
      <c r="I81" s="153">
        <f>IFERROR('Similarity matrix'!I81/'Denominator matrix'!$H$25, "NA")</f>
        <v>0</v>
      </c>
      <c r="J81" s="153">
        <f>IFERROR('Similarity matrix'!J81/'Denominator matrix'!$I$25, "NA")</f>
        <v>0</v>
      </c>
      <c r="K81" s="156">
        <f>IFERROR('Similarity matrix'!K81/'Denominator matrix'!$J$25, "NA")</f>
        <v>0.0625</v>
      </c>
      <c r="L81" s="153">
        <f>IFERROR('Similarity matrix'!L81/'Denominator matrix'!$K$25, "NA")</f>
        <v>0</v>
      </c>
      <c r="M81" s="154">
        <f>IFERROR('Similarity matrix'!M81/'Denominator matrix'!$B$25, "NA")</f>
        <v>0</v>
      </c>
      <c r="N81" s="153">
        <f>IFERROR('Similarity matrix'!N81/'Denominator matrix'!$C$25, "NA")</f>
        <v>0</v>
      </c>
      <c r="O81" s="153">
        <f>IFERROR('Similarity matrix'!O81/'Denominator matrix'!$D$25, "NA")</f>
        <v>0</v>
      </c>
      <c r="P81" s="153">
        <f>IFERROR('Similarity matrix'!P81/'Denominator matrix'!$E$25, "NA")</f>
        <v>0</v>
      </c>
      <c r="Q81" s="153">
        <f>IFERROR('Similarity matrix'!Q81/'Denominator matrix'!$F$25, "NA")</f>
        <v>0</v>
      </c>
      <c r="R81" s="153">
        <f>IFERROR('Similarity matrix'!R81/'Denominator matrix'!$G$25, "NA")</f>
        <v>0</v>
      </c>
      <c r="S81" s="153">
        <f>IFERROR('Similarity matrix'!S81/'Denominator matrix'!$H$25, "NA")</f>
        <v>0</v>
      </c>
      <c r="T81" s="153">
        <f>IFERROR('Similarity matrix'!T81/'Denominator matrix'!$I$25, "NA")</f>
        <v>0</v>
      </c>
      <c r="U81" s="156">
        <f>IFERROR('Similarity matrix'!U81/'Denominator matrix'!$J$25, "NA")</f>
        <v>0</v>
      </c>
      <c r="V81" s="153">
        <f>IFERROR('Similarity matrix'!V81/'Denominator matrix'!$K$25, "NA")</f>
        <v>0</v>
      </c>
      <c r="W81" s="154">
        <f>IFERROR('Similarity matrix'!W81/'Denominator matrix'!$B$25, "NA")</f>
        <v>0</v>
      </c>
      <c r="X81" s="153">
        <f>IFERROR('Similarity matrix'!X81/'Denominator matrix'!$C$25, "NA")</f>
        <v>0</v>
      </c>
      <c r="Y81" s="153">
        <f>IFERROR('Similarity matrix'!Y81/'Denominator matrix'!$D$25, "NA")</f>
        <v>0</v>
      </c>
      <c r="Z81" s="153">
        <f>IFERROR('Similarity matrix'!Z81/'Denominator matrix'!$E$25, "NA")</f>
        <v>0</v>
      </c>
      <c r="AA81" s="153">
        <f>IFERROR('Similarity matrix'!AA81/'Denominator matrix'!$F$25, "NA")</f>
        <v>0</v>
      </c>
      <c r="AB81" s="153">
        <f>IFERROR('Similarity matrix'!AB81/'Denominator matrix'!$G$25, "NA")</f>
        <v>0</v>
      </c>
      <c r="AC81" s="153">
        <f>IFERROR('Similarity matrix'!AC81/'Denominator matrix'!$H$25, "NA")</f>
        <v>0</v>
      </c>
      <c r="AD81" s="153">
        <f>IFERROR('Similarity matrix'!AD81/'Denominator matrix'!$I$25, "NA")</f>
        <v>0</v>
      </c>
      <c r="AE81" s="156">
        <f>IFERROR('Similarity matrix'!AE81/'Denominator matrix'!$J$25, "NA")</f>
        <v>0</v>
      </c>
      <c r="AF81" s="153">
        <f>IFERROR('Similarity matrix'!AF81/'Denominator matrix'!$K$25, "NA")</f>
        <v>0</v>
      </c>
      <c r="AG81" s="154">
        <f>IFERROR('Similarity matrix'!AG81/'Denominator matrix'!$B$25, "NA")</f>
        <v>0</v>
      </c>
      <c r="AH81" s="153">
        <f>IFERROR('Similarity matrix'!AH81/'Denominator matrix'!$C$25, "NA")</f>
        <v>0</v>
      </c>
      <c r="AI81" s="153">
        <f>IFERROR('Similarity matrix'!AI81/'Denominator matrix'!$D$25, "NA")</f>
        <v>0</v>
      </c>
      <c r="AJ81" s="153">
        <f>IFERROR('Similarity matrix'!AJ81/'Denominator matrix'!$E$25, "NA")</f>
        <v>0</v>
      </c>
      <c r="AK81" s="153">
        <f>IFERROR('Similarity matrix'!AK81/'Denominator matrix'!$F$25, "NA")</f>
        <v>0</v>
      </c>
      <c r="AL81" s="153">
        <f>IFERROR('Similarity matrix'!AL81/'Denominator matrix'!$G$25, "NA")</f>
        <v>0</v>
      </c>
      <c r="AM81" s="153">
        <f>IFERROR('Similarity matrix'!AM81/'Denominator matrix'!$H$25, "NA")</f>
        <v>0</v>
      </c>
      <c r="AN81" s="153">
        <f>IFERROR('Similarity matrix'!AN81/'Denominator matrix'!$I$25, "NA")</f>
        <v>0</v>
      </c>
      <c r="AO81" s="156">
        <f>IFERROR('Similarity matrix'!AO81/'Denominator matrix'!$J$25, "NA")</f>
        <v>0</v>
      </c>
      <c r="AP81" s="153">
        <f>IFERROR('Similarity matrix'!AP81/'Denominator matrix'!$K$25, "NA")</f>
        <v>0</v>
      </c>
      <c r="AQ81" s="154">
        <f>IFERROR('Similarity matrix'!AQ81/'Denominator matrix'!$B$25, "NA")</f>
        <v>0</v>
      </c>
      <c r="AR81" s="153">
        <f>IFERROR('Similarity matrix'!AR81/'Denominator matrix'!$C$25, "NA")</f>
        <v>0</v>
      </c>
      <c r="AS81" s="153">
        <f>IFERROR('Similarity matrix'!AS81/'Denominator matrix'!$D$25, "NA")</f>
        <v>0</v>
      </c>
      <c r="AT81" s="153">
        <f>IFERROR('Similarity matrix'!AT81/'Denominator matrix'!$E$25, "NA")</f>
        <v>0</v>
      </c>
      <c r="AU81" s="153">
        <f>IFERROR('Similarity matrix'!AU81/'Denominator matrix'!$F$25, "NA")</f>
        <v>0</v>
      </c>
      <c r="AV81" s="153">
        <f>IFERROR('Similarity matrix'!AV81/'Denominator matrix'!$G$25, "NA")</f>
        <v>0</v>
      </c>
      <c r="AW81" s="153">
        <f>IFERROR('Similarity matrix'!AW81/'Denominator matrix'!$H$25, "NA")</f>
        <v>0</v>
      </c>
      <c r="AX81" s="153">
        <f>IFERROR('Similarity matrix'!AX81/'Denominator matrix'!$I$25, "NA")</f>
        <v>0</v>
      </c>
      <c r="AY81" s="156">
        <f>IFERROR('Similarity matrix'!AY81/'Denominator matrix'!$J$25, "NA")</f>
        <v>0</v>
      </c>
      <c r="AZ81" s="153">
        <f>IFERROR('Similarity matrix'!AZ81/'Denominator matrix'!$K$25, "NA")</f>
        <v>0</v>
      </c>
      <c r="BA81" s="154">
        <f>IFERROR('Similarity matrix'!BA81/'Denominator matrix'!$B$25, "NA")</f>
        <v>0</v>
      </c>
      <c r="BB81" s="153">
        <f>IFERROR('Similarity matrix'!BB81/'Denominator matrix'!$C$25, "NA")</f>
        <v>0</v>
      </c>
      <c r="BC81" s="153">
        <f>IFERROR('Similarity matrix'!BC81/'Denominator matrix'!$D$25, "NA")</f>
        <v>0</v>
      </c>
      <c r="BD81" s="153">
        <f>IFERROR('Similarity matrix'!BD81/'Denominator matrix'!$E$25, "NA")</f>
        <v>0</v>
      </c>
      <c r="BE81" s="153">
        <f>IFERROR('Similarity matrix'!BE81/'Denominator matrix'!$F$25, "NA")</f>
        <v>0</v>
      </c>
      <c r="BF81" s="153">
        <f>IFERROR('Similarity matrix'!BF81/'Denominator matrix'!$G$25, "NA")</f>
        <v>0</v>
      </c>
      <c r="BG81" s="153">
        <f>IFERROR('Similarity matrix'!BG81/'Denominator matrix'!$H$25, "NA")</f>
        <v>0</v>
      </c>
      <c r="BH81" s="153">
        <f>IFERROR('Similarity matrix'!BH81/'Denominator matrix'!$I$25, "NA")</f>
        <v>0</v>
      </c>
      <c r="BI81" s="156">
        <f>IFERROR('Similarity matrix'!BI81/'Denominator matrix'!$J$25, "NA")</f>
        <v>0</v>
      </c>
      <c r="BJ81" s="153">
        <f>IFERROR('Similarity matrix'!BJ81/'Denominator matrix'!$K$25, "NA")</f>
        <v>0</v>
      </c>
      <c r="BK81" s="154">
        <f>IFERROR('Similarity matrix'!BK81/'Denominator matrix'!$B$25, "NA")</f>
        <v>0</v>
      </c>
      <c r="BL81" s="153">
        <f>IFERROR('Similarity matrix'!BL81/'Denominator matrix'!$C$25, "NA")</f>
        <v>0</v>
      </c>
      <c r="BM81" s="153">
        <f>IFERROR('Similarity matrix'!BM81/'Denominator matrix'!$D$25, "NA")</f>
        <v>0</v>
      </c>
      <c r="BN81" s="153">
        <f>IFERROR('Similarity matrix'!BN81/'Denominator matrix'!$E$25, "NA")</f>
        <v>0</v>
      </c>
      <c r="BO81" s="153">
        <f>IFERROR('Similarity matrix'!BO81/'Denominator matrix'!$F$25, "NA")</f>
        <v>0</v>
      </c>
      <c r="BP81" s="153">
        <f>IFERROR('Similarity matrix'!BP81/'Denominator matrix'!$G$25, "NA")</f>
        <v>0</v>
      </c>
      <c r="BQ81" s="153">
        <f>IFERROR('Similarity matrix'!BQ81/'Denominator matrix'!$H$25, "NA")</f>
        <v>0</v>
      </c>
      <c r="BR81" s="153">
        <f>IFERROR('Similarity matrix'!BR81/'Denominator matrix'!$I$25, "NA")</f>
        <v>0</v>
      </c>
      <c r="BS81" s="156">
        <f>IFERROR('Similarity matrix'!BS81/'Denominator matrix'!$J$25, "NA")</f>
        <v>0</v>
      </c>
      <c r="BT81" s="153">
        <f>IFERROR('Similarity matrix'!BT81/'Denominator matrix'!$K$25, "NA")</f>
        <v>0</v>
      </c>
      <c r="BU81" s="154">
        <f>IFERROR('Similarity matrix'!BU81/'Denominator matrix'!$B$25, "NA")</f>
        <v>0.8</v>
      </c>
      <c r="BV81" s="153">
        <f>IFERROR('Similarity matrix'!BV81/'Denominator matrix'!$C$25, "NA")</f>
        <v>1</v>
      </c>
      <c r="BW81" s="153">
        <f>IFERROR('Similarity matrix'!BW81/'Denominator matrix'!$D$25, "NA")</f>
        <v>1</v>
      </c>
      <c r="BX81" s="153">
        <f>IFERROR('Similarity matrix'!BX81/'Denominator matrix'!$E$25, "NA")</f>
        <v>0.8333333333</v>
      </c>
      <c r="BY81" s="153">
        <f>IFERROR('Similarity matrix'!BY81/'Denominator matrix'!$F$25, "NA")</f>
        <v>0.8333333333</v>
      </c>
      <c r="BZ81" s="153">
        <f>IFERROR('Similarity matrix'!BZ81/'Denominator matrix'!$G$25, "NA")</f>
        <v>1</v>
      </c>
      <c r="CA81" s="153">
        <f>IFERROR('Similarity matrix'!CA81/'Denominator matrix'!$H$25, "NA")</f>
        <v>0.75</v>
      </c>
      <c r="CB81" s="153">
        <f>IFERROR('Similarity matrix'!CB81/'Denominator matrix'!$I$25, "NA")</f>
        <v>0.75</v>
      </c>
      <c r="CC81" s="155">
        <f>IFERROR('Similarity matrix'!CC81/'Denominator matrix'!$J$25, "NA")</f>
        <v>0</v>
      </c>
      <c r="CD81" s="153">
        <f>IFERROR('Similarity matrix'!CD81/'Denominator matrix'!$K$25, "NA")</f>
        <v>1</v>
      </c>
      <c r="CE81" s="154">
        <f>IFERROR('Similarity matrix'!CE81/'Denominator matrix'!$B$25, "NA")</f>
        <v>0</v>
      </c>
      <c r="CF81" s="153">
        <f>IFERROR('Similarity matrix'!CF81/'Denominator matrix'!$C$25, "NA")</f>
        <v>0</v>
      </c>
      <c r="CG81" s="153">
        <f>IFERROR('Similarity matrix'!CG81/'Denominator matrix'!$D$25, "NA")</f>
        <v>0</v>
      </c>
      <c r="CH81" s="153">
        <f>IFERROR('Similarity matrix'!CH81/'Denominator matrix'!$E$25, "NA")</f>
        <v>0</v>
      </c>
      <c r="CI81" s="153">
        <f>IFERROR('Similarity matrix'!CI81/'Denominator matrix'!$F$25, "NA")</f>
        <v>0</v>
      </c>
      <c r="CJ81" s="153">
        <f>IFERROR('Similarity matrix'!CJ81/'Denominator matrix'!$G$25, "NA")</f>
        <v>0</v>
      </c>
      <c r="CK81" s="153">
        <f>IFERROR('Similarity matrix'!CK81/'Denominator matrix'!$H$25, "NA")</f>
        <v>0</v>
      </c>
      <c r="CL81" s="153">
        <f>IFERROR('Similarity matrix'!CL81/'Denominator matrix'!$I$25, "NA")</f>
        <v>0</v>
      </c>
      <c r="CM81" s="156">
        <f>IFERROR('Similarity matrix'!CM81/'Denominator matrix'!$J$25, "NA")</f>
        <v>0</v>
      </c>
      <c r="CN81" s="153">
        <f>IFERROR('Similarity matrix'!CN81/'Denominator matrix'!$K$25, "NA")</f>
        <v>0</v>
      </c>
      <c r="CO81" s="154">
        <f>IFERROR('Similarity matrix'!CO81/'Denominator matrix'!$B$25, "NA")</f>
        <v>0</v>
      </c>
      <c r="CP81" s="153">
        <f>IFERROR('Similarity matrix'!CP81/'Denominator matrix'!$C$25, "NA")</f>
        <v>0</v>
      </c>
      <c r="CQ81" s="153">
        <f>IFERROR('Similarity matrix'!CQ81/'Denominator matrix'!$D$25, "NA")</f>
        <v>0</v>
      </c>
      <c r="CR81" s="153">
        <f>IFERROR('Similarity matrix'!CR81/'Denominator matrix'!$E$25, "NA")</f>
        <v>0</v>
      </c>
      <c r="CS81" s="153">
        <f>IFERROR('Similarity matrix'!CS81/'Denominator matrix'!$F$25, "NA")</f>
        <v>0</v>
      </c>
      <c r="CT81" s="153">
        <f>IFERROR('Similarity matrix'!CT81/'Denominator matrix'!$G$25, "NA")</f>
        <v>0</v>
      </c>
      <c r="CU81" s="153">
        <f>IFERROR('Similarity matrix'!CU81/'Denominator matrix'!$H$25, "NA")</f>
        <v>0</v>
      </c>
      <c r="CV81" s="153">
        <f>IFERROR('Similarity matrix'!CV81/'Denominator matrix'!$I$25, "NA")</f>
        <v>0</v>
      </c>
      <c r="CW81" s="156">
        <f>IFERROR('Similarity matrix'!CW81/'Denominator matrix'!$J$25, "NA")</f>
        <v>0</v>
      </c>
      <c r="CX81" s="153">
        <f>IFERROR('Similarity matrix'!CX81/'Denominator matrix'!$K$25, "NA")</f>
        <v>0</v>
      </c>
    </row>
    <row r="82" ht="35.25" customHeight="1">
      <c r="A82" s="125"/>
      <c r="B82" s="126">
        <v>45938.0</v>
      </c>
      <c r="C82" s="157">
        <f>IFERROR('Similarity matrix'!C82/'Denominator matrix'!$B$26, "NA")</f>
        <v>0</v>
      </c>
      <c r="D82" s="158">
        <f>IFERROR('Similarity matrix'!D82/'Denominator matrix'!$C$26, "NA")</f>
        <v>0.25</v>
      </c>
      <c r="E82" s="158">
        <f>IFERROR('Similarity matrix'!E82/'Denominator matrix'!$D$26, "NA")</f>
        <v>0.1666666667</v>
      </c>
      <c r="F82" s="158">
        <f>IFERROR('Similarity matrix'!F82/'Denominator matrix'!$E$26, "NA")</f>
        <v>0</v>
      </c>
      <c r="G82" s="158">
        <f>IFERROR('Similarity matrix'!G82/'Denominator matrix'!$F$26, "NA")</f>
        <v>0</v>
      </c>
      <c r="H82" s="158">
        <f>IFERROR('Similarity matrix'!H82/'Denominator matrix'!$G$26, "NA")</f>
        <v>0</v>
      </c>
      <c r="I82" s="158">
        <f>IFERROR('Similarity matrix'!I82/'Denominator matrix'!$H$26, "NA")</f>
        <v>0.25</v>
      </c>
      <c r="J82" s="158">
        <f>IFERROR('Similarity matrix'!J82/'Denominator matrix'!$I$26, "NA")</f>
        <v>0</v>
      </c>
      <c r="K82" s="158">
        <f>IFERROR('Similarity matrix'!K82/'Denominator matrix'!$J$26, "NA")</f>
        <v>0</v>
      </c>
      <c r="L82" s="160">
        <f>IFERROR('Similarity matrix'!L82/'Denominator matrix'!$K$26, "NA")</f>
        <v>0.07142857143</v>
      </c>
      <c r="M82" s="157">
        <f>IFERROR('Similarity matrix'!M82/'Denominator matrix'!$B$26, "NA")</f>
        <v>0</v>
      </c>
      <c r="N82" s="158">
        <f>IFERROR('Similarity matrix'!N82/'Denominator matrix'!$C$26, "NA")</f>
        <v>0</v>
      </c>
      <c r="O82" s="158">
        <f>IFERROR('Similarity matrix'!O82/'Denominator matrix'!$D$26, "NA")</f>
        <v>0</v>
      </c>
      <c r="P82" s="158">
        <f>IFERROR('Similarity matrix'!P82/'Denominator matrix'!$E$26, "NA")</f>
        <v>0</v>
      </c>
      <c r="Q82" s="158">
        <f>IFERROR('Similarity matrix'!Q82/'Denominator matrix'!$F$26, "NA")</f>
        <v>0</v>
      </c>
      <c r="R82" s="158">
        <f>IFERROR('Similarity matrix'!R82/'Denominator matrix'!$G$26, "NA")</f>
        <v>0</v>
      </c>
      <c r="S82" s="158">
        <f>IFERROR('Similarity matrix'!S82/'Denominator matrix'!$H$26, "NA")</f>
        <v>0</v>
      </c>
      <c r="T82" s="158">
        <f>IFERROR('Similarity matrix'!T82/'Denominator matrix'!$I$26, "NA")</f>
        <v>0</v>
      </c>
      <c r="U82" s="158">
        <f>IFERROR('Similarity matrix'!U82/'Denominator matrix'!$J$26, "NA")</f>
        <v>0</v>
      </c>
      <c r="V82" s="160">
        <f>IFERROR('Similarity matrix'!V82/'Denominator matrix'!$K$26, "NA")</f>
        <v>0</v>
      </c>
      <c r="W82" s="157">
        <f>IFERROR('Similarity matrix'!W82/'Denominator matrix'!$B$26, "NA")</f>
        <v>0</v>
      </c>
      <c r="X82" s="158">
        <f>IFERROR('Similarity matrix'!X82/'Denominator matrix'!$C$26, "NA")</f>
        <v>0</v>
      </c>
      <c r="Y82" s="158">
        <f>IFERROR('Similarity matrix'!Y82/'Denominator matrix'!$D$26, "NA")</f>
        <v>0</v>
      </c>
      <c r="Z82" s="158">
        <f>IFERROR('Similarity matrix'!Z82/'Denominator matrix'!$E$26, "NA")</f>
        <v>0</v>
      </c>
      <c r="AA82" s="158">
        <f>IFERROR('Similarity matrix'!AA82/'Denominator matrix'!$F$26, "NA")</f>
        <v>0</v>
      </c>
      <c r="AB82" s="158">
        <f>IFERROR('Similarity matrix'!AB82/'Denominator matrix'!$G$26, "NA")</f>
        <v>0</v>
      </c>
      <c r="AC82" s="158">
        <f>IFERROR('Similarity matrix'!AC82/'Denominator matrix'!$H$26, "NA")</f>
        <v>0</v>
      </c>
      <c r="AD82" s="158">
        <f>IFERROR('Similarity matrix'!AD82/'Denominator matrix'!$I$26, "NA")</f>
        <v>0</v>
      </c>
      <c r="AE82" s="158">
        <f>IFERROR('Similarity matrix'!AE82/'Denominator matrix'!$J$26, "NA")</f>
        <v>0</v>
      </c>
      <c r="AF82" s="160">
        <f>IFERROR('Similarity matrix'!AF82/'Denominator matrix'!$K$26, "NA")</f>
        <v>0</v>
      </c>
      <c r="AG82" s="157">
        <f>IFERROR('Similarity matrix'!AG82/'Denominator matrix'!$B$26, "NA")</f>
        <v>0</v>
      </c>
      <c r="AH82" s="158">
        <f>IFERROR('Similarity matrix'!AH82/'Denominator matrix'!$C$26, "NA")</f>
        <v>0</v>
      </c>
      <c r="AI82" s="158">
        <f>IFERROR('Similarity matrix'!AI82/'Denominator matrix'!$D$26, "NA")</f>
        <v>0</v>
      </c>
      <c r="AJ82" s="158">
        <f>IFERROR('Similarity matrix'!AJ82/'Denominator matrix'!$E$26, "NA")</f>
        <v>0</v>
      </c>
      <c r="AK82" s="158">
        <f>IFERROR('Similarity matrix'!AK82/'Denominator matrix'!$F$26, "NA")</f>
        <v>0</v>
      </c>
      <c r="AL82" s="158">
        <f>IFERROR('Similarity matrix'!AL82/'Denominator matrix'!$G$26, "NA")</f>
        <v>0</v>
      </c>
      <c r="AM82" s="158">
        <f>IFERROR('Similarity matrix'!AM82/'Denominator matrix'!$H$26, "NA")</f>
        <v>0</v>
      </c>
      <c r="AN82" s="158">
        <f>IFERROR('Similarity matrix'!AN82/'Denominator matrix'!$I$26, "NA")</f>
        <v>0</v>
      </c>
      <c r="AO82" s="158">
        <f>IFERROR('Similarity matrix'!AO82/'Denominator matrix'!$J$26, "NA")</f>
        <v>0</v>
      </c>
      <c r="AP82" s="160">
        <f>IFERROR('Similarity matrix'!AP82/'Denominator matrix'!$K$26, "NA")</f>
        <v>0</v>
      </c>
      <c r="AQ82" s="157">
        <f>IFERROR('Similarity matrix'!AQ82/'Denominator matrix'!$B$26, "NA")</f>
        <v>0</v>
      </c>
      <c r="AR82" s="158">
        <f>IFERROR('Similarity matrix'!AR82/'Denominator matrix'!$C$26, "NA")</f>
        <v>0</v>
      </c>
      <c r="AS82" s="158">
        <f>IFERROR('Similarity matrix'!AS82/'Denominator matrix'!$D$26, "NA")</f>
        <v>0</v>
      </c>
      <c r="AT82" s="158">
        <f>IFERROR('Similarity matrix'!AT82/'Denominator matrix'!$E$26, "NA")</f>
        <v>0</v>
      </c>
      <c r="AU82" s="158">
        <f>IFERROR('Similarity matrix'!AU82/'Denominator matrix'!$F$26, "NA")</f>
        <v>0</v>
      </c>
      <c r="AV82" s="158">
        <f>IFERROR('Similarity matrix'!AV82/'Denominator matrix'!$G$26, "NA")</f>
        <v>0</v>
      </c>
      <c r="AW82" s="158">
        <f>IFERROR('Similarity matrix'!AW82/'Denominator matrix'!$H$26, "NA")</f>
        <v>0</v>
      </c>
      <c r="AX82" s="158">
        <f>IFERROR('Similarity matrix'!AX82/'Denominator matrix'!$I$26, "NA")</f>
        <v>0</v>
      </c>
      <c r="AY82" s="158">
        <f>IFERROR('Similarity matrix'!AY82/'Denominator matrix'!$J$26, "NA")</f>
        <v>0</v>
      </c>
      <c r="AZ82" s="160">
        <f>IFERROR('Similarity matrix'!AZ82/'Denominator matrix'!$K$26, "NA")</f>
        <v>0</v>
      </c>
      <c r="BA82" s="157">
        <f>IFERROR('Similarity matrix'!BA82/'Denominator matrix'!$B$26, "NA")</f>
        <v>0</v>
      </c>
      <c r="BB82" s="158">
        <f>IFERROR('Similarity matrix'!BB82/'Denominator matrix'!$C$26, "NA")</f>
        <v>0</v>
      </c>
      <c r="BC82" s="158">
        <f>IFERROR('Similarity matrix'!BC82/'Denominator matrix'!$D$26, "NA")</f>
        <v>0</v>
      </c>
      <c r="BD82" s="158">
        <f>IFERROR('Similarity matrix'!BD82/'Denominator matrix'!$E$26, "NA")</f>
        <v>0</v>
      </c>
      <c r="BE82" s="158">
        <f>IFERROR('Similarity matrix'!BE82/'Denominator matrix'!$F$26, "NA")</f>
        <v>0</v>
      </c>
      <c r="BF82" s="158">
        <f>IFERROR('Similarity matrix'!BF82/'Denominator matrix'!$G$26, "NA")</f>
        <v>0</v>
      </c>
      <c r="BG82" s="158">
        <f>IFERROR('Similarity matrix'!BG82/'Denominator matrix'!$H$26, "NA")</f>
        <v>0</v>
      </c>
      <c r="BH82" s="158">
        <f>IFERROR('Similarity matrix'!BH82/'Denominator matrix'!$I$26, "NA")</f>
        <v>0</v>
      </c>
      <c r="BI82" s="158">
        <f>IFERROR('Similarity matrix'!BI82/'Denominator matrix'!$J$26, "NA")</f>
        <v>0</v>
      </c>
      <c r="BJ82" s="160">
        <f>IFERROR('Similarity matrix'!BJ82/'Denominator matrix'!$K$26, "NA")</f>
        <v>0</v>
      </c>
      <c r="BK82" s="157">
        <f>IFERROR('Similarity matrix'!BK82/'Denominator matrix'!$B$26, "NA")</f>
        <v>0</v>
      </c>
      <c r="BL82" s="158">
        <f>IFERROR('Similarity matrix'!BL82/'Denominator matrix'!$C$26, "NA")</f>
        <v>0</v>
      </c>
      <c r="BM82" s="158">
        <f>IFERROR('Similarity matrix'!BM82/'Denominator matrix'!$D$26, "NA")</f>
        <v>0</v>
      </c>
      <c r="BN82" s="158">
        <f>IFERROR('Similarity matrix'!BN82/'Denominator matrix'!$E$26, "NA")</f>
        <v>0.25</v>
      </c>
      <c r="BO82" s="158">
        <f>IFERROR('Similarity matrix'!BO82/'Denominator matrix'!$F$26, "NA")</f>
        <v>0</v>
      </c>
      <c r="BP82" s="158">
        <f>IFERROR('Similarity matrix'!BP82/'Denominator matrix'!$G$26, "NA")</f>
        <v>0</v>
      </c>
      <c r="BQ82" s="158">
        <f>IFERROR('Similarity matrix'!BQ82/'Denominator matrix'!$H$26, "NA")</f>
        <v>0.25</v>
      </c>
      <c r="BR82" s="158">
        <f>IFERROR('Similarity matrix'!BR82/'Denominator matrix'!$I$26, "NA")</f>
        <v>0.1666666667</v>
      </c>
      <c r="BS82" s="158">
        <f>IFERROR('Similarity matrix'!BS82/'Denominator matrix'!$J$26, "NA")</f>
        <v>0</v>
      </c>
      <c r="BT82" s="160">
        <f>IFERROR('Similarity matrix'!BT82/'Denominator matrix'!$K$26, "NA")</f>
        <v>0.07142857143</v>
      </c>
      <c r="BU82" s="157">
        <f>IFERROR('Similarity matrix'!BU82/'Denominator matrix'!$B$26, "NA")</f>
        <v>1</v>
      </c>
      <c r="BV82" s="158">
        <f>IFERROR('Similarity matrix'!BV82/'Denominator matrix'!$C$26, "NA")</f>
        <v>0.75</v>
      </c>
      <c r="BW82" s="158">
        <f>IFERROR('Similarity matrix'!BW82/'Denominator matrix'!$D$26, "NA")</f>
        <v>0.8333333333</v>
      </c>
      <c r="BX82" s="158">
        <f>IFERROR('Similarity matrix'!BX82/'Denominator matrix'!$E$26, "NA")</f>
        <v>0.75</v>
      </c>
      <c r="BY82" s="158">
        <f>IFERROR('Similarity matrix'!BY82/'Denominator matrix'!$F$26, "NA")</f>
        <v>1</v>
      </c>
      <c r="BZ82" s="158">
        <f>IFERROR('Similarity matrix'!BZ82/'Denominator matrix'!$G$26, "NA")</f>
        <v>1</v>
      </c>
      <c r="CA82" s="158">
        <f>IFERROR('Similarity matrix'!CA82/'Denominator matrix'!$H$26, "NA")</f>
        <v>0.5</v>
      </c>
      <c r="CB82" s="158">
        <f>IFERROR('Similarity matrix'!CB82/'Denominator matrix'!$I$26, "NA")</f>
        <v>0.8333333333</v>
      </c>
      <c r="CC82" s="158">
        <f>IFERROR('Similarity matrix'!CC82/'Denominator matrix'!$J$26, "NA")</f>
        <v>1</v>
      </c>
      <c r="CD82" s="159">
        <f>IFERROR('Similarity matrix'!CD82/'Denominator matrix'!$K$26, "NA")</f>
        <v>0</v>
      </c>
      <c r="CE82" s="157">
        <f>IFERROR('Similarity matrix'!CE82/'Denominator matrix'!$B$26, "NA")</f>
        <v>0</v>
      </c>
      <c r="CF82" s="158">
        <f>IFERROR('Similarity matrix'!CF82/'Denominator matrix'!$C$26, "NA")</f>
        <v>0</v>
      </c>
      <c r="CG82" s="158">
        <f>IFERROR('Similarity matrix'!CG82/'Denominator matrix'!$D$26, "NA")</f>
        <v>0</v>
      </c>
      <c r="CH82" s="158">
        <f>IFERROR('Similarity matrix'!CH82/'Denominator matrix'!$E$26, "NA")</f>
        <v>0</v>
      </c>
      <c r="CI82" s="158">
        <f>IFERROR('Similarity matrix'!CI82/'Denominator matrix'!$F$26, "NA")</f>
        <v>0</v>
      </c>
      <c r="CJ82" s="158">
        <f>IFERROR('Similarity matrix'!CJ82/'Denominator matrix'!$G$26, "NA")</f>
        <v>0</v>
      </c>
      <c r="CK82" s="158">
        <f>IFERROR('Similarity matrix'!CK82/'Denominator matrix'!$H$26, "NA")</f>
        <v>0</v>
      </c>
      <c r="CL82" s="158">
        <f>IFERROR('Similarity matrix'!CL82/'Denominator matrix'!$I$26, "NA")</f>
        <v>0</v>
      </c>
      <c r="CM82" s="158">
        <f>IFERROR('Similarity matrix'!CM82/'Denominator matrix'!$J$26, "NA")</f>
        <v>0</v>
      </c>
      <c r="CN82" s="160">
        <f>IFERROR('Similarity matrix'!CN82/'Denominator matrix'!$K$26, "NA")</f>
        <v>0</v>
      </c>
      <c r="CO82" s="157">
        <f>IFERROR('Similarity matrix'!CO82/'Denominator matrix'!$B$26, "NA")</f>
        <v>0</v>
      </c>
      <c r="CP82" s="158">
        <f>IFERROR('Similarity matrix'!CP82/'Denominator matrix'!$C$26, "NA")</f>
        <v>0</v>
      </c>
      <c r="CQ82" s="158">
        <f>IFERROR('Similarity matrix'!CQ82/'Denominator matrix'!$D$26, "NA")</f>
        <v>0</v>
      </c>
      <c r="CR82" s="158">
        <f>IFERROR('Similarity matrix'!CR82/'Denominator matrix'!$E$26, "NA")</f>
        <v>0</v>
      </c>
      <c r="CS82" s="158">
        <f>IFERROR('Similarity matrix'!CS82/'Denominator matrix'!$F$26, "NA")</f>
        <v>0</v>
      </c>
      <c r="CT82" s="158">
        <f>IFERROR('Similarity matrix'!CT82/'Denominator matrix'!$G$26, "NA")</f>
        <v>0</v>
      </c>
      <c r="CU82" s="158">
        <f>IFERROR('Similarity matrix'!CU82/'Denominator matrix'!$H$26, "NA")</f>
        <v>0</v>
      </c>
      <c r="CV82" s="158">
        <f>IFERROR('Similarity matrix'!CV82/'Denominator matrix'!$I$26, "NA")</f>
        <v>0</v>
      </c>
      <c r="CW82" s="158">
        <f>IFERROR('Similarity matrix'!CW82/'Denominator matrix'!$J$26, "NA")</f>
        <v>0</v>
      </c>
      <c r="CX82" s="160">
        <f>IFERROR('Similarity matrix'!CX82/'Denominator matrix'!$K$26, "NA")</f>
        <v>0</v>
      </c>
    </row>
    <row r="83" ht="35.25" customHeight="1">
      <c r="A83" s="138" t="s">
        <v>2943</v>
      </c>
      <c r="B83" s="124">
        <v>45666.0</v>
      </c>
      <c r="C83" s="154">
        <f>IFERROR('Similarity matrix'!C83/'Denominator matrix'!$B$17, "NA")</f>
        <v>0</v>
      </c>
      <c r="D83" s="153">
        <f>IFERROR('Similarity matrix'!D83/'Denominator matrix'!$C$17, "NA")</f>
        <v>0</v>
      </c>
      <c r="E83" s="153">
        <f>IFERROR('Similarity matrix'!E83/'Denominator matrix'!$D$17, "NA")</f>
        <v>0</v>
      </c>
      <c r="F83" s="153">
        <f>IFERROR('Similarity matrix'!F83/'Denominator matrix'!$E$17, "NA")</f>
        <v>0</v>
      </c>
      <c r="G83" s="153">
        <f>IFERROR('Similarity matrix'!G83/'Denominator matrix'!$F$17, "NA")</f>
        <v>0</v>
      </c>
      <c r="H83" s="153">
        <f>IFERROR('Similarity matrix'!H83/'Denominator matrix'!$G$17, "NA")</f>
        <v>0</v>
      </c>
      <c r="I83" s="153">
        <f>IFERROR('Similarity matrix'!I83/'Denominator matrix'!$H$17, "NA")</f>
        <v>0</v>
      </c>
      <c r="J83" s="153">
        <f>IFERROR('Similarity matrix'!J83/'Denominator matrix'!$I$17, "NA")</f>
        <v>0</v>
      </c>
      <c r="K83" s="153">
        <f>IFERROR('Similarity matrix'!K83/'Denominator matrix'!$J$17, "NA")</f>
        <v>0</v>
      </c>
      <c r="L83" s="153">
        <f>IFERROR('Similarity matrix'!L83/'Denominator matrix'!$K$17, "NA")</f>
        <v>0</v>
      </c>
      <c r="M83" s="154">
        <f>IFERROR('Similarity matrix'!M83/'Denominator matrix'!$B$17, "NA")</f>
        <v>0</v>
      </c>
      <c r="N83" s="153">
        <f>IFERROR('Similarity matrix'!N83/'Denominator matrix'!$C$17, "NA")</f>
        <v>0</v>
      </c>
      <c r="O83" s="153">
        <f>IFERROR('Similarity matrix'!O83/'Denominator matrix'!$D$17, "NA")</f>
        <v>0</v>
      </c>
      <c r="P83" s="153">
        <f>IFERROR('Similarity matrix'!P83/'Denominator matrix'!$E$17, "NA")</f>
        <v>0</v>
      </c>
      <c r="Q83" s="153">
        <f>IFERROR('Similarity matrix'!Q83/'Denominator matrix'!$F$17, "NA")</f>
        <v>0</v>
      </c>
      <c r="R83" s="153">
        <f>IFERROR('Similarity matrix'!R83/'Denominator matrix'!$G$17, "NA")</f>
        <v>0</v>
      </c>
      <c r="S83" s="153">
        <f>IFERROR('Similarity matrix'!S83/'Denominator matrix'!$H$17, "NA")</f>
        <v>0</v>
      </c>
      <c r="T83" s="153">
        <f>IFERROR('Similarity matrix'!T83/'Denominator matrix'!$I$17, "NA")</f>
        <v>0</v>
      </c>
      <c r="U83" s="153">
        <f>IFERROR('Similarity matrix'!U83/'Denominator matrix'!$J$17, "NA")</f>
        <v>0</v>
      </c>
      <c r="V83" s="153">
        <f>IFERROR('Similarity matrix'!V83/'Denominator matrix'!$K$17, "NA")</f>
        <v>0</v>
      </c>
      <c r="W83" s="154">
        <f>IFERROR('Similarity matrix'!W83/'Denominator matrix'!$B$17, "NA")</f>
        <v>0</v>
      </c>
      <c r="X83" s="153">
        <f>IFERROR('Similarity matrix'!X83/'Denominator matrix'!$C$17, "NA")</f>
        <v>0</v>
      </c>
      <c r="Y83" s="153">
        <f>IFERROR('Similarity matrix'!Y83/'Denominator matrix'!$D$17, "NA")</f>
        <v>0</v>
      </c>
      <c r="Z83" s="153">
        <f>IFERROR('Similarity matrix'!Z83/'Denominator matrix'!$E$17, "NA")</f>
        <v>0</v>
      </c>
      <c r="AA83" s="153">
        <f>IFERROR('Similarity matrix'!AA83/'Denominator matrix'!$F$17, "NA")</f>
        <v>0</v>
      </c>
      <c r="AB83" s="153">
        <f>IFERROR('Similarity matrix'!AB83/'Denominator matrix'!$G$17, "NA")</f>
        <v>0</v>
      </c>
      <c r="AC83" s="153">
        <f>IFERROR('Similarity matrix'!AC83/'Denominator matrix'!$H$17, "NA")</f>
        <v>0</v>
      </c>
      <c r="AD83" s="153">
        <f>IFERROR('Similarity matrix'!AD83/'Denominator matrix'!$I$17, "NA")</f>
        <v>0</v>
      </c>
      <c r="AE83" s="153">
        <f>IFERROR('Similarity matrix'!AE83/'Denominator matrix'!$J$17, "NA")</f>
        <v>0</v>
      </c>
      <c r="AF83" s="153">
        <f>IFERROR('Similarity matrix'!AF83/'Denominator matrix'!$K$17, "NA")</f>
        <v>0</v>
      </c>
      <c r="AG83" s="154">
        <f>IFERROR('Similarity matrix'!AG83/'Denominator matrix'!$B$17, "NA")</f>
        <v>0</v>
      </c>
      <c r="AH83" s="153">
        <f>IFERROR('Similarity matrix'!AH83/'Denominator matrix'!$C$17, "NA")</f>
        <v>0</v>
      </c>
      <c r="AI83" s="153">
        <f>IFERROR('Similarity matrix'!AI83/'Denominator matrix'!$D$17, "NA")</f>
        <v>0</v>
      </c>
      <c r="AJ83" s="153">
        <f>IFERROR('Similarity matrix'!AJ83/'Denominator matrix'!$E$17, "NA")</f>
        <v>0</v>
      </c>
      <c r="AK83" s="153">
        <f>IFERROR('Similarity matrix'!AK83/'Denominator matrix'!$F$17, "NA")</f>
        <v>0</v>
      </c>
      <c r="AL83" s="153">
        <f>IFERROR('Similarity matrix'!AL83/'Denominator matrix'!$G$17, "NA")</f>
        <v>0</v>
      </c>
      <c r="AM83" s="153">
        <f>IFERROR('Similarity matrix'!AM83/'Denominator matrix'!$H$17, "NA")</f>
        <v>0</v>
      </c>
      <c r="AN83" s="153">
        <f>IFERROR('Similarity matrix'!AN83/'Denominator matrix'!$I$17, "NA")</f>
        <v>0</v>
      </c>
      <c r="AO83" s="153">
        <f>IFERROR('Similarity matrix'!AO83/'Denominator matrix'!$J$17, "NA")</f>
        <v>0</v>
      </c>
      <c r="AP83" s="153">
        <f>IFERROR('Similarity matrix'!AP83/'Denominator matrix'!$K$17, "NA")</f>
        <v>0</v>
      </c>
      <c r="AQ83" s="154">
        <f>IFERROR('Similarity matrix'!AQ83/'Denominator matrix'!$B$17, "NA")</f>
        <v>0</v>
      </c>
      <c r="AR83" s="153">
        <f>IFERROR('Similarity matrix'!AR83/'Denominator matrix'!$C$17, "NA")</f>
        <v>0</v>
      </c>
      <c r="AS83" s="153">
        <f>IFERROR('Similarity matrix'!AS83/'Denominator matrix'!$D$17, "NA")</f>
        <v>0</v>
      </c>
      <c r="AT83" s="153">
        <f>IFERROR('Similarity matrix'!AT83/'Denominator matrix'!$E$17, "NA")</f>
        <v>0</v>
      </c>
      <c r="AU83" s="153">
        <f>IFERROR('Similarity matrix'!AU83/'Denominator matrix'!$F$17, "NA")</f>
        <v>0.1</v>
      </c>
      <c r="AV83" s="153">
        <f>IFERROR('Similarity matrix'!AV83/'Denominator matrix'!$G$17, "NA")</f>
        <v>0.1</v>
      </c>
      <c r="AW83" s="153">
        <f>IFERROR('Similarity matrix'!AW83/'Denominator matrix'!$H$17, "NA")</f>
        <v>0</v>
      </c>
      <c r="AX83" s="153">
        <f>IFERROR('Similarity matrix'!AX83/'Denominator matrix'!$I$17, "NA")</f>
        <v>0</v>
      </c>
      <c r="AY83" s="153">
        <f>IFERROR('Similarity matrix'!AY83/'Denominator matrix'!$J$17, "NA")</f>
        <v>0</v>
      </c>
      <c r="AZ83" s="153">
        <f>IFERROR('Similarity matrix'!AZ83/'Denominator matrix'!$K$17, "NA")</f>
        <v>0.25</v>
      </c>
      <c r="BA83" s="154">
        <f>IFERROR('Similarity matrix'!BA83/'Denominator matrix'!$B$17, "NA")</f>
        <v>0</v>
      </c>
      <c r="BB83" s="153">
        <f>IFERROR('Similarity matrix'!BB83/'Denominator matrix'!$C$17, "NA")</f>
        <v>0</v>
      </c>
      <c r="BC83" s="153">
        <f>IFERROR('Similarity matrix'!BC83/'Denominator matrix'!$D$17, "NA")</f>
        <v>0</v>
      </c>
      <c r="BD83" s="153">
        <f>IFERROR('Similarity matrix'!BD83/'Denominator matrix'!$E$17, "NA")</f>
        <v>0</v>
      </c>
      <c r="BE83" s="153">
        <f>IFERROR('Similarity matrix'!BE83/'Denominator matrix'!$F$17, "NA")</f>
        <v>0</v>
      </c>
      <c r="BF83" s="153">
        <f>IFERROR('Similarity matrix'!BF83/'Denominator matrix'!$G$17, "NA")</f>
        <v>0</v>
      </c>
      <c r="BG83" s="153">
        <f>IFERROR('Similarity matrix'!BG83/'Denominator matrix'!$H$17, "NA")</f>
        <v>0</v>
      </c>
      <c r="BH83" s="153">
        <f>IFERROR('Similarity matrix'!BH83/'Denominator matrix'!$I$17, "NA")</f>
        <v>0</v>
      </c>
      <c r="BI83" s="153">
        <f>IFERROR('Similarity matrix'!BI83/'Denominator matrix'!$J$17, "NA")</f>
        <v>0</v>
      </c>
      <c r="BJ83" s="153">
        <f>IFERROR('Similarity matrix'!BJ83/'Denominator matrix'!$K$17, "NA")</f>
        <v>0</v>
      </c>
      <c r="BK83" s="154">
        <f>IFERROR('Similarity matrix'!BK83/'Denominator matrix'!$B$17, "NA")</f>
        <v>0</v>
      </c>
      <c r="BL83" s="153">
        <f>IFERROR('Similarity matrix'!BL83/'Denominator matrix'!$C$17, "NA")</f>
        <v>0</v>
      </c>
      <c r="BM83" s="153">
        <f>IFERROR('Similarity matrix'!BM83/'Denominator matrix'!$D$17, "NA")</f>
        <v>0</v>
      </c>
      <c r="BN83" s="153">
        <f>IFERROR('Similarity matrix'!BN83/'Denominator matrix'!$E$17, "NA")</f>
        <v>0</v>
      </c>
      <c r="BO83" s="153">
        <f>IFERROR('Similarity matrix'!BO83/'Denominator matrix'!$F$17, "NA")</f>
        <v>0</v>
      </c>
      <c r="BP83" s="153">
        <f>IFERROR('Similarity matrix'!BP83/'Denominator matrix'!$G$17, "NA")</f>
        <v>0</v>
      </c>
      <c r="BQ83" s="153">
        <f>IFERROR('Similarity matrix'!BQ83/'Denominator matrix'!$H$17, "NA")</f>
        <v>0</v>
      </c>
      <c r="BR83" s="153">
        <f>IFERROR('Similarity matrix'!BR83/'Denominator matrix'!$I$17, "NA")</f>
        <v>0</v>
      </c>
      <c r="BS83" s="153">
        <f>IFERROR('Similarity matrix'!BS83/'Denominator matrix'!$J$17, "NA")</f>
        <v>0</v>
      </c>
      <c r="BT83" s="153">
        <f>IFERROR('Similarity matrix'!BT83/'Denominator matrix'!$K$17, "NA")</f>
        <v>0</v>
      </c>
      <c r="BU83" s="154">
        <f>IFERROR('Similarity matrix'!BU83/'Denominator matrix'!$B$17, "NA")</f>
        <v>0</v>
      </c>
      <c r="BV83" s="153">
        <f>IFERROR('Similarity matrix'!BV83/'Denominator matrix'!$C$17, "NA")</f>
        <v>0</v>
      </c>
      <c r="BW83" s="153">
        <f>IFERROR('Similarity matrix'!BW83/'Denominator matrix'!$D$17, "NA")</f>
        <v>0</v>
      </c>
      <c r="BX83" s="153">
        <f>IFERROR('Similarity matrix'!BX83/'Denominator matrix'!$E$17, "NA")</f>
        <v>0</v>
      </c>
      <c r="BY83" s="153">
        <f>IFERROR('Similarity matrix'!BY83/'Denominator matrix'!$F$17, "NA")</f>
        <v>0</v>
      </c>
      <c r="BZ83" s="153">
        <f>IFERROR('Similarity matrix'!BZ83/'Denominator matrix'!$G$17, "NA")</f>
        <v>0</v>
      </c>
      <c r="CA83" s="153">
        <f>IFERROR('Similarity matrix'!CA83/'Denominator matrix'!$H$17, "NA")</f>
        <v>0</v>
      </c>
      <c r="CB83" s="153">
        <f>IFERROR('Similarity matrix'!CB83/'Denominator matrix'!$I$17, "NA")</f>
        <v>0</v>
      </c>
      <c r="CC83" s="153">
        <f>IFERROR('Similarity matrix'!CC83/'Denominator matrix'!$J$17, "NA")</f>
        <v>0</v>
      </c>
      <c r="CD83" s="153">
        <f>IFERROR('Similarity matrix'!CD83/'Denominator matrix'!$K$17, "NA")</f>
        <v>0</v>
      </c>
      <c r="CE83" s="152">
        <f>IFERROR('Similarity matrix'!CE83/'Denominator matrix'!$B$17, "NA")</f>
        <v>0</v>
      </c>
      <c r="CF83" s="153">
        <f>IFERROR('Similarity matrix'!CF83/'Denominator matrix'!$C$17, "NA")</f>
        <v>1</v>
      </c>
      <c r="CG83" s="153">
        <f>IFERROR('Similarity matrix'!CG83/'Denominator matrix'!$D$17, "NA")</f>
        <v>0.25</v>
      </c>
      <c r="CH83" s="153">
        <f>IFERROR('Similarity matrix'!CH83/'Denominator matrix'!$E$17, "NA")</f>
        <v>0.5</v>
      </c>
      <c r="CI83" s="153">
        <f>IFERROR('Similarity matrix'!CI83/'Denominator matrix'!$F$17, "NA")</f>
        <v>0.7</v>
      </c>
      <c r="CJ83" s="153">
        <f>IFERROR('Similarity matrix'!CJ83/'Denominator matrix'!$G$17, "NA")</f>
        <v>0.7</v>
      </c>
      <c r="CK83" s="153">
        <f>IFERROR('Similarity matrix'!CK83/'Denominator matrix'!$H$17, "NA")</f>
        <v>0.75</v>
      </c>
      <c r="CL83" s="153">
        <f>IFERROR('Similarity matrix'!CL83/'Denominator matrix'!$I$17, "NA")</f>
        <v>0.75</v>
      </c>
      <c r="CM83" s="153">
        <f>IFERROR('Similarity matrix'!CM83/'Denominator matrix'!$J$17, "NA")</f>
        <v>0.9</v>
      </c>
      <c r="CN83" s="153">
        <f>IFERROR('Similarity matrix'!CN83/'Denominator matrix'!$K$17, "NA")</f>
        <v>0.75</v>
      </c>
      <c r="CO83" s="154">
        <f>IFERROR('Similarity matrix'!CO83/'Denominator matrix'!$B$17, "NA")</f>
        <v>0</v>
      </c>
      <c r="CP83" s="153">
        <f>IFERROR('Similarity matrix'!CP83/'Denominator matrix'!$C$17, "NA")</f>
        <v>0</v>
      </c>
      <c r="CQ83" s="153">
        <f>IFERROR('Similarity matrix'!CQ83/'Denominator matrix'!$D$17, "NA")</f>
        <v>0</v>
      </c>
      <c r="CR83" s="153">
        <f>IFERROR('Similarity matrix'!CR83/'Denominator matrix'!$E$17, "NA")</f>
        <v>0</v>
      </c>
      <c r="CS83" s="153">
        <f>IFERROR('Similarity matrix'!CS83/'Denominator matrix'!$F$17, "NA")</f>
        <v>0</v>
      </c>
      <c r="CT83" s="153">
        <f>IFERROR('Similarity matrix'!CT83/'Denominator matrix'!$G$17, "NA")</f>
        <v>0</v>
      </c>
      <c r="CU83" s="153">
        <f>IFERROR('Similarity matrix'!CU83/'Denominator matrix'!$H$17, "NA")</f>
        <v>0</v>
      </c>
      <c r="CV83" s="153">
        <f>IFERROR('Similarity matrix'!CV83/'Denominator matrix'!$I$17, "NA")</f>
        <v>0</v>
      </c>
      <c r="CW83" s="153">
        <f>IFERROR('Similarity matrix'!CW83/'Denominator matrix'!$J$17, "NA")</f>
        <v>0</v>
      </c>
      <c r="CX83" s="153">
        <f>IFERROR('Similarity matrix'!CX83/'Denominator matrix'!$K$17, "NA")</f>
        <v>0</v>
      </c>
    </row>
    <row r="84" ht="35.25" customHeight="1">
      <c r="B84" s="124">
        <v>45697.0</v>
      </c>
      <c r="C84" s="154">
        <f>IFERROR('Similarity matrix'!C84/'Denominator matrix'!$B$18, "NA")</f>
        <v>0</v>
      </c>
      <c r="D84" s="156">
        <f>IFERROR('Similarity matrix'!D84/'Denominator matrix'!$C$18, "NA")</f>
        <v>0</v>
      </c>
      <c r="E84" s="153">
        <f>IFERROR('Similarity matrix'!E84/'Denominator matrix'!$D$18, "NA")</f>
        <v>0</v>
      </c>
      <c r="F84" s="153">
        <f>IFERROR('Similarity matrix'!F84/'Denominator matrix'!$E$18, "NA")</f>
        <v>0</v>
      </c>
      <c r="G84" s="153">
        <f>IFERROR('Similarity matrix'!G84/'Denominator matrix'!$F$18, "NA")</f>
        <v>0</v>
      </c>
      <c r="H84" s="153">
        <f>IFERROR('Similarity matrix'!H84/'Denominator matrix'!$G$18, "NA")</f>
        <v>0</v>
      </c>
      <c r="I84" s="153">
        <f>IFERROR('Similarity matrix'!I84/'Denominator matrix'!$H$18, "NA")</f>
        <v>0</v>
      </c>
      <c r="J84" s="153">
        <f>IFERROR('Similarity matrix'!J84/'Denominator matrix'!$I$18, "NA")</f>
        <v>0</v>
      </c>
      <c r="K84" s="153">
        <f>IFERROR('Similarity matrix'!K84/'Denominator matrix'!$J$18, "NA")</f>
        <v>0</v>
      </c>
      <c r="L84" s="153">
        <f>IFERROR('Similarity matrix'!L84/'Denominator matrix'!$K$18, "NA")</f>
        <v>0</v>
      </c>
      <c r="M84" s="154">
        <f>IFERROR('Similarity matrix'!M84/'Denominator matrix'!$B$18, "NA")</f>
        <v>0</v>
      </c>
      <c r="N84" s="156">
        <f>IFERROR('Similarity matrix'!N84/'Denominator matrix'!$C$18, "NA")</f>
        <v>0.07142857143</v>
      </c>
      <c r="O84" s="153">
        <f>IFERROR('Similarity matrix'!O84/'Denominator matrix'!$D$18, "NA")</f>
        <v>0</v>
      </c>
      <c r="P84" s="153">
        <f>IFERROR('Similarity matrix'!P84/'Denominator matrix'!$E$18, "NA")</f>
        <v>0.25</v>
      </c>
      <c r="Q84" s="153">
        <f>IFERROR('Similarity matrix'!Q84/'Denominator matrix'!$F$18, "NA")</f>
        <v>0.1666666667</v>
      </c>
      <c r="R84" s="153">
        <f>IFERROR('Similarity matrix'!R84/'Denominator matrix'!$G$18, "NA")</f>
        <v>0</v>
      </c>
      <c r="S84" s="153">
        <f>IFERROR('Similarity matrix'!S84/'Denominator matrix'!$H$18, "NA")</f>
        <v>0.1666666667</v>
      </c>
      <c r="T84" s="153">
        <f>IFERROR('Similarity matrix'!T84/'Denominator matrix'!$I$18, "NA")</f>
        <v>0.25</v>
      </c>
      <c r="U84" s="153">
        <f>IFERROR('Similarity matrix'!U84/'Denominator matrix'!$J$18, "NA")</f>
        <v>0</v>
      </c>
      <c r="V84" s="153">
        <f>IFERROR('Similarity matrix'!V84/'Denominator matrix'!$K$18, "NA")</f>
        <v>0.25</v>
      </c>
      <c r="W84" s="154">
        <f>IFERROR('Similarity matrix'!W84/'Denominator matrix'!$B$18, "NA")</f>
        <v>0</v>
      </c>
      <c r="X84" s="156">
        <f>IFERROR('Similarity matrix'!X84/'Denominator matrix'!$C$18, "NA")</f>
        <v>0</v>
      </c>
      <c r="Y84" s="153">
        <f>IFERROR('Similarity matrix'!Y84/'Denominator matrix'!$D$18, "NA")</f>
        <v>0</v>
      </c>
      <c r="Z84" s="153">
        <f>IFERROR('Similarity matrix'!Z84/'Denominator matrix'!$E$18, "NA")</f>
        <v>0</v>
      </c>
      <c r="AA84" s="153">
        <f>IFERROR('Similarity matrix'!AA84/'Denominator matrix'!$F$18, "NA")</f>
        <v>0</v>
      </c>
      <c r="AB84" s="153">
        <f>IFERROR('Similarity matrix'!AB84/'Denominator matrix'!$G$18, "NA")</f>
        <v>0</v>
      </c>
      <c r="AC84" s="153">
        <f>IFERROR('Similarity matrix'!AC84/'Denominator matrix'!$H$18, "NA")</f>
        <v>0</v>
      </c>
      <c r="AD84" s="153">
        <f>IFERROR('Similarity matrix'!AD84/'Denominator matrix'!$I$18, "NA")</f>
        <v>0</v>
      </c>
      <c r="AE84" s="153">
        <f>IFERROR('Similarity matrix'!AE84/'Denominator matrix'!$J$18, "NA")</f>
        <v>0</v>
      </c>
      <c r="AF84" s="153">
        <f>IFERROR('Similarity matrix'!AF84/'Denominator matrix'!$K$18, "NA")</f>
        <v>0</v>
      </c>
      <c r="AG84" s="154">
        <f>IFERROR('Similarity matrix'!AG84/'Denominator matrix'!$B$18, "NA")</f>
        <v>0</v>
      </c>
      <c r="AH84" s="156">
        <f>IFERROR('Similarity matrix'!AH84/'Denominator matrix'!$C$18, "NA")</f>
        <v>0</v>
      </c>
      <c r="AI84" s="153">
        <f>IFERROR('Similarity matrix'!AI84/'Denominator matrix'!$D$18, "NA")</f>
        <v>0</v>
      </c>
      <c r="AJ84" s="153">
        <f>IFERROR('Similarity matrix'!AJ84/'Denominator matrix'!$E$18, "NA")</f>
        <v>0</v>
      </c>
      <c r="AK84" s="153">
        <f>IFERROR('Similarity matrix'!AK84/'Denominator matrix'!$F$18, "NA")</f>
        <v>0</v>
      </c>
      <c r="AL84" s="153">
        <f>IFERROR('Similarity matrix'!AL84/'Denominator matrix'!$G$18, "NA")</f>
        <v>0</v>
      </c>
      <c r="AM84" s="153">
        <f>IFERROR('Similarity matrix'!AM84/'Denominator matrix'!$H$18, "NA")</f>
        <v>0</v>
      </c>
      <c r="AN84" s="153">
        <f>IFERROR('Similarity matrix'!AN84/'Denominator matrix'!$I$18, "NA")</f>
        <v>0</v>
      </c>
      <c r="AO84" s="153">
        <f>IFERROR('Similarity matrix'!AO84/'Denominator matrix'!$J$18, "NA")</f>
        <v>0</v>
      </c>
      <c r="AP84" s="153">
        <f>IFERROR('Similarity matrix'!AP84/'Denominator matrix'!$K$18, "NA")</f>
        <v>0</v>
      </c>
      <c r="AQ84" s="154">
        <f>IFERROR('Similarity matrix'!AQ84/'Denominator matrix'!$B$18, "NA")</f>
        <v>0</v>
      </c>
      <c r="AR84" s="156">
        <f>IFERROR('Similarity matrix'!AR84/'Denominator matrix'!$C$18, "NA")</f>
        <v>0.07142857143</v>
      </c>
      <c r="AS84" s="153">
        <f>IFERROR('Similarity matrix'!AS84/'Denominator matrix'!$D$18, "NA")</f>
        <v>0.25</v>
      </c>
      <c r="AT84" s="153">
        <f>IFERROR('Similarity matrix'!AT84/'Denominator matrix'!$E$18, "NA")</f>
        <v>0</v>
      </c>
      <c r="AU84" s="153">
        <f>IFERROR('Similarity matrix'!AU84/'Denominator matrix'!$F$18, "NA")</f>
        <v>0</v>
      </c>
      <c r="AV84" s="153">
        <f>IFERROR('Similarity matrix'!AV84/'Denominator matrix'!$G$18, "NA")</f>
        <v>0</v>
      </c>
      <c r="AW84" s="153">
        <f>IFERROR('Similarity matrix'!AW84/'Denominator matrix'!$H$18, "NA")</f>
        <v>0</v>
      </c>
      <c r="AX84" s="153">
        <f>IFERROR('Similarity matrix'!AX84/'Denominator matrix'!$I$18, "NA")</f>
        <v>0</v>
      </c>
      <c r="AY84" s="153">
        <f>IFERROR('Similarity matrix'!AY84/'Denominator matrix'!$J$18, "NA")</f>
        <v>0</v>
      </c>
      <c r="AZ84" s="153">
        <f>IFERROR('Similarity matrix'!AZ84/'Denominator matrix'!$K$18, "NA")</f>
        <v>0.25</v>
      </c>
      <c r="BA84" s="154">
        <f>IFERROR('Similarity matrix'!BA84/'Denominator matrix'!$B$18, "NA")</f>
        <v>0</v>
      </c>
      <c r="BB84" s="156">
        <f>IFERROR('Similarity matrix'!BB84/'Denominator matrix'!$C$18, "NA")</f>
        <v>0</v>
      </c>
      <c r="BC84" s="153">
        <f>IFERROR('Similarity matrix'!BC84/'Denominator matrix'!$D$18, "NA")</f>
        <v>0</v>
      </c>
      <c r="BD84" s="153">
        <f>IFERROR('Similarity matrix'!BD84/'Denominator matrix'!$E$18, "NA")</f>
        <v>0</v>
      </c>
      <c r="BE84" s="153">
        <f>IFERROR('Similarity matrix'!BE84/'Denominator matrix'!$F$18, "NA")</f>
        <v>0</v>
      </c>
      <c r="BF84" s="153">
        <f>IFERROR('Similarity matrix'!BF84/'Denominator matrix'!$G$18, "NA")</f>
        <v>0</v>
      </c>
      <c r="BG84" s="153">
        <f>IFERROR('Similarity matrix'!BG84/'Denominator matrix'!$H$18, "NA")</f>
        <v>0</v>
      </c>
      <c r="BH84" s="153">
        <f>IFERROR('Similarity matrix'!BH84/'Denominator matrix'!$I$18, "NA")</f>
        <v>0</v>
      </c>
      <c r="BI84" s="153">
        <f>IFERROR('Similarity matrix'!BI84/'Denominator matrix'!$J$18, "NA")</f>
        <v>0</v>
      </c>
      <c r="BJ84" s="153">
        <f>IFERROR('Similarity matrix'!BJ84/'Denominator matrix'!$K$18, "NA")</f>
        <v>0</v>
      </c>
      <c r="BK84" s="154">
        <f>IFERROR('Similarity matrix'!BK84/'Denominator matrix'!$B$18, "NA")</f>
        <v>0</v>
      </c>
      <c r="BL84" s="156">
        <f>IFERROR('Similarity matrix'!BL84/'Denominator matrix'!$C$18, "NA")</f>
        <v>0</v>
      </c>
      <c r="BM84" s="153">
        <f>IFERROR('Similarity matrix'!BM84/'Denominator matrix'!$D$18, "NA")</f>
        <v>0</v>
      </c>
      <c r="BN84" s="153">
        <f>IFERROR('Similarity matrix'!BN84/'Denominator matrix'!$E$18, "NA")</f>
        <v>0</v>
      </c>
      <c r="BO84" s="153">
        <f>IFERROR('Similarity matrix'!BO84/'Denominator matrix'!$F$18, "NA")</f>
        <v>0</v>
      </c>
      <c r="BP84" s="153">
        <f>IFERROR('Similarity matrix'!BP84/'Denominator matrix'!$G$18, "NA")</f>
        <v>0</v>
      </c>
      <c r="BQ84" s="153">
        <f>IFERROR('Similarity matrix'!BQ84/'Denominator matrix'!$H$18, "NA")</f>
        <v>0</v>
      </c>
      <c r="BR84" s="153">
        <f>IFERROR('Similarity matrix'!BR84/'Denominator matrix'!$I$18, "NA")</f>
        <v>0</v>
      </c>
      <c r="BS84" s="153">
        <f>IFERROR('Similarity matrix'!BS84/'Denominator matrix'!$J$18, "NA")</f>
        <v>0</v>
      </c>
      <c r="BT84" s="153">
        <f>IFERROR('Similarity matrix'!BT84/'Denominator matrix'!$K$18, "NA")</f>
        <v>0</v>
      </c>
      <c r="BU84" s="154">
        <f>IFERROR('Similarity matrix'!BU84/'Denominator matrix'!$B$18, "NA")</f>
        <v>0</v>
      </c>
      <c r="BV84" s="156">
        <f>IFERROR('Similarity matrix'!BV84/'Denominator matrix'!$C$18, "NA")</f>
        <v>0</v>
      </c>
      <c r="BW84" s="153">
        <f>IFERROR('Similarity matrix'!BW84/'Denominator matrix'!$D$18, "NA")</f>
        <v>0</v>
      </c>
      <c r="BX84" s="153">
        <f>IFERROR('Similarity matrix'!BX84/'Denominator matrix'!$E$18, "NA")</f>
        <v>0</v>
      </c>
      <c r="BY84" s="153">
        <f>IFERROR('Similarity matrix'!BY84/'Denominator matrix'!$F$18, "NA")</f>
        <v>0</v>
      </c>
      <c r="BZ84" s="153">
        <f>IFERROR('Similarity matrix'!BZ84/'Denominator matrix'!$G$18, "NA")</f>
        <v>0</v>
      </c>
      <c r="CA84" s="153">
        <f>IFERROR('Similarity matrix'!CA84/'Denominator matrix'!$H$18, "NA")</f>
        <v>0</v>
      </c>
      <c r="CB84" s="153">
        <f>IFERROR('Similarity matrix'!CB84/'Denominator matrix'!$I$18, "NA")</f>
        <v>0</v>
      </c>
      <c r="CC84" s="153">
        <f>IFERROR('Similarity matrix'!CC84/'Denominator matrix'!$J$18, "NA")</f>
        <v>0</v>
      </c>
      <c r="CD84" s="153">
        <f>IFERROR('Similarity matrix'!CD84/'Denominator matrix'!$K$18, "NA")</f>
        <v>0</v>
      </c>
      <c r="CE84" s="154">
        <f>IFERROR('Similarity matrix'!CE84/'Denominator matrix'!$B$18, "NA")</f>
        <v>1</v>
      </c>
      <c r="CF84" s="155">
        <f>IFERROR('Similarity matrix'!CF84/'Denominator matrix'!$C$18, "NA")</f>
        <v>0</v>
      </c>
      <c r="CG84" s="153">
        <f>IFERROR('Similarity matrix'!CG84/'Denominator matrix'!$D$18, "NA")</f>
        <v>0.5</v>
      </c>
      <c r="CH84" s="153">
        <f>IFERROR('Similarity matrix'!CH84/'Denominator matrix'!$E$18, "NA")</f>
        <v>1</v>
      </c>
      <c r="CI84" s="153">
        <f>IFERROR('Similarity matrix'!CI84/'Denominator matrix'!$F$18, "NA")</f>
        <v>1</v>
      </c>
      <c r="CJ84" s="153">
        <f>IFERROR('Similarity matrix'!CJ84/'Denominator matrix'!$G$18, "NA")</f>
        <v>1</v>
      </c>
      <c r="CK84" s="153">
        <f>IFERROR('Similarity matrix'!CK84/'Denominator matrix'!$H$18, "NA")</f>
        <v>1</v>
      </c>
      <c r="CL84" s="153">
        <f>IFERROR('Similarity matrix'!CL84/'Denominator matrix'!$I$18, "NA")</f>
        <v>1</v>
      </c>
      <c r="CM84" s="153">
        <f>IFERROR('Similarity matrix'!CM84/'Denominator matrix'!$J$18, "NA")</f>
        <v>1</v>
      </c>
      <c r="CN84" s="153">
        <f>IFERROR('Similarity matrix'!CN84/'Denominator matrix'!$K$18, "NA")</f>
        <v>1</v>
      </c>
      <c r="CO84" s="154">
        <f>IFERROR('Similarity matrix'!CO84/'Denominator matrix'!$B$18, "NA")</f>
        <v>0</v>
      </c>
      <c r="CP84" s="156">
        <f>IFERROR('Similarity matrix'!CP84/'Denominator matrix'!$C$18, "NA")</f>
        <v>0</v>
      </c>
      <c r="CQ84" s="153">
        <f>IFERROR('Similarity matrix'!CQ84/'Denominator matrix'!$D$18, "NA")</f>
        <v>0</v>
      </c>
      <c r="CR84" s="153">
        <f>IFERROR('Similarity matrix'!CR84/'Denominator matrix'!$E$18, "NA")</f>
        <v>0</v>
      </c>
      <c r="CS84" s="153">
        <f>IFERROR('Similarity matrix'!CS84/'Denominator matrix'!$F$18, "NA")</f>
        <v>0</v>
      </c>
      <c r="CT84" s="153">
        <f>IFERROR('Similarity matrix'!CT84/'Denominator matrix'!$G$18, "NA")</f>
        <v>0</v>
      </c>
      <c r="CU84" s="153">
        <f>IFERROR('Similarity matrix'!CU84/'Denominator matrix'!$H$18, "NA")</f>
        <v>0.1666666667</v>
      </c>
      <c r="CV84" s="153">
        <f>IFERROR('Similarity matrix'!CV84/'Denominator matrix'!$I$18, "NA")</f>
        <v>0</v>
      </c>
      <c r="CW84" s="153">
        <f>IFERROR('Similarity matrix'!CW84/'Denominator matrix'!$J$18, "NA")</f>
        <v>0</v>
      </c>
      <c r="CX84" s="153">
        <f>IFERROR('Similarity matrix'!CX84/'Denominator matrix'!$K$18, "NA")</f>
        <v>0</v>
      </c>
    </row>
    <row r="85" ht="35.25" customHeight="1">
      <c r="B85" s="124">
        <v>45725.0</v>
      </c>
      <c r="C85" s="154">
        <f>IFERROR('Similarity matrix'!C85/'Denominator matrix'!$B$19, "NA")</f>
        <v>0</v>
      </c>
      <c r="D85" s="153">
        <f>IFERROR('Similarity matrix'!D85/'Denominator matrix'!$C$19, "NA")</f>
        <v>0</v>
      </c>
      <c r="E85" s="156">
        <f>IFERROR('Similarity matrix'!E85/'Denominator matrix'!$D$19, "NA")</f>
        <v>0</v>
      </c>
      <c r="F85" s="153">
        <f>IFERROR('Similarity matrix'!F85/'Denominator matrix'!$E$19, "NA")</f>
        <v>0</v>
      </c>
      <c r="G85" s="153">
        <f>IFERROR('Similarity matrix'!G85/'Denominator matrix'!$F$19, "NA")</f>
        <v>0</v>
      </c>
      <c r="H85" s="153">
        <f>IFERROR('Similarity matrix'!H85/'Denominator matrix'!$G$19, "NA")</f>
        <v>0</v>
      </c>
      <c r="I85" s="153">
        <f>IFERROR('Similarity matrix'!I85/'Denominator matrix'!$H$19, "NA")</f>
        <v>0</v>
      </c>
      <c r="J85" s="153">
        <f>IFERROR('Similarity matrix'!J85/'Denominator matrix'!$I$19, "NA")</f>
        <v>0</v>
      </c>
      <c r="K85" s="153">
        <f>IFERROR('Similarity matrix'!K85/'Denominator matrix'!$J$19, "NA")</f>
        <v>0</v>
      </c>
      <c r="L85" s="153">
        <f>IFERROR('Similarity matrix'!L85/'Denominator matrix'!$K$19, "NA")</f>
        <v>0</v>
      </c>
      <c r="M85" s="154">
        <f>IFERROR('Similarity matrix'!M85/'Denominator matrix'!$B$19, "NA")</f>
        <v>0</v>
      </c>
      <c r="N85" s="153">
        <f>IFERROR('Similarity matrix'!N85/'Denominator matrix'!$C$19, "NA")</f>
        <v>0</v>
      </c>
      <c r="O85" s="156">
        <f>IFERROR('Similarity matrix'!O85/'Denominator matrix'!$D$19, "NA")</f>
        <v>0</v>
      </c>
      <c r="P85" s="153">
        <f>IFERROR('Similarity matrix'!P85/'Denominator matrix'!$E$19, "NA")</f>
        <v>0</v>
      </c>
      <c r="Q85" s="153">
        <f>IFERROR('Similarity matrix'!Q85/'Denominator matrix'!$F$19, "NA")</f>
        <v>0</v>
      </c>
      <c r="R85" s="153">
        <f>IFERROR('Similarity matrix'!R85/'Denominator matrix'!$G$19, "NA")</f>
        <v>0</v>
      </c>
      <c r="S85" s="153">
        <f>IFERROR('Similarity matrix'!S85/'Denominator matrix'!$H$19, "NA")</f>
        <v>0</v>
      </c>
      <c r="T85" s="153">
        <f>IFERROR('Similarity matrix'!T85/'Denominator matrix'!$I$19, "NA")</f>
        <v>0</v>
      </c>
      <c r="U85" s="153">
        <f>IFERROR('Similarity matrix'!U85/'Denominator matrix'!$J$19, "NA")</f>
        <v>0</v>
      </c>
      <c r="V85" s="153">
        <f>IFERROR('Similarity matrix'!V85/'Denominator matrix'!$K$19, "NA")</f>
        <v>0</v>
      </c>
      <c r="W85" s="154">
        <f>IFERROR('Similarity matrix'!W85/'Denominator matrix'!$B$19, "NA")</f>
        <v>0</v>
      </c>
      <c r="X85" s="153">
        <f>IFERROR('Similarity matrix'!X85/'Denominator matrix'!$C$19, "NA")</f>
        <v>0</v>
      </c>
      <c r="Y85" s="156">
        <f>IFERROR('Similarity matrix'!Y85/'Denominator matrix'!$D$19, "NA")</f>
        <v>0</v>
      </c>
      <c r="Z85" s="153">
        <f>IFERROR('Similarity matrix'!Z85/'Denominator matrix'!$E$19, "NA")</f>
        <v>0</v>
      </c>
      <c r="AA85" s="153">
        <f>IFERROR('Similarity matrix'!AA85/'Denominator matrix'!$F$19, "NA")</f>
        <v>0</v>
      </c>
      <c r="AB85" s="153">
        <f>IFERROR('Similarity matrix'!AB85/'Denominator matrix'!$G$19, "NA")</f>
        <v>0</v>
      </c>
      <c r="AC85" s="153">
        <f>IFERROR('Similarity matrix'!AC85/'Denominator matrix'!$H$19, "NA")</f>
        <v>0</v>
      </c>
      <c r="AD85" s="153">
        <f>IFERROR('Similarity matrix'!AD85/'Denominator matrix'!$I$19, "NA")</f>
        <v>0</v>
      </c>
      <c r="AE85" s="153">
        <f>IFERROR('Similarity matrix'!AE85/'Denominator matrix'!$J$19, "NA")</f>
        <v>0</v>
      </c>
      <c r="AF85" s="153">
        <f>IFERROR('Similarity matrix'!AF85/'Denominator matrix'!$K$19, "NA")</f>
        <v>0</v>
      </c>
      <c r="AG85" s="154">
        <f>IFERROR('Similarity matrix'!AG85/'Denominator matrix'!$B$19, "NA")</f>
        <v>0</v>
      </c>
      <c r="AH85" s="153">
        <f>IFERROR('Similarity matrix'!AH85/'Denominator matrix'!$C$19, "NA")</f>
        <v>0</v>
      </c>
      <c r="AI85" s="156">
        <f>IFERROR('Similarity matrix'!AI85/'Denominator matrix'!$D$19, "NA")</f>
        <v>0</v>
      </c>
      <c r="AJ85" s="153">
        <f>IFERROR('Similarity matrix'!AJ85/'Denominator matrix'!$E$19, "NA")</f>
        <v>0</v>
      </c>
      <c r="AK85" s="153">
        <f>IFERROR('Similarity matrix'!AK85/'Denominator matrix'!$F$19, "NA")</f>
        <v>0</v>
      </c>
      <c r="AL85" s="153">
        <f>IFERROR('Similarity matrix'!AL85/'Denominator matrix'!$G$19, "NA")</f>
        <v>0</v>
      </c>
      <c r="AM85" s="153">
        <f>IFERROR('Similarity matrix'!AM85/'Denominator matrix'!$H$19, "NA")</f>
        <v>0</v>
      </c>
      <c r="AN85" s="153">
        <f>IFERROR('Similarity matrix'!AN85/'Denominator matrix'!$I$19, "NA")</f>
        <v>0</v>
      </c>
      <c r="AO85" s="153">
        <f>IFERROR('Similarity matrix'!AO85/'Denominator matrix'!$J$19, "NA")</f>
        <v>0</v>
      </c>
      <c r="AP85" s="153">
        <f>IFERROR('Similarity matrix'!AP85/'Denominator matrix'!$K$19, "NA")</f>
        <v>0</v>
      </c>
      <c r="AQ85" s="154">
        <f>IFERROR('Similarity matrix'!AQ85/'Denominator matrix'!$B$19, "NA")</f>
        <v>0</v>
      </c>
      <c r="AR85" s="153">
        <f>IFERROR('Similarity matrix'!AR85/'Denominator matrix'!$C$19, "NA")</f>
        <v>0</v>
      </c>
      <c r="AS85" s="156">
        <f>IFERROR('Similarity matrix'!AS85/'Denominator matrix'!$D$19, "NA")</f>
        <v>0</v>
      </c>
      <c r="AT85" s="153">
        <f>IFERROR('Similarity matrix'!AT85/'Denominator matrix'!$E$19, "NA")</f>
        <v>0</v>
      </c>
      <c r="AU85" s="153">
        <f>IFERROR('Similarity matrix'!AU85/'Denominator matrix'!$F$19, "NA")</f>
        <v>0</v>
      </c>
      <c r="AV85" s="153">
        <f>IFERROR('Similarity matrix'!AV85/'Denominator matrix'!$G$19, "NA")</f>
        <v>0</v>
      </c>
      <c r="AW85" s="153">
        <f>IFERROR('Similarity matrix'!AW85/'Denominator matrix'!$H$19, "NA")</f>
        <v>0.125</v>
      </c>
      <c r="AX85" s="153">
        <f>IFERROR('Similarity matrix'!AX85/'Denominator matrix'!$I$19, "NA")</f>
        <v>0</v>
      </c>
      <c r="AY85" s="153">
        <f>IFERROR('Similarity matrix'!AY85/'Denominator matrix'!$J$19, "NA")</f>
        <v>0</v>
      </c>
      <c r="AZ85" s="153">
        <f>IFERROR('Similarity matrix'!AZ85/'Denominator matrix'!$K$19, "NA")</f>
        <v>0.3333333333</v>
      </c>
      <c r="BA85" s="154">
        <f>IFERROR('Similarity matrix'!BA85/'Denominator matrix'!$B$19, "NA")</f>
        <v>0</v>
      </c>
      <c r="BB85" s="153">
        <f>IFERROR('Similarity matrix'!BB85/'Denominator matrix'!$C$19, "NA")</f>
        <v>0</v>
      </c>
      <c r="BC85" s="156">
        <f>IFERROR('Similarity matrix'!BC85/'Denominator matrix'!$D$19, "NA")</f>
        <v>0</v>
      </c>
      <c r="BD85" s="153">
        <f>IFERROR('Similarity matrix'!BD85/'Denominator matrix'!$E$19, "NA")</f>
        <v>0</v>
      </c>
      <c r="BE85" s="153">
        <f>IFERROR('Similarity matrix'!BE85/'Denominator matrix'!$F$19, "NA")</f>
        <v>0</v>
      </c>
      <c r="BF85" s="153">
        <f>IFERROR('Similarity matrix'!BF85/'Denominator matrix'!$G$19, "NA")</f>
        <v>0</v>
      </c>
      <c r="BG85" s="153">
        <f>IFERROR('Similarity matrix'!BG85/'Denominator matrix'!$H$19, "NA")</f>
        <v>0</v>
      </c>
      <c r="BH85" s="153">
        <f>IFERROR('Similarity matrix'!BH85/'Denominator matrix'!$I$19, "NA")</f>
        <v>0</v>
      </c>
      <c r="BI85" s="153">
        <f>IFERROR('Similarity matrix'!BI85/'Denominator matrix'!$J$19, "NA")</f>
        <v>0</v>
      </c>
      <c r="BJ85" s="153">
        <f>IFERROR('Similarity matrix'!BJ85/'Denominator matrix'!$K$19, "NA")</f>
        <v>0</v>
      </c>
      <c r="BK85" s="154">
        <f>IFERROR('Similarity matrix'!BK85/'Denominator matrix'!$B$19, "NA")</f>
        <v>0</v>
      </c>
      <c r="BL85" s="153">
        <f>IFERROR('Similarity matrix'!BL85/'Denominator matrix'!$C$19, "NA")</f>
        <v>0</v>
      </c>
      <c r="BM85" s="156">
        <f>IFERROR('Similarity matrix'!BM85/'Denominator matrix'!$D$19, "NA")</f>
        <v>0</v>
      </c>
      <c r="BN85" s="153">
        <f>IFERROR('Similarity matrix'!BN85/'Denominator matrix'!$E$19, "NA")</f>
        <v>0</v>
      </c>
      <c r="BO85" s="153">
        <f>IFERROR('Similarity matrix'!BO85/'Denominator matrix'!$F$19, "NA")</f>
        <v>0</v>
      </c>
      <c r="BP85" s="153">
        <f>IFERROR('Similarity matrix'!BP85/'Denominator matrix'!$G$19, "NA")</f>
        <v>0</v>
      </c>
      <c r="BQ85" s="153">
        <f>IFERROR('Similarity matrix'!BQ85/'Denominator matrix'!$H$19, "NA")</f>
        <v>0</v>
      </c>
      <c r="BR85" s="153">
        <f>IFERROR('Similarity matrix'!BR85/'Denominator matrix'!$I$19, "NA")</f>
        <v>0</v>
      </c>
      <c r="BS85" s="153">
        <f>IFERROR('Similarity matrix'!BS85/'Denominator matrix'!$J$19, "NA")</f>
        <v>0</v>
      </c>
      <c r="BT85" s="153">
        <f>IFERROR('Similarity matrix'!BT85/'Denominator matrix'!$K$19, "NA")</f>
        <v>0</v>
      </c>
      <c r="BU85" s="154">
        <f>IFERROR('Similarity matrix'!BU85/'Denominator matrix'!$B$19, "NA")</f>
        <v>0</v>
      </c>
      <c r="BV85" s="153">
        <f>IFERROR('Similarity matrix'!BV85/'Denominator matrix'!$C$19, "NA")</f>
        <v>0</v>
      </c>
      <c r="BW85" s="156">
        <f>IFERROR('Similarity matrix'!BW85/'Denominator matrix'!$D$19, "NA")</f>
        <v>0.0625</v>
      </c>
      <c r="BX85" s="153">
        <f>IFERROR('Similarity matrix'!BX85/'Denominator matrix'!$E$19, "NA")</f>
        <v>0</v>
      </c>
      <c r="BY85" s="153">
        <f>IFERROR('Similarity matrix'!BY85/'Denominator matrix'!$F$19, "NA")</f>
        <v>0.25</v>
      </c>
      <c r="BZ85" s="153">
        <f>IFERROR('Similarity matrix'!BZ85/'Denominator matrix'!$G$19, "NA")</f>
        <v>0</v>
      </c>
      <c r="CA85" s="153">
        <f>IFERROR('Similarity matrix'!CA85/'Denominator matrix'!$H$19, "NA")</f>
        <v>0</v>
      </c>
      <c r="CB85" s="153">
        <f>IFERROR('Similarity matrix'!CB85/'Denominator matrix'!$I$19, "NA")</f>
        <v>0.1666666667</v>
      </c>
      <c r="CC85" s="153">
        <f>IFERROR('Similarity matrix'!CC85/'Denominator matrix'!$J$19, "NA")</f>
        <v>0</v>
      </c>
      <c r="CD85" s="153">
        <f>IFERROR('Similarity matrix'!CD85/'Denominator matrix'!$K$19, "NA")</f>
        <v>0</v>
      </c>
      <c r="CE85" s="154">
        <f>IFERROR('Similarity matrix'!CE85/'Denominator matrix'!$B$19, "NA")</f>
        <v>0.25</v>
      </c>
      <c r="CF85" s="153">
        <f>IFERROR('Similarity matrix'!CF85/'Denominator matrix'!$C$19, "NA")</f>
        <v>0.5</v>
      </c>
      <c r="CG85" s="155">
        <f>IFERROR('Similarity matrix'!CG85/'Denominator matrix'!$D$19, "NA")</f>
        <v>0</v>
      </c>
      <c r="CH85" s="153">
        <f>IFERROR('Similarity matrix'!CH85/'Denominator matrix'!$E$19, "NA")</f>
        <v>0.75</v>
      </c>
      <c r="CI85" s="153">
        <f>IFERROR('Similarity matrix'!CI85/'Denominator matrix'!$F$19, "NA")</f>
        <v>0.5</v>
      </c>
      <c r="CJ85" s="153">
        <f>IFERROR('Similarity matrix'!CJ85/'Denominator matrix'!$G$19, "NA")</f>
        <v>0.5</v>
      </c>
      <c r="CK85" s="153">
        <f>IFERROR('Similarity matrix'!CK85/'Denominator matrix'!$H$19, "NA")</f>
        <v>0.75</v>
      </c>
      <c r="CL85" s="153">
        <f>IFERROR('Similarity matrix'!CL85/'Denominator matrix'!$I$19, "NA")</f>
        <v>0.8333333333</v>
      </c>
      <c r="CM85" s="153">
        <f>IFERROR('Similarity matrix'!CM85/'Denominator matrix'!$J$19, "NA")</f>
        <v>1</v>
      </c>
      <c r="CN85" s="153">
        <f>IFERROR('Similarity matrix'!CN85/'Denominator matrix'!$K$19, "NA")</f>
        <v>0.5</v>
      </c>
      <c r="CO85" s="154">
        <f>IFERROR('Similarity matrix'!CO85/'Denominator matrix'!$B$19, "NA")</f>
        <v>0</v>
      </c>
      <c r="CP85" s="153">
        <f>IFERROR('Similarity matrix'!CP85/'Denominator matrix'!$C$19, "NA")</f>
        <v>0.25</v>
      </c>
      <c r="CQ85" s="156">
        <f>IFERROR('Similarity matrix'!CQ85/'Denominator matrix'!$D$19, "NA")</f>
        <v>0.0625</v>
      </c>
      <c r="CR85" s="153">
        <f>IFERROR('Similarity matrix'!CR85/'Denominator matrix'!$E$19, "NA")</f>
        <v>0</v>
      </c>
      <c r="CS85" s="153">
        <f>IFERROR('Similarity matrix'!CS85/'Denominator matrix'!$F$19, "NA")</f>
        <v>0</v>
      </c>
      <c r="CT85" s="153">
        <f>IFERROR('Similarity matrix'!CT85/'Denominator matrix'!$G$19, "NA")</f>
        <v>0</v>
      </c>
      <c r="CU85" s="153">
        <f>IFERROR('Similarity matrix'!CU85/'Denominator matrix'!$H$19, "NA")</f>
        <v>0</v>
      </c>
      <c r="CV85" s="153">
        <f>IFERROR('Similarity matrix'!CV85/'Denominator matrix'!$I$19, "NA")</f>
        <v>0</v>
      </c>
      <c r="CW85" s="153">
        <f>IFERROR('Similarity matrix'!CW85/'Denominator matrix'!$J$19, "NA")</f>
        <v>0</v>
      </c>
      <c r="CX85" s="153">
        <f>IFERROR('Similarity matrix'!CX85/'Denominator matrix'!$K$19, "NA")</f>
        <v>0.1666666667</v>
      </c>
    </row>
    <row r="86" ht="35.25" customHeight="1">
      <c r="B86" s="124">
        <v>45756.0</v>
      </c>
      <c r="C86" s="154">
        <f>IFERROR('Similarity matrix'!C86/'Denominator matrix'!$B$20, "NA")</f>
        <v>0</v>
      </c>
      <c r="D86" s="153">
        <f>IFERROR('Similarity matrix'!D86/'Denominator matrix'!$C$20, "NA")</f>
        <v>0</v>
      </c>
      <c r="E86" s="153">
        <f>IFERROR('Similarity matrix'!E86/'Denominator matrix'!$D$20, "NA")</f>
        <v>0</v>
      </c>
      <c r="F86" s="156">
        <f>IFERROR('Similarity matrix'!F86/'Denominator matrix'!$E$20, "NA")</f>
        <v>0</v>
      </c>
      <c r="G86" s="153">
        <f>IFERROR('Similarity matrix'!G86/'Denominator matrix'!$F$20, "NA")</f>
        <v>0</v>
      </c>
      <c r="H86" s="153">
        <f>IFERROR('Similarity matrix'!H86/'Denominator matrix'!$G$20, "NA")</f>
        <v>0</v>
      </c>
      <c r="I86" s="153">
        <f>IFERROR('Similarity matrix'!I86/'Denominator matrix'!$H$20, "NA")</f>
        <v>0</v>
      </c>
      <c r="J86" s="153">
        <f>IFERROR('Similarity matrix'!J86/'Denominator matrix'!$I$20, "NA")</f>
        <v>0</v>
      </c>
      <c r="K86" s="153">
        <f>IFERROR('Similarity matrix'!K86/'Denominator matrix'!$J$20, "NA")</f>
        <v>0</v>
      </c>
      <c r="L86" s="153">
        <f>IFERROR('Similarity matrix'!L86/'Denominator matrix'!$K$20, "NA")</f>
        <v>0</v>
      </c>
      <c r="M86" s="154">
        <f>IFERROR('Similarity matrix'!M86/'Denominator matrix'!$B$20, "NA")</f>
        <v>0</v>
      </c>
      <c r="N86" s="153">
        <f>IFERROR('Similarity matrix'!N86/'Denominator matrix'!$C$20, "NA")</f>
        <v>0.25</v>
      </c>
      <c r="O86" s="153">
        <f>IFERROR('Similarity matrix'!O86/'Denominator matrix'!$D$20, "NA")</f>
        <v>0</v>
      </c>
      <c r="P86" s="156">
        <f>IFERROR('Similarity matrix'!P86/'Denominator matrix'!$E$20, "NA")</f>
        <v>0.0625</v>
      </c>
      <c r="Q86" s="153">
        <f>IFERROR('Similarity matrix'!Q86/'Denominator matrix'!$F$20, "NA")</f>
        <v>0.25</v>
      </c>
      <c r="R86" s="153">
        <f>IFERROR('Similarity matrix'!R86/'Denominator matrix'!$G$20, "NA")</f>
        <v>0</v>
      </c>
      <c r="S86" s="153">
        <f>IFERROR('Similarity matrix'!S86/'Denominator matrix'!$H$20, "NA")</f>
        <v>0.2</v>
      </c>
      <c r="T86" s="153">
        <f>IFERROR('Similarity matrix'!T86/'Denominator matrix'!$I$20, "NA")</f>
        <v>0</v>
      </c>
      <c r="U86" s="153">
        <f>IFERROR('Similarity matrix'!U86/'Denominator matrix'!$J$20, "NA")</f>
        <v>0</v>
      </c>
      <c r="V86" s="153">
        <f>IFERROR('Similarity matrix'!V86/'Denominator matrix'!$K$20, "NA")</f>
        <v>0</v>
      </c>
      <c r="W86" s="154">
        <f>IFERROR('Similarity matrix'!W86/'Denominator matrix'!$B$20, "NA")</f>
        <v>0</v>
      </c>
      <c r="X86" s="153">
        <f>IFERROR('Similarity matrix'!X86/'Denominator matrix'!$C$20, "NA")</f>
        <v>0</v>
      </c>
      <c r="Y86" s="153">
        <f>IFERROR('Similarity matrix'!Y86/'Denominator matrix'!$D$20, "NA")</f>
        <v>0</v>
      </c>
      <c r="Z86" s="156">
        <f>IFERROR('Similarity matrix'!Z86/'Denominator matrix'!$E$20, "NA")</f>
        <v>0</v>
      </c>
      <c r="AA86" s="153">
        <f>IFERROR('Similarity matrix'!AA86/'Denominator matrix'!$F$20, "NA")</f>
        <v>0</v>
      </c>
      <c r="AB86" s="153">
        <f>IFERROR('Similarity matrix'!AB86/'Denominator matrix'!$G$20, "NA")</f>
        <v>0</v>
      </c>
      <c r="AC86" s="153">
        <f>IFERROR('Similarity matrix'!AC86/'Denominator matrix'!$H$20, "NA")</f>
        <v>0</v>
      </c>
      <c r="AD86" s="153">
        <f>IFERROR('Similarity matrix'!AD86/'Denominator matrix'!$I$20, "NA")</f>
        <v>0</v>
      </c>
      <c r="AE86" s="153">
        <f>IFERROR('Similarity matrix'!AE86/'Denominator matrix'!$J$20, "NA")</f>
        <v>0</v>
      </c>
      <c r="AF86" s="153">
        <f>IFERROR('Similarity matrix'!AF86/'Denominator matrix'!$K$20, "NA")</f>
        <v>0</v>
      </c>
      <c r="AG86" s="154">
        <f>IFERROR('Similarity matrix'!AG86/'Denominator matrix'!$B$20, "NA")</f>
        <v>0</v>
      </c>
      <c r="AH86" s="153">
        <f>IFERROR('Similarity matrix'!AH86/'Denominator matrix'!$C$20, "NA")</f>
        <v>0</v>
      </c>
      <c r="AI86" s="153">
        <f>IFERROR('Similarity matrix'!AI86/'Denominator matrix'!$D$20, "NA")</f>
        <v>0</v>
      </c>
      <c r="AJ86" s="156">
        <f>IFERROR('Similarity matrix'!AJ86/'Denominator matrix'!$E$20, "NA")</f>
        <v>0</v>
      </c>
      <c r="AK86" s="153">
        <f>IFERROR('Similarity matrix'!AK86/'Denominator matrix'!$F$20, "NA")</f>
        <v>0</v>
      </c>
      <c r="AL86" s="153">
        <f>IFERROR('Similarity matrix'!AL86/'Denominator matrix'!$G$20, "NA")</f>
        <v>0</v>
      </c>
      <c r="AM86" s="153">
        <f>IFERROR('Similarity matrix'!AM86/'Denominator matrix'!$H$20, "NA")</f>
        <v>0</v>
      </c>
      <c r="AN86" s="153">
        <f>IFERROR('Similarity matrix'!AN86/'Denominator matrix'!$I$20, "NA")</f>
        <v>0</v>
      </c>
      <c r="AO86" s="153">
        <f>IFERROR('Similarity matrix'!AO86/'Denominator matrix'!$J$20, "NA")</f>
        <v>0</v>
      </c>
      <c r="AP86" s="153">
        <f>IFERROR('Similarity matrix'!AP86/'Denominator matrix'!$K$20, "NA")</f>
        <v>0</v>
      </c>
      <c r="AQ86" s="154">
        <f>IFERROR('Similarity matrix'!AQ86/'Denominator matrix'!$B$20, "NA")</f>
        <v>0</v>
      </c>
      <c r="AR86" s="153">
        <f>IFERROR('Similarity matrix'!AR86/'Denominator matrix'!$C$20, "NA")</f>
        <v>0</v>
      </c>
      <c r="AS86" s="153">
        <f>IFERROR('Similarity matrix'!AS86/'Denominator matrix'!$D$20, "NA")</f>
        <v>0</v>
      </c>
      <c r="AT86" s="156">
        <f>IFERROR('Similarity matrix'!AT86/'Denominator matrix'!$E$20, "NA")</f>
        <v>0</v>
      </c>
      <c r="AU86" s="153">
        <f>IFERROR('Similarity matrix'!AU86/'Denominator matrix'!$F$20, "NA")</f>
        <v>0</v>
      </c>
      <c r="AV86" s="153">
        <f>IFERROR('Similarity matrix'!AV86/'Denominator matrix'!$G$20, "NA")</f>
        <v>0</v>
      </c>
      <c r="AW86" s="153">
        <f>IFERROR('Similarity matrix'!AW86/'Denominator matrix'!$H$20, "NA")</f>
        <v>0</v>
      </c>
      <c r="AX86" s="153">
        <f>IFERROR('Similarity matrix'!AX86/'Denominator matrix'!$I$20, "NA")</f>
        <v>0</v>
      </c>
      <c r="AY86" s="153">
        <f>IFERROR('Similarity matrix'!AY86/'Denominator matrix'!$J$20, "NA")</f>
        <v>0</v>
      </c>
      <c r="AZ86" s="153">
        <f>IFERROR('Similarity matrix'!AZ86/'Denominator matrix'!$K$20, "NA")</f>
        <v>0</v>
      </c>
      <c r="BA86" s="154">
        <f>IFERROR('Similarity matrix'!BA86/'Denominator matrix'!$B$20, "NA")</f>
        <v>0</v>
      </c>
      <c r="BB86" s="153">
        <f>IFERROR('Similarity matrix'!BB86/'Denominator matrix'!$C$20, "NA")</f>
        <v>0</v>
      </c>
      <c r="BC86" s="153">
        <f>IFERROR('Similarity matrix'!BC86/'Denominator matrix'!$D$20, "NA")</f>
        <v>0</v>
      </c>
      <c r="BD86" s="156">
        <f>IFERROR('Similarity matrix'!BD86/'Denominator matrix'!$E$20, "NA")</f>
        <v>0</v>
      </c>
      <c r="BE86" s="153">
        <f>IFERROR('Similarity matrix'!BE86/'Denominator matrix'!$F$20, "NA")</f>
        <v>0</v>
      </c>
      <c r="BF86" s="153">
        <f>IFERROR('Similarity matrix'!BF86/'Denominator matrix'!$G$20, "NA")</f>
        <v>0</v>
      </c>
      <c r="BG86" s="153">
        <f>IFERROR('Similarity matrix'!BG86/'Denominator matrix'!$H$20, "NA")</f>
        <v>0</v>
      </c>
      <c r="BH86" s="153">
        <f>IFERROR('Similarity matrix'!BH86/'Denominator matrix'!$I$20, "NA")</f>
        <v>0</v>
      </c>
      <c r="BI86" s="153">
        <f>IFERROR('Similarity matrix'!BI86/'Denominator matrix'!$J$20, "NA")</f>
        <v>0</v>
      </c>
      <c r="BJ86" s="153">
        <f>IFERROR('Similarity matrix'!BJ86/'Denominator matrix'!$K$20, "NA")</f>
        <v>0</v>
      </c>
      <c r="BK86" s="154">
        <f>IFERROR('Similarity matrix'!BK86/'Denominator matrix'!$B$20, "NA")</f>
        <v>0</v>
      </c>
      <c r="BL86" s="153">
        <f>IFERROR('Similarity matrix'!BL86/'Denominator matrix'!$C$20, "NA")</f>
        <v>0</v>
      </c>
      <c r="BM86" s="153">
        <f>IFERROR('Similarity matrix'!BM86/'Denominator matrix'!$D$20, "NA")</f>
        <v>0</v>
      </c>
      <c r="BN86" s="156">
        <f>IFERROR('Similarity matrix'!BN86/'Denominator matrix'!$E$20, "NA")</f>
        <v>0</v>
      </c>
      <c r="BO86" s="153">
        <f>IFERROR('Similarity matrix'!BO86/'Denominator matrix'!$F$20, "NA")</f>
        <v>0</v>
      </c>
      <c r="BP86" s="153">
        <f>IFERROR('Similarity matrix'!BP86/'Denominator matrix'!$G$20, "NA")</f>
        <v>0</v>
      </c>
      <c r="BQ86" s="153">
        <f>IFERROR('Similarity matrix'!BQ86/'Denominator matrix'!$H$20, "NA")</f>
        <v>0</v>
      </c>
      <c r="BR86" s="153">
        <f>IFERROR('Similarity matrix'!BR86/'Denominator matrix'!$I$20, "NA")</f>
        <v>0</v>
      </c>
      <c r="BS86" s="153">
        <f>IFERROR('Similarity matrix'!BS86/'Denominator matrix'!$J$20, "NA")</f>
        <v>0</v>
      </c>
      <c r="BT86" s="153">
        <f>IFERROR('Similarity matrix'!BT86/'Denominator matrix'!$K$20, "NA")</f>
        <v>0</v>
      </c>
      <c r="BU86" s="154">
        <f>IFERROR('Similarity matrix'!BU86/'Denominator matrix'!$B$20, "NA")</f>
        <v>0</v>
      </c>
      <c r="BV86" s="153">
        <f>IFERROR('Similarity matrix'!BV86/'Denominator matrix'!$C$20, "NA")</f>
        <v>0</v>
      </c>
      <c r="BW86" s="153">
        <f>IFERROR('Similarity matrix'!BW86/'Denominator matrix'!$D$20, "NA")</f>
        <v>0</v>
      </c>
      <c r="BX86" s="156">
        <f>IFERROR('Similarity matrix'!BX86/'Denominator matrix'!$E$20, "NA")</f>
        <v>0</v>
      </c>
      <c r="BY86" s="153">
        <f>IFERROR('Similarity matrix'!BY86/'Denominator matrix'!$F$20, "NA")</f>
        <v>0</v>
      </c>
      <c r="BZ86" s="153">
        <f>IFERROR('Similarity matrix'!BZ86/'Denominator matrix'!$G$20, "NA")</f>
        <v>0</v>
      </c>
      <c r="CA86" s="153">
        <f>IFERROR('Similarity matrix'!CA86/'Denominator matrix'!$H$20, "NA")</f>
        <v>0</v>
      </c>
      <c r="CB86" s="153">
        <f>IFERROR('Similarity matrix'!CB86/'Denominator matrix'!$I$20, "NA")</f>
        <v>0</v>
      </c>
      <c r="CC86" s="153">
        <f>IFERROR('Similarity matrix'!CC86/'Denominator matrix'!$J$20, "NA")</f>
        <v>0</v>
      </c>
      <c r="CD86" s="153">
        <f>IFERROR('Similarity matrix'!CD86/'Denominator matrix'!$K$20, "NA")</f>
        <v>0</v>
      </c>
      <c r="CE86" s="154">
        <f>IFERROR('Similarity matrix'!CE86/'Denominator matrix'!$B$20, "NA")</f>
        <v>0.5</v>
      </c>
      <c r="CF86" s="153">
        <f>IFERROR('Similarity matrix'!CF86/'Denominator matrix'!$C$20, "NA")</f>
        <v>1</v>
      </c>
      <c r="CG86" s="153">
        <f>IFERROR('Similarity matrix'!CG86/'Denominator matrix'!$D$20, "NA")</f>
        <v>0.75</v>
      </c>
      <c r="CH86" s="155">
        <f>IFERROR('Similarity matrix'!CH86/'Denominator matrix'!$E$20, "NA")</f>
        <v>0</v>
      </c>
      <c r="CI86" s="153">
        <f>IFERROR('Similarity matrix'!CI86/'Denominator matrix'!$F$20, "NA")</f>
        <v>1</v>
      </c>
      <c r="CJ86" s="153">
        <f>IFERROR('Similarity matrix'!CJ86/'Denominator matrix'!$G$20, "NA")</f>
        <v>0.5</v>
      </c>
      <c r="CK86" s="153">
        <f>IFERROR('Similarity matrix'!CK86/'Denominator matrix'!$H$20, "NA")</f>
        <v>0.9</v>
      </c>
      <c r="CL86" s="153">
        <f>IFERROR('Similarity matrix'!CL86/'Denominator matrix'!$I$20, "NA")</f>
        <v>0.75</v>
      </c>
      <c r="CM86" s="153">
        <f>IFERROR('Similarity matrix'!CM86/'Denominator matrix'!$J$20, "NA")</f>
        <v>1</v>
      </c>
      <c r="CN86" s="153">
        <f>IFERROR('Similarity matrix'!CN86/'Denominator matrix'!$K$20, "NA")</f>
        <v>0.5</v>
      </c>
      <c r="CO86" s="154">
        <f>IFERROR('Similarity matrix'!CO86/'Denominator matrix'!$B$20, "NA")</f>
        <v>0</v>
      </c>
      <c r="CP86" s="153">
        <f>IFERROR('Similarity matrix'!CP86/'Denominator matrix'!$C$20, "NA")</f>
        <v>0</v>
      </c>
      <c r="CQ86" s="153">
        <f>IFERROR('Similarity matrix'!CQ86/'Denominator matrix'!$D$20, "NA")</f>
        <v>0</v>
      </c>
      <c r="CR86" s="156">
        <f>IFERROR('Similarity matrix'!CR86/'Denominator matrix'!$E$20, "NA")</f>
        <v>0</v>
      </c>
      <c r="CS86" s="153">
        <f>IFERROR('Similarity matrix'!CS86/'Denominator matrix'!$F$20, "NA")</f>
        <v>0</v>
      </c>
      <c r="CT86" s="153">
        <f>IFERROR('Similarity matrix'!CT86/'Denominator matrix'!$G$20, "NA")</f>
        <v>0</v>
      </c>
      <c r="CU86" s="153">
        <f>IFERROR('Similarity matrix'!CU86/'Denominator matrix'!$H$20, "NA")</f>
        <v>0</v>
      </c>
      <c r="CV86" s="153">
        <f>IFERROR('Similarity matrix'!CV86/'Denominator matrix'!$I$20, "NA")</f>
        <v>0</v>
      </c>
      <c r="CW86" s="153">
        <f>IFERROR('Similarity matrix'!CW86/'Denominator matrix'!$J$20, "NA")</f>
        <v>0</v>
      </c>
      <c r="CX86" s="153">
        <f>IFERROR('Similarity matrix'!CX86/'Denominator matrix'!$K$20, "NA")</f>
        <v>0</v>
      </c>
    </row>
    <row r="87" ht="35.25" customHeight="1">
      <c r="B87" s="124">
        <v>45786.0</v>
      </c>
      <c r="C87" s="154">
        <f>IFERROR('Similarity matrix'!C87/'Denominator matrix'!$B$21, "NA")</f>
        <v>0</v>
      </c>
      <c r="D87" s="153">
        <f>IFERROR('Similarity matrix'!D87/'Denominator matrix'!$C$21, "NA")</f>
        <v>0</v>
      </c>
      <c r="E87" s="153">
        <f>IFERROR('Similarity matrix'!E87/'Denominator matrix'!$D$21, "NA")</f>
        <v>0</v>
      </c>
      <c r="F87" s="153">
        <f>IFERROR('Similarity matrix'!F87/'Denominator matrix'!$E$21, "NA")</f>
        <v>0</v>
      </c>
      <c r="G87" s="156">
        <f>IFERROR('Similarity matrix'!G87/'Denominator matrix'!$F$21, "NA")</f>
        <v>0</v>
      </c>
      <c r="H87" s="153">
        <f>IFERROR('Similarity matrix'!H87/'Denominator matrix'!$G$21, "NA")</f>
        <v>0</v>
      </c>
      <c r="I87" s="153">
        <f>IFERROR('Similarity matrix'!I87/'Denominator matrix'!$H$21, "NA")</f>
        <v>0</v>
      </c>
      <c r="J87" s="153">
        <f>IFERROR('Similarity matrix'!J87/'Denominator matrix'!$I$21, "NA")</f>
        <v>0</v>
      </c>
      <c r="K87" s="153">
        <f>IFERROR('Similarity matrix'!K87/'Denominator matrix'!$J$21, "NA")</f>
        <v>0</v>
      </c>
      <c r="L87" s="153">
        <f>IFERROR('Similarity matrix'!L87/'Denominator matrix'!$K$21, "NA")</f>
        <v>0</v>
      </c>
      <c r="M87" s="154">
        <f>IFERROR('Similarity matrix'!M87/'Denominator matrix'!$B$21, "NA")</f>
        <v>0</v>
      </c>
      <c r="N87" s="153">
        <f>IFERROR('Similarity matrix'!N87/'Denominator matrix'!$C$21, "NA")</f>
        <v>0.1666666667</v>
      </c>
      <c r="O87" s="153">
        <f>IFERROR('Similarity matrix'!O87/'Denominator matrix'!$D$21, "NA")</f>
        <v>0</v>
      </c>
      <c r="P87" s="153">
        <f>IFERROR('Similarity matrix'!P87/'Denominator matrix'!$E$21, "NA")</f>
        <v>0.25</v>
      </c>
      <c r="Q87" s="156">
        <f>IFERROR('Similarity matrix'!Q87/'Denominator matrix'!$F$21, "NA")</f>
        <v>0.05555555556</v>
      </c>
      <c r="R87" s="153">
        <f>IFERROR('Similarity matrix'!R87/'Denominator matrix'!$G$21, "NA")</f>
        <v>0</v>
      </c>
      <c r="S87" s="153">
        <f>IFERROR('Similarity matrix'!S87/'Denominator matrix'!$H$21, "NA")</f>
        <v>0.25</v>
      </c>
      <c r="T87" s="153">
        <f>IFERROR('Similarity matrix'!T87/'Denominator matrix'!$I$21, "NA")</f>
        <v>0</v>
      </c>
      <c r="U87" s="153">
        <f>IFERROR('Similarity matrix'!U87/'Denominator matrix'!$J$21, "NA")</f>
        <v>0</v>
      </c>
      <c r="V87" s="153">
        <f>IFERROR('Similarity matrix'!V87/'Denominator matrix'!$K$21, "NA")</f>
        <v>0</v>
      </c>
      <c r="W87" s="154">
        <f>IFERROR('Similarity matrix'!W87/'Denominator matrix'!$B$21, "NA")</f>
        <v>0</v>
      </c>
      <c r="X87" s="153">
        <f>IFERROR('Similarity matrix'!X87/'Denominator matrix'!$C$21, "NA")</f>
        <v>0</v>
      </c>
      <c r="Y87" s="153">
        <f>IFERROR('Similarity matrix'!Y87/'Denominator matrix'!$D$21, "NA")</f>
        <v>0</v>
      </c>
      <c r="Z87" s="153">
        <f>IFERROR('Similarity matrix'!Z87/'Denominator matrix'!$E$21, "NA")</f>
        <v>0</v>
      </c>
      <c r="AA87" s="156">
        <f>IFERROR('Similarity matrix'!AA87/'Denominator matrix'!$F$21, "NA")</f>
        <v>0</v>
      </c>
      <c r="AB87" s="153">
        <f>IFERROR('Similarity matrix'!AB87/'Denominator matrix'!$G$21, "NA")</f>
        <v>0</v>
      </c>
      <c r="AC87" s="153">
        <f>IFERROR('Similarity matrix'!AC87/'Denominator matrix'!$H$21, "NA")</f>
        <v>0</v>
      </c>
      <c r="AD87" s="153">
        <f>IFERROR('Similarity matrix'!AD87/'Denominator matrix'!$I$21, "NA")</f>
        <v>0</v>
      </c>
      <c r="AE87" s="153">
        <f>IFERROR('Similarity matrix'!AE87/'Denominator matrix'!$J$21, "NA")</f>
        <v>0</v>
      </c>
      <c r="AF87" s="153">
        <f>IFERROR('Similarity matrix'!AF87/'Denominator matrix'!$K$21, "NA")</f>
        <v>0</v>
      </c>
      <c r="AG87" s="154">
        <f>IFERROR('Similarity matrix'!AG87/'Denominator matrix'!$B$21, "NA")</f>
        <v>0</v>
      </c>
      <c r="AH87" s="153">
        <f>IFERROR('Similarity matrix'!AH87/'Denominator matrix'!$C$21, "NA")</f>
        <v>0</v>
      </c>
      <c r="AI87" s="153">
        <f>IFERROR('Similarity matrix'!AI87/'Denominator matrix'!$D$21, "NA")</f>
        <v>0</v>
      </c>
      <c r="AJ87" s="153">
        <f>IFERROR('Similarity matrix'!AJ87/'Denominator matrix'!$E$21, "NA")</f>
        <v>0</v>
      </c>
      <c r="AK87" s="156">
        <f>IFERROR('Similarity matrix'!AK87/'Denominator matrix'!$F$21, "NA")</f>
        <v>0</v>
      </c>
      <c r="AL87" s="153">
        <f>IFERROR('Similarity matrix'!AL87/'Denominator matrix'!$G$21, "NA")</f>
        <v>0</v>
      </c>
      <c r="AM87" s="153">
        <f>IFERROR('Similarity matrix'!AM87/'Denominator matrix'!$H$21, "NA")</f>
        <v>0</v>
      </c>
      <c r="AN87" s="153">
        <f>IFERROR('Similarity matrix'!AN87/'Denominator matrix'!$I$21, "NA")</f>
        <v>0</v>
      </c>
      <c r="AO87" s="153">
        <f>IFERROR('Similarity matrix'!AO87/'Denominator matrix'!$J$21, "NA")</f>
        <v>0</v>
      </c>
      <c r="AP87" s="153">
        <f>IFERROR('Similarity matrix'!AP87/'Denominator matrix'!$K$21, "NA")</f>
        <v>0</v>
      </c>
      <c r="AQ87" s="154">
        <f>IFERROR('Similarity matrix'!AQ87/'Denominator matrix'!$B$21, "NA")</f>
        <v>0</v>
      </c>
      <c r="AR87" s="153">
        <f>IFERROR('Similarity matrix'!AR87/'Denominator matrix'!$C$21, "NA")</f>
        <v>0</v>
      </c>
      <c r="AS87" s="153">
        <f>IFERROR('Similarity matrix'!AS87/'Denominator matrix'!$D$21, "NA")</f>
        <v>0</v>
      </c>
      <c r="AT87" s="153">
        <f>IFERROR('Similarity matrix'!AT87/'Denominator matrix'!$E$21, "NA")</f>
        <v>0</v>
      </c>
      <c r="AU87" s="156">
        <f>IFERROR('Similarity matrix'!AU87/'Denominator matrix'!$F$21, "NA")</f>
        <v>0</v>
      </c>
      <c r="AV87" s="153">
        <f>IFERROR('Similarity matrix'!AV87/'Denominator matrix'!$G$21, "NA")</f>
        <v>0</v>
      </c>
      <c r="AW87" s="153">
        <f>IFERROR('Similarity matrix'!AW87/'Denominator matrix'!$H$21, "NA")</f>
        <v>0</v>
      </c>
      <c r="AX87" s="153">
        <f>IFERROR('Similarity matrix'!AX87/'Denominator matrix'!$I$21, "NA")</f>
        <v>0</v>
      </c>
      <c r="AY87" s="153">
        <f>IFERROR('Similarity matrix'!AY87/'Denominator matrix'!$J$21, "NA")</f>
        <v>0</v>
      </c>
      <c r="AZ87" s="153">
        <f>IFERROR('Similarity matrix'!AZ87/'Denominator matrix'!$K$21, "NA")</f>
        <v>0</v>
      </c>
      <c r="BA87" s="154">
        <f>IFERROR('Similarity matrix'!BA87/'Denominator matrix'!$B$21, "NA")</f>
        <v>0</v>
      </c>
      <c r="BB87" s="153">
        <f>IFERROR('Similarity matrix'!BB87/'Denominator matrix'!$C$21, "NA")</f>
        <v>0</v>
      </c>
      <c r="BC87" s="153">
        <f>IFERROR('Similarity matrix'!BC87/'Denominator matrix'!$D$21, "NA")</f>
        <v>0</v>
      </c>
      <c r="BD87" s="153">
        <f>IFERROR('Similarity matrix'!BD87/'Denominator matrix'!$E$21, "NA")</f>
        <v>0</v>
      </c>
      <c r="BE87" s="156">
        <f>IFERROR('Similarity matrix'!BE87/'Denominator matrix'!$F$21, "NA")</f>
        <v>0</v>
      </c>
      <c r="BF87" s="153">
        <f>IFERROR('Similarity matrix'!BF87/'Denominator matrix'!$G$21, "NA")</f>
        <v>0</v>
      </c>
      <c r="BG87" s="153">
        <f>IFERROR('Similarity matrix'!BG87/'Denominator matrix'!$H$21, "NA")</f>
        <v>0</v>
      </c>
      <c r="BH87" s="153">
        <f>IFERROR('Similarity matrix'!BH87/'Denominator matrix'!$I$21, "NA")</f>
        <v>0</v>
      </c>
      <c r="BI87" s="153">
        <f>IFERROR('Similarity matrix'!BI87/'Denominator matrix'!$J$21, "NA")</f>
        <v>0</v>
      </c>
      <c r="BJ87" s="153">
        <f>IFERROR('Similarity matrix'!BJ87/'Denominator matrix'!$K$21, "NA")</f>
        <v>0</v>
      </c>
      <c r="BK87" s="154">
        <f>IFERROR('Similarity matrix'!BK87/'Denominator matrix'!$B$21, "NA")</f>
        <v>0</v>
      </c>
      <c r="BL87" s="153">
        <f>IFERROR('Similarity matrix'!BL87/'Denominator matrix'!$C$21, "NA")</f>
        <v>0</v>
      </c>
      <c r="BM87" s="153">
        <f>IFERROR('Similarity matrix'!BM87/'Denominator matrix'!$D$21, "NA")</f>
        <v>0</v>
      </c>
      <c r="BN87" s="153">
        <f>IFERROR('Similarity matrix'!BN87/'Denominator matrix'!$E$21, "NA")</f>
        <v>0</v>
      </c>
      <c r="BO87" s="156">
        <f>IFERROR('Similarity matrix'!BO87/'Denominator matrix'!$F$21, "NA")</f>
        <v>0</v>
      </c>
      <c r="BP87" s="153">
        <f>IFERROR('Similarity matrix'!BP87/'Denominator matrix'!$G$21, "NA")</f>
        <v>0</v>
      </c>
      <c r="BQ87" s="153">
        <f>IFERROR('Similarity matrix'!BQ87/'Denominator matrix'!$H$21, "NA")</f>
        <v>0</v>
      </c>
      <c r="BR87" s="153">
        <f>IFERROR('Similarity matrix'!BR87/'Denominator matrix'!$I$21, "NA")</f>
        <v>0</v>
      </c>
      <c r="BS87" s="153">
        <f>IFERROR('Similarity matrix'!BS87/'Denominator matrix'!$J$21, "NA")</f>
        <v>0</v>
      </c>
      <c r="BT87" s="153">
        <f>IFERROR('Similarity matrix'!BT87/'Denominator matrix'!$K$21, "NA")</f>
        <v>0</v>
      </c>
      <c r="BU87" s="154">
        <f>IFERROR('Similarity matrix'!BU87/'Denominator matrix'!$B$21, "NA")</f>
        <v>0</v>
      </c>
      <c r="BV87" s="153">
        <f>IFERROR('Similarity matrix'!BV87/'Denominator matrix'!$C$21, "NA")</f>
        <v>0</v>
      </c>
      <c r="BW87" s="153">
        <f>IFERROR('Similarity matrix'!BW87/'Denominator matrix'!$D$21, "NA")</f>
        <v>0</v>
      </c>
      <c r="BX87" s="153">
        <f>IFERROR('Similarity matrix'!BX87/'Denominator matrix'!$E$21, "NA")</f>
        <v>0</v>
      </c>
      <c r="BY87" s="156">
        <f>IFERROR('Similarity matrix'!BY87/'Denominator matrix'!$F$21, "NA")</f>
        <v>0</v>
      </c>
      <c r="BZ87" s="153">
        <f>IFERROR('Similarity matrix'!BZ87/'Denominator matrix'!$G$21, "NA")</f>
        <v>0</v>
      </c>
      <c r="CA87" s="153">
        <f>IFERROR('Similarity matrix'!CA87/'Denominator matrix'!$H$21, "NA")</f>
        <v>0</v>
      </c>
      <c r="CB87" s="153">
        <f>IFERROR('Similarity matrix'!CB87/'Denominator matrix'!$I$21, "NA")</f>
        <v>0</v>
      </c>
      <c r="CC87" s="153">
        <f>IFERROR('Similarity matrix'!CC87/'Denominator matrix'!$J$21, "NA")</f>
        <v>0</v>
      </c>
      <c r="CD87" s="153">
        <f>IFERROR('Similarity matrix'!CD87/'Denominator matrix'!$K$21, "NA")</f>
        <v>0</v>
      </c>
      <c r="CE87" s="154">
        <f>IFERROR('Similarity matrix'!CE87/'Denominator matrix'!$B$21, "NA")</f>
        <v>0.7</v>
      </c>
      <c r="CF87" s="153">
        <f>IFERROR('Similarity matrix'!CF87/'Denominator matrix'!$C$21, "NA")</f>
        <v>1</v>
      </c>
      <c r="CG87" s="153">
        <f>IFERROR('Similarity matrix'!CG87/'Denominator matrix'!$D$21, "NA")</f>
        <v>0.5</v>
      </c>
      <c r="CH87" s="153">
        <f>IFERROR('Similarity matrix'!CH87/'Denominator matrix'!$E$21, "NA")</f>
        <v>1</v>
      </c>
      <c r="CI87" s="155">
        <f>IFERROR('Similarity matrix'!CI87/'Denominator matrix'!$F$21, "NA")</f>
        <v>0</v>
      </c>
      <c r="CJ87" s="153">
        <f>IFERROR('Similarity matrix'!CJ87/'Denominator matrix'!$G$21, "NA")</f>
        <v>1</v>
      </c>
      <c r="CK87" s="153">
        <f>IFERROR('Similarity matrix'!CK87/'Denominator matrix'!$H$21, "NA")</f>
        <v>0.75</v>
      </c>
      <c r="CL87" s="153">
        <f>IFERROR('Similarity matrix'!CL87/'Denominator matrix'!$I$21, "NA")</f>
        <v>0.9</v>
      </c>
      <c r="CM87" s="153">
        <f>IFERROR('Similarity matrix'!CM87/'Denominator matrix'!$J$21, "NA")</f>
        <v>0.8333333333</v>
      </c>
      <c r="CN87" s="153">
        <f>IFERROR('Similarity matrix'!CN87/'Denominator matrix'!$K$21, "NA")</f>
        <v>1</v>
      </c>
      <c r="CO87" s="154">
        <f>IFERROR('Similarity matrix'!CO87/'Denominator matrix'!$B$21, "NA")</f>
        <v>0</v>
      </c>
      <c r="CP87" s="153">
        <f>IFERROR('Similarity matrix'!CP87/'Denominator matrix'!$C$21, "NA")</f>
        <v>0</v>
      </c>
      <c r="CQ87" s="153">
        <f>IFERROR('Similarity matrix'!CQ87/'Denominator matrix'!$D$21, "NA")</f>
        <v>0</v>
      </c>
      <c r="CR87" s="153">
        <f>IFERROR('Similarity matrix'!CR87/'Denominator matrix'!$E$21, "NA")</f>
        <v>0</v>
      </c>
      <c r="CS87" s="156">
        <f>IFERROR('Similarity matrix'!CS87/'Denominator matrix'!$F$21, "NA")</f>
        <v>0</v>
      </c>
      <c r="CT87" s="153">
        <f>IFERROR('Similarity matrix'!CT87/'Denominator matrix'!$G$21, "NA")</f>
        <v>0</v>
      </c>
      <c r="CU87" s="153">
        <f>IFERROR('Similarity matrix'!CU87/'Denominator matrix'!$H$21, "NA")</f>
        <v>0</v>
      </c>
      <c r="CV87" s="153">
        <f>IFERROR('Similarity matrix'!CV87/'Denominator matrix'!$I$21, "NA")</f>
        <v>0</v>
      </c>
      <c r="CW87" s="153">
        <f>IFERROR('Similarity matrix'!CW87/'Denominator matrix'!$J$21, "NA")</f>
        <v>0</v>
      </c>
      <c r="CX87" s="153">
        <f>IFERROR('Similarity matrix'!CX87/'Denominator matrix'!$K$21, "NA")</f>
        <v>0</v>
      </c>
    </row>
    <row r="88" ht="35.25" customHeight="1">
      <c r="B88" s="124">
        <v>45817.0</v>
      </c>
      <c r="C88" s="154">
        <f>IFERROR('Similarity matrix'!C88/'Denominator matrix'!$B$22, "NA")</f>
        <v>0</v>
      </c>
      <c r="D88" s="153">
        <f>IFERROR('Similarity matrix'!D88/'Denominator matrix'!$C$22, "NA")</f>
        <v>0</v>
      </c>
      <c r="E88" s="153">
        <f>IFERROR('Similarity matrix'!E88/'Denominator matrix'!$D$22, "NA")</f>
        <v>0</v>
      </c>
      <c r="F88" s="153">
        <f>IFERROR('Similarity matrix'!F88/'Denominator matrix'!$E$22, "NA")</f>
        <v>0</v>
      </c>
      <c r="G88" s="153">
        <f>IFERROR('Similarity matrix'!G88/'Denominator matrix'!$F$22, "NA")</f>
        <v>0</v>
      </c>
      <c r="H88" s="156">
        <f>IFERROR('Similarity matrix'!H88/'Denominator matrix'!$G$22, "NA")</f>
        <v>0</v>
      </c>
      <c r="I88" s="153">
        <f>IFERROR('Similarity matrix'!I88/'Denominator matrix'!$H$22, "NA")</f>
        <v>0</v>
      </c>
      <c r="J88" s="153">
        <f>IFERROR('Similarity matrix'!J88/'Denominator matrix'!$I$22, "NA")</f>
        <v>0</v>
      </c>
      <c r="K88" s="153">
        <f>IFERROR('Similarity matrix'!K88/'Denominator matrix'!$J$22, "NA")</f>
        <v>0</v>
      </c>
      <c r="L88" s="153">
        <f>IFERROR('Similarity matrix'!L88/'Denominator matrix'!$K$22, "NA")</f>
        <v>0</v>
      </c>
      <c r="M88" s="154">
        <f>IFERROR('Similarity matrix'!M88/'Denominator matrix'!$B$22, "NA")</f>
        <v>0</v>
      </c>
      <c r="N88" s="153">
        <f>IFERROR('Similarity matrix'!N88/'Denominator matrix'!$C$22, "NA")</f>
        <v>0</v>
      </c>
      <c r="O88" s="153">
        <f>IFERROR('Similarity matrix'!O88/'Denominator matrix'!$D$22, "NA")</f>
        <v>0</v>
      </c>
      <c r="P88" s="153">
        <f>IFERROR('Similarity matrix'!P88/'Denominator matrix'!$E$22, "NA")</f>
        <v>0</v>
      </c>
      <c r="Q88" s="153">
        <f>IFERROR('Similarity matrix'!Q88/'Denominator matrix'!$F$22, "NA")</f>
        <v>0</v>
      </c>
      <c r="R88" s="156">
        <f>IFERROR('Similarity matrix'!R88/'Denominator matrix'!$G$22, "NA")</f>
        <v>0</v>
      </c>
      <c r="S88" s="153">
        <f>IFERROR('Similarity matrix'!S88/'Denominator matrix'!$H$22, "NA")</f>
        <v>0</v>
      </c>
      <c r="T88" s="153">
        <f>IFERROR('Similarity matrix'!T88/'Denominator matrix'!$I$22, "NA")</f>
        <v>0</v>
      </c>
      <c r="U88" s="153">
        <f>IFERROR('Similarity matrix'!U88/'Denominator matrix'!$J$22, "NA")</f>
        <v>0</v>
      </c>
      <c r="V88" s="153">
        <f>IFERROR('Similarity matrix'!V88/'Denominator matrix'!$K$22, "NA")</f>
        <v>0</v>
      </c>
      <c r="W88" s="154">
        <f>IFERROR('Similarity matrix'!W88/'Denominator matrix'!$B$22, "NA")</f>
        <v>0</v>
      </c>
      <c r="X88" s="153">
        <f>IFERROR('Similarity matrix'!X88/'Denominator matrix'!$C$22, "NA")</f>
        <v>0</v>
      </c>
      <c r="Y88" s="153">
        <f>IFERROR('Similarity matrix'!Y88/'Denominator matrix'!$D$22, "NA")</f>
        <v>0</v>
      </c>
      <c r="Z88" s="153">
        <f>IFERROR('Similarity matrix'!Z88/'Denominator matrix'!$E$22, "NA")</f>
        <v>0</v>
      </c>
      <c r="AA88" s="153">
        <f>IFERROR('Similarity matrix'!AA88/'Denominator matrix'!$F$22, "NA")</f>
        <v>0</v>
      </c>
      <c r="AB88" s="156">
        <f>IFERROR('Similarity matrix'!AB88/'Denominator matrix'!$G$22, "NA")</f>
        <v>0</v>
      </c>
      <c r="AC88" s="153">
        <f>IFERROR('Similarity matrix'!AC88/'Denominator matrix'!$H$22, "NA")</f>
        <v>0</v>
      </c>
      <c r="AD88" s="153">
        <f>IFERROR('Similarity matrix'!AD88/'Denominator matrix'!$I$22, "NA")</f>
        <v>0</v>
      </c>
      <c r="AE88" s="153">
        <f>IFERROR('Similarity matrix'!AE88/'Denominator matrix'!$J$22, "NA")</f>
        <v>0</v>
      </c>
      <c r="AF88" s="153">
        <f>IFERROR('Similarity matrix'!AF88/'Denominator matrix'!$K$22, "NA")</f>
        <v>0</v>
      </c>
      <c r="AG88" s="154">
        <f>IFERROR('Similarity matrix'!AG88/'Denominator matrix'!$B$22, "NA")</f>
        <v>0</v>
      </c>
      <c r="AH88" s="153">
        <f>IFERROR('Similarity matrix'!AH88/'Denominator matrix'!$C$22, "NA")</f>
        <v>0</v>
      </c>
      <c r="AI88" s="153">
        <f>IFERROR('Similarity matrix'!AI88/'Denominator matrix'!$D$22, "NA")</f>
        <v>0</v>
      </c>
      <c r="AJ88" s="153">
        <f>IFERROR('Similarity matrix'!AJ88/'Denominator matrix'!$E$22, "NA")</f>
        <v>0</v>
      </c>
      <c r="AK88" s="153">
        <f>IFERROR('Similarity matrix'!AK88/'Denominator matrix'!$F$22, "NA")</f>
        <v>0</v>
      </c>
      <c r="AL88" s="156">
        <f>IFERROR('Similarity matrix'!AL88/'Denominator matrix'!$G$22, "NA")</f>
        <v>0</v>
      </c>
      <c r="AM88" s="153">
        <f>IFERROR('Similarity matrix'!AM88/'Denominator matrix'!$H$22, "NA")</f>
        <v>0</v>
      </c>
      <c r="AN88" s="153">
        <f>IFERROR('Similarity matrix'!AN88/'Denominator matrix'!$I$22, "NA")</f>
        <v>0</v>
      </c>
      <c r="AO88" s="153">
        <f>IFERROR('Similarity matrix'!AO88/'Denominator matrix'!$J$22, "NA")</f>
        <v>0</v>
      </c>
      <c r="AP88" s="153">
        <f>IFERROR('Similarity matrix'!AP88/'Denominator matrix'!$K$22, "NA")</f>
        <v>0</v>
      </c>
      <c r="AQ88" s="154">
        <f>IFERROR('Similarity matrix'!AQ88/'Denominator matrix'!$B$22, "NA")</f>
        <v>0</v>
      </c>
      <c r="AR88" s="153">
        <f>IFERROR('Similarity matrix'!AR88/'Denominator matrix'!$C$22, "NA")</f>
        <v>0</v>
      </c>
      <c r="AS88" s="153">
        <f>IFERROR('Similarity matrix'!AS88/'Denominator matrix'!$D$22, "NA")</f>
        <v>0</v>
      </c>
      <c r="AT88" s="153">
        <f>IFERROR('Similarity matrix'!AT88/'Denominator matrix'!$E$22, "NA")</f>
        <v>0</v>
      </c>
      <c r="AU88" s="153">
        <f>IFERROR('Similarity matrix'!AU88/'Denominator matrix'!$F$22, "NA")</f>
        <v>0</v>
      </c>
      <c r="AV88" s="156">
        <f>IFERROR('Similarity matrix'!AV88/'Denominator matrix'!$G$22, "NA")</f>
        <v>0</v>
      </c>
      <c r="AW88" s="153">
        <f>IFERROR('Similarity matrix'!AW88/'Denominator matrix'!$H$22, "NA")</f>
        <v>0</v>
      </c>
      <c r="AX88" s="153">
        <f>IFERROR('Similarity matrix'!AX88/'Denominator matrix'!$I$22, "NA")</f>
        <v>0</v>
      </c>
      <c r="AY88" s="153">
        <f>IFERROR('Similarity matrix'!AY88/'Denominator matrix'!$J$22, "NA")</f>
        <v>0</v>
      </c>
      <c r="AZ88" s="153">
        <f>IFERROR('Similarity matrix'!AZ88/'Denominator matrix'!$K$22, "NA")</f>
        <v>0</v>
      </c>
      <c r="BA88" s="154">
        <f>IFERROR('Similarity matrix'!BA88/'Denominator matrix'!$B$22, "NA")</f>
        <v>0</v>
      </c>
      <c r="BB88" s="153">
        <f>IFERROR('Similarity matrix'!BB88/'Denominator matrix'!$C$22, "NA")</f>
        <v>0</v>
      </c>
      <c r="BC88" s="153">
        <f>IFERROR('Similarity matrix'!BC88/'Denominator matrix'!$D$22, "NA")</f>
        <v>0</v>
      </c>
      <c r="BD88" s="153">
        <f>IFERROR('Similarity matrix'!BD88/'Denominator matrix'!$E$22, "NA")</f>
        <v>0</v>
      </c>
      <c r="BE88" s="153">
        <f>IFERROR('Similarity matrix'!BE88/'Denominator matrix'!$F$22, "NA")</f>
        <v>0</v>
      </c>
      <c r="BF88" s="156">
        <f>IFERROR('Similarity matrix'!BF88/'Denominator matrix'!$G$22, "NA")</f>
        <v>0</v>
      </c>
      <c r="BG88" s="153">
        <f>IFERROR('Similarity matrix'!BG88/'Denominator matrix'!$H$22, "NA")</f>
        <v>0</v>
      </c>
      <c r="BH88" s="153">
        <f>IFERROR('Similarity matrix'!BH88/'Denominator matrix'!$I$22, "NA")</f>
        <v>0</v>
      </c>
      <c r="BI88" s="153">
        <f>IFERROR('Similarity matrix'!BI88/'Denominator matrix'!$J$22, "NA")</f>
        <v>0</v>
      </c>
      <c r="BJ88" s="153">
        <f>IFERROR('Similarity matrix'!BJ88/'Denominator matrix'!$K$22, "NA")</f>
        <v>0</v>
      </c>
      <c r="BK88" s="154">
        <f>IFERROR('Similarity matrix'!BK88/'Denominator matrix'!$B$22, "NA")</f>
        <v>0</v>
      </c>
      <c r="BL88" s="153">
        <f>IFERROR('Similarity matrix'!BL88/'Denominator matrix'!$C$22, "NA")</f>
        <v>0</v>
      </c>
      <c r="BM88" s="153">
        <f>IFERROR('Similarity matrix'!BM88/'Denominator matrix'!$D$22, "NA")</f>
        <v>0</v>
      </c>
      <c r="BN88" s="153">
        <f>IFERROR('Similarity matrix'!BN88/'Denominator matrix'!$E$22, "NA")</f>
        <v>0</v>
      </c>
      <c r="BO88" s="153">
        <f>IFERROR('Similarity matrix'!BO88/'Denominator matrix'!$F$22, "NA")</f>
        <v>0</v>
      </c>
      <c r="BP88" s="156">
        <f>IFERROR('Similarity matrix'!BP88/'Denominator matrix'!$G$22, "NA")</f>
        <v>0</v>
      </c>
      <c r="BQ88" s="153">
        <f>IFERROR('Similarity matrix'!BQ88/'Denominator matrix'!$H$22, "NA")</f>
        <v>0</v>
      </c>
      <c r="BR88" s="153">
        <f>IFERROR('Similarity matrix'!BR88/'Denominator matrix'!$I$22, "NA")</f>
        <v>0</v>
      </c>
      <c r="BS88" s="153">
        <f>IFERROR('Similarity matrix'!BS88/'Denominator matrix'!$J$22, "NA")</f>
        <v>0</v>
      </c>
      <c r="BT88" s="153">
        <f>IFERROR('Similarity matrix'!BT88/'Denominator matrix'!$K$22, "NA")</f>
        <v>0</v>
      </c>
      <c r="BU88" s="154">
        <f>IFERROR('Similarity matrix'!BU88/'Denominator matrix'!$B$22, "NA")</f>
        <v>0</v>
      </c>
      <c r="BV88" s="153">
        <f>IFERROR('Similarity matrix'!BV88/'Denominator matrix'!$C$22, "NA")</f>
        <v>0</v>
      </c>
      <c r="BW88" s="153">
        <f>IFERROR('Similarity matrix'!BW88/'Denominator matrix'!$D$22, "NA")</f>
        <v>0</v>
      </c>
      <c r="BX88" s="153">
        <f>IFERROR('Similarity matrix'!BX88/'Denominator matrix'!$E$22, "NA")</f>
        <v>0</v>
      </c>
      <c r="BY88" s="153">
        <f>IFERROR('Similarity matrix'!BY88/'Denominator matrix'!$F$22, "NA")</f>
        <v>0</v>
      </c>
      <c r="BZ88" s="156">
        <f>IFERROR('Similarity matrix'!BZ88/'Denominator matrix'!$G$22, "NA")</f>
        <v>0</v>
      </c>
      <c r="CA88" s="153">
        <f>IFERROR('Similarity matrix'!CA88/'Denominator matrix'!$H$22, "NA")</f>
        <v>0</v>
      </c>
      <c r="CB88" s="153">
        <f>IFERROR('Similarity matrix'!CB88/'Denominator matrix'!$I$22, "NA")</f>
        <v>0</v>
      </c>
      <c r="CC88" s="153">
        <f>IFERROR('Similarity matrix'!CC88/'Denominator matrix'!$J$22, "NA")</f>
        <v>0</v>
      </c>
      <c r="CD88" s="153">
        <f>IFERROR('Similarity matrix'!CD88/'Denominator matrix'!$K$22, "NA")</f>
        <v>0</v>
      </c>
      <c r="CE88" s="154">
        <f>IFERROR('Similarity matrix'!CE88/'Denominator matrix'!$B$22, "NA")</f>
        <v>0.7</v>
      </c>
      <c r="CF88" s="153">
        <f>IFERROR('Similarity matrix'!CF88/'Denominator matrix'!$C$22, "NA")</f>
        <v>1</v>
      </c>
      <c r="CG88" s="153">
        <f>IFERROR('Similarity matrix'!CG88/'Denominator matrix'!$D$22, "NA")</f>
        <v>0.5</v>
      </c>
      <c r="CH88" s="153">
        <f>IFERROR('Similarity matrix'!CH88/'Denominator matrix'!$E$22, "NA")</f>
        <v>0.5</v>
      </c>
      <c r="CI88" s="153">
        <f>IFERROR('Similarity matrix'!CI88/'Denominator matrix'!$F$22, "NA")</f>
        <v>1</v>
      </c>
      <c r="CJ88" s="155">
        <f>IFERROR('Similarity matrix'!CJ88/'Denominator matrix'!$G$22, "NA")</f>
        <v>0</v>
      </c>
      <c r="CK88" s="153">
        <f>IFERROR('Similarity matrix'!CK88/'Denominator matrix'!$H$22, "NA")</f>
        <v>1</v>
      </c>
      <c r="CL88" s="153">
        <f>IFERROR('Similarity matrix'!CL88/'Denominator matrix'!$I$22, "NA")</f>
        <v>1</v>
      </c>
      <c r="CM88" s="153">
        <f>IFERROR('Similarity matrix'!CM88/'Denominator matrix'!$J$22, "NA")</f>
        <v>1</v>
      </c>
      <c r="CN88" s="153">
        <f>IFERROR('Similarity matrix'!CN88/'Denominator matrix'!$K$22, "NA")</f>
        <v>0.75</v>
      </c>
      <c r="CO88" s="154">
        <f>IFERROR('Similarity matrix'!CO88/'Denominator matrix'!$B$22, "NA")</f>
        <v>0</v>
      </c>
      <c r="CP88" s="153">
        <f>IFERROR('Similarity matrix'!CP88/'Denominator matrix'!$C$22, "NA")</f>
        <v>0</v>
      </c>
      <c r="CQ88" s="153">
        <f>IFERROR('Similarity matrix'!CQ88/'Denominator matrix'!$D$22, "NA")</f>
        <v>0</v>
      </c>
      <c r="CR88" s="153">
        <f>IFERROR('Similarity matrix'!CR88/'Denominator matrix'!$E$22, "NA")</f>
        <v>0</v>
      </c>
      <c r="CS88" s="153">
        <f>IFERROR('Similarity matrix'!CS88/'Denominator matrix'!$F$22, "NA")</f>
        <v>0</v>
      </c>
      <c r="CT88" s="156">
        <f>IFERROR('Similarity matrix'!CT88/'Denominator matrix'!$G$22, "NA")</f>
        <v>0</v>
      </c>
      <c r="CU88" s="153">
        <f>IFERROR('Similarity matrix'!CU88/'Denominator matrix'!$H$22, "NA")</f>
        <v>0</v>
      </c>
      <c r="CV88" s="153">
        <f>IFERROR('Similarity matrix'!CV88/'Denominator matrix'!$I$22, "NA")</f>
        <v>0</v>
      </c>
      <c r="CW88" s="153">
        <f>IFERROR('Similarity matrix'!CW88/'Denominator matrix'!$J$22, "NA")</f>
        <v>0</v>
      </c>
      <c r="CX88" s="153">
        <f>IFERROR('Similarity matrix'!CX88/'Denominator matrix'!$K$22, "NA")</f>
        <v>0</v>
      </c>
    </row>
    <row r="89" ht="35.25" customHeight="1">
      <c r="B89" s="124">
        <v>45847.0</v>
      </c>
      <c r="C89" s="154">
        <f>IFERROR('Similarity matrix'!C89/'Denominator matrix'!$B$23, "NA")</f>
        <v>0</v>
      </c>
      <c r="D89" s="153">
        <f>IFERROR('Similarity matrix'!D89/'Denominator matrix'!$C$23, "NA")</f>
        <v>0</v>
      </c>
      <c r="E89" s="153">
        <f>IFERROR('Similarity matrix'!E89/'Denominator matrix'!$D$23, "NA")</f>
        <v>0</v>
      </c>
      <c r="F89" s="153">
        <f>IFERROR('Similarity matrix'!F89/'Denominator matrix'!$E$23, "NA")</f>
        <v>0</v>
      </c>
      <c r="G89" s="153">
        <f>IFERROR('Similarity matrix'!G89/'Denominator matrix'!$F$23, "NA")</f>
        <v>0</v>
      </c>
      <c r="H89" s="153">
        <f>IFERROR('Similarity matrix'!H89/'Denominator matrix'!$G$23, "NA")</f>
        <v>0</v>
      </c>
      <c r="I89" s="156">
        <f>IFERROR('Similarity matrix'!I89/'Denominator matrix'!$H$23, "NA")</f>
        <v>0</v>
      </c>
      <c r="J89" s="153">
        <f>IFERROR('Similarity matrix'!J89/'Denominator matrix'!$I$23, "NA")</f>
        <v>0</v>
      </c>
      <c r="K89" s="153">
        <f>IFERROR('Similarity matrix'!K89/'Denominator matrix'!$J$23, "NA")</f>
        <v>0</v>
      </c>
      <c r="L89" s="153">
        <f>IFERROR('Similarity matrix'!L89/'Denominator matrix'!$K$23, "NA")</f>
        <v>0</v>
      </c>
      <c r="M89" s="154">
        <f>IFERROR('Similarity matrix'!M89/'Denominator matrix'!$B$23, "NA")</f>
        <v>0</v>
      </c>
      <c r="N89" s="153">
        <f>IFERROR('Similarity matrix'!N89/'Denominator matrix'!$C$23, "NA")</f>
        <v>0.1666666667</v>
      </c>
      <c r="O89" s="153">
        <f>IFERROR('Similarity matrix'!O89/'Denominator matrix'!$D$23, "NA")</f>
        <v>0</v>
      </c>
      <c r="P89" s="153">
        <f>IFERROR('Similarity matrix'!P89/'Denominator matrix'!$E$23, "NA")</f>
        <v>0.1</v>
      </c>
      <c r="Q89" s="153">
        <f>IFERROR('Similarity matrix'!Q89/'Denominator matrix'!$F$23, "NA")</f>
        <v>0.25</v>
      </c>
      <c r="R89" s="153">
        <f>IFERROR('Similarity matrix'!R89/'Denominator matrix'!$G$23, "NA")</f>
        <v>0</v>
      </c>
      <c r="S89" s="156">
        <f>IFERROR('Similarity matrix'!S89/'Denominator matrix'!$H$23, "NA")</f>
        <v>0.125</v>
      </c>
      <c r="T89" s="153">
        <f>IFERROR('Similarity matrix'!T89/'Denominator matrix'!$I$23, "NA")</f>
        <v>0.25</v>
      </c>
      <c r="U89" s="153">
        <f>IFERROR('Similarity matrix'!U89/'Denominator matrix'!$J$23, "NA")</f>
        <v>0</v>
      </c>
      <c r="V89" s="153">
        <f>IFERROR('Similarity matrix'!V89/'Denominator matrix'!$K$23, "NA")</f>
        <v>0.25</v>
      </c>
      <c r="W89" s="154">
        <f>IFERROR('Similarity matrix'!W89/'Denominator matrix'!$B$23, "NA")</f>
        <v>0</v>
      </c>
      <c r="X89" s="153">
        <f>IFERROR('Similarity matrix'!X89/'Denominator matrix'!$C$23, "NA")</f>
        <v>0</v>
      </c>
      <c r="Y89" s="153">
        <f>IFERROR('Similarity matrix'!Y89/'Denominator matrix'!$D$23, "NA")</f>
        <v>0</v>
      </c>
      <c r="Z89" s="153">
        <f>IFERROR('Similarity matrix'!Z89/'Denominator matrix'!$E$23, "NA")</f>
        <v>0</v>
      </c>
      <c r="AA89" s="153">
        <f>IFERROR('Similarity matrix'!AA89/'Denominator matrix'!$F$23, "NA")</f>
        <v>0</v>
      </c>
      <c r="AB89" s="153">
        <f>IFERROR('Similarity matrix'!AB89/'Denominator matrix'!$G$23, "NA")</f>
        <v>0</v>
      </c>
      <c r="AC89" s="156">
        <f>IFERROR('Similarity matrix'!AC89/'Denominator matrix'!$H$23, "NA")</f>
        <v>0</v>
      </c>
      <c r="AD89" s="153">
        <f>IFERROR('Similarity matrix'!AD89/'Denominator matrix'!$I$23, "NA")</f>
        <v>0</v>
      </c>
      <c r="AE89" s="153">
        <f>IFERROR('Similarity matrix'!AE89/'Denominator matrix'!$J$23, "NA")</f>
        <v>0</v>
      </c>
      <c r="AF89" s="153">
        <f>IFERROR('Similarity matrix'!AF89/'Denominator matrix'!$K$23, "NA")</f>
        <v>0</v>
      </c>
      <c r="AG89" s="154">
        <f>IFERROR('Similarity matrix'!AG89/'Denominator matrix'!$B$23, "NA")</f>
        <v>0</v>
      </c>
      <c r="AH89" s="153">
        <f>IFERROR('Similarity matrix'!AH89/'Denominator matrix'!$C$23, "NA")</f>
        <v>0</v>
      </c>
      <c r="AI89" s="153">
        <f>IFERROR('Similarity matrix'!AI89/'Denominator matrix'!$D$23, "NA")</f>
        <v>0</v>
      </c>
      <c r="AJ89" s="153">
        <f>IFERROR('Similarity matrix'!AJ89/'Denominator matrix'!$E$23, "NA")</f>
        <v>0</v>
      </c>
      <c r="AK89" s="153">
        <f>IFERROR('Similarity matrix'!AK89/'Denominator matrix'!$F$23, "NA")</f>
        <v>0</v>
      </c>
      <c r="AL89" s="153">
        <f>IFERROR('Similarity matrix'!AL89/'Denominator matrix'!$G$23, "NA")</f>
        <v>0</v>
      </c>
      <c r="AM89" s="156">
        <f>IFERROR('Similarity matrix'!AM89/'Denominator matrix'!$H$23, "NA")</f>
        <v>0</v>
      </c>
      <c r="AN89" s="153">
        <f>IFERROR('Similarity matrix'!AN89/'Denominator matrix'!$I$23, "NA")</f>
        <v>0</v>
      </c>
      <c r="AO89" s="153">
        <f>IFERROR('Similarity matrix'!AO89/'Denominator matrix'!$J$23, "NA")</f>
        <v>0</v>
      </c>
      <c r="AP89" s="153">
        <f>IFERROR('Similarity matrix'!AP89/'Denominator matrix'!$K$23, "NA")</f>
        <v>0</v>
      </c>
      <c r="AQ89" s="154">
        <f>IFERROR('Similarity matrix'!AQ89/'Denominator matrix'!$B$23, "NA")</f>
        <v>0</v>
      </c>
      <c r="AR89" s="153">
        <f>IFERROR('Similarity matrix'!AR89/'Denominator matrix'!$C$23, "NA")</f>
        <v>0.1666666667</v>
      </c>
      <c r="AS89" s="153">
        <f>IFERROR('Similarity matrix'!AS89/'Denominator matrix'!$D$23, "NA")</f>
        <v>0.125</v>
      </c>
      <c r="AT89" s="153">
        <f>IFERROR('Similarity matrix'!AT89/'Denominator matrix'!$E$23, "NA")</f>
        <v>0</v>
      </c>
      <c r="AU89" s="153">
        <f>IFERROR('Similarity matrix'!AU89/'Denominator matrix'!$F$23, "NA")</f>
        <v>0</v>
      </c>
      <c r="AV89" s="153">
        <f>IFERROR('Similarity matrix'!AV89/'Denominator matrix'!$G$23, "NA")</f>
        <v>0</v>
      </c>
      <c r="AW89" s="156">
        <f>IFERROR('Similarity matrix'!AW89/'Denominator matrix'!$H$23, "NA")</f>
        <v>0</v>
      </c>
      <c r="AX89" s="153">
        <f>IFERROR('Similarity matrix'!AX89/'Denominator matrix'!$I$23, "NA")</f>
        <v>0</v>
      </c>
      <c r="AY89" s="153">
        <f>IFERROR('Similarity matrix'!AY89/'Denominator matrix'!$J$23, "NA")</f>
        <v>0</v>
      </c>
      <c r="AZ89" s="153">
        <f>IFERROR('Similarity matrix'!AZ89/'Denominator matrix'!$K$23, "NA")</f>
        <v>0.25</v>
      </c>
      <c r="BA89" s="154">
        <f>IFERROR('Similarity matrix'!BA89/'Denominator matrix'!$B$23, "NA")</f>
        <v>0</v>
      </c>
      <c r="BB89" s="153">
        <f>IFERROR('Similarity matrix'!BB89/'Denominator matrix'!$C$23, "NA")</f>
        <v>0</v>
      </c>
      <c r="BC89" s="153">
        <f>IFERROR('Similarity matrix'!BC89/'Denominator matrix'!$D$23, "NA")</f>
        <v>0</v>
      </c>
      <c r="BD89" s="153">
        <f>IFERROR('Similarity matrix'!BD89/'Denominator matrix'!$E$23, "NA")</f>
        <v>0</v>
      </c>
      <c r="BE89" s="153">
        <f>IFERROR('Similarity matrix'!BE89/'Denominator matrix'!$F$23, "NA")</f>
        <v>0</v>
      </c>
      <c r="BF89" s="153">
        <f>IFERROR('Similarity matrix'!BF89/'Denominator matrix'!$G$23, "NA")</f>
        <v>0</v>
      </c>
      <c r="BG89" s="156">
        <f>IFERROR('Similarity matrix'!BG89/'Denominator matrix'!$H$23, "NA")</f>
        <v>0</v>
      </c>
      <c r="BH89" s="153">
        <f>IFERROR('Similarity matrix'!BH89/'Denominator matrix'!$I$23, "NA")</f>
        <v>0</v>
      </c>
      <c r="BI89" s="153">
        <f>IFERROR('Similarity matrix'!BI89/'Denominator matrix'!$J$23, "NA")</f>
        <v>0</v>
      </c>
      <c r="BJ89" s="153">
        <f>IFERROR('Similarity matrix'!BJ89/'Denominator matrix'!$K$23, "NA")</f>
        <v>0</v>
      </c>
      <c r="BK89" s="154">
        <f>IFERROR('Similarity matrix'!BK89/'Denominator matrix'!$B$23, "NA")</f>
        <v>0</v>
      </c>
      <c r="BL89" s="153">
        <f>IFERROR('Similarity matrix'!BL89/'Denominator matrix'!$C$23, "NA")</f>
        <v>0</v>
      </c>
      <c r="BM89" s="153">
        <f>IFERROR('Similarity matrix'!BM89/'Denominator matrix'!$D$23, "NA")</f>
        <v>0</v>
      </c>
      <c r="BN89" s="153">
        <f>IFERROR('Similarity matrix'!BN89/'Denominator matrix'!$E$23, "NA")</f>
        <v>0</v>
      </c>
      <c r="BO89" s="153">
        <f>IFERROR('Similarity matrix'!BO89/'Denominator matrix'!$F$23, "NA")</f>
        <v>0</v>
      </c>
      <c r="BP89" s="153">
        <f>IFERROR('Similarity matrix'!BP89/'Denominator matrix'!$G$23, "NA")</f>
        <v>0</v>
      </c>
      <c r="BQ89" s="156">
        <f>IFERROR('Similarity matrix'!BQ89/'Denominator matrix'!$H$23, "NA")</f>
        <v>0</v>
      </c>
      <c r="BR89" s="153">
        <f>IFERROR('Similarity matrix'!BR89/'Denominator matrix'!$I$23, "NA")</f>
        <v>0</v>
      </c>
      <c r="BS89" s="153">
        <f>IFERROR('Similarity matrix'!BS89/'Denominator matrix'!$J$23, "NA")</f>
        <v>0</v>
      </c>
      <c r="BT89" s="153">
        <f>IFERROR('Similarity matrix'!BT89/'Denominator matrix'!$K$23, "NA")</f>
        <v>0</v>
      </c>
      <c r="BU89" s="154">
        <f>IFERROR('Similarity matrix'!BU89/'Denominator matrix'!$B$23, "NA")</f>
        <v>0</v>
      </c>
      <c r="BV89" s="153">
        <f>IFERROR('Similarity matrix'!BV89/'Denominator matrix'!$C$23, "NA")</f>
        <v>0</v>
      </c>
      <c r="BW89" s="153">
        <f>IFERROR('Similarity matrix'!BW89/'Denominator matrix'!$D$23, "NA")</f>
        <v>0</v>
      </c>
      <c r="BX89" s="153">
        <f>IFERROR('Similarity matrix'!BX89/'Denominator matrix'!$E$23, "NA")</f>
        <v>0</v>
      </c>
      <c r="BY89" s="153">
        <f>IFERROR('Similarity matrix'!BY89/'Denominator matrix'!$F$23, "NA")</f>
        <v>0</v>
      </c>
      <c r="BZ89" s="153">
        <f>IFERROR('Similarity matrix'!BZ89/'Denominator matrix'!$G$23, "NA")</f>
        <v>0</v>
      </c>
      <c r="CA89" s="156">
        <f>IFERROR('Similarity matrix'!CA89/'Denominator matrix'!$H$23, "NA")</f>
        <v>0</v>
      </c>
      <c r="CB89" s="153">
        <f>IFERROR('Similarity matrix'!CB89/'Denominator matrix'!$I$23, "NA")</f>
        <v>0</v>
      </c>
      <c r="CC89" s="153">
        <f>IFERROR('Similarity matrix'!CC89/'Denominator matrix'!$J$23, "NA")</f>
        <v>0</v>
      </c>
      <c r="CD89" s="153">
        <f>IFERROR('Similarity matrix'!CD89/'Denominator matrix'!$K$23, "NA")</f>
        <v>0</v>
      </c>
      <c r="CE89" s="154">
        <f>IFERROR('Similarity matrix'!CE89/'Denominator matrix'!$B$23, "NA")</f>
        <v>0.5</v>
      </c>
      <c r="CF89" s="153">
        <f>IFERROR('Similarity matrix'!CF89/'Denominator matrix'!$C$23, "NA")</f>
        <v>1</v>
      </c>
      <c r="CG89" s="153">
        <f>IFERROR('Similarity matrix'!CG89/'Denominator matrix'!$D$23, "NA")</f>
        <v>0.75</v>
      </c>
      <c r="CH89" s="153">
        <f>IFERROR('Similarity matrix'!CH89/'Denominator matrix'!$E$23, "NA")</f>
        <v>0.9</v>
      </c>
      <c r="CI89" s="153">
        <f>IFERROR('Similarity matrix'!CI89/'Denominator matrix'!$F$23, "NA")</f>
        <v>0.75</v>
      </c>
      <c r="CJ89" s="153">
        <f>IFERROR('Similarity matrix'!CJ89/'Denominator matrix'!$G$23, "NA")</f>
        <v>1</v>
      </c>
      <c r="CK89" s="155">
        <f>IFERROR('Similarity matrix'!CK89/'Denominator matrix'!$H$23, "NA")</f>
        <v>0</v>
      </c>
      <c r="CL89" s="153">
        <f>IFERROR('Similarity matrix'!CL89/'Denominator matrix'!$I$23, "NA")</f>
        <v>0.75</v>
      </c>
      <c r="CM89" s="153">
        <f>IFERROR('Similarity matrix'!CM89/'Denominator matrix'!$J$23, "NA")</f>
        <v>1</v>
      </c>
      <c r="CN89" s="153">
        <f>IFERROR('Similarity matrix'!CN89/'Denominator matrix'!$K$23, "NA")</f>
        <v>0.75</v>
      </c>
      <c r="CO89" s="154">
        <f>IFERROR('Similarity matrix'!CO89/'Denominator matrix'!$B$23, "NA")</f>
        <v>0</v>
      </c>
      <c r="CP89" s="153">
        <f>IFERROR('Similarity matrix'!CP89/'Denominator matrix'!$C$23, "NA")</f>
        <v>0</v>
      </c>
      <c r="CQ89" s="153">
        <f>IFERROR('Similarity matrix'!CQ89/'Denominator matrix'!$D$23, "NA")</f>
        <v>0</v>
      </c>
      <c r="CR89" s="153">
        <f>IFERROR('Similarity matrix'!CR89/'Denominator matrix'!$E$23, "NA")</f>
        <v>0</v>
      </c>
      <c r="CS89" s="153">
        <f>IFERROR('Similarity matrix'!CS89/'Denominator matrix'!$F$23, "NA")</f>
        <v>0</v>
      </c>
      <c r="CT89" s="153">
        <f>IFERROR('Similarity matrix'!CT89/'Denominator matrix'!$G$23, "NA")</f>
        <v>0</v>
      </c>
      <c r="CU89" s="156">
        <f>IFERROR('Similarity matrix'!CU89/'Denominator matrix'!$H$23, "NA")</f>
        <v>0.0625</v>
      </c>
      <c r="CV89" s="153">
        <f>IFERROR('Similarity matrix'!CV89/'Denominator matrix'!$I$23, "NA")</f>
        <v>0</v>
      </c>
      <c r="CW89" s="153">
        <f>IFERROR('Similarity matrix'!CW89/'Denominator matrix'!$J$23, "NA")</f>
        <v>0</v>
      </c>
      <c r="CX89" s="153">
        <f>IFERROR('Similarity matrix'!CX89/'Denominator matrix'!$K$23, "NA")</f>
        <v>0</v>
      </c>
    </row>
    <row r="90" ht="35.25" customHeight="1">
      <c r="B90" s="124">
        <v>45878.0</v>
      </c>
      <c r="C90" s="154">
        <f>IFERROR('Similarity matrix'!C90/'Denominator matrix'!$B$24, "NA")</f>
        <v>0</v>
      </c>
      <c r="D90" s="153">
        <f>IFERROR('Similarity matrix'!D90/'Denominator matrix'!$C$24, "NA")</f>
        <v>0</v>
      </c>
      <c r="E90" s="153">
        <f>IFERROR('Similarity matrix'!E90/'Denominator matrix'!$D$24, "NA")</f>
        <v>0</v>
      </c>
      <c r="F90" s="153">
        <f>IFERROR('Similarity matrix'!F90/'Denominator matrix'!$E$24, "NA")</f>
        <v>0</v>
      </c>
      <c r="G90" s="153">
        <f>IFERROR('Similarity matrix'!G90/'Denominator matrix'!$F$24, "NA")</f>
        <v>0</v>
      </c>
      <c r="H90" s="153">
        <f>IFERROR('Similarity matrix'!H90/'Denominator matrix'!$G$24, "NA")</f>
        <v>0</v>
      </c>
      <c r="I90" s="153">
        <f>IFERROR('Similarity matrix'!I90/'Denominator matrix'!$H$24, "NA")</f>
        <v>0</v>
      </c>
      <c r="J90" s="156">
        <f>IFERROR('Similarity matrix'!J90/'Denominator matrix'!$I$24, "NA")</f>
        <v>0</v>
      </c>
      <c r="K90" s="153">
        <f>IFERROR('Similarity matrix'!K90/'Denominator matrix'!$J$24, "NA")</f>
        <v>0</v>
      </c>
      <c r="L90" s="153">
        <f>IFERROR('Similarity matrix'!L90/'Denominator matrix'!$K$24, "NA")</f>
        <v>0</v>
      </c>
      <c r="M90" s="154">
        <f>IFERROR('Similarity matrix'!M90/'Denominator matrix'!$B$24, "NA")</f>
        <v>0</v>
      </c>
      <c r="N90" s="153">
        <f>IFERROR('Similarity matrix'!N90/'Denominator matrix'!$C$24, "NA")</f>
        <v>0</v>
      </c>
      <c r="O90" s="153">
        <f>IFERROR('Similarity matrix'!O90/'Denominator matrix'!$D$24, "NA")</f>
        <v>0</v>
      </c>
      <c r="P90" s="153">
        <f>IFERROR('Similarity matrix'!P90/'Denominator matrix'!$E$24, "NA")</f>
        <v>0</v>
      </c>
      <c r="Q90" s="153">
        <f>IFERROR('Similarity matrix'!Q90/'Denominator matrix'!$F$24, "NA")</f>
        <v>0</v>
      </c>
      <c r="R90" s="153">
        <f>IFERROR('Similarity matrix'!R90/'Denominator matrix'!$G$24, "NA")</f>
        <v>0</v>
      </c>
      <c r="S90" s="153">
        <f>IFERROR('Similarity matrix'!S90/'Denominator matrix'!$H$24, "NA")</f>
        <v>0.25</v>
      </c>
      <c r="T90" s="156">
        <f>IFERROR('Similarity matrix'!T90/'Denominator matrix'!$I$24, "NA")</f>
        <v>0.0625</v>
      </c>
      <c r="U90" s="153">
        <f>IFERROR('Similarity matrix'!U90/'Denominator matrix'!$J$24, "NA")</f>
        <v>0</v>
      </c>
      <c r="V90" s="153">
        <f>IFERROR('Similarity matrix'!V90/'Denominator matrix'!$K$24, "NA")</f>
        <v>0.1666666667</v>
      </c>
      <c r="W90" s="154">
        <f>IFERROR('Similarity matrix'!W90/'Denominator matrix'!$B$24, "NA")</f>
        <v>0</v>
      </c>
      <c r="X90" s="153">
        <f>IFERROR('Similarity matrix'!X90/'Denominator matrix'!$C$24, "NA")</f>
        <v>0</v>
      </c>
      <c r="Y90" s="153">
        <f>IFERROR('Similarity matrix'!Y90/'Denominator matrix'!$D$24, "NA")</f>
        <v>0</v>
      </c>
      <c r="Z90" s="153">
        <f>IFERROR('Similarity matrix'!Z90/'Denominator matrix'!$E$24, "NA")</f>
        <v>0</v>
      </c>
      <c r="AA90" s="153">
        <f>IFERROR('Similarity matrix'!AA90/'Denominator matrix'!$F$24, "NA")</f>
        <v>0</v>
      </c>
      <c r="AB90" s="153">
        <f>IFERROR('Similarity matrix'!AB90/'Denominator matrix'!$G$24, "NA")</f>
        <v>0</v>
      </c>
      <c r="AC90" s="153">
        <f>IFERROR('Similarity matrix'!AC90/'Denominator matrix'!$H$24, "NA")</f>
        <v>0</v>
      </c>
      <c r="AD90" s="156">
        <f>IFERROR('Similarity matrix'!AD90/'Denominator matrix'!$I$24, "NA")</f>
        <v>0</v>
      </c>
      <c r="AE90" s="153">
        <f>IFERROR('Similarity matrix'!AE90/'Denominator matrix'!$J$24, "NA")</f>
        <v>0</v>
      </c>
      <c r="AF90" s="153">
        <f>IFERROR('Similarity matrix'!AF90/'Denominator matrix'!$K$24, "NA")</f>
        <v>0</v>
      </c>
      <c r="AG90" s="154">
        <f>IFERROR('Similarity matrix'!AG90/'Denominator matrix'!$B$24, "NA")</f>
        <v>0</v>
      </c>
      <c r="AH90" s="153">
        <f>IFERROR('Similarity matrix'!AH90/'Denominator matrix'!$C$24, "NA")</f>
        <v>0</v>
      </c>
      <c r="AI90" s="153">
        <f>IFERROR('Similarity matrix'!AI90/'Denominator matrix'!$D$24, "NA")</f>
        <v>0</v>
      </c>
      <c r="AJ90" s="153">
        <f>IFERROR('Similarity matrix'!AJ90/'Denominator matrix'!$E$24, "NA")</f>
        <v>0</v>
      </c>
      <c r="AK90" s="153">
        <f>IFERROR('Similarity matrix'!AK90/'Denominator matrix'!$F$24, "NA")</f>
        <v>0</v>
      </c>
      <c r="AL90" s="153">
        <f>IFERROR('Similarity matrix'!AL90/'Denominator matrix'!$G$24, "NA")</f>
        <v>0</v>
      </c>
      <c r="AM90" s="153">
        <f>IFERROR('Similarity matrix'!AM90/'Denominator matrix'!$H$24, "NA")</f>
        <v>0</v>
      </c>
      <c r="AN90" s="156">
        <f>IFERROR('Similarity matrix'!AN90/'Denominator matrix'!$I$24, "NA")</f>
        <v>0</v>
      </c>
      <c r="AO90" s="153">
        <f>IFERROR('Similarity matrix'!AO90/'Denominator matrix'!$J$24, "NA")</f>
        <v>0</v>
      </c>
      <c r="AP90" s="153">
        <f>IFERROR('Similarity matrix'!AP90/'Denominator matrix'!$K$24, "NA")</f>
        <v>0</v>
      </c>
      <c r="AQ90" s="154">
        <f>IFERROR('Similarity matrix'!AQ90/'Denominator matrix'!$B$24, "NA")</f>
        <v>0</v>
      </c>
      <c r="AR90" s="153">
        <f>IFERROR('Similarity matrix'!AR90/'Denominator matrix'!$C$24, "NA")</f>
        <v>0</v>
      </c>
      <c r="AS90" s="153">
        <f>IFERROR('Similarity matrix'!AS90/'Denominator matrix'!$D$24, "NA")</f>
        <v>0</v>
      </c>
      <c r="AT90" s="153">
        <f>IFERROR('Similarity matrix'!AT90/'Denominator matrix'!$E$24, "NA")</f>
        <v>0</v>
      </c>
      <c r="AU90" s="153">
        <f>IFERROR('Similarity matrix'!AU90/'Denominator matrix'!$F$24, "NA")</f>
        <v>0</v>
      </c>
      <c r="AV90" s="153">
        <f>IFERROR('Similarity matrix'!AV90/'Denominator matrix'!$G$24, "NA")</f>
        <v>0</v>
      </c>
      <c r="AW90" s="153">
        <f>IFERROR('Similarity matrix'!AW90/'Denominator matrix'!$H$24, "NA")</f>
        <v>0</v>
      </c>
      <c r="AX90" s="156">
        <f>IFERROR('Similarity matrix'!AX90/'Denominator matrix'!$I$24, "NA")</f>
        <v>0</v>
      </c>
      <c r="AY90" s="153">
        <f>IFERROR('Similarity matrix'!AY90/'Denominator matrix'!$J$24, "NA")</f>
        <v>0</v>
      </c>
      <c r="AZ90" s="153">
        <f>IFERROR('Similarity matrix'!AZ90/'Denominator matrix'!$K$24, "NA")</f>
        <v>0</v>
      </c>
      <c r="BA90" s="154">
        <f>IFERROR('Similarity matrix'!BA90/'Denominator matrix'!$B$24, "NA")</f>
        <v>0</v>
      </c>
      <c r="BB90" s="153">
        <f>IFERROR('Similarity matrix'!BB90/'Denominator matrix'!$C$24, "NA")</f>
        <v>0</v>
      </c>
      <c r="BC90" s="153">
        <f>IFERROR('Similarity matrix'!BC90/'Denominator matrix'!$D$24, "NA")</f>
        <v>0</v>
      </c>
      <c r="BD90" s="153">
        <f>IFERROR('Similarity matrix'!BD90/'Denominator matrix'!$E$24, "NA")</f>
        <v>0</v>
      </c>
      <c r="BE90" s="153">
        <f>IFERROR('Similarity matrix'!BE90/'Denominator matrix'!$F$24, "NA")</f>
        <v>0</v>
      </c>
      <c r="BF90" s="153">
        <f>IFERROR('Similarity matrix'!BF90/'Denominator matrix'!$G$24, "NA")</f>
        <v>0</v>
      </c>
      <c r="BG90" s="153">
        <f>IFERROR('Similarity matrix'!BG90/'Denominator matrix'!$H$24, "NA")</f>
        <v>0</v>
      </c>
      <c r="BH90" s="156">
        <f>IFERROR('Similarity matrix'!BH90/'Denominator matrix'!$I$24, "NA")</f>
        <v>0</v>
      </c>
      <c r="BI90" s="153">
        <f>IFERROR('Similarity matrix'!BI90/'Denominator matrix'!$J$24, "NA")</f>
        <v>0</v>
      </c>
      <c r="BJ90" s="153">
        <f>IFERROR('Similarity matrix'!BJ90/'Denominator matrix'!$K$24, "NA")</f>
        <v>0</v>
      </c>
      <c r="BK90" s="154">
        <f>IFERROR('Similarity matrix'!BK90/'Denominator matrix'!$B$24, "NA")</f>
        <v>0</v>
      </c>
      <c r="BL90" s="153">
        <f>IFERROR('Similarity matrix'!BL90/'Denominator matrix'!$C$24, "NA")</f>
        <v>0</v>
      </c>
      <c r="BM90" s="153">
        <f>IFERROR('Similarity matrix'!BM90/'Denominator matrix'!$D$24, "NA")</f>
        <v>0</v>
      </c>
      <c r="BN90" s="153">
        <f>IFERROR('Similarity matrix'!BN90/'Denominator matrix'!$E$24, "NA")</f>
        <v>0</v>
      </c>
      <c r="BO90" s="153">
        <f>IFERROR('Similarity matrix'!BO90/'Denominator matrix'!$F$24, "NA")</f>
        <v>0</v>
      </c>
      <c r="BP90" s="153">
        <f>IFERROR('Similarity matrix'!BP90/'Denominator matrix'!$G$24, "NA")</f>
        <v>0</v>
      </c>
      <c r="BQ90" s="153">
        <f>IFERROR('Similarity matrix'!BQ90/'Denominator matrix'!$H$24, "NA")</f>
        <v>0</v>
      </c>
      <c r="BR90" s="156">
        <f>IFERROR('Similarity matrix'!BR90/'Denominator matrix'!$I$24, "NA")</f>
        <v>0</v>
      </c>
      <c r="BS90" s="153">
        <f>IFERROR('Similarity matrix'!BS90/'Denominator matrix'!$J$24, "NA")</f>
        <v>0</v>
      </c>
      <c r="BT90" s="153">
        <f>IFERROR('Similarity matrix'!BT90/'Denominator matrix'!$K$24, "NA")</f>
        <v>0</v>
      </c>
      <c r="BU90" s="154">
        <f>IFERROR('Similarity matrix'!BU90/'Denominator matrix'!$B$24, "NA")</f>
        <v>0</v>
      </c>
      <c r="BV90" s="153">
        <f>IFERROR('Similarity matrix'!BV90/'Denominator matrix'!$C$24, "NA")</f>
        <v>0</v>
      </c>
      <c r="BW90" s="153">
        <f>IFERROR('Similarity matrix'!BW90/'Denominator matrix'!$D$24, "NA")</f>
        <v>0</v>
      </c>
      <c r="BX90" s="153">
        <f>IFERROR('Similarity matrix'!BX90/'Denominator matrix'!$E$24, "NA")</f>
        <v>0</v>
      </c>
      <c r="BY90" s="153">
        <f>IFERROR('Similarity matrix'!BY90/'Denominator matrix'!$F$24, "NA")</f>
        <v>0</v>
      </c>
      <c r="BZ90" s="153">
        <f>IFERROR('Similarity matrix'!BZ90/'Denominator matrix'!$G$24, "NA")</f>
        <v>0</v>
      </c>
      <c r="CA90" s="153">
        <f>IFERROR('Similarity matrix'!CA90/'Denominator matrix'!$H$24, "NA")</f>
        <v>0</v>
      </c>
      <c r="CB90" s="156">
        <f>IFERROR('Similarity matrix'!CB90/'Denominator matrix'!$I$24, "NA")</f>
        <v>0</v>
      </c>
      <c r="CC90" s="153">
        <f>IFERROR('Similarity matrix'!CC90/'Denominator matrix'!$J$24, "NA")</f>
        <v>0</v>
      </c>
      <c r="CD90" s="153">
        <f>IFERROR('Similarity matrix'!CD90/'Denominator matrix'!$K$24, "NA")</f>
        <v>0</v>
      </c>
      <c r="CE90" s="154">
        <f>IFERROR('Similarity matrix'!CE90/'Denominator matrix'!$B$24, "NA")</f>
        <v>0.75</v>
      </c>
      <c r="CF90" s="153">
        <f>IFERROR('Similarity matrix'!CF90/'Denominator matrix'!$C$24, "NA")</f>
        <v>1</v>
      </c>
      <c r="CG90" s="153">
        <f>IFERROR('Similarity matrix'!CG90/'Denominator matrix'!$D$24, "NA")</f>
        <v>0.8333333333</v>
      </c>
      <c r="CH90" s="153">
        <f>IFERROR('Similarity matrix'!CH90/'Denominator matrix'!$E$24, "NA")</f>
        <v>0.75</v>
      </c>
      <c r="CI90" s="153">
        <f>IFERROR('Similarity matrix'!CI90/'Denominator matrix'!$F$24, "NA")</f>
        <v>0.9</v>
      </c>
      <c r="CJ90" s="153">
        <f>IFERROR('Similarity matrix'!CJ90/'Denominator matrix'!$G$24, "NA")</f>
        <v>1</v>
      </c>
      <c r="CK90" s="153">
        <f>IFERROR('Similarity matrix'!CK90/'Denominator matrix'!$H$24, "NA")</f>
        <v>0.75</v>
      </c>
      <c r="CL90" s="155">
        <f>IFERROR('Similarity matrix'!CL90/'Denominator matrix'!$I$24, "NA")</f>
        <v>0</v>
      </c>
      <c r="CM90" s="153">
        <f>IFERROR('Similarity matrix'!CM90/'Denominator matrix'!$J$24, "NA")</f>
        <v>0.75</v>
      </c>
      <c r="CN90" s="153">
        <f>IFERROR('Similarity matrix'!CN90/'Denominator matrix'!$K$24, "NA")</f>
        <v>0.6666666667</v>
      </c>
      <c r="CO90" s="154">
        <f>IFERROR('Similarity matrix'!CO90/'Denominator matrix'!$B$24, "NA")</f>
        <v>0</v>
      </c>
      <c r="CP90" s="153">
        <f>IFERROR('Similarity matrix'!CP90/'Denominator matrix'!$C$24, "NA")</f>
        <v>0</v>
      </c>
      <c r="CQ90" s="153">
        <f>IFERROR('Similarity matrix'!CQ90/'Denominator matrix'!$D$24, "NA")</f>
        <v>0</v>
      </c>
      <c r="CR90" s="153">
        <f>IFERROR('Similarity matrix'!CR90/'Denominator matrix'!$E$24, "NA")</f>
        <v>0</v>
      </c>
      <c r="CS90" s="153">
        <f>IFERROR('Similarity matrix'!CS90/'Denominator matrix'!$F$24, "NA")</f>
        <v>0</v>
      </c>
      <c r="CT90" s="153">
        <f>IFERROR('Similarity matrix'!CT90/'Denominator matrix'!$G$24, "NA")</f>
        <v>0</v>
      </c>
      <c r="CU90" s="153">
        <f>IFERROR('Similarity matrix'!CU90/'Denominator matrix'!$H$24, "NA")</f>
        <v>0</v>
      </c>
      <c r="CV90" s="156">
        <f>IFERROR('Similarity matrix'!CV90/'Denominator matrix'!$I$24, "NA")</f>
        <v>0</v>
      </c>
      <c r="CW90" s="153">
        <f>IFERROR('Similarity matrix'!CW90/'Denominator matrix'!$J$24, "NA")</f>
        <v>0</v>
      </c>
      <c r="CX90" s="153">
        <f>IFERROR('Similarity matrix'!CX90/'Denominator matrix'!$K$24, "NA")</f>
        <v>0</v>
      </c>
    </row>
    <row r="91" ht="35.25" customHeight="1">
      <c r="B91" s="124">
        <v>45909.0</v>
      </c>
      <c r="C91" s="154">
        <f>IFERROR('Similarity matrix'!C91/'Denominator matrix'!$B$25, "NA")</f>
        <v>0</v>
      </c>
      <c r="D91" s="153">
        <f>IFERROR('Similarity matrix'!D91/'Denominator matrix'!$C$25, "NA")</f>
        <v>0</v>
      </c>
      <c r="E91" s="153">
        <f>IFERROR('Similarity matrix'!E91/'Denominator matrix'!$D$25, "NA")</f>
        <v>0</v>
      </c>
      <c r="F91" s="153">
        <f>IFERROR('Similarity matrix'!F91/'Denominator matrix'!$E$25, "NA")</f>
        <v>0</v>
      </c>
      <c r="G91" s="153">
        <f>IFERROR('Similarity matrix'!G91/'Denominator matrix'!$F$25, "NA")</f>
        <v>0</v>
      </c>
      <c r="H91" s="153">
        <f>IFERROR('Similarity matrix'!H91/'Denominator matrix'!$G$25, "NA")</f>
        <v>0</v>
      </c>
      <c r="I91" s="153">
        <f>IFERROR('Similarity matrix'!I91/'Denominator matrix'!$H$25, "NA")</f>
        <v>0</v>
      </c>
      <c r="J91" s="153">
        <f>IFERROR('Similarity matrix'!J91/'Denominator matrix'!$I$25, "NA")</f>
        <v>0</v>
      </c>
      <c r="K91" s="156">
        <f>IFERROR('Similarity matrix'!K91/'Denominator matrix'!$J$25, "NA")</f>
        <v>0</v>
      </c>
      <c r="L91" s="153">
        <f>IFERROR('Similarity matrix'!L91/'Denominator matrix'!$K$25, "NA")</f>
        <v>0</v>
      </c>
      <c r="M91" s="154">
        <f>IFERROR('Similarity matrix'!M91/'Denominator matrix'!$B$25, "NA")</f>
        <v>0</v>
      </c>
      <c r="N91" s="153">
        <f>IFERROR('Similarity matrix'!N91/'Denominator matrix'!$C$25, "NA")</f>
        <v>0</v>
      </c>
      <c r="O91" s="153">
        <f>IFERROR('Similarity matrix'!O91/'Denominator matrix'!$D$25, "NA")</f>
        <v>0</v>
      </c>
      <c r="P91" s="153">
        <f>IFERROR('Similarity matrix'!P91/'Denominator matrix'!$E$25, "NA")</f>
        <v>0</v>
      </c>
      <c r="Q91" s="153">
        <f>IFERROR('Similarity matrix'!Q91/'Denominator matrix'!$F$25, "NA")</f>
        <v>0</v>
      </c>
      <c r="R91" s="153">
        <f>IFERROR('Similarity matrix'!R91/'Denominator matrix'!$G$25, "NA")</f>
        <v>0</v>
      </c>
      <c r="S91" s="153">
        <f>IFERROR('Similarity matrix'!S91/'Denominator matrix'!$H$25, "NA")</f>
        <v>0</v>
      </c>
      <c r="T91" s="153">
        <f>IFERROR('Similarity matrix'!T91/'Denominator matrix'!$I$25, "NA")</f>
        <v>0</v>
      </c>
      <c r="U91" s="156">
        <f>IFERROR('Similarity matrix'!U91/'Denominator matrix'!$J$25, "NA")</f>
        <v>0</v>
      </c>
      <c r="V91" s="153">
        <f>IFERROR('Similarity matrix'!V91/'Denominator matrix'!$K$25, "NA")</f>
        <v>0</v>
      </c>
      <c r="W91" s="154">
        <f>IFERROR('Similarity matrix'!W91/'Denominator matrix'!$B$25, "NA")</f>
        <v>0</v>
      </c>
      <c r="X91" s="153">
        <f>IFERROR('Similarity matrix'!X91/'Denominator matrix'!$C$25, "NA")</f>
        <v>0</v>
      </c>
      <c r="Y91" s="153">
        <f>IFERROR('Similarity matrix'!Y91/'Denominator matrix'!$D$25, "NA")</f>
        <v>0</v>
      </c>
      <c r="Z91" s="153">
        <f>IFERROR('Similarity matrix'!Z91/'Denominator matrix'!$E$25, "NA")</f>
        <v>0</v>
      </c>
      <c r="AA91" s="153">
        <f>IFERROR('Similarity matrix'!AA91/'Denominator matrix'!$F$25, "NA")</f>
        <v>0</v>
      </c>
      <c r="AB91" s="153">
        <f>IFERROR('Similarity matrix'!AB91/'Denominator matrix'!$G$25, "NA")</f>
        <v>0</v>
      </c>
      <c r="AC91" s="153">
        <f>IFERROR('Similarity matrix'!AC91/'Denominator matrix'!$H$25, "NA")</f>
        <v>0</v>
      </c>
      <c r="AD91" s="153">
        <f>IFERROR('Similarity matrix'!AD91/'Denominator matrix'!$I$25, "NA")</f>
        <v>0</v>
      </c>
      <c r="AE91" s="156">
        <f>IFERROR('Similarity matrix'!AE91/'Denominator matrix'!$J$25, "NA")</f>
        <v>0</v>
      </c>
      <c r="AF91" s="153">
        <f>IFERROR('Similarity matrix'!AF91/'Denominator matrix'!$K$25, "NA")</f>
        <v>0</v>
      </c>
      <c r="AG91" s="154">
        <f>IFERROR('Similarity matrix'!AG91/'Denominator matrix'!$B$25, "NA")</f>
        <v>0</v>
      </c>
      <c r="AH91" s="153">
        <f>IFERROR('Similarity matrix'!AH91/'Denominator matrix'!$C$25, "NA")</f>
        <v>0</v>
      </c>
      <c r="AI91" s="153">
        <f>IFERROR('Similarity matrix'!AI91/'Denominator matrix'!$D$25, "NA")</f>
        <v>0</v>
      </c>
      <c r="AJ91" s="153">
        <f>IFERROR('Similarity matrix'!AJ91/'Denominator matrix'!$E$25, "NA")</f>
        <v>0</v>
      </c>
      <c r="AK91" s="153">
        <f>IFERROR('Similarity matrix'!AK91/'Denominator matrix'!$F$25, "NA")</f>
        <v>0</v>
      </c>
      <c r="AL91" s="153">
        <f>IFERROR('Similarity matrix'!AL91/'Denominator matrix'!$G$25, "NA")</f>
        <v>0</v>
      </c>
      <c r="AM91" s="153">
        <f>IFERROR('Similarity matrix'!AM91/'Denominator matrix'!$H$25, "NA")</f>
        <v>0</v>
      </c>
      <c r="AN91" s="153">
        <f>IFERROR('Similarity matrix'!AN91/'Denominator matrix'!$I$25, "NA")</f>
        <v>0</v>
      </c>
      <c r="AO91" s="156">
        <f>IFERROR('Similarity matrix'!AO91/'Denominator matrix'!$J$25, "NA")</f>
        <v>0</v>
      </c>
      <c r="AP91" s="153">
        <f>IFERROR('Similarity matrix'!AP91/'Denominator matrix'!$K$25, "NA")</f>
        <v>0</v>
      </c>
      <c r="AQ91" s="154">
        <f>IFERROR('Similarity matrix'!AQ91/'Denominator matrix'!$B$25, "NA")</f>
        <v>0</v>
      </c>
      <c r="AR91" s="153">
        <f>IFERROR('Similarity matrix'!AR91/'Denominator matrix'!$C$25, "NA")</f>
        <v>0</v>
      </c>
      <c r="AS91" s="153">
        <f>IFERROR('Similarity matrix'!AS91/'Denominator matrix'!$D$25, "NA")</f>
        <v>0</v>
      </c>
      <c r="AT91" s="153">
        <f>IFERROR('Similarity matrix'!AT91/'Denominator matrix'!$E$25, "NA")</f>
        <v>0</v>
      </c>
      <c r="AU91" s="153">
        <f>IFERROR('Similarity matrix'!AU91/'Denominator matrix'!$F$25, "NA")</f>
        <v>0</v>
      </c>
      <c r="AV91" s="153">
        <f>IFERROR('Similarity matrix'!AV91/'Denominator matrix'!$G$25, "NA")</f>
        <v>0</v>
      </c>
      <c r="AW91" s="153">
        <f>IFERROR('Similarity matrix'!AW91/'Denominator matrix'!$H$25, "NA")</f>
        <v>0</v>
      </c>
      <c r="AX91" s="153">
        <f>IFERROR('Similarity matrix'!AX91/'Denominator matrix'!$I$25, "NA")</f>
        <v>0</v>
      </c>
      <c r="AY91" s="156">
        <f>IFERROR('Similarity matrix'!AY91/'Denominator matrix'!$J$25, "NA")</f>
        <v>0</v>
      </c>
      <c r="AZ91" s="153">
        <f>IFERROR('Similarity matrix'!AZ91/'Denominator matrix'!$K$25, "NA")</f>
        <v>0</v>
      </c>
      <c r="BA91" s="154">
        <f>IFERROR('Similarity matrix'!BA91/'Denominator matrix'!$B$25, "NA")</f>
        <v>0</v>
      </c>
      <c r="BB91" s="153">
        <f>IFERROR('Similarity matrix'!BB91/'Denominator matrix'!$C$25, "NA")</f>
        <v>0</v>
      </c>
      <c r="BC91" s="153">
        <f>IFERROR('Similarity matrix'!BC91/'Denominator matrix'!$D$25, "NA")</f>
        <v>0</v>
      </c>
      <c r="BD91" s="153">
        <f>IFERROR('Similarity matrix'!BD91/'Denominator matrix'!$E$25, "NA")</f>
        <v>0</v>
      </c>
      <c r="BE91" s="153">
        <f>IFERROR('Similarity matrix'!BE91/'Denominator matrix'!$F$25, "NA")</f>
        <v>0</v>
      </c>
      <c r="BF91" s="153">
        <f>IFERROR('Similarity matrix'!BF91/'Denominator matrix'!$G$25, "NA")</f>
        <v>0</v>
      </c>
      <c r="BG91" s="153">
        <f>IFERROR('Similarity matrix'!BG91/'Denominator matrix'!$H$25, "NA")</f>
        <v>0</v>
      </c>
      <c r="BH91" s="153">
        <f>IFERROR('Similarity matrix'!BH91/'Denominator matrix'!$I$25, "NA")</f>
        <v>0</v>
      </c>
      <c r="BI91" s="156">
        <f>IFERROR('Similarity matrix'!BI91/'Denominator matrix'!$J$25, "NA")</f>
        <v>0</v>
      </c>
      <c r="BJ91" s="153">
        <f>IFERROR('Similarity matrix'!BJ91/'Denominator matrix'!$K$25, "NA")</f>
        <v>0</v>
      </c>
      <c r="BK91" s="154">
        <f>IFERROR('Similarity matrix'!BK91/'Denominator matrix'!$B$25, "NA")</f>
        <v>0</v>
      </c>
      <c r="BL91" s="153">
        <f>IFERROR('Similarity matrix'!BL91/'Denominator matrix'!$C$25, "NA")</f>
        <v>0</v>
      </c>
      <c r="BM91" s="153">
        <f>IFERROR('Similarity matrix'!BM91/'Denominator matrix'!$D$25, "NA")</f>
        <v>0</v>
      </c>
      <c r="BN91" s="153">
        <f>IFERROR('Similarity matrix'!BN91/'Denominator matrix'!$E$25, "NA")</f>
        <v>0</v>
      </c>
      <c r="BO91" s="153">
        <f>IFERROR('Similarity matrix'!BO91/'Denominator matrix'!$F$25, "NA")</f>
        <v>0</v>
      </c>
      <c r="BP91" s="153">
        <f>IFERROR('Similarity matrix'!BP91/'Denominator matrix'!$G$25, "NA")</f>
        <v>0</v>
      </c>
      <c r="BQ91" s="153">
        <f>IFERROR('Similarity matrix'!BQ91/'Denominator matrix'!$H$25, "NA")</f>
        <v>0</v>
      </c>
      <c r="BR91" s="153">
        <f>IFERROR('Similarity matrix'!BR91/'Denominator matrix'!$I$25, "NA")</f>
        <v>0</v>
      </c>
      <c r="BS91" s="156">
        <f>IFERROR('Similarity matrix'!BS91/'Denominator matrix'!$J$25, "NA")</f>
        <v>0</v>
      </c>
      <c r="BT91" s="153">
        <f>IFERROR('Similarity matrix'!BT91/'Denominator matrix'!$K$25, "NA")</f>
        <v>0</v>
      </c>
      <c r="BU91" s="154">
        <f>IFERROR('Similarity matrix'!BU91/'Denominator matrix'!$B$25, "NA")</f>
        <v>0</v>
      </c>
      <c r="BV91" s="153">
        <f>IFERROR('Similarity matrix'!BV91/'Denominator matrix'!$C$25, "NA")</f>
        <v>0</v>
      </c>
      <c r="BW91" s="153">
        <f>IFERROR('Similarity matrix'!BW91/'Denominator matrix'!$D$25, "NA")</f>
        <v>0</v>
      </c>
      <c r="BX91" s="153">
        <f>IFERROR('Similarity matrix'!BX91/'Denominator matrix'!$E$25, "NA")</f>
        <v>0</v>
      </c>
      <c r="BY91" s="153">
        <f>IFERROR('Similarity matrix'!BY91/'Denominator matrix'!$F$25, "NA")</f>
        <v>0</v>
      </c>
      <c r="BZ91" s="153">
        <f>IFERROR('Similarity matrix'!BZ91/'Denominator matrix'!$G$25, "NA")</f>
        <v>0</v>
      </c>
      <c r="CA91" s="153">
        <f>IFERROR('Similarity matrix'!CA91/'Denominator matrix'!$H$25, "NA")</f>
        <v>0</v>
      </c>
      <c r="CB91" s="153">
        <f>IFERROR('Similarity matrix'!CB91/'Denominator matrix'!$I$25, "NA")</f>
        <v>0</v>
      </c>
      <c r="CC91" s="156">
        <f>IFERROR('Similarity matrix'!CC91/'Denominator matrix'!$J$25, "NA")</f>
        <v>0</v>
      </c>
      <c r="CD91" s="153">
        <f>IFERROR('Similarity matrix'!CD91/'Denominator matrix'!$K$25, "NA")</f>
        <v>0</v>
      </c>
      <c r="CE91" s="154">
        <f>IFERROR('Similarity matrix'!CE91/'Denominator matrix'!$B$25, "NA")</f>
        <v>0.9</v>
      </c>
      <c r="CF91" s="153">
        <f>IFERROR('Similarity matrix'!CF91/'Denominator matrix'!$C$25, "NA")</f>
        <v>1</v>
      </c>
      <c r="CG91" s="153">
        <f>IFERROR('Similarity matrix'!CG91/'Denominator matrix'!$D$25, "NA")</f>
        <v>1</v>
      </c>
      <c r="CH91" s="153">
        <f>IFERROR('Similarity matrix'!CH91/'Denominator matrix'!$E$25, "NA")</f>
        <v>1</v>
      </c>
      <c r="CI91" s="153">
        <f>IFERROR('Similarity matrix'!CI91/'Denominator matrix'!$F$25, "NA")</f>
        <v>0.8333333333</v>
      </c>
      <c r="CJ91" s="153">
        <f>IFERROR('Similarity matrix'!CJ91/'Denominator matrix'!$G$25, "NA")</f>
        <v>1</v>
      </c>
      <c r="CK91" s="153">
        <f>IFERROR('Similarity matrix'!CK91/'Denominator matrix'!$H$25, "NA")</f>
        <v>1</v>
      </c>
      <c r="CL91" s="153">
        <f>IFERROR('Similarity matrix'!CL91/'Denominator matrix'!$I$25, "NA")</f>
        <v>0.75</v>
      </c>
      <c r="CM91" s="155">
        <f>IFERROR('Similarity matrix'!CM91/'Denominator matrix'!$J$25, "NA")</f>
        <v>0</v>
      </c>
      <c r="CN91" s="153">
        <f>IFERROR('Similarity matrix'!CN91/'Denominator matrix'!$K$25, "NA")</f>
        <v>1</v>
      </c>
      <c r="CO91" s="154">
        <f>IFERROR('Similarity matrix'!CO91/'Denominator matrix'!$B$25, "NA")</f>
        <v>0</v>
      </c>
      <c r="CP91" s="153">
        <f>IFERROR('Similarity matrix'!CP91/'Denominator matrix'!$C$25, "NA")</f>
        <v>0</v>
      </c>
      <c r="CQ91" s="153">
        <f>IFERROR('Similarity matrix'!CQ91/'Denominator matrix'!$D$25, "NA")</f>
        <v>0</v>
      </c>
      <c r="CR91" s="153">
        <f>IFERROR('Similarity matrix'!CR91/'Denominator matrix'!$E$25, "NA")</f>
        <v>0</v>
      </c>
      <c r="CS91" s="153">
        <f>IFERROR('Similarity matrix'!CS91/'Denominator matrix'!$F$25, "NA")</f>
        <v>0</v>
      </c>
      <c r="CT91" s="153">
        <f>IFERROR('Similarity matrix'!CT91/'Denominator matrix'!$G$25, "NA")</f>
        <v>0</v>
      </c>
      <c r="CU91" s="153">
        <f>IFERROR('Similarity matrix'!CU91/'Denominator matrix'!$H$25, "NA")</f>
        <v>0</v>
      </c>
      <c r="CV91" s="153">
        <f>IFERROR('Similarity matrix'!CV91/'Denominator matrix'!$I$25, "NA")</f>
        <v>0</v>
      </c>
      <c r="CW91" s="156">
        <f>IFERROR('Similarity matrix'!CW91/'Denominator matrix'!$J$25, "NA")</f>
        <v>0</v>
      </c>
      <c r="CX91" s="153">
        <f>IFERROR('Similarity matrix'!CX91/'Denominator matrix'!$K$25, "NA")</f>
        <v>0</v>
      </c>
    </row>
    <row r="92" ht="35.25" customHeight="1">
      <c r="A92" s="125"/>
      <c r="B92" s="126">
        <v>45939.0</v>
      </c>
      <c r="C92" s="157">
        <f>IFERROR('Similarity matrix'!C92/'Denominator matrix'!$B$26, "NA")</f>
        <v>0</v>
      </c>
      <c r="D92" s="158">
        <f>IFERROR('Similarity matrix'!D92/'Denominator matrix'!$C$26, "NA")</f>
        <v>0</v>
      </c>
      <c r="E92" s="158">
        <f>IFERROR('Similarity matrix'!E92/'Denominator matrix'!$D$26, "NA")</f>
        <v>0</v>
      </c>
      <c r="F92" s="158">
        <f>IFERROR('Similarity matrix'!F92/'Denominator matrix'!$E$26, "NA")</f>
        <v>0</v>
      </c>
      <c r="G92" s="158">
        <f>IFERROR('Similarity matrix'!G92/'Denominator matrix'!$F$26, "NA")</f>
        <v>0</v>
      </c>
      <c r="H92" s="158">
        <f>IFERROR('Similarity matrix'!H92/'Denominator matrix'!$G$26, "NA")</f>
        <v>0</v>
      </c>
      <c r="I92" s="158">
        <f>IFERROR('Similarity matrix'!I92/'Denominator matrix'!$H$26, "NA")</f>
        <v>0</v>
      </c>
      <c r="J92" s="158">
        <f>IFERROR('Similarity matrix'!J92/'Denominator matrix'!$I$26, "NA")</f>
        <v>0</v>
      </c>
      <c r="K92" s="158">
        <f>IFERROR('Similarity matrix'!K92/'Denominator matrix'!$J$26, "NA")</f>
        <v>0</v>
      </c>
      <c r="L92" s="160">
        <f>IFERROR('Similarity matrix'!L92/'Denominator matrix'!$K$26, "NA")</f>
        <v>0</v>
      </c>
      <c r="M92" s="157">
        <f>IFERROR('Similarity matrix'!M92/'Denominator matrix'!$B$26, "NA")</f>
        <v>0</v>
      </c>
      <c r="N92" s="158">
        <f>IFERROR('Similarity matrix'!N92/'Denominator matrix'!$C$26, "NA")</f>
        <v>0</v>
      </c>
      <c r="O92" s="158">
        <f>IFERROR('Similarity matrix'!O92/'Denominator matrix'!$D$26, "NA")</f>
        <v>0</v>
      </c>
      <c r="P92" s="158">
        <f>IFERROR('Similarity matrix'!P92/'Denominator matrix'!$E$26, "NA")</f>
        <v>0</v>
      </c>
      <c r="Q92" s="158">
        <f>IFERROR('Similarity matrix'!Q92/'Denominator matrix'!$F$26, "NA")</f>
        <v>0</v>
      </c>
      <c r="R92" s="158">
        <f>IFERROR('Similarity matrix'!R92/'Denominator matrix'!$G$26, "NA")</f>
        <v>0</v>
      </c>
      <c r="S92" s="158">
        <f>IFERROR('Similarity matrix'!S92/'Denominator matrix'!$H$26, "NA")</f>
        <v>0</v>
      </c>
      <c r="T92" s="158">
        <f>IFERROR('Similarity matrix'!T92/'Denominator matrix'!$I$26, "NA")</f>
        <v>0</v>
      </c>
      <c r="U92" s="158">
        <f>IFERROR('Similarity matrix'!U92/'Denominator matrix'!$J$26, "NA")</f>
        <v>0</v>
      </c>
      <c r="V92" s="160">
        <f>IFERROR('Similarity matrix'!V92/'Denominator matrix'!$K$26, "NA")</f>
        <v>0</v>
      </c>
      <c r="W92" s="157">
        <f>IFERROR('Similarity matrix'!W92/'Denominator matrix'!$B$26, "NA")</f>
        <v>0</v>
      </c>
      <c r="X92" s="158">
        <f>IFERROR('Similarity matrix'!X92/'Denominator matrix'!$C$26, "NA")</f>
        <v>0</v>
      </c>
      <c r="Y92" s="158">
        <f>IFERROR('Similarity matrix'!Y92/'Denominator matrix'!$D$26, "NA")</f>
        <v>0</v>
      </c>
      <c r="Z92" s="158">
        <f>IFERROR('Similarity matrix'!Z92/'Denominator matrix'!$E$26, "NA")</f>
        <v>0</v>
      </c>
      <c r="AA92" s="158">
        <f>IFERROR('Similarity matrix'!AA92/'Denominator matrix'!$F$26, "NA")</f>
        <v>0</v>
      </c>
      <c r="AB92" s="158">
        <f>IFERROR('Similarity matrix'!AB92/'Denominator matrix'!$G$26, "NA")</f>
        <v>0</v>
      </c>
      <c r="AC92" s="158">
        <f>IFERROR('Similarity matrix'!AC92/'Denominator matrix'!$H$26, "NA")</f>
        <v>0</v>
      </c>
      <c r="AD92" s="158">
        <f>IFERROR('Similarity matrix'!AD92/'Denominator matrix'!$I$26, "NA")</f>
        <v>0</v>
      </c>
      <c r="AE92" s="158">
        <f>IFERROR('Similarity matrix'!AE92/'Denominator matrix'!$J$26, "NA")</f>
        <v>0</v>
      </c>
      <c r="AF92" s="160">
        <f>IFERROR('Similarity matrix'!AF92/'Denominator matrix'!$K$26, "NA")</f>
        <v>0</v>
      </c>
      <c r="AG92" s="157">
        <f>IFERROR('Similarity matrix'!AG92/'Denominator matrix'!$B$26, "NA")</f>
        <v>0</v>
      </c>
      <c r="AH92" s="158">
        <f>IFERROR('Similarity matrix'!AH92/'Denominator matrix'!$C$26, "NA")</f>
        <v>0</v>
      </c>
      <c r="AI92" s="158">
        <f>IFERROR('Similarity matrix'!AI92/'Denominator matrix'!$D$26, "NA")</f>
        <v>0</v>
      </c>
      <c r="AJ92" s="158">
        <f>IFERROR('Similarity matrix'!AJ92/'Denominator matrix'!$E$26, "NA")</f>
        <v>0</v>
      </c>
      <c r="AK92" s="158">
        <f>IFERROR('Similarity matrix'!AK92/'Denominator matrix'!$F$26, "NA")</f>
        <v>0</v>
      </c>
      <c r="AL92" s="158">
        <f>IFERROR('Similarity matrix'!AL92/'Denominator matrix'!$G$26, "NA")</f>
        <v>0</v>
      </c>
      <c r="AM92" s="158">
        <f>IFERROR('Similarity matrix'!AM92/'Denominator matrix'!$H$26, "NA")</f>
        <v>0</v>
      </c>
      <c r="AN92" s="158">
        <f>IFERROR('Similarity matrix'!AN92/'Denominator matrix'!$I$26, "NA")</f>
        <v>0</v>
      </c>
      <c r="AO92" s="158">
        <f>IFERROR('Similarity matrix'!AO92/'Denominator matrix'!$J$26, "NA")</f>
        <v>0</v>
      </c>
      <c r="AP92" s="160">
        <f>IFERROR('Similarity matrix'!AP92/'Denominator matrix'!$K$26, "NA")</f>
        <v>0</v>
      </c>
      <c r="AQ92" s="157">
        <f>IFERROR('Similarity matrix'!AQ92/'Denominator matrix'!$B$26, "NA")</f>
        <v>0</v>
      </c>
      <c r="AR92" s="158">
        <f>IFERROR('Similarity matrix'!AR92/'Denominator matrix'!$C$26, "NA")</f>
        <v>0.25</v>
      </c>
      <c r="AS92" s="158">
        <f>IFERROR('Similarity matrix'!AS92/'Denominator matrix'!$D$26, "NA")</f>
        <v>0.3333333333</v>
      </c>
      <c r="AT92" s="158">
        <f>IFERROR('Similarity matrix'!AT92/'Denominator matrix'!$E$26, "NA")</f>
        <v>0</v>
      </c>
      <c r="AU92" s="158">
        <f>IFERROR('Similarity matrix'!AU92/'Denominator matrix'!$F$26, "NA")</f>
        <v>0</v>
      </c>
      <c r="AV92" s="158">
        <f>IFERROR('Similarity matrix'!AV92/'Denominator matrix'!$G$26, "NA")</f>
        <v>0.25</v>
      </c>
      <c r="AW92" s="158">
        <f>IFERROR('Similarity matrix'!AW92/'Denominator matrix'!$H$26, "NA")</f>
        <v>0</v>
      </c>
      <c r="AX92" s="158">
        <f>IFERROR('Similarity matrix'!AX92/'Denominator matrix'!$I$26, "NA")</f>
        <v>0.1666666667</v>
      </c>
      <c r="AY92" s="158">
        <f>IFERROR('Similarity matrix'!AY92/'Denominator matrix'!$J$26, "NA")</f>
        <v>0</v>
      </c>
      <c r="AZ92" s="160">
        <f>IFERROR('Similarity matrix'!AZ92/'Denominator matrix'!$K$26, "NA")</f>
        <v>0.1428571429</v>
      </c>
      <c r="BA92" s="157">
        <f>IFERROR('Similarity matrix'!BA92/'Denominator matrix'!$B$26, "NA")</f>
        <v>0</v>
      </c>
      <c r="BB92" s="158">
        <f>IFERROR('Similarity matrix'!BB92/'Denominator matrix'!$C$26, "NA")</f>
        <v>0</v>
      </c>
      <c r="BC92" s="158">
        <f>IFERROR('Similarity matrix'!BC92/'Denominator matrix'!$D$26, "NA")</f>
        <v>0</v>
      </c>
      <c r="BD92" s="158">
        <f>IFERROR('Similarity matrix'!BD92/'Denominator matrix'!$E$26, "NA")</f>
        <v>0</v>
      </c>
      <c r="BE92" s="158">
        <f>IFERROR('Similarity matrix'!BE92/'Denominator matrix'!$F$26, "NA")</f>
        <v>0</v>
      </c>
      <c r="BF92" s="158">
        <f>IFERROR('Similarity matrix'!BF92/'Denominator matrix'!$G$26, "NA")</f>
        <v>0</v>
      </c>
      <c r="BG92" s="158">
        <f>IFERROR('Similarity matrix'!BG92/'Denominator matrix'!$H$26, "NA")</f>
        <v>0</v>
      </c>
      <c r="BH92" s="158">
        <f>IFERROR('Similarity matrix'!BH92/'Denominator matrix'!$I$26, "NA")</f>
        <v>0</v>
      </c>
      <c r="BI92" s="158">
        <f>IFERROR('Similarity matrix'!BI92/'Denominator matrix'!$J$26, "NA")</f>
        <v>0</v>
      </c>
      <c r="BJ92" s="160">
        <f>IFERROR('Similarity matrix'!BJ92/'Denominator matrix'!$K$26, "NA")</f>
        <v>0</v>
      </c>
      <c r="BK92" s="157">
        <f>IFERROR('Similarity matrix'!BK92/'Denominator matrix'!$B$26, "NA")</f>
        <v>0</v>
      </c>
      <c r="BL92" s="158">
        <f>IFERROR('Similarity matrix'!BL92/'Denominator matrix'!$C$26, "NA")</f>
        <v>0</v>
      </c>
      <c r="BM92" s="158">
        <f>IFERROR('Similarity matrix'!BM92/'Denominator matrix'!$D$26, "NA")</f>
        <v>0</v>
      </c>
      <c r="BN92" s="158">
        <f>IFERROR('Similarity matrix'!BN92/'Denominator matrix'!$E$26, "NA")</f>
        <v>0</v>
      </c>
      <c r="BO92" s="158">
        <f>IFERROR('Similarity matrix'!BO92/'Denominator matrix'!$F$26, "NA")</f>
        <v>0</v>
      </c>
      <c r="BP92" s="158">
        <f>IFERROR('Similarity matrix'!BP92/'Denominator matrix'!$G$26, "NA")</f>
        <v>0</v>
      </c>
      <c r="BQ92" s="158">
        <f>IFERROR('Similarity matrix'!BQ92/'Denominator matrix'!$H$26, "NA")</f>
        <v>0</v>
      </c>
      <c r="BR92" s="158">
        <f>IFERROR('Similarity matrix'!BR92/'Denominator matrix'!$I$26, "NA")</f>
        <v>0</v>
      </c>
      <c r="BS92" s="158">
        <f>IFERROR('Similarity matrix'!BS92/'Denominator matrix'!$J$26, "NA")</f>
        <v>0</v>
      </c>
      <c r="BT92" s="160">
        <f>IFERROR('Similarity matrix'!BT92/'Denominator matrix'!$K$26, "NA")</f>
        <v>0</v>
      </c>
      <c r="BU92" s="157">
        <f>IFERROR('Similarity matrix'!BU92/'Denominator matrix'!$B$26, "NA")</f>
        <v>0</v>
      </c>
      <c r="BV92" s="158">
        <f>IFERROR('Similarity matrix'!BV92/'Denominator matrix'!$C$26, "NA")</f>
        <v>0</v>
      </c>
      <c r="BW92" s="158">
        <f>IFERROR('Similarity matrix'!BW92/'Denominator matrix'!$D$26, "NA")</f>
        <v>0</v>
      </c>
      <c r="BX92" s="158">
        <f>IFERROR('Similarity matrix'!BX92/'Denominator matrix'!$E$26, "NA")</f>
        <v>0</v>
      </c>
      <c r="BY92" s="158">
        <f>IFERROR('Similarity matrix'!BY92/'Denominator matrix'!$F$26, "NA")</f>
        <v>0</v>
      </c>
      <c r="BZ92" s="158">
        <f>IFERROR('Similarity matrix'!BZ92/'Denominator matrix'!$G$26, "NA")</f>
        <v>0</v>
      </c>
      <c r="CA92" s="158">
        <f>IFERROR('Similarity matrix'!CA92/'Denominator matrix'!$H$26, "NA")</f>
        <v>0</v>
      </c>
      <c r="CB92" s="158">
        <f>IFERROR('Similarity matrix'!CB92/'Denominator matrix'!$I$26, "NA")</f>
        <v>0</v>
      </c>
      <c r="CC92" s="158">
        <f>IFERROR('Similarity matrix'!CC92/'Denominator matrix'!$J$26, "NA")</f>
        <v>0</v>
      </c>
      <c r="CD92" s="160">
        <f>IFERROR('Similarity matrix'!CD92/'Denominator matrix'!$K$26, "NA")</f>
        <v>0</v>
      </c>
      <c r="CE92" s="157">
        <f>IFERROR('Similarity matrix'!CE92/'Denominator matrix'!$B$26, "NA")</f>
        <v>0.75</v>
      </c>
      <c r="CF92" s="158">
        <f>IFERROR('Similarity matrix'!CF92/'Denominator matrix'!$C$26, "NA")</f>
        <v>1</v>
      </c>
      <c r="CG92" s="158">
        <f>IFERROR('Similarity matrix'!CG92/'Denominator matrix'!$D$26, "NA")</f>
        <v>0.6666666667</v>
      </c>
      <c r="CH92" s="158">
        <f>IFERROR('Similarity matrix'!CH92/'Denominator matrix'!$E$26, "NA")</f>
        <v>0.75</v>
      </c>
      <c r="CI92" s="158">
        <f>IFERROR('Similarity matrix'!CI92/'Denominator matrix'!$F$26, "NA")</f>
        <v>1</v>
      </c>
      <c r="CJ92" s="158">
        <f>IFERROR('Similarity matrix'!CJ92/'Denominator matrix'!$G$26, "NA")</f>
        <v>0.75</v>
      </c>
      <c r="CK92" s="158">
        <f>IFERROR('Similarity matrix'!CK92/'Denominator matrix'!$H$26, "NA")</f>
        <v>0.75</v>
      </c>
      <c r="CL92" s="158">
        <f>IFERROR('Similarity matrix'!CL92/'Denominator matrix'!$I$26, "NA")</f>
        <v>0.6666666667</v>
      </c>
      <c r="CM92" s="158">
        <f>IFERROR('Similarity matrix'!CM92/'Denominator matrix'!$J$26, "NA")</f>
        <v>1</v>
      </c>
      <c r="CN92" s="159">
        <f>IFERROR('Similarity matrix'!CN92/'Denominator matrix'!$K$26, "NA")</f>
        <v>0</v>
      </c>
      <c r="CO92" s="157">
        <f>IFERROR('Similarity matrix'!CO92/'Denominator matrix'!$B$26, "NA")</f>
        <v>0</v>
      </c>
      <c r="CP92" s="158">
        <f>IFERROR('Similarity matrix'!CP92/'Denominator matrix'!$C$26, "NA")</f>
        <v>0</v>
      </c>
      <c r="CQ92" s="158">
        <f>IFERROR('Similarity matrix'!CQ92/'Denominator matrix'!$D$26, "NA")</f>
        <v>0</v>
      </c>
      <c r="CR92" s="158">
        <f>IFERROR('Similarity matrix'!CR92/'Denominator matrix'!$E$26, "NA")</f>
        <v>0.25</v>
      </c>
      <c r="CS92" s="158">
        <f>IFERROR('Similarity matrix'!CS92/'Denominator matrix'!$F$26, "NA")</f>
        <v>0</v>
      </c>
      <c r="CT92" s="158">
        <f>IFERROR('Similarity matrix'!CT92/'Denominator matrix'!$G$26, "NA")</f>
        <v>0</v>
      </c>
      <c r="CU92" s="158">
        <f>IFERROR('Similarity matrix'!CU92/'Denominator matrix'!$H$26, "NA")</f>
        <v>0.5</v>
      </c>
      <c r="CV92" s="158">
        <f>IFERROR('Similarity matrix'!CV92/'Denominator matrix'!$I$26, "NA")</f>
        <v>0</v>
      </c>
      <c r="CW92" s="158">
        <f>IFERROR('Similarity matrix'!CW92/'Denominator matrix'!$J$26, "NA")</f>
        <v>0</v>
      </c>
      <c r="CX92" s="160">
        <f>IFERROR('Similarity matrix'!CX92/'Denominator matrix'!$K$26, "NA")</f>
        <v>0.07142857143</v>
      </c>
    </row>
    <row r="93" ht="35.25" customHeight="1">
      <c r="A93" s="134" t="s">
        <v>2944</v>
      </c>
      <c r="B93" s="124">
        <v>45667.0</v>
      </c>
      <c r="C93" s="154">
        <f>IFERROR('Similarity matrix'!C93/'Denominator matrix'!$B$17, "NA")</f>
        <v>0</v>
      </c>
      <c r="D93" s="153">
        <f>IFERROR('Similarity matrix'!D93/'Denominator matrix'!$C$17, "NA")</f>
        <v>0</v>
      </c>
      <c r="E93" s="153">
        <f>IFERROR('Similarity matrix'!E93/'Denominator matrix'!$D$17, "NA")</f>
        <v>0</v>
      </c>
      <c r="F93" s="153">
        <f>IFERROR('Similarity matrix'!F93/'Denominator matrix'!$E$17, "NA")</f>
        <v>0</v>
      </c>
      <c r="G93" s="153">
        <f>IFERROR('Similarity matrix'!G93/'Denominator matrix'!$F$17, "NA")</f>
        <v>0</v>
      </c>
      <c r="H93" s="153">
        <f>IFERROR('Similarity matrix'!H93/'Denominator matrix'!$G$17, "NA")</f>
        <v>0</v>
      </c>
      <c r="I93" s="153">
        <f>IFERROR('Similarity matrix'!I93/'Denominator matrix'!$H$17, "NA")</f>
        <v>0</v>
      </c>
      <c r="J93" s="153">
        <f>IFERROR('Similarity matrix'!J93/'Denominator matrix'!$I$17, "NA")</f>
        <v>0</v>
      </c>
      <c r="K93" s="153">
        <f>IFERROR('Similarity matrix'!K93/'Denominator matrix'!$J$17, "NA")</f>
        <v>0</v>
      </c>
      <c r="L93" s="153">
        <f>IFERROR('Similarity matrix'!L93/'Denominator matrix'!$K$17, "NA")</f>
        <v>0</v>
      </c>
      <c r="M93" s="154">
        <f>IFERROR('Similarity matrix'!M93/'Denominator matrix'!$B$17, "NA")</f>
        <v>0</v>
      </c>
      <c r="N93" s="153">
        <f>IFERROR('Similarity matrix'!N93/'Denominator matrix'!$C$17, "NA")</f>
        <v>0</v>
      </c>
      <c r="O93" s="153">
        <f>IFERROR('Similarity matrix'!O93/'Denominator matrix'!$D$17, "NA")</f>
        <v>0</v>
      </c>
      <c r="P93" s="153">
        <f>IFERROR('Similarity matrix'!P93/'Denominator matrix'!$E$17, "NA")</f>
        <v>0</v>
      </c>
      <c r="Q93" s="153">
        <f>IFERROR('Similarity matrix'!Q93/'Denominator matrix'!$F$17, "NA")</f>
        <v>0</v>
      </c>
      <c r="R93" s="153">
        <f>IFERROR('Similarity matrix'!R93/'Denominator matrix'!$G$17, "NA")</f>
        <v>0</v>
      </c>
      <c r="S93" s="153">
        <f>IFERROR('Similarity matrix'!S93/'Denominator matrix'!$H$17, "NA")</f>
        <v>0</v>
      </c>
      <c r="T93" s="153">
        <f>IFERROR('Similarity matrix'!T93/'Denominator matrix'!$I$17, "NA")</f>
        <v>0</v>
      </c>
      <c r="U93" s="153">
        <f>IFERROR('Similarity matrix'!U93/'Denominator matrix'!$J$17, "NA")</f>
        <v>0</v>
      </c>
      <c r="V93" s="153">
        <f>IFERROR('Similarity matrix'!V93/'Denominator matrix'!$K$17, "NA")</f>
        <v>0</v>
      </c>
      <c r="W93" s="154">
        <f>IFERROR('Similarity matrix'!W93/'Denominator matrix'!$B$17, "NA")</f>
        <v>0</v>
      </c>
      <c r="X93" s="153">
        <f>IFERROR('Similarity matrix'!X93/'Denominator matrix'!$C$17, "NA")</f>
        <v>0</v>
      </c>
      <c r="Y93" s="153">
        <f>IFERROR('Similarity matrix'!Y93/'Denominator matrix'!$D$17, "NA")</f>
        <v>0</v>
      </c>
      <c r="Z93" s="153">
        <f>IFERROR('Similarity matrix'!Z93/'Denominator matrix'!$E$17, "NA")</f>
        <v>0</v>
      </c>
      <c r="AA93" s="153">
        <f>IFERROR('Similarity matrix'!AA93/'Denominator matrix'!$F$17, "NA")</f>
        <v>0</v>
      </c>
      <c r="AB93" s="153">
        <f>IFERROR('Similarity matrix'!AB93/'Denominator matrix'!$G$17, "NA")</f>
        <v>0</v>
      </c>
      <c r="AC93" s="153">
        <f>IFERROR('Similarity matrix'!AC93/'Denominator matrix'!$H$17, "NA")</f>
        <v>0</v>
      </c>
      <c r="AD93" s="153">
        <f>IFERROR('Similarity matrix'!AD93/'Denominator matrix'!$I$17, "NA")</f>
        <v>0</v>
      </c>
      <c r="AE93" s="153">
        <f>IFERROR('Similarity matrix'!AE93/'Denominator matrix'!$J$17, "NA")</f>
        <v>0</v>
      </c>
      <c r="AF93" s="153">
        <f>IFERROR('Similarity matrix'!AF93/'Denominator matrix'!$K$17, "NA")</f>
        <v>0</v>
      </c>
      <c r="AG93" s="154">
        <f>IFERROR('Similarity matrix'!AG93/'Denominator matrix'!$B$17, "NA")</f>
        <v>0</v>
      </c>
      <c r="AH93" s="153">
        <f>IFERROR('Similarity matrix'!AH93/'Denominator matrix'!$C$17, "NA")</f>
        <v>0</v>
      </c>
      <c r="AI93" s="153">
        <f>IFERROR('Similarity matrix'!AI93/'Denominator matrix'!$D$17, "NA")</f>
        <v>0</v>
      </c>
      <c r="AJ93" s="153">
        <f>IFERROR('Similarity matrix'!AJ93/'Denominator matrix'!$E$17, "NA")</f>
        <v>0</v>
      </c>
      <c r="AK93" s="153">
        <f>IFERROR('Similarity matrix'!AK93/'Denominator matrix'!$F$17, "NA")</f>
        <v>0</v>
      </c>
      <c r="AL93" s="153">
        <f>IFERROR('Similarity matrix'!AL93/'Denominator matrix'!$G$17, "NA")</f>
        <v>0</v>
      </c>
      <c r="AM93" s="153">
        <f>IFERROR('Similarity matrix'!AM93/'Denominator matrix'!$H$17, "NA")</f>
        <v>0</v>
      </c>
      <c r="AN93" s="153">
        <f>IFERROR('Similarity matrix'!AN93/'Denominator matrix'!$I$17, "NA")</f>
        <v>0</v>
      </c>
      <c r="AO93" s="153">
        <f>IFERROR('Similarity matrix'!AO93/'Denominator matrix'!$J$17, "NA")</f>
        <v>0</v>
      </c>
      <c r="AP93" s="153">
        <f>IFERROR('Similarity matrix'!AP93/'Denominator matrix'!$K$17, "NA")</f>
        <v>0</v>
      </c>
      <c r="AQ93" s="154">
        <f>IFERROR('Similarity matrix'!AQ93/'Denominator matrix'!$B$17, "NA")</f>
        <v>0</v>
      </c>
      <c r="AR93" s="153">
        <f>IFERROR('Similarity matrix'!AR93/'Denominator matrix'!$C$17, "NA")</f>
        <v>0</v>
      </c>
      <c r="AS93" s="153">
        <f>IFERROR('Similarity matrix'!AS93/'Denominator matrix'!$D$17, "NA")</f>
        <v>0</v>
      </c>
      <c r="AT93" s="153">
        <f>IFERROR('Similarity matrix'!AT93/'Denominator matrix'!$E$17, "NA")</f>
        <v>0</v>
      </c>
      <c r="AU93" s="153">
        <f>IFERROR('Similarity matrix'!AU93/'Denominator matrix'!$F$17, "NA")</f>
        <v>0</v>
      </c>
      <c r="AV93" s="153">
        <f>IFERROR('Similarity matrix'!AV93/'Denominator matrix'!$G$17, "NA")</f>
        <v>0</v>
      </c>
      <c r="AW93" s="153">
        <f>IFERROR('Similarity matrix'!AW93/'Denominator matrix'!$H$17, "NA")</f>
        <v>0</v>
      </c>
      <c r="AX93" s="153">
        <f>IFERROR('Similarity matrix'!AX93/'Denominator matrix'!$I$17, "NA")</f>
        <v>0</v>
      </c>
      <c r="AY93" s="153">
        <f>IFERROR('Similarity matrix'!AY93/'Denominator matrix'!$J$17, "NA")</f>
        <v>0</v>
      </c>
      <c r="AZ93" s="153">
        <f>IFERROR('Similarity matrix'!AZ93/'Denominator matrix'!$K$17, "NA")</f>
        <v>0</v>
      </c>
      <c r="BA93" s="154">
        <f>IFERROR('Similarity matrix'!BA93/'Denominator matrix'!$B$17, "NA")</f>
        <v>0</v>
      </c>
      <c r="BB93" s="153">
        <f>IFERROR('Similarity matrix'!BB93/'Denominator matrix'!$C$17, "NA")</f>
        <v>0</v>
      </c>
      <c r="BC93" s="153">
        <f>IFERROR('Similarity matrix'!BC93/'Denominator matrix'!$D$17, "NA")</f>
        <v>0</v>
      </c>
      <c r="BD93" s="153">
        <f>IFERROR('Similarity matrix'!BD93/'Denominator matrix'!$E$17, "NA")</f>
        <v>0</v>
      </c>
      <c r="BE93" s="153">
        <f>IFERROR('Similarity matrix'!BE93/'Denominator matrix'!$F$17, "NA")</f>
        <v>0</v>
      </c>
      <c r="BF93" s="153">
        <f>IFERROR('Similarity matrix'!BF93/'Denominator matrix'!$G$17, "NA")</f>
        <v>0</v>
      </c>
      <c r="BG93" s="153">
        <f>IFERROR('Similarity matrix'!BG93/'Denominator matrix'!$H$17, "NA")</f>
        <v>0</v>
      </c>
      <c r="BH93" s="153">
        <f>IFERROR('Similarity matrix'!BH93/'Denominator matrix'!$I$17, "NA")</f>
        <v>0</v>
      </c>
      <c r="BI93" s="153">
        <f>IFERROR('Similarity matrix'!BI93/'Denominator matrix'!$J$17, "NA")</f>
        <v>0</v>
      </c>
      <c r="BJ93" s="153">
        <f>IFERROR('Similarity matrix'!BJ93/'Denominator matrix'!$K$17, "NA")</f>
        <v>0</v>
      </c>
      <c r="BK93" s="154">
        <f>IFERROR('Similarity matrix'!BK93/'Denominator matrix'!$B$17, "NA")</f>
        <v>0</v>
      </c>
      <c r="BL93" s="153">
        <f>IFERROR('Similarity matrix'!BL93/'Denominator matrix'!$C$17, "NA")</f>
        <v>0</v>
      </c>
      <c r="BM93" s="153">
        <f>IFERROR('Similarity matrix'!BM93/'Denominator matrix'!$D$17, "NA")</f>
        <v>0</v>
      </c>
      <c r="BN93" s="153">
        <f>IFERROR('Similarity matrix'!BN93/'Denominator matrix'!$E$17, "NA")</f>
        <v>0</v>
      </c>
      <c r="BO93" s="153">
        <f>IFERROR('Similarity matrix'!BO93/'Denominator matrix'!$F$17, "NA")</f>
        <v>0</v>
      </c>
      <c r="BP93" s="153">
        <f>IFERROR('Similarity matrix'!BP93/'Denominator matrix'!$G$17, "NA")</f>
        <v>0</v>
      </c>
      <c r="BQ93" s="153">
        <f>IFERROR('Similarity matrix'!BQ93/'Denominator matrix'!$H$17, "NA")</f>
        <v>0</v>
      </c>
      <c r="BR93" s="153">
        <f>IFERROR('Similarity matrix'!BR93/'Denominator matrix'!$I$17, "NA")</f>
        <v>0</v>
      </c>
      <c r="BS93" s="153">
        <f>IFERROR('Similarity matrix'!BS93/'Denominator matrix'!$J$17, "NA")</f>
        <v>0</v>
      </c>
      <c r="BT93" s="153">
        <f>IFERROR('Similarity matrix'!BT93/'Denominator matrix'!$K$17, "NA")</f>
        <v>0</v>
      </c>
      <c r="BU93" s="154">
        <f>IFERROR('Similarity matrix'!BU93/'Denominator matrix'!$B$17, "NA")</f>
        <v>0</v>
      </c>
      <c r="BV93" s="153">
        <f>IFERROR('Similarity matrix'!BV93/'Denominator matrix'!$C$17, "NA")</f>
        <v>0</v>
      </c>
      <c r="BW93" s="153">
        <f>IFERROR('Similarity matrix'!BW93/'Denominator matrix'!$D$17, "NA")</f>
        <v>0</v>
      </c>
      <c r="BX93" s="153">
        <f>IFERROR('Similarity matrix'!BX93/'Denominator matrix'!$E$17, "NA")</f>
        <v>0</v>
      </c>
      <c r="BY93" s="153">
        <f>IFERROR('Similarity matrix'!BY93/'Denominator matrix'!$F$17, "NA")</f>
        <v>0</v>
      </c>
      <c r="BZ93" s="153">
        <f>IFERROR('Similarity matrix'!BZ93/'Denominator matrix'!$G$17, "NA")</f>
        <v>0</v>
      </c>
      <c r="CA93" s="153">
        <f>IFERROR('Similarity matrix'!CA93/'Denominator matrix'!$H$17, "NA")</f>
        <v>0</v>
      </c>
      <c r="CB93" s="153">
        <f>IFERROR('Similarity matrix'!CB93/'Denominator matrix'!$I$17, "NA")</f>
        <v>0</v>
      </c>
      <c r="CC93" s="153">
        <f>IFERROR('Similarity matrix'!CC93/'Denominator matrix'!$J$17, "NA")</f>
        <v>0</v>
      </c>
      <c r="CD93" s="153">
        <f>IFERROR('Similarity matrix'!CD93/'Denominator matrix'!$K$17, "NA")</f>
        <v>0</v>
      </c>
      <c r="CE93" s="154">
        <f>IFERROR('Similarity matrix'!CE93/'Denominator matrix'!$B$17, "NA")</f>
        <v>0</v>
      </c>
      <c r="CF93" s="153">
        <f>IFERROR('Similarity matrix'!CF93/'Denominator matrix'!$C$17, "NA")</f>
        <v>0</v>
      </c>
      <c r="CG93" s="153">
        <f>IFERROR('Similarity matrix'!CG93/'Denominator matrix'!$D$17, "NA")</f>
        <v>0</v>
      </c>
      <c r="CH93" s="153">
        <f>IFERROR('Similarity matrix'!CH93/'Denominator matrix'!$E$17, "NA")</f>
        <v>0</v>
      </c>
      <c r="CI93" s="153">
        <f>IFERROR('Similarity matrix'!CI93/'Denominator matrix'!$F$17, "NA")</f>
        <v>0</v>
      </c>
      <c r="CJ93" s="153">
        <f>IFERROR('Similarity matrix'!CJ93/'Denominator matrix'!$G$17, "NA")</f>
        <v>0</v>
      </c>
      <c r="CK93" s="153">
        <f>IFERROR('Similarity matrix'!CK93/'Denominator matrix'!$H$17, "NA")</f>
        <v>0</v>
      </c>
      <c r="CL93" s="153">
        <f>IFERROR('Similarity matrix'!CL93/'Denominator matrix'!$I$17, "NA")</f>
        <v>0</v>
      </c>
      <c r="CM93" s="153">
        <f>IFERROR('Similarity matrix'!CM93/'Denominator matrix'!$J$17, "NA")</f>
        <v>0</v>
      </c>
      <c r="CN93" s="153">
        <f>IFERROR('Similarity matrix'!CN93/'Denominator matrix'!$K$17, "NA")</f>
        <v>0</v>
      </c>
      <c r="CO93" s="152">
        <f>IFERROR('Similarity matrix'!CO93/'Denominator matrix'!$B$17, "NA")</f>
        <v>0</v>
      </c>
      <c r="CP93" s="153">
        <f>IFERROR('Similarity matrix'!CP93/'Denominator matrix'!$C$17, "NA")</f>
        <v>1</v>
      </c>
      <c r="CQ93" s="153">
        <f>IFERROR('Similarity matrix'!CQ93/'Denominator matrix'!$D$17, "NA")</f>
        <v>0.25</v>
      </c>
      <c r="CR93" s="153">
        <f>IFERROR('Similarity matrix'!CR93/'Denominator matrix'!$E$17, "NA")</f>
        <v>0.5</v>
      </c>
      <c r="CS93" s="153">
        <f>IFERROR('Similarity matrix'!CS93/'Denominator matrix'!$F$17, "NA")</f>
        <v>0.8</v>
      </c>
      <c r="CT93" s="153">
        <f>IFERROR('Similarity matrix'!CT93/'Denominator matrix'!$G$17, "NA")</f>
        <v>0.8</v>
      </c>
      <c r="CU93" s="153">
        <f>IFERROR('Similarity matrix'!CU93/'Denominator matrix'!$H$17, "NA")</f>
        <v>0.5</v>
      </c>
      <c r="CV93" s="153">
        <f>IFERROR('Similarity matrix'!CV93/'Denominator matrix'!$I$17, "NA")</f>
        <v>0.75</v>
      </c>
      <c r="CW93" s="153">
        <f>IFERROR('Similarity matrix'!CW93/'Denominator matrix'!$J$17, "NA")</f>
        <v>0.8</v>
      </c>
      <c r="CX93" s="153">
        <f>IFERROR('Similarity matrix'!CX93/'Denominator matrix'!$K$17, "NA")</f>
        <v>1</v>
      </c>
    </row>
    <row r="94" ht="35.25" customHeight="1">
      <c r="B94" s="124">
        <v>45698.0</v>
      </c>
      <c r="C94" s="154">
        <f>IFERROR('Similarity matrix'!C94/'Denominator matrix'!$B$18, "NA")</f>
        <v>0</v>
      </c>
      <c r="D94" s="156">
        <f>IFERROR('Similarity matrix'!D94/'Denominator matrix'!$C$18, "NA")</f>
        <v>0</v>
      </c>
      <c r="E94" s="153">
        <f>IFERROR('Similarity matrix'!E94/'Denominator matrix'!$D$18, "NA")</f>
        <v>0</v>
      </c>
      <c r="F94" s="153">
        <f>IFERROR('Similarity matrix'!F94/'Denominator matrix'!$E$18, "NA")</f>
        <v>0</v>
      </c>
      <c r="G94" s="153">
        <f>IFERROR('Similarity matrix'!G94/'Denominator matrix'!$F$18, "NA")</f>
        <v>0</v>
      </c>
      <c r="H94" s="153">
        <f>IFERROR('Similarity matrix'!H94/'Denominator matrix'!$G$18, "NA")</f>
        <v>0</v>
      </c>
      <c r="I94" s="153">
        <f>IFERROR('Similarity matrix'!I94/'Denominator matrix'!$H$18, "NA")</f>
        <v>0</v>
      </c>
      <c r="J94" s="153">
        <f>IFERROR('Similarity matrix'!J94/'Denominator matrix'!$I$18, "NA")</f>
        <v>0</v>
      </c>
      <c r="K94" s="153">
        <f>IFERROR('Similarity matrix'!K94/'Denominator matrix'!$J$18, "NA")</f>
        <v>0</v>
      </c>
      <c r="L94" s="153">
        <f>IFERROR('Similarity matrix'!L94/'Denominator matrix'!$K$18, "NA")</f>
        <v>0</v>
      </c>
      <c r="M94" s="154">
        <f>IFERROR('Similarity matrix'!M94/'Denominator matrix'!$B$18, "NA")</f>
        <v>0</v>
      </c>
      <c r="N94" s="156">
        <f>IFERROR('Similarity matrix'!N94/'Denominator matrix'!$C$18, "NA")</f>
        <v>0</v>
      </c>
      <c r="O94" s="153">
        <f>IFERROR('Similarity matrix'!O94/'Denominator matrix'!$D$18, "NA")</f>
        <v>0</v>
      </c>
      <c r="P94" s="153">
        <f>IFERROR('Similarity matrix'!P94/'Denominator matrix'!$E$18, "NA")</f>
        <v>0</v>
      </c>
      <c r="Q94" s="153">
        <f>IFERROR('Similarity matrix'!Q94/'Denominator matrix'!$F$18, "NA")</f>
        <v>0</v>
      </c>
      <c r="R94" s="153">
        <f>IFERROR('Similarity matrix'!R94/'Denominator matrix'!$G$18, "NA")</f>
        <v>0</v>
      </c>
      <c r="S94" s="153">
        <f>IFERROR('Similarity matrix'!S94/'Denominator matrix'!$H$18, "NA")</f>
        <v>0</v>
      </c>
      <c r="T94" s="153">
        <f>IFERROR('Similarity matrix'!T94/'Denominator matrix'!$I$18, "NA")</f>
        <v>0</v>
      </c>
      <c r="U94" s="153">
        <f>IFERROR('Similarity matrix'!U94/'Denominator matrix'!$J$18, "NA")</f>
        <v>0</v>
      </c>
      <c r="V94" s="153">
        <f>IFERROR('Similarity matrix'!V94/'Denominator matrix'!$K$18, "NA")</f>
        <v>0</v>
      </c>
      <c r="W94" s="154">
        <f>IFERROR('Similarity matrix'!W94/'Denominator matrix'!$B$18, "NA")</f>
        <v>0</v>
      </c>
      <c r="X94" s="156">
        <f>IFERROR('Similarity matrix'!X94/'Denominator matrix'!$C$18, "NA")</f>
        <v>0</v>
      </c>
      <c r="Y94" s="153">
        <f>IFERROR('Similarity matrix'!Y94/'Denominator matrix'!$D$18, "NA")</f>
        <v>0</v>
      </c>
      <c r="Z94" s="153">
        <f>IFERROR('Similarity matrix'!Z94/'Denominator matrix'!$E$18, "NA")</f>
        <v>0</v>
      </c>
      <c r="AA94" s="153">
        <f>IFERROR('Similarity matrix'!AA94/'Denominator matrix'!$F$18, "NA")</f>
        <v>0</v>
      </c>
      <c r="AB94" s="153">
        <f>IFERROR('Similarity matrix'!AB94/'Denominator matrix'!$G$18, "NA")</f>
        <v>0</v>
      </c>
      <c r="AC94" s="153">
        <f>IFERROR('Similarity matrix'!AC94/'Denominator matrix'!$H$18, "NA")</f>
        <v>0</v>
      </c>
      <c r="AD94" s="153">
        <f>IFERROR('Similarity matrix'!AD94/'Denominator matrix'!$I$18, "NA")</f>
        <v>0</v>
      </c>
      <c r="AE94" s="153">
        <f>IFERROR('Similarity matrix'!AE94/'Denominator matrix'!$J$18, "NA")</f>
        <v>0</v>
      </c>
      <c r="AF94" s="153">
        <f>IFERROR('Similarity matrix'!AF94/'Denominator matrix'!$K$18, "NA")</f>
        <v>0</v>
      </c>
      <c r="AG94" s="154">
        <f>IFERROR('Similarity matrix'!AG94/'Denominator matrix'!$B$18, "NA")</f>
        <v>0</v>
      </c>
      <c r="AH94" s="156">
        <f>IFERROR('Similarity matrix'!AH94/'Denominator matrix'!$C$18, "NA")</f>
        <v>0</v>
      </c>
      <c r="AI94" s="153">
        <f>IFERROR('Similarity matrix'!AI94/'Denominator matrix'!$D$18, "NA")</f>
        <v>0</v>
      </c>
      <c r="AJ94" s="153">
        <f>IFERROR('Similarity matrix'!AJ94/'Denominator matrix'!$E$18, "NA")</f>
        <v>0</v>
      </c>
      <c r="AK94" s="153">
        <f>IFERROR('Similarity matrix'!AK94/'Denominator matrix'!$F$18, "NA")</f>
        <v>0</v>
      </c>
      <c r="AL94" s="153">
        <f>IFERROR('Similarity matrix'!AL94/'Denominator matrix'!$G$18, "NA")</f>
        <v>0</v>
      </c>
      <c r="AM94" s="153">
        <f>IFERROR('Similarity matrix'!AM94/'Denominator matrix'!$H$18, "NA")</f>
        <v>0</v>
      </c>
      <c r="AN94" s="153">
        <f>IFERROR('Similarity matrix'!AN94/'Denominator matrix'!$I$18, "NA")</f>
        <v>0</v>
      </c>
      <c r="AO94" s="153">
        <f>IFERROR('Similarity matrix'!AO94/'Denominator matrix'!$J$18, "NA")</f>
        <v>0</v>
      </c>
      <c r="AP94" s="153">
        <f>IFERROR('Similarity matrix'!AP94/'Denominator matrix'!$K$18, "NA")</f>
        <v>0</v>
      </c>
      <c r="AQ94" s="154">
        <f>IFERROR('Similarity matrix'!AQ94/'Denominator matrix'!$B$18, "NA")</f>
        <v>0</v>
      </c>
      <c r="AR94" s="156">
        <f>IFERROR('Similarity matrix'!AR94/'Denominator matrix'!$C$18, "NA")</f>
        <v>0</v>
      </c>
      <c r="AS94" s="153">
        <f>IFERROR('Similarity matrix'!AS94/'Denominator matrix'!$D$18, "NA")</f>
        <v>0</v>
      </c>
      <c r="AT94" s="153">
        <f>IFERROR('Similarity matrix'!AT94/'Denominator matrix'!$E$18, "NA")</f>
        <v>0</v>
      </c>
      <c r="AU94" s="153">
        <f>IFERROR('Similarity matrix'!AU94/'Denominator matrix'!$F$18, "NA")</f>
        <v>0</v>
      </c>
      <c r="AV94" s="153">
        <f>IFERROR('Similarity matrix'!AV94/'Denominator matrix'!$G$18, "NA")</f>
        <v>0</v>
      </c>
      <c r="AW94" s="153">
        <f>IFERROR('Similarity matrix'!AW94/'Denominator matrix'!$H$18, "NA")</f>
        <v>0.1666666667</v>
      </c>
      <c r="AX94" s="153">
        <f>IFERROR('Similarity matrix'!AX94/'Denominator matrix'!$I$18, "NA")</f>
        <v>0</v>
      </c>
      <c r="AY94" s="153">
        <f>IFERROR('Similarity matrix'!AY94/'Denominator matrix'!$J$18, "NA")</f>
        <v>0</v>
      </c>
      <c r="AZ94" s="153">
        <f>IFERROR('Similarity matrix'!AZ94/'Denominator matrix'!$K$18, "NA")</f>
        <v>0.25</v>
      </c>
      <c r="BA94" s="154">
        <f>IFERROR('Similarity matrix'!BA94/'Denominator matrix'!$B$18, "NA")</f>
        <v>0</v>
      </c>
      <c r="BB94" s="156">
        <f>IFERROR('Similarity matrix'!BB94/'Denominator matrix'!$C$18, "NA")</f>
        <v>0</v>
      </c>
      <c r="BC94" s="153">
        <f>IFERROR('Similarity matrix'!BC94/'Denominator matrix'!$D$18, "NA")</f>
        <v>0</v>
      </c>
      <c r="BD94" s="153">
        <f>IFERROR('Similarity matrix'!BD94/'Denominator matrix'!$E$18, "NA")</f>
        <v>0</v>
      </c>
      <c r="BE94" s="153">
        <f>IFERROR('Similarity matrix'!BE94/'Denominator matrix'!$F$18, "NA")</f>
        <v>0</v>
      </c>
      <c r="BF94" s="153">
        <f>IFERROR('Similarity matrix'!BF94/'Denominator matrix'!$G$18, "NA")</f>
        <v>0</v>
      </c>
      <c r="BG94" s="153">
        <f>IFERROR('Similarity matrix'!BG94/'Denominator matrix'!$H$18, "NA")</f>
        <v>0</v>
      </c>
      <c r="BH94" s="153">
        <f>IFERROR('Similarity matrix'!BH94/'Denominator matrix'!$I$18, "NA")</f>
        <v>0</v>
      </c>
      <c r="BI94" s="153">
        <f>IFERROR('Similarity matrix'!BI94/'Denominator matrix'!$J$18, "NA")</f>
        <v>0</v>
      </c>
      <c r="BJ94" s="153">
        <f>IFERROR('Similarity matrix'!BJ94/'Denominator matrix'!$K$18, "NA")</f>
        <v>0</v>
      </c>
      <c r="BK94" s="154">
        <f>IFERROR('Similarity matrix'!BK94/'Denominator matrix'!$B$18, "NA")</f>
        <v>0</v>
      </c>
      <c r="BL94" s="156">
        <f>IFERROR('Similarity matrix'!BL94/'Denominator matrix'!$C$18, "NA")</f>
        <v>0</v>
      </c>
      <c r="BM94" s="153">
        <f>IFERROR('Similarity matrix'!BM94/'Denominator matrix'!$D$18, "NA")</f>
        <v>0</v>
      </c>
      <c r="BN94" s="153">
        <f>IFERROR('Similarity matrix'!BN94/'Denominator matrix'!$E$18, "NA")</f>
        <v>0</v>
      </c>
      <c r="BO94" s="153">
        <f>IFERROR('Similarity matrix'!BO94/'Denominator matrix'!$F$18, "NA")</f>
        <v>0</v>
      </c>
      <c r="BP94" s="153">
        <f>IFERROR('Similarity matrix'!BP94/'Denominator matrix'!$G$18, "NA")</f>
        <v>0</v>
      </c>
      <c r="BQ94" s="153">
        <f>IFERROR('Similarity matrix'!BQ94/'Denominator matrix'!$H$18, "NA")</f>
        <v>0</v>
      </c>
      <c r="BR94" s="153">
        <f>IFERROR('Similarity matrix'!BR94/'Denominator matrix'!$I$18, "NA")</f>
        <v>0</v>
      </c>
      <c r="BS94" s="153">
        <f>IFERROR('Similarity matrix'!BS94/'Denominator matrix'!$J$18, "NA")</f>
        <v>0</v>
      </c>
      <c r="BT94" s="153">
        <f>IFERROR('Similarity matrix'!BT94/'Denominator matrix'!$K$18, "NA")</f>
        <v>0</v>
      </c>
      <c r="BU94" s="154">
        <f>IFERROR('Similarity matrix'!BU94/'Denominator matrix'!$B$18, "NA")</f>
        <v>0</v>
      </c>
      <c r="BV94" s="156">
        <f>IFERROR('Similarity matrix'!BV94/'Denominator matrix'!$C$18, "NA")</f>
        <v>0</v>
      </c>
      <c r="BW94" s="153">
        <f>IFERROR('Similarity matrix'!BW94/'Denominator matrix'!$D$18, "NA")</f>
        <v>0</v>
      </c>
      <c r="BX94" s="153">
        <f>IFERROR('Similarity matrix'!BX94/'Denominator matrix'!$E$18, "NA")</f>
        <v>0</v>
      </c>
      <c r="BY94" s="153">
        <f>IFERROR('Similarity matrix'!BY94/'Denominator matrix'!$F$18, "NA")</f>
        <v>0</v>
      </c>
      <c r="BZ94" s="153">
        <f>IFERROR('Similarity matrix'!BZ94/'Denominator matrix'!$G$18, "NA")</f>
        <v>0</v>
      </c>
      <c r="CA94" s="153">
        <f>IFERROR('Similarity matrix'!CA94/'Denominator matrix'!$H$18, "NA")</f>
        <v>0</v>
      </c>
      <c r="CB94" s="153">
        <f>IFERROR('Similarity matrix'!CB94/'Denominator matrix'!$I$18, "NA")</f>
        <v>0</v>
      </c>
      <c r="CC94" s="153">
        <f>IFERROR('Similarity matrix'!CC94/'Denominator matrix'!$J$18, "NA")</f>
        <v>0</v>
      </c>
      <c r="CD94" s="153">
        <f>IFERROR('Similarity matrix'!CD94/'Denominator matrix'!$K$18, "NA")</f>
        <v>0</v>
      </c>
      <c r="CE94" s="154">
        <f>IFERROR('Similarity matrix'!CE94/'Denominator matrix'!$B$18, "NA")</f>
        <v>0</v>
      </c>
      <c r="CF94" s="156">
        <f>IFERROR('Similarity matrix'!CF94/'Denominator matrix'!$C$18, "NA")</f>
        <v>0</v>
      </c>
      <c r="CG94" s="153">
        <f>IFERROR('Similarity matrix'!CG94/'Denominator matrix'!$D$18, "NA")</f>
        <v>0.25</v>
      </c>
      <c r="CH94" s="153">
        <f>IFERROR('Similarity matrix'!CH94/'Denominator matrix'!$E$18, "NA")</f>
        <v>0</v>
      </c>
      <c r="CI94" s="153">
        <f>IFERROR('Similarity matrix'!CI94/'Denominator matrix'!$F$18, "NA")</f>
        <v>0</v>
      </c>
      <c r="CJ94" s="153">
        <f>IFERROR('Similarity matrix'!CJ94/'Denominator matrix'!$G$18, "NA")</f>
        <v>0</v>
      </c>
      <c r="CK94" s="153">
        <f>IFERROR('Similarity matrix'!CK94/'Denominator matrix'!$H$18, "NA")</f>
        <v>0</v>
      </c>
      <c r="CL94" s="153">
        <f>IFERROR('Similarity matrix'!CL94/'Denominator matrix'!$I$18, "NA")</f>
        <v>0</v>
      </c>
      <c r="CM94" s="153">
        <f>IFERROR('Similarity matrix'!CM94/'Denominator matrix'!$J$18, "NA")</f>
        <v>0</v>
      </c>
      <c r="CN94" s="153">
        <f>IFERROR('Similarity matrix'!CN94/'Denominator matrix'!$K$18, "NA")</f>
        <v>0</v>
      </c>
      <c r="CO94" s="154">
        <f>IFERROR('Similarity matrix'!CO94/'Denominator matrix'!$B$18, "NA")</f>
        <v>1</v>
      </c>
      <c r="CP94" s="155">
        <f>IFERROR('Similarity matrix'!CP94/'Denominator matrix'!$C$18, "NA")</f>
        <v>0</v>
      </c>
      <c r="CQ94" s="153">
        <f>IFERROR('Similarity matrix'!CQ94/'Denominator matrix'!$D$18, "NA")</f>
        <v>1</v>
      </c>
      <c r="CR94" s="153">
        <f>IFERROR('Similarity matrix'!CR94/'Denominator matrix'!$E$18, "NA")</f>
        <v>1</v>
      </c>
      <c r="CS94" s="153">
        <f>IFERROR('Similarity matrix'!CS94/'Denominator matrix'!$F$18, "NA")</f>
        <v>0.8333333333</v>
      </c>
      <c r="CT94" s="153">
        <f>IFERROR('Similarity matrix'!CT94/'Denominator matrix'!$G$18, "NA")</f>
        <v>1</v>
      </c>
      <c r="CU94" s="153">
        <f>IFERROR('Similarity matrix'!CU94/'Denominator matrix'!$H$18, "NA")</f>
        <v>0.8333333333</v>
      </c>
      <c r="CV94" s="153">
        <f>IFERROR('Similarity matrix'!CV94/'Denominator matrix'!$I$18, "NA")</f>
        <v>1</v>
      </c>
      <c r="CW94" s="153">
        <f>IFERROR('Similarity matrix'!CW94/'Denominator matrix'!$J$18, "NA")</f>
        <v>1</v>
      </c>
      <c r="CX94" s="153">
        <f>IFERROR('Similarity matrix'!CX94/'Denominator matrix'!$K$18, "NA")</f>
        <v>1</v>
      </c>
    </row>
    <row r="95" ht="35.25" customHeight="1">
      <c r="B95" s="124">
        <v>45726.0</v>
      </c>
      <c r="C95" s="154">
        <f>IFERROR('Similarity matrix'!C95/'Denominator matrix'!$B$19, "NA")</f>
        <v>0</v>
      </c>
      <c r="D95" s="153">
        <f>IFERROR('Similarity matrix'!D95/'Denominator matrix'!$C$19, "NA")</f>
        <v>0</v>
      </c>
      <c r="E95" s="156">
        <f>IFERROR('Similarity matrix'!E95/'Denominator matrix'!$D$19, "NA")</f>
        <v>0</v>
      </c>
      <c r="F95" s="153">
        <f>IFERROR('Similarity matrix'!F95/'Denominator matrix'!$E$19, "NA")</f>
        <v>0</v>
      </c>
      <c r="G95" s="153">
        <f>IFERROR('Similarity matrix'!G95/'Denominator matrix'!$F$19, "NA")</f>
        <v>0</v>
      </c>
      <c r="H95" s="153">
        <f>IFERROR('Similarity matrix'!H95/'Denominator matrix'!$G$19, "NA")</f>
        <v>0</v>
      </c>
      <c r="I95" s="153">
        <f>IFERROR('Similarity matrix'!I95/'Denominator matrix'!$H$19, "NA")</f>
        <v>0</v>
      </c>
      <c r="J95" s="153">
        <f>IFERROR('Similarity matrix'!J95/'Denominator matrix'!$I$19, "NA")</f>
        <v>0</v>
      </c>
      <c r="K95" s="153">
        <f>IFERROR('Similarity matrix'!K95/'Denominator matrix'!$J$19, "NA")</f>
        <v>0</v>
      </c>
      <c r="L95" s="153">
        <f>IFERROR('Similarity matrix'!L95/'Denominator matrix'!$K$19, "NA")</f>
        <v>0</v>
      </c>
      <c r="M95" s="154">
        <f>IFERROR('Similarity matrix'!M95/'Denominator matrix'!$B$19, "NA")</f>
        <v>0</v>
      </c>
      <c r="N95" s="153">
        <f>IFERROR('Similarity matrix'!N95/'Denominator matrix'!$C$19, "NA")</f>
        <v>0</v>
      </c>
      <c r="O95" s="156">
        <f>IFERROR('Similarity matrix'!O95/'Denominator matrix'!$D$19, "NA")</f>
        <v>0</v>
      </c>
      <c r="P95" s="153">
        <f>IFERROR('Similarity matrix'!P95/'Denominator matrix'!$E$19, "NA")</f>
        <v>0</v>
      </c>
      <c r="Q95" s="153">
        <f>IFERROR('Similarity matrix'!Q95/'Denominator matrix'!$F$19, "NA")</f>
        <v>0</v>
      </c>
      <c r="R95" s="153">
        <f>IFERROR('Similarity matrix'!R95/'Denominator matrix'!$G$19, "NA")</f>
        <v>0</v>
      </c>
      <c r="S95" s="153">
        <f>IFERROR('Similarity matrix'!S95/'Denominator matrix'!$H$19, "NA")</f>
        <v>0</v>
      </c>
      <c r="T95" s="153">
        <f>IFERROR('Similarity matrix'!T95/'Denominator matrix'!$I$19, "NA")</f>
        <v>0</v>
      </c>
      <c r="U95" s="153">
        <f>IFERROR('Similarity matrix'!U95/'Denominator matrix'!$J$19, "NA")</f>
        <v>0</v>
      </c>
      <c r="V95" s="153">
        <f>IFERROR('Similarity matrix'!V95/'Denominator matrix'!$K$19, "NA")</f>
        <v>0</v>
      </c>
      <c r="W95" s="154">
        <f>IFERROR('Similarity matrix'!W95/'Denominator matrix'!$B$19, "NA")</f>
        <v>0</v>
      </c>
      <c r="X95" s="153">
        <f>IFERROR('Similarity matrix'!X95/'Denominator matrix'!$C$19, "NA")</f>
        <v>0</v>
      </c>
      <c r="Y95" s="156">
        <f>IFERROR('Similarity matrix'!Y95/'Denominator matrix'!$D$19, "NA")</f>
        <v>0</v>
      </c>
      <c r="Z95" s="153">
        <f>IFERROR('Similarity matrix'!Z95/'Denominator matrix'!$E$19, "NA")</f>
        <v>0</v>
      </c>
      <c r="AA95" s="153">
        <f>IFERROR('Similarity matrix'!AA95/'Denominator matrix'!$F$19, "NA")</f>
        <v>0</v>
      </c>
      <c r="AB95" s="153">
        <f>IFERROR('Similarity matrix'!AB95/'Denominator matrix'!$G$19, "NA")</f>
        <v>0</v>
      </c>
      <c r="AC95" s="153">
        <f>IFERROR('Similarity matrix'!AC95/'Denominator matrix'!$H$19, "NA")</f>
        <v>0</v>
      </c>
      <c r="AD95" s="153">
        <f>IFERROR('Similarity matrix'!AD95/'Denominator matrix'!$I$19, "NA")</f>
        <v>0</v>
      </c>
      <c r="AE95" s="153">
        <f>IFERROR('Similarity matrix'!AE95/'Denominator matrix'!$J$19, "NA")</f>
        <v>0</v>
      </c>
      <c r="AF95" s="153">
        <f>IFERROR('Similarity matrix'!AF95/'Denominator matrix'!$K$19, "NA")</f>
        <v>0</v>
      </c>
      <c r="AG95" s="154">
        <f>IFERROR('Similarity matrix'!AG95/'Denominator matrix'!$B$19, "NA")</f>
        <v>0</v>
      </c>
      <c r="AH95" s="153">
        <f>IFERROR('Similarity matrix'!AH95/'Denominator matrix'!$C$19, "NA")</f>
        <v>0</v>
      </c>
      <c r="AI95" s="156">
        <f>IFERROR('Similarity matrix'!AI95/'Denominator matrix'!$D$19, "NA")</f>
        <v>0</v>
      </c>
      <c r="AJ95" s="153">
        <f>IFERROR('Similarity matrix'!AJ95/'Denominator matrix'!$E$19, "NA")</f>
        <v>0</v>
      </c>
      <c r="AK95" s="153">
        <f>IFERROR('Similarity matrix'!AK95/'Denominator matrix'!$F$19, "NA")</f>
        <v>0</v>
      </c>
      <c r="AL95" s="153">
        <f>IFERROR('Similarity matrix'!AL95/'Denominator matrix'!$G$19, "NA")</f>
        <v>0</v>
      </c>
      <c r="AM95" s="153">
        <f>IFERROR('Similarity matrix'!AM95/'Denominator matrix'!$H$19, "NA")</f>
        <v>0</v>
      </c>
      <c r="AN95" s="153">
        <f>IFERROR('Similarity matrix'!AN95/'Denominator matrix'!$I$19, "NA")</f>
        <v>0</v>
      </c>
      <c r="AO95" s="153">
        <f>IFERROR('Similarity matrix'!AO95/'Denominator matrix'!$J$19, "NA")</f>
        <v>0</v>
      </c>
      <c r="AP95" s="153">
        <f>IFERROR('Similarity matrix'!AP95/'Denominator matrix'!$K$19, "NA")</f>
        <v>0</v>
      </c>
      <c r="AQ95" s="154">
        <f>IFERROR('Similarity matrix'!AQ95/'Denominator matrix'!$B$19, "NA")</f>
        <v>0</v>
      </c>
      <c r="AR95" s="153">
        <f>IFERROR('Similarity matrix'!AR95/'Denominator matrix'!$C$19, "NA")</f>
        <v>0</v>
      </c>
      <c r="AS95" s="156">
        <f>IFERROR('Similarity matrix'!AS95/'Denominator matrix'!$D$19, "NA")</f>
        <v>0</v>
      </c>
      <c r="AT95" s="153">
        <f>IFERROR('Similarity matrix'!AT95/'Denominator matrix'!$E$19, "NA")</f>
        <v>0</v>
      </c>
      <c r="AU95" s="153">
        <f>IFERROR('Similarity matrix'!AU95/'Denominator matrix'!$F$19, "NA")</f>
        <v>0</v>
      </c>
      <c r="AV95" s="153">
        <f>IFERROR('Similarity matrix'!AV95/'Denominator matrix'!$G$19, "NA")</f>
        <v>0</v>
      </c>
      <c r="AW95" s="153">
        <f>IFERROR('Similarity matrix'!AW95/'Denominator matrix'!$H$19, "NA")</f>
        <v>0.125</v>
      </c>
      <c r="AX95" s="153">
        <f>IFERROR('Similarity matrix'!AX95/'Denominator matrix'!$I$19, "NA")</f>
        <v>0</v>
      </c>
      <c r="AY95" s="153">
        <f>IFERROR('Similarity matrix'!AY95/'Denominator matrix'!$J$19, "NA")</f>
        <v>0</v>
      </c>
      <c r="AZ95" s="153">
        <f>IFERROR('Similarity matrix'!AZ95/'Denominator matrix'!$K$19, "NA")</f>
        <v>0.1666666667</v>
      </c>
      <c r="BA95" s="154">
        <f>IFERROR('Similarity matrix'!BA95/'Denominator matrix'!$B$19, "NA")</f>
        <v>0</v>
      </c>
      <c r="BB95" s="153">
        <f>IFERROR('Similarity matrix'!BB95/'Denominator matrix'!$C$19, "NA")</f>
        <v>0</v>
      </c>
      <c r="BC95" s="156">
        <f>IFERROR('Similarity matrix'!BC95/'Denominator matrix'!$D$19, "NA")</f>
        <v>0</v>
      </c>
      <c r="BD95" s="153">
        <f>IFERROR('Similarity matrix'!BD95/'Denominator matrix'!$E$19, "NA")</f>
        <v>0</v>
      </c>
      <c r="BE95" s="153">
        <f>IFERROR('Similarity matrix'!BE95/'Denominator matrix'!$F$19, "NA")</f>
        <v>0</v>
      </c>
      <c r="BF95" s="153">
        <f>IFERROR('Similarity matrix'!BF95/'Denominator matrix'!$G$19, "NA")</f>
        <v>0</v>
      </c>
      <c r="BG95" s="153">
        <f>IFERROR('Similarity matrix'!BG95/'Denominator matrix'!$H$19, "NA")</f>
        <v>0</v>
      </c>
      <c r="BH95" s="153">
        <f>IFERROR('Similarity matrix'!BH95/'Denominator matrix'!$I$19, "NA")</f>
        <v>0</v>
      </c>
      <c r="BI95" s="153">
        <f>IFERROR('Similarity matrix'!BI95/'Denominator matrix'!$J$19, "NA")</f>
        <v>0</v>
      </c>
      <c r="BJ95" s="153">
        <f>IFERROR('Similarity matrix'!BJ95/'Denominator matrix'!$K$19, "NA")</f>
        <v>0</v>
      </c>
      <c r="BK95" s="154">
        <f>IFERROR('Similarity matrix'!BK95/'Denominator matrix'!$B$19, "NA")</f>
        <v>0</v>
      </c>
      <c r="BL95" s="153">
        <f>IFERROR('Similarity matrix'!BL95/'Denominator matrix'!$C$19, "NA")</f>
        <v>0</v>
      </c>
      <c r="BM95" s="156">
        <f>IFERROR('Similarity matrix'!BM95/'Denominator matrix'!$D$19, "NA")</f>
        <v>0</v>
      </c>
      <c r="BN95" s="153">
        <f>IFERROR('Similarity matrix'!BN95/'Denominator matrix'!$E$19, "NA")</f>
        <v>0</v>
      </c>
      <c r="BO95" s="153">
        <f>IFERROR('Similarity matrix'!BO95/'Denominator matrix'!$F$19, "NA")</f>
        <v>0</v>
      </c>
      <c r="BP95" s="153">
        <f>IFERROR('Similarity matrix'!BP95/'Denominator matrix'!$G$19, "NA")</f>
        <v>0</v>
      </c>
      <c r="BQ95" s="153">
        <f>IFERROR('Similarity matrix'!BQ95/'Denominator matrix'!$H$19, "NA")</f>
        <v>0</v>
      </c>
      <c r="BR95" s="153">
        <f>IFERROR('Similarity matrix'!BR95/'Denominator matrix'!$I$19, "NA")</f>
        <v>0</v>
      </c>
      <c r="BS95" s="153">
        <f>IFERROR('Similarity matrix'!BS95/'Denominator matrix'!$J$19, "NA")</f>
        <v>0</v>
      </c>
      <c r="BT95" s="153">
        <f>IFERROR('Similarity matrix'!BT95/'Denominator matrix'!$K$19, "NA")</f>
        <v>0</v>
      </c>
      <c r="BU95" s="154">
        <f>IFERROR('Similarity matrix'!BU95/'Denominator matrix'!$B$19, "NA")</f>
        <v>0</v>
      </c>
      <c r="BV95" s="153">
        <f>IFERROR('Similarity matrix'!BV95/'Denominator matrix'!$C$19, "NA")</f>
        <v>0</v>
      </c>
      <c r="BW95" s="156">
        <f>IFERROR('Similarity matrix'!BW95/'Denominator matrix'!$D$19, "NA")</f>
        <v>0</v>
      </c>
      <c r="BX95" s="153">
        <f>IFERROR('Similarity matrix'!BX95/'Denominator matrix'!$E$19, "NA")</f>
        <v>0</v>
      </c>
      <c r="BY95" s="153">
        <f>IFERROR('Similarity matrix'!BY95/'Denominator matrix'!$F$19, "NA")</f>
        <v>0</v>
      </c>
      <c r="BZ95" s="153">
        <f>IFERROR('Similarity matrix'!BZ95/'Denominator matrix'!$G$19, "NA")</f>
        <v>0</v>
      </c>
      <c r="CA95" s="153">
        <f>IFERROR('Similarity matrix'!CA95/'Denominator matrix'!$H$19, "NA")</f>
        <v>0</v>
      </c>
      <c r="CB95" s="153">
        <f>IFERROR('Similarity matrix'!CB95/'Denominator matrix'!$I$19, "NA")</f>
        <v>0</v>
      </c>
      <c r="CC95" s="153">
        <f>IFERROR('Similarity matrix'!CC95/'Denominator matrix'!$J$19, "NA")</f>
        <v>0</v>
      </c>
      <c r="CD95" s="153">
        <f>IFERROR('Similarity matrix'!CD95/'Denominator matrix'!$K$19, "NA")</f>
        <v>0</v>
      </c>
      <c r="CE95" s="154">
        <f>IFERROR('Similarity matrix'!CE95/'Denominator matrix'!$B$19, "NA")</f>
        <v>0</v>
      </c>
      <c r="CF95" s="153">
        <f>IFERROR('Similarity matrix'!CF95/'Denominator matrix'!$C$19, "NA")</f>
        <v>0</v>
      </c>
      <c r="CG95" s="156">
        <f>IFERROR('Similarity matrix'!CG95/'Denominator matrix'!$D$19, "NA")</f>
        <v>0.0625</v>
      </c>
      <c r="CH95" s="153">
        <f>IFERROR('Similarity matrix'!CH95/'Denominator matrix'!$E$19, "NA")</f>
        <v>0</v>
      </c>
      <c r="CI95" s="153">
        <f>IFERROR('Similarity matrix'!CI95/'Denominator matrix'!$F$19, "NA")</f>
        <v>0</v>
      </c>
      <c r="CJ95" s="153">
        <f>IFERROR('Similarity matrix'!CJ95/'Denominator matrix'!$G$19, "NA")</f>
        <v>0</v>
      </c>
      <c r="CK95" s="153">
        <f>IFERROR('Similarity matrix'!CK95/'Denominator matrix'!$H$19, "NA")</f>
        <v>0</v>
      </c>
      <c r="CL95" s="153">
        <f>IFERROR('Similarity matrix'!CL95/'Denominator matrix'!$I$19, "NA")</f>
        <v>0</v>
      </c>
      <c r="CM95" s="153">
        <f>IFERROR('Similarity matrix'!CM95/'Denominator matrix'!$J$19, "NA")</f>
        <v>0</v>
      </c>
      <c r="CN95" s="153">
        <f>IFERROR('Similarity matrix'!CN95/'Denominator matrix'!$K$19, "NA")</f>
        <v>0</v>
      </c>
      <c r="CO95" s="154">
        <f>IFERROR('Similarity matrix'!CO95/'Denominator matrix'!$B$19, "NA")</f>
        <v>0.25</v>
      </c>
      <c r="CP95" s="153">
        <f>IFERROR('Similarity matrix'!CP95/'Denominator matrix'!$C$19, "NA")</f>
        <v>1</v>
      </c>
      <c r="CQ95" s="155">
        <f>IFERROR('Similarity matrix'!CQ95/'Denominator matrix'!$D$19, "NA")</f>
        <v>0</v>
      </c>
      <c r="CR95" s="153">
        <f>IFERROR('Similarity matrix'!CR95/'Denominator matrix'!$E$19, "NA")</f>
        <v>0.75</v>
      </c>
      <c r="CS95" s="153">
        <f>IFERROR('Similarity matrix'!CS95/'Denominator matrix'!$F$19, "NA")</f>
        <v>0.75</v>
      </c>
      <c r="CT95" s="153">
        <f>IFERROR('Similarity matrix'!CT95/'Denominator matrix'!$G$19, "NA")</f>
        <v>0.5</v>
      </c>
      <c r="CU95" s="153">
        <f>IFERROR('Similarity matrix'!CU95/'Denominator matrix'!$H$19, "NA")</f>
        <v>0.75</v>
      </c>
      <c r="CV95" s="153">
        <f>IFERROR('Similarity matrix'!CV95/'Denominator matrix'!$I$19, "NA")</f>
        <v>1</v>
      </c>
      <c r="CW95" s="153">
        <f>IFERROR('Similarity matrix'!CW95/'Denominator matrix'!$J$19, "NA")</f>
        <v>1</v>
      </c>
      <c r="CX95" s="153">
        <f>IFERROR('Similarity matrix'!CX95/'Denominator matrix'!$K$19, "NA")</f>
        <v>1</v>
      </c>
    </row>
    <row r="96" ht="35.25" customHeight="1">
      <c r="B96" s="124">
        <v>45757.0</v>
      </c>
      <c r="C96" s="154">
        <f>IFERROR('Similarity matrix'!C96/'Denominator matrix'!$B$20, "NA")</f>
        <v>0</v>
      </c>
      <c r="D96" s="153">
        <f>IFERROR('Similarity matrix'!D96/'Denominator matrix'!$C$20, "NA")</f>
        <v>0</v>
      </c>
      <c r="E96" s="153">
        <f>IFERROR('Similarity matrix'!E96/'Denominator matrix'!$D$20, "NA")</f>
        <v>0</v>
      </c>
      <c r="F96" s="156">
        <f>IFERROR('Similarity matrix'!F96/'Denominator matrix'!$E$20, "NA")</f>
        <v>0</v>
      </c>
      <c r="G96" s="153">
        <f>IFERROR('Similarity matrix'!G96/'Denominator matrix'!$F$20, "NA")</f>
        <v>0</v>
      </c>
      <c r="H96" s="153">
        <f>IFERROR('Similarity matrix'!H96/'Denominator matrix'!$G$20, "NA")</f>
        <v>0</v>
      </c>
      <c r="I96" s="153">
        <f>IFERROR('Similarity matrix'!I96/'Denominator matrix'!$H$20, "NA")</f>
        <v>0</v>
      </c>
      <c r="J96" s="153">
        <f>IFERROR('Similarity matrix'!J96/'Denominator matrix'!$I$20, "NA")</f>
        <v>0</v>
      </c>
      <c r="K96" s="153">
        <f>IFERROR('Similarity matrix'!K96/'Denominator matrix'!$J$20, "NA")</f>
        <v>0</v>
      </c>
      <c r="L96" s="153">
        <f>IFERROR('Similarity matrix'!L96/'Denominator matrix'!$K$20, "NA")</f>
        <v>0</v>
      </c>
      <c r="M96" s="154">
        <f>IFERROR('Similarity matrix'!M96/'Denominator matrix'!$B$20, "NA")</f>
        <v>0</v>
      </c>
      <c r="N96" s="153">
        <f>IFERROR('Similarity matrix'!N96/'Denominator matrix'!$C$20, "NA")</f>
        <v>0</v>
      </c>
      <c r="O96" s="153">
        <f>IFERROR('Similarity matrix'!O96/'Denominator matrix'!$D$20, "NA")</f>
        <v>0</v>
      </c>
      <c r="P96" s="156">
        <f>IFERROR('Similarity matrix'!P96/'Denominator matrix'!$E$20, "NA")</f>
        <v>0.0625</v>
      </c>
      <c r="Q96" s="153">
        <f>IFERROR('Similarity matrix'!Q96/'Denominator matrix'!$F$20, "NA")</f>
        <v>0</v>
      </c>
      <c r="R96" s="153">
        <f>IFERROR('Similarity matrix'!R96/'Denominator matrix'!$G$20, "NA")</f>
        <v>0</v>
      </c>
      <c r="S96" s="153">
        <f>IFERROR('Similarity matrix'!S96/'Denominator matrix'!$H$20, "NA")</f>
        <v>0</v>
      </c>
      <c r="T96" s="153">
        <f>IFERROR('Similarity matrix'!T96/'Denominator matrix'!$I$20, "NA")</f>
        <v>0</v>
      </c>
      <c r="U96" s="153">
        <f>IFERROR('Similarity matrix'!U96/'Denominator matrix'!$J$20, "NA")</f>
        <v>0</v>
      </c>
      <c r="V96" s="153">
        <f>IFERROR('Similarity matrix'!V96/'Denominator matrix'!$K$20, "NA")</f>
        <v>0</v>
      </c>
      <c r="W96" s="154">
        <f>IFERROR('Similarity matrix'!W96/'Denominator matrix'!$B$20, "NA")</f>
        <v>0</v>
      </c>
      <c r="X96" s="153">
        <f>IFERROR('Similarity matrix'!X96/'Denominator matrix'!$C$20, "NA")</f>
        <v>0</v>
      </c>
      <c r="Y96" s="153">
        <f>IFERROR('Similarity matrix'!Y96/'Denominator matrix'!$D$20, "NA")</f>
        <v>0</v>
      </c>
      <c r="Z96" s="156">
        <f>IFERROR('Similarity matrix'!Z96/'Denominator matrix'!$E$20, "NA")</f>
        <v>0</v>
      </c>
      <c r="AA96" s="153">
        <f>IFERROR('Similarity matrix'!AA96/'Denominator matrix'!$F$20, "NA")</f>
        <v>0</v>
      </c>
      <c r="AB96" s="153">
        <f>IFERROR('Similarity matrix'!AB96/'Denominator matrix'!$G$20, "NA")</f>
        <v>0</v>
      </c>
      <c r="AC96" s="153">
        <f>IFERROR('Similarity matrix'!AC96/'Denominator matrix'!$H$20, "NA")</f>
        <v>0</v>
      </c>
      <c r="AD96" s="153">
        <f>IFERROR('Similarity matrix'!AD96/'Denominator matrix'!$I$20, "NA")</f>
        <v>0</v>
      </c>
      <c r="AE96" s="153">
        <f>IFERROR('Similarity matrix'!AE96/'Denominator matrix'!$J$20, "NA")</f>
        <v>0</v>
      </c>
      <c r="AF96" s="153">
        <f>IFERROR('Similarity matrix'!AF96/'Denominator matrix'!$K$20, "NA")</f>
        <v>0</v>
      </c>
      <c r="AG96" s="154">
        <f>IFERROR('Similarity matrix'!AG96/'Denominator matrix'!$B$20, "NA")</f>
        <v>0</v>
      </c>
      <c r="AH96" s="153">
        <f>IFERROR('Similarity matrix'!AH96/'Denominator matrix'!$C$20, "NA")</f>
        <v>0</v>
      </c>
      <c r="AI96" s="153">
        <f>IFERROR('Similarity matrix'!AI96/'Denominator matrix'!$D$20, "NA")</f>
        <v>0</v>
      </c>
      <c r="AJ96" s="156">
        <f>IFERROR('Similarity matrix'!AJ96/'Denominator matrix'!$E$20, "NA")</f>
        <v>0</v>
      </c>
      <c r="AK96" s="153">
        <f>IFERROR('Similarity matrix'!AK96/'Denominator matrix'!$F$20, "NA")</f>
        <v>0</v>
      </c>
      <c r="AL96" s="153">
        <f>IFERROR('Similarity matrix'!AL96/'Denominator matrix'!$G$20, "NA")</f>
        <v>0</v>
      </c>
      <c r="AM96" s="153">
        <f>IFERROR('Similarity matrix'!AM96/'Denominator matrix'!$H$20, "NA")</f>
        <v>0</v>
      </c>
      <c r="AN96" s="153">
        <f>IFERROR('Similarity matrix'!AN96/'Denominator matrix'!$I$20, "NA")</f>
        <v>0</v>
      </c>
      <c r="AO96" s="153">
        <f>IFERROR('Similarity matrix'!AO96/'Denominator matrix'!$J$20, "NA")</f>
        <v>0</v>
      </c>
      <c r="AP96" s="153">
        <f>IFERROR('Similarity matrix'!AP96/'Denominator matrix'!$K$20, "NA")</f>
        <v>0</v>
      </c>
      <c r="AQ96" s="154">
        <f>IFERROR('Similarity matrix'!AQ96/'Denominator matrix'!$B$20, "NA")</f>
        <v>0</v>
      </c>
      <c r="AR96" s="153">
        <f>IFERROR('Similarity matrix'!AR96/'Denominator matrix'!$C$20, "NA")</f>
        <v>0</v>
      </c>
      <c r="AS96" s="153">
        <f>IFERROR('Similarity matrix'!AS96/'Denominator matrix'!$D$20, "NA")</f>
        <v>0</v>
      </c>
      <c r="AT96" s="156">
        <f>IFERROR('Similarity matrix'!AT96/'Denominator matrix'!$E$20, "NA")</f>
        <v>0.0625</v>
      </c>
      <c r="AU96" s="153">
        <f>IFERROR('Similarity matrix'!AU96/'Denominator matrix'!$F$20, "NA")</f>
        <v>0</v>
      </c>
      <c r="AV96" s="153">
        <f>IFERROR('Similarity matrix'!AV96/'Denominator matrix'!$G$20, "NA")</f>
        <v>0</v>
      </c>
      <c r="AW96" s="153">
        <f>IFERROR('Similarity matrix'!AW96/'Denominator matrix'!$H$20, "NA")</f>
        <v>0</v>
      </c>
      <c r="AX96" s="153">
        <f>IFERROR('Similarity matrix'!AX96/'Denominator matrix'!$I$20, "NA")</f>
        <v>0</v>
      </c>
      <c r="AY96" s="153">
        <f>IFERROR('Similarity matrix'!AY96/'Denominator matrix'!$J$20, "NA")</f>
        <v>0</v>
      </c>
      <c r="AZ96" s="153">
        <f>IFERROR('Similarity matrix'!AZ96/'Denominator matrix'!$K$20, "NA")</f>
        <v>0</v>
      </c>
      <c r="BA96" s="154">
        <f>IFERROR('Similarity matrix'!BA96/'Denominator matrix'!$B$20, "NA")</f>
        <v>0</v>
      </c>
      <c r="BB96" s="153">
        <f>IFERROR('Similarity matrix'!BB96/'Denominator matrix'!$C$20, "NA")</f>
        <v>0</v>
      </c>
      <c r="BC96" s="153">
        <f>IFERROR('Similarity matrix'!BC96/'Denominator matrix'!$D$20, "NA")</f>
        <v>0</v>
      </c>
      <c r="BD96" s="156">
        <f>IFERROR('Similarity matrix'!BD96/'Denominator matrix'!$E$20, "NA")</f>
        <v>0</v>
      </c>
      <c r="BE96" s="153">
        <f>IFERROR('Similarity matrix'!BE96/'Denominator matrix'!$F$20, "NA")</f>
        <v>0</v>
      </c>
      <c r="BF96" s="153">
        <f>IFERROR('Similarity matrix'!BF96/'Denominator matrix'!$G$20, "NA")</f>
        <v>0</v>
      </c>
      <c r="BG96" s="153">
        <f>IFERROR('Similarity matrix'!BG96/'Denominator matrix'!$H$20, "NA")</f>
        <v>0</v>
      </c>
      <c r="BH96" s="153">
        <f>IFERROR('Similarity matrix'!BH96/'Denominator matrix'!$I$20, "NA")</f>
        <v>0</v>
      </c>
      <c r="BI96" s="153">
        <f>IFERROR('Similarity matrix'!BI96/'Denominator matrix'!$J$20, "NA")</f>
        <v>0</v>
      </c>
      <c r="BJ96" s="153">
        <f>IFERROR('Similarity matrix'!BJ96/'Denominator matrix'!$K$20, "NA")</f>
        <v>0</v>
      </c>
      <c r="BK96" s="154">
        <f>IFERROR('Similarity matrix'!BK96/'Denominator matrix'!$B$20, "NA")</f>
        <v>0</v>
      </c>
      <c r="BL96" s="153">
        <f>IFERROR('Similarity matrix'!BL96/'Denominator matrix'!$C$20, "NA")</f>
        <v>0</v>
      </c>
      <c r="BM96" s="153">
        <f>IFERROR('Similarity matrix'!BM96/'Denominator matrix'!$D$20, "NA")</f>
        <v>0</v>
      </c>
      <c r="BN96" s="156">
        <f>IFERROR('Similarity matrix'!BN96/'Denominator matrix'!$E$20, "NA")</f>
        <v>0</v>
      </c>
      <c r="BO96" s="153">
        <f>IFERROR('Similarity matrix'!BO96/'Denominator matrix'!$F$20, "NA")</f>
        <v>0</v>
      </c>
      <c r="BP96" s="153">
        <f>IFERROR('Similarity matrix'!BP96/'Denominator matrix'!$G$20, "NA")</f>
        <v>0</v>
      </c>
      <c r="BQ96" s="153">
        <f>IFERROR('Similarity matrix'!BQ96/'Denominator matrix'!$H$20, "NA")</f>
        <v>0</v>
      </c>
      <c r="BR96" s="153">
        <f>IFERROR('Similarity matrix'!BR96/'Denominator matrix'!$I$20, "NA")</f>
        <v>0</v>
      </c>
      <c r="BS96" s="153">
        <f>IFERROR('Similarity matrix'!BS96/'Denominator matrix'!$J$20, "NA")</f>
        <v>0</v>
      </c>
      <c r="BT96" s="153">
        <f>IFERROR('Similarity matrix'!BT96/'Denominator matrix'!$K$20, "NA")</f>
        <v>0</v>
      </c>
      <c r="BU96" s="154">
        <f>IFERROR('Similarity matrix'!BU96/'Denominator matrix'!$B$20, "NA")</f>
        <v>0</v>
      </c>
      <c r="BV96" s="153">
        <f>IFERROR('Similarity matrix'!BV96/'Denominator matrix'!$C$20, "NA")</f>
        <v>0</v>
      </c>
      <c r="BW96" s="153">
        <f>IFERROR('Similarity matrix'!BW96/'Denominator matrix'!$D$20, "NA")</f>
        <v>0</v>
      </c>
      <c r="BX96" s="156">
        <f>IFERROR('Similarity matrix'!BX96/'Denominator matrix'!$E$20, "NA")</f>
        <v>0</v>
      </c>
      <c r="BY96" s="153">
        <f>IFERROR('Similarity matrix'!BY96/'Denominator matrix'!$F$20, "NA")</f>
        <v>0</v>
      </c>
      <c r="BZ96" s="153">
        <f>IFERROR('Similarity matrix'!BZ96/'Denominator matrix'!$G$20, "NA")</f>
        <v>0</v>
      </c>
      <c r="CA96" s="153">
        <f>IFERROR('Similarity matrix'!CA96/'Denominator matrix'!$H$20, "NA")</f>
        <v>0</v>
      </c>
      <c r="CB96" s="153">
        <f>IFERROR('Similarity matrix'!CB96/'Denominator matrix'!$I$20, "NA")</f>
        <v>0</v>
      </c>
      <c r="CC96" s="153">
        <f>IFERROR('Similarity matrix'!CC96/'Denominator matrix'!$J$20, "NA")</f>
        <v>0</v>
      </c>
      <c r="CD96" s="153">
        <f>IFERROR('Similarity matrix'!CD96/'Denominator matrix'!$K$20, "NA")</f>
        <v>0</v>
      </c>
      <c r="CE96" s="154">
        <f>IFERROR('Similarity matrix'!CE96/'Denominator matrix'!$B$20, "NA")</f>
        <v>0</v>
      </c>
      <c r="CF96" s="153">
        <f>IFERROR('Similarity matrix'!CF96/'Denominator matrix'!$C$20, "NA")</f>
        <v>0</v>
      </c>
      <c r="CG96" s="153">
        <f>IFERROR('Similarity matrix'!CG96/'Denominator matrix'!$D$20, "NA")</f>
        <v>0</v>
      </c>
      <c r="CH96" s="156">
        <f>IFERROR('Similarity matrix'!CH96/'Denominator matrix'!$E$20, "NA")</f>
        <v>0</v>
      </c>
      <c r="CI96" s="153">
        <f>IFERROR('Similarity matrix'!CI96/'Denominator matrix'!$F$20, "NA")</f>
        <v>0</v>
      </c>
      <c r="CJ96" s="153">
        <f>IFERROR('Similarity matrix'!CJ96/'Denominator matrix'!$G$20, "NA")</f>
        <v>0</v>
      </c>
      <c r="CK96" s="153">
        <f>IFERROR('Similarity matrix'!CK96/'Denominator matrix'!$H$20, "NA")</f>
        <v>0</v>
      </c>
      <c r="CL96" s="153">
        <f>IFERROR('Similarity matrix'!CL96/'Denominator matrix'!$I$20, "NA")</f>
        <v>0</v>
      </c>
      <c r="CM96" s="153">
        <f>IFERROR('Similarity matrix'!CM96/'Denominator matrix'!$J$20, "NA")</f>
        <v>0</v>
      </c>
      <c r="CN96" s="153">
        <f>IFERROR('Similarity matrix'!CN96/'Denominator matrix'!$K$20, "NA")</f>
        <v>0.25</v>
      </c>
      <c r="CO96" s="154">
        <f>IFERROR('Similarity matrix'!CO96/'Denominator matrix'!$B$20, "NA")</f>
        <v>0.5</v>
      </c>
      <c r="CP96" s="153">
        <f>IFERROR('Similarity matrix'!CP96/'Denominator matrix'!$C$20, "NA")</f>
        <v>1</v>
      </c>
      <c r="CQ96" s="153">
        <f>IFERROR('Similarity matrix'!CQ96/'Denominator matrix'!$D$20, "NA")</f>
        <v>0.75</v>
      </c>
      <c r="CR96" s="155">
        <f>IFERROR('Similarity matrix'!CR96/'Denominator matrix'!$E$20, "NA")</f>
        <v>0</v>
      </c>
      <c r="CS96" s="153">
        <f>IFERROR('Similarity matrix'!CS96/'Denominator matrix'!$F$20, "NA")</f>
        <v>0.75</v>
      </c>
      <c r="CT96" s="153">
        <f>IFERROR('Similarity matrix'!CT96/'Denominator matrix'!$G$20, "NA")</f>
        <v>0.5</v>
      </c>
      <c r="CU96" s="153">
        <f>IFERROR('Similarity matrix'!CU96/'Denominator matrix'!$H$20, "NA")</f>
        <v>1</v>
      </c>
      <c r="CV96" s="153">
        <f>IFERROR('Similarity matrix'!CV96/'Denominator matrix'!$I$20, "NA")</f>
        <v>1</v>
      </c>
      <c r="CW96" s="153">
        <f>IFERROR('Similarity matrix'!CW96/'Denominator matrix'!$J$20, "NA")</f>
        <v>1</v>
      </c>
      <c r="CX96" s="153">
        <f>IFERROR('Similarity matrix'!CX96/'Denominator matrix'!$K$20, "NA")</f>
        <v>0.75</v>
      </c>
    </row>
    <row r="97" ht="35.25" customHeight="1">
      <c r="B97" s="124">
        <v>45787.0</v>
      </c>
      <c r="C97" s="154">
        <f>IFERROR('Similarity matrix'!C97/'Denominator matrix'!$B$21, "NA")</f>
        <v>0</v>
      </c>
      <c r="D97" s="153">
        <f>IFERROR('Similarity matrix'!D97/'Denominator matrix'!$C$21, "NA")</f>
        <v>0</v>
      </c>
      <c r="E97" s="153">
        <f>IFERROR('Similarity matrix'!E97/'Denominator matrix'!$D$21, "NA")</f>
        <v>0</v>
      </c>
      <c r="F97" s="153">
        <f>IFERROR('Similarity matrix'!F97/'Denominator matrix'!$E$21, "NA")</f>
        <v>0</v>
      </c>
      <c r="G97" s="156">
        <f>IFERROR('Similarity matrix'!G97/'Denominator matrix'!$F$21, "NA")</f>
        <v>0</v>
      </c>
      <c r="H97" s="153">
        <f>IFERROR('Similarity matrix'!H97/'Denominator matrix'!$G$21, "NA")</f>
        <v>0</v>
      </c>
      <c r="I97" s="153">
        <f>IFERROR('Similarity matrix'!I97/'Denominator matrix'!$H$21, "NA")</f>
        <v>0</v>
      </c>
      <c r="J97" s="153">
        <f>IFERROR('Similarity matrix'!J97/'Denominator matrix'!$I$21, "NA")</f>
        <v>0</v>
      </c>
      <c r="K97" s="153">
        <f>IFERROR('Similarity matrix'!K97/'Denominator matrix'!$J$21, "NA")</f>
        <v>0</v>
      </c>
      <c r="L97" s="153">
        <f>IFERROR('Similarity matrix'!L97/'Denominator matrix'!$K$21, "NA")</f>
        <v>0</v>
      </c>
      <c r="M97" s="154">
        <f>IFERROR('Similarity matrix'!M97/'Denominator matrix'!$B$21, "NA")</f>
        <v>0</v>
      </c>
      <c r="N97" s="153">
        <f>IFERROR('Similarity matrix'!N97/'Denominator matrix'!$C$21, "NA")</f>
        <v>0</v>
      </c>
      <c r="O97" s="153">
        <f>IFERROR('Similarity matrix'!O97/'Denominator matrix'!$D$21, "NA")</f>
        <v>0</v>
      </c>
      <c r="P97" s="153">
        <f>IFERROR('Similarity matrix'!P97/'Denominator matrix'!$E$21, "NA")</f>
        <v>0</v>
      </c>
      <c r="Q97" s="156">
        <f>IFERROR('Similarity matrix'!Q97/'Denominator matrix'!$F$21, "NA")</f>
        <v>0</v>
      </c>
      <c r="R97" s="153">
        <f>IFERROR('Similarity matrix'!R97/'Denominator matrix'!$G$21, "NA")</f>
        <v>0</v>
      </c>
      <c r="S97" s="153">
        <f>IFERROR('Similarity matrix'!S97/'Denominator matrix'!$H$21, "NA")</f>
        <v>0</v>
      </c>
      <c r="T97" s="153">
        <f>IFERROR('Similarity matrix'!T97/'Denominator matrix'!$I$21, "NA")</f>
        <v>0</v>
      </c>
      <c r="U97" s="153">
        <f>IFERROR('Similarity matrix'!U97/'Denominator matrix'!$J$21, "NA")</f>
        <v>0</v>
      </c>
      <c r="V97" s="153">
        <f>IFERROR('Similarity matrix'!V97/'Denominator matrix'!$K$21, "NA")</f>
        <v>0</v>
      </c>
      <c r="W97" s="154">
        <f>IFERROR('Similarity matrix'!W97/'Denominator matrix'!$B$21, "NA")</f>
        <v>0</v>
      </c>
      <c r="X97" s="153">
        <f>IFERROR('Similarity matrix'!X97/'Denominator matrix'!$C$21, "NA")</f>
        <v>0</v>
      </c>
      <c r="Y97" s="153">
        <f>IFERROR('Similarity matrix'!Y97/'Denominator matrix'!$D$21, "NA")</f>
        <v>0</v>
      </c>
      <c r="Z97" s="153">
        <f>IFERROR('Similarity matrix'!Z97/'Denominator matrix'!$E$21, "NA")</f>
        <v>0</v>
      </c>
      <c r="AA97" s="156">
        <f>IFERROR('Similarity matrix'!AA97/'Denominator matrix'!$F$21, "NA")</f>
        <v>0</v>
      </c>
      <c r="AB97" s="153">
        <f>IFERROR('Similarity matrix'!AB97/'Denominator matrix'!$G$21, "NA")</f>
        <v>0</v>
      </c>
      <c r="AC97" s="153">
        <f>IFERROR('Similarity matrix'!AC97/'Denominator matrix'!$H$21, "NA")</f>
        <v>0</v>
      </c>
      <c r="AD97" s="153">
        <f>IFERROR('Similarity matrix'!AD97/'Denominator matrix'!$I$21, "NA")</f>
        <v>0</v>
      </c>
      <c r="AE97" s="153">
        <f>IFERROR('Similarity matrix'!AE97/'Denominator matrix'!$J$21, "NA")</f>
        <v>0</v>
      </c>
      <c r="AF97" s="153">
        <f>IFERROR('Similarity matrix'!AF97/'Denominator matrix'!$K$21, "NA")</f>
        <v>0</v>
      </c>
      <c r="AG97" s="154">
        <f>IFERROR('Similarity matrix'!AG97/'Denominator matrix'!$B$21, "NA")</f>
        <v>0</v>
      </c>
      <c r="AH97" s="153">
        <f>IFERROR('Similarity matrix'!AH97/'Denominator matrix'!$C$21, "NA")</f>
        <v>0</v>
      </c>
      <c r="AI97" s="153">
        <f>IFERROR('Similarity matrix'!AI97/'Denominator matrix'!$D$21, "NA")</f>
        <v>0</v>
      </c>
      <c r="AJ97" s="153">
        <f>IFERROR('Similarity matrix'!AJ97/'Denominator matrix'!$E$21, "NA")</f>
        <v>0</v>
      </c>
      <c r="AK97" s="156">
        <f>IFERROR('Similarity matrix'!AK97/'Denominator matrix'!$F$21, "NA")</f>
        <v>0</v>
      </c>
      <c r="AL97" s="153">
        <f>IFERROR('Similarity matrix'!AL97/'Denominator matrix'!$G$21, "NA")</f>
        <v>0</v>
      </c>
      <c r="AM97" s="153">
        <f>IFERROR('Similarity matrix'!AM97/'Denominator matrix'!$H$21, "NA")</f>
        <v>0</v>
      </c>
      <c r="AN97" s="153">
        <f>IFERROR('Similarity matrix'!AN97/'Denominator matrix'!$I$21, "NA")</f>
        <v>0</v>
      </c>
      <c r="AO97" s="153">
        <f>IFERROR('Similarity matrix'!AO97/'Denominator matrix'!$J$21, "NA")</f>
        <v>0</v>
      </c>
      <c r="AP97" s="153">
        <f>IFERROR('Similarity matrix'!AP97/'Denominator matrix'!$K$21, "NA")</f>
        <v>0</v>
      </c>
      <c r="AQ97" s="154">
        <f>IFERROR('Similarity matrix'!AQ97/'Denominator matrix'!$B$21, "NA")</f>
        <v>0</v>
      </c>
      <c r="AR97" s="153">
        <f>IFERROR('Similarity matrix'!AR97/'Denominator matrix'!$C$21, "NA")</f>
        <v>0</v>
      </c>
      <c r="AS97" s="153">
        <f>IFERROR('Similarity matrix'!AS97/'Denominator matrix'!$D$21, "NA")</f>
        <v>0</v>
      </c>
      <c r="AT97" s="153">
        <f>IFERROR('Similarity matrix'!AT97/'Denominator matrix'!$E$21, "NA")</f>
        <v>0</v>
      </c>
      <c r="AU97" s="156">
        <f>IFERROR('Similarity matrix'!AU97/'Denominator matrix'!$F$21, "NA")</f>
        <v>0</v>
      </c>
      <c r="AV97" s="153">
        <f>IFERROR('Similarity matrix'!AV97/'Denominator matrix'!$G$21, "NA")</f>
        <v>0</v>
      </c>
      <c r="AW97" s="153">
        <f>IFERROR('Similarity matrix'!AW97/'Denominator matrix'!$H$21, "NA")</f>
        <v>0</v>
      </c>
      <c r="AX97" s="153">
        <f>IFERROR('Similarity matrix'!AX97/'Denominator matrix'!$I$21, "NA")</f>
        <v>0</v>
      </c>
      <c r="AY97" s="153">
        <f>IFERROR('Similarity matrix'!AY97/'Denominator matrix'!$J$21, "NA")</f>
        <v>0</v>
      </c>
      <c r="AZ97" s="153">
        <f>IFERROR('Similarity matrix'!AZ97/'Denominator matrix'!$K$21, "NA")</f>
        <v>0</v>
      </c>
      <c r="BA97" s="154">
        <f>IFERROR('Similarity matrix'!BA97/'Denominator matrix'!$B$21, "NA")</f>
        <v>0</v>
      </c>
      <c r="BB97" s="153">
        <f>IFERROR('Similarity matrix'!BB97/'Denominator matrix'!$C$21, "NA")</f>
        <v>0</v>
      </c>
      <c r="BC97" s="153">
        <f>IFERROR('Similarity matrix'!BC97/'Denominator matrix'!$D$21, "NA")</f>
        <v>0</v>
      </c>
      <c r="BD97" s="153">
        <f>IFERROR('Similarity matrix'!BD97/'Denominator matrix'!$E$21, "NA")</f>
        <v>0</v>
      </c>
      <c r="BE97" s="156">
        <f>IFERROR('Similarity matrix'!BE97/'Denominator matrix'!$F$21, "NA")</f>
        <v>0</v>
      </c>
      <c r="BF97" s="153">
        <f>IFERROR('Similarity matrix'!BF97/'Denominator matrix'!$G$21, "NA")</f>
        <v>0</v>
      </c>
      <c r="BG97" s="153">
        <f>IFERROR('Similarity matrix'!BG97/'Denominator matrix'!$H$21, "NA")</f>
        <v>0</v>
      </c>
      <c r="BH97" s="153">
        <f>IFERROR('Similarity matrix'!BH97/'Denominator matrix'!$I$21, "NA")</f>
        <v>0</v>
      </c>
      <c r="BI97" s="153">
        <f>IFERROR('Similarity matrix'!BI97/'Denominator matrix'!$J$21, "NA")</f>
        <v>0</v>
      </c>
      <c r="BJ97" s="153">
        <f>IFERROR('Similarity matrix'!BJ97/'Denominator matrix'!$K$21, "NA")</f>
        <v>0</v>
      </c>
      <c r="BK97" s="154">
        <f>IFERROR('Similarity matrix'!BK97/'Denominator matrix'!$B$21, "NA")</f>
        <v>0</v>
      </c>
      <c r="BL97" s="153">
        <f>IFERROR('Similarity matrix'!BL97/'Denominator matrix'!$C$21, "NA")</f>
        <v>0</v>
      </c>
      <c r="BM97" s="153">
        <f>IFERROR('Similarity matrix'!BM97/'Denominator matrix'!$D$21, "NA")</f>
        <v>0</v>
      </c>
      <c r="BN97" s="153">
        <f>IFERROR('Similarity matrix'!BN97/'Denominator matrix'!$E$21, "NA")</f>
        <v>0</v>
      </c>
      <c r="BO97" s="156">
        <f>IFERROR('Similarity matrix'!BO97/'Denominator matrix'!$F$21, "NA")</f>
        <v>0</v>
      </c>
      <c r="BP97" s="153">
        <f>IFERROR('Similarity matrix'!BP97/'Denominator matrix'!$G$21, "NA")</f>
        <v>0</v>
      </c>
      <c r="BQ97" s="153">
        <f>IFERROR('Similarity matrix'!BQ97/'Denominator matrix'!$H$21, "NA")</f>
        <v>0</v>
      </c>
      <c r="BR97" s="153">
        <f>IFERROR('Similarity matrix'!BR97/'Denominator matrix'!$I$21, "NA")</f>
        <v>0</v>
      </c>
      <c r="BS97" s="153">
        <f>IFERROR('Similarity matrix'!BS97/'Denominator matrix'!$J$21, "NA")</f>
        <v>0</v>
      </c>
      <c r="BT97" s="153">
        <f>IFERROR('Similarity matrix'!BT97/'Denominator matrix'!$K$21, "NA")</f>
        <v>0</v>
      </c>
      <c r="BU97" s="154">
        <f>IFERROR('Similarity matrix'!BU97/'Denominator matrix'!$B$21, "NA")</f>
        <v>0</v>
      </c>
      <c r="BV97" s="153">
        <f>IFERROR('Similarity matrix'!BV97/'Denominator matrix'!$C$21, "NA")</f>
        <v>0</v>
      </c>
      <c r="BW97" s="153">
        <f>IFERROR('Similarity matrix'!BW97/'Denominator matrix'!$D$21, "NA")</f>
        <v>0</v>
      </c>
      <c r="BX97" s="153">
        <f>IFERROR('Similarity matrix'!BX97/'Denominator matrix'!$E$21, "NA")</f>
        <v>0</v>
      </c>
      <c r="BY97" s="156">
        <f>IFERROR('Similarity matrix'!BY97/'Denominator matrix'!$F$21, "NA")</f>
        <v>0</v>
      </c>
      <c r="BZ97" s="153">
        <f>IFERROR('Similarity matrix'!BZ97/'Denominator matrix'!$G$21, "NA")</f>
        <v>0</v>
      </c>
      <c r="CA97" s="153">
        <f>IFERROR('Similarity matrix'!CA97/'Denominator matrix'!$H$21, "NA")</f>
        <v>0</v>
      </c>
      <c r="CB97" s="153">
        <f>IFERROR('Similarity matrix'!CB97/'Denominator matrix'!$I$21, "NA")</f>
        <v>0</v>
      </c>
      <c r="CC97" s="153">
        <f>IFERROR('Similarity matrix'!CC97/'Denominator matrix'!$J$21, "NA")</f>
        <v>0</v>
      </c>
      <c r="CD97" s="153">
        <f>IFERROR('Similarity matrix'!CD97/'Denominator matrix'!$K$21, "NA")</f>
        <v>0</v>
      </c>
      <c r="CE97" s="154">
        <f>IFERROR('Similarity matrix'!CE97/'Denominator matrix'!$B$21, "NA")</f>
        <v>0</v>
      </c>
      <c r="CF97" s="153">
        <f>IFERROR('Similarity matrix'!CF97/'Denominator matrix'!$C$21, "NA")</f>
        <v>0</v>
      </c>
      <c r="CG97" s="153">
        <f>IFERROR('Similarity matrix'!CG97/'Denominator matrix'!$D$21, "NA")</f>
        <v>0</v>
      </c>
      <c r="CH97" s="153">
        <f>IFERROR('Similarity matrix'!CH97/'Denominator matrix'!$E$21, "NA")</f>
        <v>0</v>
      </c>
      <c r="CI97" s="156">
        <f>IFERROR('Similarity matrix'!CI97/'Denominator matrix'!$F$21, "NA")</f>
        <v>0</v>
      </c>
      <c r="CJ97" s="153">
        <f>IFERROR('Similarity matrix'!CJ97/'Denominator matrix'!$G$21, "NA")</f>
        <v>0</v>
      </c>
      <c r="CK97" s="153">
        <f>IFERROR('Similarity matrix'!CK97/'Denominator matrix'!$H$21, "NA")</f>
        <v>0</v>
      </c>
      <c r="CL97" s="153">
        <f>IFERROR('Similarity matrix'!CL97/'Denominator matrix'!$I$21, "NA")</f>
        <v>0</v>
      </c>
      <c r="CM97" s="153">
        <f>IFERROR('Similarity matrix'!CM97/'Denominator matrix'!$J$21, "NA")</f>
        <v>0</v>
      </c>
      <c r="CN97" s="153">
        <f>IFERROR('Similarity matrix'!CN97/'Denominator matrix'!$K$21, "NA")</f>
        <v>0</v>
      </c>
      <c r="CO97" s="154">
        <f>IFERROR('Similarity matrix'!CO97/'Denominator matrix'!$B$21, "NA")</f>
        <v>0.8</v>
      </c>
      <c r="CP97" s="153">
        <f>IFERROR('Similarity matrix'!CP97/'Denominator matrix'!$C$21, "NA")</f>
        <v>1</v>
      </c>
      <c r="CQ97" s="153">
        <f>IFERROR('Similarity matrix'!CQ97/'Denominator matrix'!$D$21, "NA")</f>
        <v>0.75</v>
      </c>
      <c r="CR97" s="153">
        <f>IFERROR('Similarity matrix'!CR97/'Denominator matrix'!$E$21, "NA")</f>
        <v>1</v>
      </c>
      <c r="CS97" s="155">
        <f>IFERROR('Similarity matrix'!CS97/'Denominator matrix'!$F$21, "NA")</f>
        <v>0</v>
      </c>
      <c r="CT97" s="153">
        <f>IFERROR('Similarity matrix'!CT97/'Denominator matrix'!$G$21, "NA")</f>
        <v>1</v>
      </c>
      <c r="CU97" s="153">
        <f>IFERROR('Similarity matrix'!CU97/'Denominator matrix'!$H$21, "NA")</f>
        <v>0.75</v>
      </c>
      <c r="CV97" s="153">
        <f>IFERROR('Similarity matrix'!CV97/'Denominator matrix'!$I$21, "NA")</f>
        <v>0.9</v>
      </c>
      <c r="CW97" s="153">
        <f>IFERROR('Similarity matrix'!CW97/'Denominator matrix'!$J$21, "NA")</f>
        <v>0.8333333333</v>
      </c>
      <c r="CX97" s="153">
        <f>IFERROR('Similarity matrix'!CX97/'Denominator matrix'!$K$21, "NA")</f>
        <v>1</v>
      </c>
    </row>
    <row r="98" ht="35.25" customHeight="1">
      <c r="B98" s="124">
        <v>45818.0</v>
      </c>
      <c r="C98" s="154">
        <f>IFERROR('Similarity matrix'!C98/'Denominator matrix'!$B$22, "NA")</f>
        <v>0</v>
      </c>
      <c r="D98" s="153">
        <f>IFERROR('Similarity matrix'!D98/'Denominator matrix'!$C$22, "NA")</f>
        <v>0</v>
      </c>
      <c r="E98" s="153">
        <f>IFERROR('Similarity matrix'!E98/'Denominator matrix'!$D$22, "NA")</f>
        <v>0</v>
      </c>
      <c r="F98" s="153">
        <f>IFERROR('Similarity matrix'!F98/'Denominator matrix'!$E$22, "NA")</f>
        <v>0</v>
      </c>
      <c r="G98" s="153">
        <f>IFERROR('Similarity matrix'!G98/'Denominator matrix'!$F$22, "NA")</f>
        <v>0</v>
      </c>
      <c r="H98" s="156">
        <f>IFERROR('Similarity matrix'!H98/'Denominator matrix'!$G$22, "NA")</f>
        <v>0</v>
      </c>
      <c r="I98" s="153">
        <f>IFERROR('Similarity matrix'!I98/'Denominator matrix'!$H$22, "NA")</f>
        <v>0</v>
      </c>
      <c r="J98" s="153">
        <f>IFERROR('Similarity matrix'!J98/'Denominator matrix'!$I$22, "NA")</f>
        <v>0</v>
      </c>
      <c r="K98" s="153">
        <f>IFERROR('Similarity matrix'!K98/'Denominator matrix'!$J$22, "NA")</f>
        <v>0</v>
      </c>
      <c r="L98" s="153">
        <f>IFERROR('Similarity matrix'!L98/'Denominator matrix'!$K$22, "NA")</f>
        <v>0</v>
      </c>
      <c r="M98" s="154">
        <f>IFERROR('Similarity matrix'!M98/'Denominator matrix'!$B$22, "NA")</f>
        <v>0</v>
      </c>
      <c r="N98" s="153">
        <f>IFERROR('Similarity matrix'!N98/'Denominator matrix'!$C$22, "NA")</f>
        <v>0</v>
      </c>
      <c r="O98" s="153">
        <f>IFERROR('Similarity matrix'!O98/'Denominator matrix'!$D$22, "NA")</f>
        <v>0</v>
      </c>
      <c r="P98" s="153">
        <f>IFERROR('Similarity matrix'!P98/'Denominator matrix'!$E$22, "NA")</f>
        <v>0</v>
      </c>
      <c r="Q98" s="153">
        <f>IFERROR('Similarity matrix'!Q98/'Denominator matrix'!$F$22, "NA")</f>
        <v>0</v>
      </c>
      <c r="R98" s="156">
        <f>IFERROR('Similarity matrix'!R98/'Denominator matrix'!$G$22, "NA")</f>
        <v>0</v>
      </c>
      <c r="S98" s="153">
        <f>IFERROR('Similarity matrix'!S98/'Denominator matrix'!$H$22, "NA")</f>
        <v>0</v>
      </c>
      <c r="T98" s="153">
        <f>IFERROR('Similarity matrix'!T98/'Denominator matrix'!$I$22, "NA")</f>
        <v>0</v>
      </c>
      <c r="U98" s="153">
        <f>IFERROR('Similarity matrix'!U98/'Denominator matrix'!$J$22, "NA")</f>
        <v>0</v>
      </c>
      <c r="V98" s="153">
        <f>IFERROR('Similarity matrix'!V98/'Denominator matrix'!$K$22, "NA")</f>
        <v>0</v>
      </c>
      <c r="W98" s="154">
        <f>IFERROR('Similarity matrix'!W98/'Denominator matrix'!$B$22, "NA")</f>
        <v>0</v>
      </c>
      <c r="X98" s="153">
        <f>IFERROR('Similarity matrix'!X98/'Denominator matrix'!$C$22, "NA")</f>
        <v>0</v>
      </c>
      <c r="Y98" s="153">
        <f>IFERROR('Similarity matrix'!Y98/'Denominator matrix'!$D$22, "NA")</f>
        <v>0</v>
      </c>
      <c r="Z98" s="153">
        <f>IFERROR('Similarity matrix'!Z98/'Denominator matrix'!$E$22, "NA")</f>
        <v>0</v>
      </c>
      <c r="AA98" s="153">
        <f>IFERROR('Similarity matrix'!AA98/'Denominator matrix'!$F$22, "NA")</f>
        <v>0</v>
      </c>
      <c r="AB98" s="156">
        <f>IFERROR('Similarity matrix'!AB98/'Denominator matrix'!$G$22, "NA")</f>
        <v>0</v>
      </c>
      <c r="AC98" s="153">
        <f>IFERROR('Similarity matrix'!AC98/'Denominator matrix'!$H$22, "NA")</f>
        <v>0</v>
      </c>
      <c r="AD98" s="153">
        <f>IFERROR('Similarity matrix'!AD98/'Denominator matrix'!$I$22, "NA")</f>
        <v>0</v>
      </c>
      <c r="AE98" s="153">
        <f>IFERROR('Similarity matrix'!AE98/'Denominator matrix'!$J$22, "NA")</f>
        <v>0</v>
      </c>
      <c r="AF98" s="153">
        <f>IFERROR('Similarity matrix'!AF98/'Denominator matrix'!$K$22, "NA")</f>
        <v>0</v>
      </c>
      <c r="AG98" s="154">
        <f>IFERROR('Similarity matrix'!AG98/'Denominator matrix'!$B$22, "NA")</f>
        <v>0</v>
      </c>
      <c r="AH98" s="153">
        <f>IFERROR('Similarity matrix'!AH98/'Denominator matrix'!$C$22, "NA")</f>
        <v>0</v>
      </c>
      <c r="AI98" s="153">
        <f>IFERROR('Similarity matrix'!AI98/'Denominator matrix'!$D$22, "NA")</f>
        <v>0</v>
      </c>
      <c r="AJ98" s="153">
        <f>IFERROR('Similarity matrix'!AJ98/'Denominator matrix'!$E$22, "NA")</f>
        <v>0</v>
      </c>
      <c r="AK98" s="153">
        <f>IFERROR('Similarity matrix'!AK98/'Denominator matrix'!$F$22, "NA")</f>
        <v>0</v>
      </c>
      <c r="AL98" s="156">
        <f>IFERROR('Similarity matrix'!AL98/'Denominator matrix'!$G$22, "NA")</f>
        <v>0</v>
      </c>
      <c r="AM98" s="153">
        <f>IFERROR('Similarity matrix'!AM98/'Denominator matrix'!$H$22, "NA")</f>
        <v>0</v>
      </c>
      <c r="AN98" s="153">
        <f>IFERROR('Similarity matrix'!AN98/'Denominator matrix'!$I$22, "NA")</f>
        <v>0</v>
      </c>
      <c r="AO98" s="153">
        <f>IFERROR('Similarity matrix'!AO98/'Denominator matrix'!$J$22, "NA")</f>
        <v>0</v>
      </c>
      <c r="AP98" s="153">
        <f>IFERROR('Similarity matrix'!AP98/'Denominator matrix'!$K$22, "NA")</f>
        <v>0</v>
      </c>
      <c r="AQ98" s="154">
        <f>IFERROR('Similarity matrix'!AQ98/'Denominator matrix'!$B$22, "NA")</f>
        <v>0</v>
      </c>
      <c r="AR98" s="153">
        <f>IFERROR('Similarity matrix'!AR98/'Denominator matrix'!$C$22, "NA")</f>
        <v>0</v>
      </c>
      <c r="AS98" s="153">
        <f>IFERROR('Similarity matrix'!AS98/'Denominator matrix'!$D$22, "NA")</f>
        <v>0</v>
      </c>
      <c r="AT98" s="153">
        <f>IFERROR('Similarity matrix'!AT98/'Denominator matrix'!$E$22, "NA")</f>
        <v>0</v>
      </c>
      <c r="AU98" s="153">
        <f>IFERROR('Similarity matrix'!AU98/'Denominator matrix'!$F$22, "NA")</f>
        <v>0</v>
      </c>
      <c r="AV98" s="156">
        <f>IFERROR('Similarity matrix'!AV98/'Denominator matrix'!$G$22, "NA")</f>
        <v>0</v>
      </c>
      <c r="AW98" s="153">
        <f>IFERROR('Similarity matrix'!AW98/'Denominator matrix'!$H$22, "NA")</f>
        <v>0</v>
      </c>
      <c r="AX98" s="153">
        <f>IFERROR('Similarity matrix'!AX98/'Denominator matrix'!$I$22, "NA")</f>
        <v>0</v>
      </c>
      <c r="AY98" s="153">
        <f>IFERROR('Similarity matrix'!AY98/'Denominator matrix'!$J$22, "NA")</f>
        <v>0</v>
      </c>
      <c r="AZ98" s="153">
        <f>IFERROR('Similarity matrix'!AZ98/'Denominator matrix'!$K$22, "NA")</f>
        <v>0</v>
      </c>
      <c r="BA98" s="154">
        <f>IFERROR('Similarity matrix'!BA98/'Denominator matrix'!$B$22, "NA")</f>
        <v>0</v>
      </c>
      <c r="BB98" s="153">
        <f>IFERROR('Similarity matrix'!BB98/'Denominator matrix'!$C$22, "NA")</f>
        <v>0</v>
      </c>
      <c r="BC98" s="153">
        <f>IFERROR('Similarity matrix'!BC98/'Denominator matrix'!$D$22, "NA")</f>
        <v>0</v>
      </c>
      <c r="BD98" s="153">
        <f>IFERROR('Similarity matrix'!BD98/'Denominator matrix'!$E$22, "NA")</f>
        <v>0</v>
      </c>
      <c r="BE98" s="153">
        <f>IFERROR('Similarity matrix'!BE98/'Denominator matrix'!$F$22, "NA")</f>
        <v>0</v>
      </c>
      <c r="BF98" s="156">
        <f>IFERROR('Similarity matrix'!BF98/'Denominator matrix'!$G$22, "NA")</f>
        <v>0</v>
      </c>
      <c r="BG98" s="153">
        <f>IFERROR('Similarity matrix'!BG98/'Denominator matrix'!$H$22, "NA")</f>
        <v>0</v>
      </c>
      <c r="BH98" s="153">
        <f>IFERROR('Similarity matrix'!BH98/'Denominator matrix'!$I$22, "NA")</f>
        <v>0</v>
      </c>
      <c r="BI98" s="153">
        <f>IFERROR('Similarity matrix'!BI98/'Denominator matrix'!$J$22, "NA")</f>
        <v>0</v>
      </c>
      <c r="BJ98" s="153">
        <f>IFERROR('Similarity matrix'!BJ98/'Denominator matrix'!$K$22, "NA")</f>
        <v>0</v>
      </c>
      <c r="BK98" s="154">
        <f>IFERROR('Similarity matrix'!BK98/'Denominator matrix'!$B$22, "NA")</f>
        <v>0</v>
      </c>
      <c r="BL98" s="153">
        <f>IFERROR('Similarity matrix'!BL98/'Denominator matrix'!$C$22, "NA")</f>
        <v>0</v>
      </c>
      <c r="BM98" s="153">
        <f>IFERROR('Similarity matrix'!BM98/'Denominator matrix'!$D$22, "NA")</f>
        <v>0</v>
      </c>
      <c r="BN98" s="153">
        <f>IFERROR('Similarity matrix'!BN98/'Denominator matrix'!$E$22, "NA")</f>
        <v>0</v>
      </c>
      <c r="BO98" s="153">
        <f>IFERROR('Similarity matrix'!BO98/'Denominator matrix'!$F$22, "NA")</f>
        <v>0</v>
      </c>
      <c r="BP98" s="156">
        <f>IFERROR('Similarity matrix'!BP98/'Denominator matrix'!$G$22, "NA")</f>
        <v>0</v>
      </c>
      <c r="BQ98" s="153">
        <f>IFERROR('Similarity matrix'!BQ98/'Denominator matrix'!$H$22, "NA")</f>
        <v>0</v>
      </c>
      <c r="BR98" s="153">
        <f>IFERROR('Similarity matrix'!BR98/'Denominator matrix'!$I$22, "NA")</f>
        <v>0</v>
      </c>
      <c r="BS98" s="153">
        <f>IFERROR('Similarity matrix'!BS98/'Denominator matrix'!$J$22, "NA")</f>
        <v>0</v>
      </c>
      <c r="BT98" s="153">
        <f>IFERROR('Similarity matrix'!BT98/'Denominator matrix'!$K$22, "NA")</f>
        <v>0</v>
      </c>
      <c r="BU98" s="154">
        <f>IFERROR('Similarity matrix'!BU98/'Denominator matrix'!$B$22, "NA")</f>
        <v>0</v>
      </c>
      <c r="BV98" s="153">
        <f>IFERROR('Similarity matrix'!BV98/'Denominator matrix'!$C$22, "NA")</f>
        <v>0</v>
      </c>
      <c r="BW98" s="153">
        <f>IFERROR('Similarity matrix'!BW98/'Denominator matrix'!$D$22, "NA")</f>
        <v>0</v>
      </c>
      <c r="BX98" s="153">
        <f>IFERROR('Similarity matrix'!BX98/'Denominator matrix'!$E$22, "NA")</f>
        <v>0</v>
      </c>
      <c r="BY98" s="153">
        <f>IFERROR('Similarity matrix'!BY98/'Denominator matrix'!$F$22, "NA")</f>
        <v>0</v>
      </c>
      <c r="BZ98" s="156">
        <f>IFERROR('Similarity matrix'!BZ98/'Denominator matrix'!$G$22, "NA")</f>
        <v>0</v>
      </c>
      <c r="CA98" s="153">
        <f>IFERROR('Similarity matrix'!CA98/'Denominator matrix'!$H$22, "NA")</f>
        <v>0</v>
      </c>
      <c r="CB98" s="153">
        <f>IFERROR('Similarity matrix'!CB98/'Denominator matrix'!$I$22, "NA")</f>
        <v>0</v>
      </c>
      <c r="CC98" s="153">
        <f>IFERROR('Similarity matrix'!CC98/'Denominator matrix'!$J$22, "NA")</f>
        <v>0</v>
      </c>
      <c r="CD98" s="153">
        <f>IFERROR('Similarity matrix'!CD98/'Denominator matrix'!$K$22, "NA")</f>
        <v>0</v>
      </c>
      <c r="CE98" s="154">
        <f>IFERROR('Similarity matrix'!CE98/'Denominator matrix'!$B$22, "NA")</f>
        <v>0</v>
      </c>
      <c r="CF98" s="153">
        <f>IFERROR('Similarity matrix'!CF98/'Denominator matrix'!$C$22, "NA")</f>
        <v>0</v>
      </c>
      <c r="CG98" s="153">
        <f>IFERROR('Similarity matrix'!CG98/'Denominator matrix'!$D$22, "NA")</f>
        <v>0</v>
      </c>
      <c r="CH98" s="153">
        <f>IFERROR('Similarity matrix'!CH98/'Denominator matrix'!$E$22, "NA")</f>
        <v>0</v>
      </c>
      <c r="CI98" s="153">
        <f>IFERROR('Similarity matrix'!CI98/'Denominator matrix'!$F$22, "NA")</f>
        <v>0</v>
      </c>
      <c r="CJ98" s="156">
        <f>IFERROR('Similarity matrix'!CJ98/'Denominator matrix'!$G$22, "NA")</f>
        <v>0</v>
      </c>
      <c r="CK98" s="153">
        <f>IFERROR('Similarity matrix'!CK98/'Denominator matrix'!$H$22, "NA")</f>
        <v>0</v>
      </c>
      <c r="CL98" s="153">
        <f>IFERROR('Similarity matrix'!CL98/'Denominator matrix'!$I$22, "NA")</f>
        <v>0</v>
      </c>
      <c r="CM98" s="153">
        <f>IFERROR('Similarity matrix'!CM98/'Denominator matrix'!$J$22, "NA")</f>
        <v>0</v>
      </c>
      <c r="CN98" s="153">
        <f>IFERROR('Similarity matrix'!CN98/'Denominator matrix'!$K$22, "NA")</f>
        <v>0</v>
      </c>
      <c r="CO98" s="154">
        <f>IFERROR('Similarity matrix'!CO98/'Denominator matrix'!$B$22, "NA")</f>
        <v>0.8</v>
      </c>
      <c r="CP98" s="153">
        <f>IFERROR('Similarity matrix'!CP98/'Denominator matrix'!$C$22, "NA")</f>
        <v>1</v>
      </c>
      <c r="CQ98" s="153">
        <f>IFERROR('Similarity matrix'!CQ98/'Denominator matrix'!$D$22, "NA")</f>
        <v>0.5</v>
      </c>
      <c r="CR98" s="153">
        <f>IFERROR('Similarity matrix'!CR98/'Denominator matrix'!$E$22, "NA")</f>
        <v>0.5</v>
      </c>
      <c r="CS98" s="153">
        <f>IFERROR('Similarity matrix'!CS98/'Denominator matrix'!$F$22, "NA")</f>
        <v>1</v>
      </c>
      <c r="CT98" s="155">
        <f>IFERROR('Similarity matrix'!CT98/'Denominator matrix'!$G$22, "NA")</f>
        <v>0</v>
      </c>
      <c r="CU98" s="153">
        <f>IFERROR('Similarity matrix'!CU98/'Denominator matrix'!$H$22, "NA")</f>
        <v>0.75</v>
      </c>
      <c r="CV98" s="153">
        <f>IFERROR('Similarity matrix'!CV98/'Denominator matrix'!$I$22, "NA")</f>
        <v>1</v>
      </c>
      <c r="CW98" s="153">
        <f>IFERROR('Similarity matrix'!CW98/'Denominator matrix'!$J$22, "NA")</f>
        <v>0.75</v>
      </c>
      <c r="CX98" s="153">
        <f>IFERROR('Similarity matrix'!CX98/'Denominator matrix'!$K$22, "NA")</f>
        <v>0.75</v>
      </c>
    </row>
    <row r="99" ht="35.25" customHeight="1">
      <c r="B99" s="124">
        <v>45848.0</v>
      </c>
      <c r="C99" s="154">
        <f>IFERROR('Similarity matrix'!C99/'Denominator matrix'!$B$23, "NA")</f>
        <v>0</v>
      </c>
      <c r="D99" s="153">
        <f>IFERROR('Similarity matrix'!D99/'Denominator matrix'!$C$23, "NA")</f>
        <v>0</v>
      </c>
      <c r="E99" s="153">
        <f>IFERROR('Similarity matrix'!E99/'Denominator matrix'!$D$23, "NA")</f>
        <v>0</v>
      </c>
      <c r="F99" s="153">
        <f>IFERROR('Similarity matrix'!F99/'Denominator matrix'!$E$23, "NA")</f>
        <v>0</v>
      </c>
      <c r="G99" s="153">
        <f>IFERROR('Similarity matrix'!G99/'Denominator matrix'!$F$23, "NA")</f>
        <v>0</v>
      </c>
      <c r="H99" s="153">
        <f>IFERROR('Similarity matrix'!H99/'Denominator matrix'!$G$23, "NA")</f>
        <v>0</v>
      </c>
      <c r="I99" s="156">
        <f>IFERROR('Similarity matrix'!I99/'Denominator matrix'!$H$23, "NA")</f>
        <v>0</v>
      </c>
      <c r="J99" s="153">
        <f>IFERROR('Similarity matrix'!J99/'Denominator matrix'!$I$23, "NA")</f>
        <v>0</v>
      </c>
      <c r="K99" s="153">
        <f>IFERROR('Similarity matrix'!K99/'Denominator matrix'!$J$23, "NA")</f>
        <v>0</v>
      </c>
      <c r="L99" s="153">
        <f>IFERROR('Similarity matrix'!L99/'Denominator matrix'!$K$23, "NA")</f>
        <v>0</v>
      </c>
      <c r="M99" s="154">
        <f>IFERROR('Similarity matrix'!M99/'Denominator matrix'!$B$23, "NA")</f>
        <v>0</v>
      </c>
      <c r="N99" s="153">
        <f>IFERROR('Similarity matrix'!N99/'Denominator matrix'!$C$23, "NA")</f>
        <v>0</v>
      </c>
      <c r="O99" s="153">
        <f>IFERROR('Similarity matrix'!O99/'Denominator matrix'!$D$23, "NA")</f>
        <v>0</v>
      </c>
      <c r="P99" s="153">
        <f>IFERROR('Similarity matrix'!P99/'Denominator matrix'!$E$23, "NA")</f>
        <v>0</v>
      </c>
      <c r="Q99" s="153">
        <f>IFERROR('Similarity matrix'!Q99/'Denominator matrix'!$F$23, "NA")</f>
        <v>0</v>
      </c>
      <c r="R99" s="153">
        <f>IFERROR('Similarity matrix'!R99/'Denominator matrix'!$G$23, "NA")</f>
        <v>0</v>
      </c>
      <c r="S99" s="156">
        <f>IFERROR('Similarity matrix'!S99/'Denominator matrix'!$H$23, "NA")</f>
        <v>0</v>
      </c>
      <c r="T99" s="153">
        <f>IFERROR('Similarity matrix'!T99/'Denominator matrix'!$I$23, "NA")</f>
        <v>0</v>
      </c>
      <c r="U99" s="153">
        <f>IFERROR('Similarity matrix'!U99/'Denominator matrix'!$J$23, "NA")</f>
        <v>0</v>
      </c>
      <c r="V99" s="153">
        <f>IFERROR('Similarity matrix'!V99/'Denominator matrix'!$K$23, "NA")</f>
        <v>0</v>
      </c>
      <c r="W99" s="154">
        <f>IFERROR('Similarity matrix'!W99/'Denominator matrix'!$B$23, "NA")</f>
        <v>0</v>
      </c>
      <c r="X99" s="153">
        <f>IFERROR('Similarity matrix'!X99/'Denominator matrix'!$C$23, "NA")</f>
        <v>0</v>
      </c>
      <c r="Y99" s="153">
        <f>IFERROR('Similarity matrix'!Y99/'Denominator matrix'!$D$23, "NA")</f>
        <v>0</v>
      </c>
      <c r="Z99" s="153">
        <f>IFERROR('Similarity matrix'!Z99/'Denominator matrix'!$E$23, "NA")</f>
        <v>0</v>
      </c>
      <c r="AA99" s="153">
        <f>IFERROR('Similarity matrix'!AA99/'Denominator matrix'!$F$23, "NA")</f>
        <v>0</v>
      </c>
      <c r="AB99" s="153">
        <f>IFERROR('Similarity matrix'!AB99/'Denominator matrix'!$G$23, "NA")</f>
        <v>0</v>
      </c>
      <c r="AC99" s="156">
        <f>IFERROR('Similarity matrix'!AC99/'Denominator matrix'!$H$23, "NA")</f>
        <v>0</v>
      </c>
      <c r="AD99" s="153">
        <f>IFERROR('Similarity matrix'!AD99/'Denominator matrix'!$I$23, "NA")</f>
        <v>0</v>
      </c>
      <c r="AE99" s="153">
        <f>IFERROR('Similarity matrix'!AE99/'Denominator matrix'!$J$23, "NA")</f>
        <v>0</v>
      </c>
      <c r="AF99" s="153">
        <f>IFERROR('Similarity matrix'!AF99/'Denominator matrix'!$K$23, "NA")</f>
        <v>0</v>
      </c>
      <c r="AG99" s="154">
        <f>IFERROR('Similarity matrix'!AG99/'Denominator matrix'!$B$23, "NA")</f>
        <v>0</v>
      </c>
      <c r="AH99" s="153">
        <f>IFERROR('Similarity matrix'!AH99/'Denominator matrix'!$C$23, "NA")</f>
        <v>0</v>
      </c>
      <c r="AI99" s="153">
        <f>IFERROR('Similarity matrix'!AI99/'Denominator matrix'!$D$23, "NA")</f>
        <v>0</v>
      </c>
      <c r="AJ99" s="153">
        <f>IFERROR('Similarity matrix'!AJ99/'Denominator matrix'!$E$23, "NA")</f>
        <v>0</v>
      </c>
      <c r="AK99" s="153">
        <f>IFERROR('Similarity matrix'!AK99/'Denominator matrix'!$F$23, "NA")</f>
        <v>0</v>
      </c>
      <c r="AL99" s="153">
        <f>IFERROR('Similarity matrix'!AL99/'Denominator matrix'!$G$23, "NA")</f>
        <v>0</v>
      </c>
      <c r="AM99" s="156">
        <f>IFERROR('Similarity matrix'!AM99/'Denominator matrix'!$H$23, "NA")</f>
        <v>0</v>
      </c>
      <c r="AN99" s="153">
        <f>IFERROR('Similarity matrix'!AN99/'Denominator matrix'!$I$23, "NA")</f>
        <v>0</v>
      </c>
      <c r="AO99" s="153">
        <f>IFERROR('Similarity matrix'!AO99/'Denominator matrix'!$J$23, "NA")</f>
        <v>0</v>
      </c>
      <c r="AP99" s="153">
        <f>IFERROR('Similarity matrix'!AP99/'Denominator matrix'!$K$23, "NA")</f>
        <v>0</v>
      </c>
      <c r="AQ99" s="154">
        <f>IFERROR('Similarity matrix'!AQ99/'Denominator matrix'!$B$23, "NA")</f>
        <v>0</v>
      </c>
      <c r="AR99" s="153">
        <f>IFERROR('Similarity matrix'!AR99/'Denominator matrix'!$C$23, "NA")</f>
        <v>0.1666666667</v>
      </c>
      <c r="AS99" s="153">
        <f>IFERROR('Similarity matrix'!AS99/'Denominator matrix'!$D$23, "NA")</f>
        <v>0.125</v>
      </c>
      <c r="AT99" s="153">
        <f>IFERROR('Similarity matrix'!AT99/'Denominator matrix'!$E$23, "NA")</f>
        <v>0.1</v>
      </c>
      <c r="AU99" s="153">
        <f>IFERROR('Similarity matrix'!AU99/'Denominator matrix'!$F$23, "NA")</f>
        <v>0</v>
      </c>
      <c r="AV99" s="153">
        <f>IFERROR('Similarity matrix'!AV99/'Denominator matrix'!$G$23, "NA")</f>
        <v>0</v>
      </c>
      <c r="AW99" s="156">
        <f>IFERROR('Similarity matrix'!AW99/'Denominator matrix'!$H$23, "NA")</f>
        <v>0</v>
      </c>
      <c r="AX99" s="153">
        <f>IFERROR('Similarity matrix'!AX99/'Denominator matrix'!$I$23, "NA")</f>
        <v>0</v>
      </c>
      <c r="AY99" s="153">
        <f>IFERROR('Similarity matrix'!AY99/'Denominator matrix'!$J$23, "NA")</f>
        <v>0</v>
      </c>
      <c r="AZ99" s="153">
        <f>IFERROR('Similarity matrix'!AZ99/'Denominator matrix'!$K$23, "NA")</f>
        <v>0</v>
      </c>
      <c r="BA99" s="154">
        <f>IFERROR('Similarity matrix'!BA99/'Denominator matrix'!$B$23, "NA")</f>
        <v>0</v>
      </c>
      <c r="BB99" s="153">
        <f>IFERROR('Similarity matrix'!BB99/'Denominator matrix'!$C$23, "NA")</f>
        <v>0</v>
      </c>
      <c r="BC99" s="153">
        <f>IFERROR('Similarity matrix'!BC99/'Denominator matrix'!$D$23, "NA")</f>
        <v>0</v>
      </c>
      <c r="BD99" s="153">
        <f>IFERROR('Similarity matrix'!BD99/'Denominator matrix'!$E$23, "NA")</f>
        <v>0</v>
      </c>
      <c r="BE99" s="153">
        <f>IFERROR('Similarity matrix'!BE99/'Denominator matrix'!$F$23, "NA")</f>
        <v>0</v>
      </c>
      <c r="BF99" s="153">
        <f>IFERROR('Similarity matrix'!BF99/'Denominator matrix'!$G$23, "NA")</f>
        <v>0</v>
      </c>
      <c r="BG99" s="156">
        <f>IFERROR('Similarity matrix'!BG99/'Denominator matrix'!$H$23, "NA")</f>
        <v>0</v>
      </c>
      <c r="BH99" s="153">
        <f>IFERROR('Similarity matrix'!BH99/'Denominator matrix'!$I$23, "NA")</f>
        <v>0</v>
      </c>
      <c r="BI99" s="153">
        <f>IFERROR('Similarity matrix'!BI99/'Denominator matrix'!$J$23, "NA")</f>
        <v>0</v>
      </c>
      <c r="BJ99" s="153">
        <f>IFERROR('Similarity matrix'!BJ99/'Denominator matrix'!$K$23, "NA")</f>
        <v>0</v>
      </c>
      <c r="BK99" s="154">
        <f>IFERROR('Similarity matrix'!BK99/'Denominator matrix'!$B$23, "NA")</f>
        <v>0</v>
      </c>
      <c r="BL99" s="153">
        <f>IFERROR('Similarity matrix'!BL99/'Denominator matrix'!$C$23, "NA")</f>
        <v>0</v>
      </c>
      <c r="BM99" s="153">
        <f>IFERROR('Similarity matrix'!BM99/'Denominator matrix'!$D$23, "NA")</f>
        <v>0</v>
      </c>
      <c r="BN99" s="153">
        <f>IFERROR('Similarity matrix'!BN99/'Denominator matrix'!$E$23, "NA")</f>
        <v>0</v>
      </c>
      <c r="BO99" s="153">
        <f>IFERROR('Similarity matrix'!BO99/'Denominator matrix'!$F$23, "NA")</f>
        <v>0</v>
      </c>
      <c r="BP99" s="153">
        <f>IFERROR('Similarity matrix'!BP99/'Denominator matrix'!$G$23, "NA")</f>
        <v>0</v>
      </c>
      <c r="BQ99" s="156">
        <f>IFERROR('Similarity matrix'!BQ99/'Denominator matrix'!$H$23, "NA")</f>
        <v>0</v>
      </c>
      <c r="BR99" s="153">
        <f>IFERROR('Similarity matrix'!BR99/'Denominator matrix'!$I$23, "NA")</f>
        <v>0</v>
      </c>
      <c r="BS99" s="153">
        <f>IFERROR('Similarity matrix'!BS99/'Denominator matrix'!$J$23, "NA")</f>
        <v>0</v>
      </c>
      <c r="BT99" s="153">
        <f>IFERROR('Similarity matrix'!BT99/'Denominator matrix'!$K$23, "NA")</f>
        <v>0</v>
      </c>
      <c r="BU99" s="154">
        <f>IFERROR('Similarity matrix'!BU99/'Denominator matrix'!$B$23, "NA")</f>
        <v>0</v>
      </c>
      <c r="BV99" s="153">
        <f>IFERROR('Similarity matrix'!BV99/'Denominator matrix'!$C$23, "NA")</f>
        <v>0</v>
      </c>
      <c r="BW99" s="153">
        <f>IFERROR('Similarity matrix'!BW99/'Denominator matrix'!$D$23, "NA")</f>
        <v>0</v>
      </c>
      <c r="BX99" s="153">
        <f>IFERROR('Similarity matrix'!BX99/'Denominator matrix'!$E$23, "NA")</f>
        <v>0</v>
      </c>
      <c r="BY99" s="153">
        <f>IFERROR('Similarity matrix'!BY99/'Denominator matrix'!$F$23, "NA")</f>
        <v>0</v>
      </c>
      <c r="BZ99" s="153">
        <f>IFERROR('Similarity matrix'!BZ99/'Denominator matrix'!$G$23, "NA")</f>
        <v>0</v>
      </c>
      <c r="CA99" s="156">
        <f>IFERROR('Similarity matrix'!CA99/'Denominator matrix'!$H$23, "NA")</f>
        <v>0</v>
      </c>
      <c r="CB99" s="153">
        <f>IFERROR('Similarity matrix'!CB99/'Denominator matrix'!$I$23, "NA")</f>
        <v>0</v>
      </c>
      <c r="CC99" s="153">
        <f>IFERROR('Similarity matrix'!CC99/'Denominator matrix'!$J$23, "NA")</f>
        <v>0</v>
      </c>
      <c r="CD99" s="153">
        <f>IFERROR('Similarity matrix'!CD99/'Denominator matrix'!$K$23, "NA")</f>
        <v>0</v>
      </c>
      <c r="CE99" s="154">
        <f>IFERROR('Similarity matrix'!CE99/'Denominator matrix'!$B$23, "NA")</f>
        <v>0</v>
      </c>
      <c r="CF99" s="153">
        <f>IFERROR('Similarity matrix'!CF99/'Denominator matrix'!$C$23, "NA")</f>
        <v>0.1666666667</v>
      </c>
      <c r="CG99" s="153">
        <f>IFERROR('Similarity matrix'!CG99/'Denominator matrix'!$D$23, "NA")</f>
        <v>0</v>
      </c>
      <c r="CH99" s="153">
        <f>IFERROR('Similarity matrix'!CH99/'Denominator matrix'!$E$23, "NA")</f>
        <v>0</v>
      </c>
      <c r="CI99" s="153">
        <f>IFERROR('Similarity matrix'!CI99/'Denominator matrix'!$F$23, "NA")</f>
        <v>0</v>
      </c>
      <c r="CJ99" s="153">
        <f>IFERROR('Similarity matrix'!CJ99/'Denominator matrix'!$G$23, "NA")</f>
        <v>0</v>
      </c>
      <c r="CK99" s="156">
        <f>IFERROR('Similarity matrix'!CK99/'Denominator matrix'!$H$23, "NA")</f>
        <v>0.0625</v>
      </c>
      <c r="CL99" s="153">
        <f>IFERROR('Similarity matrix'!CL99/'Denominator matrix'!$I$23, "NA")</f>
        <v>0</v>
      </c>
      <c r="CM99" s="153">
        <f>IFERROR('Similarity matrix'!CM99/'Denominator matrix'!$J$23, "NA")</f>
        <v>0</v>
      </c>
      <c r="CN99" s="153">
        <f>IFERROR('Similarity matrix'!CN99/'Denominator matrix'!$K$23, "NA")</f>
        <v>0.5</v>
      </c>
      <c r="CO99" s="154">
        <f>IFERROR('Similarity matrix'!CO99/'Denominator matrix'!$B$23, "NA")</f>
        <v>0.5</v>
      </c>
      <c r="CP99" s="153">
        <f>IFERROR('Similarity matrix'!CP99/'Denominator matrix'!$C$23, "NA")</f>
        <v>0.8333333333</v>
      </c>
      <c r="CQ99" s="153">
        <f>IFERROR('Similarity matrix'!CQ99/'Denominator matrix'!$D$23, "NA")</f>
        <v>0.75</v>
      </c>
      <c r="CR99" s="153">
        <f>IFERROR('Similarity matrix'!CR99/'Denominator matrix'!$E$23, "NA")</f>
        <v>1</v>
      </c>
      <c r="CS99" s="153">
        <f>IFERROR('Similarity matrix'!CS99/'Denominator matrix'!$F$23, "NA")</f>
        <v>0.75</v>
      </c>
      <c r="CT99" s="153">
        <f>IFERROR('Similarity matrix'!CT99/'Denominator matrix'!$G$23, "NA")</f>
        <v>0.75</v>
      </c>
      <c r="CU99" s="155">
        <f>IFERROR('Similarity matrix'!CU99/'Denominator matrix'!$H$23, "NA")</f>
        <v>0</v>
      </c>
      <c r="CV99" s="153">
        <f>IFERROR('Similarity matrix'!CV99/'Denominator matrix'!$I$23, "NA")</f>
        <v>1</v>
      </c>
      <c r="CW99" s="153">
        <f>IFERROR('Similarity matrix'!CW99/'Denominator matrix'!$J$23, "NA")</f>
        <v>1</v>
      </c>
      <c r="CX99" s="153">
        <f>IFERROR('Similarity matrix'!CX99/'Denominator matrix'!$K$23, "NA")</f>
        <v>0.5</v>
      </c>
    </row>
    <row r="100" ht="35.25" customHeight="1">
      <c r="B100" s="124">
        <v>45879.0</v>
      </c>
      <c r="C100" s="154">
        <f>IFERROR('Similarity matrix'!C100/'Denominator matrix'!$B$24, "NA")</f>
        <v>0</v>
      </c>
      <c r="D100" s="153">
        <f>IFERROR('Similarity matrix'!D100/'Denominator matrix'!$C$24, "NA")</f>
        <v>0</v>
      </c>
      <c r="E100" s="153">
        <f>IFERROR('Similarity matrix'!E100/'Denominator matrix'!$D$24, "NA")</f>
        <v>0</v>
      </c>
      <c r="F100" s="153">
        <f>IFERROR('Similarity matrix'!F100/'Denominator matrix'!$E$24, "NA")</f>
        <v>0</v>
      </c>
      <c r="G100" s="153">
        <f>IFERROR('Similarity matrix'!G100/'Denominator matrix'!$F$24, "NA")</f>
        <v>0</v>
      </c>
      <c r="H100" s="153">
        <f>IFERROR('Similarity matrix'!H100/'Denominator matrix'!$G$24, "NA")</f>
        <v>0</v>
      </c>
      <c r="I100" s="153">
        <f>IFERROR('Similarity matrix'!I100/'Denominator matrix'!$H$24, "NA")</f>
        <v>0</v>
      </c>
      <c r="J100" s="156">
        <f>IFERROR('Similarity matrix'!J100/'Denominator matrix'!$I$24, "NA")</f>
        <v>0</v>
      </c>
      <c r="K100" s="153">
        <f>IFERROR('Similarity matrix'!K100/'Denominator matrix'!$J$24, "NA")</f>
        <v>0</v>
      </c>
      <c r="L100" s="153">
        <f>IFERROR('Similarity matrix'!L100/'Denominator matrix'!$K$24, "NA")</f>
        <v>0</v>
      </c>
      <c r="M100" s="154">
        <f>IFERROR('Similarity matrix'!M100/'Denominator matrix'!$B$24, "NA")</f>
        <v>0</v>
      </c>
      <c r="N100" s="153">
        <f>IFERROR('Similarity matrix'!N100/'Denominator matrix'!$C$24, "NA")</f>
        <v>0</v>
      </c>
      <c r="O100" s="153">
        <f>IFERROR('Similarity matrix'!O100/'Denominator matrix'!$D$24, "NA")</f>
        <v>0</v>
      </c>
      <c r="P100" s="153">
        <f>IFERROR('Similarity matrix'!P100/'Denominator matrix'!$E$24, "NA")</f>
        <v>0.25</v>
      </c>
      <c r="Q100" s="153">
        <f>IFERROR('Similarity matrix'!Q100/'Denominator matrix'!$F$24, "NA")</f>
        <v>0</v>
      </c>
      <c r="R100" s="153">
        <f>IFERROR('Similarity matrix'!R100/'Denominator matrix'!$G$24, "NA")</f>
        <v>0</v>
      </c>
      <c r="S100" s="153">
        <f>IFERROR('Similarity matrix'!S100/'Denominator matrix'!$H$24, "NA")</f>
        <v>0</v>
      </c>
      <c r="T100" s="156">
        <f>IFERROR('Similarity matrix'!T100/'Denominator matrix'!$I$24, "NA")</f>
        <v>0</v>
      </c>
      <c r="U100" s="153">
        <f>IFERROR('Similarity matrix'!U100/'Denominator matrix'!$J$24, "NA")</f>
        <v>0</v>
      </c>
      <c r="V100" s="153">
        <f>IFERROR('Similarity matrix'!V100/'Denominator matrix'!$K$24, "NA")</f>
        <v>0</v>
      </c>
      <c r="W100" s="154">
        <f>IFERROR('Similarity matrix'!W100/'Denominator matrix'!$B$24, "NA")</f>
        <v>0</v>
      </c>
      <c r="X100" s="153">
        <f>IFERROR('Similarity matrix'!X100/'Denominator matrix'!$C$24, "NA")</f>
        <v>0</v>
      </c>
      <c r="Y100" s="153">
        <f>IFERROR('Similarity matrix'!Y100/'Denominator matrix'!$D$24, "NA")</f>
        <v>0</v>
      </c>
      <c r="Z100" s="153">
        <f>IFERROR('Similarity matrix'!Z100/'Denominator matrix'!$E$24, "NA")</f>
        <v>0</v>
      </c>
      <c r="AA100" s="153">
        <f>IFERROR('Similarity matrix'!AA100/'Denominator matrix'!$F$24, "NA")</f>
        <v>0</v>
      </c>
      <c r="AB100" s="153">
        <f>IFERROR('Similarity matrix'!AB100/'Denominator matrix'!$G$24, "NA")</f>
        <v>0</v>
      </c>
      <c r="AC100" s="153">
        <f>IFERROR('Similarity matrix'!AC100/'Denominator matrix'!$H$24, "NA")</f>
        <v>0</v>
      </c>
      <c r="AD100" s="156">
        <f>IFERROR('Similarity matrix'!AD100/'Denominator matrix'!$I$24, "NA")</f>
        <v>0</v>
      </c>
      <c r="AE100" s="153">
        <f>IFERROR('Similarity matrix'!AE100/'Denominator matrix'!$J$24, "NA")</f>
        <v>0</v>
      </c>
      <c r="AF100" s="153">
        <f>IFERROR('Similarity matrix'!AF100/'Denominator matrix'!$K$24, "NA")</f>
        <v>0</v>
      </c>
      <c r="AG100" s="154">
        <f>IFERROR('Similarity matrix'!AG100/'Denominator matrix'!$B$24, "NA")</f>
        <v>0</v>
      </c>
      <c r="AH100" s="153">
        <f>IFERROR('Similarity matrix'!AH100/'Denominator matrix'!$C$24, "NA")</f>
        <v>0</v>
      </c>
      <c r="AI100" s="153">
        <f>IFERROR('Similarity matrix'!AI100/'Denominator matrix'!$D$24, "NA")</f>
        <v>0</v>
      </c>
      <c r="AJ100" s="153">
        <f>IFERROR('Similarity matrix'!AJ100/'Denominator matrix'!$E$24, "NA")</f>
        <v>0</v>
      </c>
      <c r="AK100" s="153">
        <f>IFERROR('Similarity matrix'!AK100/'Denominator matrix'!$F$24, "NA")</f>
        <v>0</v>
      </c>
      <c r="AL100" s="153">
        <f>IFERROR('Similarity matrix'!AL100/'Denominator matrix'!$G$24, "NA")</f>
        <v>0</v>
      </c>
      <c r="AM100" s="153">
        <f>IFERROR('Similarity matrix'!AM100/'Denominator matrix'!$H$24, "NA")</f>
        <v>0</v>
      </c>
      <c r="AN100" s="156">
        <f>IFERROR('Similarity matrix'!AN100/'Denominator matrix'!$I$24, "NA")</f>
        <v>0</v>
      </c>
      <c r="AO100" s="153">
        <f>IFERROR('Similarity matrix'!AO100/'Denominator matrix'!$J$24, "NA")</f>
        <v>0</v>
      </c>
      <c r="AP100" s="153">
        <f>IFERROR('Similarity matrix'!AP100/'Denominator matrix'!$K$24, "NA")</f>
        <v>0</v>
      </c>
      <c r="AQ100" s="154">
        <f>IFERROR('Similarity matrix'!AQ100/'Denominator matrix'!$B$24, "NA")</f>
        <v>0</v>
      </c>
      <c r="AR100" s="153">
        <f>IFERROR('Similarity matrix'!AR100/'Denominator matrix'!$C$24, "NA")</f>
        <v>0</v>
      </c>
      <c r="AS100" s="153">
        <f>IFERROR('Similarity matrix'!AS100/'Denominator matrix'!$D$24, "NA")</f>
        <v>0</v>
      </c>
      <c r="AT100" s="153">
        <f>IFERROR('Similarity matrix'!AT100/'Denominator matrix'!$E$24, "NA")</f>
        <v>0</v>
      </c>
      <c r="AU100" s="153">
        <f>IFERROR('Similarity matrix'!AU100/'Denominator matrix'!$F$24, "NA")</f>
        <v>0</v>
      </c>
      <c r="AV100" s="153">
        <f>IFERROR('Similarity matrix'!AV100/'Denominator matrix'!$G$24, "NA")</f>
        <v>0</v>
      </c>
      <c r="AW100" s="153">
        <f>IFERROR('Similarity matrix'!AW100/'Denominator matrix'!$H$24, "NA")</f>
        <v>0</v>
      </c>
      <c r="AX100" s="156">
        <f>IFERROR('Similarity matrix'!AX100/'Denominator matrix'!$I$24, "NA")</f>
        <v>0</v>
      </c>
      <c r="AY100" s="153">
        <f>IFERROR('Similarity matrix'!AY100/'Denominator matrix'!$J$24, "NA")</f>
        <v>0</v>
      </c>
      <c r="AZ100" s="153">
        <f>IFERROR('Similarity matrix'!AZ100/'Denominator matrix'!$K$24, "NA")</f>
        <v>0</v>
      </c>
      <c r="BA100" s="154">
        <f>IFERROR('Similarity matrix'!BA100/'Denominator matrix'!$B$24, "NA")</f>
        <v>0</v>
      </c>
      <c r="BB100" s="153">
        <f>IFERROR('Similarity matrix'!BB100/'Denominator matrix'!$C$24, "NA")</f>
        <v>0</v>
      </c>
      <c r="BC100" s="153">
        <f>IFERROR('Similarity matrix'!BC100/'Denominator matrix'!$D$24, "NA")</f>
        <v>0</v>
      </c>
      <c r="BD100" s="153">
        <f>IFERROR('Similarity matrix'!BD100/'Denominator matrix'!$E$24, "NA")</f>
        <v>0</v>
      </c>
      <c r="BE100" s="153">
        <f>IFERROR('Similarity matrix'!BE100/'Denominator matrix'!$F$24, "NA")</f>
        <v>0</v>
      </c>
      <c r="BF100" s="153">
        <f>IFERROR('Similarity matrix'!BF100/'Denominator matrix'!$G$24, "NA")</f>
        <v>0</v>
      </c>
      <c r="BG100" s="153">
        <f>IFERROR('Similarity matrix'!BG100/'Denominator matrix'!$H$24, "NA")</f>
        <v>0</v>
      </c>
      <c r="BH100" s="156">
        <f>IFERROR('Similarity matrix'!BH100/'Denominator matrix'!$I$24, "NA")</f>
        <v>0</v>
      </c>
      <c r="BI100" s="153">
        <f>IFERROR('Similarity matrix'!BI100/'Denominator matrix'!$J$24, "NA")</f>
        <v>0</v>
      </c>
      <c r="BJ100" s="153">
        <f>IFERROR('Similarity matrix'!BJ100/'Denominator matrix'!$K$24, "NA")</f>
        <v>0</v>
      </c>
      <c r="BK100" s="154">
        <f>IFERROR('Similarity matrix'!BK100/'Denominator matrix'!$B$24, "NA")</f>
        <v>0</v>
      </c>
      <c r="BL100" s="153">
        <f>IFERROR('Similarity matrix'!BL100/'Denominator matrix'!$C$24, "NA")</f>
        <v>0</v>
      </c>
      <c r="BM100" s="153">
        <f>IFERROR('Similarity matrix'!BM100/'Denominator matrix'!$D$24, "NA")</f>
        <v>0</v>
      </c>
      <c r="BN100" s="153">
        <f>IFERROR('Similarity matrix'!BN100/'Denominator matrix'!$E$24, "NA")</f>
        <v>0</v>
      </c>
      <c r="BO100" s="153">
        <f>IFERROR('Similarity matrix'!BO100/'Denominator matrix'!$F$24, "NA")</f>
        <v>0</v>
      </c>
      <c r="BP100" s="153">
        <f>IFERROR('Similarity matrix'!BP100/'Denominator matrix'!$G$24, "NA")</f>
        <v>0</v>
      </c>
      <c r="BQ100" s="153">
        <f>IFERROR('Similarity matrix'!BQ100/'Denominator matrix'!$H$24, "NA")</f>
        <v>0</v>
      </c>
      <c r="BR100" s="156">
        <f>IFERROR('Similarity matrix'!BR100/'Denominator matrix'!$I$24, "NA")</f>
        <v>0</v>
      </c>
      <c r="BS100" s="153">
        <f>IFERROR('Similarity matrix'!BS100/'Denominator matrix'!$J$24, "NA")</f>
        <v>0</v>
      </c>
      <c r="BT100" s="153">
        <f>IFERROR('Similarity matrix'!BT100/'Denominator matrix'!$K$24, "NA")</f>
        <v>0</v>
      </c>
      <c r="BU100" s="154">
        <f>IFERROR('Similarity matrix'!BU100/'Denominator matrix'!$B$24, "NA")</f>
        <v>0</v>
      </c>
      <c r="BV100" s="153">
        <f>IFERROR('Similarity matrix'!BV100/'Denominator matrix'!$C$24, "NA")</f>
        <v>0</v>
      </c>
      <c r="BW100" s="153">
        <f>IFERROR('Similarity matrix'!BW100/'Denominator matrix'!$D$24, "NA")</f>
        <v>0</v>
      </c>
      <c r="BX100" s="153">
        <f>IFERROR('Similarity matrix'!BX100/'Denominator matrix'!$E$24, "NA")</f>
        <v>0</v>
      </c>
      <c r="BY100" s="153">
        <f>IFERROR('Similarity matrix'!BY100/'Denominator matrix'!$F$24, "NA")</f>
        <v>0</v>
      </c>
      <c r="BZ100" s="153">
        <f>IFERROR('Similarity matrix'!BZ100/'Denominator matrix'!$G$24, "NA")</f>
        <v>0</v>
      </c>
      <c r="CA100" s="153">
        <f>IFERROR('Similarity matrix'!CA100/'Denominator matrix'!$H$24, "NA")</f>
        <v>0</v>
      </c>
      <c r="CB100" s="156">
        <f>IFERROR('Similarity matrix'!CB100/'Denominator matrix'!$I$24, "NA")</f>
        <v>0</v>
      </c>
      <c r="CC100" s="153">
        <f>IFERROR('Similarity matrix'!CC100/'Denominator matrix'!$J$24, "NA")</f>
        <v>0</v>
      </c>
      <c r="CD100" s="153">
        <f>IFERROR('Similarity matrix'!CD100/'Denominator matrix'!$K$24, "NA")</f>
        <v>0</v>
      </c>
      <c r="CE100" s="154">
        <f>IFERROR('Similarity matrix'!CE100/'Denominator matrix'!$B$24, "NA")</f>
        <v>0</v>
      </c>
      <c r="CF100" s="153">
        <f>IFERROR('Similarity matrix'!CF100/'Denominator matrix'!$C$24, "NA")</f>
        <v>0</v>
      </c>
      <c r="CG100" s="153">
        <f>IFERROR('Similarity matrix'!CG100/'Denominator matrix'!$D$24, "NA")</f>
        <v>0</v>
      </c>
      <c r="CH100" s="153">
        <f>IFERROR('Similarity matrix'!CH100/'Denominator matrix'!$E$24, "NA")</f>
        <v>0</v>
      </c>
      <c r="CI100" s="153">
        <f>IFERROR('Similarity matrix'!CI100/'Denominator matrix'!$F$24, "NA")</f>
        <v>0</v>
      </c>
      <c r="CJ100" s="153">
        <f>IFERROR('Similarity matrix'!CJ100/'Denominator matrix'!$G$24, "NA")</f>
        <v>0</v>
      </c>
      <c r="CK100" s="153">
        <f>IFERROR('Similarity matrix'!CK100/'Denominator matrix'!$H$24, "NA")</f>
        <v>0</v>
      </c>
      <c r="CL100" s="156">
        <f>IFERROR('Similarity matrix'!CL100/'Denominator matrix'!$I$24, "NA")</f>
        <v>0</v>
      </c>
      <c r="CM100" s="153">
        <f>IFERROR('Similarity matrix'!CM100/'Denominator matrix'!$J$24, "NA")</f>
        <v>0</v>
      </c>
      <c r="CN100" s="153">
        <f>IFERROR('Similarity matrix'!CN100/'Denominator matrix'!$K$24, "NA")</f>
        <v>0</v>
      </c>
      <c r="CO100" s="154">
        <f>IFERROR('Similarity matrix'!CO100/'Denominator matrix'!$B$24, "NA")</f>
        <v>0.75</v>
      </c>
      <c r="CP100" s="153">
        <f>IFERROR('Similarity matrix'!CP100/'Denominator matrix'!$C$24, "NA")</f>
        <v>1</v>
      </c>
      <c r="CQ100" s="153">
        <f>IFERROR('Similarity matrix'!CQ100/'Denominator matrix'!$D$24, "NA")</f>
        <v>1</v>
      </c>
      <c r="CR100" s="153">
        <f>IFERROR('Similarity matrix'!CR100/'Denominator matrix'!$E$24, "NA")</f>
        <v>1</v>
      </c>
      <c r="CS100" s="153">
        <f>IFERROR('Similarity matrix'!CS100/'Denominator matrix'!$F$24, "NA")</f>
        <v>0.9</v>
      </c>
      <c r="CT100" s="153">
        <f>IFERROR('Similarity matrix'!CT100/'Denominator matrix'!$G$24, "NA")</f>
        <v>1</v>
      </c>
      <c r="CU100" s="153">
        <f>IFERROR('Similarity matrix'!CU100/'Denominator matrix'!$H$24, "NA")</f>
        <v>1</v>
      </c>
      <c r="CV100" s="155">
        <f>IFERROR('Similarity matrix'!CV100/'Denominator matrix'!$I$24, "NA")</f>
        <v>0</v>
      </c>
      <c r="CW100" s="153">
        <f>IFERROR('Similarity matrix'!CW100/'Denominator matrix'!$J$24, "NA")</f>
        <v>0.75</v>
      </c>
      <c r="CX100" s="153">
        <f>IFERROR('Similarity matrix'!CX100/'Denominator matrix'!$K$24, "NA")</f>
        <v>0.8333333333</v>
      </c>
    </row>
    <row r="101" ht="35.25" customHeight="1">
      <c r="B101" s="124">
        <v>45910.0</v>
      </c>
      <c r="C101" s="154">
        <f>IFERROR('Similarity matrix'!C101/'Denominator matrix'!$B$25, "NA")</f>
        <v>0</v>
      </c>
      <c r="D101" s="153">
        <f>IFERROR('Similarity matrix'!D101/'Denominator matrix'!$C$25, "NA")</f>
        <v>0</v>
      </c>
      <c r="E101" s="153">
        <f>IFERROR('Similarity matrix'!E101/'Denominator matrix'!$D$25, "NA")</f>
        <v>0</v>
      </c>
      <c r="F101" s="153">
        <f>IFERROR('Similarity matrix'!F101/'Denominator matrix'!$E$25, "NA")</f>
        <v>0</v>
      </c>
      <c r="G101" s="153">
        <f>IFERROR('Similarity matrix'!G101/'Denominator matrix'!$F$25, "NA")</f>
        <v>0</v>
      </c>
      <c r="H101" s="153">
        <f>IFERROR('Similarity matrix'!H101/'Denominator matrix'!$G$25, "NA")</f>
        <v>0</v>
      </c>
      <c r="I101" s="153">
        <f>IFERROR('Similarity matrix'!I101/'Denominator matrix'!$H$25, "NA")</f>
        <v>0</v>
      </c>
      <c r="J101" s="153">
        <f>IFERROR('Similarity matrix'!J101/'Denominator matrix'!$I$25, "NA")</f>
        <v>0</v>
      </c>
      <c r="K101" s="156">
        <f>IFERROR('Similarity matrix'!K101/'Denominator matrix'!$J$25, "NA")</f>
        <v>0</v>
      </c>
      <c r="L101" s="153">
        <f>IFERROR('Similarity matrix'!L101/'Denominator matrix'!$K$25, "NA")</f>
        <v>0</v>
      </c>
      <c r="M101" s="154">
        <f>IFERROR('Similarity matrix'!M101/'Denominator matrix'!$B$25, "NA")</f>
        <v>0</v>
      </c>
      <c r="N101" s="153">
        <f>IFERROR('Similarity matrix'!N101/'Denominator matrix'!$C$25, "NA")</f>
        <v>0</v>
      </c>
      <c r="O101" s="153">
        <f>IFERROR('Similarity matrix'!O101/'Denominator matrix'!$D$25, "NA")</f>
        <v>0</v>
      </c>
      <c r="P101" s="153">
        <f>IFERROR('Similarity matrix'!P101/'Denominator matrix'!$E$25, "NA")</f>
        <v>0</v>
      </c>
      <c r="Q101" s="153">
        <f>IFERROR('Similarity matrix'!Q101/'Denominator matrix'!$F$25, "NA")</f>
        <v>0</v>
      </c>
      <c r="R101" s="153">
        <f>IFERROR('Similarity matrix'!R101/'Denominator matrix'!$G$25, "NA")</f>
        <v>0</v>
      </c>
      <c r="S101" s="153">
        <f>IFERROR('Similarity matrix'!S101/'Denominator matrix'!$H$25, "NA")</f>
        <v>0</v>
      </c>
      <c r="T101" s="153">
        <f>IFERROR('Similarity matrix'!T101/'Denominator matrix'!$I$25, "NA")</f>
        <v>0</v>
      </c>
      <c r="U101" s="156">
        <f>IFERROR('Similarity matrix'!U101/'Denominator matrix'!$J$25, "NA")</f>
        <v>0</v>
      </c>
      <c r="V101" s="153">
        <f>IFERROR('Similarity matrix'!V101/'Denominator matrix'!$K$25, "NA")</f>
        <v>0</v>
      </c>
      <c r="W101" s="154">
        <f>IFERROR('Similarity matrix'!W101/'Denominator matrix'!$B$25, "NA")</f>
        <v>0</v>
      </c>
      <c r="X101" s="153">
        <f>IFERROR('Similarity matrix'!X101/'Denominator matrix'!$C$25, "NA")</f>
        <v>0</v>
      </c>
      <c r="Y101" s="153">
        <f>IFERROR('Similarity matrix'!Y101/'Denominator matrix'!$D$25, "NA")</f>
        <v>0.25</v>
      </c>
      <c r="Z101" s="153">
        <f>IFERROR('Similarity matrix'!Z101/'Denominator matrix'!$E$25, "NA")</f>
        <v>0.1666666667</v>
      </c>
      <c r="AA101" s="153">
        <f>IFERROR('Similarity matrix'!AA101/'Denominator matrix'!$F$25, "NA")</f>
        <v>0</v>
      </c>
      <c r="AB101" s="153">
        <f>IFERROR('Similarity matrix'!AB101/'Denominator matrix'!$G$25, "NA")</f>
        <v>0</v>
      </c>
      <c r="AC101" s="153">
        <f>IFERROR('Similarity matrix'!AC101/'Denominator matrix'!$H$25, "NA")</f>
        <v>0.25</v>
      </c>
      <c r="AD101" s="153">
        <f>IFERROR('Similarity matrix'!AD101/'Denominator matrix'!$I$25, "NA")</f>
        <v>0</v>
      </c>
      <c r="AE101" s="156">
        <f>IFERROR('Similarity matrix'!AE101/'Denominator matrix'!$J$25, "NA")</f>
        <v>0.0625</v>
      </c>
      <c r="AF101" s="153">
        <f>IFERROR('Similarity matrix'!AF101/'Denominator matrix'!$K$25, "NA")</f>
        <v>0</v>
      </c>
      <c r="AG101" s="154">
        <f>IFERROR('Similarity matrix'!AG101/'Denominator matrix'!$B$25, "NA")</f>
        <v>0</v>
      </c>
      <c r="AH101" s="153">
        <f>IFERROR('Similarity matrix'!AH101/'Denominator matrix'!$C$25, "NA")</f>
        <v>0</v>
      </c>
      <c r="AI101" s="153">
        <f>IFERROR('Similarity matrix'!AI101/'Denominator matrix'!$D$25, "NA")</f>
        <v>0.25</v>
      </c>
      <c r="AJ101" s="153">
        <f>IFERROR('Similarity matrix'!AJ101/'Denominator matrix'!$E$25, "NA")</f>
        <v>0</v>
      </c>
      <c r="AK101" s="153">
        <f>IFERROR('Similarity matrix'!AK101/'Denominator matrix'!$F$25, "NA")</f>
        <v>0</v>
      </c>
      <c r="AL101" s="153">
        <f>IFERROR('Similarity matrix'!AL101/'Denominator matrix'!$G$25, "NA")</f>
        <v>0</v>
      </c>
      <c r="AM101" s="153">
        <f>IFERROR('Similarity matrix'!AM101/'Denominator matrix'!$H$25, "NA")</f>
        <v>0</v>
      </c>
      <c r="AN101" s="153">
        <f>IFERROR('Similarity matrix'!AN101/'Denominator matrix'!$I$25, "NA")</f>
        <v>0</v>
      </c>
      <c r="AO101" s="156">
        <f>IFERROR('Similarity matrix'!AO101/'Denominator matrix'!$J$25, "NA")</f>
        <v>0</v>
      </c>
      <c r="AP101" s="153">
        <f>IFERROR('Similarity matrix'!AP101/'Denominator matrix'!$K$25, "NA")</f>
        <v>0</v>
      </c>
      <c r="AQ101" s="154">
        <f>IFERROR('Similarity matrix'!AQ101/'Denominator matrix'!$B$25, "NA")</f>
        <v>0</v>
      </c>
      <c r="AR101" s="153">
        <f>IFERROR('Similarity matrix'!AR101/'Denominator matrix'!$C$25, "NA")</f>
        <v>0</v>
      </c>
      <c r="AS101" s="153">
        <f>IFERROR('Similarity matrix'!AS101/'Denominator matrix'!$D$25, "NA")</f>
        <v>0</v>
      </c>
      <c r="AT101" s="153">
        <f>IFERROR('Similarity matrix'!AT101/'Denominator matrix'!$E$25, "NA")</f>
        <v>0</v>
      </c>
      <c r="AU101" s="153">
        <f>IFERROR('Similarity matrix'!AU101/'Denominator matrix'!$F$25, "NA")</f>
        <v>0</v>
      </c>
      <c r="AV101" s="153">
        <f>IFERROR('Similarity matrix'!AV101/'Denominator matrix'!$G$25, "NA")</f>
        <v>0</v>
      </c>
      <c r="AW101" s="153">
        <f>IFERROR('Similarity matrix'!AW101/'Denominator matrix'!$H$25, "NA")</f>
        <v>0</v>
      </c>
      <c r="AX101" s="153">
        <f>IFERROR('Similarity matrix'!AX101/'Denominator matrix'!$I$25, "NA")</f>
        <v>0</v>
      </c>
      <c r="AY101" s="156">
        <f>IFERROR('Similarity matrix'!AY101/'Denominator matrix'!$J$25, "NA")</f>
        <v>0</v>
      </c>
      <c r="AZ101" s="153">
        <f>IFERROR('Similarity matrix'!AZ101/'Denominator matrix'!$K$25, "NA")</f>
        <v>0</v>
      </c>
      <c r="BA101" s="154">
        <f>IFERROR('Similarity matrix'!BA101/'Denominator matrix'!$B$25, "NA")</f>
        <v>0</v>
      </c>
      <c r="BB101" s="153">
        <f>IFERROR('Similarity matrix'!BB101/'Denominator matrix'!$C$25, "NA")</f>
        <v>0</v>
      </c>
      <c r="BC101" s="153">
        <f>IFERROR('Similarity matrix'!BC101/'Denominator matrix'!$D$25, "NA")</f>
        <v>0</v>
      </c>
      <c r="BD101" s="153">
        <f>IFERROR('Similarity matrix'!BD101/'Denominator matrix'!$E$25, "NA")</f>
        <v>0</v>
      </c>
      <c r="BE101" s="153">
        <f>IFERROR('Similarity matrix'!BE101/'Denominator matrix'!$F$25, "NA")</f>
        <v>0</v>
      </c>
      <c r="BF101" s="153">
        <f>IFERROR('Similarity matrix'!BF101/'Denominator matrix'!$G$25, "NA")</f>
        <v>0</v>
      </c>
      <c r="BG101" s="153">
        <f>IFERROR('Similarity matrix'!BG101/'Denominator matrix'!$H$25, "NA")</f>
        <v>0</v>
      </c>
      <c r="BH101" s="153">
        <f>IFERROR('Similarity matrix'!BH101/'Denominator matrix'!$I$25, "NA")</f>
        <v>0</v>
      </c>
      <c r="BI101" s="156">
        <f>IFERROR('Similarity matrix'!BI101/'Denominator matrix'!$J$25, "NA")</f>
        <v>0</v>
      </c>
      <c r="BJ101" s="153">
        <f>IFERROR('Similarity matrix'!BJ101/'Denominator matrix'!$K$25, "NA")</f>
        <v>0</v>
      </c>
      <c r="BK101" s="154">
        <f>IFERROR('Similarity matrix'!BK101/'Denominator matrix'!$B$25, "NA")</f>
        <v>0</v>
      </c>
      <c r="BL101" s="153">
        <f>IFERROR('Similarity matrix'!BL101/'Denominator matrix'!$C$25, "NA")</f>
        <v>0</v>
      </c>
      <c r="BM101" s="153">
        <f>IFERROR('Similarity matrix'!BM101/'Denominator matrix'!$D$25, "NA")</f>
        <v>0</v>
      </c>
      <c r="BN101" s="153">
        <f>IFERROR('Similarity matrix'!BN101/'Denominator matrix'!$E$25, "NA")</f>
        <v>0</v>
      </c>
      <c r="BO101" s="153">
        <f>IFERROR('Similarity matrix'!BO101/'Denominator matrix'!$F$25, "NA")</f>
        <v>0</v>
      </c>
      <c r="BP101" s="153">
        <f>IFERROR('Similarity matrix'!BP101/'Denominator matrix'!$G$25, "NA")</f>
        <v>0</v>
      </c>
      <c r="BQ101" s="153">
        <f>IFERROR('Similarity matrix'!BQ101/'Denominator matrix'!$H$25, "NA")</f>
        <v>0</v>
      </c>
      <c r="BR101" s="153">
        <f>IFERROR('Similarity matrix'!BR101/'Denominator matrix'!$I$25, "NA")</f>
        <v>0</v>
      </c>
      <c r="BS101" s="156">
        <f>IFERROR('Similarity matrix'!BS101/'Denominator matrix'!$J$25, "NA")</f>
        <v>0</v>
      </c>
      <c r="BT101" s="153">
        <f>IFERROR('Similarity matrix'!BT101/'Denominator matrix'!$K$25, "NA")</f>
        <v>0</v>
      </c>
      <c r="BU101" s="154">
        <f>IFERROR('Similarity matrix'!BU101/'Denominator matrix'!$B$25, "NA")</f>
        <v>0</v>
      </c>
      <c r="BV101" s="153">
        <f>IFERROR('Similarity matrix'!BV101/'Denominator matrix'!$C$25, "NA")</f>
        <v>0</v>
      </c>
      <c r="BW101" s="153">
        <f>IFERROR('Similarity matrix'!BW101/'Denominator matrix'!$D$25, "NA")</f>
        <v>0</v>
      </c>
      <c r="BX101" s="153">
        <f>IFERROR('Similarity matrix'!BX101/'Denominator matrix'!$E$25, "NA")</f>
        <v>0</v>
      </c>
      <c r="BY101" s="153">
        <f>IFERROR('Similarity matrix'!BY101/'Denominator matrix'!$F$25, "NA")</f>
        <v>0</v>
      </c>
      <c r="BZ101" s="153">
        <f>IFERROR('Similarity matrix'!BZ101/'Denominator matrix'!$G$25, "NA")</f>
        <v>0</v>
      </c>
      <c r="CA101" s="153">
        <f>IFERROR('Similarity matrix'!CA101/'Denominator matrix'!$H$25, "NA")</f>
        <v>0</v>
      </c>
      <c r="CB101" s="153">
        <f>IFERROR('Similarity matrix'!CB101/'Denominator matrix'!$I$25, "NA")</f>
        <v>0</v>
      </c>
      <c r="CC101" s="156">
        <f>IFERROR('Similarity matrix'!CC101/'Denominator matrix'!$J$25, "NA")</f>
        <v>0</v>
      </c>
      <c r="CD101" s="153">
        <f>IFERROR('Similarity matrix'!CD101/'Denominator matrix'!$K$25, "NA")</f>
        <v>0</v>
      </c>
      <c r="CE101" s="154">
        <f>IFERROR('Similarity matrix'!CE101/'Denominator matrix'!$B$25, "NA")</f>
        <v>0</v>
      </c>
      <c r="CF101" s="153">
        <f>IFERROR('Similarity matrix'!CF101/'Denominator matrix'!$C$25, "NA")</f>
        <v>0</v>
      </c>
      <c r="CG101" s="153">
        <f>IFERROR('Similarity matrix'!CG101/'Denominator matrix'!$D$25, "NA")</f>
        <v>0</v>
      </c>
      <c r="CH101" s="153">
        <f>IFERROR('Similarity matrix'!CH101/'Denominator matrix'!$E$25, "NA")</f>
        <v>0</v>
      </c>
      <c r="CI101" s="153">
        <f>IFERROR('Similarity matrix'!CI101/'Denominator matrix'!$F$25, "NA")</f>
        <v>0</v>
      </c>
      <c r="CJ101" s="153">
        <f>IFERROR('Similarity matrix'!CJ101/'Denominator matrix'!$G$25, "NA")</f>
        <v>0</v>
      </c>
      <c r="CK101" s="153">
        <f>IFERROR('Similarity matrix'!CK101/'Denominator matrix'!$H$25, "NA")</f>
        <v>0</v>
      </c>
      <c r="CL101" s="153">
        <f>IFERROR('Similarity matrix'!CL101/'Denominator matrix'!$I$25, "NA")</f>
        <v>0</v>
      </c>
      <c r="CM101" s="156">
        <f>IFERROR('Similarity matrix'!CM101/'Denominator matrix'!$J$25, "NA")</f>
        <v>0</v>
      </c>
      <c r="CN101" s="153">
        <f>IFERROR('Similarity matrix'!CN101/'Denominator matrix'!$K$25, "NA")</f>
        <v>0</v>
      </c>
      <c r="CO101" s="154">
        <f>IFERROR('Similarity matrix'!CO101/'Denominator matrix'!$B$25, "NA")</f>
        <v>0.8</v>
      </c>
      <c r="CP101" s="153">
        <f>IFERROR('Similarity matrix'!CP101/'Denominator matrix'!$C$25, "NA")</f>
        <v>1</v>
      </c>
      <c r="CQ101" s="153">
        <f>IFERROR('Similarity matrix'!CQ101/'Denominator matrix'!$D$25, "NA")</f>
        <v>1</v>
      </c>
      <c r="CR101" s="153">
        <f>IFERROR('Similarity matrix'!CR101/'Denominator matrix'!$E$25, "NA")</f>
        <v>1</v>
      </c>
      <c r="CS101" s="153">
        <f>IFERROR('Similarity matrix'!CS101/'Denominator matrix'!$F$25, "NA")</f>
        <v>0.8333333333</v>
      </c>
      <c r="CT101" s="153">
        <f>IFERROR('Similarity matrix'!CT101/'Denominator matrix'!$G$25, "NA")</f>
        <v>0.75</v>
      </c>
      <c r="CU101" s="153">
        <f>IFERROR('Similarity matrix'!CU101/'Denominator matrix'!$H$25, "NA")</f>
        <v>1</v>
      </c>
      <c r="CV101" s="153">
        <f>IFERROR('Similarity matrix'!CV101/'Denominator matrix'!$I$25, "NA")</f>
        <v>0.75</v>
      </c>
      <c r="CW101" s="155">
        <f>IFERROR('Similarity matrix'!CW101/'Denominator matrix'!$J$25, "NA")</f>
        <v>0</v>
      </c>
      <c r="CX101" s="153">
        <f>IFERROR('Similarity matrix'!CX101/'Denominator matrix'!$K$25, "NA")</f>
        <v>1</v>
      </c>
    </row>
    <row r="102" ht="35.25" customHeight="1">
      <c r="A102" s="125"/>
      <c r="B102" s="126">
        <v>45940.0</v>
      </c>
      <c r="C102" s="157">
        <f>IFERROR('Similarity matrix'!C102/'Denominator matrix'!$B$26, "NA")</f>
        <v>0</v>
      </c>
      <c r="D102" s="158">
        <f>IFERROR('Similarity matrix'!D102/'Denominator matrix'!$C$26, "NA")</f>
        <v>0</v>
      </c>
      <c r="E102" s="158">
        <f>IFERROR('Similarity matrix'!E102/'Denominator matrix'!$D$26, "NA")</f>
        <v>0</v>
      </c>
      <c r="F102" s="158">
        <f>IFERROR('Similarity matrix'!F102/'Denominator matrix'!$E$26, "NA")</f>
        <v>0</v>
      </c>
      <c r="G102" s="158">
        <f>IFERROR('Similarity matrix'!G102/'Denominator matrix'!$F$26, "NA")</f>
        <v>0</v>
      </c>
      <c r="H102" s="158">
        <f>IFERROR('Similarity matrix'!H102/'Denominator matrix'!$G$26, "NA")</f>
        <v>0</v>
      </c>
      <c r="I102" s="158">
        <f>IFERROR('Similarity matrix'!I102/'Denominator matrix'!$H$26, "NA")</f>
        <v>0</v>
      </c>
      <c r="J102" s="158">
        <f>IFERROR('Similarity matrix'!J102/'Denominator matrix'!$I$26, "NA")</f>
        <v>0</v>
      </c>
      <c r="K102" s="158">
        <f>IFERROR('Similarity matrix'!K102/'Denominator matrix'!$J$26, "NA")</f>
        <v>0</v>
      </c>
      <c r="L102" s="160">
        <f>IFERROR('Similarity matrix'!L102/'Denominator matrix'!$K$26, "NA")</f>
        <v>0</v>
      </c>
      <c r="M102" s="157">
        <f>IFERROR('Similarity matrix'!M102/'Denominator matrix'!$B$26, "NA")</f>
        <v>0</v>
      </c>
      <c r="N102" s="158">
        <f>IFERROR('Similarity matrix'!N102/'Denominator matrix'!$C$26, "NA")</f>
        <v>0</v>
      </c>
      <c r="O102" s="158">
        <f>IFERROR('Similarity matrix'!O102/'Denominator matrix'!$D$26, "NA")</f>
        <v>0</v>
      </c>
      <c r="P102" s="158">
        <f>IFERROR('Similarity matrix'!P102/'Denominator matrix'!$E$26, "NA")</f>
        <v>0.25</v>
      </c>
      <c r="Q102" s="158">
        <f>IFERROR('Similarity matrix'!Q102/'Denominator matrix'!$F$26, "NA")</f>
        <v>0</v>
      </c>
      <c r="R102" s="158">
        <f>IFERROR('Similarity matrix'!R102/'Denominator matrix'!$G$26, "NA")</f>
        <v>0</v>
      </c>
      <c r="S102" s="158">
        <f>IFERROR('Similarity matrix'!S102/'Denominator matrix'!$H$26, "NA")</f>
        <v>0</v>
      </c>
      <c r="T102" s="158">
        <f>IFERROR('Similarity matrix'!T102/'Denominator matrix'!$I$26, "NA")</f>
        <v>0</v>
      </c>
      <c r="U102" s="158">
        <f>IFERROR('Similarity matrix'!U102/'Denominator matrix'!$J$26, "NA")</f>
        <v>0</v>
      </c>
      <c r="V102" s="160">
        <f>IFERROR('Similarity matrix'!V102/'Denominator matrix'!$K$26, "NA")</f>
        <v>0</v>
      </c>
      <c r="W102" s="157">
        <f>IFERROR('Similarity matrix'!W102/'Denominator matrix'!$B$26, "NA")</f>
        <v>0</v>
      </c>
      <c r="X102" s="158">
        <f>IFERROR('Similarity matrix'!X102/'Denominator matrix'!$C$26, "NA")</f>
        <v>0</v>
      </c>
      <c r="Y102" s="158">
        <f>IFERROR('Similarity matrix'!Y102/'Denominator matrix'!$D$26, "NA")</f>
        <v>0</v>
      </c>
      <c r="Z102" s="158">
        <f>IFERROR('Similarity matrix'!Z102/'Denominator matrix'!$E$26, "NA")</f>
        <v>0</v>
      </c>
      <c r="AA102" s="158">
        <f>IFERROR('Similarity matrix'!AA102/'Denominator matrix'!$F$26, "NA")</f>
        <v>0</v>
      </c>
      <c r="AB102" s="158">
        <f>IFERROR('Similarity matrix'!AB102/'Denominator matrix'!$G$26, "NA")</f>
        <v>0</v>
      </c>
      <c r="AC102" s="158">
        <f>IFERROR('Similarity matrix'!AC102/'Denominator matrix'!$H$26, "NA")</f>
        <v>0</v>
      </c>
      <c r="AD102" s="158">
        <f>IFERROR('Similarity matrix'!AD102/'Denominator matrix'!$I$26, "NA")</f>
        <v>0</v>
      </c>
      <c r="AE102" s="158">
        <f>IFERROR('Similarity matrix'!AE102/'Denominator matrix'!$J$26, "NA")</f>
        <v>0</v>
      </c>
      <c r="AF102" s="160">
        <f>IFERROR('Similarity matrix'!AF102/'Denominator matrix'!$K$26, "NA")</f>
        <v>0</v>
      </c>
      <c r="AG102" s="157">
        <f>IFERROR('Similarity matrix'!AG102/'Denominator matrix'!$B$26, "NA")</f>
        <v>0</v>
      </c>
      <c r="AH102" s="158">
        <f>IFERROR('Similarity matrix'!AH102/'Denominator matrix'!$C$26, "NA")</f>
        <v>0</v>
      </c>
      <c r="AI102" s="158">
        <f>IFERROR('Similarity matrix'!AI102/'Denominator matrix'!$D$26, "NA")</f>
        <v>0</v>
      </c>
      <c r="AJ102" s="158">
        <f>IFERROR('Similarity matrix'!AJ102/'Denominator matrix'!$E$26, "NA")</f>
        <v>0.25</v>
      </c>
      <c r="AK102" s="158">
        <f>IFERROR('Similarity matrix'!AK102/'Denominator matrix'!$F$26, "NA")</f>
        <v>0</v>
      </c>
      <c r="AL102" s="158">
        <f>IFERROR('Similarity matrix'!AL102/'Denominator matrix'!$G$26, "NA")</f>
        <v>0</v>
      </c>
      <c r="AM102" s="158">
        <f>IFERROR('Similarity matrix'!AM102/'Denominator matrix'!$H$26, "NA")</f>
        <v>0</v>
      </c>
      <c r="AN102" s="158">
        <f>IFERROR('Similarity matrix'!AN102/'Denominator matrix'!$I$26, "NA")</f>
        <v>0.1666666667</v>
      </c>
      <c r="AO102" s="158">
        <f>IFERROR('Similarity matrix'!AO102/'Denominator matrix'!$J$26, "NA")</f>
        <v>0</v>
      </c>
      <c r="AP102" s="160">
        <f>IFERROR('Similarity matrix'!AP102/'Denominator matrix'!$K$26, "NA")</f>
        <v>0</v>
      </c>
      <c r="AQ102" s="157">
        <f>IFERROR('Similarity matrix'!AQ102/'Denominator matrix'!$B$26, "NA")</f>
        <v>0</v>
      </c>
      <c r="AR102" s="158">
        <f>IFERROR('Similarity matrix'!AR102/'Denominator matrix'!$C$26, "NA")</f>
        <v>0</v>
      </c>
      <c r="AS102" s="158">
        <f>IFERROR('Similarity matrix'!AS102/'Denominator matrix'!$D$26, "NA")</f>
        <v>0</v>
      </c>
      <c r="AT102" s="158">
        <f>IFERROR('Similarity matrix'!AT102/'Denominator matrix'!$E$26, "NA")</f>
        <v>0.25</v>
      </c>
      <c r="AU102" s="158">
        <f>IFERROR('Similarity matrix'!AU102/'Denominator matrix'!$F$26, "NA")</f>
        <v>0</v>
      </c>
      <c r="AV102" s="158">
        <f>IFERROR('Similarity matrix'!AV102/'Denominator matrix'!$G$26, "NA")</f>
        <v>0</v>
      </c>
      <c r="AW102" s="158">
        <f>IFERROR('Similarity matrix'!AW102/'Denominator matrix'!$H$26, "NA")</f>
        <v>0.25</v>
      </c>
      <c r="AX102" s="158">
        <f>IFERROR('Similarity matrix'!AX102/'Denominator matrix'!$I$26, "NA")</f>
        <v>0</v>
      </c>
      <c r="AY102" s="158">
        <f>IFERROR('Similarity matrix'!AY102/'Denominator matrix'!$J$26, "NA")</f>
        <v>0</v>
      </c>
      <c r="AZ102" s="160">
        <f>IFERROR('Similarity matrix'!AZ102/'Denominator matrix'!$K$26, "NA")</f>
        <v>0.1428571429</v>
      </c>
      <c r="BA102" s="157">
        <f>IFERROR('Similarity matrix'!BA102/'Denominator matrix'!$B$26, "NA")</f>
        <v>0</v>
      </c>
      <c r="BB102" s="158">
        <f>IFERROR('Similarity matrix'!BB102/'Denominator matrix'!$C$26, "NA")</f>
        <v>0</v>
      </c>
      <c r="BC102" s="158">
        <f>IFERROR('Similarity matrix'!BC102/'Denominator matrix'!$D$26, "NA")</f>
        <v>0</v>
      </c>
      <c r="BD102" s="158">
        <f>IFERROR('Similarity matrix'!BD102/'Denominator matrix'!$E$26, "NA")</f>
        <v>0</v>
      </c>
      <c r="BE102" s="158">
        <f>IFERROR('Similarity matrix'!BE102/'Denominator matrix'!$F$26, "NA")</f>
        <v>0</v>
      </c>
      <c r="BF102" s="158">
        <f>IFERROR('Similarity matrix'!BF102/'Denominator matrix'!$G$26, "NA")</f>
        <v>0</v>
      </c>
      <c r="BG102" s="158">
        <f>IFERROR('Similarity matrix'!BG102/'Denominator matrix'!$H$26, "NA")</f>
        <v>0</v>
      </c>
      <c r="BH102" s="158">
        <f>IFERROR('Similarity matrix'!BH102/'Denominator matrix'!$I$26, "NA")</f>
        <v>0</v>
      </c>
      <c r="BI102" s="158">
        <f>IFERROR('Similarity matrix'!BI102/'Denominator matrix'!$J$26, "NA")</f>
        <v>0</v>
      </c>
      <c r="BJ102" s="160">
        <f>IFERROR('Similarity matrix'!BJ102/'Denominator matrix'!$K$26, "NA")</f>
        <v>0</v>
      </c>
      <c r="BK102" s="157">
        <f>IFERROR('Similarity matrix'!BK102/'Denominator matrix'!$B$26, "NA")</f>
        <v>0</v>
      </c>
      <c r="BL102" s="158">
        <f>IFERROR('Similarity matrix'!BL102/'Denominator matrix'!$C$26, "NA")</f>
        <v>0</v>
      </c>
      <c r="BM102" s="158">
        <f>IFERROR('Similarity matrix'!BM102/'Denominator matrix'!$D$26, "NA")</f>
        <v>0</v>
      </c>
      <c r="BN102" s="158">
        <f>IFERROR('Similarity matrix'!BN102/'Denominator matrix'!$E$26, "NA")</f>
        <v>0</v>
      </c>
      <c r="BO102" s="158">
        <f>IFERROR('Similarity matrix'!BO102/'Denominator matrix'!$F$26, "NA")</f>
        <v>0</v>
      </c>
      <c r="BP102" s="158">
        <f>IFERROR('Similarity matrix'!BP102/'Denominator matrix'!$G$26, "NA")</f>
        <v>0</v>
      </c>
      <c r="BQ102" s="158">
        <f>IFERROR('Similarity matrix'!BQ102/'Denominator matrix'!$H$26, "NA")</f>
        <v>0</v>
      </c>
      <c r="BR102" s="158">
        <f>IFERROR('Similarity matrix'!BR102/'Denominator matrix'!$I$26, "NA")</f>
        <v>0</v>
      </c>
      <c r="BS102" s="158">
        <f>IFERROR('Similarity matrix'!BS102/'Denominator matrix'!$J$26, "NA")</f>
        <v>0</v>
      </c>
      <c r="BT102" s="160">
        <f>IFERROR('Similarity matrix'!BT102/'Denominator matrix'!$K$26, "NA")</f>
        <v>0</v>
      </c>
      <c r="BU102" s="157">
        <f>IFERROR('Similarity matrix'!BU102/'Denominator matrix'!$B$26, "NA")</f>
        <v>0</v>
      </c>
      <c r="BV102" s="158">
        <f>IFERROR('Similarity matrix'!BV102/'Denominator matrix'!$C$26, "NA")</f>
        <v>0</v>
      </c>
      <c r="BW102" s="158">
        <f>IFERROR('Similarity matrix'!BW102/'Denominator matrix'!$D$26, "NA")</f>
        <v>0</v>
      </c>
      <c r="BX102" s="158">
        <f>IFERROR('Similarity matrix'!BX102/'Denominator matrix'!$E$26, "NA")</f>
        <v>0</v>
      </c>
      <c r="BY102" s="158">
        <f>IFERROR('Similarity matrix'!BY102/'Denominator matrix'!$F$26, "NA")</f>
        <v>0</v>
      </c>
      <c r="BZ102" s="158">
        <f>IFERROR('Similarity matrix'!BZ102/'Denominator matrix'!$G$26, "NA")</f>
        <v>0</v>
      </c>
      <c r="CA102" s="158">
        <f>IFERROR('Similarity matrix'!CA102/'Denominator matrix'!$H$26, "NA")</f>
        <v>0</v>
      </c>
      <c r="CB102" s="158">
        <f>IFERROR('Similarity matrix'!CB102/'Denominator matrix'!$I$26, "NA")</f>
        <v>0</v>
      </c>
      <c r="CC102" s="158">
        <f>IFERROR('Similarity matrix'!CC102/'Denominator matrix'!$J$26, "NA")</f>
        <v>0</v>
      </c>
      <c r="CD102" s="160">
        <f>IFERROR('Similarity matrix'!CD102/'Denominator matrix'!$K$26, "NA")</f>
        <v>0</v>
      </c>
      <c r="CE102" s="157">
        <f>IFERROR('Similarity matrix'!CE102/'Denominator matrix'!$B$26, "NA")</f>
        <v>0</v>
      </c>
      <c r="CF102" s="158">
        <f>IFERROR('Similarity matrix'!CF102/'Denominator matrix'!$C$26, "NA")</f>
        <v>0</v>
      </c>
      <c r="CG102" s="158">
        <f>IFERROR('Similarity matrix'!CG102/'Denominator matrix'!$D$26, "NA")</f>
        <v>0.1666666667</v>
      </c>
      <c r="CH102" s="158">
        <f>IFERROR('Similarity matrix'!CH102/'Denominator matrix'!$E$26, "NA")</f>
        <v>0</v>
      </c>
      <c r="CI102" s="158">
        <f>IFERROR('Similarity matrix'!CI102/'Denominator matrix'!$F$26, "NA")</f>
        <v>0</v>
      </c>
      <c r="CJ102" s="158">
        <f>IFERROR('Similarity matrix'!CJ102/'Denominator matrix'!$G$26, "NA")</f>
        <v>0</v>
      </c>
      <c r="CK102" s="158">
        <f>IFERROR('Similarity matrix'!CK102/'Denominator matrix'!$H$26, "NA")</f>
        <v>0</v>
      </c>
      <c r="CL102" s="158">
        <f>IFERROR('Similarity matrix'!CL102/'Denominator matrix'!$I$26, "NA")</f>
        <v>0</v>
      </c>
      <c r="CM102" s="158">
        <f>IFERROR('Similarity matrix'!CM102/'Denominator matrix'!$J$26, "NA")</f>
        <v>0</v>
      </c>
      <c r="CN102" s="160">
        <f>IFERROR('Similarity matrix'!CN102/'Denominator matrix'!$K$26, "NA")</f>
        <v>0.07142857143</v>
      </c>
      <c r="CO102" s="157">
        <f>IFERROR('Similarity matrix'!CO102/'Denominator matrix'!$B$26, "NA")</f>
        <v>1</v>
      </c>
      <c r="CP102" s="158">
        <f>IFERROR('Similarity matrix'!CP102/'Denominator matrix'!$C$26, "NA")</f>
        <v>1</v>
      </c>
      <c r="CQ102" s="158">
        <f>IFERROR('Similarity matrix'!CQ102/'Denominator matrix'!$D$26, "NA")</f>
        <v>1</v>
      </c>
      <c r="CR102" s="158">
        <f>IFERROR('Similarity matrix'!CR102/'Denominator matrix'!$E$26, "NA")</f>
        <v>0.75</v>
      </c>
      <c r="CS102" s="158">
        <f>IFERROR('Similarity matrix'!CS102/'Denominator matrix'!$F$26, "NA")</f>
        <v>1</v>
      </c>
      <c r="CT102" s="158">
        <f>IFERROR('Similarity matrix'!CT102/'Denominator matrix'!$G$26, "NA")</f>
        <v>1</v>
      </c>
      <c r="CU102" s="158">
        <f>IFERROR('Similarity matrix'!CU102/'Denominator matrix'!$H$26, "NA")</f>
        <v>0.5</v>
      </c>
      <c r="CV102" s="158">
        <f>IFERROR('Similarity matrix'!CV102/'Denominator matrix'!$I$26, "NA")</f>
        <v>0.8333333333</v>
      </c>
      <c r="CW102" s="158">
        <f>IFERROR('Similarity matrix'!CW102/'Denominator matrix'!$J$26, "NA")</f>
        <v>1</v>
      </c>
      <c r="CX102" s="159">
        <f>IFERROR('Similarity matrix'!CX102/'Denominator matrix'!$K$26, "NA")</f>
        <v>0</v>
      </c>
    </row>
    <row r="103" ht="33.75" customHeight="1">
      <c r="B103" s="74"/>
    </row>
    <row r="104">
      <c r="B104" s="74"/>
    </row>
    <row r="105" hidden="1">
      <c r="B105" s="74"/>
      <c r="M105" s="150"/>
    </row>
    <row r="106" hidden="1">
      <c r="B106" s="74"/>
      <c r="M106" s="150"/>
    </row>
    <row r="107" hidden="1">
      <c r="B107" s="74"/>
      <c r="M107" s="150"/>
    </row>
    <row r="108" hidden="1">
      <c r="B108" s="74"/>
      <c r="M108" s="150"/>
    </row>
    <row r="109" hidden="1">
      <c r="B109" s="74"/>
      <c r="M109" s="150"/>
    </row>
    <row r="110" hidden="1">
      <c r="B110" s="74"/>
      <c r="M110" s="150"/>
    </row>
    <row r="111" hidden="1">
      <c r="B111" s="74"/>
      <c r="M111" s="150"/>
    </row>
    <row r="112" hidden="1">
      <c r="B112" s="74"/>
      <c r="M112" s="150"/>
    </row>
    <row r="113" hidden="1">
      <c r="B113" s="74"/>
      <c r="M113" s="150"/>
    </row>
    <row r="114" hidden="1">
      <c r="B114" s="74"/>
      <c r="M114" s="150"/>
    </row>
    <row r="115" hidden="1">
      <c r="B115" s="74"/>
      <c r="M115" s="150"/>
    </row>
    <row r="116" hidden="1">
      <c r="B116" s="74"/>
      <c r="M116" s="150"/>
    </row>
    <row r="117" hidden="1">
      <c r="B117" s="74"/>
      <c r="M117" s="150"/>
    </row>
    <row r="118" hidden="1">
      <c r="B118" s="74"/>
      <c r="M118" s="150"/>
    </row>
    <row r="119" hidden="1">
      <c r="B119" s="74"/>
      <c r="M119" s="150"/>
    </row>
    <row r="120" hidden="1">
      <c r="B120" s="74"/>
      <c r="M120" s="150"/>
    </row>
    <row r="121" hidden="1">
      <c r="B121" s="74"/>
      <c r="M121" s="150"/>
    </row>
    <row r="122" hidden="1">
      <c r="B122" s="74"/>
      <c r="M122" s="150"/>
    </row>
    <row r="123" hidden="1">
      <c r="B123" s="74"/>
      <c r="M123" s="150"/>
    </row>
    <row r="124" hidden="1">
      <c r="B124" s="74"/>
      <c r="M124" s="150"/>
    </row>
    <row r="125" hidden="1">
      <c r="B125" s="74"/>
      <c r="M125" s="150"/>
    </row>
    <row r="126" hidden="1">
      <c r="B126" s="74"/>
      <c r="M126" s="150"/>
    </row>
    <row r="127" hidden="1">
      <c r="B127" s="74"/>
      <c r="M127" s="150"/>
    </row>
    <row r="128" hidden="1">
      <c r="B128" s="74"/>
      <c r="M128" s="150"/>
    </row>
    <row r="129" hidden="1">
      <c r="B129" s="74"/>
      <c r="M129" s="150"/>
    </row>
    <row r="130" hidden="1">
      <c r="B130" s="74"/>
      <c r="M130" s="150"/>
    </row>
    <row r="131" hidden="1">
      <c r="B131" s="74"/>
      <c r="M131" s="150"/>
    </row>
    <row r="132" hidden="1">
      <c r="B132" s="74"/>
      <c r="M132" s="150"/>
    </row>
    <row r="133" hidden="1">
      <c r="B133" s="74"/>
      <c r="M133" s="150"/>
    </row>
    <row r="134" hidden="1">
      <c r="B134" s="74"/>
      <c r="M134" s="150"/>
    </row>
    <row r="135" hidden="1">
      <c r="B135" s="74"/>
      <c r="M135" s="150"/>
    </row>
    <row r="136" hidden="1">
      <c r="B136" s="74"/>
      <c r="M136" s="150"/>
    </row>
    <row r="137" hidden="1">
      <c r="B137" s="74"/>
      <c r="M137" s="150"/>
    </row>
    <row r="138" hidden="1">
      <c r="B138" s="74"/>
      <c r="M138" s="150"/>
    </row>
    <row r="139" hidden="1">
      <c r="B139" s="74"/>
      <c r="M139" s="150"/>
    </row>
    <row r="140" hidden="1">
      <c r="B140" s="74"/>
      <c r="M140" s="150"/>
    </row>
    <row r="141" hidden="1">
      <c r="B141" s="74"/>
      <c r="M141" s="150"/>
    </row>
    <row r="142" hidden="1">
      <c r="B142" s="74"/>
      <c r="M142" s="150"/>
    </row>
    <row r="143" hidden="1">
      <c r="B143" s="74"/>
      <c r="M143" s="150"/>
    </row>
    <row r="144" hidden="1">
      <c r="B144" s="74"/>
      <c r="M144" s="150"/>
    </row>
    <row r="145" hidden="1">
      <c r="B145" s="74"/>
      <c r="M145" s="150"/>
    </row>
    <row r="146" hidden="1">
      <c r="B146" s="74"/>
      <c r="M146" s="150"/>
    </row>
    <row r="147" hidden="1">
      <c r="B147" s="74"/>
      <c r="M147" s="150"/>
    </row>
    <row r="148" hidden="1">
      <c r="B148" s="74"/>
      <c r="M148" s="150"/>
    </row>
    <row r="149" hidden="1">
      <c r="B149" s="74"/>
      <c r="M149" s="150"/>
    </row>
    <row r="150" hidden="1">
      <c r="B150" s="74"/>
      <c r="M150" s="150"/>
    </row>
    <row r="151" hidden="1">
      <c r="B151" s="74"/>
      <c r="M151" s="150"/>
    </row>
    <row r="152" hidden="1">
      <c r="B152" s="74"/>
      <c r="M152" s="150"/>
    </row>
    <row r="153" hidden="1">
      <c r="B153" s="74"/>
      <c r="M153" s="150"/>
    </row>
    <row r="154" hidden="1">
      <c r="B154" s="74"/>
      <c r="M154" s="150"/>
    </row>
    <row r="155" hidden="1">
      <c r="B155" s="74"/>
      <c r="M155" s="150"/>
    </row>
    <row r="156" hidden="1">
      <c r="B156" s="74"/>
      <c r="M156" s="150"/>
    </row>
    <row r="157" hidden="1">
      <c r="B157" s="74"/>
      <c r="M157" s="150"/>
    </row>
    <row r="158" hidden="1">
      <c r="B158" s="74"/>
      <c r="M158" s="150"/>
    </row>
    <row r="159" hidden="1">
      <c r="B159" s="74"/>
      <c r="M159" s="150"/>
    </row>
    <row r="160" hidden="1">
      <c r="B160" s="74"/>
      <c r="M160" s="150"/>
    </row>
    <row r="161" hidden="1">
      <c r="B161" s="74"/>
      <c r="M161" s="150"/>
    </row>
    <row r="162" hidden="1">
      <c r="B162" s="74"/>
      <c r="M162" s="150"/>
    </row>
    <row r="163" hidden="1">
      <c r="B163" s="74"/>
      <c r="M163" s="150"/>
    </row>
    <row r="164" hidden="1">
      <c r="B164" s="74"/>
      <c r="M164" s="150"/>
    </row>
    <row r="165" hidden="1">
      <c r="B165" s="74"/>
      <c r="M165" s="150"/>
    </row>
    <row r="166" hidden="1">
      <c r="B166" s="74"/>
      <c r="M166" s="150"/>
    </row>
    <row r="167" hidden="1">
      <c r="B167" s="74"/>
      <c r="M167" s="150"/>
    </row>
    <row r="168" hidden="1">
      <c r="B168" s="74"/>
      <c r="M168" s="150"/>
    </row>
    <row r="169" hidden="1">
      <c r="B169" s="74"/>
      <c r="M169" s="150"/>
    </row>
    <row r="170" hidden="1">
      <c r="B170" s="74"/>
      <c r="M170" s="150"/>
    </row>
    <row r="171" hidden="1">
      <c r="B171" s="74"/>
      <c r="M171" s="150"/>
    </row>
    <row r="172" hidden="1">
      <c r="B172" s="74"/>
      <c r="M172" s="150"/>
    </row>
    <row r="173" hidden="1">
      <c r="B173" s="74"/>
      <c r="M173" s="150"/>
    </row>
    <row r="174" hidden="1">
      <c r="B174" s="74"/>
      <c r="M174" s="150"/>
    </row>
    <row r="175" hidden="1">
      <c r="B175" s="74"/>
      <c r="M175" s="150"/>
    </row>
    <row r="176" hidden="1">
      <c r="B176" s="74"/>
      <c r="M176" s="150"/>
    </row>
    <row r="177" hidden="1">
      <c r="B177" s="74"/>
      <c r="M177" s="150"/>
    </row>
    <row r="178" hidden="1">
      <c r="B178" s="74"/>
      <c r="M178" s="150"/>
    </row>
    <row r="179" hidden="1">
      <c r="B179" s="74"/>
      <c r="M179" s="150"/>
    </row>
    <row r="180" hidden="1">
      <c r="B180" s="74"/>
      <c r="M180" s="150"/>
    </row>
    <row r="181" hidden="1">
      <c r="B181" s="74"/>
      <c r="M181" s="150"/>
    </row>
    <row r="182" hidden="1">
      <c r="B182" s="74"/>
      <c r="M182" s="150"/>
    </row>
    <row r="183" hidden="1">
      <c r="B183" s="74"/>
      <c r="M183" s="150"/>
    </row>
    <row r="184" hidden="1">
      <c r="B184" s="74"/>
      <c r="M184" s="150"/>
    </row>
    <row r="185" hidden="1">
      <c r="B185" s="74"/>
      <c r="M185" s="150"/>
    </row>
    <row r="186" hidden="1">
      <c r="B186" s="74"/>
      <c r="M186" s="150"/>
    </row>
    <row r="187" hidden="1">
      <c r="B187" s="74"/>
      <c r="M187" s="150"/>
    </row>
    <row r="188" hidden="1">
      <c r="B188" s="74"/>
      <c r="M188" s="150"/>
    </row>
    <row r="189" hidden="1">
      <c r="B189" s="74"/>
      <c r="M189" s="150"/>
    </row>
    <row r="190" hidden="1">
      <c r="B190" s="74"/>
      <c r="M190" s="150"/>
    </row>
    <row r="191" hidden="1">
      <c r="B191" s="74"/>
      <c r="M191" s="150"/>
    </row>
    <row r="192" hidden="1">
      <c r="B192" s="74"/>
      <c r="M192" s="150"/>
    </row>
    <row r="193" hidden="1">
      <c r="B193" s="74"/>
      <c r="M193" s="150"/>
    </row>
    <row r="194" hidden="1">
      <c r="B194" s="74"/>
      <c r="M194" s="150"/>
    </row>
    <row r="195" hidden="1">
      <c r="B195" s="74"/>
      <c r="M195" s="150"/>
    </row>
    <row r="196" hidden="1">
      <c r="B196" s="74"/>
      <c r="M196" s="150"/>
    </row>
    <row r="197" hidden="1">
      <c r="B197" s="74"/>
      <c r="M197" s="150"/>
    </row>
    <row r="198" hidden="1">
      <c r="B198" s="74"/>
      <c r="M198" s="150"/>
    </row>
    <row r="199" hidden="1">
      <c r="B199" s="74"/>
      <c r="M199" s="150"/>
    </row>
    <row r="200" hidden="1">
      <c r="B200" s="74"/>
      <c r="M200" s="150"/>
    </row>
    <row r="201" hidden="1">
      <c r="B201" s="74"/>
      <c r="M201" s="150"/>
    </row>
    <row r="202" hidden="1">
      <c r="B202" s="74"/>
      <c r="M202" s="150"/>
    </row>
    <row r="203" hidden="1">
      <c r="B203" s="74"/>
      <c r="M203" s="150"/>
    </row>
    <row r="204" hidden="1">
      <c r="B204" s="74"/>
      <c r="M204" s="150"/>
    </row>
    <row r="205" hidden="1">
      <c r="B205" s="74"/>
      <c r="M205" s="150"/>
    </row>
    <row r="206" hidden="1">
      <c r="B206" s="74"/>
      <c r="M206" s="150"/>
    </row>
    <row r="207" hidden="1">
      <c r="B207" s="74"/>
      <c r="M207" s="150"/>
    </row>
    <row r="208" hidden="1">
      <c r="B208" s="74"/>
      <c r="M208" s="150"/>
    </row>
    <row r="209" hidden="1">
      <c r="B209" s="74"/>
      <c r="M209" s="150"/>
    </row>
    <row r="210" hidden="1">
      <c r="B210" s="74"/>
      <c r="M210" s="150"/>
    </row>
    <row r="211" hidden="1">
      <c r="B211" s="74"/>
      <c r="M211" s="150"/>
    </row>
    <row r="212" hidden="1">
      <c r="B212" s="74"/>
      <c r="M212" s="150"/>
    </row>
    <row r="213" hidden="1">
      <c r="B213" s="74"/>
      <c r="M213" s="150"/>
    </row>
    <row r="214" hidden="1">
      <c r="B214" s="74"/>
      <c r="M214" s="150"/>
    </row>
    <row r="215" hidden="1">
      <c r="B215" s="74"/>
      <c r="M215" s="150"/>
    </row>
    <row r="216" hidden="1">
      <c r="B216" s="74"/>
      <c r="M216" s="150"/>
    </row>
    <row r="217" hidden="1">
      <c r="B217" s="74"/>
      <c r="M217" s="150"/>
    </row>
    <row r="218" hidden="1">
      <c r="B218" s="74"/>
      <c r="M218" s="150"/>
    </row>
    <row r="219" hidden="1">
      <c r="B219" s="74"/>
      <c r="M219" s="150"/>
    </row>
    <row r="220" hidden="1">
      <c r="B220" s="74"/>
      <c r="M220" s="150"/>
    </row>
    <row r="221" hidden="1">
      <c r="B221" s="74"/>
      <c r="M221" s="150"/>
    </row>
    <row r="222" hidden="1">
      <c r="B222" s="74"/>
      <c r="M222" s="150"/>
    </row>
    <row r="223" hidden="1">
      <c r="B223" s="74"/>
      <c r="M223" s="150"/>
    </row>
    <row r="224" hidden="1">
      <c r="B224" s="74"/>
      <c r="M224" s="150"/>
    </row>
    <row r="225" hidden="1">
      <c r="B225" s="74"/>
      <c r="M225" s="150"/>
    </row>
    <row r="226" hidden="1">
      <c r="B226" s="74"/>
      <c r="M226" s="150"/>
    </row>
    <row r="227" hidden="1">
      <c r="B227" s="74"/>
      <c r="M227" s="150"/>
    </row>
    <row r="228" hidden="1">
      <c r="B228" s="74"/>
      <c r="M228" s="150"/>
    </row>
    <row r="229" hidden="1">
      <c r="B229" s="74"/>
      <c r="M229" s="150"/>
    </row>
    <row r="230" hidden="1">
      <c r="B230" s="74"/>
      <c r="M230" s="150"/>
    </row>
    <row r="231" hidden="1">
      <c r="B231" s="74"/>
      <c r="M231" s="150"/>
    </row>
    <row r="232" hidden="1">
      <c r="B232" s="74"/>
      <c r="M232" s="150"/>
    </row>
    <row r="233" hidden="1">
      <c r="B233" s="74"/>
      <c r="M233" s="150"/>
    </row>
    <row r="234" hidden="1">
      <c r="B234" s="74"/>
      <c r="M234" s="150"/>
    </row>
    <row r="235" hidden="1">
      <c r="B235" s="74"/>
      <c r="M235" s="150"/>
    </row>
    <row r="236" hidden="1">
      <c r="B236" s="74"/>
      <c r="M236" s="150"/>
    </row>
    <row r="237" hidden="1">
      <c r="B237" s="74"/>
      <c r="M237" s="150"/>
    </row>
    <row r="238" hidden="1">
      <c r="B238" s="74"/>
      <c r="M238" s="150"/>
    </row>
    <row r="239" hidden="1">
      <c r="B239" s="74"/>
      <c r="M239" s="150"/>
    </row>
    <row r="240" hidden="1">
      <c r="B240" s="74"/>
      <c r="M240" s="150"/>
    </row>
    <row r="241" hidden="1">
      <c r="B241" s="74"/>
      <c r="M241" s="150"/>
    </row>
    <row r="242" hidden="1">
      <c r="B242" s="74"/>
      <c r="M242" s="150"/>
    </row>
    <row r="243" hidden="1">
      <c r="B243" s="74"/>
      <c r="M243" s="150"/>
    </row>
    <row r="244" hidden="1">
      <c r="B244" s="74"/>
      <c r="M244" s="150"/>
    </row>
    <row r="245" hidden="1">
      <c r="B245" s="74"/>
      <c r="M245" s="150"/>
    </row>
    <row r="246" hidden="1">
      <c r="B246" s="74"/>
      <c r="M246" s="150"/>
    </row>
    <row r="247" hidden="1">
      <c r="B247" s="74"/>
      <c r="M247" s="150"/>
    </row>
    <row r="248" hidden="1">
      <c r="B248" s="74"/>
      <c r="M248" s="150"/>
    </row>
    <row r="249" hidden="1">
      <c r="B249" s="74"/>
      <c r="M249" s="150"/>
    </row>
    <row r="250" hidden="1">
      <c r="B250" s="74"/>
      <c r="M250" s="150"/>
    </row>
    <row r="251" hidden="1">
      <c r="B251" s="74"/>
      <c r="M251" s="150"/>
    </row>
    <row r="252" hidden="1">
      <c r="B252" s="74"/>
      <c r="M252" s="150"/>
    </row>
    <row r="253" hidden="1">
      <c r="B253" s="74"/>
      <c r="M253" s="150"/>
    </row>
    <row r="254" hidden="1">
      <c r="B254" s="74"/>
      <c r="M254" s="150"/>
    </row>
    <row r="255" hidden="1">
      <c r="B255" s="74"/>
      <c r="M255" s="150"/>
    </row>
    <row r="256" hidden="1">
      <c r="B256" s="74"/>
      <c r="M256" s="150"/>
    </row>
    <row r="257" hidden="1">
      <c r="B257" s="74"/>
      <c r="M257" s="150"/>
    </row>
    <row r="258" hidden="1">
      <c r="B258" s="74"/>
      <c r="M258" s="150"/>
    </row>
    <row r="259" hidden="1">
      <c r="B259" s="74"/>
      <c r="M259" s="150"/>
    </row>
    <row r="260" hidden="1">
      <c r="B260" s="74"/>
      <c r="M260" s="150"/>
    </row>
    <row r="261" hidden="1">
      <c r="B261" s="74"/>
      <c r="M261" s="150"/>
    </row>
    <row r="262" hidden="1">
      <c r="B262" s="74"/>
      <c r="M262" s="150"/>
    </row>
    <row r="263" hidden="1">
      <c r="B263" s="74"/>
      <c r="M263" s="150"/>
    </row>
    <row r="264" hidden="1">
      <c r="B264" s="74"/>
      <c r="M264" s="150"/>
    </row>
    <row r="265" hidden="1">
      <c r="B265" s="74"/>
      <c r="M265" s="150"/>
    </row>
    <row r="266" hidden="1">
      <c r="B266" s="74"/>
      <c r="M266" s="150"/>
    </row>
    <row r="267" hidden="1">
      <c r="B267" s="74"/>
      <c r="M267" s="150"/>
    </row>
    <row r="268" hidden="1">
      <c r="B268" s="74"/>
      <c r="M268" s="150"/>
    </row>
    <row r="269" hidden="1">
      <c r="B269" s="74"/>
      <c r="M269" s="150"/>
    </row>
    <row r="270" hidden="1">
      <c r="B270" s="74"/>
      <c r="M270" s="150"/>
    </row>
    <row r="271" hidden="1">
      <c r="B271" s="74"/>
      <c r="M271" s="150"/>
    </row>
    <row r="272" hidden="1">
      <c r="B272" s="74"/>
      <c r="M272" s="150"/>
    </row>
    <row r="273" hidden="1">
      <c r="B273" s="74"/>
      <c r="M273" s="150"/>
    </row>
    <row r="274" hidden="1">
      <c r="B274" s="74"/>
      <c r="M274" s="150"/>
    </row>
    <row r="275" hidden="1">
      <c r="B275" s="74"/>
      <c r="M275" s="150"/>
    </row>
    <row r="276" hidden="1">
      <c r="B276" s="74"/>
      <c r="M276" s="150"/>
    </row>
    <row r="277" hidden="1">
      <c r="B277" s="74"/>
      <c r="M277" s="150"/>
    </row>
    <row r="278" hidden="1">
      <c r="B278" s="74"/>
      <c r="M278" s="150"/>
    </row>
    <row r="279" hidden="1">
      <c r="B279" s="74"/>
      <c r="M279" s="150"/>
    </row>
    <row r="280" hidden="1">
      <c r="B280" s="74"/>
      <c r="M280" s="150"/>
    </row>
    <row r="281" hidden="1">
      <c r="B281" s="74"/>
      <c r="M281" s="150"/>
    </row>
    <row r="282" hidden="1">
      <c r="B282" s="74"/>
      <c r="M282" s="150"/>
    </row>
    <row r="283" hidden="1">
      <c r="B283" s="74"/>
      <c r="M283" s="150"/>
    </row>
    <row r="284" hidden="1">
      <c r="B284" s="74"/>
      <c r="M284" s="150"/>
    </row>
    <row r="285" hidden="1">
      <c r="B285" s="74"/>
      <c r="M285" s="150"/>
    </row>
    <row r="286" hidden="1">
      <c r="B286" s="74"/>
      <c r="M286" s="150"/>
    </row>
    <row r="287" hidden="1">
      <c r="B287" s="74"/>
      <c r="M287" s="150"/>
    </row>
    <row r="288" hidden="1">
      <c r="B288" s="74"/>
      <c r="M288" s="150"/>
    </row>
    <row r="289" hidden="1">
      <c r="B289" s="74"/>
      <c r="M289" s="150"/>
    </row>
    <row r="290" hidden="1">
      <c r="B290" s="74"/>
      <c r="M290" s="150"/>
    </row>
    <row r="291" hidden="1">
      <c r="B291" s="74"/>
      <c r="M291" s="150"/>
    </row>
    <row r="292" hidden="1">
      <c r="B292" s="74"/>
      <c r="M292" s="150"/>
    </row>
    <row r="293" hidden="1">
      <c r="B293" s="74"/>
      <c r="M293" s="150"/>
    </row>
    <row r="294" hidden="1">
      <c r="B294" s="74"/>
      <c r="M294" s="150"/>
    </row>
    <row r="295" hidden="1">
      <c r="B295" s="74"/>
      <c r="M295" s="150"/>
    </row>
    <row r="296" hidden="1">
      <c r="B296" s="74"/>
      <c r="M296" s="150"/>
    </row>
    <row r="297" hidden="1">
      <c r="B297" s="74"/>
      <c r="M297" s="150"/>
    </row>
    <row r="298" hidden="1">
      <c r="B298" s="74"/>
      <c r="M298" s="150"/>
    </row>
    <row r="299" hidden="1">
      <c r="B299" s="74"/>
      <c r="M299" s="150"/>
    </row>
    <row r="300" hidden="1">
      <c r="B300" s="74"/>
      <c r="M300" s="150"/>
    </row>
    <row r="301" hidden="1">
      <c r="B301" s="74"/>
      <c r="M301" s="150"/>
    </row>
    <row r="302" hidden="1">
      <c r="B302" s="74"/>
      <c r="M302" s="150"/>
    </row>
    <row r="303" hidden="1">
      <c r="B303" s="74"/>
      <c r="M303" s="150"/>
    </row>
    <row r="304" hidden="1">
      <c r="B304" s="74"/>
      <c r="M304" s="150"/>
    </row>
    <row r="305" hidden="1">
      <c r="B305" s="74"/>
      <c r="M305" s="150"/>
    </row>
    <row r="306" hidden="1">
      <c r="B306" s="74"/>
      <c r="M306" s="150"/>
    </row>
    <row r="307" hidden="1">
      <c r="B307" s="74"/>
      <c r="M307" s="150"/>
    </row>
    <row r="308" hidden="1">
      <c r="B308" s="74"/>
      <c r="M308" s="150"/>
    </row>
    <row r="309" hidden="1">
      <c r="B309" s="74"/>
      <c r="M309" s="150"/>
    </row>
    <row r="310" hidden="1">
      <c r="B310" s="74"/>
      <c r="M310" s="150"/>
    </row>
    <row r="311" hidden="1">
      <c r="B311" s="74"/>
      <c r="M311" s="150"/>
    </row>
    <row r="312" hidden="1">
      <c r="B312" s="74"/>
      <c r="M312" s="150"/>
    </row>
    <row r="313" hidden="1">
      <c r="B313" s="74"/>
      <c r="M313" s="150"/>
    </row>
    <row r="314" hidden="1">
      <c r="B314" s="74"/>
      <c r="M314" s="150"/>
    </row>
    <row r="315" hidden="1">
      <c r="B315" s="74"/>
      <c r="M315" s="150"/>
    </row>
    <row r="316" hidden="1">
      <c r="B316" s="74"/>
      <c r="M316" s="150"/>
    </row>
    <row r="317" hidden="1">
      <c r="B317" s="74"/>
      <c r="M317" s="150"/>
    </row>
    <row r="318" hidden="1">
      <c r="B318" s="74"/>
      <c r="M318" s="150"/>
    </row>
    <row r="319" hidden="1">
      <c r="B319" s="74"/>
      <c r="M319" s="150"/>
    </row>
    <row r="320" hidden="1">
      <c r="B320" s="74"/>
      <c r="M320" s="150"/>
    </row>
    <row r="321" hidden="1">
      <c r="B321" s="74"/>
      <c r="M321" s="150"/>
    </row>
    <row r="322" hidden="1">
      <c r="B322" s="74"/>
      <c r="M322" s="150"/>
    </row>
    <row r="323" hidden="1">
      <c r="B323" s="74"/>
      <c r="M323" s="150"/>
    </row>
    <row r="324" hidden="1">
      <c r="B324" s="74"/>
      <c r="M324" s="150"/>
    </row>
    <row r="325" hidden="1">
      <c r="B325" s="74"/>
      <c r="M325" s="150"/>
    </row>
    <row r="326" hidden="1">
      <c r="B326" s="74"/>
      <c r="M326" s="150"/>
    </row>
    <row r="327" hidden="1">
      <c r="B327" s="74"/>
      <c r="M327" s="150"/>
    </row>
    <row r="328" hidden="1">
      <c r="B328" s="74"/>
      <c r="M328" s="150"/>
    </row>
    <row r="329" hidden="1">
      <c r="B329" s="74"/>
      <c r="M329" s="150"/>
    </row>
    <row r="330" hidden="1">
      <c r="B330" s="74"/>
      <c r="M330" s="150"/>
    </row>
    <row r="331" hidden="1">
      <c r="B331" s="74"/>
      <c r="M331" s="150"/>
    </row>
    <row r="332" hidden="1">
      <c r="B332" s="74"/>
      <c r="M332" s="150"/>
    </row>
    <row r="333" hidden="1">
      <c r="B333" s="74"/>
      <c r="M333" s="150"/>
    </row>
    <row r="334" hidden="1">
      <c r="B334" s="74"/>
      <c r="M334" s="150"/>
    </row>
    <row r="335" hidden="1">
      <c r="B335" s="74"/>
      <c r="M335" s="150"/>
    </row>
    <row r="336" hidden="1">
      <c r="B336" s="74"/>
      <c r="M336" s="150"/>
    </row>
    <row r="337" hidden="1">
      <c r="B337" s="74"/>
      <c r="M337" s="150"/>
    </row>
    <row r="338" hidden="1">
      <c r="B338" s="74"/>
      <c r="M338" s="150"/>
    </row>
    <row r="339" hidden="1">
      <c r="B339" s="74"/>
      <c r="M339" s="150"/>
    </row>
    <row r="340" hidden="1">
      <c r="B340" s="74"/>
      <c r="M340" s="150"/>
    </row>
    <row r="341" hidden="1">
      <c r="B341" s="74"/>
      <c r="M341" s="150"/>
    </row>
    <row r="342" hidden="1">
      <c r="B342" s="74"/>
      <c r="M342" s="150"/>
    </row>
    <row r="343" hidden="1">
      <c r="B343" s="74"/>
      <c r="M343" s="150"/>
    </row>
    <row r="344" hidden="1">
      <c r="B344" s="74"/>
      <c r="M344" s="150"/>
    </row>
    <row r="345" hidden="1">
      <c r="B345" s="74"/>
      <c r="M345" s="150"/>
    </row>
    <row r="346" hidden="1">
      <c r="B346" s="74"/>
      <c r="M346" s="150"/>
    </row>
    <row r="347" hidden="1">
      <c r="B347" s="74"/>
      <c r="M347" s="150"/>
    </row>
    <row r="348" hidden="1">
      <c r="B348" s="74"/>
      <c r="M348" s="150"/>
    </row>
    <row r="349" hidden="1">
      <c r="B349" s="74"/>
      <c r="M349" s="150"/>
    </row>
    <row r="350" hidden="1">
      <c r="B350" s="74"/>
      <c r="M350" s="150"/>
    </row>
    <row r="351" hidden="1">
      <c r="B351" s="74"/>
      <c r="M351" s="150"/>
    </row>
    <row r="352" hidden="1">
      <c r="B352" s="74"/>
      <c r="M352" s="150"/>
    </row>
    <row r="353" hidden="1">
      <c r="B353" s="74"/>
      <c r="M353" s="150"/>
    </row>
    <row r="354" hidden="1">
      <c r="B354" s="74"/>
      <c r="M354" s="150"/>
    </row>
    <row r="355" hidden="1">
      <c r="B355" s="74"/>
      <c r="M355" s="150"/>
    </row>
    <row r="356" hidden="1">
      <c r="B356" s="74"/>
      <c r="M356" s="150"/>
    </row>
    <row r="357" hidden="1">
      <c r="B357" s="74"/>
      <c r="M357" s="150"/>
    </row>
    <row r="358" hidden="1">
      <c r="B358" s="74"/>
      <c r="M358" s="150"/>
    </row>
    <row r="359" hidden="1">
      <c r="B359" s="74"/>
      <c r="M359" s="150"/>
    </row>
    <row r="360" hidden="1">
      <c r="B360" s="74"/>
      <c r="M360" s="150"/>
    </row>
    <row r="361" hidden="1">
      <c r="B361" s="74"/>
      <c r="M361" s="150"/>
    </row>
    <row r="362" hidden="1">
      <c r="B362" s="74"/>
      <c r="M362" s="150"/>
    </row>
    <row r="363" hidden="1">
      <c r="B363" s="74"/>
      <c r="M363" s="150"/>
    </row>
    <row r="364" hidden="1">
      <c r="B364" s="74"/>
      <c r="M364" s="150"/>
    </row>
    <row r="365" hidden="1">
      <c r="B365" s="74"/>
      <c r="M365" s="150"/>
    </row>
    <row r="366" hidden="1">
      <c r="B366" s="74"/>
      <c r="M366" s="150"/>
    </row>
    <row r="367" hidden="1">
      <c r="B367" s="74"/>
      <c r="M367" s="150"/>
    </row>
    <row r="368" hidden="1">
      <c r="B368" s="74"/>
      <c r="M368" s="150"/>
    </row>
    <row r="369" hidden="1">
      <c r="B369" s="74"/>
      <c r="M369" s="150"/>
    </row>
    <row r="370" hidden="1">
      <c r="B370" s="74"/>
      <c r="M370" s="150"/>
    </row>
    <row r="371" hidden="1">
      <c r="B371" s="74"/>
      <c r="M371" s="150"/>
    </row>
    <row r="372" hidden="1">
      <c r="B372" s="74"/>
      <c r="M372" s="150"/>
    </row>
    <row r="373" hidden="1">
      <c r="B373" s="74"/>
      <c r="M373" s="150"/>
    </row>
    <row r="374" hidden="1">
      <c r="B374" s="74"/>
      <c r="M374" s="150"/>
    </row>
    <row r="375" hidden="1">
      <c r="B375" s="74"/>
      <c r="M375" s="150"/>
    </row>
    <row r="376" hidden="1">
      <c r="B376" s="74"/>
      <c r="M376" s="150"/>
    </row>
    <row r="377" hidden="1">
      <c r="B377" s="74"/>
      <c r="M377" s="150"/>
    </row>
    <row r="378" hidden="1">
      <c r="B378" s="74"/>
      <c r="M378" s="150"/>
    </row>
    <row r="379" hidden="1">
      <c r="B379" s="74"/>
      <c r="M379" s="150"/>
    </row>
    <row r="380" hidden="1">
      <c r="B380" s="74"/>
      <c r="M380" s="150"/>
    </row>
    <row r="381" hidden="1">
      <c r="B381" s="74"/>
      <c r="M381" s="150"/>
    </row>
    <row r="382" hidden="1">
      <c r="B382" s="74"/>
      <c r="M382" s="150"/>
    </row>
    <row r="383" hidden="1">
      <c r="B383" s="74"/>
      <c r="M383" s="150"/>
    </row>
    <row r="384" hidden="1">
      <c r="B384" s="74"/>
      <c r="M384" s="150"/>
    </row>
    <row r="385" hidden="1">
      <c r="B385" s="74"/>
      <c r="M385" s="150"/>
    </row>
    <row r="386" hidden="1">
      <c r="B386" s="74"/>
      <c r="M386" s="150"/>
    </row>
    <row r="387" hidden="1">
      <c r="B387" s="74"/>
      <c r="M387" s="150"/>
    </row>
    <row r="388" hidden="1">
      <c r="B388" s="74"/>
      <c r="M388" s="150"/>
    </row>
    <row r="389" hidden="1">
      <c r="B389" s="74"/>
      <c r="M389" s="150"/>
    </row>
    <row r="390" hidden="1">
      <c r="B390" s="74"/>
      <c r="M390" s="150"/>
    </row>
    <row r="391" hidden="1">
      <c r="B391" s="74"/>
      <c r="M391" s="150"/>
    </row>
    <row r="392" hidden="1">
      <c r="B392" s="74"/>
      <c r="M392" s="150"/>
    </row>
    <row r="393" hidden="1">
      <c r="B393" s="74"/>
      <c r="M393" s="150"/>
    </row>
    <row r="394" hidden="1">
      <c r="B394" s="74"/>
      <c r="M394" s="150"/>
    </row>
    <row r="395" hidden="1">
      <c r="B395" s="74"/>
      <c r="M395" s="150"/>
    </row>
    <row r="396" hidden="1">
      <c r="B396" s="74"/>
      <c r="M396" s="150"/>
    </row>
    <row r="397" hidden="1">
      <c r="B397" s="74"/>
      <c r="M397" s="150"/>
    </row>
    <row r="398" hidden="1">
      <c r="B398" s="74"/>
      <c r="M398" s="150"/>
    </row>
    <row r="399" hidden="1">
      <c r="B399" s="74"/>
      <c r="M399" s="150"/>
    </row>
    <row r="400" hidden="1">
      <c r="B400" s="74"/>
      <c r="M400" s="150"/>
    </row>
    <row r="401" hidden="1">
      <c r="B401" s="74"/>
      <c r="M401" s="150"/>
    </row>
    <row r="402" hidden="1">
      <c r="B402" s="74"/>
      <c r="M402" s="150"/>
    </row>
    <row r="403" hidden="1">
      <c r="B403" s="74"/>
      <c r="M403" s="150"/>
    </row>
    <row r="404" hidden="1">
      <c r="B404" s="74"/>
      <c r="M404" s="150"/>
    </row>
    <row r="405" hidden="1">
      <c r="B405" s="74"/>
      <c r="M405" s="150"/>
    </row>
    <row r="406" hidden="1">
      <c r="B406" s="74"/>
      <c r="M406" s="150"/>
    </row>
    <row r="407" hidden="1">
      <c r="B407" s="74"/>
      <c r="M407" s="150"/>
    </row>
    <row r="408" hidden="1">
      <c r="B408" s="74"/>
      <c r="M408" s="150"/>
    </row>
    <row r="409" hidden="1">
      <c r="B409" s="74"/>
      <c r="M409" s="150"/>
    </row>
    <row r="410" hidden="1">
      <c r="B410" s="74"/>
      <c r="M410" s="150"/>
    </row>
    <row r="411" hidden="1">
      <c r="B411" s="74"/>
      <c r="M411" s="150"/>
    </row>
    <row r="412" hidden="1">
      <c r="B412" s="74"/>
      <c r="M412" s="150"/>
    </row>
    <row r="413" hidden="1">
      <c r="B413" s="74"/>
      <c r="M413" s="150"/>
    </row>
    <row r="414" hidden="1">
      <c r="B414" s="74"/>
      <c r="M414" s="150"/>
    </row>
    <row r="415" hidden="1">
      <c r="B415" s="74"/>
      <c r="M415" s="150"/>
    </row>
    <row r="416" hidden="1">
      <c r="B416" s="74"/>
      <c r="M416" s="150"/>
    </row>
    <row r="417" hidden="1">
      <c r="B417" s="74"/>
      <c r="M417" s="150"/>
    </row>
    <row r="418" hidden="1">
      <c r="B418" s="74"/>
      <c r="M418" s="150"/>
    </row>
    <row r="419" hidden="1">
      <c r="B419" s="74"/>
      <c r="M419" s="150"/>
    </row>
    <row r="420" hidden="1">
      <c r="B420" s="74"/>
      <c r="M420" s="150"/>
    </row>
    <row r="421" hidden="1">
      <c r="B421" s="74"/>
      <c r="M421" s="150"/>
    </row>
    <row r="422" hidden="1">
      <c r="B422" s="74"/>
      <c r="M422" s="150"/>
    </row>
    <row r="423" hidden="1">
      <c r="B423" s="74"/>
      <c r="M423" s="150"/>
    </row>
    <row r="424" hidden="1">
      <c r="B424" s="74"/>
      <c r="M424" s="150"/>
    </row>
    <row r="425" hidden="1">
      <c r="B425" s="74"/>
      <c r="M425" s="150"/>
    </row>
    <row r="426" hidden="1">
      <c r="B426" s="74"/>
      <c r="M426" s="150"/>
    </row>
    <row r="427" hidden="1">
      <c r="B427" s="74"/>
      <c r="M427" s="150"/>
    </row>
    <row r="428" hidden="1">
      <c r="B428" s="74"/>
      <c r="M428" s="150"/>
    </row>
    <row r="429" hidden="1">
      <c r="B429" s="74"/>
      <c r="M429" s="150"/>
    </row>
    <row r="430" hidden="1">
      <c r="B430" s="74"/>
      <c r="M430" s="150"/>
    </row>
    <row r="431" hidden="1">
      <c r="B431" s="74"/>
      <c r="M431" s="150"/>
    </row>
    <row r="432" hidden="1">
      <c r="B432" s="74"/>
      <c r="M432" s="150"/>
    </row>
    <row r="433" hidden="1">
      <c r="B433" s="74"/>
      <c r="M433" s="150"/>
    </row>
    <row r="434" hidden="1">
      <c r="B434" s="74"/>
      <c r="M434" s="150"/>
    </row>
    <row r="435" hidden="1">
      <c r="B435" s="74"/>
      <c r="M435" s="150"/>
    </row>
    <row r="436" hidden="1">
      <c r="B436" s="74"/>
      <c r="M436" s="150"/>
    </row>
    <row r="437" hidden="1">
      <c r="B437" s="74"/>
      <c r="M437" s="150"/>
    </row>
    <row r="438" hidden="1">
      <c r="B438" s="74"/>
      <c r="M438" s="150"/>
    </row>
    <row r="439" hidden="1">
      <c r="B439" s="74"/>
      <c r="M439" s="150"/>
    </row>
    <row r="440" hidden="1">
      <c r="B440" s="74"/>
      <c r="M440" s="150"/>
    </row>
    <row r="441" hidden="1">
      <c r="B441" s="74"/>
      <c r="M441" s="150"/>
    </row>
    <row r="442" hidden="1">
      <c r="B442" s="74"/>
      <c r="M442" s="150"/>
    </row>
    <row r="443" hidden="1">
      <c r="B443" s="74"/>
      <c r="M443" s="150"/>
    </row>
    <row r="444" hidden="1">
      <c r="B444" s="74"/>
      <c r="M444" s="150"/>
    </row>
    <row r="445" hidden="1">
      <c r="B445" s="74"/>
      <c r="M445" s="150"/>
    </row>
    <row r="446" hidden="1">
      <c r="B446" s="74"/>
      <c r="M446" s="150"/>
    </row>
    <row r="447" hidden="1">
      <c r="B447" s="74"/>
      <c r="M447" s="150"/>
    </row>
    <row r="448" hidden="1">
      <c r="B448" s="74"/>
      <c r="M448" s="150"/>
    </row>
    <row r="449" hidden="1">
      <c r="B449" s="74"/>
      <c r="M449" s="150"/>
    </row>
    <row r="450" hidden="1">
      <c r="B450" s="74"/>
      <c r="M450" s="150"/>
    </row>
    <row r="451" hidden="1">
      <c r="B451" s="74"/>
      <c r="M451" s="150"/>
    </row>
    <row r="452" hidden="1">
      <c r="B452" s="74"/>
      <c r="M452" s="150"/>
    </row>
    <row r="453" hidden="1">
      <c r="B453" s="74"/>
      <c r="M453" s="150"/>
    </row>
    <row r="454" hidden="1">
      <c r="B454" s="74"/>
      <c r="M454" s="150"/>
    </row>
    <row r="455" hidden="1">
      <c r="B455" s="74"/>
      <c r="M455" s="150"/>
    </row>
    <row r="456" hidden="1">
      <c r="B456" s="74"/>
      <c r="M456" s="150"/>
    </row>
    <row r="457" hidden="1">
      <c r="B457" s="74"/>
      <c r="M457" s="150"/>
    </row>
    <row r="458" hidden="1">
      <c r="B458" s="74"/>
      <c r="M458" s="150"/>
    </row>
    <row r="459" hidden="1">
      <c r="B459" s="74"/>
      <c r="M459" s="150"/>
    </row>
    <row r="460" hidden="1">
      <c r="B460" s="74"/>
      <c r="M460" s="150"/>
    </row>
    <row r="461" hidden="1">
      <c r="B461" s="74"/>
      <c r="M461" s="150"/>
    </row>
    <row r="462" hidden="1">
      <c r="B462" s="74"/>
      <c r="M462" s="150"/>
    </row>
    <row r="463" hidden="1">
      <c r="B463" s="74"/>
      <c r="M463" s="150"/>
    </row>
    <row r="464" hidden="1">
      <c r="B464" s="74"/>
      <c r="M464" s="150"/>
    </row>
    <row r="465" hidden="1">
      <c r="B465" s="74"/>
      <c r="M465" s="150"/>
    </row>
    <row r="466" hidden="1">
      <c r="B466" s="74"/>
      <c r="M466" s="150"/>
    </row>
    <row r="467" hidden="1">
      <c r="B467" s="74"/>
      <c r="M467" s="150"/>
    </row>
    <row r="468" hidden="1">
      <c r="B468" s="74"/>
      <c r="M468" s="150"/>
    </row>
    <row r="469" hidden="1">
      <c r="B469" s="74"/>
      <c r="M469" s="150"/>
    </row>
    <row r="470" hidden="1">
      <c r="B470" s="74"/>
      <c r="M470" s="150"/>
    </row>
    <row r="471" hidden="1">
      <c r="B471" s="74"/>
      <c r="M471" s="150"/>
    </row>
    <row r="472" hidden="1">
      <c r="B472" s="74"/>
      <c r="M472" s="150"/>
    </row>
    <row r="473" hidden="1">
      <c r="B473" s="74"/>
      <c r="M473" s="150"/>
    </row>
    <row r="474" hidden="1">
      <c r="B474" s="74"/>
      <c r="M474" s="150"/>
    </row>
    <row r="475" hidden="1">
      <c r="B475" s="74"/>
      <c r="M475" s="150"/>
    </row>
    <row r="476" hidden="1">
      <c r="B476" s="74"/>
      <c r="M476" s="150"/>
    </row>
    <row r="477" hidden="1">
      <c r="B477" s="74"/>
      <c r="M477" s="150"/>
    </row>
    <row r="478" hidden="1">
      <c r="B478" s="74"/>
      <c r="M478" s="150"/>
    </row>
    <row r="479" hidden="1">
      <c r="B479" s="74"/>
      <c r="M479" s="150"/>
    </row>
    <row r="480" hidden="1">
      <c r="B480" s="74"/>
      <c r="M480" s="150"/>
    </row>
    <row r="481" hidden="1">
      <c r="B481" s="74"/>
      <c r="M481" s="150"/>
    </row>
    <row r="482" hidden="1">
      <c r="B482" s="74"/>
      <c r="M482" s="150"/>
    </row>
    <row r="483" hidden="1">
      <c r="B483" s="74"/>
      <c r="M483" s="150"/>
    </row>
    <row r="484" hidden="1">
      <c r="B484" s="74"/>
      <c r="M484" s="150"/>
    </row>
    <row r="485" hidden="1">
      <c r="B485" s="74"/>
      <c r="M485" s="150"/>
    </row>
    <row r="486" hidden="1">
      <c r="B486" s="74"/>
      <c r="M486" s="150"/>
    </row>
    <row r="487" hidden="1">
      <c r="B487" s="74"/>
      <c r="M487" s="150"/>
    </row>
    <row r="488" hidden="1">
      <c r="B488" s="74"/>
      <c r="M488" s="150"/>
    </row>
    <row r="489" hidden="1">
      <c r="B489" s="74"/>
      <c r="M489" s="150"/>
    </row>
    <row r="490" hidden="1">
      <c r="B490" s="74"/>
      <c r="M490" s="150"/>
    </row>
    <row r="491" hidden="1">
      <c r="B491" s="74"/>
      <c r="M491" s="150"/>
    </row>
    <row r="492" hidden="1">
      <c r="B492" s="74"/>
      <c r="M492" s="150"/>
    </row>
    <row r="493" hidden="1">
      <c r="B493" s="74"/>
      <c r="M493" s="150"/>
    </row>
    <row r="494" hidden="1">
      <c r="B494" s="74"/>
      <c r="M494" s="150"/>
    </row>
    <row r="495" hidden="1">
      <c r="B495" s="74"/>
      <c r="M495" s="150"/>
    </row>
    <row r="496" hidden="1">
      <c r="B496" s="74"/>
      <c r="M496" s="150"/>
    </row>
    <row r="497" hidden="1">
      <c r="B497" s="74"/>
      <c r="M497" s="150"/>
    </row>
    <row r="498" hidden="1">
      <c r="B498" s="74"/>
      <c r="M498" s="150"/>
    </row>
    <row r="499" hidden="1">
      <c r="B499" s="74"/>
      <c r="M499" s="150"/>
    </row>
    <row r="500" hidden="1">
      <c r="B500" s="74"/>
      <c r="M500" s="150"/>
    </row>
    <row r="501" hidden="1">
      <c r="B501" s="74"/>
      <c r="M501" s="150"/>
    </row>
    <row r="502" hidden="1">
      <c r="B502" s="74"/>
      <c r="M502" s="150"/>
    </row>
    <row r="503" hidden="1">
      <c r="B503" s="74"/>
      <c r="M503" s="150"/>
    </row>
    <row r="504" hidden="1">
      <c r="B504" s="74"/>
      <c r="M504" s="150"/>
    </row>
    <row r="505" hidden="1">
      <c r="B505" s="74"/>
      <c r="M505" s="150"/>
    </row>
    <row r="506" hidden="1">
      <c r="B506" s="74"/>
      <c r="M506" s="150"/>
    </row>
    <row r="507" hidden="1">
      <c r="B507" s="74"/>
      <c r="M507" s="150"/>
    </row>
    <row r="508" hidden="1">
      <c r="B508" s="74"/>
      <c r="M508" s="150"/>
    </row>
    <row r="509" hidden="1">
      <c r="B509" s="74"/>
      <c r="M509" s="150"/>
    </row>
    <row r="510" hidden="1">
      <c r="B510" s="74"/>
      <c r="M510" s="150"/>
    </row>
    <row r="511" hidden="1">
      <c r="B511" s="74"/>
      <c r="M511" s="150"/>
    </row>
    <row r="512" hidden="1">
      <c r="B512" s="74"/>
      <c r="M512" s="150"/>
    </row>
    <row r="513" hidden="1">
      <c r="B513" s="74"/>
      <c r="M513" s="150"/>
    </row>
    <row r="514" hidden="1">
      <c r="B514" s="74"/>
      <c r="M514" s="150"/>
    </row>
    <row r="515" hidden="1">
      <c r="B515" s="74"/>
      <c r="M515" s="150"/>
    </row>
    <row r="516" hidden="1">
      <c r="B516" s="74"/>
      <c r="M516" s="150"/>
    </row>
    <row r="517" hidden="1">
      <c r="B517" s="74"/>
      <c r="M517" s="150"/>
    </row>
    <row r="518" hidden="1">
      <c r="B518" s="74"/>
      <c r="M518" s="150"/>
    </row>
    <row r="519" hidden="1">
      <c r="B519" s="74"/>
      <c r="M519" s="150"/>
    </row>
    <row r="520" hidden="1">
      <c r="B520" s="74"/>
      <c r="M520" s="150"/>
    </row>
    <row r="521" hidden="1">
      <c r="B521" s="74"/>
      <c r="M521" s="150"/>
    </row>
    <row r="522" hidden="1">
      <c r="B522" s="74"/>
      <c r="M522" s="150"/>
    </row>
    <row r="523" hidden="1">
      <c r="B523" s="74"/>
      <c r="M523" s="150"/>
    </row>
    <row r="524" hidden="1">
      <c r="B524" s="74"/>
      <c r="M524" s="150"/>
    </row>
    <row r="525" hidden="1">
      <c r="B525" s="74"/>
      <c r="M525" s="150"/>
    </row>
    <row r="526" hidden="1">
      <c r="B526" s="74"/>
      <c r="M526" s="150"/>
    </row>
    <row r="527" hidden="1">
      <c r="B527" s="74"/>
      <c r="M527" s="150"/>
    </row>
    <row r="528" hidden="1">
      <c r="B528" s="74"/>
      <c r="M528" s="150"/>
    </row>
    <row r="529" hidden="1">
      <c r="B529" s="74"/>
      <c r="M529" s="150"/>
    </row>
    <row r="530" hidden="1">
      <c r="B530" s="74"/>
      <c r="M530" s="150"/>
    </row>
    <row r="531" hidden="1">
      <c r="B531" s="74"/>
      <c r="M531" s="150"/>
    </row>
    <row r="532" hidden="1">
      <c r="B532" s="74"/>
      <c r="M532" s="150"/>
    </row>
    <row r="533" hidden="1">
      <c r="B533" s="74"/>
      <c r="M533" s="150"/>
    </row>
    <row r="534" hidden="1">
      <c r="B534" s="74"/>
      <c r="M534" s="150"/>
    </row>
    <row r="535" hidden="1">
      <c r="B535" s="74"/>
      <c r="M535" s="150"/>
    </row>
    <row r="536" hidden="1">
      <c r="B536" s="74"/>
      <c r="M536" s="150"/>
    </row>
    <row r="537" hidden="1">
      <c r="B537" s="74"/>
      <c r="M537" s="150"/>
    </row>
    <row r="538" hidden="1">
      <c r="B538" s="74"/>
      <c r="M538" s="150"/>
    </row>
    <row r="539" hidden="1">
      <c r="B539" s="74"/>
      <c r="M539" s="150"/>
    </row>
    <row r="540" hidden="1">
      <c r="B540" s="74"/>
      <c r="M540" s="150"/>
    </row>
    <row r="541" hidden="1">
      <c r="B541" s="74"/>
      <c r="M541" s="150"/>
    </row>
    <row r="542" hidden="1">
      <c r="B542" s="74"/>
      <c r="M542" s="150"/>
    </row>
    <row r="543" hidden="1">
      <c r="B543" s="74"/>
      <c r="M543" s="150"/>
    </row>
    <row r="544" hidden="1">
      <c r="B544" s="74"/>
      <c r="M544" s="150"/>
    </row>
    <row r="545" hidden="1">
      <c r="B545" s="74"/>
      <c r="M545" s="150"/>
    </row>
    <row r="546" hidden="1">
      <c r="B546" s="74"/>
      <c r="M546" s="150"/>
    </row>
    <row r="547" hidden="1">
      <c r="B547" s="74"/>
      <c r="M547" s="150"/>
    </row>
    <row r="548" hidden="1">
      <c r="B548" s="74"/>
      <c r="M548" s="150"/>
    </row>
    <row r="549" hidden="1">
      <c r="B549" s="74"/>
      <c r="M549" s="150"/>
    </row>
    <row r="550" hidden="1">
      <c r="B550" s="74"/>
      <c r="M550" s="150"/>
    </row>
    <row r="551" hidden="1">
      <c r="B551" s="74"/>
      <c r="M551" s="150"/>
    </row>
    <row r="552" hidden="1">
      <c r="B552" s="74"/>
      <c r="M552" s="150"/>
    </row>
    <row r="553" hidden="1">
      <c r="B553" s="74"/>
      <c r="M553" s="150"/>
    </row>
    <row r="554" hidden="1">
      <c r="B554" s="74"/>
      <c r="M554" s="150"/>
    </row>
    <row r="555" hidden="1">
      <c r="B555" s="74"/>
      <c r="M555" s="150"/>
    </row>
    <row r="556" hidden="1">
      <c r="B556" s="74"/>
      <c r="M556" s="150"/>
    </row>
    <row r="557" hidden="1">
      <c r="B557" s="74"/>
      <c r="M557" s="150"/>
    </row>
    <row r="558" hidden="1">
      <c r="B558" s="74"/>
      <c r="M558" s="150"/>
    </row>
    <row r="559" hidden="1">
      <c r="B559" s="74"/>
      <c r="M559" s="150"/>
    </row>
    <row r="560" hidden="1">
      <c r="B560" s="74"/>
      <c r="M560" s="150"/>
    </row>
    <row r="561" hidden="1">
      <c r="B561" s="74"/>
      <c r="M561" s="150"/>
    </row>
    <row r="562" hidden="1">
      <c r="B562" s="74"/>
      <c r="M562" s="150"/>
    </row>
    <row r="563" hidden="1">
      <c r="B563" s="74"/>
      <c r="M563" s="150"/>
    </row>
    <row r="564" hidden="1">
      <c r="B564" s="74"/>
      <c r="M564" s="150"/>
    </row>
    <row r="565" hidden="1">
      <c r="B565" s="74"/>
      <c r="M565" s="150"/>
    </row>
    <row r="566" hidden="1">
      <c r="B566" s="74"/>
      <c r="M566" s="150"/>
    </row>
    <row r="567" hidden="1">
      <c r="B567" s="74"/>
      <c r="M567" s="150"/>
    </row>
    <row r="568" hidden="1">
      <c r="B568" s="74"/>
      <c r="M568" s="150"/>
    </row>
    <row r="569" hidden="1">
      <c r="B569" s="74"/>
      <c r="M569" s="150"/>
    </row>
    <row r="570" hidden="1">
      <c r="B570" s="74"/>
      <c r="M570" s="150"/>
    </row>
    <row r="571" hidden="1">
      <c r="B571" s="74"/>
      <c r="M571" s="150"/>
    </row>
    <row r="572" hidden="1">
      <c r="B572" s="74"/>
      <c r="M572" s="150"/>
    </row>
    <row r="573" hidden="1">
      <c r="B573" s="74"/>
      <c r="M573" s="150"/>
    </row>
    <row r="574" hidden="1">
      <c r="B574" s="74"/>
      <c r="M574" s="150"/>
    </row>
    <row r="575" hidden="1">
      <c r="B575" s="74"/>
      <c r="M575" s="150"/>
    </row>
    <row r="576" hidden="1">
      <c r="B576" s="74"/>
      <c r="M576" s="150"/>
    </row>
    <row r="577" hidden="1">
      <c r="B577" s="74"/>
      <c r="M577" s="150"/>
    </row>
    <row r="578" hidden="1">
      <c r="B578" s="74"/>
      <c r="M578" s="150"/>
    </row>
    <row r="579" hidden="1">
      <c r="B579" s="74"/>
      <c r="M579" s="150"/>
    </row>
    <row r="580" hidden="1">
      <c r="B580" s="74"/>
      <c r="M580" s="150"/>
    </row>
    <row r="581" hidden="1">
      <c r="B581" s="74"/>
      <c r="M581" s="150"/>
    </row>
    <row r="582" hidden="1">
      <c r="B582" s="74"/>
      <c r="M582" s="150"/>
    </row>
    <row r="583" hidden="1">
      <c r="B583" s="74"/>
      <c r="M583" s="150"/>
    </row>
    <row r="584" hidden="1">
      <c r="B584" s="74"/>
      <c r="M584" s="150"/>
    </row>
    <row r="585" hidden="1">
      <c r="B585" s="74"/>
      <c r="M585" s="150"/>
    </row>
    <row r="586" hidden="1">
      <c r="B586" s="74"/>
      <c r="M586" s="150"/>
    </row>
    <row r="587" hidden="1">
      <c r="B587" s="74"/>
      <c r="M587" s="150"/>
    </row>
    <row r="588" hidden="1">
      <c r="B588" s="74"/>
      <c r="M588" s="150"/>
    </row>
    <row r="589" hidden="1">
      <c r="B589" s="74"/>
      <c r="M589" s="150"/>
    </row>
    <row r="590" hidden="1">
      <c r="B590" s="74"/>
      <c r="M590" s="150"/>
    </row>
    <row r="591" hidden="1">
      <c r="B591" s="74"/>
      <c r="M591" s="150"/>
    </row>
    <row r="592" hidden="1">
      <c r="B592" s="74"/>
      <c r="M592" s="150"/>
    </row>
    <row r="593" hidden="1">
      <c r="B593" s="74"/>
      <c r="M593" s="150"/>
    </row>
    <row r="594" hidden="1">
      <c r="B594" s="74"/>
      <c r="M594" s="150"/>
    </row>
    <row r="595" hidden="1">
      <c r="B595" s="74"/>
      <c r="M595" s="150"/>
    </row>
    <row r="596" hidden="1">
      <c r="B596" s="74"/>
      <c r="M596" s="150"/>
    </row>
    <row r="597" hidden="1">
      <c r="B597" s="74"/>
      <c r="M597" s="150"/>
    </row>
    <row r="598" hidden="1">
      <c r="B598" s="74"/>
      <c r="M598" s="150"/>
    </row>
    <row r="599" hidden="1">
      <c r="B599" s="74"/>
      <c r="M599" s="150"/>
    </row>
    <row r="600" hidden="1">
      <c r="B600" s="74"/>
      <c r="M600" s="150"/>
    </row>
    <row r="601" hidden="1">
      <c r="B601" s="74"/>
      <c r="M601" s="150"/>
    </row>
    <row r="602" hidden="1">
      <c r="B602" s="74"/>
      <c r="M602" s="150"/>
    </row>
    <row r="603" hidden="1">
      <c r="B603" s="74"/>
      <c r="M603" s="150"/>
    </row>
    <row r="604" hidden="1">
      <c r="B604" s="74"/>
      <c r="M604" s="150"/>
    </row>
    <row r="605" hidden="1">
      <c r="B605" s="74"/>
      <c r="M605" s="150"/>
    </row>
    <row r="606" hidden="1">
      <c r="B606" s="74"/>
      <c r="M606" s="150"/>
    </row>
    <row r="607" hidden="1">
      <c r="B607" s="74"/>
      <c r="M607" s="150"/>
    </row>
    <row r="608" hidden="1">
      <c r="B608" s="74"/>
      <c r="M608" s="150"/>
    </row>
    <row r="609" hidden="1">
      <c r="B609" s="74"/>
      <c r="M609" s="150"/>
    </row>
    <row r="610" hidden="1">
      <c r="B610" s="74"/>
      <c r="M610" s="150"/>
    </row>
    <row r="611" hidden="1">
      <c r="B611" s="74"/>
      <c r="M611" s="150"/>
    </row>
    <row r="612" hidden="1">
      <c r="B612" s="74"/>
      <c r="M612" s="150"/>
    </row>
    <row r="613" hidden="1">
      <c r="B613" s="74"/>
      <c r="M613" s="150"/>
    </row>
    <row r="614" hidden="1">
      <c r="B614" s="74"/>
      <c r="M614" s="150"/>
    </row>
    <row r="615" hidden="1">
      <c r="B615" s="74"/>
      <c r="M615" s="150"/>
    </row>
    <row r="616" hidden="1">
      <c r="B616" s="74"/>
      <c r="M616" s="150"/>
    </row>
    <row r="617" hidden="1">
      <c r="B617" s="74"/>
      <c r="M617" s="150"/>
    </row>
    <row r="618" hidden="1">
      <c r="B618" s="74"/>
      <c r="M618" s="150"/>
    </row>
    <row r="619" hidden="1">
      <c r="B619" s="74"/>
      <c r="M619" s="150"/>
    </row>
    <row r="620" hidden="1">
      <c r="B620" s="74"/>
      <c r="M620" s="150"/>
    </row>
    <row r="621" hidden="1">
      <c r="B621" s="74"/>
      <c r="M621" s="150"/>
    </row>
    <row r="622" hidden="1">
      <c r="B622" s="74"/>
      <c r="M622" s="150"/>
    </row>
    <row r="623" hidden="1">
      <c r="B623" s="74"/>
      <c r="M623" s="150"/>
    </row>
    <row r="624" hidden="1">
      <c r="B624" s="74"/>
      <c r="M624" s="150"/>
    </row>
    <row r="625" hidden="1">
      <c r="B625" s="74"/>
      <c r="M625" s="150"/>
    </row>
    <row r="626" hidden="1">
      <c r="B626" s="74"/>
      <c r="M626" s="150"/>
    </row>
    <row r="627" hidden="1">
      <c r="B627" s="74"/>
      <c r="M627" s="150"/>
    </row>
    <row r="628" hidden="1">
      <c r="B628" s="74"/>
      <c r="M628" s="150"/>
    </row>
    <row r="629" hidden="1">
      <c r="B629" s="74"/>
      <c r="M629" s="150"/>
    </row>
    <row r="630" hidden="1">
      <c r="B630" s="74"/>
      <c r="M630" s="150"/>
    </row>
    <row r="631" hidden="1">
      <c r="B631" s="74"/>
      <c r="M631" s="150"/>
    </row>
    <row r="632" hidden="1">
      <c r="B632" s="74"/>
      <c r="M632" s="150"/>
    </row>
    <row r="633" hidden="1">
      <c r="B633" s="74"/>
      <c r="M633" s="150"/>
    </row>
    <row r="634" hidden="1">
      <c r="B634" s="74"/>
      <c r="M634" s="150"/>
    </row>
    <row r="635" hidden="1">
      <c r="B635" s="74"/>
      <c r="M635" s="150"/>
    </row>
    <row r="636" hidden="1">
      <c r="B636" s="74"/>
      <c r="M636" s="150"/>
    </row>
    <row r="637" hidden="1">
      <c r="B637" s="74"/>
      <c r="M637" s="150"/>
    </row>
    <row r="638" hidden="1">
      <c r="B638" s="74"/>
      <c r="M638" s="150"/>
    </row>
    <row r="639" hidden="1">
      <c r="B639" s="74"/>
      <c r="M639" s="150"/>
    </row>
    <row r="640" hidden="1">
      <c r="B640" s="74"/>
      <c r="M640" s="150"/>
    </row>
    <row r="641" hidden="1">
      <c r="B641" s="74"/>
      <c r="M641" s="150"/>
    </row>
    <row r="642" hidden="1">
      <c r="B642" s="74"/>
      <c r="M642" s="150"/>
    </row>
    <row r="643" hidden="1">
      <c r="B643" s="74"/>
      <c r="M643" s="150"/>
    </row>
    <row r="644" hidden="1">
      <c r="B644" s="74"/>
      <c r="M644" s="150"/>
    </row>
    <row r="645" hidden="1">
      <c r="B645" s="74"/>
      <c r="M645" s="150"/>
    </row>
    <row r="646" hidden="1">
      <c r="B646" s="74"/>
      <c r="M646" s="150"/>
    </row>
    <row r="647" hidden="1">
      <c r="B647" s="74"/>
      <c r="M647" s="150"/>
    </row>
    <row r="648" hidden="1">
      <c r="B648" s="74"/>
      <c r="M648" s="150"/>
    </row>
    <row r="649" hidden="1">
      <c r="B649" s="74"/>
      <c r="M649" s="150"/>
    </row>
    <row r="650" hidden="1">
      <c r="B650" s="74"/>
      <c r="M650" s="150"/>
    </row>
    <row r="651" hidden="1">
      <c r="B651" s="74"/>
      <c r="M651" s="150"/>
    </row>
    <row r="652" hidden="1">
      <c r="B652" s="74"/>
      <c r="M652" s="150"/>
    </row>
    <row r="653" hidden="1">
      <c r="B653" s="74"/>
      <c r="M653" s="150"/>
    </row>
    <row r="654" hidden="1">
      <c r="B654" s="74"/>
      <c r="M654" s="150"/>
    </row>
    <row r="655" hidden="1">
      <c r="B655" s="74"/>
      <c r="M655" s="150"/>
    </row>
    <row r="656" hidden="1">
      <c r="B656" s="74"/>
      <c r="M656" s="150"/>
    </row>
    <row r="657" hidden="1">
      <c r="B657" s="74"/>
      <c r="M657" s="150"/>
    </row>
    <row r="658" hidden="1">
      <c r="B658" s="74"/>
      <c r="M658" s="150"/>
    </row>
    <row r="659" hidden="1">
      <c r="B659" s="74"/>
      <c r="M659" s="150"/>
    </row>
    <row r="660" hidden="1">
      <c r="B660" s="74"/>
      <c r="M660" s="150"/>
    </row>
    <row r="661" hidden="1">
      <c r="B661" s="74"/>
      <c r="M661" s="150"/>
    </row>
    <row r="662" hidden="1">
      <c r="B662" s="74"/>
      <c r="M662" s="150"/>
    </row>
    <row r="663" hidden="1">
      <c r="B663" s="74"/>
      <c r="M663" s="150"/>
    </row>
    <row r="664" hidden="1">
      <c r="B664" s="74"/>
      <c r="M664" s="150"/>
    </row>
    <row r="665" hidden="1">
      <c r="B665" s="74"/>
      <c r="M665" s="150"/>
    </row>
    <row r="666" hidden="1">
      <c r="B666" s="74"/>
      <c r="M666" s="150"/>
    </row>
    <row r="667" hidden="1">
      <c r="B667" s="74"/>
      <c r="M667" s="150"/>
    </row>
    <row r="668" hidden="1">
      <c r="B668" s="74"/>
      <c r="M668" s="150"/>
    </row>
    <row r="669" hidden="1">
      <c r="B669" s="74"/>
      <c r="M669" s="150"/>
    </row>
    <row r="670" hidden="1">
      <c r="B670" s="74"/>
      <c r="M670" s="150"/>
    </row>
    <row r="671" hidden="1">
      <c r="B671" s="74"/>
      <c r="M671" s="150"/>
    </row>
    <row r="672" hidden="1">
      <c r="B672" s="74"/>
      <c r="M672" s="150"/>
    </row>
    <row r="673" hidden="1">
      <c r="B673" s="74"/>
      <c r="M673" s="150"/>
    </row>
    <row r="674" hidden="1">
      <c r="B674" s="74"/>
      <c r="M674" s="150"/>
    </row>
    <row r="675" hidden="1">
      <c r="B675" s="74"/>
      <c r="M675" s="150"/>
    </row>
    <row r="676" hidden="1">
      <c r="B676" s="74"/>
      <c r="M676" s="150"/>
    </row>
    <row r="677" hidden="1">
      <c r="B677" s="74"/>
      <c r="M677" s="150"/>
    </row>
    <row r="678" hidden="1">
      <c r="B678" s="74"/>
      <c r="M678" s="150"/>
    </row>
    <row r="679" hidden="1">
      <c r="B679" s="74"/>
      <c r="M679" s="150"/>
    </row>
    <row r="680" hidden="1">
      <c r="B680" s="74"/>
      <c r="M680" s="150"/>
    </row>
    <row r="681" hidden="1">
      <c r="B681" s="74"/>
      <c r="M681" s="150"/>
    </row>
    <row r="682" hidden="1">
      <c r="B682" s="74"/>
      <c r="M682" s="150"/>
    </row>
    <row r="683" hidden="1">
      <c r="B683" s="74"/>
      <c r="M683" s="150"/>
    </row>
    <row r="684" hidden="1">
      <c r="B684" s="74"/>
      <c r="M684" s="150"/>
    </row>
    <row r="685" hidden="1">
      <c r="B685" s="74"/>
      <c r="M685" s="150"/>
    </row>
    <row r="686" hidden="1">
      <c r="B686" s="74"/>
      <c r="M686" s="150"/>
    </row>
    <row r="687" hidden="1">
      <c r="B687" s="74"/>
      <c r="M687" s="150"/>
    </row>
    <row r="688" hidden="1">
      <c r="B688" s="74"/>
      <c r="M688" s="150"/>
    </row>
    <row r="689" hidden="1">
      <c r="B689" s="74"/>
      <c r="M689" s="150"/>
    </row>
    <row r="690" hidden="1">
      <c r="B690" s="74"/>
      <c r="M690" s="150"/>
    </row>
    <row r="691" hidden="1">
      <c r="B691" s="74"/>
      <c r="M691" s="150"/>
    </row>
    <row r="692" hidden="1">
      <c r="B692" s="74"/>
      <c r="M692" s="150"/>
    </row>
    <row r="693" hidden="1">
      <c r="B693" s="74"/>
      <c r="M693" s="150"/>
    </row>
    <row r="694" hidden="1">
      <c r="B694" s="74"/>
      <c r="M694" s="150"/>
    </row>
    <row r="695" hidden="1">
      <c r="B695" s="74"/>
      <c r="M695" s="150"/>
    </row>
    <row r="696" hidden="1">
      <c r="B696" s="74"/>
      <c r="M696" s="150"/>
    </row>
    <row r="697" hidden="1">
      <c r="B697" s="74"/>
      <c r="M697" s="150"/>
    </row>
    <row r="698" hidden="1">
      <c r="B698" s="74"/>
      <c r="M698" s="150"/>
    </row>
    <row r="699" hidden="1">
      <c r="B699" s="74"/>
      <c r="M699" s="150"/>
    </row>
    <row r="700" hidden="1">
      <c r="B700" s="74"/>
      <c r="M700" s="150"/>
    </row>
    <row r="701" hidden="1">
      <c r="B701" s="74"/>
      <c r="M701" s="150"/>
    </row>
    <row r="702" hidden="1">
      <c r="B702" s="74"/>
      <c r="M702" s="150"/>
    </row>
    <row r="703" hidden="1">
      <c r="B703" s="74"/>
      <c r="M703" s="150"/>
    </row>
    <row r="704" hidden="1">
      <c r="B704" s="74"/>
      <c r="M704" s="150"/>
    </row>
    <row r="705" hidden="1">
      <c r="B705" s="74"/>
      <c r="M705" s="150"/>
    </row>
    <row r="706" hidden="1">
      <c r="B706" s="74"/>
      <c r="M706" s="150"/>
    </row>
    <row r="707" hidden="1">
      <c r="B707" s="74"/>
      <c r="M707" s="150"/>
    </row>
    <row r="708" hidden="1">
      <c r="B708" s="74"/>
      <c r="M708" s="150"/>
    </row>
    <row r="709" hidden="1">
      <c r="B709" s="74"/>
      <c r="M709" s="150"/>
    </row>
    <row r="710" hidden="1">
      <c r="B710" s="74"/>
      <c r="M710" s="150"/>
    </row>
    <row r="711" hidden="1">
      <c r="B711" s="74"/>
      <c r="M711" s="150"/>
    </row>
    <row r="712" hidden="1">
      <c r="B712" s="74"/>
      <c r="M712" s="150"/>
    </row>
    <row r="713" hidden="1">
      <c r="B713" s="74"/>
      <c r="M713" s="150"/>
    </row>
    <row r="714" hidden="1">
      <c r="B714" s="74"/>
      <c r="M714" s="150"/>
    </row>
    <row r="715" hidden="1">
      <c r="B715" s="74"/>
      <c r="M715" s="150"/>
    </row>
    <row r="716" hidden="1">
      <c r="B716" s="74"/>
      <c r="M716" s="150"/>
    </row>
    <row r="717" hidden="1">
      <c r="B717" s="74"/>
      <c r="M717" s="150"/>
    </row>
    <row r="718" hidden="1">
      <c r="B718" s="74"/>
      <c r="M718" s="150"/>
    </row>
    <row r="719" hidden="1">
      <c r="B719" s="74"/>
      <c r="M719" s="150"/>
    </row>
    <row r="720" hidden="1">
      <c r="B720" s="74"/>
      <c r="M720" s="150"/>
    </row>
    <row r="721" hidden="1">
      <c r="B721" s="74"/>
      <c r="M721" s="150"/>
    </row>
    <row r="722" hidden="1">
      <c r="B722" s="74"/>
      <c r="M722" s="150"/>
    </row>
    <row r="723" hidden="1">
      <c r="B723" s="74"/>
      <c r="M723" s="150"/>
    </row>
    <row r="724" hidden="1">
      <c r="B724" s="74"/>
      <c r="M724" s="150"/>
    </row>
    <row r="725" hidden="1">
      <c r="B725" s="74"/>
      <c r="M725" s="150"/>
    </row>
    <row r="726" hidden="1">
      <c r="B726" s="74"/>
      <c r="M726" s="150"/>
    </row>
    <row r="727" hidden="1">
      <c r="B727" s="74"/>
      <c r="M727" s="150"/>
    </row>
    <row r="728" hidden="1">
      <c r="B728" s="74"/>
      <c r="M728" s="150"/>
    </row>
    <row r="729" hidden="1">
      <c r="B729" s="74"/>
      <c r="M729" s="150"/>
    </row>
    <row r="730" hidden="1">
      <c r="B730" s="74"/>
      <c r="M730" s="150"/>
    </row>
    <row r="731" hidden="1">
      <c r="B731" s="74"/>
      <c r="M731" s="150"/>
    </row>
    <row r="732" hidden="1">
      <c r="B732" s="74"/>
      <c r="M732" s="150"/>
    </row>
    <row r="733" hidden="1">
      <c r="B733" s="74"/>
      <c r="M733" s="150"/>
    </row>
    <row r="734" hidden="1">
      <c r="B734" s="74"/>
      <c r="M734" s="150"/>
    </row>
    <row r="735" hidden="1">
      <c r="B735" s="74"/>
      <c r="M735" s="150"/>
    </row>
    <row r="736" hidden="1">
      <c r="B736" s="74"/>
      <c r="M736" s="150"/>
    </row>
    <row r="737" hidden="1">
      <c r="B737" s="74"/>
      <c r="M737" s="150"/>
    </row>
    <row r="738" hidden="1">
      <c r="B738" s="74"/>
      <c r="M738" s="150"/>
    </row>
    <row r="739" hidden="1">
      <c r="B739" s="74"/>
      <c r="M739" s="150"/>
    </row>
    <row r="740" hidden="1">
      <c r="B740" s="74"/>
      <c r="M740" s="150"/>
    </row>
    <row r="741" hidden="1">
      <c r="B741" s="74"/>
      <c r="M741" s="150"/>
    </row>
    <row r="742" hidden="1">
      <c r="B742" s="74"/>
      <c r="M742" s="150"/>
    </row>
    <row r="743" hidden="1">
      <c r="B743" s="74"/>
      <c r="M743" s="150"/>
    </row>
    <row r="744" hidden="1">
      <c r="B744" s="74"/>
      <c r="M744" s="150"/>
    </row>
    <row r="745" hidden="1">
      <c r="B745" s="74"/>
      <c r="M745" s="150"/>
    </row>
    <row r="746" hidden="1">
      <c r="B746" s="74"/>
      <c r="M746" s="150"/>
    </row>
    <row r="747" hidden="1">
      <c r="B747" s="74"/>
      <c r="M747" s="150"/>
    </row>
    <row r="748" hidden="1">
      <c r="B748" s="74"/>
      <c r="M748" s="150"/>
    </row>
    <row r="749" hidden="1">
      <c r="B749" s="74"/>
      <c r="M749" s="150"/>
    </row>
    <row r="750" hidden="1">
      <c r="B750" s="74"/>
      <c r="M750" s="150"/>
    </row>
    <row r="751" hidden="1">
      <c r="B751" s="74"/>
      <c r="M751" s="150"/>
    </row>
    <row r="752" hidden="1">
      <c r="B752" s="74"/>
      <c r="M752" s="150"/>
    </row>
    <row r="753" hidden="1">
      <c r="B753" s="74"/>
      <c r="M753" s="150"/>
    </row>
    <row r="754" hidden="1">
      <c r="B754" s="74"/>
      <c r="M754" s="150"/>
    </row>
    <row r="755" hidden="1">
      <c r="B755" s="74"/>
      <c r="M755" s="150"/>
    </row>
    <row r="756" hidden="1">
      <c r="B756" s="74"/>
      <c r="M756" s="150"/>
    </row>
    <row r="757" hidden="1">
      <c r="B757" s="74"/>
      <c r="M757" s="150"/>
    </row>
    <row r="758" hidden="1">
      <c r="B758" s="74"/>
      <c r="M758" s="150"/>
    </row>
    <row r="759" hidden="1">
      <c r="B759" s="74"/>
      <c r="M759" s="150"/>
    </row>
    <row r="760" hidden="1">
      <c r="B760" s="74"/>
      <c r="M760" s="150"/>
    </row>
    <row r="761" hidden="1">
      <c r="B761" s="74"/>
      <c r="M761" s="150"/>
    </row>
    <row r="762" hidden="1">
      <c r="B762" s="74"/>
      <c r="M762" s="150"/>
    </row>
    <row r="763" hidden="1">
      <c r="B763" s="74"/>
      <c r="M763" s="150"/>
    </row>
    <row r="764" hidden="1">
      <c r="B764" s="74"/>
      <c r="M764" s="150"/>
    </row>
    <row r="765" hidden="1">
      <c r="B765" s="74"/>
      <c r="M765" s="150"/>
    </row>
    <row r="766" hidden="1">
      <c r="B766" s="74"/>
      <c r="M766" s="150"/>
    </row>
    <row r="767" hidden="1">
      <c r="B767" s="74"/>
      <c r="M767" s="150"/>
    </row>
    <row r="768" hidden="1">
      <c r="B768" s="74"/>
      <c r="M768" s="150"/>
    </row>
    <row r="769" hidden="1">
      <c r="B769" s="74"/>
      <c r="M769" s="150"/>
    </row>
    <row r="770" hidden="1">
      <c r="B770" s="74"/>
      <c r="M770" s="150"/>
    </row>
    <row r="771" hidden="1">
      <c r="B771" s="74"/>
      <c r="M771" s="150"/>
    </row>
    <row r="772" hidden="1">
      <c r="B772" s="74"/>
      <c r="M772" s="150"/>
    </row>
    <row r="773" hidden="1">
      <c r="B773" s="74"/>
      <c r="M773" s="150"/>
    </row>
    <row r="774" hidden="1">
      <c r="B774" s="74"/>
      <c r="M774" s="150"/>
    </row>
    <row r="775" hidden="1">
      <c r="B775" s="74"/>
      <c r="M775" s="150"/>
    </row>
    <row r="776" hidden="1">
      <c r="B776" s="74"/>
      <c r="M776" s="150"/>
    </row>
    <row r="777" hidden="1">
      <c r="B777" s="74"/>
      <c r="M777" s="150"/>
    </row>
    <row r="778" hidden="1">
      <c r="B778" s="74"/>
      <c r="M778" s="150"/>
    </row>
    <row r="779" hidden="1">
      <c r="B779" s="74"/>
      <c r="M779" s="150"/>
    </row>
    <row r="780" hidden="1">
      <c r="B780" s="74"/>
      <c r="M780" s="150"/>
    </row>
    <row r="781" hidden="1">
      <c r="B781" s="74"/>
      <c r="M781" s="150"/>
    </row>
    <row r="782" hidden="1">
      <c r="B782" s="74"/>
      <c r="M782" s="150"/>
    </row>
    <row r="783" hidden="1">
      <c r="B783" s="74"/>
      <c r="M783" s="150"/>
    </row>
    <row r="784" hidden="1">
      <c r="B784" s="74"/>
      <c r="M784" s="150"/>
    </row>
    <row r="785" hidden="1">
      <c r="B785" s="74"/>
      <c r="M785" s="150"/>
    </row>
    <row r="786" hidden="1">
      <c r="B786" s="74"/>
      <c r="M786" s="150"/>
    </row>
    <row r="787" hidden="1">
      <c r="B787" s="74"/>
      <c r="M787" s="150"/>
    </row>
    <row r="788" hidden="1">
      <c r="B788" s="74"/>
      <c r="M788" s="150"/>
    </row>
    <row r="789" hidden="1">
      <c r="B789" s="74"/>
      <c r="M789" s="150"/>
    </row>
    <row r="790" hidden="1">
      <c r="B790" s="74"/>
      <c r="M790" s="150"/>
    </row>
    <row r="791" hidden="1">
      <c r="B791" s="74"/>
      <c r="M791" s="150"/>
    </row>
    <row r="792" hidden="1">
      <c r="B792" s="74"/>
      <c r="M792" s="150"/>
    </row>
    <row r="793" hidden="1">
      <c r="B793" s="74"/>
      <c r="M793" s="150"/>
    </row>
    <row r="794" hidden="1">
      <c r="B794" s="74"/>
      <c r="M794" s="150"/>
    </row>
    <row r="795" hidden="1">
      <c r="B795" s="74"/>
      <c r="M795" s="150"/>
    </row>
    <row r="796" hidden="1">
      <c r="B796" s="74"/>
      <c r="M796" s="150"/>
    </row>
    <row r="797" hidden="1">
      <c r="B797" s="74"/>
      <c r="M797" s="150"/>
    </row>
    <row r="798" hidden="1">
      <c r="B798" s="74"/>
      <c r="M798" s="150"/>
    </row>
    <row r="799" hidden="1">
      <c r="B799" s="74"/>
      <c r="M799" s="150"/>
    </row>
    <row r="800" hidden="1">
      <c r="B800" s="74"/>
      <c r="M800" s="150"/>
    </row>
    <row r="801" hidden="1">
      <c r="B801" s="74"/>
      <c r="M801" s="150"/>
    </row>
    <row r="802" hidden="1">
      <c r="B802" s="74"/>
      <c r="M802" s="150"/>
    </row>
    <row r="803" hidden="1">
      <c r="B803" s="74"/>
      <c r="M803" s="150"/>
    </row>
    <row r="804" hidden="1">
      <c r="B804" s="74"/>
      <c r="M804" s="150"/>
    </row>
    <row r="805" hidden="1">
      <c r="B805" s="74"/>
      <c r="M805" s="150"/>
    </row>
    <row r="806" hidden="1">
      <c r="B806" s="74"/>
      <c r="M806" s="150"/>
    </row>
    <row r="807" hidden="1">
      <c r="B807" s="74"/>
      <c r="M807" s="150"/>
    </row>
    <row r="808" hidden="1">
      <c r="B808" s="74"/>
      <c r="M808" s="150"/>
    </row>
    <row r="809" hidden="1">
      <c r="B809" s="74"/>
      <c r="M809" s="150"/>
    </row>
    <row r="810" hidden="1">
      <c r="B810" s="74"/>
      <c r="M810" s="150"/>
    </row>
    <row r="811" hidden="1">
      <c r="B811" s="74"/>
      <c r="M811" s="150"/>
    </row>
    <row r="812" hidden="1">
      <c r="B812" s="74"/>
      <c r="M812" s="150"/>
    </row>
    <row r="813" hidden="1">
      <c r="B813" s="74"/>
      <c r="M813" s="150"/>
    </row>
    <row r="814" hidden="1">
      <c r="B814" s="74"/>
      <c r="M814" s="150"/>
    </row>
    <row r="815" hidden="1">
      <c r="B815" s="74"/>
      <c r="M815" s="150"/>
    </row>
    <row r="816" hidden="1">
      <c r="B816" s="74"/>
      <c r="M816" s="150"/>
    </row>
    <row r="817" hidden="1">
      <c r="B817" s="74"/>
      <c r="M817" s="150"/>
    </row>
    <row r="818" hidden="1">
      <c r="B818" s="74"/>
      <c r="M818" s="150"/>
    </row>
    <row r="819" hidden="1">
      <c r="B819" s="74"/>
      <c r="M819" s="150"/>
    </row>
    <row r="820" hidden="1">
      <c r="B820" s="74"/>
      <c r="M820" s="150"/>
    </row>
    <row r="821" hidden="1">
      <c r="B821" s="74"/>
      <c r="M821" s="150"/>
    </row>
    <row r="822" hidden="1">
      <c r="B822" s="74"/>
      <c r="M822" s="150"/>
    </row>
    <row r="823" hidden="1">
      <c r="B823" s="74"/>
      <c r="M823" s="150"/>
    </row>
    <row r="824" hidden="1">
      <c r="B824" s="74"/>
      <c r="M824" s="150"/>
    </row>
    <row r="825" hidden="1">
      <c r="B825" s="74"/>
      <c r="M825" s="150"/>
    </row>
    <row r="826" hidden="1">
      <c r="B826" s="74"/>
      <c r="M826" s="150"/>
    </row>
    <row r="827" hidden="1">
      <c r="B827" s="74"/>
      <c r="M827" s="150"/>
    </row>
    <row r="828" hidden="1">
      <c r="B828" s="74"/>
      <c r="M828" s="150"/>
    </row>
    <row r="829" hidden="1">
      <c r="B829" s="74"/>
      <c r="M829" s="150"/>
    </row>
    <row r="830" hidden="1">
      <c r="B830" s="74"/>
      <c r="M830" s="150"/>
    </row>
    <row r="831" hidden="1">
      <c r="B831" s="74"/>
      <c r="M831" s="150"/>
    </row>
    <row r="832" hidden="1">
      <c r="B832" s="74"/>
      <c r="M832" s="150"/>
    </row>
    <row r="833" hidden="1">
      <c r="B833" s="74"/>
      <c r="M833" s="150"/>
    </row>
    <row r="834" hidden="1">
      <c r="B834" s="74"/>
      <c r="M834" s="150"/>
    </row>
    <row r="835" hidden="1">
      <c r="B835" s="74"/>
      <c r="M835" s="150"/>
    </row>
    <row r="836" hidden="1">
      <c r="B836" s="74"/>
      <c r="M836" s="150"/>
    </row>
    <row r="837" hidden="1">
      <c r="B837" s="74"/>
      <c r="M837" s="150"/>
    </row>
    <row r="838" hidden="1">
      <c r="B838" s="74"/>
      <c r="M838" s="150"/>
    </row>
    <row r="839" hidden="1">
      <c r="B839" s="74"/>
      <c r="M839" s="150"/>
    </row>
    <row r="840" hidden="1">
      <c r="B840" s="74"/>
      <c r="M840" s="150"/>
    </row>
    <row r="841" hidden="1">
      <c r="B841" s="74"/>
      <c r="M841" s="150"/>
    </row>
    <row r="842" hidden="1">
      <c r="B842" s="74"/>
      <c r="M842" s="150"/>
    </row>
    <row r="843" hidden="1">
      <c r="B843" s="74"/>
      <c r="M843" s="150"/>
    </row>
    <row r="844" hidden="1">
      <c r="B844" s="74"/>
      <c r="M844" s="150"/>
    </row>
    <row r="845" hidden="1">
      <c r="B845" s="74"/>
      <c r="M845" s="150"/>
    </row>
    <row r="846" hidden="1">
      <c r="B846" s="74"/>
      <c r="M846" s="150"/>
    </row>
    <row r="847" hidden="1">
      <c r="B847" s="74"/>
      <c r="M847" s="150"/>
    </row>
    <row r="848" hidden="1">
      <c r="B848" s="74"/>
      <c r="M848" s="150"/>
    </row>
    <row r="849" hidden="1">
      <c r="B849" s="74"/>
      <c r="M849" s="150"/>
    </row>
    <row r="850" hidden="1">
      <c r="B850" s="74"/>
      <c r="M850" s="150"/>
    </row>
    <row r="851" hidden="1">
      <c r="B851" s="74"/>
      <c r="M851" s="150"/>
    </row>
    <row r="852" hidden="1">
      <c r="B852" s="74"/>
      <c r="M852" s="150"/>
    </row>
    <row r="853" hidden="1">
      <c r="B853" s="74"/>
      <c r="M853" s="150"/>
    </row>
    <row r="854" hidden="1">
      <c r="B854" s="74"/>
      <c r="M854" s="150"/>
    </row>
    <row r="855" hidden="1">
      <c r="B855" s="74"/>
      <c r="M855" s="150"/>
    </row>
    <row r="856" hidden="1">
      <c r="B856" s="74"/>
      <c r="M856" s="150"/>
    </row>
    <row r="857" hidden="1">
      <c r="B857" s="74"/>
      <c r="M857" s="150"/>
    </row>
    <row r="858" hidden="1">
      <c r="B858" s="74"/>
      <c r="M858" s="150"/>
    </row>
    <row r="859" hidden="1">
      <c r="B859" s="74"/>
      <c r="M859" s="150"/>
    </row>
    <row r="860" hidden="1">
      <c r="B860" s="74"/>
      <c r="M860" s="150"/>
    </row>
    <row r="861" hidden="1">
      <c r="B861" s="74"/>
      <c r="M861" s="150"/>
    </row>
    <row r="862" hidden="1">
      <c r="B862" s="74"/>
      <c r="M862" s="150"/>
    </row>
    <row r="863" hidden="1">
      <c r="B863" s="74"/>
      <c r="M863" s="150"/>
    </row>
    <row r="864" hidden="1">
      <c r="B864" s="74"/>
      <c r="M864" s="150"/>
    </row>
    <row r="865" hidden="1">
      <c r="B865" s="74"/>
      <c r="M865" s="150"/>
    </row>
    <row r="866" hidden="1">
      <c r="B866" s="74"/>
      <c r="M866" s="150"/>
    </row>
    <row r="867" hidden="1">
      <c r="B867" s="74"/>
      <c r="M867" s="150"/>
    </row>
    <row r="868" hidden="1">
      <c r="B868" s="74"/>
      <c r="M868" s="150"/>
    </row>
    <row r="869" hidden="1">
      <c r="B869" s="74"/>
      <c r="M869" s="150"/>
    </row>
    <row r="870" hidden="1">
      <c r="B870" s="74"/>
      <c r="M870" s="150"/>
    </row>
    <row r="871" hidden="1">
      <c r="B871" s="74"/>
      <c r="M871" s="150"/>
    </row>
    <row r="872" hidden="1">
      <c r="B872" s="74"/>
      <c r="M872" s="150"/>
    </row>
    <row r="873" hidden="1">
      <c r="B873" s="74"/>
      <c r="M873" s="150"/>
    </row>
    <row r="874" hidden="1">
      <c r="B874" s="74"/>
      <c r="M874" s="150"/>
    </row>
    <row r="875" hidden="1">
      <c r="B875" s="74"/>
      <c r="M875" s="150"/>
    </row>
    <row r="876" hidden="1">
      <c r="B876" s="74"/>
      <c r="M876" s="150"/>
    </row>
    <row r="877" hidden="1">
      <c r="B877" s="74"/>
      <c r="M877" s="150"/>
    </row>
    <row r="878" hidden="1">
      <c r="B878" s="74"/>
      <c r="M878" s="150"/>
    </row>
    <row r="879" hidden="1">
      <c r="B879" s="74"/>
      <c r="M879" s="150"/>
    </row>
    <row r="880" hidden="1">
      <c r="B880" s="74"/>
      <c r="M880" s="150"/>
    </row>
    <row r="881" hidden="1">
      <c r="B881" s="74"/>
      <c r="M881" s="150"/>
    </row>
    <row r="882" hidden="1">
      <c r="B882" s="74"/>
      <c r="M882" s="150"/>
    </row>
    <row r="883" hidden="1">
      <c r="B883" s="74"/>
      <c r="M883" s="150"/>
    </row>
    <row r="884" hidden="1">
      <c r="B884" s="74"/>
      <c r="M884" s="150"/>
    </row>
    <row r="885" hidden="1">
      <c r="B885" s="74"/>
      <c r="M885" s="150"/>
    </row>
    <row r="886" hidden="1">
      <c r="B886" s="74"/>
      <c r="M886" s="150"/>
    </row>
    <row r="887" hidden="1">
      <c r="B887" s="74"/>
      <c r="M887" s="150"/>
    </row>
    <row r="888" hidden="1">
      <c r="B888" s="74"/>
      <c r="M888" s="150"/>
    </row>
    <row r="889" hidden="1">
      <c r="B889" s="74"/>
      <c r="M889" s="150"/>
    </row>
    <row r="890" hidden="1">
      <c r="B890" s="74"/>
      <c r="M890" s="150"/>
    </row>
    <row r="891" hidden="1">
      <c r="B891" s="74"/>
      <c r="M891" s="150"/>
    </row>
    <row r="892" hidden="1">
      <c r="B892" s="74"/>
      <c r="M892" s="150"/>
    </row>
    <row r="893" hidden="1">
      <c r="B893" s="74"/>
      <c r="M893" s="150"/>
    </row>
    <row r="894" hidden="1">
      <c r="B894" s="74"/>
      <c r="M894" s="150"/>
    </row>
    <row r="895" hidden="1">
      <c r="B895" s="74"/>
      <c r="M895" s="150"/>
    </row>
    <row r="896" hidden="1">
      <c r="B896" s="74"/>
      <c r="M896" s="150"/>
    </row>
    <row r="897" hidden="1">
      <c r="B897" s="74"/>
      <c r="M897" s="150"/>
    </row>
    <row r="898" hidden="1">
      <c r="B898" s="74"/>
      <c r="M898" s="150"/>
    </row>
    <row r="899" hidden="1">
      <c r="B899" s="74"/>
      <c r="M899" s="150"/>
    </row>
    <row r="900" hidden="1">
      <c r="B900" s="74"/>
      <c r="M900" s="150"/>
    </row>
    <row r="901" hidden="1">
      <c r="B901" s="74"/>
      <c r="M901" s="150"/>
    </row>
    <row r="902" hidden="1">
      <c r="B902" s="74"/>
      <c r="M902" s="150"/>
    </row>
    <row r="903" hidden="1">
      <c r="B903" s="74"/>
      <c r="M903" s="150"/>
    </row>
    <row r="904" hidden="1">
      <c r="B904" s="74"/>
      <c r="M904" s="150"/>
    </row>
    <row r="905" hidden="1">
      <c r="B905" s="74"/>
      <c r="M905" s="150"/>
    </row>
    <row r="906" hidden="1">
      <c r="B906" s="74"/>
      <c r="M906" s="150"/>
    </row>
    <row r="907" hidden="1">
      <c r="B907" s="74"/>
      <c r="M907" s="150"/>
    </row>
    <row r="908" hidden="1">
      <c r="B908" s="74"/>
      <c r="M908" s="150"/>
    </row>
    <row r="909" hidden="1">
      <c r="B909" s="74"/>
      <c r="M909" s="150"/>
    </row>
    <row r="910" hidden="1">
      <c r="B910" s="74"/>
      <c r="M910" s="150"/>
    </row>
    <row r="911" hidden="1">
      <c r="B911" s="74"/>
      <c r="M911" s="150"/>
    </row>
    <row r="912" hidden="1">
      <c r="B912" s="74"/>
      <c r="M912" s="150"/>
    </row>
    <row r="913" hidden="1">
      <c r="B913" s="74"/>
      <c r="M913" s="150"/>
    </row>
    <row r="914" hidden="1">
      <c r="B914" s="74"/>
      <c r="M914" s="150"/>
    </row>
    <row r="915" hidden="1">
      <c r="B915" s="74"/>
      <c r="M915" s="150"/>
    </row>
    <row r="916" hidden="1">
      <c r="B916" s="74"/>
      <c r="M916" s="150"/>
    </row>
    <row r="917" hidden="1">
      <c r="B917" s="74"/>
      <c r="M917" s="150"/>
    </row>
    <row r="918" hidden="1">
      <c r="B918" s="74"/>
      <c r="M918" s="150"/>
    </row>
    <row r="919" hidden="1">
      <c r="B919" s="74"/>
      <c r="M919" s="150"/>
    </row>
    <row r="920" hidden="1">
      <c r="B920" s="74"/>
      <c r="M920" s="150"/>
    </row>
    <row r="921" hidden="1">
      <c r="B921" s="74"/>
      <c r="M921" s="150"/>
    </row>
    <row r="922" hidden="1">
      <c r="B922" s="74"/>
      <c r="M922" s="150"/>
    </row>
    <row r="923" hidden="1">
      <c r="B923" s="74"/>
      <c r="M923" s="150"/>
    </row>
    <row r="924" hidden="1">
      <c r="B924" s="74"/>
      <c r="M924" s="150"/>
    </row>
    <row r="925" hidden="1">
      <c r="B925" s="74"/>
      <c r="M925" s="150"/>
    </row>
    <row r="926" hidden="1">
      <c r="B926" s="74"/>
      <c r="M926" s="150"/>
    </row>
    <row r="927" hidden="1">
      <c r="B927" s="74"/>
      <c r="M927" s="150"/>
    </row>
    <row r="928" hidden="1">
      <c r="B928" s="74"/>
      <c r="M928" s="150"/>
    </row>
    <row r="929" hidden="1">
      <c r="B929" s="74"/>
      <c r="M929" s="150"/>
    </row>
    <row r="930" hidden="1">
      <c r="B930" s="74"/>
      <c r="M930" s="150"/>
    </row>
    <row r="931" hidden="1">
      <c r="B931" s="74"/>
      <c r="M931" s="150"/>
    </row>
    <row r="932" hidden="1">
      <c r="B932" s="74"/>
      <c r="M932" s="150"/>
    </row>
    <row r="933" hidden="1">
      <c r="B933" s="74"/>
      <c r="M933" s="150"/>
    </row>
    <row r="934" hidden="1">
      <c r="B934" s="74"/>
      <c r="M934" s="150"/>
    </row>
    <row r="935" hidden="1">
      <c r="B935" s="74"/>
      <c r="M935" s="150"/>
    </row>
    <row r="936" hidden="1">
      <c r="B936" s="74"/>
      <c r="M936" s="150"/>
    </row>
    <row r="937" hidden="1">
      <c r="B937" s="74"/>
      <c r="M937" s="150"/>
    </row>
    <row r="938" hidden="1">
      <c r="B938" s="74"/>
      <c r="M938" s="150"/>
    </row>
    <row r="939" hidden="1">
      <c r="B939" s="74"/>
      <c r="M939" s="150"/>
    </row>
    <row r="940" hidden="1">
      <c r="B940" s="74"/>
      <c r="M940" s="150"/>
    </row>
    <row r="941" hidden="1">
      <c r="B941" s="74"/>
      <c r="M941" s="150"/>
    </row>
    <row r="942" hidden="1">
      <c r="B942" s="74"/>
      <c r="M942" s="150"/>
    </row>
    <row r="943" hidden="1">
      <c r="B943" s="74"/>
      <c r="M943" s="150"/>
    </row>
    <row r="944" hidden="1">
      <c r="B944" s="74"/>
      <c r="M944" s="150"/>
    </row>
    <row r="945" hidden="1">
      <c r="B945" s="74"/>
      <c r="M945" s="150"/>
    </row>
    <row r="946" hidden="1">
      <c r="B946" s="74"/>
      <c r="M946" s="150"/>
    </row>
    <row r="947" hidden="1">
      <c r="B947" s="74"/>
      <c r="M947" s="150"/>
    </row>
    <row r="948" hidden="1">
      <c r="B948" s="74"/>
      <c r="M948" s="150"/>
    </row>
    <row r="949" hidden="1">
      <c r="B949" s="74"/>
      <c r="M949" s="150"/>
    </row>
    <row r="950" hidden="1">
      <c r="B950" s="74"/>
      <c r="M950" s="150"/>
    </row>
    <row r="951" hidden="1">
      <c r="B951" s="74"/>
      <c r="M951" s="150"/>
    </row>
    <row r="952" hidden="1">
      <c r="B952" s="74"/>
      <c r="M952" s="150"/>
    </row>
    <row r="953" hidden="1">
      <c r="B953" s="74"/>
      <c r="M953" s="150"/>
    </row>
    <row r="954" hidden="1">
      <c r="B954" s="74"/>
      <c r="M954" s="150"/>
    </row>
    <row r="955" hidden="1">
      <c r="B955" s="74"/>
      <c r="M955" s="150"/>
    </row>
    <row r="956" hidden="1">
      <c r="B956" s="74"/>
      <c r="M956" s="150"/>
    </row>
    <row r="957" hidden="1">
      <c r="B957" s="74"/>
      <c r="M957" s="150"/>
    </row>
    <row r="958" hidden="1">
      <c r="B958" s="74"/>
      <c r="M958" s="150"/>
    </row>
    <row r="959" hidden="1">
      <c r="B959" s="74"/>
      <c r="M959" s="150"/>
    </row>
    <row r="960" hidden="1">
      <c r="B960" s="74"/>
      <c r="M960" s="150"/>
    </row>
    <row r="961" hidden="1">
      <c r="B961" s="74"/>
      <c r="M961" s="150"/>
    </row>
    <row r="962" hidden="1">
      <c r="B962" s="74"/>
      <c r="M962" s="150"/>
    </row>
    <row r="963" hidden="1">
      <c r="B963" s="74"/>
      <c r="M963" s="150"/>
    </row>
    <row r="964" hidden="1">
      <c r="B964" s="74"/>
      <c r="M964" s="150"/>
    </row>
    <row r="965" hidden="1">
      <c r="B965" s="74"/>
      <c r="M965" s="150"/>
    </row>
    <row r="966" hidden="1">
      <c r="B966" s="74"/>
      <c r="M966" s="150"/>
    </row>
    <row r="967" hidden="1">
      <c r="B967" s="74"/>
      <c r="M967" s="150"/>
    </row>
    <row r="968" hidden="1">
      <c r="B968" s="74"/>
      <c r="M968" s="150"/>
    </row>
    <row r="969" hidden="1">
      <c r="B969" s="74"/>
      <c r="M969" s="150"/>
    </row>
    <row r="970" hidden="1">
      <c r="B970" s="74"/>
      <c r="M970" s="150"/>
    </row>
    <row r="971" hidden="1">
      <c r="B971" s="74"/>
      <c r="M971" s="150"/>
    </row>
    <row r="972" hidden="1">
      <c r="B972" s="74"/>
      <c r="M972" s="150"/>
    </row>
    <row r="973" hidden="1">
      <c r="B973" s="74"/>
      <c r="M973" s="150"/>
    </row>
    <row r="974" hidden="1">
      <c r="B974" s="74"/>
      <c r="M974" s="150"/>
    </row>
    <row r="975" hidden="1">
      <c r="B975" s="74"/>
      <c r="M975" s="150"/>
    </row>
    <row r="976" hidden="1">
      <c r="B976" s="74"/>
      <c r="M976" s="150"/>
    </row>
    <row r="977" hidden="1">
      <c r="B977" s="74"/>
      <c r="M977" s="150"/>
    </row>
    <row r="978" hidden="1">
      <c r="B978" s="74"/>
      <c r="M978" s="150"/>
    </row>
    <row r="979" hidden="1">
      <c r="B979" s="74"/>
      <c r="M979" s="150"/>
    </row>
    <row r="980" hidden="1">
      <c r="B980" s="74"/>
      <c r="M980" s="150"/>
    </row>
    <row r="981" hidden="1">
      <c r="B981" s="74"/>
      <c r="M981" s="150"/>
    </row>
    <row r="982" hidden="1">
      <c r="B982" s="74"/>
      <c r="M982" s="150"/>
    </row>
    <row r="983" hidden="1">
      <c r="B983" s="74"/>
      <c r="M983" s="150"/>
    </row>
    <row r="984" hidden="1">
      <c r="B984" s="74"/>
      <c r="M984" s="150"/>
    </row>
    <row r="985" hidden="1">
      <c r="B985" s="74"/>
      <c r="M985" s="150"/>
    </row>
    <row r="986" hidden="1">
      <c r="B986" s="74"/>
      <c r="M986" s="150"/>
    </row>
    <row r="987" hidden="1">
      <c r="B987" s="74"/>
      <c r="M987" s="150"/>
    </row>
    <row r="988" hidden="1">
      <c r="B988" s="74"/>
      <c r="M988" s="150"/>
    </row>
    <row r="989" hidden="1">
      <c r="B989" s="74"/>
      <c r="M989" s="150"/>
    </row>
    <row r="990" hidden="1">
      <c r="B990" s="74"/>
      <c r="M990" s="150"/>
    </row>
    <row r="991" hidden="1">
      <c r="B991" s="74"/>
      <c r="M991" s="150"/>
    </row>
    <row r="992" hidden="1">
      <c r="B992" s="74"/>
      <c r="M992" s="150"/>
    </row>
    <row r="993" hidden="1">
      <c r="B993" s="74"/>
      <c r="M993" s="150"/>
    </row>
    <row r="994" hidden="1">
      <c r="B994" s="74"/>
      <c r="M994" s="150"/>
    </row>
    <row r="995" hidden="1">
      <c r="B995" s="74"/>
      <c r="M995" s="150"/>
    </row>
    <row r="996" hidden="1">
      <c r="B996" s="74"/>
      <c r="M996" s="150"/>
    </row>
    <row r="997" hidden="1">
      <c r="B997" s="74"/>
      <c r="M997" s="150"/>
    </row>
    <row r="998" hidden="1">
      <c r="B998" s="74"/>
      <c r="M998" s="150"/>
    </row>
    <row r="999" hidden="1">
      <c r="B999" s="74"/>
      <c r="M999" s="150"/>
    </row>
    <row r="1000" hidden="1">
      <c r="B1000" s="74"/>
      <c r="M1000" s="150"/>
    </row>
  </sheetData>
  <mergeCells count="21">
    <mergeCell ref="BK1:BT1"/>
    <mergeCell ref="BU1:CD1"/>
    <mergeCell ref="CE1:CN1"/>
    <mergeCell ref="CO1:CX1"/>
    <mergeCell ref="A1:B2"/>
    <mergeCell ref="C1:L1"/>
    <mergeCell ref="M1:V1"/>
    <mergeCell ref="W1:AF1"/>
    <mergeCell ref="AG1:AP1"/>
    <mergeCell ref="AQ1:AZ1"/>
    <mergeCell ref="BA1:BJ1"/>
    <mergeCell ref="A73:A82"/>
    <mergeCell ref="A83:A92"/>
    <mergeCell ref="A93:A102"/>
    <mergeCell ref="A3:A12"/>
    <mergeCell ref="A13:A22"/>
    <mergeCell ref="A23:A32"/>
    <mergeCell ref="A33:A42"/>
    <mergeCell ref="A43:A52"/>
    <mergeCell ref="A53:A62"/>
    <mergeCell ref="A63:A7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63"/>
    <col customWidth="1" min="2" max="2" width="6.63"/>
    <col customWidth="1" min="3" max="102" width="6.13"/>
  </cols>
  <sheetData>
    <row r="1" ht="32.25" customHeight="1">
      <c r="A1" s="97" t="s">
        <v>2934</v>
      </c>
      <c r="B1" s="98"/>
      <c r="C1" s="99" t="s">
        <v>2935</v>
      </c>
      <c r="M1" s="100" t="s">
        <v>2936</v>
      </c>
      <c r="W1" s="101" t="s">
        <v>2937</v>
      </c>
      <c r="AG1" s="100" t="s">
        <v>2938</v>
      </c>
      <c r="AQ1" s="101" t="s">
        <v>2939</v>
      </c>
      <c r="BA1" s="100" t="s">
        <v>2940</v>
      </c>
      <c r="BK1" s="101" t="s">
        <v>2941</v>
      </c>
      <c r="BU1" s="100" t="s">
        <v>2942</v>
      </c>
      <c r="CE1" s="101" t="s">
        <v>2943</v>
      </c>
      <c r="CO1" s="100" t="s">
        <v>2944</v>
      </c>
    </row>
    <row r="2" ht="33.75" customHeight="1">
      <c r="A2" s="103"/>
      <c r="B2" s="104"/>
      <c r="C2" s="161" t="s">
        <v>2945</v>
      </c>
      <c r="D2" s="162" t="s">
        <v>2946</v>
      </c>
      <c r="E2" s="162" t="s">
        <v>2947</v>
      </c>
      <c r="F2" s="162" t="s">
        <v>2948</v>
      </c>
      <c r="G2" s="162" t="s">
        <v>2949</v>
      </c>
      <c r="H2" s="162" t="s">
        <v>2950</v>
      </c>
      <c r="I2" s="162" t="s">
        <v>2951</v>
      </c>
      <c r="J2" s="162" t="s">
        <v>2952</v>
      </c>
      <c r="K2" s="162" t="s">
        <v>2953</v>
      </c>
      <c r="L2" s="162" t="s">
        <v>2954</v>
      </c>
      <c r="M2" s="163" t="s">
        <v>2955</v>
      </c>
      <c r="N2" s="162" t="s">
        <v>2956</v>
      </c>
      <c r="O2" s="162" t="s">
        <v>2957</v>
      </c>
      <c r="P2" s="162" t="s">
        <v>2958</v>
      </c>
      <c r="Q2" s="162" t="s">
        <v>2959</v>
      </c>
      <c r="R2" s="162" t="s">
        <v>2960</v>
      </c>
      <c r="S2" s="162" t="s">
        <v>2961</v>
      </c>
      <c r="T2" s="162" t="s">
        <v>2962</v>
      </c>
      <c r="U2" s="162" t="s">
        <v>2963</v>
      </c>
      <c r="V2" s="162" t="s">
        <v>2964</v>
      </c>
      <c r="W2" s="163" t="s">
        <v>2965</v>
      </c>
      <c r="X2" s="162" t="s">
        <v>2966</v>
      </c>
      <c r="Y2" s="162" t="s">
        <v>2967</v>
      </c>
      <c r="Z2" s="162" t="s">
        <v>2968</v>
      </c>
      <c r="AA2" s="162" t="s">
        <v>2969</v>
      </c>
      <c r="AB2" s="162" t="s">
        <v>2970</v>
      </c>
      <c r="AC2" s="162" t="s">
        <v>2971</v>
      </c>
      <c r="AD2" s="162" t="s">
        <v>2972</v>
      </c>
      <c r="AE2" s="162" t="s">
        <v>2973</v>
      </c>
      <c r="AF2" s="162" t="s">
        <v>2974</v>
      </c>
      <c r="AG2" s="163" t="s">
        <v>2975</v>
      </c>
      <c r="AH2" s="162" t="s">
        <v>2976</v>
      </c>
      <c r="AI2" s="162" t="s">
        <v>2977</v>
      </c>
      <c r="AJ2" s="162" t="s">
        <v>2978</v>
      </c>
      <c r="AK2" s="162" t="s">
        <v>2979</v>
      </c>
      <c r="AL2" s="162" t="s">
        <v>2980</v>
      </c>
      <c r="AM2" s="162" t="s">
        <v>2981</v>
      </c>
      <c r="AN2" s="162" t="s">
        <v>2982</v>
      </c>
      <c r="AO2" s="162" t="s">
        <v>2983</v>
      </c>
      <c r="AP2" s="162" t="s">
        <v>2984</v>
      </c>
      <c r="AQ2" s="163" t="s">
        <v>2985</v>
      </c>
      <c r="AR2" s="162" t="s">
        <v>2986</v>
      </c>
      <c r="AS2" s="162" t="s">
        <v>2987</v>
      </c>
      <c r="AT2" s="162" t="s">
        <v>2988</v>
      </c>
      <c r="AU2" s="162" t="s">
        <v>2989</v>
      </c>
      <c r="AV2" s="162" t="s">
        <v>2990</v>
      </c>
      <c r="AW2" s="162" t="s">
        <v>2991</v>
      </c>
      <c r="AX2" s="162" t="s">
        <v>2992</v>
      </c>
      <c r="AY2" s="162" t="s">
        <v>2993</v>
      </c>
      <c r="AZ2" s="162" t="s">
        <v>2994</v>
      </c>
      <c r="BA2" s="163" t="s">
        <v>2995</v>
      </c>
      <c r="BB2" s="162" t="s">
        <v>2996</v>
      </c>
      <c r="BC2" s="162" t="s">
        <v>2997</v>
      </c>
      <c r="BD2" s="162" t="s">
        <v>2998</v>
      </c>
      <c r="BE2" s="162" t="s">
        <v>2999</v>
      </c>
      <c r="BF2" s="162" t="s">
        <v>3000</v>
      </c>
      <c r="BG2" s="162" t="s">
        <v>3001</v>
      </c>
      <c r="BH2" s="162" t="s">
        <v>3002</v>
      </c>
      <c r="BI2" s="162" t="s">
        <v>3003</v>
      </c>
      <c r="BJ2" s="162" t="s">
        <v>3004</v>
      </c>
      <c r="BK2" s="163" t="s">
        <v>3005</v>
      </c>
      <c r="BL2" s="162" t="s">
        <v>3006</v>
      </c>
      <c r="BM2" s="162" t="s">
        <v>3007</v>
      </c>
      <c r="BN2" s="162" t="s">
        <v>3008</v>
      </c>
      <c r="BO2" s="162" t="s">
        <v>3009</v>
      </c>
      <c r="BP2" s="162" t="s">
        <v>3010</v>
      </c>
      <c r="BQ2" s="162" t="s">
        <v>3011</v>
      </c>
      <c r="BR2" s="162" t="s">
        <v>3012</v>
      </c>
      <c r="BS2" s="162" t="s">
        <v>3013</v>
      </c>
      <c r="BT2" s="162" t="s">
        <v>3014</v>
      </c>
      <c r="BU2" s="163" t="s">
        <v>3015</v>
      </c>
      <c r="BV2" s="162" t="s">
        <v>3016</v>
      </c>
      <c r="BW2" s="162" t="s">
        <v>3017</v>
      </c>
      <c r="BX2" s="162" t="s">
        <v>3018</v>
      </c>
      <c r="BY2" s="162" t="s">
        <v>3019</v>
      </c>
      <c r="BZ2" s="162" t="s">
        <v>3020</v>
      </c>
      <c r="CA2" s="162" t="s">
        <v>3021</v>
      </c>
      <c r="CB2" s="162" t="s">
        <v>3022</v>
      </c>
      <c r="CC2" s="162" t="s">
        <v>3023</v>
      </c>
      <c r="CD2" s="162" t="s">
        <v>3024</v>
      </c>
      <c r="CE2" s="163" t="s">
        <v>3025</v>
      </c>
      <c r="CF2" s="162" t="s">
        <v>3026</v>
      </c>
      <c r="CG2" s="162" t="s">
        <v>3027</v>
      </c>
      <c r="CH2" s="162" t="s">
        <v>3028</v>
      </c>
      <c r="CI2" s="162" t="s">
        <v>3029</v>
      </c>
      <c r="CJ2" s="162" t="s">
        <v>3030</v>
      </c>
      <c r="CK2" s="162" t="s">
        <v>3031</v>
      </c>
      <c r="CL2" s="162" t="s">
        <v>3032</v>
      </c>
      <c r="CM2" s="162" t="s">
        <v>3033</v>
      </c>
      <c r="CN2" s="162" t="s">
        <v>3034</v>
      </c>
      <c r="CO2" s="163" t="s">
        <v>3035</v>
      </c>
      <c r="CP2" s="162" t="s">
        <v>3036</v>
      </c>
      <c r="CQ2" s="162" t="s">
        <v>3037</v>
      </c>
      <c r="CR2" s="162" t="s">
        <v>3038</v>
      </c>
      <c r="CS2" s="162" t="s">
        <v>3039</v>
      </c>
      <c r="CT2" s="162" t="s">
        <v>3040</v>
      </c>
      <c r="CU2" s="162" t="s">
        <v>3041</v>
      </c>
      <c r="CV2" s="162" t="s">
        <v>3042</v>
      </c>
      <c r="CW2" s="162" t="s">
        <v>3043</v>
      </c>
      <c r="CX2" s="164" t="s">
        <v>3044</v>
      </c>
    </row>
    <row r="3" ht="35.25" customHeight="1">
      <c r="A3" s="109" t="s">
        <v>2935</v>
      </c>
      <c r="B3" s="165" t="s">
        <v>2945</v>
      </c>
      <c r="C3" s="152">
        <v>0.0</v>
      </c>
      <c r="D3" s="153">
        <v>1.0</v>
      </c>
      <c r="E3" s="153">
        <v>0.25</v>
      </c>
      <c r="F3" s="153">
        <v>0.5</v>
      </c>
      <c r="G3" s="153">
        <v>0.8</v>
      </c>
      <c r="H3" s="153">
        <v>0.7</v>
      </c>
      <c r="I3" s="153">
        <v>0.5</v>
      </c>
      <c r="J3" s="153">
        <v>0.75</v>
      </c>
      <c r="K3" s="153">
        <v>0.8</v>
      </c>
      <c r="L3" s="153">
        <v>1.0</v>
      </c>
      <c r="M3" s="154">
        <v>0.0</v>
      </c>
      <c r="N3" s="153">
        <v>0.0</v>
      </c>
      <c r="O3" s="153">
        <v>0.0</v>
      </c>
      <c r="P3" s="153">
        <v>0.0</v>
      </c>
      <c r="Q3" s="153">
        <v>0.0</v>
      </c>
      <c r="R3" s="153">
        <v>0.0</v>
      </c>
      <c r="S3" s="153">
        <v>0.0</v>
      </c>
      <c r="T3" s="153">
        <v>0.0</v>
      </c>
      <c r="U3" s="153">
        <v>0.0</v>
      </c>
      <c r="V3" s="153">
        <v>0.0</v>
      </c>
      <c r="W3" s="154">
        <v>0.0</v>
      </c>
      <c r="X3" s="153">
        <v>0.0</v>
      </c>
      <c r="Y3" s="153">
        <v>0.0</v>
      </c>
      <c r="Z3" s="153">
        <v>0.0</v>
      </c>
      <c r="AA3" s="153">
        <v>0.0</v>
      </c>
      <c r="AB3" s="153">
        <v>0.0</v>
      </c>
      <c r="AC3" s="153">
        <v>0.0</v>
      </c>
      <c r="AD3" s="153">
        <v>0.0</v>
      </c>
      <c r="AE3" s="153">
        <v>0.0</v>
      </c>
      <c r="AF3" s="153">
        <v>0.0</v>
      </c>
      <c r="AG3" s="154">
        <v>0.0</v>
      </c>
      <c r="AH3" s="153">
        <v>0.0</v>
      </c>
      <c r="AI3" s="153">
        <v>0.0</v>
      </c>
      <c r="AJ3" s="153">
        <v>0.0</v>
      </c>
      <c r="AK3" s="153">
        <v>0.0</v>
      </c>
      <c r="AL3" s="153">
        <v>0.0</v>
      </c>
      <c r="AM3" s="153">
        <v>0.0</v>
      </c>
      <c r="AN3" s="153">
        <v>0.0</v>
      </c>
      <c r="AO3" s="153">
        <v>0.0</v>
      </c>
      <c r="AP3" s="153">
        <v>0.0</v>
      </c>
      <c r="AQ3" s="154">
        <v>0.0</v>
      </c>
      <c r="AR3" s="153">
        <v>0.0</v>
      </c>
      <c r="AS3" s="153">
        <v>0.0</v>
      </c>
      <c r="AT3" s="153">
        <v>0.0</v>
      </c>
      <c r="AU3" s="153">
        <v>0.0</v>
      </c>
      <c r="AV3" s="153">
        <v>0.0</v>
      </c>
      <c r="AW3" s="153">
        <v>0.0</v>
      </c>
      <c r="AX3" s="153">
        <v>0.0</v>
      </c>
      <c r="AY3" s="153">
        <v>0.0</v>
      </c>
      <c r="AZ3" s="153">
        <v>0.0</v>
      </c>
      <c r="BA3" s="154">
        <v>0.05555555555555555</v>
      </c>
      <c r="BB3" s="153">
        <v>0.0</v>
      </c>
      <c r="BC3" s="153">
        <v>0.0</v>
      </c>
      <c r="BD3" s="153">
        <v>0.0</v>
      </c>
      <c r="BE3" s="153">
        <v>0.1</v>
      </c>
      <c r="BF3" s="153">
        <v>0.1</v>
      </c>
      <c r="BG3" s="153">
        <v>0.0</v>
      </c>
      <c r="BH3" s="153">
        <v>0.0</v>
      </c>
      <c r="BI3" s="153">
        <v>0.0</v>
      </c>
      <c r="BJ3" s="153">
        <v>0.25</v>
      </c>
      <c r="BK3" s="154">
        <v>0.0</v>
      </c>
      <c r="BL3" s="153">
        <v>0.0</v>
      </c>
      <c r="BM3" s="153">
        <v>0.0</v>
      </c>
      <c r="BN3" s="153">
        <v>0.0</v>
      </c>
      <c r="BO3" s="153">
        <v>0.0</v>
      </c>
      <c r="BP3" s="153">
        <v>0.0</v>
      </c>
      <c r="BQ3" s="153">
        <v>0.0</v>
      </c>
      <c r="BR3" s="153">
        <v>0.0</v>
      </c>
      <c r="BS3" s="153">
        <v>0.0</v>
      </c>
      <c r="BT3" s="153">
        <v>0.0</v>
      </c>
      <c r="BU3" s="154">
        <v>0.0</v>
      </c>
      <c r="BV3" s="153">
        <v>0.0</v>
      </c>
      <c r="BW3" s="153">
        <v>0.0</v>
      </c>
      <c r="BX3" s="153">
        <v>0.0</v>
      </c>
      <c r="BY3" s="153">
        <v>0.0</v>
      </c>
      <c r="BZ3" s="153">
        <v>0.0</v>
      </c>
      <c r="CA3" s="153">
        <v>0.0</v>
      </c>
      <c r="CB3" s="153">
        <v>0.0</v>
      </c>
      <c r="CC3" s="153">
        <v>0.0</v>
      </c>
      <c r="CD3" s="153">
        <v>0.0</v>
      </c>
      <c r="CE3" s="154">
        <v>0.0</v>
      </c>
      <c r="CF3" s="153">
        <v>0.0</v>
      </c>
      <c r="CG3" s="153">
        <v>0.0</v>
      </c>
      <c r="CH3" s="153">
        <v>0.0</v>
      </c>
      <c r="CI3" s="153">
        <v>0.0</v>
      </c>
      <c r="CJ3" s="153">
        <v>0.0</v>
      </c>
      <c r="CK3" s="153">
        <v>0.0</v>
      </c>
      <c r="CL3" s="153">
        <v>0.0</v>
      </c>
      <c r="CM3" s="153">
        <v>0.0</v>
      </c>
      <c r="CN3" s="153">
        <v>0.0</v>
      </c>
      <c r="CO3" s="154">
        <v>0.0</v>
      </c>
      <c r="CP3" s="153">
        <v>0.0</v>
      </c>
      <c r="CQ3" s="153">
        <v>0.0</v>
      </c>
      <c r="CR3" s="153">
        <v>0.0</v>
      </c>
      <c r="CS3" s="153">
        <v>0.0</v>
      </c>
      <c r="CT3" s="153">
        <v>0.0</v>
      </c>
      <c r="CU3" s="153">
        <v>0.0</v>
      </c>
      <c r="CV3" s="153">
        <v>0.0</v>
      </c>
      <c r="CW3" s="153">
        <v>0.0</v>
      </c>
      <c r="CX3" s="153">
        <v>0.0</v>
      </c>
    </row>
    <row r="4" ht="35.25" customHeight="1">
      <c r="B4" s="166" t="s">
        <v>2946</v>
      </c>
      <c r="C4" s="154">
        <v>1.0</v>
      </c>
      <c r="D4" s="155">
        <v>0.0</v>
      </c>
      <c r="E4" s="153">
        <v>1.0</v>
      </c>
      <c r="F4" s="153">
        <v>1.0</v>
      </c>
      <c r="G4" s="153">
        <v>1.0</v>
      </c>
      <c r="H4" s="153">
        <v>1.0</v>
      </c>
      <c r="I4" s="153">
        <v>0.8333333333333334</v>
      </c>
      <c r="J4" s="153">
        <v>0.75</v>
      </c>
      <c r="K4" s="153">
        <v>1.0</v>
      </c>
      <c r="L4" s="153">
        <v>1.0</v>
      </c>
      <c r="M4" s="154">
        <v>0.0</v>
      </c>
      <c r="N4" s="156">
        <v>0.0</v>
      </c>
      <c r="O4" s="153">
        <v>0.0</v>
      </c>
      <c r="P4" s="153">
        <v>0.0</v>
      </c>
      <c r="Q4" s="153">
        <v>0.0</v>
      </c>
      <c r="R4" s="153">
        <v>0.0</v>
      </c>
      <c r="S4" s="153">
        <v>0.0</v>
      </c>
      <c r="T4" s="153">
        <v>0.0</v>
      </c>
      <c r="U4" s="153">
        <v>0.0</v>
      </c>
      <c r="V4" s="153">
        <v>0.0</v>
      </c>
      <c r="W4" s="154">
        <v>0.0</v>
      </c>
      <c r="X4" s="156">
        <v>0.0</v>
      </c>
      <c r="Y4" s="153">
        <v>0.0</v>
      </c>
      <c r="Z4" s="153">
        <v>0.0</v>
      </c>
      <c r="AA4" s="153">
        <v>0.0</v>
      </c>
      <c r="AB4" s="153">
        <v>0.0</v>
      </c>
      <c r="AC4" s="153">
        <v>0.0</v>
      </c>
      <c r="AD4" s="153">
        <v>0.0</v>
      </c>
      <c r="AE4" s="153">
        <v>0.0</v>
      </c>
      <c r="AF4" s="153">
        <v>0.0</v>
      </c>
      <c r="AG4" s="154">
        <v>0.0</v>
      </c>
      <c r="AH4" s="156">
        <v>0.0</v>
      </c>
      <c r="AI4" s="153">
        <v>0.0</v>
      </c>
      <c r="AJ4" s="153">
        <v>0.0</v>
      </c>
      <c r="AK4" s="153">
        <v>0.0</v>
      </c>
      <c r="AL4" s="153">
        <v>0.0</v>
      </c>
      <c r="AM4" s="153">
        <v>0.0</v>
      </c>
      <c r="AN4" s="153">
        <v>0.0</v>
      </c>
      <c r="AO4" s="153">
        <v>0.0</v>
      </c>
      <c r="AP4" s="153">
        <v>0.0</v>
      </c>
      <c r="AQ4" s="154">
        <v>0.0</v>
      </c>
      <c r="AR4" s="156">
        <v>0.0</v>
      </c>
      <c r="AS4" s="153">
        <v>0.0</v>
      </c>
      <c r="AT4" s="153">
        <v>0.0</v>
      </c>
      <c r="AU4" s="153">
        <v>0.0</v>
      </c>
      <c r="AV4" s="153">
        <v>0.0</v>
      </c>
      <c r="AW4" s="153">
        <v>0.0</v>
      </c>
      <c r="AX4" s="153">
        <v>0.25</v>
      </c>
      <c r="AY4" s="153">
        <v>0.0</v>
      </c>
      <c r="AZ4" s="153">
        <v>0.0</v>
      </c>
      <c r="BA4" s="154">
        <v>0.0</v>
      </c>
      <c r="BB4" s="156">
        <v>0.0</v>
      </c>
      <c r="BC4" s="153">
        <v>0.0</v>
      </c>
      <c r="BD4" s="153">
        <v>0.0</v>
      </c>
      <c r="BE4" s="153">
        <v>0.0</v>
      </c>
      <c r="BF4" s="153">
        <v>0.0</v>
      </c>
      <c r="BG4" s="153">
        <v>0.0</v>
      </c>
      <c r="BH4" s="153">
        <v>0.0</v>
      </c>
      <c r="BI4" s="153">
        <v>0.0</v>
      </c>
      <c r="BJ4" s="153">
        <v>0.0</v>
      </c>
      <c r="BK4" s="154">
        <v>0.0</v>
      </c>
      <c r="BL4" s="156">
        <v>0.0</v>
      </c>
      <c r="BM4" s="153">
        <v>0.0</v>
      </c>
      <c r="BN4" s="153">
        <v>0.0</v>
      </c>
      <c r="BO4" s="153">
        <v>0.0</v>
      </c>
      <c r="BP4" s="153">
        <v>0.0</v>
      </c>
      <c r="BQ4" s="153">
        <v>0.0</v>
      </c>
      <c r="BR4" s="153">
        <v>0.0</v>
      </c>
      <c r="BS4" s="153">
        <v>0.0</v>
      </c>
      <c r="BT4" s="153">
        <v>0.0</v>
      </c>
      <c r="BU4" s="154">
        <v>0.0</v>
      </c>
      <c r="BV4" s="156">
        <v>0.07142857142857142</v>
      </c>
      <c r="BW4" s="153">
        <v>0.0</v>
      </c>
      <c r="BX4" s="153">
        <v>0.0</v>
      </c>
      <c r="BY4" s="153">
        <v>0.0</v>
      </c>
      <c r="BZ4" s="153">
        <v>0.0</v>
      </c>
      <c r="CA4" s="153">
        <v>0.0</v>
      </c>
      <c r="CB4" s="153">
        <v>0.0</v>
      </c>
      <c r="CC4" s="153">
        <v>0.0</v>
      </c>
      <c r="CD4" s="153">
        <v>0.25</v>
      </c>
      <c r="CE4" s="154">
        <v>0.0</v>
      </c>
      <c r="CF4" s="156">
        <v>0.0</v>
      </c>
      <c r="CG4" s="153">
        <v>0.0</v>
      </c>
      <c r="CH4" s="153">
        <v>0.0</v>
      </c>
      <c r="CI4" s="153">
        <v>0.0</v>
      </c>
      <c r="CJ4" s="153">
        <v>0.0</v>
      </c>
      <c r="CK4" s="153">
        <v>0.0</v>
      </c>
      <c r="CL4" s="153">
        <v>0.0</v>
      </c>
      <c r="CM4" s="153">
        <v>0.0</v>
      </c>
      <c r="CN4" s="153">
        <v>0.0</v>
      </c>
      <c r="CO4" s="154">
        <v>0.0</v>
      </c>
      <c r="CP4" s="156">
        <v>0.0</v>
      </c>
      <c r="CQ4" s="153">
        <v>0.0</v>
      </c>
      <c r="CR4" s="153">
        <v>0.0</v>
      </c>
      <c r="CS4" s="153">
        <v>0.0</v>
      </c>
      <c r="CT4" s="153">
        <v>0.0</v>
      </c>
      <c r="CU4" s="153">
        <v>0.0</v>
      </c>
      <c r="CV4" s="153">
        <v>0.0</v>
      </c>
      <c r="CW4" s="153">
        <v>0.0</v>
      </c>
      <c r="CX4" s="153">
        <v>0.0</v>
      </c>
    </row>
    <row r="5" ht="35.25" customHeight="1">
      <c r="B5" s="166" t="s">
        <v>2947</v>
      </c>
      <c r="C5" s="154">
        <v>0.25</v>
      </c>
      <c r="D5" s="153">
        <v>1.0</v>
      </c>
      <c r="E5" s="155">
        <v>0.0</v>
      </c>
      <c r="F5" s="153">
        <v>0.875</v>
      </c>
      <c r="G5" s="153">
        <v>0.75</v>
      </c>
      <c r="H5" s="153">
        <v>0.5</v>
      </c>
      <c r="I5" s="153">
        <v>1.0</v>
      </c>
      <c r="J5" s="153">
        <v>0.8333333333333334</v>
      </c>
      <c r="K5" s="153">
        <v>0.5</v>
      </c>
      <c r="L5" s="153">
        <v>0.6666666666666666</v>
      </c>
      <c r="M5" s="154">
        <v>0.0</v>
      </c>
      <c r="N5" s="153">
        <v>0.0</v>
      </c>
      <c r="O5" s="156">
        <v>0.0</v>
      </c>
      <c r="P5" s="153">
        <v>0.0</v>
      </c>
      <c r="Q5" s="153">
        <v>0.0</v>
      </c>
      <c r="R5" s="153">
        <v>0.0</v>
      </c>
      <c r="S5" s="153">
        <v>0.0</v>
      </c>
      <c r="T5" s="153">
        <v>0.0</v>
      </c>
      <c r="U5" s="153">
        <v>0.0</v>
      </c>
      <c r="V5" s="153">
        <v>0.0</v>
      </c>
      <c r="W5" s="154">
        <v>0.0</v>
      </c>
      <c r="X5" s="153">
        <v>0.0</v>
      </c>
      <c r="Y5" s="156">
        <v>0.0</v>
      </c>
      <c r="Z5" s="153">
        <v>0.0</v>
      </c>
      <c r="AA5" s="153">
        <v>0.0</v>
      </c>
      <c r="AB5" s="153">
        <v>0.0</v>
      </c>
      <c r="AC5" s="153">
        <v>0.0</v>
      </c>
      <c r="AD5" s="153">
        <v>0.0</v>
      </c>
      <c r="AE5" s="153">
        <v>0.0</v>
      </c>
      <c r="AF5" s="153">
        <v>0.0</v>
      </c>
      <c r="AG5" s="154">
        <v>0.0</v>
      </c>
      <c r="AH5" s="153">
        <v>0.0</v>
      </c>
      <c r="AI5" s="156">
        <v>0.0</v>
      </c>
      <c r="AJ5" s="153">
        <v>0.0</v>
      </c>
      <c r="AK5" s="153">
        <v>0.0</v>
      </c>
      <c r="AL5" s="153">
        <v>0.0</v>
      </c>
      <c r="AM5" s="153">
        <v>0.0</v>
      </c>
      <c r="AN5" s="153">
        <v>0.0</v>
      </c>
      <c r="AO5" s="153">
        <v>0.0</v>
      </c>
      <c r="AP5" s="153">
        <v>0.0</v>
      </c>
      <c r="AQ5" s="154">
        <v>0.0</v>
      </c>
      <c r="AR5" s="153">
        <v>0.0</v>
      </c>
      <c r="AS5" s="156">
        <v>0.0</v>
      </c>
      <c r="AT5" s="153">
        <v>0.0</v>
      </c>
      <c r="AU5" s="153">
        <v>0.0</v>
      </c>
      <c r="AV5" s="153">
        <v>0.0</v>
      </c>
      <c r="AW5" s="153">
        <v>0.0</v>
      </c>
      <c r="AX5" s="153">
        <v>0.16666666666666666</v>
      </c>
      <c r="AY5" s="153">
        <v>0.0</v>
      </c>
      <c r="AZ5" s="153">
        <v>0.0</v>
      </c>
      <c r="BA5" s="154">
        <v>0.0</v>
      </c>
      <c r="BB5" s="153">
        <v>0.0</v>
      </c>
      <c r="BC5" s="156">
        <v>0.0</v>
      </c>
      <c r="BD5" s="153">
        <v>0.0</v>
      </c>
      <c r="BE5" s="153">
        <v>0.0</v>
      </c>
      <c r="BF5" s="153">
        <v>0.0</v>
      </c>
      <c r="BG5" s="153">
        <v>0.0</v>
      </c>
      <c r="BH5" s="153">
        <v>0.0</v>
      </c>
      <c r="BI5" s="153">
        <v>0.0</v>
      </c>
      <c r="BJ5" s="153">
        <v>0.0</v>
      </c>
      <c r="BK5" s="154">
        <v>0.0</v>
      </c>
      <c r="BL5" s="153">
        <v>0.0</v>
      </c>
      <c r="BM5" s="156">
        <v>0.0</v>
      </c>
      <c r="BN5" s="153">
        <v>0.0</v>
      </c>
      <c r="BO5" s="153">
        <v>0.0</v>
      </c>
      <c r="BP5" s="153">
        <v>0.0</v>
      </c>
      <c r="BQ5" s="153">
        <v>0.0</v>
      </c>
      <c r="BR5" s="153">
        <v>0.0</v>
      </c>
      <c r="BS5" s="153">
        <v>0.0</v>
      </c>
      <c r="BT5" s="153">
        <v>0.0</v>
      </c>
      <c r="BU5" s="154">
        <v>0.0</v>
      </c>
      <c r="BV5" s="153">
        <v>0.25</v>
      </c>
      <c r="BW5" s="156">
        <v>0.0</v>
      </c>
      <c r="BX5" s="153">
        <v>0.0</v>
      </c>
      <c r="BY5" s="153">
        <v>0.0</v>
      </c>
      <c r="BZ5" s="153">
        <v>0.0</v>
      </c>
      <c r="CA5" s="153">
        <v>0.0</v>
      </c>
      <c r="CB5" s="153">
        <v>0.0</v>
      </c>
      <c r="CC5" s="153">
        <v>0.0</v>
      </c>
      <c r="CD5" s="153">
        <v>0.16666666666666666</v>
      </c>
      <c r="CE5" s="154">
        <v>0.0</v>
      </c>
      <c r="CF5" s="153">
        <v>0.0</v>
      </c>
      <c r="CG5" s="156">
        <v>0.0</v>
      </c>
      <c r="CH5" s="153">
        <v>0.0</v>
      </c>
      <c r="CI5" s="153">
        <v>0.0</v>
      </c>
      <c r="CJ5" s="153">
        <v>0.0</v>
      </c>
      <c r="CK5" s="153">
        <v>0.0</v>
      </c>
      <c r="CL5" s="153">
        <v>0.0</v>
      </c>
      <c r="CM5" s="153">
        <v>0.0</v>
      </c>
      <c r="CN5" s="153">
        <v>0.0</v>
      </c>
      <c r="CO5" s="154">
        <v>0.0</v>
      </c>
      <c r="CP5" s="153">
        <v>0.0</v>
      </c>
      <c r="CQ5" s="156">
        <v>0.0</v>
      </c>
      <c r="CR5" s="153">
        <v>0.0</v>
      </c>
      <c r="CS5" s="153">
        <v>0.0</v>
      </c>
      <c r="CT5" s="153">
        <v>0.0</v>
      </c>
      <c r="CU5" s="153">
        <v>0.0</v>
      </c>
      <c r="CV5" s="153">
        <v>0.0</v>
      </c>
      <c r="CW5" s="153">
        <v>0.0</v>
      </c>
      <c r="CX5" s="153">
        <v>0.0</v>
      </c>
    </row>
    <row r="6" ht="35.25" customHeight="1">
      <c r="B6" s="166" t="s">
        <v>2948</v>
      </c>
      <c r="C6" s="154">
        <v>0.5</v>
      </c>
      <c r="D6" s="153">
        <v>1.0</v>
      </c>
      <c r="E6" s="153">
        <v>0.875</v>
      </c>
      <c r="F6" s="155">
        <v>0.0</v>
      </c>
      <c r="G6" s="153">
        <v>1.0</v>
      </c>
      <c r="H6" s="153">
        <v>0.5</v>
      </c>
      <c r="I6" s="153">
        <v>0.9</v>
      </c>
      <c r="J6" s="153">
        <v>1.0</v>
      </c>
      <c r="K6" s="153">
        <v>0.6666666666666666</v>
      </c>
      <c r="L6" s="153">
        <v>0.5</v>
      </c>
      <c r="M6" s="154">
        <v>0.0</v>
      </c>
      <c r="N6" s="153">
        <v>0.0</v>
      </c>
      <c r="O6" s="153">
        <v>0.0</v>
      </c>
      <c r="P6" s="156">
        <v>0.0</v>
      </c>
      <c r="Q6" s="153">
        <v>0.0</v>
      </c>
      <c r="R6" s="153">
        <v>0.0</v>
      </c>
      <c r="S6" s="153">
        <v>0.0</v>
      </c>
      <c r="T6" s="153">
        <v>0.0</v>
      </c>
      <c r="U6" s="153">
        <v>0.0</v>
      </c>
      <c r="V6" s="153">
        <v>0.0</v>
      </c>
      <c r="W6" s="154">
        <v>0.0</v>
      </c>
      <c r="X6" s="153">
        <v>0.0</v>
      </c>
      <c r="Y6" s="153">
        <v>0.0</v>
      </c>
      <c r="Z6" s="156">
        <v>0.0</v>
      </c>
      <c r="AA6" s="153">
        <v>0.0</v>
      </c>
      <c r="AB6" s="153">
        <v>0.0</v>
      </c>
      <c r="AC6" s="153">
        <v>0.0</v>
      </c>
      <c r="AD6" s="153">
        <v>0.0</v>
      </c>
      <c r="AE6" s="153">
        <v>0.0</v>
      </c>
      <c r="AF6" s="153">
        <v>0.0</v>
      </c>
      <c r="AG6" s="154">
        <v>0.0</v>
      </c>
      <c r="AH6" s="153">
        <v>0.0</v>
      </c>
      <c r="AI6" s="153">
        <v>0.0</v>
      </c>
      <c r="AJ6" s="156">
        <v>0.0</v>
      </c>
      <c r="AK6" s="153">
        <v>0.0</v>
      </c>
      <c r="AL6" s="153">
        <v>0.0</v>
      </c>
      <c r="AM6" s="153">
        <v>0.0</v>
      </c>
      <c r="AN6" s="153">
        <v>0.0</v>
      </c>
      <c r="AO6" s="153">
        <v>0.0</v>
      </c>
      <c r="AP6" s="153">
        <v>0.0</v>
      </c>
      <c r="AQ6" s="154">
        <v>0.0</v>
      </c>
      <c r="AR6" s="153">
        <v>0.0</v>
      </c>
      <c r="AS6" s="153">
        <v>0.0</v>
      </c>
      <c r="AT6" s="156">
        <v>0.0</v>
      </c>
      <c r="AU6" s="153">
        <v>0.0</v>
      </c>
      <c r="AV6" s="153">
        <v>0.0</v>
      </c>
      <c r="AW6" s="153">
        <v>0.0</v>
      </c>
      <c r="AX6" s="153">
        <v>0.25</v>
      </c>
      <c r="AY6" s="153">
        <v>0.0</v>
      </c>
      <c r="AZ6" s="153">
        <v>0.0</v>
      </c>
      <c r="BA6" s="154">
        <v>0.0</v>
      </c>
      <c r="BB6" s="153">
        <v>0.0</v>
      </c>
      <c r="BC6" s="153">
        <v>0.0</v>
      </c>
      <c r="BD6" s="156">
        <v>0.0</v>
      </c>
      <c r="BE6" s="153">
        <v>0.0</v>
      </c>
      <c r="BF6" s="153">
        <v>0.0</v>
      </c>
      <c r="BG6" s="153">
        <v>0.0</v>
      </c>
      <c r="BH6" s="153">
        <v>0.0</v>
      </c>
      <c r="BI6" s="153">
        <v>0.0</v>
      </c>
      <c r="BJ6" s="153">
        <v>0.0</v>
      </c>
      <c r="BK6" s="154">
        <v>0.0</v>
      </c>
      <c r="BL6" s="153">
        <v>0.0</v>
      </c>
      <c r="BM6" s="153">
        <v>0.0</v>
      </c>
      <c r="BN6" s="156">
        <v>0.0</v>
      </c>
      <c r="BO6" s="153">
        <v>0.0</v>
      </c>
      <c r="BP6" s="153">
        <v>0.0</v>
      </c>
      <c r="BQ6" s="153">
        <v>0.0</v>
      </c>
      <c r="BR6" s="153">
        <v>0.0</v>
      </c>
      <c r="BS6" s="153">
        <v>0.0</v>
      </c>
      <c r="BT6" s="153">
        <v>0.0</v>
      </c>
      <c r="BU6" s="154">
        <v>0.0</v>
      </c>
      <c r="BV6" s="153">
        <v>0.0</v>
      </c>
      <c r="BW6" s="153">
        <v>0.0</v>
      </c>
      <c r="BX6" s="156">
        <v>0.0</v>
      </c>
      <c r="BY6" s="153">
        <v>0.0</v>
      </c>
      <c r="BZ6" s="153">
        <v>0.0</v>
      </c>
      <c r="CA6" s="153">
        <v>0.0</v>
      </c>
      <c r="CB6" s="153">
        <v>0.0</v>
      </c>
      <c r="CC6" s="153">
        <v>0.0</v>
      </c>
      <c r="CD6" s="153">
        <v>0.0</v>
      </c>
      <c r="CE6" s="154">
        <v>0.0</v>
      </c>
      <c r="CF6" s="153">
        <v>0.0</v>
      </c>
      <c r="CG6" s="153">
        <v>0.0</v>
      </c>
      <c r="CH6" s="156">
        <v>0.0</v>
      </c>
      <c r="CI6" s="153">
        <v>0.0</v>
      </c>
      <c r="CJ6" s="153">
        <v>0.0</v>
      </c>
      <c r="CK6" s="153">
        <v>0.0</v>
      </c>
      <c r="CL6" s="153">
        <v>0.0</v>
      </c>
      <c r="CM6" s="153">
        <v>0.0</v>
      </c>
      <c r="CN6" s="153">
        <v>0.0</v>
      </c>
      <c r="CO6" s="154">
        <v>0.0</v>
      </c>
      <c r="CP6" s="153">
        <v>0.0</v>
      </c>
      <c r="CQ6" s="153">
        <v>0.0</v>
      </c>
      <c r="CR6" s="156">
        <v>0.0</v>
      </c>
      <c r="CS6" s="153">
        <v>0.0</v>
      </c>
      <c r="CT6" s="153">
        <v>0.0</v>
      </c>
      <c r="CU6" s="153">
        <v>0.0</v>
      </c>
      <c r="CV6" s="153">
        <v>0.0</v>
      </c>
      <c r="CW6" s="153">
        <v>0.0</v>
      </c>
      <c r="CX6" s="153">
        <v>0.0</v>
      </c>
    </row>
    <row r="7" ht="35.25" customHeight="1">
      <c r="B7" s="167" t="s">
        <v>2949</v>
      </c>
      <c r="C7" s="154">
        <v>0.8</v>
      </c>
      <c r="D7" s="153">
        <v>1.0</v>
      </c>
      <c r="E7" s="153">
        <v>0.75</v>
      </c>
      <c r="F7" s="153">
        <v>1.0</v>
      </c>
      <c r="G7" s="155">
        <v>0.0</v>
      </c>
      <c r="H7" s="153">
        <v>1.0</v>
      </c>
      <c r="I7" s="153">
        <v>0.5</v>
      </c>
      <c r="J7" s="153">
        <v>0.8</v>
      </c>
      <c r="K7" s="153">
        <v>0.8333333333333334</v>
      </c>
      <c r="L7" s="153">
        <v>1.0</v>
      </c>
      <c r="M7" s="154">
        <v>0.0</v>
      </c>
      <c r="N7" s="153">
        <v>0.0</v>
      </c>
      <c r="O7" s="153">
        <v>0.0</v>
      </c>
      <c r="P7" s="153">
        <v>0.0</v>
      </c>
      <c r="Q7" s="156">
        <v>0.0</v>
      </c>
      <c r="R7" s="153">
        <v>0.0</v>
      </c>
      <c r="S7" s="153">
        <v>0.0</v>
      </c>
      <c r="T7" s="153">
        <v>0.0</v>
      </c>
      <c r="U7" s="153">
        <v>0.0</v>
      </c>
      <c r="V7" s="153">
        <v>0.0</v>
      </c>
      <c r="W7" s="154">
        <v>0.0</v>
      </c>
      <c r="X7" s="153">
        <v>0.0</v>
      </c>
      <c r="Y7" s="153">
        <v>0.0</v>
      </c>
      <c r="Z7" s="153">
        <v>0.0</v>
      </c>
      <c r="AA7" s="156">
        <v>0.0</v>
      </c>
      <c r="AB7" s="153">
        <v>0.0</v>
      </c>
      <c r="AC7" s="153">
        <v>0.0</v>
      </c>
      <c r="AD7" s="153">
        <v>0.0</v>
      </c>
      <c r="AE7" s="153">
        <v>0.0</v>
      </c>
      <c r="AF7" s="153">
        <v>0.0</v>
      </c>
      <c r="AG7" s="154">
        <v>0.0</v>
      </c>
      <c r="AH7" s="153">
        <v>0.0</v>
      </c>
      <c r="AI7" s="153">
        <v>0.0</v>
      </c>
      <c r="AJ7" s="153">
        <v>0.0</v>
      </c>
      <c r="AK7" s="156">
        <v>0.0</v>
      </c>
      <c r="AL7" s="153">
        <v>0.0</v>
      </c>
      <c r="AM7" s="153">
        <v>0.0</v>
      </c>
      <c r="AN7" s="153">
        <v>0.0</v>
      </c>
      <c r="AO7" s="153">
        <v>0.0</v>
      </c>
      <c r="AP7" s="153">
        <v>0.0</v>
      </c>
      <c r="AQ7" s="154">
        <v>0.0</v>
      </c>
      <c r="AR7" s="153">
        <v>0.0</v>
      </c>
      <c r="AS7" s="153">
        <v>0.0</v>
      </c>
      <c r="AT7" s="153">
        <v>0.0</v>
      </c>
      <c r="AU7" s="156">
        <v>0.0</v>
      </c>
      <c r="AV7" s="153">
        <v>0.0</v>
      </c>
      <c r="AW7" s="153">
        <v>0.0</v>
      </c>
      <c r="AX7" s="153">
        <v>0.1</v>
      </c>
      <c r="AY7" s="153">
        <v>0.0</v>
      </c>
      <c r="AZ7" s="153">
        <v>0.0</v>
      </c>
      <c r="BA7" s="154">
        <v>0.1</v>
      </c>
      <c r="BB7" s="153">
        <v>0.0</v>
      </c>
      <c r="BC7" s="153">
        <v>0.0</v>
      </c>
      <c r="BD7" s="153">
        <v>0.0</v>
      </c>
      <c r="BE7" s="156">
        <v>0.05555555555555555</v>
      </c>
      <c r="BF7" s="153">
        <v>0.16666666666666666</v>
      </c>
      <c r="BG7" s="153">
        <v>0.0</v>
      </c>
      <c r="BH7" s="153">
        <v>0.0</v>
      </c>
      <c r="BI7" s="153">
        <v>0.0</v>
      </c>
      <c r="BJ7" s="153">
        <v>0.25</v>
      </c>
      <c r="BK7" s="154">
        <v>0.0</v>
      </c>
      <c r="BL7" s="153">
        <v>0.0</v>
      </c>
      <c r="BM7" s="153">
        <v>0.0</v>
      </c>
      <c r="BN7" s="153">
        <v>0.0</v>
      </c>
      <c r="BO7" s="156">
        <v>0.0</v>
      </c>
      <c r="BP7" s="153">
        <v>0.0</v>
      </c>
      <c r="BQ7" s="153">
        <v>0.0</v>
      </c>
      <c r="BR7" s="153">
        <v>0.0</v>
      </c>
      <c r="BS7" s="153">
        <v>0.0</v>
      </c>
      <c r="BT7" s="153">
        <v>0.0</v>
      </c>
      <c r="BU7" s="154">
        <v>0.0</v>
      </c>
      <c r="BV7" s="153">
        <v>0.16666666666666666</v>
      </c>
      <c r="BW7" s="153">
        <v>0.0</v>
      </c>
      <c r="BX7" s="153">
        <v>0.0</v>
      </c>
      <c r="BY7" s="156">
        <v>0.0</v>
      </c>
      <c r="BZ7" s="153">
        <v>0.0</v>
      </c>
      <c r="CA7" s="153">
        <v>0.0</v>
      </c>
      <c r="CB7" s="153">
        <v>0.0</v>
      </c>
      <c r="CC7" s="153">
        <v>0.0</v>
      </c>
      <c r="CD7" s="153">
        <v>0.0</v>
      </c>
      <c r="CE7" s="154">
        <v>0.0</v>
      </c>
      <c r="CF7" s="153">
        <v>0.0</v>
      </c>
      <c r="CG7" s="153">
        <v>0.0</v>
      </c>
      <c r="CH7" s="153">
        <v>0.0</v>
      </c>
      <c r="CI7" s="156">
        <v>0.0</v>
      </c>
      <c r="CJ7" s="153">
        <v>0.0</v>
      </c>
      <c r="CK7" s="153">
        <v>0.0</v>
      </c>
      <c r="CL7" s="153">
        <v>0.0</v>
      </c>
      <c r="CM7" s="153">
        <v>0.0</v>
      </c>
      <c r="CN7" s="153">
        <v>0.0</v>
      </c>
      <c r="CO7" s="154">
        <v>0.0</v>
      </c>
      <c r="CP7" s="153">
        <v>0.0</v>
      </c>
      <c r="CQ7" s="153">
        <v>0.0</v>
      </c>
      <c r="CR7" s="153">
        <v>0.0</v>
      </c>
      <c r="CS7" s="156">
        <v>0.0</v>
      </c>
      <c r="CT7" s="153">
        <v>0.0</v>
      </c>
      <c r="CU7" s="153">
        <v>0.0</v>
      </c>
      <c r="CV7" s="153">
        <v>0.0</v>
      </c>
      <c r="CW7" s="153">
        <v>0.0</v>
      </c>
      <c r="CX7" s="153">
        <v>0.0</v>
      </c>
    </row>
    <row r="8" ht="35.25" customHeight="1">
      <c r="B8" s="167" t="s">
        <v>2950</v>
      </c>
      <c r="C8" s="154">
        <v>0.7</v>
      </c>
      <c r="D8" s="153">
        <v>1.0</v>
      </c>
      <c r="E8" s="153">
        <v>0.5</v>
      </c>
      <c r="F8" s="153">
        <v>0.5</v>
      </c>
      <c r="G8" s="153">
        <v>1.0</v>
      </c>
      <c r="H8" s="155">
        <v>0.0</v>
      </c>
      <c r="I8" s="153">
        <v>0.75</v>
      </c>
      <c r="J8" s="153">
        <v>0.8333333333333334</v>
      </c>
      <c r="K8" s="153">
        <v>0.75</v>
      </c>
      <c r="L8" s="153">
        <v>0.75</v>
      </c>
      <c r="M8" s="154">
        <v>0.0</v>
      </c>
      <c r="N8" s="153">
        <v>0.0</v>
      </c>
      <c r="O8" s="153">
        <v>0.0</v>
      </c>
      <c r="P8" s="153">
        <v>0.0</v>
      </c>
      <c r="Q8" s="153">
        <v>0.0</v>
      </c>
      <c r="R8" s="156">
        <v>0.0</v>
      </c>
      <c r="S8" s="153">
        <v>0.0</v>
      </c>
      <c r="T8" s="153">
        <v>0.0</v>
      </c>
      <c r="U8" s="153">
        <v>0.0</v>
      </c>
      <c r="V8" s="153">
        <v>0.0</v>
      </c>
      <c r="W8" s="154">
        <v>0.0</v>
      </c>
      <c r="X8" s="153">
        <v>0.0</v>
      </c>
      <c r="Y8" s="153">
        <v>0.0</v>
      </c>
      <c r="Z8" s="153">
        <v>0.0</v>
      </c>
      <c r="AA8" s="153">
        <v>0.0</v>
      </c>
      <c r="AB8" s="156">
        <v>0.0</v>
      </c>
      <c r="AC8" s="153">
        <v>0.0</v>
      </c>
      <c r="AD8" s="153">
        <v>0.0</v>
      </c>
      <c r="AE8" s="153">
        <v>0.0</v>
      </c>
      <c r="AF8" s="153">
        <v>0.0</v>
      </c>
      <c r="AG8" s="154">
        <v>0.0</v>
      </c>
      <c r="AH8" s="153">
        <v>0.0</v>
      </c>
      <c r="AI8" s="153">
        <v>0.0</v>
      </c>
      <c r="AJ8" s="153">
        <v>0.0</v>
      </c>
      <c r="AK8" s="153">
        <v>0.0</v>
      </c>
      <c r="AL8" s="156">
        <v>0.0</v>
      </c>
      <c r="AM8" s="153">
        <v>0.0</v>
      </c>
      <c r="AN8" s="153">
        <v>0.0</v>
      </c>
      <c r="AO8" s="153">
        <v>0.0</v>
      </c>
      <c r="AP8" s="153">
        <v>0.0</v>
      </c>
      <c r="AQ8" s="154">
        <v>0.0</v>
      </c>
      <c r="AR8" s="153">
        <v>0.0</v>
      </c>
      <c r="AS8" s="153">
        <v>0.0</v>
      </c>
      <c r="AT8" s="153">
        <v>0.0</v>
      </c>
      <c r="AU8" s="153">
        <v>0.0</v>
      </c>
      <c r="AV8" s="156">
        <v>0.0</v>
      </c>
      <c r="AW8" s="153">
        <v>0.0</v>
      </c>
      <c r="AX8" s="153">
        <v>0.0</v>
      </c>
      <c r="AY8" s="153">
        <v>0.0</v>
      </c>
      <c r="AZ8" s="153">
        <v>0.0</v>
      </c>
      <c r="BA8" s="154">
        <v>0.1</v>
      </c>
      <c r="BB8" s="153">
        <v>0.0</v>
      </c>
      <c r="BC8" s="153">
        <v>0.0</v>
      </c>
      <c r="BD8" s="153">
        <v>0.0</v>
      </c>
      <c r="BE8" s="153">
        <v>0.16666666666666666</v>
      </c>
      <c r="BF8" s="156">
        <v>0.0625</v>
      </c>
      <c r="BG8" s="153">
        <v>0.0</v>
      </c>
      <c r="BH8" s="153">
        <v>0.0</v>
      </c>
      <c r="BI8" s="153">
        <v>0.0</v>
      </c>
      <c r="BJ8" s="153">
        <v>0.25</v>
      </c>
      <c r="BK8" s="154">
        <v>0.0</v>
      </c>
      <c r="BL8" s="153">
        <v>0.0</v>
      </c>
      <c r="BM8" s="153">
        <v>0.0</v>
      </c>
      <c r="BN8" s="153">
        <v>0.0</v>
      </c>
      <c r="BO8" s="153">
        <v>0.0</v>
      </c>
      <c r="BP8" s="156">
        <v>0.0</v>
      </c>
      <c r="BQ8" s="153">
        <v>0.0</v>
      </c>
      <c r="BR8" s="153">
        <v>0.0</v>
      </c>
      <c r="BS8" s="153">
        <v>0.0</v>
      </c>
      <c r="BT8" s="153">
        <v>0.0</v>
      </c>
      <c r="BU8" s="154">
        <v>0.0</v>
      </c>
      <c r="BV8" s="153">
        <v>0.0</v>
      </c>
      <c r="BW8" s="153">
        <v>0.0</v>
      </c>
      <c r="BX8" s="153">
        <v>0.0</v>
      </c>
      <c r="BY8" s="153">
        <v>0.0</v>
      </c>
      <c r="BZ8" s="156">
        <v>0.0</v>
      </c>
      <c r="CA8" s="153">
        <v>0.0</v>
      </c>
      <c r="CB8" s="153">
        <v>0.0</v>
      </c>
      <c r="CC8" s="153">
        <v>0.0</v>
      </c>
      <c r="CD8" s="153">
        <v>0.0</v>
      </c>
      <c r="CE8" s="154">
        <v>0.0</v>
      </c>
      <c r="CF8" s="153">
        <v>0.0</v>
      </c>
      <c r="CG8" s="153">
        <v>0.0</v>
      </c>
      <c r="CH8" s="153">
        <v>0.0</v>
      </c>
      <c r="CI8" s="153">
        <v>0.0</v>
      </c>
      <c r="CJ8" s="156">
        <v>0.0</v>
      </c>
      <c r="CK8" s="153">
        <v>0.0</v>
      </c>
      <c r="CL8" s="153">
        <v>0.0</v>
      </c>
      <c r="CM8" s="153">
        <v>0.0</v>
      </c>
      <c r="CN8" s="153">
        <v>0.0</v>
      </c>
      <c r="CO8" s="154">
        <v>0.0</v>
      </c>
      <c r="CP8" s="153">
        <v>0.0</v>
      </c>
      <c r="CQ8" s="153">
        <v>0.0</v>
      </c>
      <c r="CR8" s="153">
        <v>0.0</v>
      </c>
      <c r="CS8" s="153">
        <v>0.0</v>
      </c>
      <c r="CT8" s="156">
        <v>0.0</v>
      </c>
      <c r="CU8" s="153">
        <v>0.0</v>
      </c>
      <c r="CV8" s="153">
        <v>0.0</v>
      </c>
      <c r="CW8" s="153">
        <v>0.0</v>
      </c>
      <c r="CX8" s="153">
        <v>0.0</v>
      </c>
    </row>
    <row r="9" ht="35.25" customHeight="1">
      <c r="B9" s="167" t="s">
        <v>2951</v>
      </c>
      <c r="C9" s="154">
        <v>0.5</v>
      </c>
      <c r="D9" s="153">
        <v>0.8333333333333334</v>
      </c>
      <c r="E9" s="153">
        <v>1.0</v>
      </c>
      <c r="F9" s="153">
        <v>0.9</v>
      </c>
      <c r="G9" s="153">
        <v>0.5</v>
      </c>
      <c r="H9" s="153">
        <v>0.75</v>
      </c>
      <c r="I9" s="155">
        <v>0.0</v>
      </c>
      <c r="J9" s="153">
        <v>1.0</v>
      </c>
      <c r="K9" s="153">
        <v>0.5</v>
      </c>
      <c r="L9" s="153">
        <v>0.75</v>
      </c>
      <c r="M9" s="154">
        <v>0.0</v>
      </c>
      <c r="N9" s="153">
        <v>0.0</v>
      </c>
      <c r="O9" s="153">
        <v>0.0</v>
      </c>
      <c r="P9" s="153">
        <v>0.0</v>
      </c>
      <c r="Q9" s="153">
        <v>0.0</v>
      </c>
      <c r="R9" s="153">
        <v>0.0</v>
      </c>
      <c r="S9" s="156">
        <v>0.0</v>
      </c>
      <c r="T9" s="153">
        <v>0.0</v>
      </c>
      <c r="U9" s="153">
        <v>0.0</v>
      </c>
      <c r="V9" s="153">
        <v>0.0</v>
      </c>
      <c r="W9" s="154">
        <v>0.0</v>
      </c>
      <c r="X9" s="153">
        <v>0.0</v>
      </c>
      <c r="Y9" s="153">
        <v>0.0</v>
      </c>
      <c r="Z9" s="153">
        <v>0.0</v>
      </c>
      <c r="AA9" s="153">
        <v>0.0</v>
      </c>
      <c r="AB9" s="153">
        <v>0.0</v>
      </c>
      <c r="AC9" s="156">
        <v>0.0</v>
      </c>
      <c r="AD9" s="153">
        <v>0.0</v>
      </c>
      <c r="AE9" s="153">
        <v>0.0</v>
      </c>
      <c r="AF9" s="153">
        <v>0.0</v>
      </c>
      <c r="AG9" s="154">
        <v>0.25</v>
      </c>
      <c r="AH9" s="153">
        <v>0.0</v>
      </c>
      <c r="AI9" s="153">
        <v>0.0</v>
      </c>
      <c r="AJ9" s="153">
        <v>0.0</v>
      </c>
      <c r="AK9" s="153">
        <v>0.0</v>
      </c>
      <c r="AL9" s="153">
        <v>0.0</v>
      </c>
      <c r="AM9" s="156">
        <v>0.0</v>
      </c>
      <c r="AN9" s="153">
        <v>0.0</v>
      </c>
      <c r="AO9" s="153">
        <v>0.0</v>
      </c>
      <c r="AP9" s="153">
        <v>0.25</v>
      </c>
      <c r="AQ9" s="154">
        <v>0.0</v>
      </c>
      <c r="AR9" s="153">
        <v>0.0</v>
      </c>
      <c r="AS9" s="153">
        <v>0.0</v>
      </c>
      <c r="AT9" s="153">
        <v>0.0</v>
      </c>
      <c r="AU9" s="153">
        <v>0.0</v>
      </c>
      <c r="AV9" s="153">
        <v>0.0</v>
      </c>
      <c r="AW9" s="156">
        <v>0.0</v>
      </c>
      <c r="AX9" s="153">
        <v>0.0</v>
      </c>
      <c r="AY9" s="153">
        <v>0.0</v>
      </c>
      <c r="AZ9" s="153">
        <v>0.0</v>
      </c>
      <c r="BA9" s="154">
        <v>0.25</v>
      </c>
      <c r="BB9" s="153">
        <v>0.16666666666666666</v>
      </c>
      <c r="BC9" s="153">
        <v>0.0</v>
      </c>
      <c r="BD9" s="153">
        <v>0.1</v>
      </c>
      <c r="BE9" s="153">
        <v>0.25</v>
      </c>
      <c r="BF9" s="153">
        <v>0.0</v>
      </c>
      <c r="BG9" s="156">
        <v>0.0625</v>
      </c>
      <c r="BH9" s="153">
        <v>0.0</v>
      </c>
      <c r="BI9" s="153">
        <v>0.0</v>
      </c>
      <c r="BJ9" s="153">
        <v>0.0</v>
      </c>
      <c r="BK9" s="154">
        <v>0.0</v>
      </c>
      <c r="BL9" s="153">
        <v>0.0</v>
      </c>
      <c r="BM9" s="153">
        <v>0.0</v>
      </c>
      <c r="BN9" s="153">
        <v>0.0</v>
      </c>
      <c r="BO9" s="153">
        <v>0.0</v>
      </c>
      <c r="BP9" s="153">
        <v>0.0</v>
      </c>
      <c r="BQ9" s="156">
        <v>0.0</v>
      </c>
      <c r="BR9" s="153">
        <v>0.0</v>
      </c>
      <c r="BS9" s="153">
        <v>0.0</v>
      </c>
      <c r="BT9" s="153">
        <v>0.0</v>
      </c>
      <c r="BU9" s="154">
        <v>0.0</v>
      </c>
      <c r="BV9" s="153">
        <v>0.0</v>
      </c>
      <c r="BW9" s="153">
        <v>0.0</v>
      </c>
      <c r="BX9" s="153">
        <v>0.0</v>
      </c>
      <c r="BY9" s="153">
        <v>0.0</v>
      </c>
      <c r="BZ9" s="153">
        <v>0.0</v>
      </c>
      <c r="CA9" s="156">
        <v>0.0625</v>
      </c>
      <c r="CB9" s="153">
        <v>0.0</v>
      </c>
      <c r="CC9" s="153">
        <v>0.0</v>
      </c>
      <c r="CD9" s="153">
        <v>0.25</v>
      </c>
      <c r="CE9" s="154">
        <v>0.0</v>
      </c>
      <c r="CF9" s="153">
        <v>0.0</v>
      </c>
      <c r="CG9" s="153">
        <v>0.0</v>
      </c>
      <c r="CH9" s="153">
        <v>0.0</v>
      </c>
      <c r="CI9" s="153">
        <v>0.0</v>
      </c>
      <c r="CJ9" s="153">
        <v>0.0</v>
      </c>
      <c r="CK9" s="156">
        <v>0.0</v>
      </c>
      <c r="CL9" s="153">
        <v>0.0</v>
      </c>
      <c r="CM9" s="153">
        <v>0.0</v>
      </c>
      <c r="CN9" s="153">
        <v>0.0</v>
      </c>
      <c r="CO9" s="154">
        <v>0.0</v>
      </c>
      <c r="CP9" s="153">
        <v>0.0</v>
      </c>
      <c r="CQ9" s="153">
        <v>0.0</v>
      </c>
      <c r="CR9" s="153">
        <v>0.0</v>
      </c>
      <c r="CS9" s="153">
        <v>0.0</v>
      </c>
      <c r="CT9" s="153">
        <v>0.0</v>
      </c>
      <c r="CU9" s="156">
        <v>0.0</v>
      </c>
      <c r="CV9" s="153">
        <v>0.0</v>
      </c>
      <c r="CW9" s="153">
        <v>0.0</v>
      </c>
      <c r="CX9" s="153">
        <v>0.0</v>
      </c>
    </row>
    <row r="10" ht="35.25" customHeight="1">
      <c r="B10" s="167" t="s">
        <v>2952</v>
      </c>
      <c r="C10" s="154">
        <v>0.75</v>
      </c>
      <c r="D10" s="153">
        <v>0.75</v>
      </c>
      <c r="E10" s="153">
        <v>0.8333333333333334</v>
      </c>
      <c r="F10" s="153">
        <v>1.0</v>
      </c>
      <c r="G10" s="153">
        <v>0.8</v>
      </c>
      <c r="H10" s="153">
        <v>0.8333333333333334</v>
      </c>
      <c r="I10" s="153">
        <v>1.0</v>
      </c>
      <c r="J10" s="155">
        <v>0.0</v>
      </c>
      <c r="K10" s="153">
        <v>0.75</v>
      </c>
      <c r="L10" s="153">
        <v>1.0</v>
      </c>
      <c r="M10" s="154">
        <v>0.0</v>
      </c>
      <c r="N10" s="153">
        <v>0.0</v>
      </c>
      <c r="O10" s="153">
        <v>0.0</v>
      </c>
      <c r="P10" s="153">
        <v>0.0</v>
      </c>
      <c r="Q10" s="153">
        <v>0.0</v>
      </c>
      <c r="R10" s="153">
        <v>0.0</v>
      </c>
      <c r="S10" s="153">
        <v>0.0</v>
      </c>
      <c r="T10" s="156">
        <v>0.0</v>
      </c>
      <c r="U10" s="153">
        <v>0.0</v>
      </c>
      <c r="V10" s="153">
        <v>0.0</v>
      </c>
      <c r="W10" s="154">
        <v>0.0</v>
      </c>
      <c r="X10" s="153">
        <v>0.0</v>
      </c>
      <c r="Y10" s="153">
        <v>0.0</v>
      </c>
      <c r="Z10" s="153">
        <v>0.0</v>
      </c>
      <c r="AA10" s="153">
        <v>0.0</v>
      </c>
      <c r="AB10" s="153">
        <v>0.0</v>
      </c>
      <c r="AC10" s="153">
        <v>0.0</v>
      </c>
      <c r="AD10" s="156">
        <v>0.0</v>
      </c>
      <c r="AE10" s="153">
        <v>0.0</v>
      </c>
      <c r="AF10" s="153">
        <v>0.0</v>
      </c>
      <c r="AG10" s="154">
        <v>0.0</v>
      </c>
      <c r="AH10" s="153">
        <v>0.0</v>
      </c>
      <c r="AI10" s="153">
        <v>0.0</v>
      </c>
      <c r="AJ10" s="153">
        <v>0.0</v>
      </c>
      <c r="AK10" s="153">
        <v>0.0</v>
      </c>
      <c r="AL10" s="153">
        <v>0.0</v>
      </c>
      <c r="AM10" s="153">
        <v>0.25</v>
      </c>
      <c r="AN10" s="156">
        <v>0.0</v>
      </c>
      <c r="AO10" s="153">
        <v>0.0</v>
      </c>
      <c r="AP10" s="153">
        <v>0.0</v>
      </c>
      <c r="AQ10" s="154">
        <v>0.0</v>
      </c>
      <c r="AR10" s="153">
        <v>0.0</v>
      </c>
      <c r="AS10" s="153">
        <v>0.0</v>
      </c>
      <c r="AT10" s="153">
        <v>0.0</v>
      </c>
      <c r="AU10" s="153">
        <v>0.0</v>
      </c>
      <c r="AV10" s="153">
        <v>0.0</v>
      </c>
      <c r="AW10" s="153">
        <v>0.25</v>
      </c>
      <c r="AX10" s="156">
        <v>0.0</v>
      </c>
      <c r="AY10" s="153">
        <v>0.0</v>
      </c>
      <c r="AZ10" s="153">
        <v>0.0</v>
      </c>
      <c r="BA10" s="154">
        <v>0.0</v>
      </c>
      <c r="BB10" s="153">
        <v>0.25</v>
      </c>
      <c r="BC10" s="153">
        <v>0.16666666666666666</v>
      </c>
      <c r="BD10" s="153">
        <v>0.0</v>
      </c>
      <c r="BE10" s="153">
        <v>0.1</v>
      </c>
      <c r="BF10" s="153">
        <v>0.0</v>
      </c>
      <c r="BG10" s="153">
        <v>0.25</v>
      </c>
      <c r="BH10" s="156">
        <v>0.1875</v>
      </c>
      <c r="BI10" s="153">
        <v>0.0</v>
      </c>
      <c r="BJ10" s="153">
        <v>0.16666666666666666</v>
      </c>
      <c r="BK10" s="154">
        <v>0.0</v>
      </c>
      <c r="BL10" s="153">
        <v>0.0</v>
      </c>
      <c r="BM10" s="153">
        <v>0.0</v>
      </c>
      <c r="BN10" s="153">
        <v>0.0</v>
      </c>
      <c r="BO10" s="153">
        <v>0.0</v>
      </c>
      <c r="BP10" s="153">
        <v>0.0</v>
      </c>
      <c r="BQ10" s="153">
        <v>0.0</v>
      </c>
      <c r="BR10" s="156">
        <v>0.0</v>
      </c>
      <c r="BS10" s="153">
        <v>0.0</v>
      </c>
      <c r="BT10" s="153">
        <v>0.0</v>
      </c>
      <c r="BU10" s="154">
        <v>0.0</v>
      </c>
      <c r="BV10" s="153">
        <v>0.0</v>
      </c>
      <c r="BW10" s="153">
        <v>0.0</v>
      </c>
      <c r="BX10" s="153">
        <v>0.0</v>
      </c>
      <c r="BY10" s="153">
        <v>0.0</v>
      </c>
      <c r="BZ10" s="153">
        <v>0.0</v>
      </c>
      <c r="CA10" s="153">
        <v>0.0</v>
      </c>
      <c r="CB10" s="156">
        <v>0.0</v>
      </c>
      <c r="CC10" s="153">
        <v>0.0</v>
      </c>
      <c r="CD10" s="153">
        <v>0.0</v>
      </c>
      <c r="CE10" s="154">
        <v>0.0</v>
      </c>
      <c r="CF10" s="153">
        <v>0.0</v>
      </c>
      <c r="CG10" s="153">
        <v>0.0</v>
      </c>
      <c r="CH10" s="153">
        <v>0.0</v>
      </c>
      <c r="CI10" s="153">
        <v>0.0</v>
      </c>
      <c r="CJ10" s="153">
        <v>0.0</v>
      </c>
      <c r="CK10" s="153">
        <v>0.0</v>
      </c>
      <c r="CL10" s="156">
        <v>0.0</v>
      </c>
      <c r="CM10" s="153">
        <v>0.0</v>
      </c>
      <c r="CN10" s="153">
        <v>0.0</v>
      </c>
      <c r="CO10" s="154">
        <v>0.0</v>
      </c>
      <c r="CP10" s="153">
        <v>0.0</v>
      </c>
      <c r="CQ10" s="153">
        <v>0.0</v>
      </c>
      <c r="CR10" s="153">
        <v>0.0</v>
      </c>
      <c r="CS10" s="153">
        <v>0.0</v>
      </c>
      <c r="CT10" s="153">
        <v>0.0</v>
      </c>
      <c r="CU10" s="153">
        <v>0.0</v>
      </c>
      <c r="CV10" s="156">
        <v>0.0</v>
      </c>
      <c r="CW10" s="153">
        <v>0.0</v>
      </c>
      <c r="CX10" s="153">
        <v>0.0</v>
      </c>
    </row>
    <row r="11" ht="35.25" customHeight="1">
      <c r="B11" s="167" t="s">
        <v>2953</v>
      </c>
      <c r="C11" s="154">
        <v>0.8</v>
      </c>
      <c r="D11" s="153">
        <v>1.0</v>
      </c>
      <c r="E11" s="153">
        <v>0.5</v>
      </c>
      <c r="F11" s="153">
        <v>0.6666666666666666</v>
      </c>
      <c r="G11" s="153">
        <v>0.8333333333333334</v>
      </c>
      <c r="H11" s="153">
        <v>0.75</v>
      </c>
      <c r="I11" s="153">
        <v>0.5</v>
      </c>
      <c r="J11" s="153">
        <v>0.75</v>
      </c>
      <c r="K11" s="155">
        <v>0.0</v>
      </c>
      <c r="L11" s="153">
        <v>0.8333333333333334</v>
      </c>
      <c r="M11" s="154">
        <v>0.0</v>
      </c>
      <c r="N11" s="153">
        <v>0.0</v>
      </c>
      <c r="O11" s="153">
        <v>0.0</v>
      </c>
      <c r="P11" s="153">
        <v>0.0</v>
      </c>
      <c r="Q11" s="153">
        <v>0.0</v>
      </c>
      <c r="R11" s="153">
        <v>0.0</v>
      </c>
      <c r="S11" s="153">
        <v>0.0</v>
      </c>
      <c r="T11" s="153">
        <v>0.0</v>
      </c>
      <c r="U11" s="156">
        <v>0.0</v>
      </c>
      <c r="V11" s="153">
        <v>0.0</v>
      </c>
      <c r="W11" s="154">
        <v>0.0</v>
      </c>
      <c r="X11" s="153">
        <v>0.0</v>
      </c>
      <c r="Y11" s="153">
        <v>0.0</v>
      </c>
      <c r="Z11" s="153">
        <v>0.0</v>
      </c>
      <c r="AA11" s="153">
        <v>0.0</v>
      </c>
      <c r="AB11" s="153">
        <v>0.0</v>
      </c>
      <c r="AC11" s="153">
        <v>0.0</v>
      </c>
      <c r="AD11" s="153">
        <v>0.0</v>
      </c>
      <c r="AE11" s="156">
        <v>0.0</v>
      </c>
      <c r="AF11" s="153">
        <v>0.0</v>
      </c>
      <c r="AG11" s="154">
        <v>0.0</v>
      </c>
      <c r="AH11" s="153">
        <v>0.0</v>
      </c>
      <c r="AI11" s="153">
        <v>0.0</v>
      </c>
      <c r="AJ11" s="153">
        <v>0.0</v>
      </c>
      <c r="AK11" s="153">
        <v>0.0</v>
      </c>
      <c r="AL11" s="153">
        <v>0.0</v>
      </c>
      <c r="AM11" s="153">
        <v>0.0</v>
      </c>
      <c r="AN11" s="153">
        <v>0.0</v>
      </c>
      <c r="AO11" s="156">
        <v>0.0</v>
      </c>
      <c r="AP11" s="153">
        <v>0.0</v>
      </c>
      <c r="AQ11" s="154">
        <v>0.0</v>
      </c>
      <c r="AR11" s="153">
        <v>0.0</v>
      </c>
      <c r="AS11" s="153">
        <v>0.0</v>
      </c>
      <c r="AT11" s="153">
        <v>0.0</v>
      </c>
      <c r="AU11" s="153">
        <v>0.0</v>
      </c>
      <c r="AV11" s="153">
        <v>0.0</v>
      </c>
      <c r="AW11" s="153">
        <v>0.0</v>
      </c>
      <c r="AX11" s="153">
        <v>0.0</v>
      </c>
      <c r="AY11" s="156">
        <v>0.0</v>
      </c>
      <c r="AZ11" s="153">
        <v>0.0</v>
      </c>
      <c r="BA11" s="154">
        <v>0.0</v>
      </c>
      <c r="BB11" s="153">
        <v>0.0</v>
      </c>
      <c r="BC11" s="153">
        <v>0.0</v>
      </c>
      <c r="BD11" s="153">
        <v>0.0</v>
      </c>
      <c r="BE11" s="153">
        <v>0.0</v>
      </c>
      <c r="BF11" s="153">
        <v>0.0</v>
      </c>
      <c r="BG11" s="153">
        <v>0.0</v>
      </c>
      <c r="BH11" s="153">
        <v>0.0</v>
      </c>
      <c r="BI11" s="156">
        <v>0.0</v>
      </c>
      <c r="BJ11" s="153">
        <v>0.0</v>
      </c>
      <c r="BK11" s="154">
        <v>0.0</v>
      </c>
      <c r="BL11" s="153">
        <v>0.0</v>
      </c>
      <c r="BM11" s="153">
        <v>0.0</v>
      </c>
      <c r="BN11" s="153">
        <v>0.0</v>
      </c>
      <c r="BO11" s="153">
        <v>0.0</v>
      </c>
      <c r="BP11" s="153">
        <v>0.0</v>
      </c>
      <c r="BQ11" s="153">
        <v>0.0</v>
      </c>
      <c r="BR11" s="153">
        <v>0.0</v>
      </c>
      <c r="BS11" s="156">
        <v>0.0</v>
      </c>
      <c r="BT11" s="153">
        <v>0.0</v>
      </c>
      <c r="BU11" s="154">
        <v>0.0</v>
      </c>
      <c r="BV11" s="153">
        <v>0.0</v>
      </c>
      <c r="BW11" s="153">
        <v>0.25</v>
      </c>
      <c r="BX11" s="153">
        <v>0.0</v>
      </c>
      <c r="BY11" s="153">
        <v>0.0</v>
      </c>
      <c r="BZ11" s="153">
        <v>0.0</v>
      </c>
      <c r="CA11" s="153">
        <v>0.0</v>
      </c>
      <c r="CB11" s="153">
        <v>0.0</v>
      </c>
      <c r="CC11" s="156">
        <v>0.0625</v>
      </c>
      <c r="CD11" s="153">
        <v>0.0</v>
      </c>
      <c r="CE11" s="154">
        <v>0.0</v>
      </c>
      <c r="CF11" s="153">
        <v>0.0</v>
      </c>
      <c r="CG11" s="153">
        <v>0.0</v>
      </c>
      <c r="CH11" s="153">
        <v>0.0</v>
      </c>
      <c r="CI11" s="153">
        <v>0.0</v>
      </c>
      <c r="CJ11" s="153">
        <v>0.0</v>
      </c>
      <c r="CK11" s="153">
        <v>0.0</v>
      </c>
      <c r="CL11" s="153">
        <v>0.0</v>
      </c>
      <c r="CM11" s="156">
        <v>0.0</v>
      </c>
      <c r="CN11" s="153">
        <v>0.0</v>
      </c>
      <c r="CO11" s="154">
        <v>0.0</v>
      </c>
      <c r="CP11" s="153">
        <v>0.0</v>
      </c>
      <c r="CQ11" s="153">
        <v>0.0</v>
      </c>
      <c r="CR11" s="153">
        <v>0.0</v>
      </c>
      <c r="CS11" s="153">
        <v>0.0</v>
      </c>
      <c r="CT11" s="153">
        <v>0.0</v>
      </c>
      <c r="CU11" s="153">
        <v>0.0</v>
      </c>
      <c r="CV11" s="153">
        <v>0.0</v>
      </c>
      <c r="CW11" s="156">
        <v>0.0</v>
      </c>
      <c r="CX11" s="153">
        <v>0.0</v>
      </c>
    </row>
    <row r="12" ht="35.25" customHeight="1">
      <c r="A12" s="125"/>
      <c r="B12" s="168" t="s">
        <v>2954</v>
      </c>
      <c r="C12" s="157">
        <v>1.0</v>
      </c>
      <c r="D12" s="158">
        <v>1.0</v>
      </c>
      <c r="E12" s="158">
        <v>0.6666666666666666</v>
      </c>
      <c r="F12" s="158">
        <v>0.5</v>
      </c>
      <c r="G12" s="158">
        <v>1.0</v>
      </c>
      <c r="H12" s="158">
        <v>0.75</v>
      </c>
      <c r="I12" s="158">
        <v>0.75</v>
      </c>
      <c r="J12" s="158">
        <v>1.0</v>
      </c>
      <c r="K12" s="158">
        <v>0.8333333333333334</v>
      </c>
      <c r="L12" s="159">
        <v>0.0</v>
      </c>
      <c r="M12" s="157">
        <v>0.0</v>
      </c>
      <c r="N12" s="158">
        <v>0.0</v>
      </c>
      <c r="O12" s="158">
        <v>0.0</v>
      </c>
      <c r="P12" s="158">
        <v>0.0</v>
      </c>
      <c r="Q12" s="158">
        <v>0.0</v>
      </c>
      <c r="R12" s="158">
        <v>0.0</v>
      </c>
      <c r="S12" s="158">
        <v>0.0</v>
      </c>
      <c r="T12" s="158">
        <v>0.0</v>
      </c>
      <c r="U12" s="158">
        <v>0.0</v>
      </c>
      <c r="V12" s="160">
        <v>0.0</v>
      </c>
      <c r="W12" s="157">
        <v>0.0</v>
      </c>
      <c r="X12" s="158">
        <v>0.0</v>
      </c>
      <c r="Y12" s="158">
        <v>0.0</v>
      </c>
      <c r="Z12" s="158">
        <v>0.0</v>
      </c>
      <c r="AA12" s="158">
        <v>0.0</v>
      </c>
      <c r="AB12" s="158">
        <v>0.0</v>
      </c>
      <c r="AC12" s="158">
        <v>0.0</v>
      </c>
      <c r="AD12" s="158">
        <v>0.0</v>
      </c>
      <c r="AE12" s="158">
        <v>0.0</v>
      </c>
      <c r="AF12" s="160">
        <v>0.0</v>
      </c>
      <c r="AG12" s="157">
        <v>0.0</v>
      </c>
      <c r="AH12" s="158">
        <v>0.0</v>
      </c>
      <c r="AI12" s="158">
        <v>0.0</v>
      </c>
      <c r="AJ12" s="158">
        <v>0.0</v>
      </c>
      <c r="AK12" s="158">
        <v>0.0</v>
      </c>
      <c r="AL12" s="158">
        <v>0.0</v>
      </c>
      <c r="AM12" s="158">
        <v>0.25</v>
      </c>
      <c r="AN12" s="158">
        <v>0.0</v>
      </c>
      <c r="AO12" s="158">
        <v>0.0</v>
      </c>
      <c r="AP12" s="160">
        <v>0.0</v>
      </c>
      <c r="AQ12" s="157">
        <v>0.0</v>
      </c>
      <c r="AR12" s="158">
        <v>0.0</v>
      </c>
      <c r="AS12" s="158">
        <v>0.0</v>
      </c>
      <c r="AT12" s="158">
        <v>0.0</v>
      </c>
      <c r="AU12" s="158">
        <v>0.0</v>
      </c>
      <c r="AV12" s="158">
        <v>0.0</v>
      </c>
      <c r="AW12" s="158">
        <v>0.25</v>
      </c>
      <c r="AX12" s="158">
        <v>0.0</v>
      </c>
      <c r="AY12" s="158">
        <v>0.0</v>
      </c>
      <c r="AZ12" s="160">
        <v>0.0</v>
      </c>
      <c r="BA12" s="157">
        <v>0.25</v>
      </c>
      <c r="BB12" s="158">
        <v>0.0</v>
      </c>
      <c r="BC12" s="158">
        <v>0.0</v>
      </c>
      <c r="BD12" s="158">
        <v>0.0</v>
      </c>
      <c r="BE12" s="158">
        <v>0.25</v>
      </c>
      <c r="BF12" s="158">
        <v>0.25</v>
      </c>
      <c r="BG12" s="158">
        <v>0.25</v>
      </c>
      <c r="BH12" s="158">
        <v>0.3333333333333333</v>
      </c>
      <c r="BI12" s="158">
        <v>0.0</v>
      </c>
      <c r="BJ12" s="160">
        <v>0.07142857142857142</v>
      </c>
      <c r="BK12" s="157">
        <v>0.0</v>
      </c>
      <c r="BL12" s="158">
        <v>0.0</v>
      </c>
      <c r="BM12" s="158">
        <v>0.0</v>
      </c>
      <c r="BN12" s="158">
        <v>0.0</v>
      </c>
      <c r="BO12" s="158">
        <v>0.0</v>
      </c>
      <c r="BP12" s="158">
        <v>0.0</v>
      </c>
      <c r="BQ12" s="158">
        <v>0.0</v>
      </c>
      <c r="BR12" s="158">
        <v>0.0</v>
      </c>
      <c r="BS12" s="158">
        <v>0.0</v>
      </c>
      <c r="BT12" s="160">
        <v>0.0</v>
      </c>
      <c r="BU12" s="157">
        <v>0.0</v>
      </c>
      <c r="BV12" s="158">
        <v>0.0</v>
      </c>
      <c r="BW12" s="158">
        <v>0.0</v>
      </c>
      <c r="BX12" s="158">
        <v>0.0</v>
      </c>
      <c r="BY12" s="158">
        <v>0.0</v>
      </c>
      <c r="BZ12" s="158">
        <v>0.0</v>
      </c>
      <c r="CA12" s="158">
        <v>0.0</v>
      </c>
      <c r="CB12" s="158">
        <v>0.0</v>
      </c>
      <c r="CC12" s="158">
        <v>0.0</v>
      </c>
      <c r="CD12" s="160">
        <v>0.07142857142857142</v>
      </c>
      <c r="CE12" s="157">
        <v>0.0</v>
      </c>
      <c r="CF12" s="158">
        <v>0.0</v>
      </c>
      <c r="CG12" s="158">
        <v>0.0</v>
      </c>
      <c r="CH12" s="158">
        <v>0.0</v>
      </c>
      <c r="CI12" s="158">
        <v>0.0</v>
      </c>
      <c r="CJ12" s="158">
        <v>0.0</v>
      </c>
      <c r="CK12" s="158">
        <v>0.0</v>
      </c>
      <c r="CL12" s="158">
        <v>0.0</v>
      </c>
      <c r="CM12" s="158">
        <v>0.0</v>
      </c>
      <c r="CN12" s="160">
        <v>0.0</v>
      </c>
      <c r="CO12" s="157">
        <v>0.0</v>
      </c>
      <c r="CP12" s="158">
        <v>0.0</v>
      </c>
      <c r="CQ12" s="158">
        <v>0.0</v>
      </c>
      <c r="CR12" s="158">
        <v>0.0</v>
      </c>
      <c r="CS12" s="158">
        <v>0.0</v>
      </c>
      <c r="CT12" s="158">
        <v>0.0</v>
      </c>
      <c r="CU12" s="158">
        <v>0.0</v>
      </c>
      <c r="CV12" s="158">
        <v>0.0</v>
      </c>
      <c r="CW12" s="158">
        <v>0.0</v>
      </c>
      <c r="CX12" s="160">
        <v>0.0</v>
      </c>
    </row>
    <row r="13" ht="35.25" customHeight="1">
      <c r="A13" s="134" t="s">
        <v>2936</v>
      </c>
      <c r="B13" s="167" t="s">
        <v>2955</v>
      </c>
      <c r="C13" s="154">
        <v>0.0</v>
      </c>
      <c r="D13" s="153">
        <v>0.0</v>
      </c>
      <c r="E13" s="153">
        <v>0.0</v>
      </c>
      <c r="F13" s="153">
        <v>0.0</v>
      </c>
      <c r="G13" s="153">
        <v>0.0</v>
      </c>
      <c r="H13" s="153">
        <v>0.0</v>
      </c>
      <c r="I13" s="153">
        <v>0.0</v>
      </c>
      <c r="J13" s="153">
        <v>0.0</v>
      </c>
      <c r="K13" s="153">
        <v>0.0</v>
      </c>
      <c r="L13" s="153">
        <v>0.0</v>
      </c>
      <c r="M13" s="152">
        <v>0.0</v>
      </c>
      <c r="N13" s="153">
        <v>1.0</v>
      </c>
      <c r="O13" s="153">
        <v>0.25</v>
      </c>
      <c r="P13" s="153">
        <v>0.5</v>
      </c>
      <c r="Q13" s="153">
        <v>0.7</v>
      </c>
      <c r="R13" s="153">
        <v>0.7</v>
      </c>
      <c r="S13" s="153">
        <v>0.75</v>
      </c>
      <c r="T13" s="153">
        <v>0.75</v>
      </c>
      <c r="U13" s="153">
        <v>0.9</v>
      </c>
      <c r="V13" s="153">
        <v>0.75</v>
      </c>
      <c r="W13" s="154">
        <v>0.05555555555555555</v>
      </c>
      <c r="X13" s="153">
        <v>0.0</v>
      </c>
      <c r="Y13" s="153">
        <v>0.0</v>
      </c>
      <c r="Z13" s="153">
        <v>0.0</v>
      </c>
      <c r="AA13" s="153">
        <v>0.1</v>
      </c>
      <c r="AB13" s="153">
        <v>0.1</v>
      </c>
      <c r="AC13" s="153">
        <v>0.0</v>
      </c>
      <c r="AD13" s="153">
        <v>0.0</v>
      </c>
      <c r="AE13" s="153">
        <v>0.0</v>
      </c>
      <c r="AF13" s="153">
        <v>0.25</v>
      </c>
      <c r="AG13" s="154">
        <v>0.0</v>
      </c>
      <c r="AH13" s="153">
        <v>0.0</v>
      </c>
      <c r="AI13" s="153">
        <v>0.0</v>
      </c>
      <c r="AJ13" s="153">
        <v>0.0</v>
      </c>
      <c r="AK13" s="153">
        <v>0.0</v>
      </c>
      <c r="AL13" s="153">
        <v>0.0</v>
      </c>
      <c r="AM13" s="153">
        <v>0.0</v>
      </c>
      <c r="AN13" s="153">
        <v>0.0</v>
      </c>
      <c r="AO13" s="153">
        <v>0.0</v>
      </c>
      <c r="AP13" s="153">
        <v>0.0</v>
      </c>
      <c r="AQ13" s="154">
        <v>0.0</v>
      </c>
      <c r="AR13" s="153">
        <v>0.0</v>
      </c>
      <c r="AS13" s="153">
        <v>0.0</v>
      </c>
      <c r="AT13" s="153">
        <v>0.0</v>
      </c>
      <c r="AU13" s="153">
        <v>0.0</v>
      </c>
      <c r="AV13" s="153">
        <v>0.1</v>
      </c>
      <c r="AW13" s="153">
        <v>0.0</v>
      </c>
      <c r="AX13" s="153">
        <v>0.0</v>
      </c>
      <c r="AY13" s="153">
        <v>0.0</v>
      </c>
      <c r="AZ13" s="153">
        <v>0.0</v>
      </c>
      <c r="BA13" s="154">
        <v>0.0</v>
      </c>
      <c r="BB13" s="153">
        <v>0.0</v>
      </c>
      <c r="BC13" s="153">
        <v>0.0</v>
      </c>
      <c r="BD13" s="153">
        <v>0.0</v>
      </c>
      <c r="BE13" s="153">
        <v>0.0</v>
      </c>
      <c r="BF13" s="153">
        <v>0.0</v>
      </c>
      <c r="BG13" s="153">
        <v>0.0</v>
      </c>
      <c r="BH13" s="153">
        <v>0.0</v>
      </c>
      <c r="BI13" s="153">
        <v>0.0</v>
      </c>
      <c r="BJ13" s="153">
        <v>0.0</v>
      </c>
      <c r="BK13" s="154">
        <v>0.0</v>
      </c>
      <c r="BL13" s="153">
        <v>0.0</v>
      </c>
      <c r="BM13" s="153">
        <v>0.0</v>
      </c>
      <c r="BN13" s="153">
        <v>0.0</v>
      </c>
      <c r="BO13" s="153">
        <v>0.0</v>
      </c>
      <c r="BP13" s="153">
        <v>0.0</v>
      </c>
      <c r="BQ13" s="153">
        <v>0.0</v>
      </c>
      <c r="BR13" s="153">
        <v>0.0</v>
      </c>
      <c r="BS13" s="153">
        <v>0.0</v>
      </c>
      <c r="BT13" s="153">
        <v>0.0</v>
      </c>
      <c r="BU13" s="154">
        <v>0.0</v>
      </c>
      <c r="BV13" s="153">
        <v>0.0</v>
      </c>
      <c r="BW13" s="153">
        <v>0.0</v>
      </c>
      <c r="BX13" s="153">
        <v>0.0</v>
      </c>
      <c r="BY13" s="153">
        <v>0.0</v>
      </c>
      <c r="BZ13" s="153">
        <v>0.0</v>
      </c>
      <c r="CA13" s="153">
        <v>0.0</v>
      </c>
      <c r="CB13" s="153">
        <v>0.0</v>
      </c>
      <c r="CC13" s="153">
        <v>0.0</v>
      </c>
      <c r="CD13" s="153">
        <v>0.0</v>
      </c>
      <c r="CE13" s="154">
        <v>0.0</v>
      </c>
      <c r="CF13" s="153">
        <v>0.0</v>
      </c>
      <c r="CG13" s="153">
        <v>0.0</v>
      </c>
      <c r="CH13" s="153">
        <v>0.0</v>
      </c>
      <c r="CI13" s="153">
        <v>0.0</v>
      </c>
      <c r="CJ13" s="153">
        <v>0.0</v>
      </c>
      <c r="CK13" s="153">
        <v>0.0</v>
      </c>
      <c r="CL13" s="153">
        <v>0.0</v>
      </c>
      <c r="CM13" s="153">
        <v>0.0</v>
      </c>
      <c r="CN13" s="153">
        <v>0.0</v>
      </c>
      <c r="CO13" s="154">
        <v>0.0</v>
      </c>
      <c r="CP13" s="153">
        <v>0.0</v>
      </c>
      <c r="CQ13" s="153">
        <v>0.0</v>
      </c>
      <c r="CR13" s="153">
        <v>0.0</v>
      </c>
      <c r="CS13" s="153">
        <v>0.0</v>
      </c>
      <c r="CT13" s="153">
        <v>0.0</v>
      </c>
      <c r="CU13" s="153">
        <v>0.0</v>
      </c>
      <c r="CV13" s="153">
        <v>0.0</v>
      </c>
      <c r="CW13" s="153">
        <v>0.0</v>
      </c>
      <c r="CX13" s="153">
        <v>0.0</v>
      </c>
    </row>
    <row r="14" ht="35.25" customHeight="1">
      <c r="B14" s="167" t="s">
        <v>2956</v>
      </c>
      <c r="C14" s="154">
        <v>0.0</v>
      </c>
      <c r="D14" s="156">
        <v>0.0</v>
      </c>
      <c r="E14" s="153">
        <v>0.0</v>
      </c>
      <c r="F14" s="153">
        <v>0.0</v>
      </c>
      <c r="G14" s="153">
        <v>0.0</v>
      </c>
      <c r="H14" s="153">
        <v>0.0</v>
      </c>
      <c r="I14" s="153">
        <v>0.0</v>
      </c>
      <c r="J14" s="153">
        <v>0.0</v>
      </c>
      <c r="K14" s="153">
        <v>0.0</v>
      </c>
      <c r="L14" s="153">
        <v>0.0</v>
      </c>
      <c r="M14" s="154">
        <v>1.0</v>
      </c>
      <c r="N14" s="155">
        <v>0.0</v>
      </c>
      <c r="O14" s="153">
        <v>1.0</v>
      </c>
      <c r="P14" s="153">
        <v>1.0</v>
      </c>
      <c r="Q14" s="153">
        <v>1.0</v>
      </c>
      <c r="R14" s="153">
        <v>1.0</v>
      </c>
      <c r="S14" s="153">
        <v>1.0</v>
      </c>
      <c r="T14" s="153">
        <v>1.0</v>
      </c>
      <c r="U14" s="153">
        <v>1.0</v>
      </c>
      <c r="V14" s="153">
        <v>1.0</v>
      </c>
      <c r="W14" s="154">
        <v>0.0</v>
      </c>
      <c r="X14" s="156">
        <v>0.0</v>
      </c>
      <c r="Y14" s="153">
        <v>0.0</v>
      </c>
      <c r="Z14" s="153">
        <v>0.0</v>
      </c>
      <c r="AA14" s="153">
        <v>0.0</v>
      </c>
      <c r="AB14" s="153">
        <v>0.0</v>
      </c>
      <c r="AC14" s="153">
        <v>0.0</v>
      </c>
      <c r="AD14" s="153">
        <v>0.0</v>
      </c>
      <c r="AE14" s="153">
        <v>0.0</v>
      </c>
      <c r="AF14" s="153">
        <v>0.0</v>
      </c>
      <c r="AG14" s="154">
        <v>0.0</v>
      </c>
      <c r="AH14" s="156">
        <v>0.0</v>
      </c>
      <c r="AI14" s="153">
        <v>0.0</v>
      </c>
      <c r="AJ14" s="153">
        <v>0.0</v>
      </c>
      <c r="AK14" s="153">
        <v>0.0</v>
      </c>
      <c r="AL14" s="153">
        <v>0.0</v>
      </c>
      <c r="AM14" s="153">
        <v>0.0</v>
      </c>
      <c r="AN14" s="153">
        <v>0.0</v>
      </c>
      <c r="AO14" s="153">
        <v>0.0</v>
      </c>
      <c r="AP14" s="153">
        <v>0.0</v>
      </c>
      <c r="AQ14" s="154">
        <v>0.0</v>
      </c>
      <c r="AR14" s="156">
        <v>0.0</v>
      </c>
      <c r="AS14" s="153">
        <v>0.0</v>
      </c>
      <c r="AT14" s="153">
        <v>0.0</v>
      </c>
      <c r="AU14" s="153">
        <v>0.16666666666666666</v>
      </c>
      <c r="AV14" s="153">
        <v>0.0</v>
      </c>
      <c r="AW14" s="153">
        <v>0.3333333333333333</v>
      </c>
      <c r="AX14" s="153">
        <v>0.0</v>
      </c>
      <c r="AY14" s="153">
        <v>0.0</v>
      </c>
      <c r="AZ14" s="153">
        <v>0.0</v>
      </c>
      <c r="BA14" s="154">
        <v>0.0</v>
      </c>
      <c r="BB14" s="156">
        <v>0.0</v>
      </c>
      <c r="BC14" s="153">
        <v>0.0</v>
      </c>
      <c r="BD14" s="153">
        <v>0.0</v>
      </c>
      <c r="BE14" s="153">
        <v>0.0</v>
      </c>
      <c r="BF14" s="153">
        <v>0.0</v>
      </c>
      <c r="BG14" s="153">
        <v>0.0</v>
      </c>
      <c r="BH14" s="153">
        <v>0.0</v>
      </c>
      <c r="BI14" s="153">
        <v>0.0</v>
      </c>
      <c r="BJ14" s="153">
        <v>0.0</v>
      </c>
      <c r="BK14" s="154">
        <v>0.0</v>
      </c>
      <c r="BL14" s="156">
        <v>0.0</v>
      </c>
      <c r="BM14" s="153">
        <v>0.0</v>
      </c>
      <c r="BN14" s="153">
        <v>0.0</v>
      </c>
      <c r="BO14" s="153">
        <v>0.0</v>
      </c>
      <c r="BP14" s="153">
        <v>0.0</v>
      </c>
      <c r="BQ14" s="153">
        <v>0.0</v>
      </c>
      <c r="BR14" s="153">
        <v>0.0</v>
      </c>
      <c r="BS14" s="153">
        <v>0.0</v>
      </c>
      <c r="BT14" s="153">
        <v>0.0</v>
      </c>
      <c r="BU14" s="154">
        <v>0.0</v>
      </c>
      <c r="BV14" s="156">
        <v>0.0</v>
      </c>
      <c r="BW14" s="153">
        <v>0.25</v>
      </c>
      <c r="BX14" s="153">
        <v>0.0</v>
      </c>
      <c r="BY14" s="153">
        <v>0.0</v>
      </c>
      <c r="BZ14" s="153">
        <v>0.0</v>
      </c>
      <c r="CA14" s="153">
        <v>0.0</v>
      </c>
      <c r="CB14" s="153">
        <v>0.0</v>
      </c>
      <c r="CC14" s="153">
        <v>0.0</v>
      </c>
      <c r="CD14" s="153">
        <v>0.0</v>
      </c>
      <c r="CE14" s="154">
        <v>0.0</v>
      </c>
      <c r="CF14" s="156">
        <v>0.07142857142857142</v>
      </c>
      <c r="CG14" s="153">
        <v>0.0</v>
      </c>
      <c r="CH14" s="153">
        <v>0.25</v>
      </c>
      <c r="CI14" s="153">
        <v>0.16666666666666666</v>
      </c>
      <c r="CJ14" s="153">
        <v>0.0</v>
      </c>
      <c r="CK14" s="153">
        <v>0.16666666666666666</v>
      </c>
      <c r="CL14" s="153">
        <v>0.0</v>
      </c>
      <c r="CM14" s="153">
        <v>0.0</v>
      </c>
      <c r="CN14" s="153">
        <v>0.0</v>
      </c>
      <c r="CO14" s="154">
        <v>0.0</v>
      </c>
      <c r="CP14" s="156">
        <v>0.0</v>
      </c>
      <c r="CQ14" s="153">
        <v>0.0</v>
      </c>
      <c r="CR14" s="153">
        <v>0.0</v>
      </c>
      <c r="CS14" s="153">
        <v>0.0</v>
      </c>
      <c r="CT14" s="153">
        <v>0.0</v>
      </c>
      <c r="CU14" s="153">
        <v>0.0</v>
      </c>
      <c r="CV14" s="153">
        <v>0.0</v>
      </c>
      <c r="CW14" s="153">
        <v>0.0</v>
      </c>
      <c r="CX14" s="153">
        <v>0.0</v>
      </c>
    </row>
    <row r="15" ht="35.25" customHeight="1">
      <c r="B15" s="167" t="s">
        <v>2957</v>
      </c>
      <c r="C15" s="154">
        <v>0.0</v>
      </c>
      <c r="D15" s="153">
        <v>0.0</v>
      </c>
      <c r="E15" s="156">
        <v>0.0</v>
      </c>
      <c r="F15" s="153">
        <v>0.0</v>
      </c>
      <c r="G15" s="153">
        <v>0.0</v>
      </c>
      <c r="H15" s="153">
        <v>0.0</v>
      </c>
      <c r="I15" s="153">
        <v>0.0</v>
      </c>
      <c r="J15" s="153">
        <v>0.0</v>
      </c>
      <c r="K15" s="153">
        <v>0.0</v>
      </c>
      <c r="L15" s="153">
        <v>0.0</v>
      </c>
      <c r="M15" s="154">
        <v>0.25</v>
      </c>
      <c r="N15" s="153">
        <v>1.0</v>
      </c>
      <c r="O15" s="155">
        <v>0.0</v>
      </c>
      <c r="P15" s="153">
        <v>0.75</v>
      </c>
      <c r="Q15" s="153">
        <v>0.75</v>
      </c>
      <c r="R15" s="153">
        <v>0.25</v>
      </c>
      <c r="S15" s="153">
        <v>0.875</v>
      </c>
      <c r="T15" s="153">
        <v>1.0</v>
      </c>
      <c r="U15" s="153">
        <v>1.0</v>
      </c>
      <c r="V15" s="153">
        <v>0.8333333333333334</v>
      </c>
      <c r="W15" s="154">
        <v>0.0</v>
      </c>
      <c r="X15" s="153">
        <v>0.0</v>
      </c>
      <c r="Y15" s="156">
        <v>0.0</v>
      </c>
      <c r="Z15" s="153">
        <v>0.0</v>
      </c>
      <c r="AA15" s="153">
        <v>0.0</v>
      </c>
      <c r="AB15" s="153">
        <v>0.0</v>
      </c>
      <c r="AC15" s="153">
        <v>0.0</v>
      </c>
      <c r="AD15" s="153">
        <v>0.0</v>
      </c>
      <c r="AE15" s="153">
        <v>0.0</v>
      </c>
      <c r="AF15" s="153">
        <v>0.0</v>
      </c>
      <c r="AG15" s="154">
        <v>0.0</v>
      </c>
      <c r="AH15" s="153">
        <v>0.0</v>
      </c>
      <c r="AI15" s="156">
        <v>0.0</v>
      </c>
      <c r="AJ15" s="153">
        <v>0.0</v>
      </c>
      <c r="AK15" s="153">
        <v>0.0</v>
      </c>
      <c r="AL15" s="153">
        <v>0.0</v>
      </c>
      <c r="AM15" s="153">
        <v>0.0</v>
      </c>
      <c r="AN15" s="153">
        <v>0.0</v>
      </c>
      <c r="AO15" s="153">
        <v>0.0</v>
      </c>
      <c r="AP15" s="153">
        <v>0.0</v>
      </c>
      <c r="AQ15" s="154">
        <v>0.0</v>
      </c>
      <c r="AR15" s="153">
        <v>0.0</v>
      </c>
      <c r="AS15" s="156">
        <v>0.0</v>
      </c>
      <c r="AT15" s="153">
        <v>0.0</v>
      </c>
      <c r="AU15" s="153">
        <v>0.0</v>
      </c>
      <c r="AV15" s="153">
        <v>0.0</v>
      </c>
      <c r="AW15" s="153">
        <v>0.125</v>
      </c>
      <c r="AX15" s="153">
        <v>0.0</v>
      </c>
      <c r="AY15" s="153">
        <v>0.0</v>
      </c>
      <c r="AZ15" s="153">
        <v>0.0</v>
      </c>
      <c r="BA15" s="154">
        <v>0.0</v>
      </c>
      <c r="BB15" s="153">
        <v>0.0</v>
      </c>
      <c r="BC15" s="156">
        <v>0.0</v>
      </c>
      <c r="BD15" s="153">
        <v>0.0</v>
      </c>
      <c r="BE15" s="153">
        <v>0.0</v>
      </c>
      <c r="BF15" s="153">
        <v>0.0</v>
      </c>
      <c r="BG15" s="153">
        <v>0.0</v>
      </c>
      <c r="BH15" s="153">
        <v>0.0</v>
      </c>
      <c r="BI15" s="153">
        <v>0.0</v>
      </c>
      <c r="BJ15" s="153">
        <v>0.0</v>
      </c>
      <c r="BK15" s="154">
        <v>0.0</v>
      </c>
      <c r="BL15" s="153">
        <v>0.0</v>
      </c>
      <c r="BM15" s="156">
        <v>0.0</v>
      </c>
      <c r="BN15" s="153">
        <v>0.0</v>
      </c>
      <c r="BO15" s="153">
        <v>0.0</v>
      </c>
      <c r="BP15" s="153">
        <v>0.0</v>
      </c>
      <c r="BQ15" s="153">
        <v>0.0</v>
      </c>
      <c r="BR15" s="153">
        <v>0.0</v>
      </c>
      <c r="BS15" s="153">
        <v>0.0</v>
      </c>
      <c r="BT15" s="153">
        <v>0.0</v>
      </c>
      <c r="BU15" s="154">
        <v>0.0</v>
      </c>
      <c r="BV15" s="153">
        <v>0.0</v>
      </c>
      <c r="BW15" s="156">
        <v>0.0625</v>
      </c>
      <c r="BX15" s="153">
        <v>0.0</v>
      </c>
      <c r="BY15" s="153">
        <v>0.0</v>
      </c>
      <c r="BZ15" s="153">
        <v>0.0</v>
      </c>
      <c r="CA15" s="153">
        <v>0.0</v>
      </c>
      <c r="CB15" s="153">
        <v>0.0</v>
      </c>
      <c r="CC15" s="153">
        <v>0.0</v>
      </c>
      <c r="CD15" s="153">
        <v>0.0</v>
      </c>
      <c r="CE15" s="154">
        <v>0.0</v>
      </c>
      <c r="CF15" s="153">
        <v>0.0</v>
      </c>
      <c r="CG15" s="156">
        <v>0.0</v>
      </c>
      <c r="CH15" s="153">
        <v>0.0</v>
      </c>
      <c r="CI15" s="153">
        <v>0.0</v>
      </c>
      <c r="CJ15" s="153">
        <v>0.0</v>
      </c>
      <c r="CK15" s="153">
        <v>0.0</v>
      </c>
      <c r="CL15" s="153">
        <v>0.0</v>
      </c>
      <c r="CM15" s="153">
        <v>0.0</v>
      </c>
      <c r="CN15" s="153">
        <v>0.0</v>
      </c>
      <c r="CO15" s="154">
        <v>0.0</v>
      </c>
      <c r="CP15" s="153">
        <v>0.0</v>
      </c>
      <c r="CQ15" s="156">
        <v>0.0</v>
      </c>
      <c r="CR15" s="153">
        <v>0.0</v>
      </c>
      <c r="CS15" s="153">
        <v>0.0</v>
      </c>
      <c r="CT15" s="153">
        <v>0.0</v>
      </c>
      <c r="CU15" s="153">
        <v>0.0</v>
      </c>
      <c r="CV15" s="153">
        <v>0.0</v>
      </c>
      <c r="CW15" s="153">
        <v>0.0</v>
      </c>
      <c r="CX15" s="153">
        <v>0.0</v>
      </c>
    </row>
    <row r="16" ht="35.25" customHeight="1">
      <c r="B16" s="167" t="s">
        <v>2958</v>
      </c>
      <c r="C16" s="154">
        <v>0.0</v>
      </c>
      <c r="D16" s="153">
        <v>0.0</v>
      </c>
      <c r="E16" s="153">
        <v>0.0</v>
      </c>
      <c r="F16" s="156">
        <v>0.0</v>
      </c>
      <c r="G16" s="153">
        <v>0.0</v>
      </c>
      <c r="H16" s="153">
        <v>0.0</v>
      </c>
      <c r="I16" s="153">
        <v>0.0</v>
      </c>
      <c r="J16" s="153">
        <v>0.0</v>
      </c>
      <c r="K16" s="153">
        <v>0.0</v>
      </c>
      <c r="L16" s="153">
        <v>0.0</v>
      </c>
      <c r="M16" s="154">
        <v>0.5</v>
      </c>
      <c r="N16" s="153">
        <v>1.0</v>
      </c>
      <c r="O16" s="153">
        <v>0.75</v>
      </c>
      <c r="P16" s="155">
        <v>0.0</v>
      </c>
      <c r="Q16" s="153">
        <v>1.0</v>
      </c>
      <c r="R16" s="153">
        <v>0.5</v>
      </c>
      <c r="S16" s="153">
        <v>0.9</v>
      </c>
      <c r="T16" s="153">
        <v>0.75</v>
      </c>
      <c r="U16" s="153">
        <v>1.0</v>
      </c>
      <c r="V16" s="153">
        <v>0.75</v>
      </c>
      <c r="W16" s="154">
        <v>0.0</v>
      </c>
      <c r="X16" s="153">
        <v>0.0</v>
      </c>
      <c r="Y16" s="153">
        <v>0.0</v>
      </c>
      <c r="Z16" s="156">
        <v>0.0</v>
      </c>
      <c r="AA16" s="153">
        <v>0.0</v>
      </c>
      <c r="AB16" s="153">
        <v>0.0</v>
      </c>
      <c r="AC16" s="153">
        <v>0.0</v>
      </c>
      <c r="AD16" s="153">
        <v>0.0</v>
      </c>
      <c r="AE16" s="153">
        <v>0.0</v>
      </c>
      <c r="AF16" s="153">
        <v>0.0</v>
      </c>
      <c r="AG16" s="154">
        <v>0.0</v>
      </c>
      <c r="AH16" s="153">
        <v>0.0</v>
      </c>
      <c r="AI16" s="153">
        <v>0.0</v>
      </c>
      <c r="AJ16" s="156">
        <v>0.0</v>
      </c>
      <c r="AK16" s="153">
        <v>0.0</v>
      </c>
      <c r="AL16" s="153">
        <v>0.0</v>
      </c>
      <c r="AM16" s="153">
        <v>0.0</v>
      </c>
      <c r="AN16" s="153">
        <v>0.0</v>
      </c>
      <c r="AO16" s="153">
        <v>0.0</v>
      </c>
      <c r="AP16" s="153">
        <v>0.0</v>
      </c>
      <c r="AQ16" s="154">
        <v>0.0</v>
      </c>
      <c r="AR16" s="153">
        <v>0.0</v>
      </c>
      <c r="AS16" s="153">
        <v>0.0</v>
      </c>
      <c r="AT16" s="156">
        <v>0.0</v>
      </c>
      <c r="AU16" s="153">
        <v>0.25</v>
      </c>
      <c r="AV16" s="153">
        <v>0.0</v>
      </c>
      <c r="AW16" s="153">
        <v>0.1</v>
      </c>
      <c r="AX16" s="153">
        <v>0.0</v>
      </c>
      <c r="AY16" s="153">
        <v>0.0</v>
      </c>
      <c r="AZ16" s="153">
        <v>0.0</v>
      </c>
      <c r="BA16" s="154">
        <v>0.0</v>
      </c>
      <c r="BB16" s="153">
        <v>0.0</v>
      </c>
      <c r="BC16" s="153">
        <v>0.0</v>
      </c>
      <c r="BD16" s="156">
        <v>0.0</v>
      </c>
      <c r="BE16" s="153">
        <v>0.0</v>
      </c>
      <c r="BF16" s="153">
        <v>0.0</v>
      </c>
      <c r="BG16" s="153">
        <v>0.0</v>
      </c>
      <c r="BH16" s="153">
        <v>0.0</v>
      </c>
      <c r="BI16" s="153">
        <v>0.0</v>
      </c>
      <c r="BJ16" s="153">
        <v>0.0</v>
      </c>
      <c r="BK16" s="154">
        <v>0.0</v>
      </c>
      <c r="BL16" s="153">
        <v>0.0</v>
      </c>
      <c r="BM16" s="153">
        <v>0.0</v>
      </c>
      <c r="BN16" s="156">
        <v>0.0</v>
      </c>
      <c r="BO16" s="153">
        <v>0.0</v>
      </c>
      <c r="BP16" s="153">
        <v>0.0</v>
      </c>
      <c r="BQ16" s="153">
        <v>0.0</v>
      </c>
      <c r="BR16" s="153">
        <v>0.0</v>
      </c>
      <c r="BS16" s="153">
        <v>0.0</v>
      </c>
      <c r="BT16" s="153">
        <v>0.0</v>
      </c>
      <c r="BU16" s="154">
        <v>0.0</v>
      </c>
      <c r="BV16" s="153">
        <v>0.0</v>
      </c>
      <c r="BW16" s="153">
        <v>0.0</v>
      </c>
      <c r="BX16" s="156">
        <v>0.0</v>
      </c>
      <c r="BY16" s="153">
        <v>0.0</v>
      </c>
      <c r="BZ16" s="153">
        <v>0.0</v>
      </c>
      <c r="CA16" s="153">
        <v>0.0</v>
      </c>
      <c r="CB16" s="153">
        <v>0.0</v>
      </c>
      <c r="CC16" s="153">
        <v>0.0</v>
      </c>
      <c r="CD16" s="153">
        <v>0.0</v>
      </c>
      <c r="CE16" s="154">
        <v>0.0</v>
      </c>
      <c r="CF16" s="153">
        <v>0.25</v>
      </c>
      <c r="CG16" s="153">
        <v>0.0</v>
      </c>
      <c r="CH16" s="156">
        <v>0.0625</v>
      </c>
      <c r="CI16" s="153">
        <v>0.25</v>
      </c>
      <c r="CJ16" s="153">
        <v>0.0</v>
      </c>
      <c r="CK16" s="153">
        <v>0.1</v>
      </c>
      <c r="CL16" s="153">
        <v>0.0</v>
      </c>
      <c r="CM16" s="153">
        <v>0.0</v>
      </c>
      <c r="CN16" s="153">
        <v>0.0</v>
      </c>
      <c r="CO16" s="154">
        <v>0.0</v>
      </c>
      <c r="CP16" s="153">
        <v>0.0</v>
      </c>
      <c r="CQ16" s="153">
        <v>0.0</v>
      </c>
      <c r="CR16" s="156">
        <v>0.0625</v>
      </c>
      <c r="CS16" s="153">
        <v>0.0</v>
      </c>
      <c r="CT16" s="153">
        <v>0.0</v>
      </c>
      <c r="CU16" s="153">
        <v>0.1</v>
      </c>
      <c r="CV16" s="153">
        <v>0.25</v>
      </c>
      <c r="CW16" s="153">
        <v>0.0</v>
      </c>
      <c r="CX16" s="153">
        <v>0.0</v>
      </c>
    </row>
    <row r="17" ht="35.25" customHeight="1">
      <c r="B17" s="167" t="s">
        <v>2959</v>
      </c>
      <c r="C17" s="154">
        <v>0.0</v>
      </c>
      <c r="D17" s="153">
        <v>0.0</v>
      </c>
      <c r="E17" s="153">
        <v>0.0</v>
      </c>
      <c r="F17" s="153">
        <v>0.0</v>
      </c>
      <c r="G17" s="156">
        <v>0.0</v>
      </c>
      <c r="H17" s="153">
        <v>0.0</v>
      </c>
      <c r="I17" s="153">
        <v>0.0</v>
      </c>
      <c r="J17" s="153">
        <v>0.0</v>
      </c>
      <c r="K17" s="153">
        <v>0.0</v>
      </c>
      <c r="L17" s="153">
        <v>0.0</v>
      </c>
      <c r="M17" s="154">
        <v>0.7</v>
      </c>
      <c r="N17" s="153">
        <v>1.0</v>
      </c>
      <c r="O17" s="153">
        <v>0.75</v>
      </c>
      <c r="P17" s="153">
        <v>1.0</v>
      </c>
      <c r="Q17" s="155">
        <v>0.0</v>
      </c>
      <c r="R17" s="153">
        <v>0.8333333333333334</v>
      </c>
      <c r="S17" s="153">
        <v>0.75</v>
      </c>
      <c r="T17" s="153">
        <v>0.9</v>
      </c>
      <c r="U17" s="153">
        <v>0.8333333333333334</v>
      </c>
      <c r="V17" s="153">
        <v>0.75</v>
      </c>
      <c r="W17" s="154">
        <v>0.1</v>
      </c>
      <c r="X17" s="153">
        <v>0.0</v>
      </c>
      <c r="Y17" s="153">
        <v>0.0</v>
      </c>
      <c r="Z17" s="153">
        <v>0.0</v>
      </c>
      <c r="AA17" s="156">
        <v>0.05555555555555555</v>
      </c>
      <c r="AB17" s="153">
        <v>0.16666666666666666</v>
      </c>
      <c r="AC17" s="153">
        <v>0.0</v>
      </c>
      <c r="AD17" s="153">
        <v>0.0</v>
      </c>
      <c r="AE17" s="153">
        <v>0.0</v>
      </c>
      <c r="AF17" s="153">
        <v>0.25</v>
      </c>
      <c r="AG17" s="154">
        <v>0.0</v>
      </c>
      <c r="AH17" s="153">
        <v>0.0</v>
      </c>
      <c r="AI17" s="153">
        <v>0.0</v>
      </c>
      <c r="AJ17" s="153">
        <v>0.0</v>
      </c>
      <c r="AK17" s="156">
        <v>0.0</v>
      </c>
      <c r="AL17" s="153">
        <v>0.0</v>
      </c>
      <c r="AM17" s="153">
        <v>0.0</v>
      </c>
      <c r="AN17" s="153">
        <v>0.0</v>
      </c>
      <c r="AO17" s="153">
        <v>0.0</v>
      </c>
      <c r="AP17" s="153">
        <v>0.0</v>
      </c>
      <c r="AQ17" s="154">
        <v>0.0</v>
      </c>
      <c r="AR17" s="153">
        <v>0.0</v>
      </c>
      <c r="AS17" s="153">
        <v>0.0</v>
      </c>
      <c r="AT17" s="153">
        <v>0.0</v>
      </c>
      <c r="AU17" s="156">
        <v>0.05555555555555555</v>
      </c>
      <c r="AV17" s="153">
        <v>0.0</v>
      </c>
      <c r="AW17" s="153">
        <v>0.25</v>
      </c>
      <c r="AX17" s="153">
        <v>0.0</v>
      </c>
      <c r="AY17" s="153">
        <v>0.0</v>
      </c>
      <c r="AZ17" s="153">
        <v>0.0</v>
      </c>
      <c r="BA17" s="154">
        <v>0.0</v>
      </c>
      <c r="BB17" s="153">
        <v>0.0</v>
      </c>
      <c r="BC17" s="153">
        <v>0.0</v>
      </c>
      <c r="BD17" s="153">
        <v>0.0</v>
      </c>
      <c r="BE17" s="156">
        <v>0.0</v>
      </c>
      <c r="BF17" s="153">
        <v>0.0</v>
      </c>
      <c r="BG17" s="153">
        <v>0.0</v>
      </c>
      <c r="BH17" s="153">
        <v>0.0</v>
      </c>
      <c r="BI17" s="153">
        <v>0.0</v>
      </c>
      <c r="BJ17" s="153">
        <v>0.0</v>
      </c>
      <c r="BK17" s="154">
        <v>0.0</v>
      </c>
      <c r="BL17" s="153">
        <v>0.0</v>
      </c>
      <c r="BM17" s="153">
        <v>0.0</v>
      </c>
      <c r="BN17" s="153">
        <v>0.0</v>
      </c>
      <c r="BO17" s="156">
        <v>0.0</v>
      </c>
      <c r="BP17" s="153">
        <v>0.0</v>
      </c>
      <c r="BQ17" s="153">
        <v>0.0</v>
      </c>
      <c r="BR17" s="153">
        <v>0.0</v>
      </c>
      <c r="BS17" s="153">
        <v>0.0</v>
      </c>
      <c r="BT17" s="153">
        <v>0.0</v>
      </c>
      <c r="BU17" s="154">
        <v>0.0</v>
      </c>
      <c r="BV17" s="153">
        <v>0.0</v>
      </c>
      <c r="BW17" s="153">
        <v>0.0</v>
      </c>
      <c r="BX17" s="153">
        <v>0.0</v>
      </c>
      <c r="BY17" s="156">
        <v>0.0</v>
      </c>
      <c r="BZ17" s="153">
        <v>0.0</v>
      </c>
      <c r="CA17" s="153">
        <v>0.0</v>
      </c>
      <c r="CB17" s="153">
        <v>0.0</v>
      </c>
      <c r="CC17" s="153">
        <v>0.0</v>
      </c>
      <c r="CD17" s="153">
        <v>0.0</v>
      </c>
      <c r="CE17" s="154">
        <v>0.0</v>
      </c>
      <c r="CF17" s="153">
        <v>0.16666666666666666</v>
      </c>
      <c r="CG17" s="153">
        <v>0.0</v>
      </c>
      <c r="CH17" s="153">
        <v>0.25</v>
      </c>
      <c r="CI17" s="156">
        <v>0.05555555555555555</v>
      </c>
      <c r="CJ17" s="153">
        <v>0.0</v>
      </c>
      <c r="CK17" s="153">
        <v>0.25</v>
      </c>
      <c r="CL17" s="153">
        <v>0.0</v>
      </c>
      <c r="CM17" s="153">
        <v>0.0</v>
      </c>
      <c r="CN17" s="153">
        <v>0.0</v>
      </c>
      <c r="CO17" s="154">
        <v>0.0</v>
      </c>
      <c r="CP17" s="153">
        <v>0.0</v>
      </c>
      <c r="CQ17" s="153">
        <v>0.0</v>
      </c>
      <c r="CR17" s="153">
        <v>0.0</v>
      </c>
      <c r="CS17" s="156">
        <v>0.0</v>
      </c>
      <c r="CT17" s="153">
        <v>0.0</v>
      </c>
      <c r="CU17" s="153">
        <v>0.0</v>
      </c>
      <c r="CV17" s="153">
        <v>0.0</v>
      </c>
      <c r="CW17" s="153">
        <v>0.0</v>
      </c>
      <c r="CX17" s="153">
        <v>0.0</v>
      </c>
    </row>
    <row r="18" ht="35.25" customHeight="1">
      <c r="B18" s="167" t="s">
        <v>2960</v>
      </c>
      <c r="C18" s="154">
        <v>0.0</v>
      </c>
      <c r="D18" s="153">
        <v>0.0</v>
      </c>
      <c r="E18" s="153">
        <v>0.0</v>
      </c>
      <c r="F18" s="153">
        <v>0.0</v>
      </c>
      <c r="G18" s="153">
        <v>0.0</v>
      </c>
      <c r="H18" s="156">
        <v>0.0</v>
      </c>
      <c r="I18" s="153">
        <v>0.0</v>
      </c>
      <c r="J18" s="153">
        <v>0.0</v>
      </c>
      <c r="K18" s="153">
        <v>0.0</v>
      </c>
      <c r="L18" s="153">
        <v>0.0</v>
      </c>
      <c r="M18" s="154">
        <v>0.7</v>
      </c>
      <c r="N18" s="153">
        <v>1.0</v>
      </c>
      <c r="O18" s="153">
        <v>0.25</v>
      </c>
      <c r="P18" s="153">
        <v>0.5</v>
      </c>
      <c r="Q18" s="153">
        <v>0.8333333333333334</v>
      </c>
      <c r="R18" s="155">
        <v>0.0</v>
      </c>
      <c r="S18" s="153">
        <v>1.0</v>
      </c>
      <c r="T18" s="153">
        <v>0.8333333333333334</v>
      </c>
      <c r="U18" s="153">
        <v>0.75</v>
      </c>
      <c r="V18" s="153">
        <v>0.75</v>
      </c>
      <c r="W18" s="154">
        <v>0.1</v>
      </c>
      <c r="X18" s="153">
        <v>0.0</v>
      </c>
      <c r="Y18" s="153">
        <v>0.0</v>
      </c>
      <c r="Z18" s="153">
        <v>0.0</v>
      </c>
      <c r="AA18" s="153">
        <v>0.16666666666666666</v>
      </c>
      <c r="AB18" s="156">
        <v>0.0625</v>
      </c>
      <c r="AC18" s="153">
        <v>0.0</v>
      </c>
      <c r="AD18" s="153">
        <v>0.0</v>
      </c>
      <c r="AE18" s="153">
        <v>0.0</v>
      </c>
      <c r="AF18" s="153">
        <v>0.25</v>
      </c>
      <c r="AG18" s="154">
        <v>0.0</v>
      </c>
      <c r="AH18" s="153">
        <v>0.0</v>
      </c>
      <c r="AI18" s="153">
        <v>0.0</v>
      </c>
      <c r="AJ18" s="153">
        <v>0.0</v>
      </c>
      <c r="AK18" s="153">
        <v>0.0</v>
      </c>
      <c r="AL18" s="156">
        <v>0.0</v>
      </c>
      <c r="AM18" s="153">
        <v>0.0</v>
      </c>
      <c r="AN18" s="153">
        <v>0.0</v>
      </c>
      <c r="AO18" s="153">
        <v>0.0</v>
      </c>
      <c r="AP18" s="153">
        <v>0.0</v>
      </c>
      <c r="AQ18" s="154">
        <v>0.0</v>
      </c>
      <c r="AR18" s="153">
        <v>0.0</v>
      </c>
      <c r="AS18" s="153">
        <v>0.0</v>
      </c>
      <c r="AT18" s="153">
        <v>0.0</v>
      </c>
      <c r="AU18" s="153">
        <v>0.0</v>
      </c>
      <c r="AV18" s="156">
        <v>0.0625</v>
      </c>
      <c r="AW18" s="153">
        <v>0.0</v>
      </c>
      <c r="AX18" s="153">
        <v>0.0</v>
      </c>
      <c r="AY18" s="153">
        <v>0.0</v>
      </c>
      <c r="AZ18" s="153">
        <v>0.0</v>
      </c>
      <c r="BA18" s="154">
        <v>0.0</v>
      </c>
      <c r="BB18" s="153">
        <v>0.0</v>
      </c>
      <c r="BC18" s="153">
        <v>0.0</v>
      </c>
      <c r="BD18" s="153">
        <v>0.0</v>
      </c>
      <c r="BE18" s="153">
        <v>0.0</v>
      </c>
      <c r="BF18" s="156">
        <v>0.0</v>
      </c>
      <c r="BG18" s="153">
        <v>0.0</v>
      </c>
      <c r="BH18" s="153">
        <v>0.0</v>
      </c>
      <c r="BI18" s="153">
        <v>0.0</v>
      </c>
      <c r="BJ18" s="153">
        <v>0.0</v>
      </c>
      <c r="BK18" s="154">
        <v>0.0</v>
      </c>
      <c r="BL18" s="153">
        <v>0.0</v>
      </c>
      <c r="BM18" s="153">
        <v>0.0</v>
      </c>
      <c r="BN18" s="153">
        <v>0.0</v>
      </c>
      <c r="BO18" s="153">
        <v>0.0</v>
      </c>
      <c r="BP18" s="156">
        <v>0.0</v>
      </c>
      <c r="BQ18" s="153">
        <v>0.0</v>
      </c>
      <c r="BR18" s="153">
        <v>0.0</v>
      </c>
      <c r="BS18" s="153">
        <v>0.0</v>
      </c>
      <c r="BT18" s="153">
        <v>0.0</v>
      </c>
      <c r="BU18" s="154">
        <v>0.0</v>
      </c>
      <c r="BV18" s="153">
        <v>0.0</v>
      </c>
      <c r="BW18" s="153">
        <v>0.0</v>
      </c>
      <c r="BX18" s="153">
        <v>0.0</v>
      </c>
      <c r="BY18" s="153">
        <v>0.0</v>
      </c>
      <c r="BZ18" s="156">
        <v>0.0</v>
      </c>
      <c r="CA18" s="153">
        <v>0.0</v>
      </c>
      <c r="CB18" s="153">
        <v>0.0</v>
      </c>
      <c r="CC18" s="153">
        <v>0.0</v>
      </c>
      <c r="CD18" s="153">
        <v>0.0</v>
      </c>
      <c r="CE18" s="154">
        <v>0.0</v>
      </c>
      <c r="CF18" s="153">
        <v>0.0</v>
      </c>
      <c r="CG18" s="153">
        <v>0.0</v>
      </c>
      <c r="CH18" s="153">
        <v>0.0</v>
      </c>
      <c r="CI18" s="153">
        <v>0.0</v>
      </c>
      <c r="CJ18" s="156">
        <v>0.0</v>
      </c>
      <c r="CK18" s="153">
        <v>0.0</v>
      </c>
      <c r="CL18" s="153">
        <v>0.0</v>
      </c>
      <c r="CM18" s="153">
        <v>0.0</v>
      </c>
      <c r="CN18" s="153">
        <v>0.0</v>
      </c>
      <c r="CO18" s="154">
        <v>0.0</v>
      </c>
      <c r="CP18" s="153">
        <v>0.0</v>
      </c>
      <c r="CQ18" s="153">
        <v>0.0</v>
      </c>
      <c r="CR18" s="153">
        <v>0.0</v>
      </c>
      <c r="CS18" s="153">
        <v>0.0</v>
      </c>
      <c r="CT18" s="156">
        <v>0.0</v>
      </c>
      <c r="CU18" s="153">
        <v>0.0</v>
      </c>
      <c r="CV18" s="153">
        <v>0.0</v>
      </c>
      <c r="CW18" s="153">
        <v>0.0</v>
      </c>
      <c r="CX18" s="153">
        <v>0.0</v>
      </c>
    </row>
    <row r="19" ht="35.25" customHeight="1">
      <c r="B19" s="167" t="s">
        <v>2961</v>
      </c>
      <c r="C19" s="154">
        <v>0.0</v>
      </c>
      <c r="D19" s="153">
        <v>0.0</v>
      </c>
      <c r="E19" s="153">
        <v>0.0</v>
      </c>
      <c r="F19" s="153">
        <v>0.0</v>
      </c>
      <c r="G19" s="153">
        <v>0.0</v>
      </c>
      <c r="H19" s="153">
        <v>0.0</v>
      </c>
      <c r="I19" s="156">
        <v>0.0</v>
      </c>
      <c r="J19" s="153">
        <v>0.0</v>
      </c>
      <c r="K19" s="153">
        <v>0.0</v>
      </c>
      <c r="L19" s="153">
        <v>0.0</v>
      </c>
      <c r="M19" s="154">
        <v>0.75</v>
      </c>
      <c r="N19" s="153">
        <v>1.0</v>
      </c>
      <c r="O19" s="153">
        <v>0.875</v>
      </c>
      <c r="P19" s="153">
        <v>0.9</v>
      </c>
      <c r="Q19" s="153">
        <v>0.75</v>
      </c>
      <c r="R19" s="153">
        <v>1.0</v>
      </c>
      <c r="S19" s="155">
        <v>0.0</v>
      </c>
      <c r="T19" s="153">
        <v>1.0</v>
      </c>
      <c r="U19" s="153">
        <v>1.0</v>
      </c>
      <c r="V19" s="153">
        <v>1.0</v>
      </c>
      <c r="W19" s="154">
        <v>0.0</v>
      </c>
      <c r="X19" s="153">
        <v>0.0</v>
      </c>
      <c r="Y19" s="153">
        <v>0.0</v>
      </c>
      <c r="Z19" s="153">
        <v>0.0</v>
      </c>
      <c r="AA19" s="153">
        <v>0.0</v>
      </c>
      <c r="AB19" s="153">
        <v>0.0</v>
      </c>
      <c r="AC19" s="156">
        <v>0.0</v>
      </c>
      <c r="AD19" s="153">
        <v>0.0</v>
      </c>
      <c r="AE19" s="153">
        <v>0.0</v>
      </c>
      <c r="AF19" s="153">
        <v>0.0</v>
      </c>
      <c r="AG19" s="154">
        <v>0.0</v>
      </c>
      <c r="AH19" s="153">
        <v>0.0</v>
      </c>
      <c r="AI19" s="153">
        <v>0.0</v>
      </c>
      <c r="AJ19" s="153">
        <v>0.0</v>
      </c>
      <c r="AK19" s="153">
        <v>0.0</v>
      </c>
      <c r="AL19" s="153">
        <v>0.0</v>
      </c>
      <c r="AM19" s="156">
        <v>0.0</v>
      </c>
      <c r="AN19" s="153">
        <v>0.0</v>
      </c>
      <c r="AO19" s="153">
        <v>0.0</v>
      </c>
      <c r="AP19" s="153">
        <v>0.0</v>
      </c>
      <c r="AQ19" s="154">
        <v>0.0</v>
      </c>
      <c r="AR19" s="153">
        <v>0.0</v>
      </c>
      <c r="AS19" s="153">
        <v>0.0</v>
      </c>
      <c r="AT19" s="153">
        <v>0.0</v>
      </c>
      <c r="AU19" s="153">
        <v>0.25</v>
      </c>
      <c r="AV19" s="153">
        <v>0.25</v>
      </c>
      <c r="AW19" s="156">
        <v>0.125</v>
      </c>
      <c r="AX19" s="153">
        <v>0.0</v>
      </c>
      <c r="AY19" s="153">
        <v>0.0</v>
      </c>
      <c r="AZ19" s="153">
        <v>0.0</v>
      </c>
      <c r="BA19" s="154">
        <v>0.0</v>
      </c>
      <c r="BB19" s="153">
        <v>0.0</v>
      </c>
      <c r="BC19" s="153">
        <v>0.0</v>
      </c>
      <c r="BD19" s="153">
        <v>0.0</v>
      </c>
      <c r="BE19" s="153">
        <v>0.0</v>
      </c>
      <c r="BF19" s="153">
        <v>0.0</v>
      </c>
      <c r="BG19" s="156">
        <v>0.0</v>
      </c>
      <c r="BH19" s="153">
        <v>0.0</v>
      </c>
      <c r="BI19" s="153">
        <v>0.0</v>
      </c>
      <c r="BJ19" s="153">
        <v>0.0</v>
      </c>
      <c r="BK19" s="154">
        <v>0.0</v>
      </c>
      <c r="BL19" s="153">
        <v>0.0</v>
      </c>
      <c r="BM19" s="153">
        <v>0.0</v>
      </c>
      <c r="BN19" s="153">
        <v>0.0</v>
      </c>
      <c r="BO19" s="153">
        <v>0.0</v>
      </c>
      <c r="BP19" s="153">
        <v>0.0</v>
      </c>
      <c r="BQ19" s="156">
        <v>0.0</v>
      </c>
      <c r="BR19" s="153">
        <v>0.0</v>
      </c>
      <c r="BS19" s="153">
        <v>0.0</v>
      </c>
      <c r="BT19" s="153">
        <v>0.0</v>
      </c>
      <c r="BU19" s="154">
        <v>0.0</v>
      </c>
      <c r="BV19" s="153">
        <v>0.0</v>
      </c>
      <c r="BW19" s="153">
        <v>0.125</v>
      </c>
      <c r="BX19" s="153">
        <v>0.0</v>
      </c>
      <c r="BY19" s="153">
        <v>0.0</v>
      </c>
      <c r="BZ19" s="153">
        <v>0.0</v>
      </c>
      <c r="CA19" s="156">
        <v>0.0</v>
      </c>
      <c r="CB19" s="153">
        <v>0.0</v>
      </c>
      <c r="CC19" s="153">
        <v>0.0</v>
      </c>
      <c r="CD19" s="153">
        <v>0.0</v>
      </c>
      <c r="CE19" s="154">
        <v>0.0</v>
      </c>
      <c r="CF19" s="153">
        <v>0.16666666666666666</v>
      </c>
      <c r="CG19" s="153">
        <v>0.0</v>
      </c>
      <c r="CH19" s="153">
        <v>0.2</v>
      </c>
      <c r="CI19" s="153">
        <v>0.25</v>
      </c>
      <c r="CJ19" s="153">
        <v>0.0</v>
      </c>
      <c r="CK19" s="156">
        <v>0.125</v>
      </c>
      <c r="CL19" s="153">
        <v>0.25</v>
      </c>
      <c r="CM19" s="153">
        <v>0.0</v>
      </c>
      <c r="CN19" s="153">
        <v>0.0</v>
      </c>
      <c r="CO19" s="154">
        <v>0.0</v>
      </c>
      <c r="CP19" s="153">
        <v>0.0</v>
      </c>
      <c r="CQ19" s="153">
        <v>0.0</v>
      </c>
      <c r="CR19" s="153">
        <v>0.0</v>
      </c>
      <c r="CS19" s="153">
        <v>0.0</v>
      </c>
      <c r="CT19" s="153">
        <v>0.0</v>
      </c>
      <c r="CU19" s="156">
        <v>0.0</v>
      </c>
      <c r="CV19" s="153">
        <v>0.0</v>
      </c>
      <c r="CW19" s="153">
        <v>0.0</v>
      </c>
      <c r="CX19" s="153">
        <v>0.0</v>
      </c>
    </row>
    <row r="20" ht="35.25" customHeight="1">
      <c r="B20" s="167" t="s">
        <v>2962</v>
      </c>
      <c r="C20" s="154">
        <v>0.0</v>
      </c>
      <c r="D20" s="153">
        <v>0.0</v>
      </c>
      <c r="E20" s="153">
        <v>0.0</v>
      </c>
      <c r="F20" s="153">
        <v>0.0</v>
      </c>
      <c r="G20" s="153">
        <v>0.0</v>
      </c>
      <c r="H20" s="153">
        <v>0.0</v>
      </c>
      <c r="I20" s="153">
        <v>0.0</v>
      </c>
      <c r="J20" s="156">
        <v>0.0</v>
      </c>
      <c r="K20" s="153">
        <v>0.0</v>
      </c>
      <c r="L20" s="153">
        <v>0.0</v>
      </c>
      <c r="M20" s="154">
        <v>0.75</v>
      </c>
      <c r="N20" s="153">
        <v>1.0</v>
      </c>
      <c r="O20" s="153">
        <v>1.0</v>
      </c>
      <c r="P20" s="153">
        <v>0.75</v>
      </c>
      <c r="Q20" s="153">
        <v>0.9</v>
      </c>
      <c r="R20" s="153">
        <v>0.8333333333333334</v>
      </c>
      <c r="S20" s="153">
        <v>1.0</v>
      </c>
      <c r="T20" s="155">
        <v>0.0</v>
      </c>
      <c r="U20" s="153">
        <v>0.75</v>
      </c>
      <c r="V20" s="153">
        <v>0.8333333333333334</v>
      </c>
      <c r="W20" s="154">
        <v>0.0</v>
      </c>
      <c r="X20" s="153">
        <v>0.0</v>
      </c>
      <c r="Y20" s="153">
        <v>0.0</v>
      </c>
      <c r="Z20" s="153">
        <v>0.0</v>
      </c>
      <c r="AA20" s="153">
        <v>0.0</v>
      </c>
      <c r="AB20" s="153">
        <v>0.0</v>
      </c>
      <c r="AC20" s="153">
        <v>0.0</v>
      </c>
      <c r="AD20" s="156">
        <v>0.0</v>
      </c>
      <c r="AE20" s="153">
        <v>0.0</v>
      </c>
      <c r="AF20" s="153">
        <v>0.0</v>
      </c>
      <c r="AG20" s="154">
        <v>0.0</v>
      </c>
      <c r="AH20" s="153">
        <v>0.0</v>
      </c>
      <c r="AI20" s="153">
        <v>0.0</v>
      </c>
      <c r="AJ20" s="153">
        <v>0.0</v>
      </c>
      <c r="AK20" s="153">
        <v>0.0</v>
      </c>
      <c r="AL20" s="153">
        <v>0.0</v>
      </c>
      <c r="AM20" s="153">
        <v>0.0</v>
      </c>
      <c r="AN20" s="156">
        <v>0.0</v>
      </c>
      <c r="AO20" s="153">
        <v>0.0</v>
      </c>
      <c r="AP20" s="153">
        <v>0.0</v>
      </c>
      <c r="AQ20" s="154">
        <v>0.0</v>
      </c>
      <c r="AR20" s="153">
        <v>0.0</v>
      </c>
      <c r="AS20" s="153">
        <v>0.0</v>
      </c>
      <c r="AT20" s="153">
        <v>0.0</v>
      </c>
      <c r="AU20" s="153">
        <v>0.0</v>
      </c>
      <c r="AV20" s="153">
        <v>0.0</v>
      </c>
      <c r="AW20" s="153">
        <v>0.0</v>
      </c>
      <c r="AX20" s="156">
        <v>0.0</v>
      </c>
      <c r="AY20" s="153">
        <v>0.0</v>
      </c>
      <c r="AZ20" s="153">
        <v>0.0</v>
      </c>
      <c r="BA20" s="154">
        <v>0.0</v>
      </c>
      <c r="BB20" s="153">
        <v>0.0</v>
      </c>
      <c r="BC20" s="153">
        <v>0.0</v>
      </c>
      <c r="BD20" s="153">
        <v>0.0</v>
      </c>
      <c r="BE20" s="153">
        <v>0.0</v>
      </c>
      <c r="BF20" s="153">
        <v>0.0</v>
      </c>
      <c r="BG20" s="153">
        <v>0.0</v>
      </c>
      <c r="BH20" s="156">
        <v>0.0</v>
      </c>
      <c r="BI20" s="153">
        <v>0.0</v>
      </c>
      <c r="BJ20" s="153">
        <v>0.0</v>
      </c>
      <c r="BK20" s="154">
        <v>0.0</v>
      </c>
      <c r="BL20" s="153">
        <v>0.0</v>
      </c>
      <c r="BM20" s="153">
        <v>0.0</v>
      </c>
      <c r="BN20" s="153">
        <v>0.0</v>
      </c>
      <c r="BO20" s="153">
        <v>0.0</v>
      </c>
      <c r="BP20" s="153">
        <v>0.0</v>
      </c>
      <c r="BQ20" s="153">
        <v>0.0</v>
      </c>
      <c r="BR20" s="156">
        <v>0.0</v>
      </c>
      <c r="BS20" s="153">
        <v>0.0</v>
      </c>
      <c r="BT20" s="153">
        <v>0.0</v>
      </c>
      <c r="BU20" s="154">
        <v>0.0</v>
      </c>
      <c r="BV20" s="153">
        <v>0.0</v>
      </c>
      <c r="BW20" s="153">
        <v>0.0</v>
      </c>
      <c r="BX20" s="153">
        <v>0.0</v>
      </c>
      <c r="BY20" s="153">
        <v>0.0</v>
      </c>
      <c r="BZ20" s="153">
        <v>0.0</v>
      </c>
      <c r="CA20" s="153">
        <v>0.0</v>
      </c>
      <c r="CB20" s="156">
        <v>0.0</v>
      </c>
      <c r="CC20" s="153">
        <v>0.0</v>
      </c>
      <c r="CD20" s="153">
        <v>0.0</v>
      </c>
      <c r="CE20" s="154">
        <v>0.0</v>
      </c>
      <c r="CF20" s="153">
        <v>0.0</v>
      </c>
      <c r="CG20" s="153">
        <v>0.0</v>
      </c>
      <c r="CH20" s="153">
        <v>0.25</v>
      </c>
      <c r="CI20" s="153">
        <v>0.0</v>
      </c>
      <c r="CJ20" s="153">
        <v>0.0</v>
      </c>
      <c r="CK20" s="153">
        <v>0.25</v>
      </c>
      <c r="CL20" s="156">
        <v>0.0625</v>
      </c>
      <c r="CM20" s="153">
        <v>0.0</v>
      </c>
      <c r="CN20" s="153">
        <v>0.0</v>
      </c>
      <c r="CO20" s="154">
        <v>0.0</v>
      </c>
      <c r="CP20" s="153">
        <v>0.0</v>
      </c>
      <c r="CQ20" s="153">
        <v>0.0</v>
      </c>
      <c r="CR20" s="153">
        <v>0.0</v>
      </c>
      <c r="CS20" s="153">
        <v>0.0</v>
      </c>
      <c r="CT20" s="153">
        <v>0.0</v>
      </c>
      <c r="CU20" s="153">
        <v>0.0</v>
      </c>
      <c r="CV20" s="156">
        <v>0.0</v>
      </c>
      <c r="CW20" s="153">
        <v>0.0</v>
      </c>
      <c r="CX20" s="153">
        <v>0.0</v>
      </c>
    </row>
    <row r="21" ht="35.25" customHeight="1">
      <c r="B21" s="167" t="s">
        <v>2963</v>
      </c>
      <c r="C21" s="154">
        <v>0.0</v>
      </c>
      <c r="D21" s="153">
        <v>0.0</v>
      </c>
      <c r="E21" s="153">
        <v>0.0</v>
      </c>
      <c r="F21" s="153">
        <v>0.0</v>
      </c>
      <c r="G21" s="153">
        <v>0.0</v>
      </c>
      <c r="H21" s="153">
        <v>0.0</v>
      </c>
      <c r="I21" s="153">
        <v>0.0</v>
      </c>
      <c r="J21" s="153">
        <v>0.0</v>
      </c>
      <c r="K21" s="156">
        <v>0.0</v>
      </c>
      <c r="L21" s="153">
        <v>0.0</v>
      </c>
      <c r="M21" s="154">
        <v>0.9</v>
      </c>
      <c r="N21" s="153">
        <v>1.0</v>
      </c>
      <c r="O21" s="153">
        <v>0.75</v>
      </c>
      <c r="P21" s="153">
        <v>1.0</v>
      </c>
      <c r="Q21" s="153">
        <v>0.8333333333333334</v>
      </c>
      <c r="R21" s="153">
        <v>1.0</v>
      </c>
      <c r="S21" s="153">
        <v>1.0</v>
      </c>
      <c r="T21" s="153">
        <v>0.75</v>
      </c>
      <c r="U21" s="155">
        <v>0.0</v>
      </c>
      <c r="V21" s="153">
        <v>1.0</v>
      </c>
      <c r="W21" s="154">
        <v>0.0</v>
      </c>
      <c r="X21" s="153">
        <v>0.0</v>
      </c>
      <c r="Y21" s="153">
        <v>0.0</v>
      </c>
      <c r="Z21" s="153">
        <v>0.0</v>
      </c>
      <c r="AA21" s="153">
        <v>0.0</v>
      </c>
      <c r="AB21" s="153">
        <v>0.0</v>
      </c>
      <c r="AC21" s="153">
        <v>0.0</v>
      </c>
      <c r="AD21" s="153">
        <v>0.0</v>
      </c>
      <c r="AE21" s="156">
        <v>0.0</v>
      </c>
      <c r="AF21" s="153">
        <v>0.0</v>
      </c>
      <c r="AG21" s="154">
        <v>0.0</v>
      </c>
      <c r="AH21" s="153">
        <v>0.0</v>
      </c>
      <c r="AI21" s="153">
        <v>0.0</v>
      </c>
      <c r="AJ21" s="153">
        <v>0.0</v>
      </c>
      <c r="AK21" s="153">
        <v>0.0</v>
      </c>
      <c r="AL21" s="153">
        <v>0.0</v>
      </c>
      <c r="AM21" s="153">
        <v>0.0</v>
      </c>
      <c r="AN21" s="153">
        <v>0.0</v>
      </c>
      <c r="AO21" s="156">
        <v>0.0</v>
      </c>
      <c r="AP21" s="153">
        <v>0.0</v>
      </c>
      <c r="AQ21" s="154">
        <v>0.0</v>
      </c>
      <c r="AR21" s="153">
        <v>0.0</v>
      </c>
      <c r="AS21" s="153">
        <v>0.0</v>
      </c>
      <c r="AT21" s="153">
        <v>0.0</v>
      </c>
      <c r="AU21" s="153">
        <v>0.0</v>
      </c>
      <c r="AV21" s="153">
        <v>0.25</v>
      </c>
      <c r="AW21" s="153">
        <v>0.0</v>
      </c>
      <c r="AX21" s="153">
        <v>0.0</v>
      </c>
      <c r="AY21" s="156">
        <v>0.0</v>
      </c>
      <c r="AZ21" s="153">
        <v>0.0</v>
      </c>
      <c r="BA21" s="154">
        <v>0.0</v>
      </c>
      <c r="BB21" s="153">
        <v>0.0</v>
      </c>
      <c r="BC21" s="153">
        <v>0.0</v>
      </c>
      <c r="BD21" s="153">
        <v>0.0</v>
      </c>
      <c r="BE21" s="153">
        <v>0.0</v>
      </c>
      <c r="BF21" s="153">
        <v>0.0</v>
      </c>
      <c r="BG21" s="153">
        <v>0.0</v>
      </c>
      <c r="BH21" s="153">
        <v>0.0</v>
      </c>
      <c r="BI21" s="156">
        <v>0.0</v>
      </c>
      <c r="BJ21" s="153">
        <v>0.0</v>
      </c>
      <c r="BK21" s="154">
        <v>0.0</v>
      </c>
      <c r="BL21" s="153">
        <v>0.0</v>
      </c>
      <c r="BM21" s="153">
        <v>0.0</v>
      </c>
      <c r="BN21" s="153">
        <v>0.0</v>
      </c>
      <c r="BO21" s="153">
        <v>0.0</v>
      </c>
      <c r="BP21" s="153">
        <v>0.0</v>
      </c>
      <c r="BQ21" s="153">
        <v>0.0</v>
      </c>
      <c r="BR21" s="153">
        <v>0.0</v>
      </c>
      <c r="BS21" s="156">
        <v>0.0</v>
      </c>
      <c r="BT21" s="153">
        <v>0.0</v>
      </c>
      <c r="BU21" s="154">
        <v>0.0</v>
      </c>
      <c r="BV21" s="153">
        <v>0.0</v>
      </c>
      <c r="BW21" s="153">
        <v>0.0</v>
      </c>
      <c r="BX21" s="153">
        <v>0.0</v>
      </c>
      <c r="BY21" s="153">
        <v>0.0</v>
      </c>
      <c r="BZ21" s="153">
        <v>0.0</v>
      </c>
      <c r="CA21" s="153">
        <v>0.0</v>
      </c>
      <c r="CB21" s="153">
        <v>0.0</v>
      </c>
      <c r="CC21" s="156">
        <v>0.0</v>
      </c>
      <c r="CD21" s="153">
        <v>0.0</v>
      </c>
      <c r="CE21" s="154">
        <v>0.0</v>
      </c>
      <c r="CF21" s="153">
        <v>0.0</v>
      </c>
      <c r="CG21" s="153">
        <v>0.0</v>
      </c>
      <c r="CH21" s="153">
        <v>0.0</v>
      </c>
      <c r="CI21" s="153">
        <v>0.0</v>
      </c>
      <c r="CJ21" s="153">
        <v>0.0</v>
      </c>
      <c r="CK21" s="153">
        <v>0.0</v>
      </c>
      <c r="CL21" s="153">
        <v>0.0</v>
      </c>
      <c r="CM21" s="156">
        <v>0.0</v>
      </c>
      <c r="CN21" s="153">
        <v>0.0</v>
      </c>
      <c r="CO21" s="154">
        <v>0.0</v>
      </c>
      <c r="CP21" s="153">
        <v>0.0</v>
      </c>
      <c r="CQ21" s="153">
        <v>0.0</v>
      </c>
      <c r="CR21" s="153">
        <v>0.0</v>
      </c>
      <c r="CS21" s="153">
        <v>0.0</v>
      </c>
      <c r="CT21" s="153">
        <v>0.0</v>
      </c>
      <c r="CU21" s="153">
        <v>0.0</v>
      </c>
      <c r="CV21" s="153">
        <v>0.0</v>
      </c>
      <c r="CW21" s="156">
        <v>0.0</v>
      </c>
      <c r="CX21" s="153">
        <v>0.0</v>
      </c>
    </row>
    <row r="22" ht="35.25" customHeight="1">
      <c r="A22" s="125"/>
      <c r="B22" s="168" t="s">
        <v>2964</v>
      </c>
      <c r="C22" s="157">
        <v>0.0</v>
      </c>
      <c r="D22" s="158">
        <v>0.0</v>
      </c>
      <c r="E22" s="158">
        <v>0.0</v>
      </c>
      <c r="F22" s="158">
        <v>0.0</v>
      </c>
      <c r="G22" s="158">
        <v>0.0</v>
      </c>
      <c r="H22" s="158">
        <v>0.0</v>
      </c>
      <c r="I22" s="158">
        <v>0.0</v>
      </c>
      <c r="J22" s="158">
        <v>0.0</v>
      </c>
      <c r="K22" s="158">
        <v>0.0</v>
      </c>
      <c r="L22" s="160">
        <v>0.0</v>
      </c>
      <c r="M22" s="157">
        <v>0.75</v>
      </c>
      <c r="N22" s="158">
        <v>1.0</v>
      </c>
      <c r="O22" s="158">
        <v>0.8333333333333334</v>
      </c>
      <c r="P22" s="158">
        <v>0.75</v>
      </c>
      <c r="Q22" s="158">
        <v>0.75</v>
      </c>
      <c r="R22" s="158">
        <v>0.75</v>
      </c>
      <c r="S22" s="158">
        <v>1.0</v>
      </c>
      <c r="T22" s="158">
        <v>0.8333333333333334</v>
      </c>
      <c r="U22" s="158">
        <v>1.0</v>
      </c>
      <c r="V22" s="159">
        <v>0.0</v>
      </c>
      <c r="W22" s="157">
        <v>0.25</v>
      </c>
      <c r="X22" s="158">
        <v>0.0</v>
      </c>
      <c r="Y22" s="158">
        <v>0.0</v>
      </c>
      <c r="Z22" s="158">
        <v>0.0</v>
      </c>
      <c r="AA22" s="158">
        <v>0.25</v>
      </c>
      <c r="AB22" s="158">
        <v>0.25</v>
      </c>
      <c r="AC22" s="158">
        <v>0.0</v>
      </c>
      <c r="AD22" s="158">
        <v>0.0</v>
      </c>
      <c r="AE22" s="158">
        <v>0.0</v>
      </c>
      <c r="AF22" s="160">
        <v>0.07142857142857142</v>
      </c>
      <c r="AG22" s="157">
        <v>0.0</v>
      </c>
      <c r="AH22" s="158">
        <v>0.0</v>
      </c>
      <c r="AI22" s="158">
        <v>0.0</v>
      </c>
      <c r="AJ22" s="158">
        <v>0.0</v>
      </c>
      <c r="AK22" s="158">
        <v>0.0</v>
      </c>
      <c r="AL22" s="158">
        <v>0.0</v>
      </c>
      <c r="AM22" s="158">
        <v>0.0</v>
      </c>
      <c r="AN22" s="158">
        <v>0.0</v>
      </c>
      <c r="AO22" s="158">
        <v>0.0</v>
      </c>
      <c r="AP22" s="160">
        <v>0.0</v>
      </c>
      <c r="AQ22" s="157">
        <v>0.0</v>
      </c>
      <c r="AR22" s="158">
        <v>0.0</v>
      </c>
      <c r="AS22" s="158">
        <v>0.0</v>
      </c>
      <c r="AT22" s="158">
        <v>0.0</v>
      </c>
      <c r="AU22" s="158">
        <v>0.0</v>
      </c>
      <c r="AV22" s="158">
        <v>0.0</v>
      </c>
      <c r="AW22" s="158">
        <v>0.25</v>
      </c>
      <c r="AX22" s="158">
        <v>0.0</v>
      </c>
      <c r="AY22" s="158">
        <v>0.0</v>
      </c>
      <c r="AZ22" s="160">
        <v>0.0</v>
      </c>
      <c r="BA22" s="157">
        <v>0.0</v>
      </c>
      <c r="BB22" s="158">
        <v>0.0</v>
      </c>
      <c r="BC22" s="158">
        <v>0.0</v>
      </c>
      <c r="BD22" s="158">
        <v>0.0</v>
      </c>
      <c r="BE22" s="158">
        <v>0.0</v>
      </c>
      <c r="BF22" s="158">
        <v>0.0</v>
      </c>
      <c r="BG22" s="158">
        <v>0.0</v>
      </c>
      <c r="BH22" s="158">
        <v>0.0</v>
      </c>
      <c r="BI22" s="158">
        <v>0.0</v>
      </c>
      <c r="BJ22" s="160">
        <v>0.0</v>
      </c>
      <c r="BK22" s="157">
        <v>0.0</v>
      </c>
      <c r="BL22" s="158">
        <v>0.0</v>
      </c>
      <c r="BM22" s="158">
        <v>0.0</v>
      </c>
      <c r="BN22" s="158">
        <v>0.0</v>
      </c>
      <c r="BO22" s="158">
        <v>0.0</v>
      </c>
      <c r="BP22" s="158">
        <v>0.0</v>
      </c>
      <c r="BQ22" s="158">
        <v>0.0</v>
      </c>
      <c r="BR22" s="158">
        <v>0.0</v>
      </c>
      <c r="BS22" s="158">
        <v>0.0</v>
      </c>
      <c r="BT22" s="160">
        <v>0.0</v>
      </c>
      <c r="BU22" s="157">
        <v>0.0</v>
      </c>
      <c r="BV22" s="158">
        <v>0.0</v>
      </c>
      <c r="BW22" s="158">
        <v>0.16666666666666666</v>
      </c>
      <c r="BX22" s="158">
        <v>0.0</v>
      </c>
      <c r="BY22" s="158">
        <v>0.0</v>
      </c>
      <c r="BZ22" s="158">
        <v>0.0</v>
      </c>
      <c r="CA22" s="158">
        <v>0.0</v>
      </c>
      <c r="CB22" s="158">
        <v>0.0</v>
      </c>
      <c r="CC22" s="158">
        <v>0.0</v>
      </c>
      <c r="CD22" s="160">
        <v>0.0</v>
      </c>
      <c r="CE22" s="157">
        <v>0.0</v>
      </c>
      <c r="CF22" s="158">
        <v>0.0</v>
      </c>
      <c r="CG22" s="158">
        <v>0.0</v>
      </c>
      <c r="CH22" s="158">
        <v>0.25</v>
      </c>
      <c r="CI22" s="158">
        <v>0.0</v>
      </c>
      <c r="CJ22" s="158">
        <v>0.0</v>
      </c>
      <c r="CK22" s="158">
        <v>0.25</v>
      </c>
      <c r="CL22" s="158">
        <v>0.16666666666666666</v>
      </c>
      <c r="CM22" s="158">
        <v>0.0</v>
      </c>
      <c r="CN22" s="160">
        <v>0.0</v>
      </c>
      <c r="CO22" s="157">
        <v>0.0</v>
      </c>
      <c r="CP22" s="158">
        <v>0.0</v>
      </c>
      <c r="CQ22" s="158">
        <v>0.0</v>
      </c>
      <c r="CR22" s="158">
        <v>0.0</v>
      </c>
      <c r="CS22" s="158">
        <v>0.0</v>
      </c>
      <c r="CT22" s="158">
        <v>0.0</v>
      </c>
      <c r="CU22" s="158">
        <v>0.0</v>
      </c>
      <c r="CV22" s="158">
        <v>0.0</v>
      </c>
      <c r="CW22" s="158">
        <v>0.0</v>
      </c>
      <c r="CX22" s="160">
        <v>0.0</v>
      </c>
    </row>
    <row r="23" ht="35.25" customHeight="1">
      <c r="A23" s="138" t="s">
        <v>2937</v>
      </c>
      <c r="B23" s="167" t="s">
        <v>2965</v>
      </c>
      <c r="C23" s="154">
        <v>0.0</v>
      </c>
      <c r="D23" s="153">
        <v>0.0</v>
      </c>
      <c r="E23" s="153">
        <v>0.0</v>
      </c>
      <c r="F23" s="153">
        <v>0.0</v>
      </c>
      <c r="G23" s="153">
        <v>0.0</v>
      </c>
      <c r="H23" s="153">
        <v>0.0</v>
      </c>
      <c r="I23" s="153">
        <v>0.0</v>
      </c>
      <c r="J23" s="153">
        <v>0.0</v>
      </c>
      <c r="K23" s="153">
        <v>0.0</v>
      </c>
      <c r="L23" s="153">
        <v>0.0</v>
      </c>
      <c r="M23" s="154">
        <v>0.05555555555555555</v>
      </c>
      <c r="N23" s="153">
        <v>0.0</v>
      </c>
      <c r="O23" s="153">
        <v>0.0</v>
      </c>
      <c r="P23" s="153">
        <v>0.0</v>
      </c>
      <c r="Q23" s="153">
        <v>0.1</v>
      </c>
      <c r="R23" s="153">
        <v>0.1</v>
      </c>
      <c r="S23" s="153">
        <v>0.0</v>
      </c>
      <c r="T23" s="153">
        <v>0.0</v>
      </c>
      <c r="U23" s="153">
        <v>0.0</v>
      </c>
      <c r="V23" s="153">
        <v>0.25</v>
      </c>
      <c r="W23" s="152">
        <v>0.0</v>
      </c>
      <c r="X23" s="153">
        <v>1.0</v>
      </c>
      <c r="Y23" s="153">
        <v>0.5</v>
      </c>
      <c r="Z23" s="153">
        <v>0.5</v>
      </c>
      <c r="AA23" s="153">
        <v>0.8</v>
      </c>
      <c r="AB23" s="153">
        <v>0.7</v>
      </c>
      <c r="AC23" s="153">
        <v>0.75</v>
      </c>
      <c r="AD23" s="153">
        <v>0.75</v>
      </c>
      <c r="AE23" s="153">
        <v>0.9</v>
      </c>
      <c r="AF23" s="153">
        <v>1.0</v>
      </c>
      <c r="AG23" s="154">
        <v>0.0</v>
      </c>
      <c r="AH23" s="153">
        <v>0.0</v>
      </c>
      <c r="AI23" s="153">
        <v>0.0</v>
      </c>
      <c r="AJ23" s="153">
        <v>0.0</v>
      </c>
      <c r="AK23" s="153">
        <v>0.0</v>
      </c>
      <c r="AL23" s="153">
        <v>0.0</v>
      </c>
      <c r="AM23" s="153">
        <v>0.0</v>
      </c>
      <c r="AN23" s="153">
        <v>0.0</v>
      </c>
      <c r="AO23" s="153">
        <v>0.1</v>
      </c>
      <c r="AP23" s="153">
        <v>0.0</v>
      </c>
      <c r="AQ23" s="154">
        <v>0.0</v>
      </c>
      <c r="AR23" s="153">
        <v>0.0</v>
      </c>
      <c r="AS23" s="153">
        <v>0.0</v>
      </c>
      <c r="AT23" s="153">
        <v>0.0</v>
      </c>
      <c r="AU23" s="153">
        <v>0.0</v>
      </c>
      <c r="AV23" s="153">
        <v>0.0</v>
      </c>
      <c r="AW23" s="153">
        <v>0.0</v>
      </c>
      <c r="AX23" s="153">
        <v>0.0</v>
      </c>
      <c r="AY23" s="153">
        <v>0.0</v>
      </c>
      <c r="AZ23" s="153">
        <v>0.0</v>
      </c>
      <c r="BA23" s="154">
        <v>0.0</v>
      </c>
      <c r="BB23" s="153">
        <v>0.0</v>
      </c>
      <c r="BC23" s="153">
        <v>0.0</v>
      </c>
      <c r="BD23" s="153">
        <v>0.0</v>
      </c>
      <c r="BE23" s="153">
        <v>0.0</v>
      </c>
      <c r="BF23" s="153">
        <v>0.0</v>
      </c>
      <c r="BG23" s="153">
        <v>0.0</v>
      </c>
      <c r="BH23" s="153">
        <v>0.0</v>
      </c>
      <c r="BI23" s="153">
        <v>0.0</v>
      </c>
      <c r="BJ23" s="153">
        <v>0.0</v>
      </c>
      <c r="BK23" s="154">
        <v>0.0</v>
      </c>
      <c r="BL23" s="153">
        <v>0.0</v>
      </c>
      <c r="BM23" s="153">
        <v>0.0</v>
      </c>
      <c r="BN23" s="153">
        <v>0.0</v>
      </c>
      <c r="BO23" s="153">
        <v>0.0</v>
      </c>
      <c r="BP23" s="153">
        <v>0.0</v>
      </c>
      <c r="BQ23" s="153">
        <v>0.0</v>
      </c>
      <c r="BR23" s="153">
        <v>0.0</v>
      </c>
      <c r="BS23" s="153">
        <v>0.0</v>
      </c>
      <c r="BT23" s="153">
        <v>0.0</v>
      </c>
      <c r="BU23" s="154">
        <v>0.0</v>
      </c>
      <c r="BV23" s="153">
        <v>0.0</v>
      </c>
      <c r="BW23" s="153">
        <v>0.0</v>
      </c>
      <c r="BX23" s="153">
        <v>0.0</v>
      </c>
      <c r="BY23" s="153">
        <v>0.0</v>
      </c>
      <c r="BZ23" s="153">
        <v>0.0</v>
      </c>
      <c r="CA23" s="153">
        <v>0.0</v>
      </c>
      <c r="CB23" s="153">
        <v>0.0</v>
      </c>
      <c r="CC23" s="153">
        <v>0.0</v>
      </c>
      <c r="CD23" s="153">
        <v>0.0</v>
      </c>
      <c r="CE23" s="154">
        <v>0.0</v>
      </c>
      <c r="CF23" s="153">
        <v>0.0</v>
      </c>
      <c r="CG23" s="153">
        <v>0.0</v>
      </c>
      <c r="CH23" s="153">
        <v>0.0</v>
      </c>
      <c r="CI23" s="153">
        <v>0.0</v>
      </c>
      <c r="CJ23" s="153">
        <v>0.0</v>
      </c>
      <c r="CK23" s="153">
        <v>0.0</v>
      </c>
      <c r="CL23" s="153">
        <v>0.0</v>
      </c>
      <c r="CM23" s="153">
        <v>0.0</v>
      </c>
      <c r="CN23" s="153">
        <v>0.0</v>
      </c>
      <c r="CO23" s="154">
        <v>0.0</v>
      </c>
      <c r="CP23" s="153">
        <v>0.0</v>
      </c>
      <c r="CQ23" s="153">
        <v>0.0</v>
      </c>
      <c r="CR23" s="153">
        <v>0.0</v>
      </c>
      <c r="CS23" s="153">
        <v>0.0</v>
      </c>
      <c r="CT23" s="153">
        <v>0.0</v>
      </c>
      <c r="CU23" s="153">
        <v>0.0</v>
      </c>
      <c r="CV23" s="153">
        <v>0.0</v>
      </c>
      <c r="CW23" s="153">
        <v>0.0</v>
      </c>
      <c r="CX23" s="153">
        <v>0.0</v>
      </c>
    </row>
    <row r="24" ht="35.25" customHeight="1">
      <c r="B24" s="167" t="s">
        <v>2966</v>
      </c>
      <c r="C24" s="154">
        <v>0.0</v>
      </c>
      <c r="D24" s="156">
        <v>0.0</v>
      </c>
      <c r="E24" s="153">
        <v>0.0</v>
      </c>
      <c r="F24" s="153">
        <v>0.0</v>
      </c>
      <c r="G24" s="153">
        <v>0.0</v>
      </c>
      <c r="H24" s="153">
        <v>0.0</v>
      </c>
      <c r="I24" s="153">
        <v>0.0</v>
      </c>
      <c r="J24" s="153">
        <v>0.0</v>
      </c>
      <c r="K24" s="153">
        <v>0.0</v>
      </c>
      <c r="L24" s="153">
        <v>0.0</v>
      </c>
      <c r="M24" s="154">
        <v>0.0</v>
      </c>
      <c r="N24" s="156">
        <v>0.0</v>
      </c>
      <c r="O24" s="153">
        <v>0.0</v>
      </c>
      <c r="P24" s="153">
        <v>0.0</v>
      </c>
      <c r="Q24" s="153">
        <v>0.0</v>
      </c>
      <c r="R24" s="153">
        <v>0.0</v>
      </c>
      <c r="S24" s="153">
        <v>0.0</v>
      </c>
      <c r="T24" s="153">
        <v>0.0</v>
      </c>
      <c r="U24" s="153">
        <v>0.0</v>
      </c>
      <c r="V24" s="153">
        <v>0.0</v>
      </c>
      <c r="W24" s="154">
        <v>1.0</v>
      </c>
      <c r="X24" s="155">
        <v>0.0</v>
      </c>
      <c r="Y24" s="153">
        <v>0.75</v>
      </c>
      <c r="Z24" s="153">
        <v>1.0</v>
      </c>
      <c r="AA24" s="153">
        <v>1.0</v>
      </c>
      <c r="AB24" s="153">
        <v>1.0</v>
      </c>
      <c r="AC24" s="153">
        <v>1.0</v>
      </c>
      <c r="AD24" s="153">
        <v>1.0</v>
      </c>
      <c r="AE24" s="153">
        <v>1.0</v>
      </c>
      <c r="AF24" s="153">
        <v>1.0</v>
      </c>
      <c r="AG24" s="154">
        <v>0.0</v>
      </c>
      <c r="AH24" s="156">
        <v>0.21428571428571427</v>
      </c>
      <c r="AI24" s="153">
        <v>0.5</v>
      </c>
      <c r="AJ24" s="153">
        <v>0.0</v>
      </c>
      <c r="AK24" s="153">
        <v>0.0</v>
      </c>
      <c r="AL24" s="153">
        <v>0.0</v>
      </c>
      <c r="AM24" s="153">
        <v>0.0</v>
      </c>
      <c r="AN24" s="153">
        <v>0.0</v>
      </c>
      <c r="AO24" s="153">
        <v>0.0</v>
      </c>
      <c r="AP24" s="153">
        <v>0.0</v>
      </c>
      <c r="AQ24" s="154">
        <v>0.0</v>
      </c>
      <c r="AR24" s="156">
        <v>0.0</v>
      </c>
      <c r="AS24" s="153">
        <v>0.0</v>
      </c>
      <c r="AT24" s="153">
        <v>0.0</v>
      </c>
      <c r="AU24" s="153">
        <v>0.0</v>
      </c>
      <c r="AV24" s="153">
        <v>0.0</v>
      </c>
      <c r="AW24" s="153">
        <v>0.0</v>
      </c>
      <c r="AX24" s="153">
        <v>0.0</v>
      </c>
      <c r="AY24" s="153">
        <v>0.0</v>
      </c>
      <c r="AZ24" s="153">
        <v>0.0</v>
      </c>
      <c r="BA24" s="154">
        <v>0.0</v>
      </c>
      <c r="BB24" s="156">
        <v>0.0</v>
      </c>
      <c r="BC24" s="153">
        <v>0.0</v>
      </c>
      <c r="BD24" s="153">
        <v>0.0</v>
      </c>
      <c r="BE24" s="153">
        <v>0.0</v>
      </c>
      <c r="BF24" s="153">
        <v>0.0</v>
      </c>
      <c r="BG24" s="153">
        <v>0.0</v>
      </c>
      <c r="BH24" s="153">
        <v>0.0</v>
      </c>
      <c r="BI24" s="153">
        <v>0.0</v>
      </c>
      <c r="BJ24" s="153">
        <v>0.0</v>
      </c>
      <c r="BK24" s="154">
        <v>0.0</v>
      </c>
      <c r="BL24" s="156">
        <v>0.0</v>
      </c>
      <c r="BM24" s="153">
        <v>0.0</v>
      </c>
      <c r="BN24" s="153">
        <v>0.0</v>
      </c>
      <c r="BO24" s="153">
        <v>0.0</v>
      </c>
      <c r="BP24" s="153">
        <v>0.0</v>
      </c>
      <c r="BQ24" s="153">
        <v>0.0</v>
      </c>
      <c r="BR24" s="153">
        <v>0.0</v>
      </c>
      <c r="BS24" s="153">
        <v>0.0</v>
      </c>
      <c r="BT24" s="153">
        <v>0.0</v>
      </c>
      <c r="BU24" s="154">
        <v>0.0</v>
      </c>
      <c r="BV24" s="156">
        <v>0.0</v>
      </c>
      <c r="BW24" s="153">
        <v>0.0</v>
      </c>
      <c r="BX24" s="153">
        <v>0.0</v>
      </c>
      <c r="BY24" s="153">
        <v>0.0</v>
      </c>
      <c r="BZ24" s="153">
        <v>0.0</v>
      </c>
      <c r="CA24" s="153">
        <v>0.0</v>
      </c>
      <c r="CB24" s="153">
        <v>0.0</v>
      </c>
      <c r="CC24" s="153">
        <v>0.0</v>
      </c>
      <c r="CD24" s="153">
        <v>0.0</v>
      </c>
      <c r="CE24" s="154">
        <v>0.0</v>
      </c>
      <c r="CF24" s="156">
        <v>0.0</v>
      </c>
      <c r="CG24" s="153">
        <v>0.0</v>
      </c>
      <c r="CH24" s="153">
        <v>0.0</v>
      </c>
      <c r="CI24" s="153">
        <v>0.0</v>
      </c>
      <c r="CJ24" s="153">
        <v>0.0</v>
      </c>
      <c r="CK24" s="153">
        <v>0.0</v>
      </c>
      <c r="CL24" s="153">
        <v>0.0</v>
      </c>
      <c r="CM24" s="153">
        <v>0.0</v>
      </c>
      <c r="CN24" s="153">
        <v>0.0</v>
      </c>
      <c r="CO24" s="154">
        <v>0.0</v>
      </c>
      <c r="CP24" s="156">
        <v>0.0</v>
      </c>
      <c r="CQ24" s="153">
        <v>0.0</v>
      </c>
      <c r="CR24" s="153">
        <v>0.0</v>
      </c>
      <c r="CS24" s="153">
        <v>0.0</v>
      </c>
      <c r="CT24" s="153">
        <v>0.0</v>
      </c>
      <c r="CU24" s="153">
        <v>0.0</v>
      </c>
      <c r="CV24" s="153">
        <v>0.0</v>
      </c>
      <c r="CW24" s="153">
        <v>0.0</v>
      </c>
      <c r="CX24" s="153">
        <v>0.0</v>
      </c>
    </row>
    <row r="25" ht="35.25" customHeight="1">
      <c r="B25" s="167" t="s">
        <v>2967</v>
      </c>
      <c r="C25" s="154">
        <v>0.0</v>
      </c>
      <c r="D25" s="153">
        <v>0.0</v>
      </c>
      <c r="E25" s="156">
        <v>0.0</v>
      </c>
      <c r="F25" s="153">
        <v>0.0</v>
      </c>
      <c r="G25" s="153">
        <v>0.0</v>
      </c>
      <c r="H25" s="153">
        <v>0.0</v>
      </c>
      <c r="I25" s="153">
        <v>0.0</v>
      </c>
      <c r="J25" s="153">
        <v>0.0</v>
      </c>
      <c r="K25" s="153">
        <v>0.0</v>
      </c>
      <c r="L25" s="153">
        <v>0.0</v>
      </c>
      <c r="M25" s="154">
        <v>0.0</v>
      </c>
      <c r="N25" s="153">
        <v>0.0</v>
      </c>
      <c r="O25" s="156">
        <v>0.0</v>
      </c>
      <c r="P25" s="153">
        <v>0.0</v>
      </c>
      <c r="Q25" s="153">
        <v>0.0</v>
      </c>
      <c r="R25" s="153">
        <v>0.0</v>
      </c>
      <c r="S25" s="153">
        <v>0.0</v>
      </c>
      <c r="T25" s="153">
        <v>0.0</v>
      </c>
      <c r="U25" s="153">
        <v>0.0</v>
      </c>
      <c r="V25" s="153">
        <v>0.0</v>
      </c>
      <c r="W25" s="154">
        <v>0.25</v>
      </c>
      <c r="X25" s="153">
        <v>0.75</v>
      </c>
      <c r="Y25" s="155">
        <v>0.0</v>
      </c>
      <c r="Z25" s="153">
        <v>0.75</v>
      </c>
      <c r="AA25" s="153">
        <v>0.5</v>
      </c>
      <c r="AB25" s="153">
        <v>0.5</v>
      </c>
      <c r="AC25" s="153">
        <v>0.875</v>
      </c>
      <c r="AD25" s="153">
        <v>0.8333333333333334</v>
      </c>
      <c r="AE25" s="153">
        <v>1.0</v>
      </c>
      <c r="AF25" s="153">
        <v>1.0</v>
      </c>
      <c r="AG25" s="154">
        <v>0.0</v>
      </c>
      <c r="AH25" s="153">
        <v>0.75</v>
      </c>
      <c r="AI25" s="156">
        <v>0.25</v>
      </c>
      <c r="AJ25" s="153">
        <v>0.0</v>
      </c>
      <c r="AK25" s="153">
        <v>0.0</v>
      </c>
      <c r="AL25" s="153">
        <v>0.0</v>
      </c>
      <c r="AM25" s="153">
        <v>0.0</v>
      </c>
      <c r="AN25" s="153">
        <v>0.0</v>
      </c>
      <c r="AO25" s="153">
        <v>0.0</v>
      </c>
      <c r="AP25" s="153">
        <v>0.0</v>
      </c>
      <c r="AQ25" s="154">
        <v>0.0</v>
      </c>
      <c r="AR25" s="153">
        <v>0.0</v>
      </c>
      <c r="AS25" s="156">
        <v>0.0</v>
      </c>
      <c r="AT25" s="153">
        <v>0.0</v>
      </c>
      <c r="AU25" s="153">
        <v>0.0</v>
      </c>
      <c r="AV25" s="153">
        <v>0.0</v>
      </c>
      <c r="AW25" s="153">
        <v>0.0</v>
      </c>
      <c r="AX25" s="153">
        <v>0.0</v>
      </c>
      <c r="AY25" s="153">
        <v>0.0</v>
      </c>
      <c r="AZ25" s="153">
        <v>0.0</v>
      </c>
      <c r="BA25" s="154">
        <v>0.0</v>
      </c>
      <c r="BB25" s="153">
        <v>0.0</v>
      </c>
      <c r="BC25" s="156">
        <v>0.0</v>
      </c>
      <c r="BD25" s="153">
        <v>0.0</v>
      </c>
      <c r="BE25" s="153">
        <v>0.0</v>
      </c>
      <c r="BF25" s="153">
        <v>0.0</v>
      </c>
      <c r="BG25" s="153">
        <v>0.0</v>
      </c>
      <c r="BH25" s="153">
        <v>0.0</v>
      </c>
      <c r="BI25" s="153">
        <v>0.0</v>
      </c>
      <c r="BJ25" s="153">
        <v>0.0</v>
      </c>
      <c r="BK25" s="154">
        <v>0.0</v>
      </c>
      <c r="BL25" s="153">
        <v>0.0</v>
      </c>
      <c r="BM25" s="156">
        <v>0.0</v>
      </c>
      <c r="BN25" s="153">
        <v>0.0</v>
      </c>
      <c r="BO25" s="153">
        <v>0.0</v>
      </c>
      <c r="BP25" s="153">
        <v>0.0</v>
      </c>
      <c r="BQ25" s="153">
        <v>0.0</v>
      </c>
      <c r="BR25" s="153">
        <v>0.0</v>
      </c>
      <c r="BS25" s="153">
        <v>0.0</v>
      </c>
      <c r="BT25" s="153">
        <v>0.0</v>
      </c>
      <c r="BU25" s="154">
        <v>0.0</v>
      </c>
      <c r="BV25" s="153">
        <v>0.0</v>
      </c>
      <c r="BW25" s="156">
        <v>0.0</v>
      </c>
      <c r="BX25" s="153">
        <v>0.0</v>
      </c>
      <c r="BY25" s="153">
        <v>0.0</v>
      </c>
      <c r="BZ25" s="153">
        <v>0.0</v>
      </c>
      <c r="CA25" s="153">
        <v>0.0</v>
      </c>
      <c r="CB25" s="153">
        <v>0.0</v>
      </c>
      <c r="CC25" s="153">
        <v>0.0</v>
      </c>
      <c r="CD25" s="153">
        <v>0.0</v>
      </c>
      <c r="CE25" s="154">
        <v>0.0</v>
      </c>
      <c r="CF25" s="153">
        <v>0.0</v>
      </c>
      <c r="CG25" s="156">
        <v>0.0</v>
      </c>
      <c r="CH25" s="153">
        <v>0.0</v>
      </c>
      <c r="CI25" s="153">
        <v>0.0</v>
      </c>
      <c r="CJ25" s="153">
        <v>0.0</v>
      </c>
      <c r="CK25" s="153">
        <v>0.0</v>
      </c>
      <c r="CL25" s="153">
        <v>0.0</v>
      </c>
      <c r="CM25" s="153">
        <v>0.0</v>
      </c>
      <c r="CN25" s="153">
        <v>0.0</v>
      </c>
      <c r="CO25" s="154">
        <v>0.0</v>
      </c>
      <c r="CP25" s="153">
        <v>0.0</v>
      </c>
      <c r="CQ25" s="156">
        <v>0.0</v>
      </c>
      <c r="CR25" s="153">
        <v>0.0</v>
      </c>
      <c r="CS25" s="153">
        <v>0.0</v>
      </c>
      <c r="CT25" s="153">
        <v>0.0</v>
      </c>
      <c r="CU25" s="153">
        <v>0.0</v>
      </c>
      <c r="CV25" s="153">
        <v>0.0</v>
      </c>
      <c r="CW25" s="153">
        <v>0.25</v>
      </c>
      <c r="CX25" s="153">
        <v>0.0</v>
      </c>
    </row>
    <row r="26" ht="35.25" customHeight="1">
      <c r="B26" s="167" t="s">
        <v>2968</v>
      </c>
      <c r="C26" s="154">
        <v>0.0</v>
      </c>
      <c r="D26" s="153">
        <v>0.0</v>
      </c>
      <c r="E26" s="153">
        <v>0.0</v>
      </c>
      <c r="F26" s="156">
        <v>0.0</v>
      </c>
      <c r="G26" s="153">
        <v>0.0</v>
      </c>
      <c r="H26" s="153">
        <v>0.0</v>
      </c>
      <c r="I26" s="153">
        <v>0.0</v>
      </c>
      <c r="J26" s="153">
        <v>0.0</v>
      </c>
      <c r="K26" s="153">
        <v>0.0</v>
      </c>
      <c r="L26" s="153">
        <v>0.0</v>
      </c>
      <c r="M26" s="154">
        <v>0.0</v>
      </c>
      <c r="N26" s="153">
        <v>0.0</v>
      </c>
      <c r="O26" s="153">
        <v>0.0</v>
      </c>
      <c r="P26" s="156">
        <v>0.0</v>
      </c>
      <c r="Q26" s="153">
        <v>0.0</v>
      </c>
      <c r="R26" s="153">
        <v>0.0</v>
      </c>
      <c r="S26" s="153">
        <v>0.0</v>
      </c>
      <c r="T26" s="153">
        <v>0.0</v>
      </c>
      <c r="U26" s="153">
        <v>0.0</v>
      </c>
      <c r="V26" s="153">
        <v>0.0</v>
      </c>
      <c r="W26" s="154">
        <v>0.5</v>
      </c>
      <c r="X26" s="153">
        <v>1.0</v>
      </c>
      <c r="Y26" s="153">
        <v>0.75</v>
      </c>
      <c r="Z26" s="155">
        <v>0.0</v>
      </c>
      <c r="AA26" s="153">
        <v>1.0</v>
      </c>
      <c r="AB26" s="153">
        <v>0.5</v>
      </c>
      <c r="AC26" s="153">
        <v>1.0</v>
      </c>
      <c r="AD26" s="153">
        <v>1.0</v>
      </c>
      <c r="AE26" s="153">
        <v>1.0</v>
      </c>
      <c r="AF26" s="153">
        <v>1.0</v>
      </c>
      <c r="AG26" s="154">
        <v>0.0</v>
      </c>
      <c r="AH26" s="153">
        <v>0.25</v>
      </c>
      <c r="AI26" s="153">
        <v>0.125</v>
      </c>
      <c r="AJ26" s="156">
        <v>0.0</v>
      </c>
      <c r="AK26" s="153">
        <v>0.0</v>
      </c>
      <c r="AL26" s="153">
        <v>0.0</v>
      </c>
      <c r="AM26" s="153">
        <v>0.0</v>
      </c>
      <c r="AN26" s="153">
        <v>0.0</v>
      </c>
      <c r="AO26" s="153">
        <v>0.0</v>
      </c>
      <c r="AP26" s="153">
        <v>0.0</v>
      </c>
      <c r="AQ26" s="154">
        <v>0.0</v>
      </c>
      <c r="AR26" s="153">
        <v>0.0</v>
      </c>
      <c r="AS26" s="153">
        <v>0.0</v>
      </c>
      <c r="AT26" s="156">
        <v>0.0</v>
      </c>
      <c r="AU26" s="153">
        <v>0.0</v>
      </c>
      <c r="AV26" s="153">
        <v>0.0</v>
      </c>
      <c r="AW26" s="153">
        <v>0.0</v>
      </c>
      <c r="AX26" s="153">
        <v>0.0</v>
      </c>
      <c r="AY26" s="153">
        <v>0.0</v>
      </c>
      <c r="AZ26" s="153">
        <v>0.0</v>
      </c>
      <c r="BA26" s="154">
        <v>0.0</v>
      </c>
      <c r="BB26" s="153">
        <v>0.0</v>
      </c>
      <c r="BC26" s="153">
        <v>0.0</v>
      </c>
      <c r="BD26" s="156">
        <v>0.0</v>
      </c>
      <c r="BE26" s="153">
        <v>0.0</v>
      </c>
      <c r="BF26" s="153">
        <v>0.0</v>
      </c>
      <c r="BG26" s="153">
        <v>0.0</v>
      </c>
      <c r="BH26" s="153">
        <v>0.0</v>
      </c>
      <c r="BI26" s="153">
        <v>0.0</v>
      </c>
      <c r="BJ26" s="153">
        <v>0.0</v>
      </c>
      <c r="BK26" s="154">
        <v>0.0</v>
      </c>
      <c r="BL26" s="153">
        <v>0.0</v>
      </c>
      <c r="BM26" s="153">
        <v>0.0</v>
      </c>
      <c r="BN26" s="156">
        <v>0.0</v>
      </c>
      <c r="BO26" s="153">
        <v>0.0</v>
      </c>
      <c r="BP26" s="153">
        <v>0.0</v>
      </c>
      <c r="BQ26" s="153">
        <v>0.0</v>
      </c>
      <c r="BR26" s="153">
        <v>0.0</v>
      </c>
      <c r="BS26" s="153">
        <v>0.0</v>
      </c>
      <c r="BT26" s="153">
        <v>0.0</v>
      </c>
      <c r="BU26" s="154">
        <v>0.0</v>
      </c>
      <c r="BV26" s="153">
        <v>0.0</v>
      </c>
      <c r="BW26" s="153">
        <v>0.0</v>
      </c>
      <c r="BX26" s="156">
        <v>0.0</v>
      </c>
      <c r="BY26" s="153">
        <v>0.0</v>
      </c>
      <c r="BZ26" s="153">
        <v>0.0</v>
      </c>
      <c r="CA26" s="153">
        <v>0.0</v>
      </c>
      <c r="CB26" s="153">
        <v>0.0</v>
      </c>
      <c r="CC26" s="153">
        <v>0.0</v>
      </c>
      <c r="CD26" s="153">
        <v>0.0</v>
      </c>
      <c r="CE26" s="154">
        <v>0.0</v>
      </c>
      <c r="CF26" s="153">
        <v>0.0</v>
      </c>
      <c r="CG26" s="153">
        <v>0.0</v>
      </c>
      <c r="CH26" s="156">
        <v>0.0</v>
      </c>
      <c r="CI26" s="153">
        <v>0.0</v>
      </c>
      <c r="CJ26" s="153">
        <v>0.0</v>
      </c>
      <c r="CK26" s="153">
        <v>0.0</v>
      </c>
      <c r="CL26" s="153">
        <v>0.0</v>
      </c>
      <c r="CM26" s="153">
        <v>0.0</v>
      </c>
      <c r="CN26" s="153">
        <v>0.0</v>
      </c>
      <c r="CO26" s="154">
        <v>0.0</v>
      </c>
      <c r="CP26" s="153">
        <v>0.0</v>
      </c>
      <c r="CQ26" s="153">
        <v>0.0</v>
      </c>
      <c r="CR26" s="156">
        <v>0.0</v>
      </c>
      <c r="CS26" s="153">
        <v>0.0</v>
      </c>
      <c r="CT26" s="153">
        <v>0.0</v>
      </c>
      <c r="CU26" s="153">
        <v>0.0</v>
      </c>
      <c r="CV26" s="153">
        <v>0.0</v>
      </c>
      <c r="CW26" s="153">
        <v>0.16666666666666666</v>
      </c>
      <c r="CX26" s="153">
        <v>0.0</v>
      </c>
    </row>
    <row r="27" ht="35.25" customHeight="1">
      <c r="B27" s="167" t="s">
        <v>2969</v>
      </c>
      <c r="C27" s="154">
        <v>0.0</v>
      </c>
      <c r="D27" s="153">
        <v>0.0</v>
      </c>
      <c r="E27" s="153">
        <v>0.0</v>
      </c>
      <c r="F27" s="153">
        <v>0.0</v>
      </c>
      <c r="G27" s="156">
        <v>0.0</v>
      </c>
      <c r="H27" s="153">
        <v>0.0</v>
      </c>
      <c r="I27" s="153">
        <v>0.0</v>
      </c>
      <c r="J27" s="153">
        <v>0.0</v>
      </c>
      <c r="K27" s="153">
        <v>0.0</v>
      </c>
      <c r="L27" s="153">
        <v>0.0</v>
      </c>
      <c r="M27" s="154">
        <v>0.1</v>
      </c>
      <c r="N27" s="153">
        <v>0.0</v>
      </c>
      <c r="O27" s="153">
        <v>0.0</v>
      </c>
      <c r="P27" s="153">
        <v>0.0</v>
      </c>
      <c r="Q27" s="156">
        <v>0.05555555555555555</v>
      </c>
      <c r="R27" s="153">
        <v>0.16666666666666666</v>
      </c>
      <c r="S27" s="153">
        <v>0.0</v>
      </c>
      <c r="T27" s="153">
        <v>0.0</v>
      </c>
      <c r="U27" s="153">
        <v>0.0</v>
      </c>
      <c r="V27" s="153">
        <v>0.25</v>
      </c>
      <c r="W27" s="154">
        <v>0.8</v>
      </c>
      <c r="X27" s="153">
        <v>1.0</v>
      </c>
      <c r="Y27" s="153">
        <v>0.5</v>
      </c>
      <c r="Z27" s="153">
        <v>1.0</v>
      </c>
      <c r="AA27" s="155">
        <v>0.0</v>
      </c>
      <c r="AB27" s="153">
        <v>1.0</v>
      </c>
      <c r="AC27" s="153">
        <v>0.75</v>
      </c>
      <c r="AD27" s="153">
        <v>0.9</v>
      </c>
      <c r="AE27" s="153">
        <v>0.8333333333333334</v>
      </c>
      <c r="AF27" s="153">
        <v>1.0</v>
      </c>
      <c r="AG27" s="154">
        <v>0.0</v>
      </c>
      <c r="AH27" s="153">
        <v>0.16666666666666666</v>
      </c>
      <c r="AI27" s="153">
        <v>0.0</v>
      </c>
      <c r="AJ27" s="153">
        <v>0.0</v>
      </c>
      <c r="AK27" s="156">
        <v>0.0</v>
      </c>
      <c r="AL27" s="153">
        <v>0.0</v>
      </c>
      <c r="AM27" s="153">
        <v>0.0</v>
      </c>
      <c r="AN27" s="153">
        <v>0.0</v>
      </c>
      <c r="AO27" s="153">
        <v>0.0</v>
      </c>
      <c r="AP27" s="153">
        <v>0.0</v>
      </c>
      <c r="AQ27" s="154">
        <v>0.0</v>
      </c>
      <c r="AR27" s="153">
        <v>0.0</v>
      </c>
      <c r="AS27" s="153">
        <v>0.0</v>
      </c>
      <c r="AT27" s="153">
        <v>0.0</v>
      </c>
      <c r="AU27" s="156">
        <v>0.0</v>
      </c>
      <c r="AV27" s="153">
        <v>0.0</v>
      </c>
      <c r="AW27" s="153">
        <v>0.0</v>
      </c>
      <c r="AX27" s="153">
        <v>0.0</v>
      </c>
      <c r="AY27" s="153">
        <v>0.0</v>
      </c>
      <c r="AZ27" s="153">
        <v>0.0</v>
      </c>
      <c r="BA27" s="154">
        <v>0.0</v>
      </c>
      <c r="BB27" s="153">
        <v>0.0</v>
      </c>
      <c r="BC27" s="153">
        <v>0.0</v>
      </c>
      <c r="BD27" s="153">
        <v>0.0</v>
      </c>
      <c r="BE27" s="156">
        <v>0.0</v>
      </c>
      <c r="BF27" s="153">
        <v>0.0</v>
      </c>
      <c r="BG27" s="153">
        <v>0.0</v>
      </c>
      <c r="BH27" s="153">
        <v>0.0</v>
      </c>
      <c r="BI27" s="153">
        <v>0.0</v>
      </c>
      <c r="BJ27" s="153">
        <v>0.0</v>
      </c>
      <c r="BK27" s="154">
        <v>0.0</v>
      </c>
      <c r="BL27" s="153">
        <v>0.0</v>
      </c>
      <c r="BM27" s="153">
        <v>0.0</v>
      </c>
      <c r="BN27" s="153">
        <v>0.0</v>
      </c>
      <c r="BO27" s="156">
        <v>0.0</v>
      </c>
      <c r="BP27" s="153">
        <v>0.0</v>
      </c>
      <c r="BQ27" s="153">
        <v>0.0</v>
      </c>
      <c r="BR27" s="153">
        <v>0.0</v>
      </c>
      <c r="BS27" s="153">
        <v>0.0</v>
      </c>
      <c r="BT27" s="153">
        <v>0.0</v>
      </c>
      <c r="BU27" s="154">
        <v>0.0</v>
      </c>
      <c r="BV27" s="153">
        <v>0.0</v>
      </c>
      <c r="BW27" s="153">
        <v>0.0</v>
      </c>
      <c r="BX27" s="153">
        <v>0.0</v>
      </c>
      <c r="BY27" s="156">
        <v>0.0</v>
      </c>
      <c r="BZ27" s="153">
        <v>0.0</v>
      </c>
      <c r="CA27" s="153">
        <v>0.0</v>
      </c>
      <c r="CB27" s="153">
        <v>0.0</v>
      </c>
      <c r="CC27" s="153">
        <v>0.0</v>
      </c>
      <c r="CD27" s="153">
        <v>0.0</v>
      </c>
      <c r="CE27" s="154">
        <v>0.0</v>
      </c>
      <c r="CF27" s="153">
        <v>0.0</v>
      </c>
      <c r="CG27" s="153">
        <v>0.0</v>
      </c>
      <c r="CH27" s="153">
        <v>0.0</v>
      </c>
      <c r="CI27" s="156">
        <v>0.0</v>
      </c>
      <c r="CJ27" s="153">
        <v>0.0</v>
      </c>
      <c r="CK27" s="153">
        <v>0.0</v>
      </c>
      <c r="CL27" s="153">
        <v>0.0</v>
      </c>
      <c r="CM27" s="153">
        <v>0.0</v>
      </c>
      <c r="CN27" s="153">
        <v>0.0</v>
      </c>
      <c r="CO27" s="154">
        <v>0.0</v>
      </c>
      <c r="CP27" s="153">
        <v>0.0</v>
      </c>
      <c r="CQ27" s="153">
        <v>0.0</v>
      </c>
      <c r="CR27" s="153">
        <v>0.0</v>
      </c>
      <c r="CS27" s="156">
        <v>0.0</v>
      </c>
      <c r="CT27" s="153">
        <v>0.0</v>
      </c>
      <c r="CU27" s="153">
        <v>0.0</v>
      </c>
      <c r="CV27" s="153">
        <v>0.0</v>
      </c>
      <c r="CW27" s="153">
        <v>0.0</v>
      </c>
      <c r="CX27" s="153">
        <v>0.0</v>
      </c>
    </row>
    <row r="28" ht="35.25" customHeight="1">
      <c r="B28" s="167" t="s">
        <v>2970</v>
      </c>
      <c r="C28" s="154">
        <v>0.0</v>
      </c>
      <c r="D28" s="153">
        <v>0.0</v>
      </c>
      <c r="E28" s="153">
        <v>0.0</v>
      </c>
      <c r="F28" s="153">
        <v>0.0</v>
      </c>
      <c r="G28" s="153">
        <v>0.0</v>
      </c>
      <c r="H28" s="156">
        <v>0.0</v>
      </c>
      <c r="I28" s="153">
        <v>0.0</v>
      </c>
      <c r="J28" s="153">
        <v>0.0</v>
      </c>
      <c r="K28" s="153">
        <v>0.0</v>
      </c>
      <c r="L28" s="153">
        <v>0.0</v>
      </c>
      <c r="M28" s="154">
        <v>0.1</v>
      </c>
      <c r="N28" s="153">
        <v>0.0</v>
      </c>
      <c r="O28" s="153">
        <v>0.0</v>
      </c>
      <c r="P28" s="153">
        <v>0.0</v>
      </c>
      <c r="Q28" s="153">
        <v>0.16666666666666666</v>
      </c>
      <c r="R28" s="156">
        <v>0.0625</v>
      </c>
      <c r="S28" s="153">
        <v>0.0</v>
      </c>
      <c r="T28" s="153">
        <v>0.0</v>
      </c>
      <c r="U28" s="153">
        <v>0.0</v>
      </c>
      <c r="V28" s="153">
        <v>0.25</v>
      </c>
      <c r="W28" s="154">
        <v>0.7</v>
      </c>
      <c r="X28" s="153">
        <v>1.0</v>
      </c>
      <c r="Y28" s="153">
        <v>0.5</v>
      </c>
      <c r="Z28" s="153">
        <v>0.5</v>
      </c>
      <c r="AA28" s="153">
        <v>1.0</v>
      </c>
      <c r="AB28" s="155">
        <v>0.0</v>
      </c>
      <c r="AC28" s="153">
        <v>1.0</v>
      </c>
      <c r="AD28" s="153">
        <v>1.0</v>
      </c>
      <c r="AE28" s="153">
        <v>1.0</v>
      </c>
      <c r="AF28" s="153">
        <v>1.0</v>
      </c>
      <c r="AG28" s="154">
        <v>0.0</v>
      </c>
      <c r="AH28" s="153">
        <v>0.0</v>
      </c>
      <c r="AI28" s="153">
        <v>0.0</v>
      </c>
      <c r="AJ28" s="153">
        <v>0.0</v>
      </c>
      <c r="AK28" s="153">
        <v>0.0</v>
      </c>
      <c r="AL28" s="156">
        <v>0.0</v>
      </c>
      <c r="AM28" s="153">
        <v>0.0</v>
      </c>
      <c r="AN28" s="153">
        <v>0.0</v>
      </c>
      <c r="AO28" s="153">
        <v>0.25</v>
      </c>
      <c r="AP28" s="153">
        <v>0.0</v>
      </c>
      <c r="AQ28" s="154">
        <v>0.0</v>
      </c>
      <c r="AR28" s="153">
        <v>0.0</v>
      </c>
      <c r="AS28" s="153">
        <v>0.0</v>
      </c>
      <c r="AT28" s="153">
        <v>0.0</v>
      </c>
      <c r="AU28" s="153">
        <v>0.0</v>
      </c>
      <c r="AV28" s="156">
        <v>0.0</v>
      </c>
      <c r="AW28" s="153">
        <v>0.0</v>
      </c>
      <c r="AX28" s="153">
        <v>0.0</v>
      </c>
      <c r="AY28" s="153">
        <v>0.0</v>
      </c>
      <c r="AZ28" s="153">
        <v>0.0</v>
      </c>
      <c r="BA28" s="154">
        <v>0.0</v>
      </c>
      <c r="BB28" s="153">
        <v>0.0</v>
      </c>
      <c r="BC28" s="153">
        <v>0.0</v>
      </c>
      <c r="BD28" s="153">
        <v>0.0</v>
      </c>
      <c r="BE28" s="153">
        <v>0.0</v>
      </c>
      <c r="BF28" s="156">
        <v>0.0</v>
      </c>
      <c r="BG28" s="153">
        <v>0.0</v>
      </c>
      <c r="BH28" s="153">
        <v>0.0</v>
      </c>
      <c r="BI28" s="153">
        <v>0.0</v>
      </c>
      <c r="BJ28" s="153">
        <v>0.0</v>
      </c>
      <c r="BK28" s="154">
        <v>0.0</v>
      </c>
      <c r="BL28" s="153">
        <v>0.0</v>
      </c>
      <c r="BM28" s="153">
        <v>0.0</v>
      </c>
      <c r="BN28" s="153">
        <v>0.0</v>
      </c>
      <c r="BO28" s="153">
        <v>0.0</v>
      </c>
      <c r="BP28" s="156">
        <v>0.0</v>
      </c>
      <c r="BQ28" s="153">
        <v>0.0</v>
      </c>
      <c r="BR28" s="153">
        <v>0.0</v>
      </c>
      <c r="BS28" s="153">
        <v>0.0</v>
      </c>
      <c r="BT28" s="153">
        <v>0.0</v>
      </c>
      <c r="BU28" s="154">
        <v>0.0</v>
      </c>
      <c r="BV28" s="153">
        <v>0.0</v>
      </c>
      <c r="BW28" s="153">
        <v>0.0</v>
      </c>
      <c r="BX28" s="153">
        <v>0.0</v>
      </c>
      <c r="BY28" s="153">
        <v>0.0</v>
      </c>
      <c r="BZ28" s="156">
        <v>0.0</v>
      </c>
      <c r="CA28" s="153">
        <v>0.0</v>
      </c>
      <c r="CB28" s="153">
        <v>0.0</v>
      </c>
      <c r="CC28" s="153">
        <v>0.0</v>
      </c>
      <c r="CD28" s="153">
        <v>0.0</v>
      </c>
      <c r="CE28" s="154">
        <v>0.0</v>
      </c>
      <c r="CF28" s="153">
        <v>0.0</v>
      </c>
      <c r="CG28" s="153">
        <v>0.0</v>
      </c>
      <c r="CH28" s="153">
        <v>0.0</v>
      </c>
      <c r="CI28" s="153">
        <v>0.0</v>
      </c>
      <c r="CJ28" s="156">
        <v>0.0</v>
      </c>
      <c r="CK28" s="153">
        <v>0.0</v>
      </c>
      <c r="CL28" s="153">
        <v>0.0</v>
      </c>
      <c r="CM28" s="153">
        <v>0.0</v>
      </c>
      <c r="CN28" s="153">
        <v>0.0</v>
      </c>
      <c r="CO28" s="154">
        <v>0.0</v>
      </c>
      <c r="CP28" s="153">
        <v>0.0</v>
      </c>
      <c r="CQ28" s="153">
        <v>0.0</v>
      </c>
      <c r="CR28" s="153">
        <v>0.0</v>
      </c>
      <c r="CS28" s="153">
        <v>0.0</v>
      </c>
      <c r="CT28" s="156">
        <v>0.0</v>
      </c>
      <c r="CU28" s="153">
        <v>0.0</v>
      </c>
      <c r="CV28" s="153">
        <v>0.0</v>
      </c>
      <c r="CW28" s="153">
        <v>0.0</v>
      </c>
      <c r="CX28" s="153">
        <v>0.0</v>
      </c>
    </row>
    <row r="29" ht="35.25" customHeight="1">
      <c r="B29" s="167" t="s">
        <v>2971</v>
      </c>
      <c r="C29" s="154">
        <v>0.0</v>
      </c>
      <c r="D29" s="153">
        <v>0.0</v>
      </c>
      <c r="E29" s="153">
        <v>0.0</v>
      </c>
      <c r="F29" s="153">
        <v>0.0</v>
      </c>
      <c r="G29" s="153">
        <v>0.0</v>
      </c>
      <c r="H29" s="153">
        <v>0.0</v>
      </c>
      <c r="I29" s="156">
        <v>0.0</v>
      </c>
      <c r="J29" s="153">
        <v>0.0</v>
      </c>
      <c r="K29" s="153">
        <v>0.0</v>
      </c>
      <c r="L29" s="153">
        <v>0.0</v>
      </c>
      <c r="M29" s="154">
        <v>0.0</v>
      </c>
      <c r="N29" s="153">
        <v>0.0</v>
      </c>
      <c r="O29" s="153">
        <v>0.0</v>
      </c>
      <c r="P29" s="153">
        <v>0.0</v>
      </c>
      <c r="Q29" s="153">
        <v>0.0</v>
      </c>
      <c r="R29" s="153">
        <v>0.0</v>
      </c>
      <c r="S29" s="156">
        <v>0.0</v>
      </c>
      <c r="T29" s="153">
        <v>0.0</v>
      </c>
      <c r="U29" s="153">
        <v>0.0</v>
      </c>
      <c r="V29" s="153">
        <v>0.0</v>
      </c>
      <c r="W29" s="154">
        <v>0.5</v>
      </c>
      <c r="X29" s="153">
        <v>1.0</v>
      </c>
      <c r="Y29" s="153">
        <v>0.875</v>
      </c>
      <c r="Z29" s="153">
        <v>1.0</v>
      </c>
      <c r="AA29" s="153">
        <v>0.75</v>
      </c>
      <c r="AB29" s="153">
        <v>0.75</v>
      </c>
      <c r="AC29" s="155">
        <v>0.0</v>
      </c>
      <c r="AD29" s="153">
        <v>1.0</v>
      </c>
      <c r="AE29" s="153">
        <v>1.0</v>
      </c>
      <c r="AF29" s="153">
        <v>1.0</v>
      </c>
      <c r="AG29" s="154">
        <v>0.0</v>
      </c>
      <c r="AH29" s="153">
        <v>0.5</v>
      </c>
      <c r="AI29" s="153">
        <v>0.375</v>
      </c>
      <c r="AJ29" s="153">
        <v>0.0</v>
      </c>
      <c r="AK29" s="153">
        <v>0.0</v>
      </c>
      <c r="AL29" s="153">
        <v>0.0</v>
      </c>
      <c r="AM29" s="156">
        <v>0.0</v>
      </c>
      <c r="AN29" s="153">
        <v>0.0</v>
      </c>
      <c r="AO29" s="153">
        <v>0.25</v>
      </c>
      <c r="AP29" s="153">
        <v>0.0</v>
      </c>
      <c r="AQ29" s="154">
        <v>0.0</v>
      </c>
      <c r="AR29" s="153">
        <v>0.0</v>
      </c>
      <c r="AS29" s="153">
        <v>0.0</v>
      </c>
      <c r="AT29" s="153">
        <v>0.0</v>
      </c>
      <c r="AU29" s="153">
        <v>0.0</v>
      </c>
      <c r="AV29" s="153">
        <v>0.0</v>
      </c>
      <c r="AW29" s="156">
        <v>0.0</v>
      </c>
      <c r="AX29" s="153">
        <v>0.0</v>
      </c>
      <c r="AY29" s="153">
        <v>0.0</v>
      </c>
      <c r="AZ29" s="153">
        <v>0.0</v>
      </c>
      <c r="BA29" s="154">
        <v>0.0</v>
      </c>
      <c r="BB29" s="153">
        <v>0.0</v>
      </c>
      <c r="BC29" s="153">
        <v>0.0</v>
      </c>
      <c r="BD29" s="153">
        <v>0.0</v>
      </c>
      <c r="BE29" s="153">
        <v>0.0</v>
      </c>
      <c r="BF29" s="153">
        <v>0.0</v>
      </c>
      <c r="BG29" s="156">
        <v>0.0</v>
      </c>
      <c r="BH29" s="153">
        <v>0.0</v>
      </c>
      <c r="BI29" s="153">
        <v>0.0</v>
      </c>
      <c r="BJ29" s="153">
        <v>0.0</v>
      </c>
      <c r="BK29" s="154">
        <v>0.0</v>
      </c>
      <c r="BL29" s="153">
        <v>0.0</v>
      </c>
      <c r="BM29" s="153">
        <v>0.0</v>
      </c>
      <c r="BN29" s="153">
        <v>0.0</v>
      </c>
      <c r="BO29" s="153">
        <v>0.0</v>
      </c>
      <c r="BP29" s="153">
        <v>0.0</v>
      </c>
      <c r="BQ29" s="156">
        <v>0.0</v>
      </c>
      <c r="BR29" s="153">
        <v>0.0</v>
      </c>
      <c r="BS29" s="153">
        <v>0.0</v>
      </c>
      <c r="BT29" s="153">
        <v>0.0</v>
      </c>
      <c r="BU29" s="154">
        <v>0.0</v>
      </c>
      <c r="BV29" s="153">
        <v>0.0</v>
      </c>
      <c r="BW29" s="153">
        <v>0.0</v>
      </c>
      <c r="BX29" s="153">
        <v>0.0</v>
      </c>
      <c r="BY29" s="153">
        <v>0.0</v>
      </c>
      <c r="BZ29" s="153">
        <v>0.0</v>
      </c>
      <c r="CA29" s="156">
        <v>0.0</v>
      </c>
      <c r="CB29" s="153">
        <v>0.0</v>
      </c>
      <c r="CC29" s="153">
        <v>0.0</v>
      </c>
      <c r="CD29" s="153">
        <v>0.0</v>
      </c>
      <c r="CE29" s="154">
        <v>0.0</v>
      </c>
      <c r="CF29" s="153">
        <v>0.0</v>
      </c>
      <c r="CG29" s="153">
        <v>0.0</v>
      </c>
      <c r="CH29" s="153">
        <v>0.0</v>
      </c>
      <c r="CI29" s="153">
        <v>0.0</v>
      </c>
      <c r="CJ29" s="153">
        <v>0.0</v>
      </c>
      <c r="CK29" s="156">
        <v>0.0</v>
      </c>
      <c r="CL29" s="153">
        <v>0.0</v>
      </c>
      <c r="CM29" s="153">
        <v>0.0</v>
      </c>
      <c r="CN29" s="153">
        <v>0.0</v>
      </c>
      <c r="CO29" s="154">
        <v>0.0</v>
      </c>
      <c r="CP29" s="153">
        <v>0.0</v>
      </c>
      <c r="CQ29" s="153">
        <v>0.0</v>
      </c>
      <c r="CR29" s="153">
        <v>0.0</v>
      </c>
      <c r="CS29" s="153">
        <v>0.0</v>
      </c>
      <c r="CT29" s="153">
        <v>0.0</v>
      </c>
      <c r="CU29" s="156">
        <v>0.0</v>
      </c>
      <c r="CV29" s="153">
        <v>0.0</v>
      </c>
      <c r="CW29" s="153">
        <v>0.25</v>
      </c>
      <c r="CX29" s="153">
        <v>0.0</v>
      </c>
    </row>
    <row r="30" ht="35.25" customHeight="1">
      <c r="B30" s="167" t="s">
        <v>2972</v>
      </c>
      <c r="C30" s="154">
        <v>0.0</v>
      </c>
      <c r="D30" s="153">
        <v>0.0</v>
      </c>
      <c r="E30" s="153">
        <v>0.0</v>
      </c>
      <c r="F30" s="153">
        <v>0.0</v>
      </c>
      <c r="G30" s="153">
        <v>0.0</v>
      </c>
      <c r="H30" s="153">
        <v>0.0</v>
      </c>
      <c r="I30" s="153">
        <v>0.0</v>
      </c>
      <c r="J30" s="156">
        <v>0.0</v>
      </c>
      <c r="K30" s="153">
        <v>0.0</v>
      </c>
      <c r="L30" s="153">
        <v>0.0</v>
      </c>
      <c r="M30" s="154">
        <v>0.0</v>
      </c>
      <c r="N30" s="153">
        <v>0.0</v>
      </c>
      <c r="O30" s="153">
        <v>0.0</v>
      </c>
      <c r="P30" s="153">
        <v>0.0</v>
      </c>
      <c r="Q30" s="153">
        <v>0.0</v>
      </c>
      <c r="R30" s="153">
        <v>0.0</v>
      </c>
      <c r="S30" s="153">
        <v>0.0</v>
      </c>
      <c r="T30" s="156">
        <v>0.0</v>
      </c>
      <c r="U30" s="153">
        <v>0.0</v>
      </c>
      <c r="V30" s="153">
        <v>0.0</v>
      </c>
      <c r="W30" s="154">
        <v>0.75</v>
      </c>
      <c r="X30" s="153">
        <v>1.0</v>
      </c>
      <c r="Y30" s="153">
        <v>0.8333333333333334</v>
      </c>
      <c r="Z30" s="153">
        <v>1.0</v>
      </c>
      <c r="AA30" s="153">
        <v>0.9</v>
      </c>
      <c r="AB30" s="153">
        <v>1.0</v>
      </c>
      <c r="AC30" s="153">
        <v>1.0</v>
      </c>
      <c r="AD30" s="155">
        <v>0.0</v>
      </c>
      <c r="AE30" s="153">
        <v>0.75</v>
      </c>
      <c r="AF30" s="153">
        <v>1.0</v>
      </c>
      <c r="AG30" s="154">
        <v>0.0</v>
      </c>
      <c r="AH30" s="153">
        <v>0.0</v>
      </c>
      <c r="AI30" s="153">
        <v>0.0</v>
      </c>
      <c r="AJ30" s="153">
        <v>0.0</v>
      </c>
      <c r="AK30" s="153">
        <v>0.0</v>
      </c>
      <c r="AL30" s="153">
        <v>0.0</v>
      </c>
      <c r="AM30" s="153">
        <v>0.0</v>
      </c>
      <c r="AN30" s="156">
        <v>0.0</v>
      </c>
      <c r="AO30" s="153">
        <v>0.0</v>
      </c>
      <c r="AP30" s="153">
        <v>0.0</v>
      </c>
      <c r="AQ30" s="154">
        <v>0.0</v>
      </c>
      <c r="AR30" s="153">
        <v>0.0</v>
      </c>
      <c r="AS30" s="153">
        <v>0.0</v>
      </c>
      <c r="AT30" s="153">
        <v>0.0</v>
      </c>
      <c r="AU30" s="153">
        <v>0.0</v>
      </c>
      <c r="AV30" s="153">
        <v>0.0</v>
      </c>
      <c r="AW30" s="153">
        <v>0.0</v>
      </c>
      <c r="AX30" s="156">
        <v>0.0</v>
      </c>
      <c r="AY30" s="153">
        <v>0.0</v>
      </c>
      <c r="AZ30" s="153">
        <v>0.0</v>
      </c>
      <c r="BA30" s="154">
        <v>0.0</v>
      </c>
      <c r="BB30" s="153">
        <v>0.0</v>
      </c>
      <c r="BC30" s="153">
        <v>0.0</v>
      </c>
      <c r="BD30" s="153">
        <v>0.0</v>
      </c>
      <c r="BE30" s="153">
        <v>0.0</v>
      </c>
      <c r="BF30" s="153">
        <v>0.0</v>
      </c>
      <c r="BG30" s="153">
        <v>0.0</v>
      </c>
      <c r="BH30" s="156">
        <v>0.0</v>
      </c>
      <c r="BI30" s="153">
        <v>0.0</v>
      </c>
      <c r="BJ30" s="153">
        <v>0.0</v>
      </c>
      <c r="BK30" s="154">
        <v>0.0</v>
      </c>
      <c r="BL30" s="153">
        <v>0.0</v>
      </c>
      <c r="BM30" s="153">
        <v>0.0</v>
      </c>
      <c r="BN30" s="153">
        <v>0.0</v>
      </c>
      <c r="BO30" s="153">
        <v>0.0</v>
      </c>
      <c r="BP30" s="153">
        <v>0.0</v>
      </c>
      <c r="BQ30" s="153">
        <v>0.0</v>
      </c>
      <c r="BR30" s="156">
        <v>0.0</v>
      </c>
      <c r="BS30" s="153">
        <v>0.0</v>
      </c>
      <c r="BT30" s="153">
        <v>0.0</v>
      </c>
      <c r="BU30" s="154">
        <v>0.0</v>
      </c>
      <c r="BV30" s="153">
        <v>0.0</v>
      </c>
      <c r="BW30" s="153">
        <v>0.0</v>
      </c>
      <c r="BX30" s="153">
        <v>0.0</v>
      </c>
      <c r="BY30" s="153">
        <v>0.0</v>
      </c>
      <c r="BZ30" s="153">
        <v>0.0</v>
      </c>
      <c r="CA30" s="153">
        <v>0.0</v>
      </c>
      <c r="CB30" s="156">
        <v>0.0</v>
      </c>
      <c r="CC30" s="153">
        <v>0.0</v>
      </c>
      <c r="CD30" s="153">
        <v>0.0</v>
      </c>
      <c r="CE30" s="154">
        <v>0.0</v>
      </c>
      <c r="CF30" s="153">
        <v>0.0</v>
      </c>
      <c r="CG30" s="153">
        <v>0.0</v>
      </c>
      <c r="CH30" s="153">
        <v>0.0</v>
      </c>
      <c r="CI30" s="153">
        <v>0.0</v>
      </c>
      <c r="CJ30" s="153">
        <v>0.0</v>
      </c>
      <c r="CK30" s="153">
        <v>0.0</v>
      </c>
      <c r="CL30" s="156">
        <v>0.0</v>
      </c>
      <c r="CM30" s="153">
        <v>0.0</v>
      </c>
      <c r="CN30" s="153">
        <v>0.0</v>
      </c>
      <c r="CO30" s="154">
        <v>0.0</v>
      </c>
      <c r="CP30" s="153">
        <v>0.0</v>
      </c>
      <c r="CQ30" s="153">
        <v>0.0</v>
      </c>
      <c r="CR30" s="153">
        <v>0.0</v>
      </c>
      <c r="CS30" s="153">
        <v>0.0</v>
      </c>
      <c r="CT30" s="153">
        <v>0.0</v>
      </c>
      <c r="CU30" s="153">
        <v>0.0</v>
      </c>
      <c r="CV30" s="156">
        <v>0.0</v>
      </c>
      <c r="CW30" s="153">
        <v>0.0</v>
      </c>
      <c r="CX30" s="153">
        <v>0.0</v>
      </c>
    </row>
    <row r="31" ht="35.25" customHeight="1">
      <c r="B31" s="167" t="s">
        <v>2973</v>
      </c>
      <c r="C31" s="154">
        <v>0.0</v>
      </c>
      <c r="D31" s="153">
        <v>0.0</v>
      </c>
      <c r="E31" s="153">
        <v>0.0</v>
      </c>
      <c r="F31" s="153">
        <v>0.0</v>
      </c>
      <c r="G31" s="153">
        <v>0.0</v>
      </c>
      <c r="H31" s="153">
        <v>0.0</v>
      </c>
      <c r="I31" s="153">
        <v>0.0</v>
      </c>
      <c r="J31" s="153">
        <v>0.0</v>
      </c>
      <c r="K31" s="156">
        <v>0.0</v>
      </c>
      <c r="L31" s="153">
        <v>0.0</v>
      </c>
      <c r="M31" s="154">
        <v>0.0</v>
      </c>
      <c r="N31" s="153">
        <v>0.0</v>
      </c>
      <c r="O31" s="153">
        <v>0.0</v>
      </c>
      <c r="P31" s="153">
        <v>0.0</v>
      </c>
      <c r="Q31" s="153">
        <v>0.0</v>
      </c>
      <c r="R31" s="153">
        <v>0.0</v>
      </c>
      <c r="S31" s="153">
        <v>0.0</v>
      </c>
      <c r="T31" s="153">
        <v>0.0</v>
      </c>
      <c r="U31" s="156">
        <v>0.0</v>
      </c>
      <c r="V31" s="153">
        <v>0.0</v>
      </c>
      <c r="W31" s="154">
        <v>0.8</v>
      </c>
      <c r="X31" s="153">
        <v>1.0</v>
      </c>
      <c r="Y31" s="153">
        <v>0.75</v>
      </c>
      <c r="Z31" s="153">
        <v>1.0</v>
      </c>
      <c r="AA31" s="153">
        <v>0.8333333333333334</v>
      </c>
      <c r="AB31" s="153">
        <v>0.75</v>
      </c>
      <c r="AC31" s="153">
        <v>1.0</v>
      </c>
      <c r="AD31" s="153">
        <v>0.75</v>
      </c>
      <c r="AE31" s="155">
        <v>0.0</v>
      </c>
      <c r="AF31" s="153">
        <v>1.0</v>
      </c>
      <c r="AG31" s="154">
        <v>0.0</v>
      </c>
      <c r="AH31" s="153">
        <v>0.0</v>
      </c>
      <c r="AI31" s="153">
        <v>0.25</v>
      </c>
      <c r="AJ31" s="153">
        <v>0.0</v>
      </c>
      <c r="AK31" s="153">
        <v>0.0</v>
      </c>
      <c r="AL31" s="153">
        <v>0.0</v>
      </c>
      <c r="AM31" s="153">
        <v>0.0</v>
      </c>
      <c r="AN31" s="153">
        <v>0.0</v>
      </c>
      <c r="AO31" s="156">
        <v>0.0625</v>
      </c>
      <c r="AP31" s="153">
        <v>0.0</v>
      </c>
      <c r="AQ31" s="154">
        <v>0.0</v>
      </c>
      <c r="AR31" s="153">
        <v>0.0</v>
      </c>
      <c r="AS31" s="153">
        <v>0.0</v>
      </c>
      <c r="AT31" s="153">
        <v>0.0</v>
      </c>
      <c r="AU31" s="153">
        <v>0.0</v>
      </c>
      <c r="AV31" s="153">
        <v>0.0</v>
      </c>
      <c r="AW31" s="153">
        <v>0.0</v>
      </c>
      <c r="AX31" s="153">
        <v>0.0</v>
      </c>
      <c r="AY31" s="156">
        <v>0.0</v>
      </c>
      <c r="AZ31" s="153">
        <v>0.0</v>
      </c>
      <c r="BA31" s="154">
        <v>0.0</v>
      </c>
      <c r="BB31" s="153">
        <v>0.0</v>
      </c>
      <c r="BC31" s="153">
        <v>0.0</v>
      </c>
      <c r="BD31" s="153">
        <v>0.0</v>
      </c>
      <c r="BE31" s="153">
        <v>0.0</v>
      </c>
      <c r="BF31" s="153">
        <v>0.0</v>
      </c>
      <c r="BG31" s="153">
        <v>0.0</v>
      </c>
      <c r="BH31" s="153">
        <v>0.0</v>
      </c>
      <c r="BI31" s="156">
        <v>0.0</v>
      </c>
      <c r="BJ31" s="153">
        <v>0.0</v>
      </c>
      <c r="BK31" s="154">
        <v>0.0</v>
      </c>
      <c r="BL31" s="153">
        <v>0.0</v>
      </c>
      <c r="BM31" s="153">
        <v>0.0</v>
      </c>
      <c r="BN31" s="153">
        <v>0.0</v>
      </c>
      <c r="BO31" s="153">
        <v>0.0</v>
      </c>
      <c r="BP31" s="153">
        <v>0.0</v>
      </c>
      <c r="BQ31" s="153">
        <v>0.0</v>
      </c>
      <c r="BR31" s="153">
        <v>0.0</v>
      </c>
      <c r="BS31" s="156">
        <v>0.0</v>
      </c>
      <c r="BT31" s="153">
        <v>0.0</v>
      </c>
      <c r="BU31" s="154">
        <v>0.0</v>
      </c>
      <c r="BV31" s="153">
        <v>0.0</v>
      </c>
      <c r="BW31" s="153">
        <v>0.0</v>
      </c>
      <c r="BX31" s="153">
        <v>0.0</v>
      </c>
      <c r="BY31" s="153">
        <v>0.0</v>
      </c>
      <c r="BZ31" s="153">
        <v>0.0</v>
      </c>
      <c r="CA31" s="153">
        <v>0.0</v>
      </c>
      <c r="CB31" s="153">
        <v>0.0</v>
      </c>
      <c r="CC31" s="156">
        <v>0.0</v>
      </c>
      <c r="CD31" s="153">
        <v>0.0</v>
      </c>
      <c r="CE31" s="154">
        <v>0.0</v>
      </c>
      <c r="CF31" s="153">
        <v>0.0</v>
      </c>
      <c r="CG31" s="153">
        <v>0.0</v>
      </c>
      <c r="CH31" s="153">
        <v>0.0</v>
      </c>
      <c r="CI31" s="153">
        <v>0.0</v>
      </c>
      <c r="CJ31" s="153">
        <v>0.0</v>
      </c>
      <c r="CK31" s="153">
        <v>0.0</v>
      </c>
      <c r="CL31" s="153">
        <v>0.0</v>
      </c>
      <c r="CM31" s="156">
        <v>0.0</v>
      </c>
      <c r="CN31" s="153">
        <v>0.0</v>
      </c>
      <c r="CO31" s="154">
        <v>0.0</v>
      </c>
      <c r="CP31" s="153">
        <v>0.0</v>
      </c>
      <c r="CQ31" s="153">
        <v>0.0</v>
      </c>
      <c r="CR31" s="153">
        <v>0.0</v>
      </c>
      <c r="CS31" s="153">
        <v>0.0</v>
      </c>
      <c r="CT31" s="153">
        <v>0.0</v>
      </c>
      <c r="CU31" s="153">
        <v>0.0</v>
      </c>
      <c r="CV31" s="153">
        <v>0.0</v>
      </c>
      <c r="CW31" s="156">
        <v>0.0625</v>
      </c>
      <c r="CX31" s="153">
        <v>0.0</v>
      </c>
    </row>
    <row r="32" ht="35.25" customHeight="1">
      <c r="A32" s="125"/>
      <c r="B32" s="168" t="s">
        <v>2974</v>
      </c>
      <c r="C32" s="157">
        <v>0.0</v>
      </c>
      <c r="D32" s="158">
        <v>0.0</v>
      </c>
      <c r="E32" s="158">
        <v>0.0</v>
      </c>
      <c r="F32" s="158">
        <v>0.0</v>
      </c>
      <c r="G32" s="158">
        <v>0.0</v>
      </c>
      <c r="H32" s="158">
        <v>0.0</v>
      </c>
      <c r="I32" s="158">
        <v>0.0</v>
      </c>
      <c r="J32" s="158">
        <v>0.0</v>
      </c>
      <c r="K32" s="158">
        <v>0.0</v>
      </c>
      <c r="L32" s="160">
        <v>0.0</v>
      </c>
      <c r="M32" s="157">
        <v>0.25</v>
      </c>
      <c r="N32" s="158">
        <v>0.0</v>
      </c>
      <c r="O32" s="158">
        <v>0.0</v>
      </c>
      <c r="P32" s="158">
        <v>0.0</v>
      </c>
      <c r="Q32" s="158">
        <v>0.25</v>
      </c>
      <c r="R32" s="158">
        <v>0.25</v>
      </c>
      <c r="S32" s="158">
        <v>0.0</v>
      </c>
      <c r="T32" s="158">
        <v>0.0</v>
      </c>
      <c r="U32" s="158">
        <v>0.0</v>
      </c>
      <c r="V32" s="160">
        <v>0.07142857142857142</v>
      </c>
      <c r="W32" s="157">
        <v>1.0</v>
      </c>
      <c r="X32" s="158">
        <v>1.0</v>
      </c>
      <c r="Y32" s="158">
        <v>0.3333333333333333</v>
      </c>
      <c r="Z32" s="158">
        <v>1.0</v>
      </c>
      <c r="AA32" s="158">
        <v>1.0</v>
      </c>
      <c r="AB32" s="158">
        <v>1.0</v>
      </c>
      <c r="AC32" s="158">
        <v>1.0</v>
      </c>
      <c r="AD32" s="158">
        <v>1.0</v>
      </c>
      <c r="AE32" s="158">
        <v>1.0</v>
      </c>
      <c r="AF32" s="159">
        <v>0.0</v>
      </c>
      <c r="AG32" s="157">
        <v>0.0</v>
      </c>
      <c r="AH32" s="158">
        <v>0.5</v>
      </c>
      <c r="AI32" s="158">
        <v>0.3333333333333333</v>
      </c>
      <c r="AJ32" s="158">
        <v>0.0</v>
      </c>
      <c r="AK32" s="158">
        <v>0.0</v>
      </c>
      <c r="AL32" s="158">
        <v>0.0</v>
      </c>
      <c r="AM32" s="158">
        <v>0.0</v>
      </c>
      <c r="AN32" s="158">
        <v>0.0</v>
      </c>
      <c r="AO32" s="158">
        <v>0.0</v>
      </c>
      <c r="AP32" s="160">
        <v>0.0</v>
      </c>
      <c r="AQ32" s="157">
        <v>0.0</v>
      </c>
      <c r="AR32" s="158">
        <v>0.0</v>
      </c>
      <c r="AS32" s="158">
        <v>0.0</v>
      </c>
      <c r="AT32" s="158">
        <v>0.0</v>
      </c>
      <c r="AU32" s="158">
        <v>0.0</v>
      </c>
      <c r="AV32" s="158">
        <v>0.0</v>
      </c>
      <c r="AW32" s="158">
        <v>0.0</v>
      </c>
      <c r="AX32" s="158">
        <v>0.0</v>
      </c>
      <c r="AY32" s="158">
        <v>0.0</v>
      </c>
      <c r="AZ32" s="160">
        <v>0.0</v>
      </c>
      <c r="BA32" s="157">
        <v>0.0</v>
      </c>
      <c r="BB32" s="158">
        <v>0.0</v>
      </c>
      <c r="BC32" s="158">
        <v>0.0</v>
      </c>
      <c r="BD32" s="158">
        <v>0.0</v>
      </c>
      <c r="BE32" s="158">
        <v>0.0</v>
      </c>
      <c r="BF32" s="158">
        <v>0.0</v>
      </c>
      <c r="BG32" s="158">
        <v>0.0</v>
      </c>
      <c r="BH32" s="158">
        <v>0.0</v>
      </c>
      <c r="BI32" s="158">
        <v>0.0</v>
      </c>
      <c r="BJ32" s="160">
        <v>0.0</v>
      </c>
      <c r="BK32" s="157">
        <v>0.0</v>
      </c>
      <c r="BL32" s="158">
        <v>0.0</v>
      </c>
      <c r="BM32" s="158">
        <v>0.0</v>
      </c>
      <c r="BN32" s="158">
        <v>0.0</v>
      </c>
      <c r="BO32" s="158">
        <v>0.0</v>
      </c>
      <c r="BP32" s="158">
        <v>0.0</v>
      </c>
      <c r="BQ32" s="158">
        <v>0.0</v>
      </c>
      <c r="BR32" s="158">
        <v>0.0</v>
      </c>
      <c r="BS32" s="158">
        <v>0.0</v>
      </c>
      <c r="BT32" s="160">
        <v>0.0</v>
      </c>
      <c r="BU32" s="157">
        <v>0.0</v>
      </c>
      <c r="BV32" s="158">
        <v>0.0</v>
      </c>
      <c r="BW32" s="158">
        <v>0.0</v>
      </c>
      <c r="BX32" s="158">
        <v>0.0</v>
      </c>
      <c r="BY32" s="158">
        <v>0.0</v>
      </c>
      <c r="BZ32" s="158">
        <v>0.0</v>
      </c>
      <c r="CA32" s="158">
        <v>0.0</v>
      </c>
      <c r="CB32" s="158">
        <v>0.0</v>
      </c>
      <c r="CC32" s="158">
        <v>0.0</v>
      </c>
      <c r="CD32" s="160">
        <v>0.0</v>
      </c>
      <c r="CE32" s="157">
        <v>0.0</v>
      </c>
      <c r="CF32" s="158">
        <v>0.0</v>
      </c>
      <c r="CG32" s="158">
        <v>0.0</v>
      </c>
      <c r="CH32" s="158">
        <v>0.0</v>
      </c>
      <c r="CI32" s="158">
        <v>0.0</v>
      </c>
      <c r="CJ32" s="158">
        <v>0.0</v>
      </c>
      <c r="CK32" s="158">
        <v>0.0</v>
      </c>
      <c r="CL32" s="158">
        <v>0.0</v>
      </c>
      <c r="CM32" s="158">
        <v>0.0</v>
      </c>
      <c r="CN32" s="160">
        <v>0.0</v>
      </c>
      <c r="CO32" s="157">
        <v>0.0</v>
      </c>
      <c r="CP32" s="158">
        <v>0.0</v>
      </c>
      <c r="CQ32" s="158">
        <v>0.0</v>
      </c>
      <c r="CR32" s="158">
        <v>0.0</v>
      </c>
      <c r="CS32" s="158">
        <v>0.0</v>
      </c>
      <c r="CT32" s="158">
        <v>0.0</v>
      </c>
      <c r="CU32" s="158">
        <v>0.0</v>
      </c>
      <c r="CV32" s="158">
        <v>0.0</v>
      </c>
      <c r="CW32" s="158">
        <v>0.0</v>
      </c>
      <c r="CX32" s="160">
        <v>0.0</v>
      </c>
    </row>
    <row r="33" ht="35.25" customHeight="1">
      <c r="A33" s="134" t="s">
        <v>2938</v>
      </c>
      <c r="B33" s="167" t="s">
        <v>2975</v>
      </c>
      <c r="C33" s="154">
        <v>0.0</v>
      </c>
      <c r="D33" s="153">
        <v>0.0</v>
      </c>
      <c r="E33" s="153">
        <v>0.0</v>
      </c>
      <c r="F33" s="153">
        <v>0.0</v>
      </c>
      <c r="G33" s="153">
        <v>0.0</v>
      </c>
      <c r="H33" s="153">
        <v>0.0</v>
      </c>
      <c r="I33" s="153">
        <v>0.25</v>
      </c>
      <c r="J33" s="153">
        <v>0.0</v>
      </c>
      <c r="K33" s="153">
        <v>0.0</v>
      </c>
      <c r="L33" s="153">
        <v>0.0</v>
      </c>
      <c r="M33" s="154">
        <v>0.0</v>
      </c>
      <c r="N33" s="153">
        <v>0.0</v>
      </c>
      <c r="O33" s="153">
        <v>0.0</v>
      </c>
      <c r="P33" s="153">
        <v>0.0</v>
      </c>
      <c r="Q33" s="153">
        <v>0.0</v>
      </c>
      <c r="R33" s="153">
        <v>0.0</v>
      </c>
      <c r="S33" s="153">
        <v>0.0</v>
      </c>
      <c r="T33" s="153">
        <v>0.0</v>
      </c>
      <c r="U33" s="153">
        <v>0.0</v>
      </c>
      <c r="V33" s="153">
        <v>0.0</v>
      </c>
      <c r="W33" s="154">
        <v>0.0</v>
      </c>
      <c r="X33" s="153">
        <v>0.0</v>
      </c>
      <c r="Y33" s="153">
        <v>0.0</v>
      </c>
      <c r="Z33" s="153">
        <v>0.0</v>
      </c>
      <c r="AA33" s="153">
        <v>0.0</v>
      </c>
      <c r="AB33" s="153">
        <v>0.0</v>
      </c>
      <c r="AC33" s="153">
        <v>0.0</v>
      </c>
      <c r="AD33" s="153">
        <v>0.0</v>
      </c>
      <c r="AE33" s="153">
        <v>0.0</v>
      </c>
      <c r="AF33" s="153">
        <v>0.0</v>
      </c>
      <c r="AG33" s="152">
        <v>0.0</v>
      </c>
      <c r="AH33" s="153">
        <v>1.0</v>
      </c>
      <c r="AI33" s="153">
        <v>0.25</v>
      </c>
      <c r="AJ33" s="153">
        <v>0.5</v>
      </c>
      <c r="AK33" s="153">
        <v>0.8</v>
      </c>
      <c r="AL33" s="153">
        <v>0.7</v>
      </c>
      <c r="AM33" s="153">
        <v>0.5</v>
      </c>
      <c r="AN33" s="153">
        <v>0.75</v>
      </c>
      <c r="AO33" s="153">
        <v>0.8</v>
      </c>
      <c r="AP33" s="153">
        <v>1.0</v>
      </c>
      <c r="AQ33" s="154">
        <v>0.0</v>
      </c>
      <c r="AR33" s="153">
        <v>0.0</v>
      </c>
      <c r="AS33" s="153">
        <v>0.0</v>
      </c>
      <c r="AT33" s="153">
        <v>0.0</v>
      </c>
      <c r="AU33" s="153">
        <v>0.0</v>
      </c>
      <c r="AV33" s="153">
        <v>0.0</v>
      </c>
      <c r="AW33" s="153">
        <v>0.0</v>
      </c>
      <c r="AX33" s="153">
        <v>0.0</v>
      </c>
      <c r="AY33" s="153">
        <v>0.0</v>
      </c>
      <c r="AZ33" s="153">
        <v>0.0</v>
      </c>
      <c r="BA33" s="154">
        <v>0.05555555555555555</v>
      </c>
      <c r="BB33" s="153">
        <v>0.0</v>
      </c>
      <c r="BC33" s="153">
        <v>0.0</v>
      </c>
      <c r="BD33" s="153">
        <v>0.0</v>
      </c>
      <c r="BE33" s="153">
        <v>0.0</v>
      </c>
      <c r="BF33" s="153">
        <v>0.0</v>
      </c>
      <c r="BG33" s="153">
        <v>0.0</v>
      </c>
      <c r="BH33" s="153">
        <v>0.0</v>
      </c>
      <c r="BI33" s="153">
        <v>0.0</v>
      </c>
      <c r="BJ33" s="153">
        <v>0.0</v>
      </c>
      <c r="BK33" s="154">
        <v>0.0</v>
      </c>
      <c r="BL33" s="153">
        <v>0.0</v>
      </c>
      <c r="BM33" s="153">
        <v>0.0</v>
      </c>
      <c r="BN33" s="153">
        <v>0.0</v>
      </c>
      <c r="BO33" s="153">
        <v>0.0</v>
      </c>
      <c r="BP33" s="153">
        <v>0.0</v>
      </c>
      <c r="BQ33" s="153">
        <v>0.0</v>
      </c>
      <c r="BR33" s="153">
        <v>0.0</v>
      </c>
      <c r="BS33" s="153">
        <v>0.0</v>
      </c>
      <c r="BT33" s="153">
        <v>0.0</v>
      </c>
      <c r="BU33" s="154">
        <v>0.0</v>
      </c>
      <c r="BV33" s="153">
        <v>0.0</v>
      </c>
      <c r="BW33" s="153">
        <v>0.0</v>
      </c>
      <c r="BX33" s="153">
        <v>0.0</v>
      </c>
      <c r="BY33" s="153">
        <v>0.0</v>
      </c>
      <c r="BZ33" s="153">
        <v>0.0</v>
      </c>
      <c r="CA33" s="153">
        <v>0.0</v>
      </c>
      <c r="CB33" s="153">
        <v>0.0</v>
      </c>
      <c r="CC33" s="153">
        <v>0.0</v>
      </c>
      <c r="CD33" s="153">
        <v>0.0</v>
      </c>
      <c r="CE33" s="154">
        <v>0.0</v>
      </c>
      <c r="CF33" s="153">
        <v>0.0</v>
      </c>
      <c r="CG33" s="153">
        <v>0.0</v>
      </c>
      <c r="CH33" s="153">
        <v>0.0</v>
      </c>
      <c r="CI33" s="153">
        <v>0.0</v>
      </c>
      <c r="CJ33" s="153">
        <v>0.0</v>
      </c>
      <c r="CK33" s="153">
        <v>0.0</v>
      </c>
      <c r="CL33" s="153">
        <v>0.0</v>
      </c>
      <c r="CM33" s="153">
        <v>0.0</v>
      </c>
      <c r="CN33" s="153">
        <v>0.0</v>
      </c>
      <c r="CO33" s="154">
        <v>0.0</v>
      </c>
      <c r="CP33" s="153">
        <v>0.0</v>
      </c>
      <c r="CQ33" s="153">
        <v>0.0</v>
      </c>
      <c r="CR33" s="153">
        <v>0.0</v>
      </c>
      <c r="CS33" s="153">
        <v>0.0</v>
      </c>
      <c r="CT33" s="153">
        <v>0.0</v>
      </c>
      <c r="CU33" s="153">
        <v>0.0</v>
      </c>
      <c r="CV33" s="153">
        <v>0.0</v>
      </c>
      <c r="CW33" s="153">
        <v>0.0</v>
      </c>
      <c r="CX33" s="153">
        <v>0.0</v>
      </c>
    </row>
    <row r="34" ht="35.25" customHeight="1">
      <c r="B34" s="167" t="s">
        <v>2976</v>
      </c>
      <c r="C34" s="154">
        <v>0.0</v>
      </c>
      <c r="D34" s="156">
        <v>0.0</v>
      </c>
      <c r="E34" s="153">
        <v>0.0</v>
      </c>
      <c r="F34" s="153">
        <v>0.0</v>
      </c>
      <c r="G34" s="153">
        <v>0.0</v>
      </c>
      <c r="H34" s="153">
        <v>0.0</v>
      </c>
      <c r="I34" s="153">
        <v>0.0</v>
      </c>
      <c r="J34" s="153">
        <v>0.0</v>
      </c>
      <c r="K34" s="153">
        <v>0.0</v>
      </c>
      <c r="L34" s="153">
        <v>0.0</v>
      </c>
      <c r="M34" s="154">
        <v>0.0</v>
      </c>
      <c r="N34" s="156">
        <v>0.0</v>
      </c>
      <c r="O34" s="153">
        <v>0.0</v>
      </c>
      <c r="P34" s="153">
        <v>0.0</v>
      </c>
      <c r="Q34" s="153">
        <v>0.0</v>
      </c>
      <c r="R34" s="153">
        <v>0.0</v>
      </c>
      <c r="S34" s="153">
        <v>0.0</v>
      </c>
      <c r="T34" s="153">
        <v>0.0</v>
      </c>
      <c r="U34" s="153">
        <v>0.0</v>
      </c>
      <c r="V34" s="153">
        <v>0.0</v>
      </c>
      <c r="W34" s="154">
        <v>0.0</v>
      </c>
      <c r="X34" s="156">
        <v>0.21428571428571427</v>
      </c>
      <c r="Y34" s="153">
        <v>0.75</v>
      </c>
      <c r="Z34" s="153">
        <v>0.25</v>
      </c>
      <c r="AA34" s="153">
        <v>0.16666666666666666</v>
      </c>
      <c r="AB34" s="153">
        <v>0.0</v>
      </c>
      <c r="AC34" s="153">
        <v>0.5</v>
      </c>
      <c r="AD34" s="153">
        <v>0.0</v>
      </c>
      <c r="AE34" s="153">
        <v>0.0</v>
      </c>
      <c r="AF34" s="153">
        <v>0.5</v>
      </c>
      <c r="AG34" s="154">
        <v>1.0</v>
      </c>
      <c r="AH34" s="155">
        <v>0.0</v>
      </c>
      <c r="AI34" s="153">
        <v>1.0</v>
      </c>
      <c r="AJ34" s="153">
        <v>1.0</v>
      </c>
      <c r="AK34" s="153">
        <v>0.6666666666666666</v>
      </c>
      <c r="AL34" s="153">
        <v>1.0</v>
      </c>
      <c r="AM34" s="153">
        <v>0.6666666666666666</v>
      </c>
      <c r="AN34" s="153">
        <v>0.75</v>
      </c>
      <c r="AO34" s="153">
        <v>1.0</v>
      </c>
      <c r="AP34" s="153">
        <v>0.5</v>
      </c>
      <c r="AQ34" s="154">
        <v>0.0</v>
      </c>
      <c r="AR34" s="156">
        <v>0.0</v>
      </c>
      <c r="AS34" s="153">
        <v>0.0</v>
      </c>
      <c r="AT34" s="153">
        <v>0.0</v>
      </c>
      <c r="AU34" s="153">
        <v>0.0</v>
      </c>
      <c r="AV34" s="153">
        <v>0.0</v>
      </c>
      <c r="AW34" s="153">
        <v>0.0</v>
      </c>
      <c r="AX34" s="153">
        <v>0.0</v>
      </c>
      <c r="AY34" s="153">
        <v>0.0</v>
      </c>
      <c r="AZ34" s="153">
        <v>0.0</v>
      </c>
      <c r="BA34" s="154">
        <v>0.0</v>
      </c>
      <c r="BB34" s="156">
        <v>0.0</v>
      </c>
      <c r="BC34" s="153">
        <v>0.0</v>
      </c>
      <c r="BD34" s="153">
        <v>0.0</v>
      </c>
      <c r="BE34" s="153">
        <v>0.0</v>
      </c>
      <c r="BF34" s="153">
        <v>0.0</v>
      </c>
      <c r="BG34" s="153">
        <v>0.0</v>
      </c>
      <c r="BH34" s="153">
        <v>0.0</v>
      </c>
      <c r="BI34" s="153">
        <v>0.0</v>
      </c>
      <c r="BJ34" s="153">
        <v>0.0</v>
      </c>
      <c r="BK34" s="154">
        <v>0.0</v>
      </c>
      <c r="BL34" s="156">
        <v>0.0</v>
      </c>
      <c r="BM34" s="153">
        <v>0.0</v>
      </c>
      <c r="BN34" s="153">
        <v>0.0</v>
      </c>
      <c r="BO34" s="153">
        <v>0.0</v>
      </c>
      <c r="BP34" s="153">
        <v>0.0</v>
      </c>
      <c r="BQ34" s="153">
        <v>0.0</v>
      </c>
      <c r="BR34" s="153">
        <v>0.0</v>
      </c>
      <c r="BS34" s="153">
        <v>0.0</v>
      </c>
      <c r="BT34" s="153">
        <v>0.0</v>
      </c>
      <c r="BU34" s="154">
        <v>0.0</v>
      </c>
      <c r="BV34" s="156">
        <v>0.0</v>
      </c>
      <c r="BW34" s="153">
        <v>0.0</v>
      </c>
      <c r="BX34" s="153">
        <v>0.0</v>
      </c>
      <c r="BY34" s="153">
        <v>0.0</v>
      </c>
      <c r="BZ34" s="153">
        <v>0.0</v>
      </c>
      <c r="CA34" s="153">
        <v>0.0</v>
      </c>
      <c r="CB34" s="153">
        <v>0.0</v>
      </c>
      <c r="CC34" s="153">
        <v>0.0</v>
      </c>
      <c r="CD34" s="153">
        <v>0.0</v>
      </c>
      <c r="CE34" s="154">
        <v>0.0</v>
      </c>
      <c r="CF34" s="156">
        <v>0.0</v>
      </c>
      <c r="CG34" s="153">
        <v>0.0</v>
      </c>
      <c r="CH34" s="153">
        <v>0.0</v>
      </c>
      <c r="CI34" s="153">
        <v>0.0</v>
      </c>
      <c r="CJ34" s="153">
        <v>0.0</v>
      </c>
      <c r="CK34" s="153">
        <v>0.0</v>
      </c>
      <c r="CL34" s="153">
        <v>0.0</v>
      </c>
      <c r="CM34" s="153">
        <v>0.0</v>
      </c>
      <c r="CN34" s="153">
        <v>0.0</v>
      </c>
      <c r="CO34" s="154">
        <v>0.0</v>
      </c>
      <c r="CP34" s="156">
        <v>0.0</v>
      </c>
      <c r="CQ34" s="153">
        <v>0.0</v>
      </c>
      <c r="CR34" s="153">
        <v>0.0</v>
      </c>
      <c r="CS34" s="153">
        <v>0.0</v>
      </c>
      <c r="CT34" s="153">
        <v>0.0</v>
      </c>
      <c r="CU34" s="153">
        <v>0.0</v>
      </c>
      <c r="CV34" s="153">
        <v>0.0</v>
      </c>
      <c r="CW34" s="153">
        <v>0.0</v>
      </c>
      <c r="CX34" s="153">
        <v>0.0</v>
      </c>
    </row>
    <row r="35" ht="35.25" customHeight="1">
      <c r="B35" s="167" t="s">
        <v>2977</v>
      </c>
      <c r="C35" s="154">
        <v>0.0</v>
      </c>
      <c r="D35" s="153">
        <v>0.0</v>
      </c>
      <c r="E35" s="156">
        <v>0.0</v>
      </c>
      <c r="F35" s="153">
        <v>0.0</v>
      </c>
      <c r="G35" s="153">
        <v>0.0</v>
      </c>
      <c r="H35" s="153">
        <v>0.0</v>
      </c>
      <c r="I35" s="153">
        <v>0.0</v>
      </c>
      <c r="J35" s="153">
        <v>0.0</v>
      </c>
      <c r="K35" s="153">
        <v>0.0</v>
      </c>
      <c r="L35" s="153">
        <v>0.0</v>
      </c>
      <c r="M35" s="154">
        <v>0.0</v>
      </c>
      <c r="N35" s="153">
        <v>0.0</v>
      </c>
      <c r="O35" s="156">
        <v>0.0</v>
      </c>
      <c r="P35" s="153">
        <v>0.0</v>
      </c>
      <c r="Q35" s="153">
        <v>0.0</v>
      </c>
      <c r="R35" s="153">
        <v>0.0</v>
      </c>
      <c r="S35" s="153">
        <v>0.0</v>
      </c>
      <c r="T35" s="153">
        <v>0.0</v>
      </c>
      <c r="U35" s="153">
        <v>0.0</v>
      </c>
      <c r="V35" s="153">
        <v>0.0</v>
      </c>
      <c r="W35" s="154">
        <v>0.0</v>
      </c>
      <c r="X35" s="153">
        <v>0.5</v>
      </c>
      <c r="Y35" s="156">
        <v>0.25</v>
      </c>
      <c r="Z35" s="153">
        <v>0.125</v>
      </c>
      <c r="AA35" s="153">
        <v>0.0</v>
      </c>
      <c r="AB35" s="153">
        <v>0.0</v>
      </c>
      <c r="AC35" s="153">
        <v>0.375</v>
      </c>
      <c r="AD35" s="153">
        <v>0.0</v>
      </c>
      <c r="AE35" s="153">
        <v>0.25</v>
      </c>
      <c r="AF35" s="153">
        <v>0.3333333333333333</v>
      </c>
      <c r="AG35" s="154">
        <v>0.25</v>
      </c>
      <c r="AH35" s="153">
        <v>1.0</v>
      </c>
      <c r="AI35" s="155">
        <v>0.0</v>
      </c>
      <c r="AJ35" s="153">
        <v>0.5</v>
      </c>
      <c r="AK35" s="153">
        <v>0.5</v>
      </c>
      <c r="AL35" s="153">
        <v>0.5</v>
      </c>
      <c r="AM35" s="153">
        <v>0.375</v>
      </c>
      <c r="AN35" s="153">
        <v>0.8333333333333334</v>
      </c>
      <c r="AO35" s="153">
        <v>0.75</v>
      </c>
      <c r="AP35" s="153">
        <v>0.6666666666666666</v>
      </c>
      <c r="AQ35" s="154">
        <v>0.0</v>
      </c>
      <c r="AR35" s="153">
        <v>0.0</v>
      </c>
      <c r="AS35" s="156">
        <v>0.0</v>
      </c>
      <c r="AT35" s="153">
        <v>0.0</v>
      </c>
      <c r="AU35" s="153">
        <v>0.0</v>
      </c>
      <c r="AV35" s="153">
        <v>0.0</v>
      </c>
      <c r="AW35" s="153">
        <v>0.0</v>
      </c>
      <c r="AX35" s="153">
        <v>0.0</v>
      </c>
      <c r="AY35" s="153">
        <v>0.0</v>
      </c>
      <c r="AZ35" s="153">
        <v>0.0</v>
      </c>
      <c r="BA35" s="154">
        <v>0.0</v>
      </c>
      <c r="BB35" s="153">
        <v>0.0</v>
      </c>
      <c r="BC35" s="156">
        <v>0.0</v>
      </c>
      <c r="BD35" s="153">
        <v>0.0</v>
      </c>
      <c r="BE35" s="153">
        <v>0.0</v>
      </c>
      <c r="BF35" s="153">
        <v>0.0</v>
      </c>
      <c r="BG35" s="153">
        <v>0.0</v>
      </c>
      <c r="BH35" s="153">
        <v>0.0</v>
      </c>
      <c r="BI35" s="153">
        <v>0.0</v>
      </c>
      <c r="BJ35" s="153">
        <v>0.0</v>
      </c>
      <c r="BK35" s="154">
        <v>0.0</v>
      </c>
      <c r="BL35" s="153">
        <v>0.0</v>
      </c>
      <c r="BM35" s="156">
        <v>0.0</v>
      </c>
      <c r="BN35" s="153">
        <v>0.0</v>
      </c>
      <c r="BO35" s="153">
        <v>0.0</v>
      </c>
      <c r="BP35" s="153">
        <v>0.0</v>
      </c>
      <c r="BQ35" s="153">
        <v>0.0</v>
      </c>
      <c r="BR35" s="153">
        <v>0.0</v>
      </c>
      <c r="BS35" s="153">
        <v>0.0</v>
      </c>
      <c r="BT35" s="153">
        <v>0.0</v>
      </c>
      <c r="BU35" s="154">
        <v>0.0</v>
      </c>
      <c r="BV35" s="153">
        <v>0.0</v>
      </c>
      <c r="BW35" s="156">
        <v>0.0</v>
      </c>
      <c r="BX35" s="153">
        <v>0.0</v>
      </c>
      <c r="BY35" s="153">
        <v>0.0</v>
      </c>
      <c r="BZ35" s="153">
        <v>0.0</v>
      </c>
      <c r="CA35" s="153">
        <v>0.0</v>
      </c>
      <c r="CB35" s="153">
        <v>0.0</v>
      </c>
      <c r="CC35" s="153">
        <v>0.0</v>
      </c>
      <c r="CD35" s="153">
        <v>0.0</v>
      </c>
      <c r="CE35" s="154">
        <v>0.0</v>
      </c>
      <c r="CF35" s="153">
        <v>0.0</v>
      </c>
      <c r="CG35" s="156">
        <v>0.0</v>
      </c>
      <c r="CH35" s="153">
        <v>0.0</v>
      </c>
      <c r="CI35" s="153">
        <v>0.0</v>
      </c>
      <c r="CJ35" s="153">
        <v>0.0</v>
      </c>
      <c r="CK35" s="153">
        <v>0.0</v>
      </c>
      <c r="CL35" s="153">
        <v>0.0</v>
      </c>
      <c r="CM35" s="153">
        <v>0.0</v>
      </c>
      <c r="CN35" s="153">
        <v>0.0</v>
      </c>
      <c r="CO35" s="154">
        <v>0.0</v>
      </c>
      <c r="CP35" s="153">
        <v>0.0</v>
      </c>
      <c r="CQ35" s="156">
        <v>0.0</v>
      </c>
      <c r="CR35" s="153">
        <v>0.0</v>
      </c>
      <c r="CS35" s="153">
        <v>0.0</v>
      </c>
      <c r="CT35" s="153">
        <v>0.0</v>
      </c>
      <c r="CU35" s="153">
        <v>0.0</v>
      </c>
      <c r="CV35" s="153">
        <v>0.0</v>
      </c>
      <c r="CW35" s="153">
        <v>0.25</v>
      </c>
      <c r="CX35" s="153">
        <v>0.0</v>
      </c>
    </row>
    <row r="36" ht="35.25" customHeight="1">
      <c r="B36" s="167" t="s">
        <v>2978</v>
      </c>
      <c r="C36" s="154">
        <v>0.0</v>
      </c>
      <c r="D36" s="153">
        <v>0.0</v>
      </c>
      <c r="E36" s="153">
        <v>0.0</v>
      </c>
      <c r="F36" s="156">
        <v>0.0</v>
      </c>
      <c r="G36" s="153">
        <v>0.0</v>
      </c>
      <c r="H36" s="153">
        <v>0.0</v>
      </c>
      <c r="I36" s="153">
        <v>0.0</v>
      </c>
      <c r="J36" s="153">
        <v>0.0</v>
      </c>
      <c r="K36" s="153">
        <v>0.0</v>
      </c>
      <c r="L36" s="153">
        <v>0.0</v>
      </c>
      <c r="M36" s="154">
        <v>0.0</v>
      </c>
      <c r="N36" s="153">
        <v>0.0</v>
      </c>
      <c r="O36" s="153">
        <v>0.0</v>
      </c>
      <c r="P36" s="156">
        <v>0.0</v>
      </c>
      <c r="Q36" s="153">
        <v>0.0</v>
      </c>
      <c r="R36" s="153">
        <v>0.0</v>
      </c>
      <c r="S36" s="153">
        <v>0.0</v>
      </c>
      <c r="T36" s="153">
        <v>0.0</v>
      </c>
      <c r="U36" s="153">
        <v>0.0</v>
      </c>
      <c r="V36" s="153">
        <v>0.0</v>
      </c>
      <c r="W36" s="154">
        <v>0.0</v>
      </c>
      <c r="X36" s="153">
        <v>0.0</v>
      </c>
      <c r="Y36" s="153">
        <v>0.0</v>
      </c>
      <c r="Z36" s="156">
        <v>0.0</v>
      </c>
      <c r="AA36" s="153">
        <v>0.0</v>
      </c>
      <c r="AB36" s="153">
        <v>0.0</v>
      </c>
      <c r="AC36" s="153">
        <v>0.0</v>
      </c>
      <c r="AD36" s="153">
        <v>0.0</v>
      </c>
      <c r="AE36" s="153">
        <v>0.0</v>
      </c>
      <c r="AF36" s="153">
        <v>0.0</v>
      </c>
      <c r="AG36" s="154">
        <v>0.5</v>
      </c>
      <c r="AH36" s="153">
        <v>1.0</v>
      </c>
      <c r="AI36" s="153">
        <v>0.5</v>
      </c>
      <c r="AJ36" s="155">
        <v>0.0</v>
      </c>
      <c r="AK36" s="153">
        <v>1.0</v>
      </c>
      <c r="AL36" s="153">
        <v>0.75</v>
      </c>
      <c r="AM36" s="153">
        <v>1.0</v>
      </c>
      <c r="AN36" s="153">
        <v>1.0</v>
      </c>
      <c r="AO36" s="153">
        <v>0.6666666666666666</v>
      </c>
      <c r="AP36" s="153">
        <v>0.75</v>
      </c>
      <c r="AQ36" s="154">
        <v>0.0</v>
      </c>
      <c r="AR36" s="153">
        <v>0.0</v>
      </c>
      <c r="AS36" s="153">
        <v>0.0</v>
      </c>
      <c r="AT36" s="156">
        <v>0.0</v>
      </c>
      <c r="AU36" s="153">
        <v>0.0</v>
      </c>
      <c r="AV36" s="153">
        <v>0.0</v>
      </c>
      <c r="AW36" s="153">
        <v>0.0</v>
      </c>
      <c r="AX36" s="153">
        <v>0.0</v>
      </c>
      <c r="AY36" s="153">
        <v>0.0</v>
      </c>
      <c r="AZ36" s="153">
        <v>0.25</v>
      </c>
      <c r="BA36" s="154">
        <v>0.0</v>
      </c>
      <c r="BB36" s="153">
        <v>0.0</v>
      </c>
      <c r="BC36" s="153">
        <v>0.0</v>
      </c>
      <c r="BD36" s="156">
        <v>0.0</v>
      </c>
      <c r="BE36" s="153">
        <v>0.0</v>
      </c>
      <c r="BF36" s="153">
        <v>0.0</v>
      </c>
      <c r="BG36" s="153">
        <v>0.0</v>
      </c>
      <c r="BH36" s="153">
        <v>0.0</v>
      </c>
      <c r="BI36" s="153">
        <v>0.0</v>
      </c>
      <c r="BJ36" s="153">
        <v>0.0</v>
      </c>
      <c r="BK36" s="154">
        <v>0.0</v>
      </c>
      <c r="BL36" s="153">
        <v>0.0</v>
      </c>
      <c r="BM36" s="153">
        <v>0.0</v>
      </c>
      <c r="BN36" s="156">
        <v>0.0</v>
      </c>
      <c r="BO36" s="153">
        <v>0.0</v>
      </c>
      <c r="BP36" s="153">
        <v>0.0</v>
      </c>
      <c r="BQ36" s="153">
        <v>0.0</v>
      </c>
      <c r="BR36" s="153">
        <v>0.0</v>
      </c>
      <c r="BS36" s="153">
        <v>0.0</v>
      </c>
      <c r="BT36" s="153">
        <v>0.0</v>
      </c>
      <c r="BU36" s="154">
        <v>0.0</v>
      </c>
      <c r="BV36" s="153">
        <v>0.0</v>
      </c>
      <c r="BW36" s="153">
        <v>0.0</v>
      </c>
      <c r="BX36" s="156">
        <v>0.0</v>
      </c>
      <c r="BY36" s="153">
        <v>0.0</v>
      </c>
      <c r="BZ36" s="153">
        <v>0.0</v>
      </c>
      <c r="CA36" s="153">
        <v>0.0</v>
      </c>
      <c r="CB36" s="153">
        <v>0.0</v>
      </c>
      <c r="CC36" s="153">
        <v>0.0</v>
      </c>
      <c r="CD36" s="153">
        <v>0.0</v>
      </c>
      <c r="CE36" s="154">
        <v>0.0</v>
      </c>
      <c r="CF36" s="153">
        <v>0.0</v>
      </c>
      <c r="CG36" s="153">
        <v>0.0</v>
      </c>
      <c r="CH36" s="156">
        <v>0.0</v>
      </c>
      <c r="CI36" s="153">
        <v>0.0</v>
      </c>
      <c r="CJ36" s="153">
        <v>0.0</v>
      </c>
      <c r="CK36" s="153">
        <v>0.0</v>
      </c>
      <c r="CL36" s="153">
        <v>0.0</v>
      </c>
      <c r="CM36" s="153">
        <v>0.0</v>
      </c>
      <c r="CN36" s="153">
        <v>0.0</v>
      </c>
      <c r="CO36" s="154">
        <v>0.0</v>
      </c>
      <c r="CP36" s="153">
        <v>0.0</v>
      </c>
      <c r="CQ36" s="153">
        <v>0.0</v>
      </c>
      <c r="CR36" s="156">
        <v>0.0</v>
      </c>
      <c r="CS36" s="153">
        <v>0.0</v>
      </c>
      <c r="CT36" s="153">
        <v>0.0</v>
      </c>
      <c r="CU36" s="153">
        <v>0.0</v>
      </c>
      <c r="CV36" s="153">
        <v>0.0</v>
      </c>
      <c r="CW36" s="153">
        <v>0.0</v>
      </c>
      <c r="CX36" s="153">
        <v>0.25</v>
      </c>
    </row>
    <row r="37" ht="35.25" customHeight="1">
      <c r="B37" s="167" t="s">
        <v>2979</v>
      </c>
      <c r="C37" s="154">
        <v>0.0</v>
      </c>
      <c r="D37" s="153">
        <v>0.0</v>
      </c>
      <c r="E37" s="153">
        <v>0.0</v>
      </c>
      <c r="F37" s="153">
        <v>0.0</v>
      </c>
      <c r="G37" s="156">
        <v>0.0</v>
      </c>
      <c r="H37" s="153">
        <v>0.0</v>
      </c>
      <c r="I37" s="153">
        <v>0.0</v>
      </c>
      <c r="J37" s="153">
        <v>0.0</v>
      </c>
      <c r="K37" s="153">
        <v>0.0</v>
      </c>
      <c r="L37" s="153">
        <v>0.0</v>
      </c>
      <c r="M37" s="154">
        <v>0.0</v>
      </c>
      <c r="N37" s="153">
        <v>0.0</v>
      </c>
      <c r="O37" s="153">
        <v>0.0</v>
      </c>
      <c r="P37" s="153">
        <v>0.0</v>
      </c>
      <c r="Q37" s="156">
        <v>0.0</v>
      </c>
      <c r="R37" s="153">
        <v>0.0</v>
      </c>
      <c r="S37" s="153">
        <v>0.0</v>
      </c>
      <c r="T37" s="153">
        <v>0.0</v>
      </c>
      <c r="U37" s="153">
        <v>0.0</v>
      </c>
      <c r="V37" s="153">
        <v>0.0</v>
      </c>
      <c r="W37" s="154">
        <v>0.0</v>
      </c>
      <c r="X37" s="153">
        <v>0.0</v>
      </c>
      <c r="Y37" s="153">
        <v>0.0</v>
      </c>
      <c r="Z37" s="153">
        <v>0.0</v>
      </c>
      <c r="AA37" s="156">
        <v>0.0</v>
      </c>
      <c r="AB37" s="153">
        <v>0.0</v>
      </c>
      <c r="AC37" s="153">
        <v>0.0</v>
      </c>
      <c r="AD37" s="153">
        <v>0.0</v>
      </c>
      <c r="AE37" s="153">
        <v>0.0</v>
      </c>
      <c r="AF37" s="153">
        <v>0.0</v>
      </c>
      <c r="AG37" s="154">
        <v>0.8</v>
      </c>
      <c r="AH37" s="153">
        <v>0.6666666666666666</v>
      </c>
      <c r="AI37" s="153">
        <v>0.5</v>
      </c>
      <c r="AJ37" s="153">
        <v>1.0</v>
      </c>
      <c r="AK37" s="155">
        <v>0.0</v>
      </c>
      <c r="AL37" s="153">
        <v>1.0</v>
      </c>
      <c r="AM37" s="153">
        <v>0.75</v>
      </c>
      <c r="AN37" s="153">
        <v>0.9</v>
      </c>
      <c r="AO37" s="153">
        <v>0.8333333333333334</v>
      </c>
      <c r="AP37" s="153">
        <v>1.0</v>
      </c>
      <c r="AQ37" s="154">
        <v>0.0</v>
      </c>
      <c r="AR37" s="153">
        <v>0.0</v>
      </c>
      <c r="AS37" s="153">
        <v>0.0</v>
      </c>
      <c r="AT37" s="153">
        <v>0.0</v>
      </c>
      <c r="AU37" s="156">
        <v>0.0</v>
      </c>
      <c r="AV37" s="153">
        <v>0.0</v>
      </c>
      <c r="AW37" s="153">
        <v>0.0</v>
      </c>
      <c r="AX37" s="153">
        <v>0.0</v>
      </c>
      <c r="AY37" s="153">
        <v>0.0</v>
      </c>
      <c r="AZ37" s="153">
        <v>0.0</v>
      </c>
      <c r="BA37" s="154">
        <v>0.0</v>
      </c>
      <c r="BB37" s="153">
        <v>0.0</v>
      </c>
      <c r="BC37" s="153">
        <v>0.0</v>
      </c>
      <c r="BD37" s="153">
        <v>0.0</v>
      </c>
      <c r="BE37" s="156">
        <v>0.0</v>
      </c>
      <c r="BF37" s="153">
        <v>0.0</v>
      </c>
      <c r="BG37" s="153">
        <v>0.0</v>
      </c>
      <c r="BH37" s="153">
        <v>0.0</v>
      </c>
      <c r="BI37" s="153">
        <v>0.0</v>
      </c>
      <c r="BJ37" s="153">
        <v>0.0</v>
      </c>
      <c r="BK37" s="154">
        <v>0.0</v>
      </c>
      <c r="BL37" s="153">
        <v>0.0</v>
      </c>
      <c r="BM37" s="153">
        <v>0.0</v>
      </c>
      <c r="BN37" s="153">
        <v>0.0</v>
      </c>
      <c r="BO37" s="156">
        <v>0.0</v>
      </c>
      <c r="BP37" s="153">
        <v>0.0</v>
      </c>
      <c r="BQ37" s="153">
        <v>0.0</v>
      </c>
      <c r="BR37" s="153">
        <v>0.0</v>
      </c>
      <c r="BS37" s="153">
        <v>0.0</v>
      </c>
      <c r="BT37" s="153">
        <v>0.0</v>
      </c>
      <c r="BU37" s="154">
        <v>0.0</v>
      </c>
      <c r="BV37" s="153">
        <v>0.0</v>
      </c>
      <c r="BW37" s="153">
        <v>0.0</v>
      </c>
      <c r="BX37" s="153">
        <v>0.0</v>
      </c>
      <c r="BY37" s="156">
        <v>0.0</v>
      </c>
      <c r="BZ37" s="153">
        <v>0.0</v>
      </c>
      <c r="CA37" s="153">
        <v>0.0</v>
      </c>
      <c r="CB37" s="153">
        <v>0.0</v>
      </c>
      <c r="CC37" s="153">
        <v>0.0</v>
      </c>
      <c r="CD37" s="153">
        <v>0.0</v>
      </c>
      <c r="CE37" s="154">
        <v>0.0</v>
      </c>
      <c r="CF37" s="153">
        <v>0.0</v>
      </c>
      <c r="CG37" s="153">
        <v>0.0</v>
      </c>
      <c r="CH37" s="153">
        <v>0.0</v>
      </c>
      <c r="CI37" s="156">
        <v>0.0</v>
      </c>
      <c r="CJ37" s="153">
        <v>0.0</v>
      </c>
      <c r="CK37" s="153">
        <v>0.0</v>
      </c>
      <c r="CL37" s="153">
        <v>0.0</v>
      </c>
      <c r="CM37" s="153">
        <v>0.0</v>
      </c>
      <c r="CN37" s="153">
        <v>0.0</v>
      </c>
      <c r="CO37" s="154">
        <v>0.0</v>
      </c>
      <c r="CP37" s="153">
        <v>0.0</v>
      </c>
      <c r="CQ37" s="153">
        <v>0.0</v>
      </c>
      <c r="CR37" s="153">
        <v>0.0</v>
      </c>
      <c r="CS37" s="156">
        <v>0.0</v>
      </c>
      <c r="CT37" s="153">
        <v>0.0</v>
      </c>
      <c r="CU37" s="153">
        <v>0.0</v>
      </c>
      <c r="CV37" s="153">
        <v>0.0</v>
      </c>
      <c r="CW37" s="153">
        <v>0.0</v>
      </c>
      <c r="CX37" s="153">
        <v>0.0</v>
      </c>
    </row>
    <row r="38" ht="35.25" customHeight="1">
      <c r="B38" s="167" t="s">
        <v>2980</v>
      </c>
      <c r="C38" s="154">
        <v>0.0</v>
      </c>
      <c r="D38" s="153">
        <v>0.0</v>
      </c>
      <c r="E38" s="153">
        <v>0.0</v>
      </c>
      <c r="F38" s="153">
        <v>0.0</v>
      </c>
      <c r="G38" s="153">
        <v>0.0</v>
      </c>
      <c r="H38" s="156">
        <v>0.0</v>
      </c>
      <c r="I38" s="153">
        <v>0.0</v>
      </c>
      <c r="J38" s="153">
        <v>0.0</v>
      </c>
      <c r="K38" s="153">
        <v>0.0</v>
      </c>
      <c r="L38" s="153">
        <v>0.0</v>
      </c>
      <c r="M38" s="154">
        <v>0.0</v>
      </c>
      <c r="N38" s="153">
        <v>0.0</v>
      </c>
      <c r="O38" s="153">
        <v>0.0</v>
      </c>
      <c r="P38" s="153">
        <v>0.0</v>
      </c>
      <c r="Q38" s="153">
        <v>0.0</v>
      </c>
      <c r="R38" s="156">
        <v>0.0</v>
      </c>
      <c r="S38" s="153">
        <v>0.0</v>
      </c>
      <c r="T38" s="153">
        <v>0.0</v>
      </c>
      <c r="U38" s="153">
        <v>0.0</v>
      </c>
      <c r="V38" s="153">
        <v>0.0</v>
      </c>
      <c r="W38" s="154">
        <v>0.0</v>
      </c>
      <c r="X38" s="153">
        <v>0.0</v>
      </c>
      <c r="Y38" s="153">
        <v>0.0</v>
      </c>
      <c r="Z38" s="153">
        <v>0.0</v>
      </c>
      <c r="AA38" s="153">
        <v>0.0</v>
      </c>
      <c r="AB38" s="156">
        <v>0.0</v>
      </c>
      <c r="AC38" s="153">
        <v>0.0</v>
      </c>
      <c r="AD38" s="153">
        <v>0.0</v>
      </c>
      <c r="AE38" s="153">
        <v>0.0</v>
      </c>
      <c r="AF38" s="153">
        <v>0.0</v>
      </c>
      <c r="AG38" s="154">
        <v>0.7</v>
      </c>
      <c r="AH38" s="153">
        <v>1.0</v>
      </c>
      <c r="AI38" s="153">
        <v>0.5</v>
      </c>
      <c r="AJ38" s="153">
        <v>0.75</v>
      </c>
      <c r="AK38" s="153">
        <v>1.0</v>
      </c>
      <c r="AL38" s="155">
        <v>0.0</v>
      </c>
      <c r="AM38" s="153">
        <v>1.0</v>
      </c>
      <c r="AN38" s="153">
        <v>1.0</v>
      </c>
      <c r="AO38" s="153">
        <v>0.75</v>
      </c>
      <c r="AP38" s="153">
        <v>1.0</v>
      </c>
      <c r="AQ38" s="154">
        <v>0.0</v>
      </c>
      <c r="AR38" s="153">
        <v>0.0</v>
      </c>
      <c r="AS38" s="153">
        <v>0.0</v>
      </c>
      <c r="AT38" s="153">
        <v>0.0</v>
      </c>
      <c r="AU38" s="153">
        <v>0.0</v>
      </c>
      <c r="AV38" s="156">
        <v>0.0</v>
      </c>
      <c r="AW38" s="153">
        <v>0.0</v>
      </c>
      <c r="AX38" s="153">
        <v>0.0</v>
      </c>
      <c r="AY38" s="153">
        <v>0.0</v>
      </c>
      <c r="AZ38" s="153">
        <v>0.0</v>
      </c>
      <c r="BA38" s="154">
        <v>0.0</v>
      </c>
      <c r="BB38" s="153">
        <v>0.0</v>
      </c>
      <c r="BC38" s="153">
        <v>0.0</v>
      </c>
      <c r="BD38" s="153">
        <v>0.0</v>
      </c>
      <c r="BE38" s="153">
        <v>0.0</v>
      </c>
      <c r="BF38" s="156">
        <v>0.0</v>
      </c>
      <c r="BG38" s="153">
        <v>0.0</v>
      </c>
      <c r="BH38" s="153">
        <v>0.0</v>
      </c>
      <c r="BI38" s="153">
        <v>0.25</v>
      </c>
      <c r="BJ38" s="153">
        <v>0.0</v>
      </c>
      <c r="BK38" s="154">
        <v>0.0</v>
      </c>
      <c r="BL38" s="153">
        <v>0.0</v>
      </c>
      <c r="BM38" s="153">
        <v>0.0</v>
      </c>
      <c r="BN38" s="153">
        <v>0.0</v>
      </c>
      <c r="BO38" s="153">
        <v>0.0</v>
      </c>
      <c r="BP38" s="156">
        <v>0.0</v>
      </c>
      <c r="BQ38" s="153">
        <v>0.0</v>
      </c>
      <c r="BR38" s="153">
        <v>0.0</v>
      </c>
      <c r="BS38" s="153">
        <v>0.0</v>
      </c>
      <c r="BT38" s="153">
        <v>0.0</v>
      </c>
      <c r="BU38" s="154">
        <v>0.0</v>
      </c>
      <c r="BV38" s="153">
        <v>0.0</v>
      </c>
      <c r="BW38" s="153">
        <v>0.0</v>
      </c>
      <c r="BX38" s="153">
        <v>0.0</v>
      </c>
      <c r="BY38" s="153">
        <v>0.0</v>
      </c>
      <c r="BZ38" s="156">
        <v>0.0</v>
      </c>
      <c r="CA38" s="153">
        <v>0.0</v>
      </c>
      <c r="CB38" s="153">
        <v>0.0</v>
      </c>
      <c r="CC38" s="153">
        <v>0.0</v>
      </c>
      <c r="CD38" s="153">
        <v>0.0</v>
      </c>
      <c r="CE38" s="154">
        <v>0.0</v>
      </c>
      <c r="CF38" s="153">
        <v>0.0</v>
      </c>
      <c r="CG38" s="153">
        <v>0.0</v>
      </c>
      <c r="CH38" s="153">
        <v>0.0</v>
      </c>
      <c r="CI38" s="153">
        <v>0.0</v>
      </c>
      <c r="CJ38" s="156">
        <v>0.0</v>
      </c>
      <c r="CK38" s="153">
        <v>0.0</v>
      </c>
      <c r="CL38" s="153">
        <v>0.0</v>
      </c>
      <c r="CM38" s="153">
        <v>0.0</v>
      </c>
      <c r="CN38" s="153">
        <v>0.0</v>
      </c>
      <c r="CO38" s="154">
        <v>0.0</v>
      </c>
      <c r="CP38" s="153">
        <v>0.0</v>
      </c>
      <c r="CQ38" s="153">
        <v>0.0</v>
      </c>
      <c r="CR38" s="153">
        <v>0.0</v>
      </c>
      <c r="CS38" s="153">
        <v>0.0</v>
      </c>
      <c r="CT38" s="156">
        <v>0.0</v>
      </c>
      <c r="CU38" s="153">
        <v>0.0</v>
      </c>
      <c r="CV38" s="153">
        <v>0.0</v>
      </c>
      <c r="CW38" s="153">
        <v>0.0</v>
      </c>
      <c r="CX38" s="153">
        <v>0.0</v>
      </c>
    </row>
    <row r="39" ht="35.25" customHeight="1">
      <c r="B39" s="167" t="s">
        <v>2981</v>
      </c>
      <c r="C39" s="154">
        <v>0.0</v>
      </c>
      <c r="D39" s="153">
        <v>0.0</v>
      </c>
      <c r="E39" s="153">
        <v>0.0</v>
      </c>
      <c r="F39" s="153">
        <v>0.0</v>
      </c>
      <c r="G39" s="153">
        <v>0.0</v>
      </c>
      <c r="H39" s="153">
        <v>0.0</v>
      </c>
      <c r="I39" s="156">
        <v>0.0</v>
      </c>
      <c r="J39" s="153">
        <v>0.25</v>
      </c>
      <c r="K39" s="153">
        <v>0.0</v>
      </c>
      <c r="L39" s="153">
        <v>0.25</v>
      </c>
      <c r="M39" s="154">
        <v>0.0</v>
      </c>
      <c r="N39" s="153">
        <v>0.0</v>
      </c>
      <c r="O39" s="153">
        <v>0.0</v>
      </c>
      <c r="P39" s="153">
        <v>0.0</v>
      </c>
      <c r="Q39" s="153">
        <v>0.0</v>
      </c>
      <c r="R39" s="153">
        <v>0.0</v>
      </c>
      <c r="S39" s="156">
        <v>0.0</v>
      </c>
      <c r="T39" s="153">
        <v>0.0</v>
      </c>
      <c r="U39" s="153">
        <v>0.0</v>
      </c>
      <c r="V39" s="153">
        <v>0.0</v>
      </c>
      <c r="W39" s="154">
        <v>0.0</v>
      </c>
      <c r="X39" s="153">
        <v>0.0</v>
      </c>
      <c r="Y39" s="153">
        <v>0.0</v>
      </c>
      <c r="Z39" s="153">
        <v>0.0</v>
      </c>
      <c r="AA39" s="153">
        <v>0.0</v>
      </c>
      <c r="AB39" s="153">
        <v>0.0</v>
      </c>
      <c r="AC39" s="156">
        <v>0.0</v>
      </c>
      <c r="AD39" s="153">
        <v>0.0</v>
      </c>
      <c r="AE39" s="153">
        <v>0.0</v>
      </c>
      <c r="AF39" s="153">
        <v>0.0</v>
      </c>
      <c r="AG39" s="154">
        <v>0.5</v>
      </c>
      <c r="AH39" s="153">
        <v>0.6666666666666666</v>
      </c>
      <c r="AI39" s="153">
        <v>0.375</v>
      </c>
      <c r="AJ39" s="153">
        <v>1.0</v>
      </c>
      <c r="AK39" s="153">
        <v>0.75</v>
      </c>
      <c r="AL39" s="153">
        <v>1.0</v>
      </c>
      <c r="AM39" s="155">
        <v>0.0</v>
      </c>
      <c r="AN39" s="153">
        <v>0.75</v>
      </c>
      <c r="AO39" s="153">
        <v>0.25</v>
      </c>
      <c r="AP39" s="153">
        <v>0.5</v>
      </c>
      <c r="AQ39" s="154">
        <v>0.0</v>
      </c>
      <c r="AR39" s="153">
        <v>0.0</v>
      </c>
      <c r="AS39" s="153">
        <v>0.0</v>
      </c>
      <c r="AT39" s="153">
        <v>0.0</v>
      </c>
      <c r="AU39" s="153">
        <v>0.0</v>
      </c>
      <c r="AV39" s="153">
        <v>0.0</v>
      </c>
      <c r="AW39" s="156">
        <v>0.0625</v>
      </c>
      <c r="AX39" s="153">
        <v>0.0</v>
      </c>
      <c r="AY39" s="153">
        <v>0.0</v>
      </c>
      <c r="AZ39" s="153">
        <v>0.0</v>
      </c>
      <c r="BA39" s="154">
        <v>0.0</v>
      </c>
      <c r="BB39" s="153">
        <v>0.16666666666666666</v>
      </c>
      <c r="BC39" s="153">
        <v>0.0</v>
      </c>
      <c r="BD39" s="153">
        <v>0.0</v>
      </c>
      <c r="BE39" s="153">
        <v>0.0</v>
      </c>
      <c r="BF39" s="153">
        <v>0.0</v>
      </c>
      <c r="BG39" s="156">
        <v>0.0625</v>
      </c>
      <c r="BH39" s="153">
        <v>0.25</v>
      </c>
      <c r="BI39" s="153">
        <v>0.25</v>
      </c>
      <c r="BJ39" s="153">
        <v>0.25</v>
      </c>
      <c r="BK39" s="154">
        <v>0.0</v>
      </c>
      <c r="BL39" s="153">
        <v>0.0</v>
      </c>
      <c r="BM39" s="153">
        <v>0.0</v>
      </c>
      <c r="BN39" s="153">
        <v>0.0</v>
      </c>
      <c r="BO39" s="153">
        <v>0.0</v>
      </c>
      <c r="BP39" s="153">
        <v>0.0</v>
      </c>
      <c r="BQ39" s="156">
        <v>0.0</v>
      </c>
      <c r="BR39" s="153">
        <v>0.0</v>
      </c>
      <c r="BS39" s="153">
        <v>0.0</v>
      </c>
      <c r="BT39" s="153">
        <v>0.0</v>
      </c>
      <c r="BU39" s="154">
        <v>0.0</v>
      </c>
      <c r="BV39" s="153">
        <v>0.0</v>
      </c>
      <c r="BW39" s="153">
        <v>0.0</v>
      </c>
      <c r="BX39" s="153">
        <v>0.0</v>
      </c>
      <c r="BY39" s="153">
        <v>0.0</v>
      </c>
      <c r="BZ39" s="153">
        <v>0.0</v>
      </c>
      <c r="CA39" s="156">
        <v>0.0</v>
      </c>
      <c r="CB39" s="153">
        <v>0.0</v>
      </c>
      <c r="CC39" s="153">
        <v>0.0</v>
      </c>
      <c r="CD39" s="153">
        <v>0.0</v>
      </c>
      <c r="CE39" s="154">
        <v>0.0</v>
      </c>
      <c r="CF39" s="153">
        <v>0.0</v>
      </c>
      <c r="CG39" s="153">
        <v>0.0</v>
      </c>
      <c r="CH39" s="153">
        <v>0.0</v>
      </c>
      <c r="CI39" s="153">
        <v>0.0</v>
      </c>
      <c r="CJ39" s="153">
        <v>0.0</v>
      </c>
      <c r="CK39" s="156">
        <v>0.0</v>
      </c>
      <c r="CL39" s="153">
        <v>0.0</v>
      </c>
      <c r="CM39" s="153">
        <v>0.0</v>
      </c>
      <c r="CN39" s="153">
        <v>0.0</v>
      </c>
      <c r="CO39" s="154">
        <v>0.0</v>
      </c>
      <c r="CP39" s="153">
        <v>0.0</v>
      </c>
      <c r="CQ39" s="153">
        <v>0.0</v>
      </c>
      <c r="CR39" s="153">
        <v>0.0</v>
      </c>
      <c r="CS39" s="153">
        <v>0.0</v>
      </c>
      <c r="CT39" s="153">
        <v>0.0</v>
      </c>
      <c r="CU39" s="156">
        <v>0.0</v>
      </c>
      <c r="CV39" s="153">
        <v>0.0</v>
      </c>
      <c r="CW39" s="153">
        <v>0.0</v>
      </c>
      <c r="CX39" s="153">
        <v>0.0</v>
      </c>
    </row>
    <row r="40" ht="35.25" customHeight="1">
      <c r="B40" s="167" t="s">
        <v>2982</v>
      </c>
      <c r="C40" s="154">
        <v>0.0</v>
      </c>
      <c r="D40" s="153">
        <v>0.0</v>
      </c>
      <c r="E40" s="153">
        <v>0.0</v>
      </c>
      <c r="F40" s="153">
        <v>0.0</v>
      </c>
      <c r="G40" s="153">
        <v>0.0</v>
      </c>
      <c r="H40" s="153">
        <v>0.0</v>
      </c>
      <c r="I40" s="153">
        <v>0.0</v>
      </c>
      <c r="J40" s="156">
        <v>0.0</v>
      </c>
      <c r="K40" s="153">
        <v>0.0</v>
      </c>
      <c r="L40" s="153">
        <v>0.0</v>
      </c>
      <c r="M40" s="154">
        <v>0.0</v>
      </c>
      <c r="N40" s="153">
        <v>0.0</v>
      </c>
      <c r="O40" s="153">
        <v>0.0</v>
      </c>
      <c r="P40" s="153">
        <v>0.0</v>
      </c>
      <c r="Q40" s="153">
        <v>0.0</v>
      </c>
      <c r="R40" s="153">
        <v>0.0</v>
      </c>
      <c r="S40" s="153">
        <v>0.0</v>
      </c>
      <c r="T40" s="156">
        <v>0.0</v>
      </c>
      <c r="U40" s="153">
        <v>0.0</v>
      </c>
      <c r="V40" s="153">
        <v>0.0</v>
      </c>
      <c r="W40" s="154">
        <v>0.0</v>
      </c>
      <c r="X40" s="153">
        <v>0.0</v>
      </c>
      <c r="Y40" s="153">
        <v>0.0</v>
      </c>
      <c r="Z40" s="153">
        <v>0.0</v>
      </c>
      <c r="AA40" s="153">
        <v>0.0</v>
      </c>
      <c r="AB40" s="153">
        <v>0.0</v>
      </c>
      <c r="AC40" s="153">
        <v>0.0</v>
      </c>
      <c r="AD40" s="156">
        <v>0.0</v>
      </c>
      <c r="AE40" s="153">
        <v>0.0</v>
      </c>
      <c r="AF40" s="153">
        <v>0.0</v>
      </c>
      <c r="AG40" s="154">
        <v>0.75</v>
      </c>
      <c r="AH40" s="153">
        <v>0.75</v>
      </c>
      <c r="AI40" s="153">
        <v>0.8333333333333334</v>
      </c>
      <c r="AJ40" s="153">
        <v>1.0</v>
      </c>
      <c r="AK40" s="153">
        <v>0.9</v>
      </c>
      <c r="AL40" s="153">
        <v>1.0</v>
      </c>
      <c r="AM40" s="153">
        <v>0.75</v>
      </c>
      <c r="AN40" s="155">
        <v>0.0</v>
      </c>
      <c r="AO40" s="153">
        <v>0.75</v>
      </c>
      <c r="AP40" s="153">
        <v>0.8333333333333334</v>
      </c>
      <c r="AQ40" s="154">
        <v>0.0</v>
      </c>
      <c r="AR40" s="153">
        <v>0.0</v>
      </c>
      <c r="AS40" s="153">
        <v>0.0</v>
      </c>
      <c r="AT40" s="153">
        <v>0.0</v>
      </c>
      <c r="AU40" s="153">
        <v>0.0</v>
      </c>
      <c r="AV40" s="153">
        <v>0.0</v>
      </c>
      <c r="AW40" s="153">
        <v>0.0</v>
      </c>
      <c r="AX40" s="156">
        <v>0.0</v>
      </c>
      <c r="AY40" s="153">
        <v>0.0</v>
      </c>
      <c r="AZ40" s="153">
        <v>0.16666666666666666</v>
      </c>
      <c r="BA40" s="154">
        <v>0.0</v>
      </c>
      <c r="BB40" s="153">
        <v>0.0</v>
      </c>
      <c r="BC40" s="153">
        <v>0.0</v>
      </c>
      <c r="BD40" s="153">
        <v>0.0</v>
      </c>
      <c r="BE40" s="153">
        <v>0.0</v>
      </c>
      <c r="BF40" s="153">
        <v>0.0</v>
      </c>
      <c r="BG40" s="153">
        <v>0.0</v>
      </c>
      <c r="BH40" s="156">
        <v>0.0</v>
      </c>
      <c r="BI40" s="153">
        <v>0.0</v>
      </c>
      <c r="BJ40" s="153">
        <v>0.0</v>
      </c>
      <c r="BK40" s="154">
        <v>0.0</v>
      </c>
      <c r="BL40" s="153">
        <v>0.0</v>
      </c>
      <c r="BM40" s="153">
        <v>0.0</v>
      </c>
      <c r="BN40" s="153">
        <v>0.0</v>
      </c>
      <c r="BO40" s="153">
        <v>0.0</v>
      </c>
      <c r="BP40" s="153">
        <v>0.0</v>
      </c>
      <c r="BQ40" s="153">
        <v>0.0</v>
      </c>
      <c r="BR40" s="156">
        <v>0.0</v>
      </c>
      <c r="BS40" s="153">
        <v>0.0</v>
      </c>
      <c r="BT40" s="153">
        <v>0.0</v>
      </c>
      <c r="BU40" s="154">
        <v>0.0</v>
      </c>
      <c r="BV40" s="153">
        <v>0.0</v>
      </c>
      <c r="BW40" s="153">
        <v>0.0</v>
      </c>
      <c r="BX40" s="153">
        <v>0.0</v>
      </c>
      <c r="BY40" s="153">
        <v>0.0</v>
      </c>
      <c r="BZ40" s="153">
        <v>0.0</v>
      </c>
      <c r="CA40" s="153">
        <v>0.0</v>
      </c>
      <c r="CB40" s="156">
        <v>0.0</v>
      </c>
      <c r="CC40" s="153">
        <v>0.0</v>
      </c>
      <c r="CD40" s="153">
        <v>0.0</v>
      </c>
      <c r="CE40" s="154">
        <v>0.0</v>
      </c>
      <c r="CF40" s="153">
        <v>0.0</v>
      </c>
      <c r="CG40" s="153">
        <v>0.0</v>
      </c>
      <c r="CH40" s="153">
        <v>0.0</v>
      </c>
      <c r="CI40" s="153">
        <v>0.0</v>
      </c>
      <c r="CJ40" s="153">
        <v>0.0</v>
      </c>
      <c r="CK40" s="153">
        <v>0.0</v>
      </c>
      <c r="CL40" s="156">
        <v>0.0</v>
      </c>
      <c r="CM40" s="153">
        <v>0.0</v>
      </c>
      <c r="CN40" s="153">
        <v>0.0</v>
      </c>
      <c r="CO40" s="154">
        <v>0.0</v>
      </c>
      <c r="CP40" s="153">
        <v>0.0</v>
      </c>
      <c r="CQ40" s="153">
        <v>0.0</v>
      </c>
      <c r="CR40" s="153">
        <v>0.0</v>
      </c>
      <c r="CS40" s="153">
        <v>0.0</v>
      </c>
      <c r="CT40" s="153">
        <v>0.0</v>
      </c>
      <c r="CU40" s="153">
        <v>0.0</v>
      </c>
      <c r="CV40" s="156">
        <v>0.0</v>
      </c>
      <c r="CW40" s="153">
        <v>0.0</v>
      </c>
      <c r="CX40" s="153">
        <v>0.16666666666666666</v>
      </c>
    </row>
    <row r="41" ht="35.25" customHeight="1">
      <c r="B41" s="167" t="s">
        <v>2983</v>
      </c>
      <c r="C41" s="154">
        <v>0.0</v>
      </c>
      <c r="D41" s="153">
        <v>0.0</v>
      </c>
      <c r="E41" s="153">
        <v>0.0</v>
      </c>
      <c r="F41" s="153">
        <v>0.0</v>
      </c>
      <c r="G41" s="153">
        <v>0.0</v>
      </c>
      <c r="H41" s="153">
        <v>0.0</v>
      </c>
      <c r="I41" s="153">
        <v>0.0</v>
      </c>
      <c r="J41" s="153">
        <v>0.0</v>
      </c>
      <c r="K41" s="156">
        <v>0.0</v>
      </c>
      <c r="L41" s="153">
        <v>0.0</v>
      </c>
      <c r="M41" s="154">
        <v>0.0</v>
      </c>
      <c r="N41" s="153">
        <v>0.0</v>
      </c>
      <c r="O41" s="153">
        <v>0.0</v>
      </c>
      <c r="P41" s="153">
        <v>0.0</v>
      </c>
      <c r="Q41" s="153">
        <v>0.0</v>
      </c>
      <c r="R41" s="153">
        <v>0.0</v>
      </c>
      <c r="S41" s="153">
        <v>0.0</v>
      </c>
      <c r="T41" s="153">
        <v>0.0</v>
      </c>
      <c r="U41" s="156">
        <v>0.0</v>
      </c>
      <c r="V41" s="153">
        <v>0.0</v>
      </c>
      <c r="W41" s="154">
        <v>0.0</v>
      </c>
      <c r="X41" s="153">
        <v>0.0</v>
      </c>
      <c r="Y41" s="153">
        <v>0.0</v>
      </c>
      <c r="Z41" s="153">
        <v>0.0</v>
      </c>
      <c r="AA41" s="153">
        <v>0.0</v>
      </c>
      <c r="AB41" s="153">
        <v>0.0</v>
      </c>
      <c r="AC41" s="153">
        <v>0.25</v>
      </c>
      <c r="AD41" s="153">
        <v>0.0</v>
      </c>
      <c r="AE41" s="156">
        <v>0.0625</v>
      </c>
      <c r="AF41" s="153">
        <v>0.0</v>
      </c>
      <c r="AG41" s="154">
        <v>0.8</v>
      </c>
      <c r="AH41" s="153">
        <v>1.0</v>
      </c>
      <c r="AI41" s="153">
        <v>1.0</v>
      </c>
      <c r="AJ41" s="153">
        <v>0.5</v>
      </c>
      <c r="AK41" s="153">
        <v>0.8333333333333334</v>
      </c>
      <c r="AL41" s="153">
        <v>0.75</v>
      </c>
      <c r="AM41" s="153">
        <v>0.25</v>
      </c>
      <c r="AN41" s="153">
        <v>0.75</v>
      </c>
      <c r="AO41" s="155">
        <v>0.0</v>
      </c>
      <c r="AP41" s="153">
        <v>1.0</v>
      </c>
      <c r="AQ41" s="154">
        <v>0.0</v>
      </c>
      <c r="AR41" s="153">
        <v>0.0</v>
      </c>
      <c r="AS41" s="153">
        <v>0.0</v>
      </c>
      <c r="AT41" s="153">
        <v>0.0</v>
      </c>
      <c r="AU41" s="153">
        <v>0.0</v>
      </c>
      <c r="AV41" s="153">
        <v>0.0</v>
      </c>
      <c r="AW41" s="153">
        <v>0.0</v>
      </c>
      <c r="AX41" s="153">
        <v>0.0</v>
      </c>
      <c r="AY41" s="156">
        <v>0.0</v>
      </c>
      <c r="AZ41" s="153">
        <v>0.0</v>
      </c>
      <c r="BA41" s="154">
        <v>0.0</v>
      </c>
      <c r="BB41" s="153">
        <v>0.0</v>
      </c>
      <c r="BC41" s="153">
        <v>0.0</v>
      </c>
      <c r="BD41" s="153">
        <v>0.0</v>
      </c>
      <c r="BE41" s="153">
        <v>0.0</v>
      </c>
      <c r="BF41" s="153">
        <v>0.0</v>
      </c>
      <c r="BG41" s="153">
        <v>0.0</v>
      </c>
      <c r="BH41" s="153">
        <v>0.0</v>
      </c>
      <c r="BI41" s="156">
        <v>0.0</v>
      </c>
      <c r="BJ41" s="153">
        <v>0.0</v>
      </c>
      <c r="BK41" s="154">
        <v>0.0</v>
      </c>
      <c r="BL41" s="153">
        <v>0.0</v>
      </c>
      <c r="BM41" s="153">
        <v>0.0</v>
      </c>
      <c r="BN41" s="153">
        <v>0.0</v>
      </c>
      <c r="BO41" s="153">
        <v>0.0</v>
      </c>
      <c r="BP41" s="153">
        <v>0.0</v>
      </c>
      <c r="BQ41" s="153">
        <v>0.0</v>
      </c>
      <c r="BR41" s="153">
        <v>0.0</v>
      </c>
      <c r="BS41" s="156">
        <v>0.0</v>
      </c>
      <c r="BT41" s="153">
        <v>0.0</v>
      </c>
      <c r="BU41" s="154">
        <v>0.0</v>
      </c>
      <c r="BV41" s="153">
        <v>0.0</v>
      </c>
      <c r="BW41" s="153">
        <v>0.0</v>
      </c>
      <c r="BX41" s="153">
        <v>0.0</v>
      </c>
      <c r="BY41" s="153">
        <v>0.0</v>
      </c>
      <c r="BZ41" s="153">
        <v>0.0</v>
      </c>
      <c r="CA41" s="153">
        <v>0.0</v>
      </c>
      <c r="CB41" s="153">
        <v>0.0</v>
      </c>
      <c r="CC41" s="156">
        <v>0.0</v>
      </c>
      <c r="CD41" s="153">
        <v>0.0</v>
      </c>
      <c r="CE41" s="154">
        <v>0.0</v>
      </c>
      <c r="CF41" s="153">
        <v>0.0</v>
      </c>
      <c r="CG41" s="153">
        <v>0.0</v>
      </c>
      <c r="CH41" s="153">
        <v>0.0</v>
      </c>
      <c r="CI41" s="153">
        <v>0.0</v>
      </c>
      <c r="CJ41" s="153">
        <v>0.0</v>
      </c>
      <c r="CK41" s="153">
        <v>0.0</v>
      </c>
      <c r="CL41" s="153">
        <v>0.0</v>
      </c>
      <c r="CM41" s="156">
        <v>0.0</v>
      </c>
      <c r="CN41" s="153">
        <v>0.0</v>
      </c>
      <c r="CO41" s="154">
        <v>0.0</v>
      </c>
      <c r="CP41" s="153">
        <v>0.0</v>
      </c>
      <c r="CQ41" s="153">
        <v>0.0</v>
      </c>
      <c r="CR41" s="153">
        <v>0.0</v>
      </c>
      <c r="CS41" s="153">
        <v>0.0</v>
      </c>
      <c r="CT41" s="153">
        <v>0.0</v>
      </c>
      <c r="CU41" s="153">
        <v>0.0</v>
      </c>
      <c r="CV41" s="153">
        <v>0.0</v>
      </c>
      <c r="CW41" s="156">
        <v>0.0</v>
      </c>
      <c r="CX41" s="153">
        <v>0.0</v>
      </c>
    </row>
    <row r="42" ht="35.25" customHeight="1">
      <c r="A42" s="125"/>
      <c r="B42" s="168" t="s">
        <v>2984</v>
      </c>
      <c r="C42" s="157">
        <v>0.0</v>
      </c>
      <c r="D42" s="158">
        <v>0.0</v>
      </c>
      <c r="E42" s="158">
        <v>0.0</v>
      </c>
      <c r="F42" s="158">
        <v>0.0</v>
      </c>
      <c r="G42" s="158">
        <v>0.0</v>
      </c>
      <c r="H42" s="158">
        <v>0.0</v>
      </c>
      <c r="I42" s="158">
        <v>0.25</v>
      </c>
      <c r="J42" s="158">
        <v>0.0</v>
      </c>
      <c r="K42" s="158">
        <v>0.0</v>
      </c>
      <c r="L42" s="160">
        <v>0.0</v>
      </c>
      <c r="M42" s="157">
        <v>0.0</v>
      </c>
      <c r="N42" s="158">
        <v>0.0</v>
      </c>
      <c r="O42" s="158">
        <v>0.0</v>
      </c>
      <c r="P42" s="158">
        <v>0.0</v>
      </c>
      <c r="Q42" s="158">
        <v>0.0</v>
      </c>
      <c r="R42" s="158">
        <v>0.0</v>
      </c>
      <c r="S42" s="158">
        <v>0.0</v>
      </c>
      <c r="T42" s="158">
        <v>0.0</v>
      </c>
      <c r="U42" s="158">
        <v>0.0</v>
      </c>
      <c r="V42" s="160">
        <v>0.0</v>
      </c>
      <c r="W42" s="157">
        <v>0.0</v>
      </c>
      <c r="X42" s="158">
        <v>0.0</v>
      </c>
      <c r="Y42" s="158">
        <v>0.0</v>
      </c>
      <c r="Z42" s="158">
        <v>0.0</v>
      </c>
      <c r="AA42" s="158">
        <v>0.0</v>
      </c>
      <c r="AB42" s="158">
        <v>0.0</v>
      </c>
      <c r="AC42" s="158">
        <v>0.0</v>
      </c>
      <c r="AD42" s="158">
        <v>0.0</v>
      </c>
      <c r="AE42" s="158">
        <v>0.0</v>
      </c>
      <c r="AF42" s="160">
        <v>0.0</v>
      </c>
      <c r="AG42" s="157">
        <v>1.0</v>
      </c>
      <c r="AH42" s="158">
        <v>0.5</v>
      </c>
      <c r="AI42" s="158">
        <v>0.6666666666666666</v>
      </c>
      <c r="AJ42" s="158">
        <v>0.5</v>
      </c>
      <c r="AK42" s="158">
        <v>1.0</v>
      </c>
      <c r="AL42" s="158">
        <v>1.0</v>
      </c>
      <c r="AM42" s="158">
        <v>0.5</v>
      </c>
      <c r="AN42" s="158">
        <v>0.8333333333333334</v>
      </c>
      <c r="AO42" s="158">
        <v>1.0</v>
      </c>
      <c r="AP42" s="159">
        <v>0.0</v>
      </c>
      <c r="AQ42" s="157">
        <v>0.0</v>
      </c>
      <c r="AR42" s="158">
        <v>0.25</v>
      </c>
      <c r="AS42" s="158">
        <v>0.16666666666666666</v>
      </c>
      <c r="AT42" s="158">
        <v>0.0</v>
      </c>
      <c r="AU42" s="158">
        <v>0.0</v>
      </c>
      <c r="AV42" s="158">
        <v>0.0</v>
      </c>
      <c r="AW42" s="158">
        <v>0.0</v>
      </c>
      <c r="AX42" s="158">
        <v>0.0</v>
      </c>
      <c r="AY42" s="158">
        <v>0.0</v>
      </c>
      <c r="AZ42" s="160">
        <v>0.0</v>
      </c>
      <c r="BA42" s="157">
        <v>0.0</v>
      </c>
      <c r="BB42" s="158">
        <v>0.0</v>
      </c>
      <c r="BC42" s="158">
        <v>0.0</v>
      </c>
      <c r="BD42" s="158">
        <v>0.25</v>
      </c>
      <c r="BE42" s="158">
        <v>0.0</v>
      </c>
      <c r="BF42" s="158">
        <v>0.0</v>
      </c>
      <c r="BG42" s="158">
        <v>0.0</v>
      </c>
      <c r="BH42" s="158">
        <v>0.0</v>
      </c>
      <c r="BI42" s="158">
        <v>0.0</v>
      </c>
      <c r="BJ42" s="160">
        <v>0.0</v>
      </c>
      <c r="BK42" s="157">
        <v>0.0</v>
      </c>
      <c r="BL42" s="158">
        <v>0.0</v>
      </c>
      <c r="BM42" s="158">
        <v>0.0</v>
      </c>
      <c r="BN42" s="158">
        <v>0.0</v>
      </c>
      <c r="BO42" s="158">
        <v>0.0</v>
      </c>
      <c r="BP42" s="158">
        <v>0.0</v>
      </c>
      <c r="BQ42" s="158">
        <v>0.0</v>
      </c>
      <c r="BR42" s="158">
        <v>0.0</v>
      </c>
      <c r="BS42" s="158">
        <v>0.0</v>
      </c>
      <c r="BT42" s="160">
        <v>0.0</v>
      </c>
      <c r="BU42" s="157">
        <v>0.0</v>
      </c>
      <c r="BV42" s="158">
        <v>0.0</v>
      </c>
      <c r="BW42" s="158">
        <v>0.0</v>
      </c>
      <c r="BX42" s="158">
        <v>0.0</v>
      </c>
      <c r="BY42" s="158">
        <v>0.0</v>
      </c>
      <c r="BZ42" s="158">
        <v>0.0</v>
      </c>
      <c r="CA42" s="158">
        <v>0.0</v>
      </c>
      <c r="CB42" s="158">
        <v>0.0</v>
      </c>
      <c r="CC42" s="158">
        <v>0.0</v>
      </c>
      <c r="CD42" s="160">
        <v>0.0</v>
      </c>
      <c r="CE42" s="157">
        <v>0.0</v>
      </c>
      <c r="CF42" s="158">
        <v>0.0</v>
      </c>
      <c r="CG42" s="158">
        <v>0.0</v>
      </c>
      <c r="CH42" s="158">
        <v>0.0</v>
      </c>
      <c r="CI42" s="158">
        <v>0.0</v>
      </c>
      <c r="CJ42" s="158">
        <v>0.0</v>
      </c>
      <c r="CK42" s="158">
        <v>0.0</v>
      </c>
      <c r="CL42" s="158">
        <v>0.0</v>
      </c>
      <c r="CM42" s="158">
        <v>0.0</v>
      </c>
      <c r="CN42" s="160">
        <v>0.0</v>
      </c>
      <c r="CO42" s="157">
        <v>0.0</v>
      </c>
      <c r="CP42" s="158">
        <v>0.0</v>
      </c>
      <c r="CQ42" s="158">
        <v>0.0</v>
      </c>
      <c r="CR42" s="158">
        <v>0.0</v>
      </c>
      <c r="CS42" s="158">
        <v>0.0</v>
      </c>
      <c r="CT42" s="158">
        <v>0.0</v>
      </c>
      <c r="CU42" s="158">
        <v>0.0</v>
      </c>
      <c r="CV42" s="158">
        <v>0.0</v>
      </c>
      <c r="CW42" s="158">
        <v>0.0</v>
      </c>
      <c r="CX42" s="160">
        <v>0.0</v>
      </c>
    </row>
    <row r="43" ht="35.25" customHeight="1">
      <c r="A43" s="138" t="s">
        <v>2939</v>
      </c>
      <c r="B43" s="167" t="s">
        <v>2985</v>
      </c>
      <c r="C43" s="154">
        <v>0.0</v>
      </c>
      <c r="D43" s="153">
        <v>0.0</v>
      </c>
      <c r="E43" s="153">
        <v>0.0</v>
      </c>
      <c r="F43" s="153">
        <v>0.0</v>
      </c>
      <c r="G43" s="153">
        <v>0.0</v>
      </c>
      <c r="H43" s="153">
        <v>0.0</v>
      </c>
      <c r="I43" s="153">
        <v>0.0</v>
      </c>
      <c r="J43" s="153">
        <v>0.0</v>
      </c>
      <c r="K43" s="153">
        <v>0.0</v>
      </c>
      <c r="L43" s="153">
        <v>0.0</v>
      </c>
      <c r="M43" s="154">
        <v>0.0</v>
      </c>
      <c r="N43" s="153">
        <v>0.0</v>
      </c>
      <c r="O43" s="153">
        <v>0.0</v>
      </c>
      <c r="P43" s="153">
        <v>0.0</v>
      </c>
      <c r="Q43" s="153">
        <v>0.0</v>
      </c>
      <c r="R43" s="153">
        <v>0.0</v>
      </c>
      <c r="S43" s="153">
        <v>0.0</v>
      </c>
      <c r="T43" s="153">
        <v>0.0</v>
      </c>
      <c r="U43" s="153">
        <v>0.0</v>
      </c>
      <c r="V43" s="153">
        <v>0.0</v>
      </c>
      <c r="W43" s="154">
        <v>0.0</v>
      </c>
      <c r="X43" s="153">
        <v>0.0</v>
      </c>
      <c r="Y43" s="153">
        <v>0.0</v>
      </c>
      <c r="Z43" s="153">
        <v>0.0</v>
      </c>
      <c r="AA43" s="153">
        <v>0.0</v>
      </c>
      <c r="AB43" s="153">
        <v>0.0</v>
      </c>
      <c r="AC43" s="153">
        <v>0.0</v>
      </c>
      <c r="AD43" s="153">
        <v>0.0</v>
      </c>
      <c r="AE43" s="153">
        <v>0.0</v>
      </c>
      <c r="AF43" s="153">
        <v>0.0</v>
      </c>
      <c r="AG43" s="154">
        <v>0.0</v>
      </c>
      <c r="AH43" s="153">
        <v>0.0</v>
      </c>
      <c r="AI43" s="153">
        <v>0.0</v>
      </c>
      <c r="AJ43" s="153">
        <v>0.0</v>
      </c>
      <c r="AK43" s="153">
        <v>0.0</v>
      </c>
      <c r="AL43" s="153">
        <v>0.0</v>
      </c>
      <c r="AM43" s="153">
        <v>0.0</v>
      </c>
      <c r="AN43" s="153">
        <v>0.0</v>
      </c>
      <c r="AO43" s="153">
        <v>0.0</v>
      </c>
      <c r="AP43" s="153">
        <v>0.0</v>
      </c>
      <c r="AQ43" s="152">
        <v>0.0</v>
      </c>
      <c r="AR43" s="153">
        <v>1.0</v>
      </c>
      <c r="AS43" s="153">
        <v>0.25</v>
      </c>
      <c r="AT43" s="153">
        <v>0.5</v>
      </c>
      <c r="AU43" s="153">
        <v>0.8</v>
      </c>
      <c r="AV43" s="153">
        <v>0.7</v>
      </c>
      <c r="AW43" s="153">
        <v>0.75</v>
      </c>
      <c r="AX43" s="153">
        <v>0.75</v>
      </c>
      <c r="AY43" s="153">
        <v>0.9</v>
      </c>
      <c r="AZ43" s="153">
        <v>1.0</v>
      </c>
      <c r="BA43" s="154">
        <v>0.0</v>
      </c>
      <c r="BB43" s="153">
        <v>0.0</v>
      </c>
      <c r="BC43" s="153">
        <v>0.0</v>
      </c>
      <c r="BD43" s="153">
        <v>0.0</v>
      </c>
      <c r="BE43" s="153">
        <v>0.0</v>
      </c>
      <c r="BF43" s="153">
        <v>0.0</v>
      </c>
      <c r="BG43" s="153">
        <v>0.0</v>
      </c>
      <c r="BH43" s="153">
        <v>0.0</v>
      </c>
      <c r="BI43" s="153">
        <v>0.0</v>
      </c>
      <c r="BJ43" s="153">
        <v>0.0</v>
      </c>
      <c r="BK43" s="154">
        <v>0.0</v>
      </c>
      <c r="BL43" s="153">
        <v>0.0</v>
      </c>
      <c r="BM43" s="153">
        <v>0.0</v>
      </c>
      <c r="BN43" s="153">
        <v>0.0</v>
      </c>
      <c r="BO43" s="153">
        <v>0.0</v>
      </c>
      <c r="BP43" s="153">
        <v>0.0</v>
      </c>
      <c r="BQ43" s="153">
        <v>0.0</v>
      </c>
      <c r="BR43" s="153">
        <v>0.0</v>
      </c>
      <c r="BS43" s="153">
        <v>0.0</v>
      </c>
      <c r="BT43" s="153">
        <v>0.0</v>
      </c>
      <c r="BU43" s="154">
        <v>0.0</v>
      </c>
      <c r="BV43" s="153">
        <v>0.0</v>
      </c>
      <c r="BW43" s="153">
        <v>0.0</v>
      </c>
      <c r="BX43" s="153">
        <v>0.0</v>
      </c>
      <c r="BY43" s="153">
        <v>0.0</v>
      </c>
      <c r="BZ43" s="153">
        <v>0.0</v>
      </c>
      <c r="CA43" s="153">
        <v>0.0</v>
      </c>
      <c r="CB43" s="153">
        <v>0.0</v>
      </c>
      <c r="CC43" s="153">
        <v>0.0</v>
      </c>
      <c r="CD43" s="153">
        <v>0.0</v>
      </c>
      <c r="CE43" s="154">
        <v>0.05555555555555555</v>
      </c>
      <c r="CF43" s="153">
        <v>0.0</v>
      </c>
      <c r="CG43" s="153">
        <v>0.0</v>
      </c>
      <c r="CH43" s="153">
        <v>0.0</v>
      </c>
      <c r="CI43" s="153">
        <v>0.0</v>
      </c>
      <c r="CJ43" s="153">
        <v>0.0</v>
      </c>
      <c r="CK43" s="153">
        <v>0.0</v>
      </c>
      <c r="CL43" s="153">
        <v>0.0</v>
      </c>
      <c r="CM43" s="153">
        <v>0.0</v>
      </c>
      <c r="CN43" s="153">
        <v>0.0</v>
      </c>
      <c r="CO43" s="154">
        <v>0.0</v>
      </c>
      <c r="CP43" s="153">
        <v>0.0</v>
      </c>
      <c r="CQ43" s="153">
        <v>0.0</v>
      </c>
      <c r="CR43" s="153">
        <v>0.0</v>
      </c>
      <c r="CS43" s="153">
        <v>0.0</v>
      </c>
      <c r="CT43" s="153">
        <v>0.0</v>
      </c>
      <c r="CU43" s="153">
        <v>0.0</v>
      </c>
      <c r="CV43" s="153">
        <v>0.0</v>
      </c>
      <c r="CW43" s="153">
        <v>0.0</v>
      </c>
      <c r="CX43" s="153">
        <v>0.0</v>
      </c>
    </row>
    <row r="44" ht="35.25" customHeight="1">
      <c r="B44" s="167" t="s">
        <v>2986</v>
      </c>
      <c r="C44" s="154">
        <v>0.0</v>
      </c>
      <c r="D44" s="156">
        <v>0.0</v>
      </c>
      <c r="E44" s="153">
        <v>0.0</v>
      </c>
      <c r="F44" s="153">
        <v>0.0</v>
      </c>
      <c r="G44" s="153">
        <v>0.0</v>
      </c>
      <c r="H44" s="153">
        <v>0.0</v>
      </c>
      <c r="I44" s="153">
        <v>0.0</v>
      </c>
      <c r="J44" s="153">
        <v>0.0</v>
      </c>
      <c r="K44" s="153">
        <v>0.0</v>
      </c>
      <c r="L44" s="153">
        <v>0.0</v>
      </c>
      <c r="M44" s="154">
        <v>0.0</v>
      </c>
      <c r="N44" s="156">
        <v>0.0</v>
      </c>
      <c r="O44" s="153">
        <v>0.0</v>
      </c>
      <c r="P44" s="153">
        <v>0.0</v>
      </c>
      <c r="Q44" s="153">
        <v>0.0</v>
      </c>
      <c r="R44" s="153">
        <v>0.0</v>
      </c>
      <c r="S44" s="153">
        <v>0.0</v>
      </c>
      <c r="T44" s="153">
        <v>0.0</v>
      </c>
      <c r="U44" s="153">
        <v>0.0</v>
      </c>
      <c r="V44" s="153">
        <v>0.0</v>
      </c>
      <c r="W44" s="154">
        <v>0.0</v>
      </c>
      <c r="X44" s="156">
        <v>0.0</v>
      </c>
      <c r="Y44" s="153">
        <v>0.0</v>
      </c>
      <c r="Z44" s="153">
        <v>0.0</v>
      </c>
      <c r="AA44" s="153">
        <v>0.0</v>
      </c>
      <c r="AB44" s="153">
        <v>0.0</v>
      </c>
      <c r="AC44" s="153">
        <v>0.0</v>
      </c>
      <c r="AD44" s="153">
        <v>0.0</v>
      </c>
      <c r="AE44" s="153">
        <v>0.0</v>
      </c>
      <c r="AF44" s="153">
        <v>0.0</v>
      </c>
      <c r="AG44" s="154">
        <v>0.0</v>
      </c>
      <c r="AH44" s="156">
        <v>0.0</v>
      </c>
      <c r="AI44" s="153">
        <v>0.0</v>
      </c>
      <c r="AJ44" s="153">
        <v>0.0</v>
      </c>
      <c r="AK44" s="153">
        <v>0.0</v>
      </c>
      <c r="AL44" s="153">
        <v>0.0</v>
      </c>
      <c r="AM44" s="153">
        <v>0.0</v>
      </c>
      <c r="AN44" s="153">
        <v>0.0</v>
      </c>
      <c r="AO44" s="153">
        <v>0.0</v>
      </c>
      <c r="AP44" s="153">
        <v>0.25</v>
      </c>
      <c r="AQ44" s="154">
        <v>1.0</v>
      </c>
      <c r="AR44" s="155">
        <v>0.0</v>
      </c>
      <c r="AS44" s="153">
        <v>1.0</v>
      </c>
      <c r="AT44" s="153">
        <v>1.0</v>
      </c>
      <c r="AU44" s="153">
        <v>0.8333333333333334</v>
      </c>
      <c r="AV44" s="153">
        <v>1.0</v>
      </c>
      <c r="AW44" s="153">
        <v>0.5</v>
      </c>
      <c r="AX44" s="153">
        <v>0.75</v>
      </c>
      <c r="AY44" s="153">
        <v>1.0</v>
      </c>
      <c r="AZ44" s="153">
        <v>0.5</v>
      </c>
      <c r="BA44" s="154">
        <v>0.0</v>
      </c>
      <c r="BB44" s="156">
        <v>0.0</v>
      </c>
      <c r="BC44" s="153">
        <v>0.0</v>
      </c>
      <c r="BD44" s="153">
        <v>0.25</v>
      </c>
      <c r="BE44" s="153">
        <v>0.0</v>
      </c>
      <c r="BF44" s="153">
        <v>0.0</v>
      </c>
      <c r="BG44" s="153">
        <v>0.0</v>
      </c>
      <c r="BH44" s="153">
        <v>0.0</v>
      </c>
      <c r="BI44" s="153">
        <v>0.0</v>
      </c>
      <c r="BJ44" s="153">
        <v>0.0</v>
      </c>
      <c r="BK44" s="154">
        <v>0.0</v>
      </c>
      <c r="BL44" s="156">
        <v>0.0</v>
      </c>
      <c r="BM44" s="153">
        <v>0.0</v>
      </c>
      <c r="BN44" s="153">
        <v>0.0</v>
      </c>
      <c r="BO44" s="153">
        <v>0.0</v>
      </c>
      <c r="BP44" s="153">
        <v>0.0</v>
      </c>
      <c r="BQ44" s="153">
        <v>0.0</v>
      </c>
      <c r="BR44" s="153">
        <v>0.0</v>
      </c>
      <c r="BS44" s="153">
        <v>0.0</v>
      </c>
      <c r="BT44" s="153">
        <v>0.0</v>
      </c>
      <c r="BU44" s="154">
        <v>0.0</v>
      </c>
      <c r="BV44" s="156">
        <v>0.0</v>
      </c>
      <c r="BW44" s="153">
        <v>0.0</v>
      </c>
      <c r="BX44" s="153">
        <v>0.0</v>
      </c>
      <c r="BY44" s="153">
        <v>0.0</v>
      </c>
      <c r="BZ44" s="153">
        <v>0.0</v>
      </c>
      <c r="CA44" s="153">
        <v>0.0</v>
      </c>
      <c r="CB44" s="153">
        <v>0.0</v>
      </c>
      <c r="CC44" s="153">
        <v>0.0</v>
      </c>
      <c r="CD44" s="153">
        <v>0.0</v>
      </c>
      <c r="CE44" s="154">
        <v>0.0</v>
      </c>
      <c r="CF44" s="156">
        <v>0.07142857142857142</v>
      </c>
      <c r="CG44" s="153">
        <v>0.0</v>
      </c>
      <c r="CH44" s="153">
        <v>0.0</v>
      </c>
      <c r="CI44" s="153">
        <v>0.0</v>
      </c>
      <c r="CJ44" s="153">
        <v>0.0</v>
      </c>
      <c r="CK44" s="153">
        <v>0.16666666666666666</v>
      </c>
      <c r="CL44" s="153">
        <v>0.0</v>
      </c>
      <c r="CM44" s="153">
        <v>0.0</v>
      </c>
      <c r="CN44" s="153">
        <v>0.25</v>
      </c>
      <c r="CO44" s="154">
        <v>0.0</v>
      </c>
      <c r="CP44" s="156">
        <v>0.0</v>
      </c>
      <c r="CQ44" s="153">
        <v>0.0</v>
      </c>
      <c r="CR44" s="153">
        <v>0.0</v>
      </c>
      <c r="CS44" s="153">
        <v>0.0</v>
      </c>
      <c r="CT44" s="153">
        <v>0.0</v>
      </c>
      <c r="CU44" s="153">
        <v>0.16666666666666666</v>
      </c>
      <c r="CV44" s="153">
        <v>0.0</v>
      </c>
      <c r="CW44" s="153">
        <v>0.0</v>
      </c>
      <c r="CX44" s="153">
        <v>0.0</v>
      </c>
    </row>
    <row r="45" ht="35.25" customHeight="1">
      <c r="B45" s="167" t="s">
        <v>2987</v>
      </c>
      <c r="C45" s="154">
        <v>0.0</v>
      </c>
      <c r="D45" s="153">
        <v>0.0</v>
      </c>
      <c r="E45" s="156">
        <v>0.0</v>
      </c>
      <c r="F45" s="153">
        <v>0.0</v>
      </c>
      <c r="G45" s="153">
        <v>0.0</v>
      </c>
      <c r="H45" s="153">
        <v>0.0</v>
      </c>
      <c r="I45" s="153">
        <v>0.0</v>
      </c>
      <c r="J45" s="153">
        <v>0.0</v>
      </c>
      <c r="K45" s="153">
        <v>0.0</v>
      </c>
      <c r="L45" s="153">
        <v>0.0</v>
      </c>
      <c r="M45" s="154">
        <v>0.0</v>
      </c>
      <c r="N45" s="153">
        <v>0.0</v>
      </c>
      <c r="O45" s="156">
        <v>0.0</v>
      </c>
      <c r="P45" s="153">
        <v>0.0</v>
      </c>
      <c r="Q45" s="153">
        <v>0.0</v>
      </c>
      <c r="R45" s="153">
        <v>0.0</v>
      </c>
      <c r="S45" s="153">
        <v>0.0</v>
      </c>
      <c r="T45" s="153">
        <v>0.0</v>
      </c>
      <c r="U45" s="153">
        <v>0.0</v>
      </c>
      <c r="V45" s="153">
        <v>0.0</v>
      </c>
      <c r="W45" s="154">
        <v>0.0</v>
      </c>
      <c r="X45" s="153">
        <v>0.0</v>
      </c>
      <c r="Y45" s="156">
        <v>0.0</v>
      </c>
      <c r="Z45" s="153">
        <v>0.0</v>
      </c>
      <c r="AA45" s="153">
        <v>0.0</v>
      </c>
      <c r="AB45" s="153">
        <v>0.0</v>
      </c>
      <c r="AC45" s="153">
        <v>0.0</v>
      </c>
      <c r="AD45" s="153">
        <v>0.0</v>
      </c>
      <c r="AE45" s="153">
        <v>0.0</v>
      </c>
      <c r="AF45" s="153">
        <v>0.0</v>
      </c>
      <c r="AG45" s="154">
        <v>0.0</v>
      </c>
      <c r="AH45" s="153">
        <v>0.0</v>
      </c>
      <c r="AI45" s="156">
        <v>0.0</v>
      </c>
      <c r="AJ45" s="153">
        <v>0.0</v>
      </c>
      <c r="AK45" s="153">
        <v>0.0</v>
      </c>
      <c r="AL45" s="153">
        <v>0.0</v>
      </c>
      <c r="AM45" s="153">
        <v>0.0</v>
      </c>
      <c r="AN45" s="153">
        <v>0.0</v>
      </c>
      <c r="AO45" s="153">
        <v>0.0</v>
      </c>
      <c r="AP45" s="153">
        <v>0.16666666666666666</v>
      </c>
      <c r="AQ45" s="154">
        <v>0.25</v>
      </c>
      <c r="AR45" s="153">
        <v>1.0</v>
      </c>
      <c r="AS45" s="155">
        <v>0.0</v>
      </c>
      <c r="AT45" s="153">
        <v>0.75</v>
      </c>
      <c r="AU45" s="153">
        <v>0.75</v>
      </c>
      <c r="AV45" s="153">
        <v>0.5</v>
      </c>
      <c r="AW45" s="153">
        <v>0.625</v>
      </c>
      <c r="AX45" s="153">
        <v>0.8333333333333334</v>
      </c>
      <c r="AY45" s="153">
        <v>1.0</v>
      </c>
      <c r="AZ45" s="153">
        <v>0.6666666666666666</v>
      </c>
      <c r="BA45" s="154">
        <v>0.0</v>
      </c>
      <c r="BB45" s="153">
        <v>0.0</v>
      </c>
      <c r="BC45" s="156">
        <v>0.0</v>
      </c>
      <c r="BD45" s="153">
        <v>0.0</v>
      </c>
      <c r="BE45" s="153">
        <v>0.0</v>
      </c>
      <c r="BF45" s="153">
        <v>0.0</v>
      </c>
      <c r="BG45" s="153">
        <v>0.0</v>
      </c>
      <c r="BH45" s="153">
        <v>0.0</v>
      </c>
      <c r="BI45" s="153">
        <v>0.0</v>
      </c>
      <c r="BJ45" s="153">
        <v>0.0</v>
      </c>
      <c r="BK45" s="154">
        <v>0.0</v>
      </c>
      <c r="BL45" s="153">
        <v>0.0</v>
      </c>
      <c r="BM45" s="156">
        <v>0.0</v>
      </c>
      <c r="BN45" s="153">
        <v>0.0</v>
      </c>
      <c r="BO45" s="153">
        <v>0.0</v>
      </c>
      <c r="BP45" s="153">
        <v>0.0</v>
      </c>
      <c r="BQ45" s="153">
        <v>0.0</v>
      </c>
      <c r="BR45" s="153">
        <v>0.0</v>
      </c>
      <c r="BS45" s="153">
        <v>0.0</v>
      </c>
      <c r="BT45" s="153">
        <v>0.0</v>
      </c>
      <c r="BU45" s="154">
        <v>0.0</v>
      </c>
      <c r="BV45" s="153">
        <v>0.0</v>
      </c>
      <c r="BW45" s="156">
        <v>0.0</v>
      </c>
      <c r="BX45" s="153">
        <v>0.0</v>
      </c>
      <c r="BY45" s="153">
        <v>0.0</v>
      </c>
      <c r="BZ45" s="153">
        <v>0.0</v>
      </c>
      <c r="CA45" s="153">
        <v>0.0</v>
      </c>
      <c r="CB45" s="153">
        <v>0.0</v>
      </c>
      <c r="CC45" s="153">
        <v>0.0</v>
      </c>
      <c r="CD45" s="153">
        <v>0.0</v>
      </c>
      <c r="CE45" s="154">
        <v>0.0</v>
      </c>
      <c r="CF45" s="153">
        <v>0.25</v>
      </c>
      <c r="CG45" s="156">
        <v>0.0</v>
      </c>
      <c r="CH45" s="153">
        <v>0.0</v>
      </c>
      <c r="CI45" s="153">
        <v>0.0</v>
      </c>
      <c r="CJ45" s="153">
        <v>0.0</v>
      </c>
      <c r="CK45" s="153">
        <v>0.125</v>
      </c>
      <c r="CL45" s="153">
        <v>0.0</v>
      </c>
      <c r="CM45" s="153">
        <v>0.0</v>
      </c>
      <c r="CN45" s="153">
        <v>0.3333333333333333</v>
      </c>
      <c r="CO45" s="154">
        <v>0.0</v>
      </c>
      <c r="CP45" s="153">
        <v>0.0</v>
      </c>
      <c r="CQ45" s="156">
        <v>0.0</v>
      </c>
      <c r="CR45" s="153">
        <v>0.0</v>
      </c>
      <c r="CS45" s="153">
        <v>0.0</v>
      </c>
      <c r="CT45" s="153">
        <v>0.0</v>
      </c>
      <c r="CU45" s="153">
        <v>0.125</v>
      </c>
      <c r="CV45" s="153">
        <v>0.0</v>
      </c>
      <c r="CW45" s="153">
        <v>0.0</v>
      </c>
      <c r="CX45" s="153">
        <v>0.0</v>
      </c>
    </row>
    <row r="46" ht="35.25" customHeight="1">
      <c r="B46" s="167" t="s">
        <v>2988</v>
      </c>
      <c r="C46" s="154">
        <v>0.0</v>
      </c>
      <c r="D46" s="153">
        <v>0.0</v>
      </c>
      <c r="E46" s="153">
        <v>0.0</v>
      </c>
      <c r="F46" s="156">
        <v>0.0</v>
      </c>
      <c r="G46" s="153">
        <v>0.0</v>
      </c>
      <c r="H46" s="153">
        <v>0.0</v>
      </c>
      <c r="I46" s="153">
        <v>0.0</v>
      </c>
      <c r="J46" s="153">
        <v>0.0</v>
      </c>
      <c r="K46" s="153">
        <v>0.0</v>
      </c>
      <c r="L46" s="153">
        <v>0.0</v>
      </c>
      <c r="M46" s="154">
        <v>0.0</v>
      </c>
      <c r="N46" s="153">
        <v>0.0</v>
      </c>
      <c r="O46" s="153">
        <v>0.0</v>
      </c>
      <c r="P46" s="156">
        <v>0.0</v>
      </c>
      <c r="Q46" s="153">
        <v>0.0</v>
      </c>
      <c r="R46" s="153">
        <v>0.0</v>
      </c>
      <c r="S46" s="153">
        <v>0.0</v>
      </c>
      <c r="T46" s="153">
        <v>0.0</v>
      </c>
      <c r="U46" s="153">
        <v>0.0</v>
      </c>
      <c r="V46" s="153">
        <v>0.0</v>
      </c>
      <c r="W46" s="154">
        <v>0.0</v>
      </c>
      <c r="X46" s="153">
        <v>0.0</v>
      </c>
      <c r="Y46" s="153">
        <v>0.0</v>
      </c>
      <c r="Z46" s="156">
        <v>0.0</v>
      </c>
      <c r="AA46" s="153">
        <v>0.0</v>
      </c>
      <c r="AB46" s="153">
        <v>0.0</v>
      </c>
      <c r="AC46" s="153">
        <v>0.0</v>
      </c>
      <c r="AD46" s="153">
        <v>0.0</v>
      </c>
      <c r="AE46" s="153">
        <v>0.0</v>
      </c>
      <c r="AF46" s="153">
        <v>0.0</v>
      </c>
      <c r="AG46" s="154">
        <v>0.0</v>
      </c>
      <c r="AH46" s="153">
        <v>0.0</v>
      </c>
      <c r="AI46" s="153">
        <v>0.0</v>
      </c>
      <c r="AJ46" s="156">
        <v>0.0</v>
      </c>
      <c r="AK46" s="153">
        <v>0.0</v>
      </c>
      <c r="AL46" s="153">
        <v>0.0</v>
      </c>
      <c r="AM46" s="153">
        <v>0.0</v>
      </c>
      <c r="AN46" s="153">
        <v>0.0</v>
      </c>
      <c r="AO46" s="153">
        <v>0.0</v>
      </c>
      <c r="AP46" s="153">
        <v>0.0</v>
      </c>
      <c r="AQ46" s="154">
        <v>0.5</v>
      </c>
      <c r="AR46" s="153">
        <v>1.0</v>
      </c>
      <c r="AS46" s="153">
        <v>0.75</v>
      </c>
      <c r="AT46" s="155">
        <v>0.0</v>
      </c>
      <c r="AU46" s="153">
        <v>0.75</v>
      </c>
      <c r="AV46" s="153">
        <v>0.5</v>
      </c>
      <c r="AW46" s="153">
        <v>0.7</v>
      </c>
      <c r="AX46" s="153">
        <v>0.75</v>
      </c>
      <c r="AY46" s="153">
        <v>1.0</v>
      </c>
      <c r="AZ46" s="153">
        <v>0.75</v>
      </c>
      <c r="BA46" s="154">
        <v>0.0</v>
      </c>
      <c r="BB46" s="153">
        <v>0.0</v>
      </c>
      <c r="BC46" s="153">
        <v>0.0</v>
      </c>
      <c r="BD46" s="156">
        <v>0.0625</v>
      </c>
      <c r="BE46" s="153">
        <v>0.0</v>
      </c>
      <c r="BF46" s="153">
        <v>0.0</v>
      </c>
      <c r="BG46" s="153">
        <v>0.0</v>
      </c>
      <c r="BH46" s="153">
        <v>0.0</v>
      </c>
      <c r="BI46" s="153">
        <v>0.0</v>
      </c>
      <c r="BJ46" s="153">
        <v>0.0</v>
      </c>
      <c r="BK46" s="154">
        <v>0.0</v>
      </c>
      <c r="BL46" s="153">
        <v>0.0</v>
      </c>
      <c r="BM46" s="153">
        <v>0.0</v>
      </c>
      <c r="BN46" s="156">
        <v>0.0</v>
      </c>
      <c r="BO46" s="153">
        <v>0.0</v>
      </c>
      <c r="BP46" s="153">
        <v>0.0</v>
      </c>
      <c r="BQ46" s="153">
        <v>0.0</v>
      </c>
      <c r="BR46" s="153">
        <v>0.0</v>
      </c>
      <c r="BS46" s="153">
        <v>0.0</v>
      </c>
      <c r="BT46" s="153">
        <v>0.0</v>
      </c>
      <c r="BU46" s="154">
        <v>0.0</v>
      </c>
      <c r="BV46" s="153">
        <v>0.0</v>
      </c>
      <c r="BW46" s="153">
        <v>0.0</v>
      </c>
      <c r="BX46" s="156">
        <v>0.0</v>
      </c>
      <c r="BY46" s="153">
        <v>0.0</v>
      </c>
      <c r="BZ46" s="153">
        <v>0.0</v>
      </c>
      <c r="CA46" s="153">
        <v>0.0</v>
      </c>
      <c r="CB46" s="153">
        <v>0.0</v>
      </c>
      <c r="CC46" s="153">
        <v>0.0</v>
      </c>
      <c r="CD46" s="153">
        <v>0.0</v>
      </c>
      <c r="CE46" s="154">
        <v>0.0</v>
      </c>
      <c r="CF46" s="153">
        <v>0.0</v>
      </c>
      <c r="CG46" s="153">
        <v>0.0</v>
      </c>
      <c r="CH46" s="156">
        <v>0.0</v>
      </c>
      <c r="CI46" s="153">
        <v>0.0</v>
      </c>
      <c r="CJ46" s="153">
        <v>0.0</v>
      </c>
      <c r="CK46" s="153">
        <v>0.0</v>
      </c>
      <c r="CL46" s="153">
        <v>0.0</v>
      </c>
      <c r="CM46" s="153">
        <v>0.0</v>
      </c>
      <c r="CN46" s="153">
        <v>0.0</v>
      </c>
      <c r="CO46" s="154">
        <v>0.0</v>
      </c>
      <c r="CP46" s="153">
        <v>0.0</v>
      </c>
      <c r="CQ46" s="153">
        <v>0.0</v>
      </c>
      <c r="CR46" s="156">
        <v>0.0625</v>
      </c>
      <c r="CS46" s="153">
        <v>0.0</v>
      </c>
      <c r="CT46" s="153">
        <v>0.0</v>
      </c>
      <c r="CU46" s="153">
        <v>0.1</v>
      </c>
      <c r="CV46" s="153">
        <v>0.0</v>
      </c>
      <c r="CW46" s="153">
        <v>0.0</v>
      </c>
      <c r="CX46" s="153">
        <v>0.25</v>
      </c>
    </row>
    <row r="47" ht="35.25" customHeight="1">
      <c r="B47" s="167" t="s">
        <v>2989</v>
      </c>
      <c r="C47" s="154">
        <v>0.0</v>
      </c>
      <c r="D47" s="153">
        <v>0.0</v>
      </c>
      <c r="E47" s="153">
        <v>0.0</v>
      </c>
      <c r="F47" s="153">
        <v>0.0</v>
      </c>
      <c r="G47" s="156">
        <v>0.0</v>
      </c>
      <c r="H47" s="153">
        <v>0.0</v>
      </c>
      <c r="I47" s="153">
        <v>0.0</v>
      </c>
      <c r="J47" s="153">
        <v>0.0</v>
      </c>
      <c r="K47" s="153">
        <v>0.0</v>
      </c>
      <c r="L47" s="153">
        <v>0.0</v>
      </c>
      <c r="M47" s="154">
        <v>0.0</v>
      </c>
      <c r="N47" s="153">
        <v>0.16666666666666666</v>
      </c>
      <c r="O47" s="153">
        <v>0.0</v>
      </c>
      <c r="P47" s="153">
        <v>0.25</v>
      </c>
      <c r="Q47" s="156">
        <v>0.05555555555555555</v>
      </c>
      <c r="R47" s="153">
        <v>0.0</v>
      </c>
      <c r="S47" s="153">
        <v>0.25</v>
      </c>
      <c r="T47" s="153">
        <v>0.0</v>
      </c>
      <c r="U47" s="153">
        <v>0.0</v>
      </c>
      <c r="V47" s="153">
        <v>0.0</v>
      </c>
      <c r="W47" s="154">
        <v>0.0</v>
      </c>
      <c r="X47" s="153">
        <v>0.0</v>
      </c>
      <c r="Y47" s="153">
        <v>0.0</v>
      </c>
      <c r="Z47" s="153">
        <v>0.0</v>
      </c>
      <c r="AA47" s="156">
        <v>0.0</v>
      </c>
      <c r="AB47" s="153">
        <v>0.0</v>
      </c>
      <c r="AC47" s="153">
        <v>0.0</v>
      </c>
      <c r="AD47" s="153">
        <v>0.0</v>
      </c>
      <c r="AE47" s="153">
        <v>0.0</v>
      </c>
      <c r="AF47" s="153">
        <v>0.0</v>
      </c>
      <c r="AG47" s="154">
        <v>0.0</v>
      </c>
      <c r="AH47" s="153">
        <v>0.0</v>
      </c>
      <c r="AI47" s="153">
        <v>0.0</v>
      </c>
      <c r="AJ47" s="153">
        <v>0.0</v>
      </c>
      <c r="AK47" s="156">
        <v>0.0</v>
      </c>
      <c r="AL47" s="153">
        <v>0.0</v>
      </c>
      <c r="AM47" s="153">
        <v>0.0</v>
      </c>
      <c r="AN47" s="153">
        <v>0.0</v>
      </c>
      <c r="AO47" s="153">
        <v>0.0</v>
      </c>
      <c r="AP47" s="153">
        <v>0.0</v>
      </c>
      <c r="AQ47" s="154">
        <v>0.8</v>
      </c>
      <c r="AR47" s="153">
        <v>0.8333333333333334</v>
      </c>
      <c r="AS47" s="153">
        <v>0.75</v>
      </c>
      <c r="AT47" s="153">
        <v>0.75</v>
      </c>
      <c r="AU47" s="155">
        <v>0.0</v>
      </c>
      <c r="AV47" s="153">
        <v>1.0</v>
      </c>
      <c r="AW47" s="153">
        <v>0.75</v>
      </c>
      <c r="AX47" s="153">
        <v>0.8</v>
      </c>
      <c r="AY47" s="153">
        <v>0.8333333333333334</v>
      </c>
      <c r="AZ47" s="153">
        <v>1.0</v>
      </c>
      <c r="BA47" s="154">
        <v>0.0</v>
      </c>
      <c r="BB47" s="153">
        <v>0.0</v>
      </c>
      <c r="BC47" s="153">
        <v>0.0</v>
      </c>
      <c r="BD47" s="153">
        <v>0.0</v>
      </c>
      <c r="BE47" s="156">
        <v>0.0</v>
      </c>
      <c r="BF47" s="153">
        <v>0.0</v>
      </c>
      <c r="BG47" s="153">
        <v>0.0</v>
      </c>
      <c r="BH47" s="153">
        <v>0.0</v>
      </c>
      <c r="BI47" s="153">
        <v>0.0</v>
      </c>
      <c r="BJ47" s="153">
        <v>0.0</v>
      </c>
      <c r="BK47" s="154">
        <v>0.0</v>
      </c>
      <c r="BL47" s="153">
        <v>0.0</v>
      </c>
      <c r="BM47" s="153">
        <v>0.0</v>
      </c>
      <c r="BN47" s="153">
        <v>0.0</v>
      </c>
      <c r="BO47" s="156">
        <v>0.0</v>
      </c>
      <c r="BP47" s="153">
        <v>0.0</v>
      </c>
      <c r="BQ47" s="153">
        <v>0.0</v>
      </c>
      <c r="BR47" s="153">
        <v>0.0</v>
      </c>
      <c r="BS47" s="153">
        <v>0.0</v>
      </c>
      <c r="BT47" s="153">
        <v>0.0</v>
      </c>
      <c r="BU47" s="154">
        <v>0.0</v>
      </c>
      <c r="BV47" s="153">
        <v>0.0</v>
      </c>
      <c r="BW47" s="153">
        <v>0.0</v>
      </c>
      <c r="BX47" s="153">
        <v>0.0</v>
      </c>
      <c r="BY47" s="156">
        <v>0.0</v>
      </c>
      <c r="BZ47" s="153">
        <v>0.0</v>
      </c>
      <c r="CA47" s="153">
        <v>0.0</v>
      </c>
      <c r="CB47" s="153">
        <v>0.0</v>
      </c>
      <c r="CC47" s="153">
        <v>0.0</v>
      </c>
      <c r="CD47" s="153">
        <v>0.0</v>
      </c>
      <c r="CE47" s="154">
        <v>0.1</v>
      </c>
      <c r="CF47" s="153">
        <v>0.0</v>
      </c>
      <c r="CG47" s="153">
        <v>0.0</v>
      </c>
      <c r="CH47" s="153">
        <v>0.0</v>
      </c>
      <c r="CI47" s="156">
        <v>0.0</v>
      </c>
      <c r="CJ47" s="153">
        <v>0.0</v>
      </c>
      <c r="CK47" s="153">
        <v>0.0</v>
      </c>
      <c r="CL47" s="153">
        <v>0.0</v>
      </c>
      <c r="CM47" s="153">
        <v>0.0</v>
      </c>
      <c r="CN47" s="153">
        <v>0.0</v>
      </c>
      <c r="CO47" s="154">
        <v>0.0</v>
      </c>
      <c r="CP47" s="153">
        <v>0.0</v>
      </c>
      <c r="CQ47" s="153">
        <v>0.0</v>
      </c>
      <c r="CR47" s="153">
        <v>0.0</v>
      </c>
      <c r="CS47" s="156">
        <v>0.0</v>
      </c>
      <c r="CT47" s="153">
        <v>0.0</v>
      </c>
      <c r="CU47" s="153">
        <v>0.0</v>
      </c>
      <c r="CV47" s="153">
        <v>0.0</v>
      </c>
      <c r="CW47" s="153">
        <v>0.0</v>
      </c>
      <c r="CX47" s="153">
        <v>0.0</v>
      </c>
    </row>
    <row r="48" ht="35.25" customHeight="1">
      <c r="B48" s="167" t="s">
        <v>2990</v>
      </c>
      <c r="C48" s="154">
        <v>0.0</v>
      </c>
      <c r="D48" s="153">
        <v>0.0</v>
      </c>
      <c r="E48" s="153">
        <v>0.0</v>
      </c>
      <c r="F48" s="153">
        <v>0.0</v>
      </c>
      <c r="G48" s="153">
        <v>0.0</v>
      </c>
      <c r="H48" s="156">
        <v>0.0</v>
      </c>
      <c r="I48" s="153">
        <v>0.0</v>
      </c>
      <c r="J48" s="153">
        <v>0.0</v>
      </c>
      <c r="K48" s="153">
        <v>0.0</v>
      </c>
      <c r="L48" s="153">
        <v>0.0</v>
      </c>
      <c r="M48" s="154">
        <v>0.1</v>
      </c>
      <c r="N48" s="153">
        <v>0.0</v>
      </c>
      <c r="O48" s="153">
        <v>0.0</v>
      </c>
      <c r="P48" s="153">
        <v>0.0</v>
      </c>
      <c r="Q48" s="153">
        <v>0.0</v>
      </c>
      <c r="R48" s="156">
        <v>0.0625</v>
      </c>
      <c r="S48" s="153">
        <v>0.25</v>
      </c>
      <c r="T48" s="153">
        <v>0.0</v>
      </c>
      <c r="U48" s="153">
        <v>0.25</v>
      </c>
      <c r="V48" s="153">
        <v>0.0</v>
      </c>
      <c r="W48" s="154">
        <v>0.0</v>
      </c>
      <c r="X48" s="153">
        <v>0.0</v>
      </c>
      <c r="Y48" s="153">
        <v>0.0</v>
      </c>
      <c r="Z48" s="153">
        <v>0.0</v>
      </c>
      <c r="AA48" s="153">
        <v>0.0</v>
      </c>
      <c r="AB48" s="156">
        <v>0.0</v>
      </c>
      <c r="AC48" s="153">
        <v>0.0</v>
      </c>
      <c r="AD48" s="153">
        <v>0.0</v>
      </c>
      <c r="AE48" s="153">
        <v>0.0</v>
      </c>
      <c r="AF48" s="153">
        <v>0.0</v>
      </c>
      <c r="AG48" s="154">
        <v>0.0</v>
      </c>
      <c r="AH48" s="153">
        <v>0.0</v>
      </c>
      <c r="AI48" s="153">
        <v>0.0</v>
      </c>
      <c r="AJ48" s="153">
        <v>0.0</v>
      </c>
      <c r="AK48" s="153">
        <v>0.0</v>
      </c>
      <c r="AL48" s="156">
        <v>0.0</v>
      </c>
      <c r="AM48" s="153">
        <v>0.0</v>
      </c>
      <c r="AN48" s="153">
        <v>0.0</v>
      </c>
      <c r="AO48" s="153">
        <v>0.0</v>
      </c>
      <c r="AP48" s="153">
        <v>0.0</v>
      </c>
      <c r="AQ48" s="154">
        <v>0.7</v>
      </c>
      <c r="AR48" s="153">
        <v>1.0</v>
      </c>
      <c r="AS48" s="153">
        <v>0.5</v>
      </c>
      <c r="AT48" s="153">
        <v>0.5</v>
      </c>
      <c r="AU48" s="153">
        <v>1.0</v>
      </c>
      <c r="AV48" s="155">
        <v>0.0</v>
      </c>
      <c r="AW48" s="153">
        <v>0.75</v>
      </c>
      <c r="AX48" s="153">
        <v>1.0</v>
      </c>
      <c r="AY48" s="153">
        <v>0.75</v>
      </c>
      <c r="AZ48" s="153">
        <v>1.0</v>
      </c>
      <c r="BA48" s="154">
        <v>0.0</v>
      </c>
      <c r="BB48" s="153">
        <v>0.0</v>
      </c>
      <c r="BC48" s="153">
        <v>0.0</v>
      </c>
      <c r="BD48" s="153">
        <v>0.0</v>
      </c>
      <c r="BE48" s="153">
        <v>0.0</v>
      </c>
      <c r="BF48" s="156">
        <v>0.0</v>
      </c>
      <c r="BG48" s="153">
        <v>0.0</v>
      </c>
      <c r="BH48" s="153">
        <v>0.0</v>
      </c>
      <c r="BI48" s="153">
        <v>0.0</v>
      </c>
      <c r="BJ48" s="153">
        <v>0.0</v>
      </c>
      <c r="BK48" s="154">
        <v>0.0</v>
      </c>
      <c r="BL48" s="153">
        <v>0.0</v>
      </c>
      <c r="BM48" s="153">
        <v>0.0</v>
      </c>
      <c r="BN48" s="153">
        <v>0.0</v>
      </c>
      <c r="BO48" s="153">
        <v>0.0</v>
      </c>
      <c r="BP48" s="156">
        <v>0.0</v>
      </c>
      <c r="BQ48" s="153">
        <v>0.0</v>
      </c>
      <c r="BR48" s="153">
        <v>0.0</v>
      </c>
      <c r="BS48" s="153">
        <v>0.0</v>
      </c>
      <c r="BT48" s="153">
        <v>0.0</v>
      </c>
      <c r="BU48" s="154">
        <v>0.0</v>
      </c>
      <c r="BV48" s="153">
        <v>0.0</v>
      </c>
      <c r="BW48" s="153">
        <v>0.0</v>
      </c>
      <c r="BX48" s="153">
        <v>0.0</v>
      </c>
      <c r="BY48" s="153">
        <v>0.0</v>
      </c>
      <c r="BZ48" s="156">
        <v>0.0</v>
      </c>
      <c r="CA48" s="153">
        <v>0.0</v>
      </c>
      <c r="CB48" s="153">
        <v>0.0</v>
      </c>
      <c r="CC48" s="153">
        <v>0.0</v>
      </c>
      <c r="CD48" s="153">
        <v>0.0</v>
      </c>
      <c r="CE48" s="154">
        <v>0.1</v>
      </c>
      <c r="CF48" s="153">
        <v>0.0</v>
      </c>
      <c r="CG48" s="153">
        <v>0.0</v>
      </c>
      <c r="CH48" s="153">
        <v>0.0</v>
      </c>
      <c r="CI48" s="153">
        <v>0.0</v>
      </c>
      <c r="CJ48" s="156">
        <v>0.0</v>
      </c>
      <c r="CK48" s="153">
        <v>0.0</v>
      </c>
      <c r="CL48" s="153">
        <v>0.0</v>
      </c>
      <c r="CM48" s="153">
        <v>0.0</v>
      </c>
      <c r="CN48" s="153">
        <v>0.25</v>
      </c>
      <c r="CO48" s="154">
        <v>0.0</v>
      </c>
      <c r="CP48" s="153">
        <v>0.0</v>
      </c>
      <c r="CQ48" s="153">
        <v>0.0</v>
      </c>
      <c r="CR48" s="153">
        <v>0.0</v>
      </c>
      <c r="CS48" s="153">
        <v>0.0</v>
      </c>
      <c r="CT48" s="156">
        <v>0.0</v>
      </c>
      <c r="CU48" s="153">
        <v>0.0</v>
      </c>
      <c r="CV48" s="153">
        <v>0.0</v>
      </c>
      <c r="CW48" s="153">
        <v>0.0</v>
      </c>
      <c r="CX48" s="153">
        <v>0.0</v>
      </c>
    </row>
    <row r="49" ht="35.25" customHeight="1">
      <c r="B49" s="167" t="s">
        <v>2991</v>
      </c>
      <c r="C49" s="154">
        <v>0.0</v>
      </c>
      <c r="D49" s="153">
        <v>0.0</v>
      </c>
      <c r="E49" s="153">
        <v>0.0</v>
      </c>
      <c r="F49" s="153">
        <v>0.0</v>
      </c>
      <c r="G49" s="153">
        <v>0.0</v>
      </c>
      <c r="H49" s="153">
        <v>0.0</v>
      </c>
      <c r="I49" s="156">
        <v>0.0</v>
      </c>
      <c r="J49" s="153">
        <v>0.25</v>
      </c>
      <c r="K49" s="153">
        <v>0.0</v>
      </c>
      <c r="L49" s="153">
        <v>0.25</v>
      </c>
      <c r="M49" s="154">
        <v>0.0</v>
      </c>
      <c r="N49" s="153">
        <v>0.3333333333333333</v>
      </c>
      <c r="O49" s="153">
        <v>0.125</v>
      </c>
      <c r="P49" s="153">
        <v>0.1</v>
      </c>
      <c r="Q49" s="153">
        <v>0.25</v>
      </c>
      <c r="R49" s="153">
        <v>0.0</v>
      </c>
      <c r="S49" s="156">
        <v>0.125</v>
      </c>
      <c r="T49" s="153">
        <v>0.0</v>
      </c>
      <c r="U49" s="153">
        <v>0.0</v>
      </c>
      <c r="V49" s="153">
        <v>0.25</v>
      </c>
      <c r="W49" s="154">
        <v>0.0</v>
      </c>
      <c r="X49" s="153">
        <v>0.0</v>
      </c>
      <c r="Y49" s="153">
        <v>0.0</v>
      </c>
      <c r="Z49" s="153">
        <v>0.0</v>
      </c>
      <c r="AA49" s="153">
        <v>0.0</v>
      </c>
      <c r="AB49" s="153">
        <v>0.0</v>
      </c>
      <c r="AC49" s="156">
        <v>0.0</v>
      </c>
      <c r="AD49" s="153">
        <v>0.0</v>
      </c>
      <c r="AE49" s="153">
        <v>0.0</v>
      </c>
      <c r="AF49" s="153">
        <v>0.0</v>
      </c>
      <c r="AG49" s="154">
        <v>0.0</v>
      </c>
      <c r="AH49" s="153">
        <v>0.0</v>
      </c>
      <c r="AI49" s="153">
        <v>0.0</v>
      </c>
      <c r="AJ49" s="153">
        <v>0.0</v>
      </c>
      <c r="AK49" s="153">
        <v>0.0</v>
      </c>
      <c r="AL49" s="153">
        <v>0.0</v>
      </c>
      <c r="AM49" s="156">
        <v>0.0625</v>
      </c>
      <c r="AN49" s="153">
        <v>0.0</v>
      </c>
      <c r="AO49" s="153">
        <v>0.0</v>
      </c>
      <c r="AP49" s="153">
        <v>0.0</v>
      </c>
      <c r="AQ49" s="154">
        <v>0.75</v>
      </c>
      <c r="AR49" s="153">
        <v>0.5</v>
      </c>
      <c r="AS49" s="153">
        <v>0.625</v>
      </c>
      <c r="AT49" s="153">
        <v>0.8</v>
      </c>
      <c r="AU49" s="153">
        <v>0.75</v>
      </c>
      <c r="AV49" s="153">
        <v>0.75</v>
      </c>
      <c r="AW49" s="155">
        <v>0.0</v>
      </c>
      <c r="AX49" s="153">
        <v>0.75</v>
      </c>
      <c r="AY49" s="153">
        <v>1.0</v>
      </c>
      <c r="AZ49" s="153">
        <v>0.5</v>
      </c>
      <c r="BA49" s="154">
        <v>0.0</v>
      </c>
      <c r="BB49" s="153">
        <v>0.0</v>
      </c>
      <c r="BC49" s="153">
        <v>0.0</v>
      </c>
      <c r="BD49" s="153">
        <v>0.0</v>
      </c>
      <c r="BE49" s="153">
        <v>0.0</v>
      </c>
      <c r="BF49" s="153">
        <v>0.0</v>
      </c>
      <c r="BG49" s="156">
        <v>0.0625</v>
      </c>
      <c r="BH49" s="153">
        <v>0.25</v>
      </c>
      <c r="BI49" s="153">
        <v>0.0</v>
      </c>
      <c r="BJ49" s="153">
        <v>0.25</v>
      </c>
      <c r="BK49" s="154">
        <v>0.0</v>
      </c>
      <c r="BL49" s="153">
        <v>0.0</v>
      </c>
      <c r="BM49" s="153">
        <v>0.0</v>
      </c>
      <c r="BN49" s="153">
        <v>0.0</v>
      </c>
      <c r="BO49" s="153">
        <v>0.0</v>
      </c>
      <c r="BP49" s="153">
        <v>0.0</v>
      </c>
      <c r="BQ49" s="156">
        <v>0.0</v>
      </c>
      <c r="BR49" s="153">
        <v>0.0</v>
      </c>
      <c r="BS49" s="153">
        <v>0.0</v>
      </c>
      <c r="BT49" s="153">
        <v>0.0</v>
      </c>
      <c r="BU49" s="154">
        <v>0.0</v>
      </c>
      <c r="BV49" s="153">
        <v>0.0</v>
      </c>
      <c r="BW49" s="153">
        <v>0.0</v>
      </c>
      <c r="BX49" s="153">
        <v>0.0</v>
      </c>
      <c r="BY49" s="153">
        <v>0.0</v>
      </c>
      <c r="BZ49" s="153">
        <v>0.0</v>
      </c>
      <c r="CA49" s="156">
        <v>0.0</v>
      </c>
      <c r="CB49" s="153">
        <v>0.0</v>
      </c>
      <c r="CC49" s="153">
        <v>0.0</v>
      </c>
      <c r="CD49" s="153">
        <v>0.0</v>
      </c>
      <c r="CE49" s="154">
        <v>0.0</v>
      </c>
      <c r="CF49" s="153">
        <v>0.0</v>
      </c>
      <c r="CG49" s="153">
        <v>0.125</v>
      </c>
      <c r="CH49" s="153">
        <v>0.0</v>
      </c>
      <c r="CI49" s="153">
        <v>0.0</v>
      </c>
      <c r="CJ49" s="153">
        <v>0.0</v>
      </c>
      <c r="CK49" s="156">
        <v>0.0</v>
      </c>
      <c r="CL49" s="153">
        <v>0.0</v>
      </c>
      <c r="CM49" s="153">
        <v>0.0</v>
      </c>
      <c r="CN49" s="153">
        <v>0.0</v>
      </c>
      <c r="CO49" s="154">
        <v>0.0</v>
      </c>
      <c r="CP49" s="153">
        <v>0.16666666666666666</v>
      </c>
      <c r="CQ49" s="153">
        <v>0.125</v>
      </c>
      <c r="CR49" s="153">
        <v>0.0</v>
      </c>
      <c r="CS49" s="153">
        <v>0.0</v>
      </c>
      <c r="CT49" s="153">
        <v>0.0</v>
      </c>
      <c r="CU49" s="156">
        <v>0.0</v>
      </c>
      <c r="CV49" s="153">
        <v>0.0</v>
      </c>
      <c r="CW49" s="153">
        <v>0.0</v>
      </c>
      <c r="CX49" s="153">
        <v>0.25</v>
      </c>
    </row>
    <row r="50" ht="35.25" customHeight="1">
      <c r="B50" s="167" t="s">
        <v>2992</v>
      </c>
      <c r="C50" s="154">
        <v>0.0</v>
      </c>
      <c r="D50" s="153">
        <v>0.25</v>
      </c>
      <c r="E50" s="153">
        <v>0.16666666666666666</v>
      </c>
      <c r="F50" s="153">
        <v>0.25</v>
      </c>
      <c r="G50" s="153">
        <v>0.1</v>
      </c>
      <c r="H50" s="153">
        <v>0.0</v>
      </c>
      <c r="I50" s="153">
        <v>0.0</v>
      </c>
      <c r="J50" s="156">
        <v>0.0</v>
      </c>
      <c r="K50" s="153">
        <v>0.0</v>
      </c>
      <c r="L50" s="153">
        <v>0.0</v>
      </c>
      <c r="M50" s="154">
        <v>0.0</v>
      </c>
      <c r="N50" s="153">
        <v>0.0</v>
      </c>
      <c r="O50" s="153">
        <v>0.0</v>
      </c>
      <c r="P50" s="153">
        <v>0.0</v>
      </c>
      <c r="Q50" s="153">
        <v>0.0</v>
      </c>
      <c r="R50" s="153">
        <v>0.0</v>
      </c>
      <c r="S50" s="153">
        <v>0.0</v>
      </c>
      <c r="T50" s="156">
        <v>0.0</v>
      </c>
      <c r="U50" s="153">
        <v>0.0</v>
      </c>
      <c r="V50" s="153">
        <v>0.0</v>
      </c>
      <c r="W50" s="154">
        <v>0.0</v>
      </c>
      <c r="X50" s="153">
        <v>0.0</v>
      </c>
      <c r="Y50" s="153">
        <v>0.0</v>
      </c>
      <c r="Z50" s="153">
        <v>0.0</v>
      </c>
      <c r="AA50" s="153">
        <v>0.0</v>
      </c>
      <c r="AB50" s="153">
        <v>0.0</v>
      </c>
      <c r="AC50" s="153">
        <v>0.0</v>
      </c>
      <c r="AD50" s="156">
        <v>0.0</v>
      </c>
      <c r="AE50" s="153">
        <v>0.0</v>
      </c>
      <c r="AF50" s="153">
        <v>0.0</v>
      </c>
      <c r="AG50" s="154">
        <v>0.0</v>
      </c>
      <c r="AH50" s="153">
        <v>0.0</v>
      </c>
      <c r="AI50" s="153">
        <v>0.0</v>
      </c>
      <c r="AJ50" s="153">
        <v>0.0</v>
      </c>
      <c r="AK50" s="153">
        <v>0.0</v>
      </c>
      <c r="AL50" s="153">
        <v>0.0</v>
      </c>
      <c r="AM50" s="153">
        <v>0.0</v>
      </c>
      <c r="AN50" s="156">
        <v>0.0</v>
      </c>
      <c r="AO50" s="153">
        <v>0.0</v>
      </c>
      <c r="AP50" s="153">
        <v>0.0</v>
      </c>
      <c r="AQ50" s="154">
        <v>0.75</v>
      </c>
      <c r="AR50" s="153">
        <v>0.75</v>
      </c>
      <c r="AS50" s="153">
        <v>0.8333333333333334</v>
      </c>
      <c r="AT50" s="153">
        <v>0.75</v>
      </c>
      <c r="AU50" s="153">
        <v>0.8</v>
      </c>
      <c r="AV50" s="153">
        <v>1.0</v>
      </c>
      <c r="AW50" s="153">
        <v>0.75</v>
      </c>
      <c r="AX50" s="155">
        <v>0.0</v>
      </c>
      <c r="AY50" s="153">
        <v>0.75</v>
      </c>
      <c r="AZ50" s="153">
        <v>0.8333333333333334</v>
      </c>
      <c r="BA50" s="154">
        <v>0.0</v>
      </c>
      <c r="BB50" s="153">
        <v>0.0</v>
      </c>
      <c r="BC50" s="153">
        <v>0.0</v>
      </c>
      <c r="BD50" s="153">
        <v>0.0</v>
      </c>
      <c r="BE50" s="153">
        <v>0.0</v>
      </c>
      <c r="BF50" s="153">
        <v>0.0</v>
      </c>
      <c r="BG50" s="153">
        <v>0.0</v>
      </c>
      <c r="BH50" s="156">
        <v>0.0</v>
      </c>
      <c r="BI50" s="153">
        <v>0.0</v>
      </c>
      <c r="BJ50" s="153">
        <v>0.0</v>
      </c>
      <c r="BK50" s="154">
        <v>0.0</v>
      </c>
      <c r="BL50" s="153">
        <v>0.0</v>
      </c>
      <c r="BM50" s="153">
        <v>0.0</v>
      </c>
      <c r="BN50" s="153">
        <v>0.0</v>
      </c>
      <c r="BO50" s="153">
        <v>0.0</v>
      </c>
      <c r="BP50" s="153">
        <v>0.0</v>
      </c>
      <c r="BQ50" s="153">
        <v>0.0</v>
      </c>
      <c r="BR50" s="156">
        <v>0.0</v>
      </c>
      <c r="BS50" s="153">
        <v>0.0</v>
      </c>
      <c r="BT50" s="153">
        <v>0.0</v>
      </c>
      <c r="BU50" s="154">
        <v>0.0</v>
      </c>
      <c r="BV50" s="153">
        <v>0.25</v>
      </c>
      <c r="BW50" s="153">
        <v>0.0</v>
      </c>
      <c r="BX50" s="153">
        <v>0.0</v>
      </c>
      <c r="BY50" s="153">
        <v>0.0</v>
      </c>
      <c r="BZ50" s="153">
        <v>0.0</v>
      </c>
      <c r="CA50" s="153">
        <v>0.0</v>
      </c>
      <c r="CB50" s="156">
        <v>0.0</v>
      </c>
      <c r="CC50" s="153">
        <v>0.0</v>
      </c>
      <c r="CD50" s="153">
        <v>0.0</v>
      </c>
      <c r="CE50" s="154">
        <v>0.0</v>
      </c>
      <c r="CF50" s="153">
        <v>0.0</v>
      </c>
      <c r="CG50" s="153">
        <v>0.0</v>
      </c>
      <c r="CH50" s="153">
        <v>0.0</v>
      </c>
      <c r="CI50" s="153">
        <v>0.0</v>
      </c>
      <c r="CJ50" s="153">
        <v>0.0</v>
      </c>
      <c r="CK50" s="153">
        <v>0.0</v>
      </c>
      <c r="CL50" s="156">
        <v>0.0</v>
      </c>
      <c r="CM50" s="153">
        <v>0.0</v>
      </c>
      <c r="CN50" s="153">
        <v>0.16666666666666666</v>
      </c>
      <c r="CO50" s="154">
        <v>0.0</v>
      </c>
      <c r="CP50" s="153">
        <v>0.0</v>
      </c>
      <c r="CQ50" s="153">
        <v>0.0</v>
      </c>
      <c r="CR50" s="153">
        <v>0.0</v>
      </c>
      <c r="CS50" s="153">
        <v>0.0</v>
      </c>
      <c r="CT50" s="153">
        <v>0.0</v>
      </c>
      <c r="CU50" s="153">
        <v>0.0</v>
      </c>
      <c r="CV50" s="156">
        <v>0.0</v>
      </c>
      <c r="CW50" s="153">
        <v>0.0</v>
      </c>
      <c r="CX50" s="153">
        <v>0.0</v>
      </c>
    </row>
    <row r="51" ht="35.25" customHeight="1">
      <c r="B51" s="167" t="s">
        <v>2993</v>
      </c>
      <c r="C51" s="154">
        <v>0.0</v>
      </c>
      <c r="D51" s="153">
        <v>0.0</v>
      </c>
      <c r="E51" s="153">
        <v>0.0</v>
      </c>
      <c r="F51" s="153">
        <v>0.0</v>
      </c>
      <c r="G51" s="153">
        <v>0.0</v>
      </c>
      <c r="H51" s="153">
        <v>0.0</v>
      </c>
      <c r="I51" s="153">
        <v>0.0</v>
      </c>
      <c r="J51" s="153">
        <v>0.0</v>
      </c>
      <c r="K51" s="156">
        <v>0.0</v>
      </c>
      <c r="L51" s="153">
        <v>0.0</v>
      </c>
      <c r="M51" s="154">
        <v>0.0</v>
      </c>
      <c r="N51" s="153">
        <v>0.0</v>
      </c>
      <c r="O51" s="153">
        <v>0.0</v>
      </c>
      <c r="P51" s="153">
        <v>0.0</v>
      </c>
      <c r="Q51" s="153">
        <v>0.0</v>
      </c>
      <c r="R51" s="153">
        <v>0.0</v>
      </c>
      <c r="S51" s="153">
        <v>0.0</v>
      </c>
      <c r="T51" s="153">
        <v>0.0</v>
      </c>
      <c r="U51" s="156">
        <v>0.0</v>
      </c>
      <c r="V51" s="153">
        <v>0.0</v>
      </c>
      <c r="W51" s="154">
        <v>0.0</v>
      </c>
      <c r="X51" s="153">
        <v>0.0</v>
      </c>
      <c r="Y51" s="153">
        <v>0.0</v>
      </c>
      <c r="Z51" s="153">
        <v>0.0</v>
      </c>
      <c r="AA51" s="153">
        <v>0.0</v>
      </c>
      <c r="AB51" s="153">
        <v>0.0</v>
      </c>
      <c r="AC51" s="153">
        <v>0.0</v>
      </c>
      <c r="AD51" s="153">
        <v>0.0</v>
      </c>
      <c r="AE51" s="156">
        <v>0.0</v>
      </c>
      <c r="AF51" s="153">
        <v>0.0</v>
      </c>
      <c r="AG51" s="154">
        <v>0.0</v>
      </c>
      <c r="AH51" s="153">
        <v>0.0</v>
      </c>
      <c r="AI51" s="153">
        <v>0.0</v>
      </c>
      <c r="AJ51" s="153">
        <v>0.0</v>
      </c>
      <c r="AK51" s="153">
        <v>0.0</v>
      </c>
      <c r="AL51" s="153">
        <v>0.0</v>
      </c>
      <c r="AM51" s="153">
        <v>0.0</v>
      </c>
      <c r="AN51" s="153">
        <v>0.0</v>
      </c>
      <c r="AO51" s="156">
        <v>0.0</v>
      </c>
      <c r="AP51" s="153">
        <v>0.0</v>
      </c>
      <c r="AQ51" s="154">
        <v>0.9</v>
      </c>
      <c r="AR51" s="153">
        <v>1.0</v>
      </c>
      <c r="AS51" s="153">
        <v>1.0</v>
      </c>
      <c r="AT51" s="153">
        <v>1.0</v>
      </c>
      <c r="AU51" s="153">
        <v>0.8333333333333334</v>
      </c>
      <c r="AV51" s="153">
        <v>0.75</v>
      </c>
      <c r="AW51" s="153">
        <v>1.0</v>
      </c>
      <c r="AX51" s="153">
        <v>0.75</v>
      </c>
      <c r="AY51" s="155">
        <v>0.0</v>
      </c>
      <c r="AZ51" s="153">
        <v>1.0</v>
      </c>
      <c r="BA51" s="154">
        <v>0.0</v>
      </c>
      <c r="BB51" s="153">
        <v>0.0</v>
      </c>
      <c r="BC51" s="153">
        <v>0.0</v>
      </c>
      <c r="BD51" s="153">
        <v>0.0</v>
      </c>
      <c r="BE51" s="153">
        <v>0.0</v>
      </c>
      <c r="BF51" s="153">
        <v>0.0</v>
      </c>
      <c r="BG51" s="153">
        <v>0.0</v>
      </c>
      <c r="BH51" s="153">
        <v>0.0</v>
      </c>
      <c r="BI51" s="156">
        <v>0.0</v>
      </c>
      <c r="BJ51" s="153">
        <v>0.0</v>
      </c>
      <c r="BK51" s="154">
        <v>0.0</v>
      </c>
      <c r="BL51" s="153">
        <v>0.0</v>
      </c>
      <c r="BM51" s="153">
        <v>0.0</v>
      </c>
      <c r="BN51" s="153">
        <v>0.0</v>
      </c>
      <c r="BO51" s="153">
        <v>0.0</v>
      </c>
      <c r="BP51" s="153">
        <v>0.0</v>
      </c>
      <c r="BQ51" s="153">
        <v>0.0</v>
      </c>
      <c r="BR51" s="153">
        <v>0.0</v>
      </c>
      <c r="BS51" s="156">
        <v>0.0</v>
      </c>
      <c r="BT51" s="153">
        <v>0.0</v>
      </c>
      <c r="BU51" s="154">
        <v>0.0</v>
      </c>
      <c r="BV51" s="153">
        <v>0.0</v>
      </c>
      <c r="BW51" s="153">
        <v>0.0</v>
      </c>
      <c r="BX51" s="153">
        <v>0.0</v>
      </c>
      <c r="BY51" s="153">
        <v>0.0</v>
      </c>
      <c r="BZ51" s="153">
        <v>0.0</v>
      </c>
      <c r="CA51" s="153">
        <v>0.0</v>
      </c>
      <c r="CB51" s="153">
        <v>0.0</v>
      </c>
      <c r="CC51" s="156">
        <v>0.0</v>
      </c>
      <c r="CD51" s="153">
        <v>0.0</v>
      </c>
      <c r="CE51" s="154">
        <v>0.0</v>
      </c>
      <c r="CF51" s="153">
        <v>0.0</v>
      </c>
      <c r="CG51" s="153">
        <v>0.0</v>
      </c>
      <c r="CH51" s="153">
        <v>0.0</v>
      </c>
      <c r="CI51" s="153">
        <v>0.0</v>
      </c>
      <c r="CJ51" s="153">
        <v>0.0</v>
      </c>
      <c r="CK51" s="153">
        <v>0.0</v>
      </c>
      <c r="CL51" s="153">
        <v>0.0</v>
      </c>
      <c r="CM51" s="156">
        <v>0.0</v>
      </c>
      <c r="CN51" s="153">
        <v>0.0</v>
      </c>
      <c r="CO51" s="154">
        <v>0.0</v>
      </c>
      <c r="CP51" s="153">
        <v>0.0</v>
      </c>
      <c r="CQ51" s="153">
        <v>0.0</v>
      </c>
      <c r="CR51" s="153">
        <v>0.0</v>
      </c>
      <c r="CS51" s="153">
        <v>0.0</v>
      </c>
      <c r="CT51" s="153">
        <v>0.0</v>
      </c>
      <c r="CU51" s="153">
        <v>0.0</v>
      </c>
      <c r="CV51" s="153">
        <v>0.0</v>
      </c>
      <c r="CW51" s="156">
        <v>0.0</v>
      </c>
      <c r="CX51" s="153">
        <v>0.0</v>
      </c>
    </row>
    <row r="52" ht="35.25" customHeight="1">
      <c r="A52" s="125"/>
      <c r="B52" s="168" t="s">
        <v>2994</v>
      </c>
      <c r="C52" s="157">
        <v>0.0</v>
      </c>
      <c r="D52" s="158">
        <v>0.0</v>
      </c>
      <c r="E52" s="158">
        <v>0.0</v>
      </c>
      <c r="F52" s="158">
        <v>0.0</v>
      </c>
      <c r="G52" s="158">
        <v>0.0</v>
      </c>
      <c r="H52" s="158">
        <v>0.0</v>
      </c>
      <c r="I52" s="158">
        <v>0.0</v>
      </c>
      <c r="J52" s="158">
        <v>0.0</v>
      </c>
      <c r="K52" s="158">
        <v>0.0</v>
      </c>
      <c r="L52" s="160">
        <v>0.0</v>
      </c>
      <c r="M52" s="157">
        <v>0.0</v>
      </c>
      <c r="N52" s="158">
        <v>0.0</v>
      </c>
      <c r="O52" s="158">
        <v>0.0</v>
      </c>
      <c r="P52" s="158">
        <v>0.0</v>
      </c>
      <c r="Q52" s="158">
        <v>0.0</v>
      </c>
      <c r="R52" s="158">
        <v>0.0</v>
      </c>
      <c r="S52" s="158">
        <v>0.0</v>
      </c>
      <c r="T52" s="158">
        <v>0.0</v>
      </c>
      <c r="U52" s="158">
        <v>0.0</v>
      </c>
      <c r="V52" s="160">
        <v>0.0</v>
      </c>
      <c r="W52" s="157">
        <v>0.0</v>
      </c>
      <c r="X52" s="158">
        <v>0.0</v>
      </c>
      <c r="Y52" s="158">
        <v>0.0</v>
      </c>
      <c r="Z52" s="158">
        <v>0.0</v>
      </c>
      <c r="AA52" s="158">
        <v>0.0</v>
      </c>
      <c r="AB52" s="158">
        <v>0.0</v>
      </c>
      <c r="AC52" s="158">
        <v>0.0</v>
      </c>
      <c r="AD52" s="158">
        <v>0.0</v>
      </c>
      <c r="AE52" s="158">
        <v>0.0</v>
      </c>
      <c r="AF52" s="160">
        <v>0.0</v>
      </c>
      <c r="AG52" s="157">
        <v>0.0</v>
      </c>
      <c r="AH52" s="158">
        <v>0.0</v>
      </c>
      <c r="AI52" s="158">
        <v>0.0</v>
      </c>
      <c r="AJ52" s="158">
        <v>0.25</v>
      </c>
      <c r="AK52" s="158">
        <v>0.0</v>
      </c>
      <c r="AL52" s="158">
        <v>0.0</v>
      </c>
      <c r="AM52" s="158">
        <v>0.0</v>
      </c>
      <c r="AN52" s="158">
        <v>0.16666666666666666</v>
      </c>
      <c r="AO52" s="158">
        <v>0.0</v>
      </c>
      <c r="AP52" s="160">
        <v>0.0</v>
      </c>
      <c r="AQ52" s="157">
        <v>1.0</v>
      </c>
      <c r="AR52" s="158">
        <v>0.5</v>
      </c>
      <c r="AS52" s="158">
        <v>0.6666666666666666</v>
      </c>
      <c r="AT52" s="158">
        <v>0.75</v>
      </c>
      <c r="AU52" s="158">
        <v>1.0</v>
      </c>
      <c r="AV52" s="158">
        <v>1.0</v>
      </c>
      <c r="AW52" s="158">
        <v>0.5</v>
      </c>
      <c r="AX52" s="158">
        <v>0.8333333333333334</v>
      </c>
      <c r="AY52" s="158">
        <v>1.0</v>
      </c>
      <c r="AZ52" s="159">
        <v>0.0</v>
      </c>
      <c r="BA52" s="157">
        <v>0.0</v>
      </c>
      <c r="BB52" s="158">
        <v>0.0</v>
      </c>
      <c r="BC52" s="158">
        <v>0.0</v>
      </c>
      <c r="BD52" s="158">
        <v>0.0</v>
      </c>
      <c r="BE52" s="158">
        <v>0.0</v>
      </c>
      <c r="BF52" s="158">
        <v>0.0</v>
      </c>
      <c r="BG52" s="158">
        <v>0.0</v>
      </c>
      <c r="BH52" s="158">
        <v>0.0</v>
      </c>
      <c r="BI52" s="158">
        <v>0.0</v>
      </c>
      <c r="BJ52" s="160">
        <v>0.0</v>
      </c>
      <c r="BK52" s="157">
        <v>0.0</v>
      </c>
      <c r="BL52" s="158">
        <v>0.0</v>
      </c>
      <c r="BM52" s="158">
        <v>0.0</v>
      </c>
      <c r="BN52" s="158">
        <v>0.0</v>
      </c>
      <c r="BO52" s="158">
        <v>0.0</v>
      </c>
      <c r="BP52" s="158">
        <v>0.0</v>
      </c>
      <c r="BQ52" s="158">
        <v>0.0</v>
      </c>
      <c r="BR52" s="158">
        <v>0.0</v>
      </c>
      <c r="BS52" s="158">
        <v>0.0</v>
      </c>
      <c r="BT52" s="160">
        <v>0.0</v>
      </c>
      <c r="BU52" s="157">
        <v>0.0</v>
      </c>
      <c r="BV52" s="158">
        <v>0.0</v>
      </c>
      <c r="BW52" s="158">
        <v>0.0</v>
      </c>
      <c r="BX52" s="158">
        <v>0.0</v>
      </c>
      <c r="BY52" s="158">
        <v>0.0</v>
      </c>
      <c r="BZ52" s="158">
        <v>0.0</v>
      </c>
      <c r="CA52" s="158">
        <v>0.0</v>
      </c>
      <c r="CB52" s="158">
        <v>0.0</v>
      </c>
      <c r="CC52" s="158">
        <v>0.0</v>
      </c>
      <c r="CD52" s="160">
        <v>0.0</v>
      </c>
      <c r="CE52" s="157">
        <v>0.25</v>
      </c>
      <c r="CF52" s="158">
        <v>0.25</v>
      </c>
      <c r="CG52" s="158">
        <v>0.3333333333333333</v>
      </c>
      <c r="CH52" s="158">
        <v>0.0</v>
      </c>
      <c r="CI52" s="158">
        <v>0.0</v>
      </c>
      <c r="CJ52" s="158">
        <v>0.0</v>
      </c>
      <c r="CK52" s="158">
        <v>0.25</v>
      </c>
      <c r="CL52" s="158">
        <v>0.0</v>
      </c>
      <c r="CM52" s="158">
        <v>0.0</v>
      </c>
      <c r="CN52" s="160">
        <v>0.14285714285714285</v>
      </c>
      <c r="CO52" s="157">
        <v>0.0</v>
      </c>
      <c r="CP52" s="158">
        <v>0.25</v>
      </c>
      <c r="CQ52" s="158">
        <v>0.16666666666666666</v>
      </c>
      <c r="CR52" s="158">
        <v>0.0</v>
      </c>
      <c r="CS52" s="158">
        <v>0.0</v>
      </c>
      <c r="CT52" s="158">
        <v>0.0</v>
      </c>
      <c r="CU52" s="158">
        <v>0.0</v>
      </c>
      <c r="CV52" s="158">
        <v>0.0</v>
      </c>
      <c r="CW52" s="158">
        <v>0.0</v>
      </c>
      <c r="CX52" s="160">
        <v>0.14285714285714285</v>
      </c>
    </row>
    <row r="53" ht="35.25" customHeight="1">
      <c r="A53" s="134" t="s">
        <v>2940</v>
      </c>
      <c r="B53" s="167" t="s">
        <v>2995</v>
      </c>
      <c r="C53" s="154">
        <v>0.05555555555555555</v>
      </c>
      <c r="D53" s="153">
        <v>0.0</v>
      </c>
      <c r="E53" s="153">
        <v>0.0</v>
      </c>
      <c r="F53" s="153">
        <v>0.0</v>
      </c>
      <c r="G53" s="153">
        <v>0.1</v>
      </c>
      <c r="H53" s="153">
        <v>0.1</v>
      </c>
      <c r="I53" s="153">
        <v>0.25</v>
      </c>
      <c r="J53" s="153">
        <v>0.0</v>
      </c>
      <c r="K53" s="153">
        <v>0.0</v>
      </c>
      <c r="L53" s="153">
        <v>0.25</v>
      </c>
      <c r="M53" s="154">
        <v>0.0</v>
      </c>
      <c r="N53" s="153">
        <v>0.0</v>
      </c>
      <c r="O53" s="153">
        <v>0.0</v>
      </c>
      <c r="P53" s="153">
        <v>0.0</v>
      </c>
      <c r="Q53" s="153">
        <v>0.0</v>
      </c>
      <c r="R53" s="153">
        <v>0.0</v>
      </c>
      <c r="S53" s="153">
        <v>0.0</v>
      </c>
      <c r="T53" s="153">
        <v>0.0</v>
      </c>
      <c r="U53" s="153">
        <v>0.0</v>
      </c>
      <c r="V53" s="153">
        <v>0.0</v>
      </c>
      <c r="W53" s="154">
        <v>0.0</v>
      </c>
      <c r="X53" s="153">
        <v>0.0</v>
      </c>
      <c r="Y53" s="153">
        <v>0.0</v>
      </c>
      <c r="Z53" s="153">
        <v>0.0</v>
      </c>
      <c r="AA53" s="153">
        <v>0.0</v>
      </c>
      <c r="AB53" s="153">
        <v>0.0</v>
      </c>
      <c r="AC53" s="153">
        <v>0.0</v>
      </c>
      <c r="AD53" s="153">
        <v>0.0</v>
      </c>
      <c r="AE53" s="153">
        <v>0.0</v>
      </c>
      <c r="AF53" s="153">
        <v>0.0</v>
      </c>
      <c r="AG53" s="154">
        <v>0.05555555555555555</v>
      </c>
      <c r="AH53" s="153">
        <v>0.0</v>
      </c>
      <c r="AI53" s="153">
        <v>0.0</v>
      </c>
      <c r="AJ53" s="153">
        <v>0.0</v>
      </c>
      <c r="AK53" s="153">
        <v>0.0</v>
      </c>
      <c r="AL53" s="153">
        <v>0.0</v>
      </c>
      <c r="AM53" s="153">
        <v>0.0</v>
      </c>
      <c r="AN53" s="153">
        <v>0.0</v>
      </c>
      <c r="AO53" s="153">
        <v>0.0</v>
      </c>
      <c r="AP53" s="153">
        <v>0.0</v>
      </c>
      <c r="AQ53" s="154">
        <v>0.0</v>
      </c>
      <c r="AR53" s="153">
        <v>0.0</v>
      </c>
      <c r="AS53" s="153">
        <v>0.0</v>
      </c>
      <c r="AT53" s="153">
        <v>0.0</v>
      </c>
      <c r="AU53" s="153">
        <v>0.0</v>
      </c>
      <c r="AV53" s="153">
        <v>0.0</v>
      </c>
      <c r="AW53" s="153">
        <v>0.0</v>
      </c>
      <c r="AX53" s="153">
        <v>0.0</v>
      </c>
      <c r="AY53" s="153">
        <v>0.0</v>
      </c>
      <c r="AZ53" s="153">
        <v>0.0</v>
      </c>
      <c r="BA53" s="152">
        <v>0.0</v>
      </c>
      <c r="BB53" s="153">
        <v>1.0</v>
      </c>
      <c r="BC53" s="153">
        <v>0.25</v>
      </c>
      <c r="BD53" s="153">
        <v>0.5</v>
      </c>
      <c r="BE53" s="153">
        <v>0.6</v>
      </c>
      <c r="BF53" s="153">
        <v>0.6</v>
      </c>
      <c r="BG53" s="153">
        <v>0.5</v>
      </c>
      <c r="BH53" s="153">
        <v>0.75</v>
      </c>
      <c r="BI53" s="153">
        <v>0.8</v>
      </c>
      <c r="BJ53" s="153">
        <v>0.75</v>
      </c>
      <c r="BK53" s="154">
        <v>0.0</v>
      </c>
      <c r="BL53" s="153">
        <v>0.0</v>
      </c>
      <c r="BM53" s="153">
        <v>0.0</v>
      </c>
      <c r="BN53" s="153">
        <v>0.0</v>
      </c>
      <c r="BO53" s="153">
        <v>0.0</v>
      </c>
      <c r="BP53" s="153">
        <v>0.0</v>
      </c>
      <c r="BQ53" s="153">
        <v>0.0</v>
      </c>
      <c r="BR53" s="153">
        <v>0.0</v>
      </c>
      <c r="BS53" s="153">
        <v>0.0</v>
      </c>
      <c r="BT53" s="153">
        <v>0.0</v>
      </c>
      <c r="BU53" s="154">
        <v>0.0</v>
      </c>
      <c r="BV53" s="153">
        <v>0.0</v>
      </c>
      <c r="BW53" s="153">
        <v>0.0</v>
      </c>
      <c r="BX53" s="153">
        <v>0.0</v>
      </c>
      <c r="BY53" s="153">
        <v>0.0</v>
      </c>
      <c r="BZ53" s="153">
        <v>0.0</v>
      </c>
      <c r="CA53" s="153">
        <v>0.0</v>
      </c>
      <c r="CB53" s="153">
        <v>0.0</v>
      </c>
      <c r="CC53" s="153">
        <v>0.0</v>
      </c>
      <c r="CD53" s="153">
        <v>0.0</v>
      </c>
      <c r="CE53" s="154">
        <v>0.0</v>
      </c>
      <c r="CF53" s="153">
        <v>0.0</v>
      </c>
      <c r="CG53" s="153">
        <v>0.0</v>
      </c>
      <c r="CH53" s="153">
        <v>0.0</v>
      </c>
      <c r="CI53" s="153">
        <v>0.0</v>
      </c>
      <c r="CJ53" s="153">
        <v>0.0</v>
      </c>
      <c r="CK53" s="153">
        <v>0.0</v>
      </c>
      <c r="CL53" s="153">
        <v>0.0</v>
      </c>
      <c r="CM53" s="153">
        <v>0.0</v>
      </c>
      <c r="CN53" s="153">
        <v>0.0</v>
      </c>
      <c r="CO53" s="154">
        <v>0.0</v>
      </c>
      <c r="CP53" s="153">
        <v>0.0</v>
      </c>
      <c r="CQ53" s="153">
        <v>0.0</v>
      </c>
      <c r="CR53" s="153">
        <v>0.0</v>
      </c>
      <c r="CS53" s="153">
        <v>0.0</v>
      </c>
      <c r="CT53" s="153">
        <v>0.0</v>
      </c>
      <c r="CU53" s="153">
        <v>0.0</v>
      </c>
      <c r="CV53" s="153">
        <v>0.0</v>
      </c>
      <c r="CW53" s="153">
        <v>0.0</v>
      </c>
      <c r="CX53" s="153">
        <v>0.0</v>
      </c>
    </row>
    <row r="54" ht="35.25" customHeight="1">
      <c r="B54" s="167" t="s">
        <v>2996</v>
      </c>
      <c r="C54" s="154">
        <v>0.0</v>
      </c>
      <c r="D54" s="156">
        <v>0.0</v>
      </c>
      <c r="E54" s="153">
        <v>0.0</v>
      </c>
      <c r="F54" s="153">
        <v>0.0</v>
      </c>
      <c r="G54" s="153">
        <v>0.0</v>
      </c>
      <c r="H54" s="153">
        <v>0.0</v>
      </c>
      <c r="I54" s="153">
        <v>0.16666666666666666</v>
      </c>
      <c r="J54" s="153">
        <v>0.25</v>
      </c>
      <c r="K54" s="153">
        <v>0.0</v>
      </c>
      <c r="L54" s="153">
        <v>0.0</v>
      </c>
      <c r="M54" s="154">
        <v>0.0</v>
      </c>
      <c r="N54" s="156">
        <v>0.0</v>
      </c>
      <c r="O54" s="153">
        <v>0.0</v>
      </c>
      <c r="P54" s="153">
        <v>0.0</v>
      </c>
      <c r="Q54" s="153">
        <v>0.0</v>
      </c>
      <c r="R54" s="153">
        <v>0.0</v>
      </c>
      <c r="S54" s="153">
        <v>0.0</v>
      </c>
      <c r="T54" s="153">
        <v>0.0</v>
      </c>
      <c r="U54" s="153">
        <v>0.0</v>
      </c>
      <c r="V54" s="153">
        <v>0.0</v>
      </c>
      <c r="W54" s="154">
        <v>0.0</v>
      </c>
      <c r="X54" s="156">
        <v>0.0</v>
      </c>
      <c r="Y54" s="153">
        <v>0.0</v>
      </c>
      <c r="Z54" s="153">
        <v>0.0</v>
      </c>
      <c r="AA54" s="153">
        <v>0.0</v>
      </c>
      <c r="AB54" s="153">
        <v>0.0</v>
      </c>
      <c r="AC54" s="153">
        <v>0.0</v>
      </c>
      <c r="AD54" s="153">
        <v>0.0</v>
      </c>
      <c r="AE54" s="153">
        <v>0.0</v>
      </c>
      <c r="AF54" s="153">
        <v>0.0</v>
      </c>
      <c r="AG54" s="154">
        <v>0.0</v>
      </c>
      <c r="AH54" s="156">
        <v>0.0</v>
      </c>
      <c r="AI54" s="153">
        <v>0.0</v>
      </c>
      <c r="AJ54" s="153">
        <v>0.0</v>
      </c>
      <c r="AK54" s="153">
        <v>0.0</v>
      </c>
      <c r="AL54" s="153">
        <v>0.0</v>
      </c>
      <c r="AM54" s="153">
        <v>0.16666666666666666</v>
      </c>
      <c r="AN54" s="153">
        <v>0.0</v>
      </c>
      <c r="AO54" s="153">
        <v>0.0</v>
      </c>
      <c r="AP54" s="153">
        <v>0.0</v>
      </c>
      <c r="AQ54" s="154">
        <v>0.0</v>
      </c>
      <c r="AR54" s="156">
        <v>0.0</v>
      </c>
      <c r="AS54" s="153">
        <v>0.0</v>
      </c>
      <c r="AT54" s="153">
        <v>0.0</v>
      </c>
      <c r="AU54" s="153">
        <v>0.0</v>
      </c>
      <c r="AV54" s="153">
        <v>0.0</v>
      </c>
      <c r="AW54" s="153">
        <v>0.0</v>
      </c>
      <c r="AX54" s="153">
        <v>0.0</v>
      </c>
      <c r="AY54" s="153">
        <v>0.0</v>
      </c>
      <c r="AZ54" s="153">
        <v>0.0</v>
      </c>
      <c r="BA54" s="154">
        <v>1.0</v>
      </c>
      <c r="BB54" s="155">
        <v>0.0</v>
      </c>
      <c r="BC54" s="153">
        <v>0.75</v>
      </c>
      <c r="BD54" s="153">
        <v>0.5</v>
      </c>
      <c r="BE54" s="153">
        <v>0.8333333333333334</v>
      </c>
      <c r="BF54" s="153">
        <v>0.8333333333333334</v>
      </c>
      <c r="BG54" s="153">
        <v>0.5</v>
      </c>
      <c r="BH54" s="153">
        <v>1.0</v>
      </c>
      <c r="BI54" s="153">
        <v>1.0</v>
      </c>
      <c r="BJ54" s="153">
        <v>0.75</v>
      </c>
      <c r="BK54" s="154">
        <v>0.0</v>
      </c>
      <c r="BL54" s="156">
        <v>0.0</v>
      </c>
      <c r="BM54" s="153">
        <v>0.0</v>
      </c>
      <c r="BN54" s="153">
        <v>0.0</v>
      </c>
      <c r="BO54" s="153">
        <v>0.0</v>
      </c>
      <c r="BP54" s="153">
        <v>0.0</v>
      </c>
      <c r="BQ54" s="153">
        <v>0.0</v>
      </c>
      <c r="BR54" s="153">
        <v>0.0</v>
      </c>
      <c r="BS54" s="153">
        <v>0.0</v>
      </c>
      <c r="BT54" s="153">
        <v>0.0</v>
      </c>
      <c r="BU54" s="154">
        <v>0.0</v>
      </c>
      <c r="BV54" s="156">
        <v>0.0</v>
      </c>
      <c r="BW54" s="153">
        <v>0.0</v>
      </c>
      <c r="BX54" s="153">
        <v>0.0</v>
      </c>
      <c r="BY54" s="153">
        <v>0.0</v>
      </c>
      <c r="BZ54" s="153">
        <v>0.0</v>
      </c>
      <c r="CA54" s="153">
        <v>0.0</v>
      </c>
      <c r="CB54" s="153">
        <v>0.0</v>
      </c>
      <c r="CC54" s="153">
        <v>0.0</v>
      </c>
      <c r="CD54" s="153">
        <v>0.0</v>
      </c>
      <c r="CE54" s="154">
        <v>0.0</v>
      </c>
      <c r="CF54" s="156">
        <v>0.0</v>
      </c>
      <c r="CG54" s="153">
        <v>0.0</v>
      </c>
      <c r="CH54" s="153">
        <v>0.0</v>
      </c>
      <c r="CI54" s="153">
        <v>0.0</v>
      </c>
      <c r="CJ54" s="153">
        <v>0.0</v>
      </c>
      <c r="CK54" s="153">
        <v>0.0</v>
      </c>
      <c r="CL54" s="153">
        <v>0.0</v>
      </c>
      <c r="CM54" s="153">
        <v>0.0</v>
      </c>
      <c r="CN54" s="153">
        <v>0.0</v>
      </c>
      <c r="CO54" s="154">
        <v>0.0</v>
      </c>
      <c r="CP54" s="156">
        <v>0.0</v>
      </c>
      <c r="CQ54" s="153">
        <v>0.0</v>
      </c>
      <c r="CR54" s="153">
        <v>0.0</v>
      </c>
      <c r="CS54" s="153">
        <v>0.0</v>
      </c>
      <c r="CT54" s="153">
        <v>0.0</v>
      </c>
      <c r="CU54" s="153">
        <v>0.0</v>
      </c>
      <c r="CV54" s="153">
        <v>0.0</v>
      </c>
      <c r="CW54" s="153">
        <v>0.0</v>
      </c>
      <c r="CX54" s="153">
        <v>0.0</v>
      </c>
    </row>
    <row r="55" ht="35.25" customHeight="1">
      <c r="B55" s="167" t="s">
        <v>2997</v>
      </c>
      <c r="C55" s="154">
        <v>0.0</v>
      </c>
      <c r="D55" s="153">
        <v>0.0</v>
      </c>
      <c r="E55" s="156">
        <v>0.0</v>
      </c>
      <c r="F55" s="153">
        <v>0.0</v>
      </c>
      <c r="G55" s="153">
        <v>0.0</v>
      </c>
      <c r="H55" s="153">
        <v>0.0</v>
      </c>
      <c r="I55" s="153">
        <v>0.0</v>
      </c>
      <c r="J55" s="153">
        <v>0.16666666666666666</v>
      </c>
      <c r="K55" s="153">
        <v>0.0</v>
      </c>
      <c r="L55" s="153">
        <v>0.0</v>
      </c>
      <c r="M55" s="154">
        <v>0.0</v>
      </c>
      <c r="N55" s="153">
        <v>0.0</v>
      </c>
      <c r="O55" s="156">
        <v>0.0</v>
      </c>
      <c r="P55" s="153">
        <v>0.0</v>
      </c>
      <c r="Q55" s="153">
        <v>0.0</v>
      </c>
      <c r="R55" s="153">
        <v>0.0</v>
      </c>
      <c r="S55" s="153">
        <v>0.0</v>
      </c>
      <c r="T55" s="153">
        <v>0.0</v>
      </c>
      <c r="U55" s="153">
        <v>0.0</v>
      </c>
      <c r="V55" s="153">
        <v>0.0</v>
      </c>
      <c r="W55" s="154">
        <v>0.0</v>
      </c>
      <c r="X55" s="153">
        <v>0.0</v>
      </c>
      <c r="Y55" s="156">
        <v>0.0</v>
      </c>
      <c r="Z55" s="153">
        <v>0.0</v>
      </c>
      <c r="AA55" s="153">
        <v>0.0</v>
      </c>
      <c r="AB55" s="153">
        <v>0.0</v>
      </c>
      <c r="AC55" s="153">
        <v>0.0</v>
      </c>
      <c r="AD55" s="153">
        <v>0.0</v>
      </c>
      <c r="AE55" s="153">
        <v>0.0</v>
      </c>
      <c r="AF55" s="153">
        <v>0.0</v>
      </c>
      <c r="AG55" s="154">
        <v>0.0</v>
      </c>
      <c r="AH55" s="153">
        <v>0.0</v>
      </c>
      <c r="AI55" s="156">
        <v>0.0</v>
      </c>
      <c r="AJ55" s="153">
        <v>0.0</v>
      </c>
      <c r="AK55" s="153">
        <v>0.0</v>
      </c>
      <c r="AL55" s="153">
        <v>0.0</v>
      </c>
      <c r="AM55" s="153">
        <v>0.0</v>
      </c>
      <c r="AN55" s="153">
        <v>0.0</v>
      </c>
      <c r="AO55" s="153">
        <v>0.0</v>
      </c>
      <c r="AP55" s="153">
        <v>0.0</v>
      </c>
      <c r="AQ55" s="154">
        <v>0.0</v>
      </c>
      <c r="AR55" s="153">
        <v>0.0</v>
      </c>
      <c r="AS55" s="156">
        <v>0.0</v>
      </c>
      <c r="AT55" s="153">
        <v>0.0</v>
      </c>
      <c r="AU55" s="153">
        <v>0.0</v>
      </c>
      <c r="AV55" s="153">
        <v>0.0</v>
      </c>
      <c r="AW55" s="153">
        <v>0.0</v>
      </c>
      <c r="AX55" s="153">
        <v>0.0</v>
      </c>
      <c r="AY55" s="153">
        <v>0.0</v>
      </c>
      <c r="AZ55" s="153">
        <v>0.0</v>
      </c>
      <c r="BA55" s="154">
        <v>0.25</v>
      </c>
      <c r="BB55" s="153">
        <v>0.75</v>
      </c>
      <c r="BC55" s="155">
        <v>0.0</v>
      </c>
      <c r="BD55" s="153">
        <v>0.75</v>
      </c>
      <c r="BE55" s="153">
        <v>0.75</v>
      </c>
      <c r="BF55" s="153">
        <v>0.5</v>
      </c>
      <c r="BG55" s="153">
        <v>0.75</v>
      </c>
      <c r="BH55" s="153">
        <v>0.8333333333333334</v>
      </c>
      <c r="BI55" s="153">
        <v>0.75</v>
      </c>
      <c r="BJ55" s="153">
        <v>0.8333333333333334</v>
      </c>
      <c r="BK55" s="154">
        <v>0.0</v>
      </c>
      <c r="BL55" s="153">
        <v>0.25</v>
      </c>
      <c r="BM55" s="156">
        <v>0.0625</v>
      </c>
      <c r="BN55" s="153">
        <v>0.0</v>
      </c>
      <c r="BO55" s="153">
        <v>0.0</v>
      </c>
      <c r="BP55" s="153">
        <v>0.0</v>
      </c>
      <c r="BQ55" s="153">
        <v>0.125</v>
      </c>
      <c r="BR55" s="153">
        <v>0.0</v>
      </c>
      <c r="BS55" s="153">
        <v>0.0</v>
      </c>
      <c r="BT55" s="153">
        <v>0.16666666666666666</v>
      </c>
      <c r="BU55" s="154">
        <v>0.0</v>
      </c>
      <c r="BV55" s="153">
        <v>0.0</v>
      </c>
      <c r="BW55" s="156">
        <v>0.0</v>
      </c>
      <c r="BX55" s="153">
        <v>0.0</v>
      </c>
      <c r="BY55" s="153">
        <v>0.0</v>
      </c>
      <c r="BZ55" s="153">
        <v>0.0</v>
      </c>
      <c r="CA55" s="153">
        <v>0.0</v>
      </c>
      <c r="CB55" s="153">
        <v>0.0</v>
      </c>
      <c r="CC55" s="153">
        <v>0.0</v>
      </c>
      <c r="CD55" s="153">
        <v>0.0</v>
      </c>
      <c r="CE55" s="154">
        <v>0.0</v>
      </c>
      <c r="CF55" s="153">
        <v>0.0</v>
      </c>
      <c r="CG55" s="156">
        <v>0.0</v>
      </c>
      <c r="CH55" s="153">
        <v>0.0</v>
      </c>
      <c r="CI55" s="153">
        <v>0.0</v>
      </c>
      <c r="CJ55" s="153">
        <v>0.0</v>
      </c>
      <c r="CK55" s="153">
        <v>0.0</v>
      </c>
      <c r="CL55" s="153">
        <v>0.0</v>
      </c>
      <c r="CM55" s="153">
        <v>0.0</v>
      </c>
      <c r="CN55" s="153">
        <v>0.0</v>
      </c>
      <c r="CO55" s="154">
        <v>0.0</v>
      </c>
      <c r="CP55" s="153">
        <v>0.0</v>
      </c>
      <c r="CQ55" s="156">
        <v>0.0</v>
      </c>
      <c r="CR55" s="153">
        <v>0.0</v>
      </c>
      <c r="CS55" s="153">
        <v>0.0</v>
      </c>
      <c r="CT55" s="153">
        <v>0.0</v>
      </c>
      <c r="CU55" s="153">
        <v>0.0</v>
      </c>
      <c r="CV55" s="153">
        <v>0.0</v>
      </c>
      <c r="CW55" s="153">
        <v>0.0</v>
      </c>
      <c r="CX55" s="153">
        <v>0.0</v>
      </c>
    </row>
    <row r="56" ht="35.25" customHeight="1">
      <c r="B56" s="167" t="s">
        <v>2998</v>
      </c>
      <c r="C56" s="154">
        <v>0.0</v>
      </c>
      <c r="D56" s="153">
        <v>0.0</v>
      </c>
      <c r="E56" s="153">
        <v>0.0</v>
      </c>
      <c r="F56" s="156">
        <v>0.0</v>
      </c>
      <c r="G56" s="153">
        <v>0.0</v>
      </c>
      <c r="H56" s="153">
        <v>0.0</v>
      </c>
      <c r="I56" s="153">
        <v>0.1</v>
      </c>
      <c r="J56" s="153">
        <v>0.0</v>
      </c>
      <c r="K56" s="153">
        <v>0.0</v>
      </c>
      <c r="L56" s="153">
        <v>0.0</v>
      </c>
      <c r="M56" s="154">
        <v>0.0</v>
      </c>
      <c r="N56" s="153">
        <v>0.0</v>
      </c>
      <c r="O56" s="153">
        <v>0.0</v>
      </c>
      <c r="P56" s="156">
        <v>0.0</v>
      </c>
      <c r="Q56" s="153">
        <v>0.0</v>
      </c>
      <c r="R56" s="153">
        <v>0.0</v>
      </c>
      <c r="S56" s="153">
        <v>0.0</v>
      </c>
      <c r="T56" s="153">
        <v>0.0</v>
      </c>
      <c r="U56" s="153">
        <v>0.0</v>
      </c>
      <c r="V56" s="153">
        <v>0.0</v>
      </c>
      <c r="W56" s="154">
        <v>0.0</v>
      </c>
      <c r="X56" s="153">
        <v>0.0</v>
      </c>
      <c r="Y56" s="153">
        <v>0.0</v>
      </c>
      <c r="Z56" s="156">
        <v>0.0</v>
      </c>
      <c r="AA56" s="153">
        <v>0.0</v>
      </c>
      <c r="AB56" s="153">
        <v>0.0</v>
      </c>
      <c r="AC56" s="153">
        <v>0.0</v>
      </c>
      <c r="AD56" s="153">
        <v>0.0</v>
      </c>
      <c r="AE56" s="153">
        <v>0.0</v>
      </c>
      <c r="AF56" s="153">
        <v>0.0</v>
      </c>
      <c r="AG56" s="154">
        <v>0.0</v>
      </c>
      <c r="AH56" s="153">
        <v>0.0</v>
      </c>
      <c r="AI56" s="153">
        <v>0.0</v>
      </c>
      <c r="AJ56" s="156">
        <v>0.0</v>
      </c>
      <c r="AK56" s="153">
        <v>0.0</v>
      </c>
      <c r="AL56" s="153">
        <v>0.0</v>
      </c>
      <c r="AM56" s="153">
        <v>0.0</v>
      </c>
      <c r="AN56" s="153">
        <v>0.0</v>
      </c>
      <c r="AO56" s="153">
        <v>0.0</v>
      </c>
      <c r="AP56" s="153">
        <v>0.25</v>
      </c>
      <c r="AQ56" s="154">
        <v>0.0</v>
      </c>
      <c r="AR56" s="153">
        <v>0.25</v>
      </c>
      <c r="AS56" s="153">
        <v>0.0</v>
      </c>
      <c r="AT56" s="156">
        <v>0.0625</v>
      </c>
      <c r="AU56" s="153">
        <v>0.0</v>
      </c>
      <c r="AV56" s="153">
        <v>0.0</v>
      </c>
      <c r="AW56" s="153">
        <v>0.0</v>
      </c>
      <c r="AX56" s="153">
        <v>0.0</v>
      </c>
      <c r="AY56" s="153">
        <v>0.0</v>
      </c>
      <c r="AZ56" s="153">
        <v>0.0</v>
      </c>
      <c r="BA56" s="154">
        <v>0.5</v>
      </c>
      <c r="BB56" s="153">
        <v>0.5</v>
      </c>
      <c r="BC56" s="153">
        <v>0.625</v>
      </c>
      <c r="BD56" s="155">
        <v>0.0</v>
      </c>
      <c r="BE56" s="153">
        <v>0.75</v>
      </c>
      <c r="BF56" s="153">
        <v>0.25</v>
      </c>
      <c r="BG56" s="153">
        <v>0.7</v>
      </c>
      <c r="BH56" s="153">
        <v>0.75</v>
      </c>
      <c r="BI56" s="153">
        <v>0.8333333333333334</v>
      </c>
      <c r="BJ56" s="153">
        <v>0.5</v>
      </c>
      <c r="BK56" s="154">
        <v>0.0</v>
      </c>
      <c r="BL56" s="153">
        <v>0.0</v>
      </c>
      <c r="BM56" s="153">
        <v>0.0</v>
      </c>
      <c r="BN56" s="156">
        <v>0.0</v>
      </c>
      <c r="BO56" s="153">
        <v>0.0</v>
      </c>
      <c r="BP56" s="153">
        <v>0.0</v>
      </c>
      <c r="BQ56" s="153">
        <v>0.0</v>
      </c>
      <c r="BR56" s="153">
        <v>0.0</v>
      </c>
      <c r="BS56" s="153">
        <v>0.0</v>
      </c>
      <c r="BT56" s="153">
        <v>0.0</v>
      </c>
      <c r="BU56" s="154">
        <v>0.0</v>
      </c>
      <c r="BV56" s="153">
        <v>0.0</v>
      </c>
      <c r="BW56" s="153">
        <v>0.0</v>
      </c>
      <c r="BX56" s="156">
        <v>0.0</v>
      </c>
      <c r="BY56" s="153">
        <v>0.0</v>
      </c>
      <c r="BZ56" s="153">
        <v>0.0</v>
      </c>
      <c r="CA56" s="153">
        <v>0.0</v>
      </c>
      <c r="CB56" s="153">
        <v>0.0</v>
      </c>
      <c r="CC56" s="153">
        <v>0.0</v>
      </c>
      <c r="CD56" s="153">
        <v>0.0</v>
      </c>
      <c r="CE56" s="154">
        <v>0.0</v>
      </c>
      <c r="CF56" s="153">
        <v>0.0</v>
      </c>
      <c r="CG56" s="153">
        <v>0.0</v>
      </c>
      <c r="CH56" s="156">
        <v>0.0</v>
      </c>
      <c r="CI56" s="153">
        <v>0.0</v>
      </c>
      <c r="CJ56" s="153">
        <v>0.0</v>
      </c>
      <c r="CK56" s="153">
        <v>0.0</v>
      </c>
      <c r="CL56" s="153">
        <v>0.0</v>
      </c>
      <c r="CM56" s="153">
        <v>0.0</v>
      </c>
      <c r="CN56" s="153">
        <v>0.0</v>
      </c>
      <c r="CO56" s="154">
        <v>0.0</v>
      </c>
      <c r="CP56" s="153">
        <v>0.0</v>
      </c>
      <c r="CQ56" s="153">
        <v>0.0</v>
      </c>
      <c r="CR56" s="156">
        <v>0.0</v>
      </c>
      <c r="CS56" s="153">
        <v>0.0</v>
      </c>
      <c r="CT56" s="153">
        <v>0.0</v>
      </c>
      <c r="CU56" s="153">
        <v>0.0</v>
      </c>
      <c r="CV56" s="153">
        <v>0.0</v>
      </c>
      <c r="CW56" s="153">
        <v>0.0</v>
      </c>
      <c r="CX56" s="153">
        <v>0.0</v>
      </c>
    </row>
    <row r="57" ht="35.25" customHeight="1">
      <c r="B57" s="167" t="s">
        <v>2999</v>
      </c>
      <c r="C57" s="154">
        <v>0.1</v>
      </c>
      <c r="D57" s="153">
        <v>0.0</v>
      </c>
      <c r="E57" s="153">
        <v>0.0</v>
      </c>
      <c r="F57" s="153">
        <v>0.0</v>
      </c>
      <c r="G57" s="156">
        <v>0.05555555555555555</v>
      </c>
      <c r="H57" s="153">
        <v>0.16666666666666666</v>
      </c>
      <c r="I57" s="153">
        <v>0.25</v>
      </c>
      <c r="J57" s="153">
        <v>0.1</v>
      </c>
      <c r="K57" s="153">
        <v>0.0</v>
      </c>
      <c r="L57" s="153">
        <v>0.25</v>
      </c>
      <c r="M57" s="154">
        <v>0.0</v>
      </c>
      <c r="N57" s="153">
        <v>0.0</v>
      </c>
      <c r="O57" s="153">
        <v>0.0</v>
      </c>
      <c r="P57" s="153">
        <v>0.0</v>
      </c>
      <c r="Q57" s="156">
        <v>0.0</v>
      </c>
      <c r="R57" s="153">
        <v>0.0</v>
      </c>
      <c r="S57" s="153">
        <v>0.0</v>
      </c>
      <c r="T57" s="153">
        <v>0.0</v>
      </c>
      <c r="U57" s="153">
        <v>0.0</v>
      </c>
      <c r="V57" s="153">
        <v>0.0</v>
      </c>
      <c r="W57" s="154">
        <v>0.0</v>
      </c>
      <c r="X57" s="153">
        <v>0.0</v>
      </c>
      <c r="Y57" s="153">
        <v>0.0</v>
      </c>
      <c r="Z57" s="153">
        <v>0.0</v>
      </c>
      <c r="AA57" s="156">
        <v>0.0</v>
      </c>
      <c r="AB57" s="153">
        <v>0.0</v>
      </c>
      <c r="AC57" s="153">
        <v>0.0</v>
      </c>
      <c r="AD57" s="153">
        <v>0.0</v>
      </c>
      <c r="AE57" s="153">
        <v>0.0</v>
      </c>
      <c r="AF57" s="153">
        <v>0.0</v>
      </c>
      <c r="AG57" s="154">
        <v>0.0</v>
      </c>
      <c r="AH57" s="153">
        <v>0.0</v>
      </c>
      <c r="AI57" s="153">
        <v>0.0</v>
      </c>
      <c r="AJ57" s="153">
        <v>0.0</v>
      </c>
      <c r="AK57" s="156">
        <v>0.0</v>
      </c>
      <c r="AL57" s="153">
        <v>0.0</v>
      </c>
      <c r="AM57" s="153">
        <v>0.0</v>
      </c>
      <c r="AN57" s="153">
        <v>0.0</v>
      </c>
      <c r="AO57" s="153">
        <v>0.0</v>
      </c>
      <c r="AP57" s="153">
        <v>0.0</v>
      </c>
      <c r="AQ57" s="154">
        <v>0.0</v>
      </c>
      <c r="AR57" s="153">
        <v>0.0</v>
      </c>
      <c r="AS57" s="153">
        <v>0.0</v>
      </c>
      <c r="AT57" s="153">
        <v>0.0</v>
      </c>
      <c r="AU57" s="156">
        <v>0.0</v>
      </c>
      <c r="AV57" s="153">
        <v>0.0</v>
      </c>
      <c r="AW57" s="153">
        <v>0.0</v>
      </c>
      <c r="AX57" s="153">
        <v>0.0</v>
      </c>
      <c r="AY57" s="153">
        <v>0.0</v>
      </c>
      <c r="AZ57" s="153">
        <v>0.0</v>
      </c>
      <c r="BA57" s="154">
        <v>0.7</v>
      </c>
      <c r="BB57" s="153">
        <v>0.8333333333333334</v>
      </c>
      <c r="BC57" s="153">
        <v>0.75</v>
      </c>
      <c r="BD57" s="153">
        <v>0.75</v>
      </c>
      <c r="BE57" s="155">
        <v>0.0</v>
      </c>
      <c r="BF57" s="153">
        <v>0.8333333333333334</v>
      </c>
      <c r="BG57" s="153">
        <v>0.5</v>
      </c>
      <c r="BH57" s="153">
        <v>0.9</v>
      </c>
      <c r="BI57" s="153">
        <v>0.8333333333333334</v>
      </c>
      <c r="BJ57" s="153">
        <v>0.75</v>
      </c>
      <c r="BK57" s="154">
        <v>0.0</v>
      </c>
      <c r="BL57" s="153">
        <v>0.0</v>
      </c>
      <c r="BM57" s="153">
        <v>0.0</v>
      </c>
      <c r="BN57" s="153">
        <v>0.0</v>
      </c>
      <c r="BO57" s="156">
        <v>0.0</v>
      </c>
      <c r="BP57" s="153">
        <v>0.0</v>
      </c>
      <c r="BQ57" s="153">
        <v>0.0</v>
      </c>
      <c r="BR57" s="153">
        <v>0.0</v>
      </c>
      <c r="BS57" s="153">
        <v>0.0</v>
      </c>
      <c r="BT57" s="153">
        <v>0.0</v>
      </c>
      <c r="BU57" s="154">
        <v>0.0</v>
      </c>
      <c r="BV57" s="153">
        <v>0.0</v>
      </c>
      <c r="BW57" s="153">
        <v>0.0</v>
      </c>
      <c r="BX57" s="153">
        <v>0.0</v>
      </c>
      <c r="BY57" s="156">
        <v>0.0</v>
      </c>
      <c r="BZ57" s="153">
        <v>0.0</v>
      </c>
      <c r="CA57" s="153">
        <v>0.0</v>
      </c>
      <c r="CB57" s="153">
        <v>0.0</v>
      </c>
      <c r="CC57" s="153">
        <v>0.0</v>
      </c>
      <c r="CD57" s="153">
        <v>0.0</v>
      </c>
      <c r="CE57" s="154">
        <v>0.0</v>
      </c>
      <c r="CF57" s="153">
        <v>0.0</v>
      </c>
      <c r="CG57" s="153">
        <v>0.0</v>
      </c>
      <c r="CH57" s="153">
        <v>0.0</v>
      </c>
      <c r="CI57" s="156">
        <v>0.0</v>
      </c>
      <c r="CJ57" s="153">
        <v>0.0</v>
      </c>
      <c r="CK57" s="153">
        <v>0.0</v>
      </c>
      <c r="CL57" s="153">
        <v>0.0</v>
      </c>
      <c r="CM57" s="153">
        <v>0.0</v>
      </c>
      <c r="CN57" s="153">
        <v>0.0</v>
      </c>
      <c r="CO57" s="154">
        <v>0.0</v>
      </c>
      <c r="CP57" s="153">
        <v>0.0</v>
      </c>
      <c r="CQ57" s="153">
        <v>0.0</v>
      </c>
      <c r="CR57" s="153">
        <v>0.0</v>
      </c>
      <c r="CS57" s="156">
        <v>0.0</v>
      </c>
      <c r="CT57" s="153">
        <v>0.0</v>
      </c>
      <c r="CU57" s="153">
        <v>0.0</v>
      </c>
      <c r="CV57" s="153">
        <v>0.0</v>
      </c>
      <c r="CW57" s="153">
        <v>0.0</v>
      </c>
      <c r="CX57" s="153">
        <v>0.0</v>
      </c>
    </row>
    <row r="58" ht="35.25" customHeight="1">
      <c r="B58" s="167" t="s">
        <v>3000</v>
      </c>
      <c r="C58" s="154">
        <v>0.1</v>
      </c>
      <c r="D58" s="153">
        <v>0.0</v>
      </c>
      <c r="E58" s="153">
        <v>0.0</v>
      </c>
      <c r="F58" s="153">
        <v>0.0</v>
      </c>
      <c r="G58" s="153">
        <v>0.16666666666666666</v>
      </c>
      <c r="H58" s="156">
        <v>0.0625</v>
      </c>
      <c r="I58" s="153">
        <v>0.0</v>
      </c>
      <c r="J58" s="153">
        <v>0.0</v>
      </c>
      <c r="K58" s="153">
        <v>0.0</v>
      </c>
      <c r="L58" s="153">
        <v>0.25</v>
      </c>
      <c r="M58" s="154">
        <v>0.0</v>
      </c>
      <c r="N58" s="153">
        <v>0.0</v>
      </c>
      <c r="O58" s="153">
        <v>0.0</v>
      </c>
      <c r="P58" s="153">
        <v>0.0</v>
      </c>
      <c r="Q58" s="153">
        <v>0.0</v>
      </c>
      <c r="R58" s="156">
        <v>0.0</v>
      </c>
      <c r="S58" s="153">
        <v>0.0</v>
      </c>
      <c r="T58" s="153">
        <v>0.0</v>
      </c>
      <c r="U58" s="153">
        <v>0.0</v>
      </c>
      <c r="V58" s="153">
        <v>0.0</v>
      </c>
      <c r="W58" s="154">
        <v>0.0</v>
      </c>
      <c r="X58" s="153">
        <v>0.0</v>
      </c>
      <c r="Y58" s="153">
        <v>0.0</v>
      </c>
      <c r="Z58" s="153">
        <v>0.0</v>
      </c>
      <c r="AA58" s="153">
        <v>0.0</v>
      </c>
      <c r="AB58" s="156">
        <v>0.0</v>
      </c>
      <c r="AC58" s="153">
        <v>0.0</v>
      </c>
      <c r="AD58" s="153">
        <v>0.0</v>
      </c>
      <c r="AE58" s="153">
        <v>0.0</v>
      </c>
      <c r="AF58" s="153">
        <v>0.0</v>
      </c>
      <c r="AG58" s="154">
        <v>0.0</v>
      </c>
      <c r="AH58" s="153">
        <v>0.0</v>
      </c>
      <c r="AI58" s="153">
        <v>0.0</v>
      </c>
      <c r="AJ58" s="153">
        <v>0.0</v>
      </c>
      <c r="AK58" s="153">
        <v>0.0</v>
      </c>
      <c r="AL58" s="156">
        <v>0.0</v>
      </c>
      <c r="AM58" s="153">
        <v>0.0</v>
      </c>
      <c r="AN58" s="153">
        <v>0.0</v>
      </c>
      <c r="AO58" s="153">
        <v>0.0</v>
      </c>
      <c r="AP58" s="153">
        <v>0.0</v>
      </c>
      <c r="AQ58" s="154">
        <v>0.0</v>
      </c>
      <c r="AR58" s="153">
        <v>0.0</v>
      </c>
      <c r="AS58" s="153">
        <v>0.0</v>
      </c>
      <c r="AT58" s="153">
        <v>0.0</v>
      </c>
      <c r="AU58" s="153">
        <v>0.0</v>
      </c>
      <c r="AV58" s="156">
        <v>0.0</v>
      </c>
      <c r="AW58" s="153">
        <v>0.0</v>
      </c>
      <c r="AX58" s="153">
        <v>0.0</v>
      </c>
      <c r="AY58" s="153">
        <v>0.0</v>
      </c>
      <c r="AZ58" s="153">
        <v>0.0</v>
      </c>
      <c r="BA58" s="154">
        <v>0.6</v>
      </c>
      <c r="BB58" s="153">
        <v>0.8333333333333334</v>
      </c>
      <c r="BC58" s="153">
        <v>0.5</v>
      </c>
      <c r="BD58" s="153">
        <v>0.25</v>
      </c>
      <c r="BE58" s="153">
        <v>0.8333333333333334</v>
      </c>
      <c r="BF58" s="155">
        <v>0.0</v>
      </c>
      <c r="BG58" s="153">
        <v>0.5</v>
      </c>
      <c r="BH58" s="153">
        <v>0.8333333333333334</v>
      </c>
      <c r="BI58" s="153">
        <v>0.75</v>
      </c>
      <c r="BJ58" s="153">
        <v>0.75</v>
      </c>
      <c r="BK58" s="154">
        <v>0.0</v>
      </c>
      <c r="BL58" s="153">
        <v>0.0</v>
      </c>
      <c r="BM58" s="153">
        <v>0.0</v>
      </c>
      <c r="BN58" s="153">
        <v>0.0</v>
      </c>
      <c r="BO58" s="153">
        <v>0.0</v>
      </c>
      <c r="BP58" s="156">
        <v>0.0</v>
      </c>
      <c r="BQ58" s="153">
        <v>0.0</v>
      </c>
      <c r="BR58" s="153">
        <v>0.0</v>
      </c>
      <c r="BS58" s="153">
        <v>0.0</v>
      </c>
      <c r="BT58" s="153">
        <v>0.0</v>
      </c>
      <c r="BU58" s="154">
        <v>0.0</v>
      </c>
      <c r="BV58" s="153">
        <v>0.0</v>
      </c>
      <c r="BW58" s="153">
        <v>0.0</v>
      </c>
      <c r="BX58" s="153">
        <v>0.0</v>
      </c>
      <c r="BY58" s="153">
        <v>0.0</v>
      </c>
      <c r="BZ58" s="156">
        <v>0.0</v>
      </c>
      <c r="CA58" s="153">
        <v>0.0</v>
      </c>
      <c r="CB58" s="153">
        <v>0.0</v>
      </c>
      <c r="CC58" s="153">
        <v>0.0</v>
      </c>
      <c r="CD58" s="153">
        <v>0.0</v>
      </c>
      <c r="CE58" s="154">
        <v>0.0</v>
      </c>
      <c r="CF58" s="153">
        <v>0.0</v>
      </c>
      <c r="CG58" s="153">
        <v>0.0</v>
      </c>
      <c r="CH58" s="153">
        <v>0.0</v>
      </c>
      <c r="CI58" s="153">
        <v>0.0</v>
      </c>
      <c r="CJ58" s="156">
        <v>0.0</v>
      </c>
      <c r="CK58" s="153">
        <v>0.0</v>
      </c>
      <c r="CL58" s="153">
        <v>0.0</v>
      </c>
      <c r="CM58" s="153">
        <v>0.0</v>
      </c>
      <c r="CN58" s="153">
        <v>0.0</v>
      </c>
      <c r="CO58" s="154">
        <v>0.0</v>
      </c>
      <c r="CP58" s="153">
        <v>0.0</v>
      </c>
      <c r="CQ58" s="153">
        <v>0.0</v>
      </c>
      <c r="CR58" s="153">
        <v>0.0</v>
      </c>
      <c r="CS58" s="153">
        <v>0.0</v>
      </c>
      <c r="CT58" s="156">
        <v>0.0</v>
      </c>
      <c r="CU58" s="153">
        <v>0.0</v>
      </c>
      <c r="CV58" s="153">
        <v>0.0</v>
      </c>
      <c r="CW58" s="153">
        <v>0.0</v>
      </c>
      <c r="CX58" s="153">
        <v>0.0</v>
      </c>
    </row>
    <row r="59" ht="35.25" customHeight="1">
      <c r="B59" s="167" t="s">
        <v>3001</v>
      </c>
      <c r="C59" s="154">
        <v>0.0</v>
      </c>
      <c r="D59" s="153">
        <v>0.0</v>
      </c>
      <c r="E59" s="153">
        <v>0.0</v>
      </c>
      <c r="F59" s="153">
        <v>0.0</v>
      </c>
      <c r="G59" s="153">
        <v>0.0</v>
      </c>
      <c r="H59" s="153">
        <v>0.0</v>
      </c>
      <c r="I59" s="156">
        <v>0.125</v>
      </c>
      <c r="J59" s="153">
        <v>0.5</v>
      </c>
      <c r="K59" s="153">
        <v>0.0</v>
      </c>
      <c r="L59" s="153">
        <v>0.25</v>
      </c>
      <c r="M59" s="154">
        <v>0.0</v>
      </c>
      <c r="N59" s="153">
        <v>0.0</v>
      </c>
      <c r="O59" s="153">
        <v>0.0</v>
      </c>
      <c r="P59" s="153">
        <v>0.0</v>
      </c>
      <c r="Q59" s="153">
        <v>0.0</v>
      </c>
      <c r="R59" s="153">
        <v>0.0</v>
      </c>
      <c r="S59" s="156">
        <v>0.0</v>
      </c>
      <c r="T59" s="153">
        <v>0.0</v>
      </c>
      <c r="U59" s="153">
        <v>0.0</v>
      </c>
      <c r="V59" s="153">
        <v>0.0</v>
      </c>
      <c r="W59" s="154">
        <v>0.0</v>
      </c>
      <c r="X59" s="153">
        <v>0.0</v>
      </c>
      <c r="Y59" s="153">
        <v>0.0</v>
      </c>
      <c r="Z59" s="153">
        <v>0.0</v>
      </c>
      <c r="AA59" s="153">
        <v>0.0</v>
      </c>
      <c r="AB59" s="153">
        <v>0.0</v>
      </c>
      <c r="AC59" s="156">
        <v>0.0</v>
      </c>
      <c r="AD59" s="153">
        <v>0.0</v>
      </c>
      <c r="AE59" s="153">
        <v>0.0</v>
      </c>
      <c r="AF59" s="153">
        <v>0.0</v>
      </c>
      <c r="AG59" s="154">
        <v>0.25</v>
      </c>
      <c r="AH59" s="153">
        <v>0.0</v>
      </c>
      <c r="AI59" s="153">
        <v>0.0</v>
      </c>
      <c r="AJ59" s="153">
        <v>0.0</v>
      </c>
      <c r="AK59" s="153">
        <v>0.0</v>
      </c>
      <c r="AL59" s="153">
        <v>0.0</v>
      </c>
      <c r="AM59" s="156">
        <v>0.0625</v>
      </c>
      <c r="AN59" s="153">
        <v>0.0</v>
      </c>
      <c r="AO59" s="153">
        <v>0.0</v>
      </c>
      <c r="AP59" s="153">
        <v>0.0</v>
      </c>
      <c r="AQ59" s="154">
        <v>0.0</v>
      </c>
      <c r="AR59" s="153">
        <v>0.0</v>
      </c>
      <c r="AS59" s="153">
        <v>0.0</v>
      </c>
      <c r="AT59" s="153">
        <v>0.0</v>
      </c>
      <c r="AU59" s="153">
        <v>0.0</v>
      </c>
      <c r="AV59" s="153">
        <v>0.0</v>
      </c>
      <c r="AW59" s="156">
        <v>0.0625</v>
      </c>
      <c r="AX59" s="153">
        <v>0.0</v>
      </c>
      <c r="AY59" s="153">
        <v>0.0</v>
      </c>
      <c r="AZ59" s="153">
        <v>0.0</v>
      </c>
      <c r="BA59" s="154">
        <v>0.75</v>
      </c>
      <c r="BB59" s="153">
        <v>0.5</v>
      </c>
      <c r="BC59" s="153">
        <v>0.75</v>
      </c>
      <c r="BD59" s="153">
        <v>0.7</v>
      </c>
      <c r="BE59" s="153">
        <v>0.5</v>
      </c>
      <c r="BF59" s="153">
        <v>0.5</v>
      </c>
      <c r="BG59" s="155">
        <v>0.0</v>
      </c>
      <c r="BH59" s="153">
        <v>1.0</v>
      </c>
      <c r="BI59" s="153">
        <v>0.75</v>
      </c>
      <c r="BJ59" s="153">
        <v>0.75</v>
      </c>
      <c r="BK59" s="154">
        <v>0.0</v>
      </c>
      <c r="BL59" s="153">
        <v>0.0</v>
      </c>
      <c r="BM59" s="153">
        <v>0.0</v>
      </c>
      <c r="BN59" s="153">
        <v>0.0</v>
      </c>
      <c r="BO59" s="153">
        <v>0.0</v>
      </c>
      <c r="BP59" s="153">
        <v>0.0</v>
      </c>
      <c r="BQ59" s="156">
        <v>0.0</v>
      </c>
      <c r="BR59" s="153">
        <v>0.0</v>
      </c>
      <c r="BS59" s="153">
        <v>0.0</v>
      </c>
      <c r="BT59" s="153">
        <v>0.0</v>
      </c>
      <c r="BU59" s="154">
        <v>0.0</v>
      </c>
      <c r="BV59" s="153">
        <v>0.0</v>
      </c>
      <c r="BW59" s="153">
        <v>0.0</v>
      </c>
      <c r="BX59" s="153">
        <v>0.0</v>
      </c>
      <c r="BY59" s="153">
        <v>0.0</v>
      </c>
      <c r="BZ59" s="153">
        <v>0.0</v>
      </c>
      <c r="CA59" s="156">
        <v>0.0</v>
      </c>
      <c r="CB59" s="153">
        <v>0.0</v>
      </c>
      <c r="CC59" s="153">
        <v>0.0</v>
      </c>
      <c r="CD59" s="153">
        <v>0.0</v>
      </c>
      <c r="CE59" s="154">
        <v>0.0</v>
      </c>
      <c r="CF59" s="153">
        <v>0.0</v>
      </c>
      <c r="CG59" s="153">
        <v>0.0</v>
      </c>
      <c r="CH59" s="153">
        <v>0.0</v>
      </c>
      <c r="CI59" s="153">
        <v>0.0</v>
      </c>
      <c r="CJ59" s="153">
        <v>0.0</v>
      </c>
      <c r="CK59" s="156">
        <v>0.0</v>
      </c>
      <c r="CL59" s="153">
        <v>0.0</v>
      </c>
      <c r="CM59" s="153">
        <v>0.0</v>
      </c>
      <c r="CN59" s="153">
        <v>0.0</v>
      </c>
      <c r="CO59" s="154">
        <v>0.0</v>
      </c>
      <c r="CP59" s="153">
        <v>0.0</v>
      </c>
      <c r="CQ59" s="153">
        <v>0.0</v>
      </c>
      <c r="CR59" s="153">
        <v>0.0</v>
      </c>
      <c r="CS59" s="153">
        <v>0.0</v>
      </c>
      <c r="CT59" s="153">
        <v>0.0</v>
      </c>
      <c r="CU59" s="156">
        <v>0.0</v>
      </c>
      <c r="CV59" s="153">
        <v>0.0</v>
      </c>
      <c r="CW59" s="153">
        <v>0.0</v>
      </c>
      <c r="CX59" s="153">
        <v>0.0</v>
      </c>
    </row>
    <row r="60" ht="35.25" customHeight="1">
      <c r="B60" s="167" t="s">
        <v>3002</v>
      </c>
      <c r="C60" s="154">
        <v>0.0</v>
      </c>
      <c r="D60" s="153">
        <v>0.0</v>
      </c>
      <c r="E60" s="153">
        <v>0.0</v>
      </c>
      <c r="F60" s="153">
        <v>0.0</v>
      </c>
      <c r="G60" s="153">
        <v>0.0</v>
      </c>
      <c r="H60" s="153">
        <v>0.0</v>
      </c>
      <c r="I60" s="153">
        <v>0.0</v>
      </c>
      <c r="J60" s="156">
        <v>0.1875</v>
      </c>
      <c r="K60" s="153">
        <v>0.0</v>
      </c>
      <c r="L60" s="153">
        <v>0.3333333333333333</v>
      </c>
      <c r="M60" s="154">
        <v>0.0</v>
      </c>
      <c r="N60" s="153">
        <v>0.0</v>
      </c>
      <c r="O60" s="153">
        <v>0.0</v>
      </c>
      <c r="P60" s="153">
        <v>0.0</v>
      </c>
      <c r="Q60" s="153">
        <v>0.0</v>
      </c>
      <c r="R60" s="153">
        <v>0.0</v>
      </c>
      <c r="S60" s="153">
        <v>0.0</v>
      </c>
      <c r="T60" s="156">
        <v>0.0</v>
      </c>
      <c r="U60" s="153">
        <v>0.0</v>
      </c>
      <c r="V60" s="153">
        <v>0.0</v>
      </c>
      <c r="W60" s="154">
        <v>0.0</v>
      </c>
      <c r="X60" s="153">
        <v>0.0</v>
      </c>
      <c r="Y60" s="153">
        <v>0.0</v>
      </c>
      <c r="Z60" s="153">
        <v>0.0</v>
      </c>
      <c r="AA60" s="153">
        <v>0.0</v>
      </c>
      <c r="AB60" s="153">
        <v>0.0</v>
      </c>
      <c r="AC60" s="153">
        <v>0.0</v>
      </c>
      <c r="AD60" s="156">
        <v>0.0</v>
      </c>
      <c r="AE60" s="153">
        <v>0.0</v>
      </c>
      <c r="AF60" s="153">
        <v>0.0</v>
      </c>
      <c r="AG60" s="154">
        <v>0.0</v>
      </c>
      <c r="AH60" s="153">
        <v>0.0</v>
      </c>
      <c r="AI60" s="153">
        <v>0.0</v>
      </c>
      <c r="AJ60" s="153">
        <v>0.0</v>
      </c>
      <c r="AK60" s="153">
        <v>0.0</v>
      </c>
      <c r="AL60" s="153">
        <v>0.0</v>
      </c>
      <c r="AM60" s="153">
        <v>0.25</v>
      </c>
      <c r="AN60" s="156">
        <v>0.0</v>
      </c>
      <c r="AO60" s="153">
        <v>0.0</v>
      </c>
      <c r="AP60" s="153">
        <v>0.0</v>
      </c>
      <c r="AQ60" s="154">
        <v>0.0</v>
      </c>
      <c r="AR60" s="153">
        <v>0.0</v>
      </c>
      <c r="AS60" s="153">
        <v>0.0</v>
      </c>
      <c r="AT60" s="153">
        <v>0.0</v>
      </c>
      <c r="AU60" s="153">
        <v>0.0</v>
      </c>
      <c r="AV60" s="153">
        <v>0.0</v>
      </c>
      <c r="AW60" s="153">
        <v>0.25</v>
      </c>
      <c r="AX60" s="156">
        <v>0.0</v>
      </c>
      <c r="AY60" s="153">
        <v>0.0</v>
      </c>
      <c r="AZ60" s="153">
        <v>0.0</v>
      </c>
      <c r="BA60" s="154">
        <v>0.75</v>
      </c>
      <c r="BB60" s="153">
        <v>1.0</v>
      </c>
      <c r="BC60" s="153">
        <v>0.8333333333333334</v>
      </c>
      <c r="BD60" s="153">
        <v>0.75</v>
      </c>
      <c r="BE60" s="153">
        <v>0.8</v>
      </c>
      <c r="BF60" s="153">
        <v>0.8333333333333334</v>
      </c>
      <c r="BG60" s="153">
        <v>1.0</v>
      </c>
      <c r="BH60" s="155">
        <v>0.0</v>
      </c>
      <c r="BI60" s="153">
        <v>0.75</v>
      </c>
      <c r="BJ60" s="153">
        <v>0.8333333333333334</v>
      </c>
      <c r="BK60" s="154">
        <v>0.0</v>
      </c>
      <c r="BL60" s="153">
        <v>0.0</v>
      </c>
      <c r="BM60" s="153">
        <v>0.0</v>
      </c>
      <c r="BN60" s="153">
        <v>0.0</v>
      </c>
      <c r="BO60" s="153">
        <v>0.0</v>
      </c>
      <c r="BP60" s="153">
        <v>0.0</v>
      </c>
      <c r="BQ60" s="153">
        <v>0.0</v>
      </c>
      <c r="BR60" s="156">
        <v>0.0</v>
      </c>
      <c r="BS60" s="153">
        <v>0.0</v>
      </c>
      <c r="BT60" s="153">
        <v>0.0</v>
      </c>
      <c r="BU60" s="154">
        <v>0.0</v>
      </c>
      <c r="BV60" s="153">
        <v>0.0</v>
      </c>
      <c r="BW60" s="153">
        <v>0.0</v>
      </c>
      <c r="BX60" s="153">
        <v>0.0</v>
      </c>
      <c r="BY60" s="153">
        <v>0.0</v>
      </c>
      <c r="BZ60" s="153">
        <v>0.0</v>
      </c>
      <c r="CA60" s="153">
        <v>0.0</v>
      </c>
      <c r="CB60" s="156">
        <v>0.0</v>
      </c>
      <c r="CC60" s="153">
        <v>0.0</v>
      </c>
      <c r="CD60" s="153">
        <v>0.0</v>
      </c>
      <c r="CE60" s="154">
        <v>0.0</v>
      </c>
      <c r="CF60" s="153">
        <v>0.0</v>
      </c>
      <c r="CG60" s="153">
        <v>0.0</v>
      </c>
      <c r="CH60" s="153">
        <v>0.0</v>
      </c>
      <c r="CI60" s="153">
        <v>0.0</v>
      </c>
      <c r="CJ60" s="153">
        <v>0.0</v>
      </c>
      <c r="CK60" s="153">
        <v>0.0</v>
      </c>
      <c r="CL60" s="156">
        <v>0.0</v>
      </c>
      <c r="CM60" s="153">
        <v>0.0</v>
      </c>
      <c r="CN60" s="153">
        <v>0.0</v>
      </c>
      <c r="CO60" s="154">
        <v>0.0</v>
      </c>
      <c r="CP60" s="153">
        <v>0.0</v>
      </c>
      <c r="CQ60" s="153">
        <v>0.0</v>
      </c>
      <c r="CR60" s="153">
        <v>0.0</v>
      </c>
      <c r="CS60" s="153">
        <v>0.0</v>
      </c>
      <c r="CT60" s="153">
        <v>0.0</v>
      </c>
      <c r="CU60" s="153">
        <v>0.0</v>
      </c>
      <c r="CV60" s="156">
        <v>0.0</v>
      </c>
      <c r="CW60" s="153">
        <v>0.0</v>
      </c>
      <c r="CX60" s="153">
        <v>0.0</v>
      </c>
    </row>
    <row r="61" ht="35.25" customHeight="1">
      <c r="B61" s="167" t="s">
        <v>3003</v>
      </c>
      <c r="C61" s="154">
        <v>0.0</v>
      </c>
      <c r="D61" s="153">
        <v>0.0</v>
      </c>
      <c r="E61" s="153">
        <v>0.0</v>
      </c>
      <c r="F61" s="153">
        <v>0.0</v>
      </c>
      <c r="G61" s="153">
        <v>0.0</v>
      </c>
      <c r="H61" s="153">
        <v>0.0</v>
      </c>
      <c r="I61" s="153">
        <v>0.0</v>
      </c>
      <c r="J61" s="153">
        <v>0.0</v>
      </c>
      <c r="K61" s="156">
        <v>0.0</v>
      </c>
      <c r="L61" s="153">
        <v>0.0</v>
      </c>
      <c r="M61" s="154">
        <v>0.0</v>
      </c>
      <c r="N61" s="153">
        <v>0.0</v>
      </c>
      <c r="O61" s="153">
        <v>0.0</v>
      </c>
      <c r="P61" s="153">
        <v>0.0</v>
      </c>
      <c r="Q61" s="153">
        <v>0.0</v>
      </c>
      <c r="R61" s="153">
        <v>0.0</v>
      </c>
      <c r="S61" s="153">
        <v>0.0</v>
      </c>
      <c r="T61" s="153">
        <v>0.0</v>
      </c>
      <c r="U61" s="156">
        <v>0.0</v>
      </c>
      <c r="V61" s="153">
        <v>0.0</v>
      </c>
      <c r="W61" s="154">
        <v>0.0</v>
      </c>
      <c r="X61" s="153">
        <v>0.0</v>
      </c>
      <c r="Y61" s="153">
        <v>0.0</v>
      </c>
      <c r="Z61" s="153">
        <v>0.0</v>
      </c>
      <c r="AA61" s="153">
        <v>0.0</v>
      </c>
      <c r="AB61" s="153">
        <v>0.0</v>
      </c>
      <c r="AC61" s="153">
        <v>0.0</v>
      </c>
      <c r="AD61" s="153">
        <v>0.0</v>
      </c>
      <c r="AE61" s="156">
        <v>0.0</v>
      </c>
      <c r="AF61" s="153">
        <v>0.0</v>
      </c>
      <c r="AG61" s="154">
        <v>0.0</v>
      </c>
      <c r="AH61" s="153">
        <v>0.0</v>
      </c>
      <c r="AI61" s="153">
        <v>0.0</v>
      </c>
      <c r="AJ61" s="153">
        <v>0.0</v>
      </c>
      <c r="AK61" s="153">
        <v>0.0</v>
      </c>
      <c r="AL61" s="153">
        <v>0.25</v>
      </c>
      <c r="AM61" s="153">
        <v>0.25</v>
      </c>
      <c r="AN61" s="153">
        <v>0.0</v>
      </c>
      <c r="AO61" s="156">
        <v>0.0</v>
      </c>
      <c r="AP61" s="153">
        <v>0.0</v>
      </c>
      <c r="AQ61" s="154">
        <v>0.0</v>
      </c>
      <c r="AR61" s="153">
        <v>0.0</v>
      </c>
      <c r="AS61" s="153">
        <v>0.0</v>
      </c>
      <c r="AT61" s="153">
        <v>0.0</v>
      </c>
      <c r="AU61" s="153">
        <v>0.0</v>
      </c>
      <c r="AV61" s="153">
        <v>0.0</v>
      </c>
      <c r="AW61" s="153">
        <v>0.0</v>
      </c>
      <c r="AX61" s="153">
        <v>0.0</v>
      </c>
      <c r="AY61" s="156">
        <v>0.0</v>
      </c>
      <c r="AZ61" s="153">
        <v>0.0</v>
      </c>
      <c r="BA61" s="154">
        <v>0.8</v>
      </c>
      <c r="BB61" s="153">
        <v>1.0</v>
      </c>
      <c r="BC61" s="153">
        <v>1.0</v>
      </c>
      <c r="BD61" s="153">
        <v>0.8333333333333334</v>
      </c>
      <c r="BE61" s="153">
        <v>0.8333333333333334</v>
      </c>
      <c r="BF61" s="153">
        <v>0.75</v>
      </c>
      <c r="BG61" s="153">
        <v>0.75</v>
      </c>
      <c r="BH61" s="153">
        <v>0.75</v>
      </c>
      <c r="BI61" s="155">
        <v>0.0</v>
      </c>
      <c r="BJ61" s="153">
        <v>0.8333333333333334</v>
      </c>
      <c r="BK61" s="154">
        <v>0.0</v>
      </c>
      <c r="BL61" s="153">
        <v>0.0</v>
      </c>
      <c r="BM61" s="153">
        <v>0.0</v>
      </c>
      <c r="BN61" s="153">
        <v>0.0</v>
      </c>
      <c r="BO61" s="153">
        <v>0.0</v>
      </c>
      <c r="BP61" s="153">
        <v>0.0</v>
      </c>
      <c r="BQ61" s="153">
        <v>0.0</v>
      </c>
      <c r="BR61" s="153">
        <v>0.0</v>
      </c>
      <c r="BS61" s="156">
        <v>0.0</v>
      </c>
      <c r="BT61" s="153">
        <v>0.0</v>
      </c>
      <c r="BU61" s="154">
        <v>0.0</v>
      </c>
      <c r="BV61" s="153">
        <v>0.0</v>
      </c>
      <c r="BW61" s="153">
        <v>0.0</v>
      </c>
      <c r="BX61" s="153">
        <v>0.0</v>
      </c>
      <c r="BY61" s="153">
        <v>0.0</v>
      </c>
      <c r="BZ61" s="153">
        <v>0.0</v>
      </c>
      <c r="CA61" s="153">
        <v>0.0</v>
      </c>
      <c r="CB61" s="153">
        <v>0.0</v>
      </c>
      <c r="CC61" s="156">
        <v>0.0</v>
      </c>
      <c r="CD61" s="153">
        <v>0.0</v>
      </c>
      <c r="CE61" s="154">
        <v>0.0</v>
      </c>
      <c r="CF61" s="153">
        <v>0.0</v>
      </c>
      <c r="CG61" s="153">
        <v>0.0</v>
      </c>
      <c r="CH61" s="153">
        <v>0.0</v>
      </c>
      <c r="CI61" s="153">
        <v>0.0</v>
      </c>
      <c r="CJ61" s="153">
        <v>0.0</v>
      </c>
      <c r="CK61" s="153">
        <v>0.0</v>
      </c>
      <c r="CL61" s="153">
        <v>0.0</v>
      </c>
      <c r="CM61" s="156">
        <v>0.0</v>
      </c>
      <c r="CN61" s="153">
        <v>0.0</v>
      </c>
      <c r="CO61" s="154">
        <v>0.0</v>
      </c>
      <c r="CP61" s="153">
        <v>0.0</v>
      </c>
      <c r="CQ61" s="153">
        <v>0.0</v>
      </c>
      <c r="CR61" s="153">
        <v>0.0</v>
      </c>
      <c r="CS61" s="153">
        <v>0.0</v>
      </c>
      <c r="CT61" s="153">
        <v>0.0</v>
      </c>
      <c r="CU61" s="153">
        <v>0.0</v>
      </c>
      <c r="CV61" s="153">
        <v>0.0</v>
      </c>
      <c r="CW61" s="156">
        <v>0.0</v>
      </c>
      <c r="CX61" s="153">
        <v>0.0</v>
      </c>
    </row>
    <row r="62" ht="35.25" customHeight="1">
      <c r="A62" s="125"/>
      <c r="B62" s="168" t="s">
        <v>3004</v>
      </c>
      <c r="C62" s="157">
        <v>0.25</v>
      </c>
      <c r="D62" s="158">
        <v>0.0</v>
      </c>
      <c r="E62" s="158">
        <v>0.0</v>
      </c>
      <c r="F62" s="158">
        <v>0.0</v>
      </c>
      <c r="G62" s="158">
        <v>0.25</v>
      </c>
      <c r="H62" s="158">
        <v>0.25</v>
      </c>
      <c r="I62" s="158">
        <v>0.0</v>
      </c>
      <c r="J62" s="158">
        <v>0.16666666666666666</v>
      </c>
      <c r="K62" s="158">
        <v>0.0</v>
      </c>
      <c r="L62" s="160">
        <v>0.14285714285714285</v>
      </c>
      <c r="M62" s="157">
        <v>0.0</v>
      </c>
      <c r="N62" s="158">
        <v>0.0</v>
      </c>
      <c r="O62" s="158">
        <v>0.0</v>
      </c>
      <c r="P62" s="158">
        <v>0.0</v>
      </c>
      <c r="Q62" s="158">
        <v>0.0</v>
      </c>
      <c r="R62" s="158">
        <v>0.0</v>
      </c>
      <c r="S62" s="158">
        <v>0.0</v>
      </c>
      <c r="T62" s="158">
        <v>0.0</v>
      </c>
      <c r="U62" s="158">
        <v>0.0</v>
      </c>
      <c r="V62" s="160">
        <v>0.0</v>
      </c>
      <c r="W62" s="157">
        <v>0.0</v>
      </c>
      <c r="X62" s="158">
        <v>0.0</v>
      </c>
      <c r="Y62" s="158">
        <v>0.0</v>
      </c>
      <c r="Z62" s="158">
        <v>0.0</v>
      </c>
      <c r="AA62" s="158">
        <v>0.0</v>
      </c>
      <c r="AB62" s="158">
        <v>0.0</v>
      </c>
      <c r="AC62" s="158">
        <v>0.0</v>
      </c>
      <c r="AD62" s="158">
        <v>0.0</v>
      </c>
      <c r="AE62" s="158">
        <v>0.0</v>
      </c>
      <c r="AF62" s="160">
        <v>0.0</v>
      </c>
      <c r="AG62" s="157">
        <v>0.0</v>
      </c>
      <c r="AH62" s="158">
        <v>0.0</v>
      </c>
      <c r="AI62" s="158">
        <v>0.0</v>
      </c>
      <c r="AJ62" s="158">
        <v>0.0</v>
      </c>
      <c r="AK62" s="158">
        <v>0.0</v>
      </c>
      <c r="AL62" s="158">
        <v>0.0</v>
      </c>
      <c r="AM62" s="158">
        <v>0.25</v>
      </c>
      <c r="AN62" s="158">
        <v>0.0</v>
      </c>
      <c r="AO62" s="158">
        <v>0.0</v>
      </c>
      <c r="AP62" s="160">
        <v>0.0</v>
      </c>
      <c r="AQ62" s="157">
        <v>0.0</v>
      </c>
      <c r="AR62" s="158">
        <v>0.0</v>
      </c>
      <c r="AS62" s="158">
        <v>0.0</v>
      </c>
      <c r="AT62" s="158">
        <v>0.0</v>
      </c>
      <c r="AU62" s="158">
        <v>0.0</v>
      </c>
      <c r="AV62" s="158">
        <v>0.0</v>
      </c>
      <c r="AW62" s="158">
        <v>0.25</v>
      </c>
      <c r="AX62" s="158">
        <v>0.0</v>
      </c>
      <c r="AY62" s="158">
        <v>0.0</v>
      </c>
      <c r="AZ62" s="160">
        <v>0.0</v>
      </c>
      <c r="BA62" s="157">
        <v>0.75</v>
      </c>
      <c r="BB62" s="158">
        <v>0.75</v>
      </c>
      <c r="BC62" s="158">
        <v>1.0</v>
      </c>
      <c r="BD62" s="158">
        <v>0.5</v>
      </c>
      <c r="BE62" s="158">
        <v>0.75</v>
      </c>
      <c r="BF62" s="158">
        <v>0.75</v>
      </c>
      <c r="BG62" s="158">
        <v>0.75</v>
      </c>
      <c r="BH62" s="158">
        <v>0.8333333333333334</v>
      </c>
      <c r="BI62" s="158">
        <v>0.8333333333333334</v>
      </c>
      <c r="BJ62" s="159">
        <v>0.0</v>
      </c>
      <c r="BK62" s="157">
        <v>0.0</v>
      </c>
      <c r="BL62" s="158">
        <v>0.25</v>
      </c>
      <c r="BM62" s="158">
        <v>0.16666666666666666</v>
      </c>
      <c r="BN62" s="158">
        <v>0.0</v>
      </c>
      <c r="BO62" s="158">
        <v>0.0</v>
      </c>
      <c r="BP62" s="158">
        <v>0.0</v>
      </c>
      <c r="BQ62" s="158">
        <v>0.25</v>
      </c>
      <c r="BR62" s="158">
        <v>0.0</v>
      </c>
      <c r="BS62" s="158">
        <v>0.0</v>
      </c>
      <c r="BT62" s="160">
        <v>0.07142857142857142</v>
      </c>
      <c r="BU62" s="157">
        <v>0.0</v>
      </c>
      <c r="BV62" s="158">
        <v>0.0</v>
      </c>
      <c r="BW62" s="158">
        <v>0.0</v>
      </c>
      <c r="BX62" s="158">
        <v>0.0</v>
      </c>
      <c r="BY62" s="158">
        <v>0.0</v>
      </c>
      <c r="BZ62" s="158">
        <v>0.0</v>
      </c>
      <c r="CA62" s="158">
        <v>0.0</v>
      </c>
      <c r="CB62" s="158">
        <v>0.0</v>
      </c>
      <c r="CC62" s="158">
        <v>0.0</v>
      </c>
      <c r="CD62" s="160">
        <v>0.0</v>
      </c>
      <c r="CE62" s="157">
        <v>0.0</v>
      </c>
      <c r="CF62" s="158">
        <v>0.0</v>
      </c>
      <c r="CG62" s="158">
        <v>0.0</v>
      </c>
      <c r="CH62" s="158">
        <v>0.0</v>
      </c>
      <c r="CI62" s="158">
        <v>0.0</v>
      </c>
      <c r="CJ62" s="158">
        <v>0.0</v>
      </c>
      <c r="CK62" s="158">
        <v>0.0</v>
      </c>
      <c r="CL62" s="158">
        <v>0.0</v>
      </c>
      <c r="CM62" s="158">
        <v>0.0</v>
      </c>
      <c r="CN62" s="160">
        <v>0.0</v>
      </c>
      <c r="CO62" s="157">
        <v>0.0</v>
      </c>
      <c r="CP62" s="158">
        <v>0.0</v>
      </c>
      <c r="CQ62" s="158">
        <v>0.0</v>
      </c>
      <c r="CR62" s="158">
        <v>0.0</v>
      </c>
      <c r="CS62" s="158">
        <v>0.0</v>
      </c>
      <c r="CT62" s="158">
        <v>0.0</v>
      </c>
      <c r="CU62" s="158">
        <v>0.0</v>
      </c>
      <c r="CV62" s="158">
        <v>0.0</v>
      </c>
      <c r="CW62" s="158">
        <v>0.0</v>
      </c>
      <c r="CX62" s="160">
        <v>0.0</v>
      </c>
    </row>
    <row r="63" ht="35.25" customHeight="1">
      <c r="A63" s="138" t="s">
        <v>2941</v>
      </c>
      <c r="B63" s="167" t="s">
        <v>3005</v>
      </c>
      <c r="C63" s="154">
        <v>0.0</v>
      </c>
      <c r="D63" s="153">
        <v>0.0</v>
      </c>
      <c r="E63" s="153">
        <v>0.0</v>
      </c>
      <c r="F63" s="153">
        <v>0.0</v>
      </c>
      <c r="G63" s="153">
        <v>0.0</v>
      </c>
      <c r="H63" s="153">
        <v>0.0</v>
      </c>
      <c r="I63" s="153">
        <v>0.0</v>
      </c>
      <c r="J63" s="153">
        <v>0.0</v>
      </c>
      <c r="K63" s="153">
        <v>0.0</v>
      </c>
      <c r="L63" s="153">
        <v>0.0</v>
      </c>
      <c r="M63" s="154">
        <v>0.0</v>
      </c>
      <c r="N63" s="153">
        <v>0.0</v>
      </c>
      <c r="O63" s="153">
        <v>0.0</v>
      </c>
      <c r="P63" s="153">
        <v>0.0</v>
      </c>
      <c r="Q63" s="153">
        <v>0.0</v>
      </c>
      <c r="R63" s="153">
        <v>0.0</v>
      </c>
      <c r="S63" s="153">
        <v>0.0</v>
      </c>
      <c r="T63" s="153">
        <v>0.0</v>
      </c>
      <c r="U63" s="153">
        <v>0.0</v>
      </c>
      <c r="V63" s="153">
        <v>0.0</v>
      </c>
      <c r="W63" s="154">
        <v>0.0</v>
      </c>
      <c r="X63" s="153">
        <v>0.0</v>
      </c>
      <c r="Y63" s="153">
        <v>0.0</v>
      </c>
      <c r="Z63" s="153">
        <v>0.0</v>
      </c>
      <c r="AA63" s="153">
        <v>0.0</v>
      </c>
      <c r="AB63" s="153">
        <v>0.0</v>
      </c>
      <c r="AC63" s="153">
        <v>0.0</v>
      </c>
      <c r="AD63" s="153">
        <v>0.0</v>
      </c>
      <c r="AE63" s="153">
        <v>0.0</v>
      </c>
      <c r="AF63" s="153">
        <v>0.0</v>
      </c>
      <c r="AG63" s="154">
        <v>0.0</v>
      </c>
      <c r="AH63" s="153">
        <v>0.0</v>
      </c>
      <c r="AI63" s="153">
        <v>0.0</v>
      </c>
      <c r="AJ63" s="153">
        <v>0.0</v>
      </c>
      <c r="AK63" s="153">
        <v>0.0</v>
      </c>
      <c r="AL63" s="153">
        <v>0.0</v>
      </c>
      <c r="AM63" s="153">
        <v>0.0</v>
      </c>
      <c r="AN63" s="153">
        <v>0.0</v>
      </c>
      <c r="AO63" s="153">
        <v>0.0</v>
      </c>
      <c r="AP63" s="153">
        <v>0.0</v>
      </c>
      <c r="AQ63" s="154">
        <v>0.0</v>
      </c>
      <c r="AR63" s="153">
        <v>0.0</v>
      </c>
      <c r="AS63" s="153">
        <v>0.0</v>
      </c>
      <c r="AT63" s="153">
        <v>0.0</v>
      </c>
      <c r="AU63" s="153">
        <v>0.0</v>
      </c>
      <c r="AV63" s="153">
        <v>0.0</v>
      </c>
      <c r="AW63" s="153">
        <v>0.0</v>
      </c>
      <c r="AX63" s="153">
        <v>0.0</v>
      </c>
      <c r="AY63" s="153">
        <v>0.0</v>
      </c>
      <c r="AZ63" s="153">
        <v>0.0</v>
      </c>
      <c r="BA63" s="154">
        <v>0.0</v>
      </c>
      <c r="BB63" s="153">
        <v>0.0</v>
      </c>
      <c r="BC63" s="153">
        <v>0.0</v>
      </c>
      <c r="BD63" s="153">
        <v>0.0</v>
      </c>
      <c r="BE63" s="153">
        <v>0.0</v>
      </c>
      <c r="BF63" s="153">
        <v>0.0</v>
      </c>
      <c r="BG63" s="153">
        <v>0.0</v>
      </c>
      <c r="BH63" s="153">
        <v>0.0</v>
      </c>
      <c r="BI63" s="153">
        <v>0.0</v>
      </c>
      <c r="BJ63" s="153">
        <v>0.0</v>
      </c>
      <c r="BK63" s="152">
        <v>0.0</v>
      </c>
      <c r="BL63" s="153">
        <v>1.0</v>
      </c>
      <c r="BM63" s="153">
        <v>0.25</v>
      </c>
      <c r="BN63" s="153">
        <v>0.5</v>
      </c>
      <c r="BO63" s="153">
        <v>0.8</v>
      </c>
      <c r="BP63" s="153">
        <v>0.8</v>
      </c>
      <c r="BQ63" s="153">
        <v>0.75</v>
      </c>
      <c r="BR63" s="153">
        <v>0.75</v>
      </c>
      <c r="BS63" s="153">
        <v>0.9</v>
      </c>
      <c r="BT63" s="153">
        <v>1.0</v>
      </c>
      <c r="BU63" s="154">
        <v>0.05555555555555555</v>
      </c>
      <c r="BV63" s="153">
        <v>0.0</v>
      </c>
      <c r="BW63" s="153">
        <v>0.0</v>
      </c>
      <c r="BX63" s="153">
        <v>0.0</v>
      </c>
      <c r="BY63" s="153">
        <v>0.0</v>
      </c>
      <c r="BZ63" s="153">
        <v>0.0</v>
      </c>
      <c r="CA63" s="153">
        <v>0.0</v>
      </c>
      <c r="CB63" s="153">
        <v>0.0</v>
      </c>
      <c r="CC63" s="153">
        <v>0.0</v>
      </c>
      <c r="CD63" s="153">
        <v>0.0</v>
      </c>
      <c r="CE63" s="154">
        <v>0.0</v>
      </c>
      <c r="CF63" s="153">
        <v>0.0</v>
      </c>
      <c r="CG63" s="153">
        <v>0.0</v>
      </c>
      <c r="CH63" s="153">
        <v>0.0</v>
      </c>
      <c r="CI63" s="153">
        <v>0.0</v>
      </c>
      <c r="CJ63" s="153">
        <v>0.0</v>
      </c>
      <c r="CK63" s="153">
        <v>0.0</v>
      </c>
      <c r="CL63" s="153">
        <v>0.0</v>
      </c>
      <c r="CM63" s="153">
        <v>0.0</v>
      </c>
      <c r="CN63" s="153">
        <v>0.0</v>
      </c>
      <c r="CO63" s="154">
        <v>0.0</v>
      </c>
      <c r="CP63" s="153">
        <v>0.0</v>
      </c>
      <c r="CQ63" s="153">
        <v>0.0</v>
      </c>
      <c r="CR63" s="153">
        <v>0.0</v>
      </c>
      <c r="CS63" s="153">
        <v>0.0</v>
      </c>
      <c r="CT63" s="153">
        <v>0.0</v>
      </c>
      <c r="CU63" s="153">
        <v>0.0</v>
      </c>
      <c r="CV63" s="153">
        <v>0.0</v>
      </c>
      <c r="CW63" s="153">
        <v>0.0</v>
      </c>
      <c r="CX63" s="153">
        <v>0.0</v>
      </c>
    </row>
    <row r="64" ht="35.25" customHeight="1">
      <c r="B64" s="167" t="s">
        <v>3006</v>
      </c>
      <c r="C64" s="154">
        <v>0.0</v>
      </c>
      <c r="D64" s="156">
        <v>0.0</v>
      </c>
      <c r="E64" s="153">
        <v>0.0</v>
      </c>
      <c r="F64" s="153">
        <v>0.0</v>
      </c>
      <c r="G64" s="153">
        <v>0.0</v>
      </c>
      <c r="H64" s="153">
        <v>0.0</v>
      </c>
      <c r="I64" s="153">
        <v>0.0</v>
      </c>
      <c r="J64" s="153">
        <v>0.0</v>
      </c>
      <c r="K64" s="153">
        <v>0.0</v>
      </c>
      <c r="L64" s="153">
        <v>0.0</v>
      </c>
      <c r="M64" s="154">
        <v>0.0</v>
      </c>
      <c r="N64" s="156">
        <v>0.0</v>
      </c>
      <c r="O64" s="153">
        <v>0.0</v>
      </c>
      <c r="P64" s="153">
        <v>0.0</v>
      </c>
      <c r="Q64" s="153">
        <v>0.0</v>
      </c>
      <c r="R64" s="153">
        <v>0.0</v>
      </c>
      <c r="S64" s="153">
        <v>0.0</v>
      </c>
      <c r="T64" s="153">
        <v>0.0</v>
      </c>
      <c r="U64" s="153">
        <v>0.0</v>
      </c>
      <c r="V64" s="153">
        <v>0.0</v>
      </c>
      <c r="W64" s="154">
        <v>0.0</v>
      </c>
      <c r="X64" s="156">
        <v>0.0</v>
      </c>
      <c r="Y64" s="153">
        <v>0.0</v>
      </c>
      <c r="Z64" s="153">
        <v>0.0</v>
      </c>
      <c r="AA64" s="153">
        <v>0.0</v>
      </c>
      <c r="AB64" s="153">
        <v>0.0</v>
      </c>
      <c r="AC64" s="153">
        <v>0.0</v>
      </c>
      <c r="AD64" s="153">
        <v>0.0</v>
      </c>
      <c r="AE64" s="153">
        <v>0.0</v>
      </c>
      <c r="AF64" s="153">
        <v>0.0</v>
      </c>
      <c r="AG64" s="154">
        <v>0.0</v>
      </c>
      <c r="AH64" s="156">
        <v>0.0</v>
      </c>
      <c r="AI64" s="153">
        <v>0.0</v>
      </c>
      <c r="AJ64" s="153">
        <v>0.0</v>
      </c>
      <c r="AK64" s="153">
        <v>0.0</v>
      </c>
      <c r="AL64" s="153">
        <v>0.0</v>
      </c>
      <c r="AM64" s="153">
        <v>0.0</v>
      </c>
      <c r="AN64" s="153">
        <v>0.0</v>
      </c>
      <c r="AO64" s="153">
        <v>0.0</v>
      </c>
      <c r="AP64" s="153">
        <v>0.0</v>
      </c>
      <c r="AQ64" s="154">
        <v>0.0</v>
      </c>
      <c r="AR64" s="156">
        <v>0.0</v>
      </c>
      <c r="AS64" s="153">
        <v>0.0</v>
      </c>
      <c r="AT64" s="153">
        <v>0.0</v>
      </c>
      <c r="AU64" s="153">
        <v>0.0</v>
      </c>
      <c r="AV64" s="153">
        <v>0.0</v>
      </c>
      <c r="AW64" s="153">
        <v>0.0</v>
      </c>
      <c r="AX64" s="153">
        <v>0.0</v>
      </c>
      <c r="AY64" s="153">
        <v>0.0</v>
      </c>
      <c r="AZ64" s="153">
        <v>0.0</v>
      </c>
      <c r="BA64" s="154">
        <v>0.0</v>
      </c>
      <c r="BB64" s="156">
        <v>0.0</v>
      </c>
      <c r="BC64" s="153">
        <v>0.25</v>
      </c>
      <c r="BD64" s="153">
        <v>0.0</v>
      </c>
      <c r="BE64" s="153">
        <v>0.0</v>
      </c>
      <c r="BF64" s="153">
        <v>0.0</v>
      </c>
      <c r="BG64" s="153">
        <v>0.0</v>
      </c>
      <c r="BH64" s="153">
        <v>0.0</v>
      </c>
      <c r="BI64" s="153">
        <v>0.0</v>
      </c>
      <c r="BJ64" s="153">
        <v>0.25</v>
      </c>
      <c r="BK64" s="154">
        <v>1.0</v>
      </c>
      <c r="BL64" s="155">
        <v>0.0</v>
      </c>
      <c r="BM64" s="153">
        <v>1.0</v>
      </c>
      <c r="BN64" s="153">
        <v>1.0</v>
      </c>
      <c r="BO64" s="153">
        <v>1.0</v>
      </c>
      <c r="BP64" s="153">
        <v>1.0</v>
      </c>
      <c r="BQ64" s="153">
        <v>1.0</v>
      </c>
      <c r="BR64" s="153">
        <v>1.0</v>
      </c>
      <c r="BS64" s="153">
        <v>1.0</v>
      </c>
      <c r="BT64" s="153">
        <v>1.0</v>
      </c>
      <c r="BU64" s="154">
        <v>0.0</v>
      </c>
      <c r="BV64" s="156">
        <v>0.0</v>
      </c>
      <c r="BW64" s="153">
        <v>0.0</v>
      </c>
      <c r="BX64" s="153">
        <v>0.0</v>
      </c>
      <c r="BY64" s="153">
        <v>0.0</v>
      </c>
      <c r="BZ64" s="153">
        <v>0.0</v>
      </c>
      <c r="CA64" s="153">
        <v>0.0</v>
      </c>
      <c r="CB64" s="153">
        <v>0.0</v>
      </c>
      <c r="CC64" s="153">
        <v>0.0</v>
      </c>
      <c r="CD64" s="153">
        <v>0.0</v>
      </c>
      <c r="CE64" s="154">
        <v>0.0</v>
      </c>
      <c r="CF64" s="156">
        <v>0.0</v>
      </c>
      <c r="CG64" s="153">
        <v>0.0</v>
      </c>
      <c r="CH64" s="153">
        <v>0.0</v>
      </c>
      <c r="CI64" s="153">
        <v>0.0</v>
      </c>
      <c r="CJ64" s="153">
        <v>0.0</v>
      </c>
      <c r="CK64" s="153">
        <v>0.0</v>
      </c>
      <c r="CL64" s="153">
        <v>0.0</v>
      </c>
      <c r="CM64" s="153">
        <v>0.0</v>
      </c>
      <c r="CN64" s="153">
        <v>0.0</v>
      </c>
      <c r="CO64" s="154">
        <v>0.0</v>
      </c>
      <c r="CP64" s="156">
        <v>0.0</v>
      </c>
      <c r="CQ64" s="153">
        <v>0.0</v>
      </c>
      <c r="CR64" s="153">
        <v>0.0</v>
      </c>
      <c r="CS64" s="153">
        <v>0.0</v>
      </c>
      <c r="CT64" s="153">
        <v>0.0</v>
      </c>
      <c r="CU64" s="153">
        <v>0.0</v>
      </c>
      <c r="CV64" s="153">
        <v>0.0</v>
      </c>
      <c r="CW64" s="153">
        <v>0.0</v>
      </c>
      <c r="CX64" s="153">
        <v>0.0</v>
      </c>
    </row>
    <row r="65" ht="35.25" customHeight="1">
      <c r="B65" s="167" t="s">
        <v>3007</v>
      </c>
      <c r="C65" s="154">
        <v>0.0</v>
      </c>
      <c r="D65" s="153">
        <v>0.0</v>
      </c>
      <c r="E65" s="156">
        <v>0.0</v>
      </c>
      <c r="F65" s="153">
        <v>0.0</v>
      </c>
      <c r="G65" s="153">
        <v>0.0</v>
      </c>
      <c r="H65" s="153">
        <v>0.0</v>
      </c>
      <c r="I65" s="153">
        <v>0.0</v>
      </c>
      <c r="J65" s="153">
        <v>0.0</v>
      </c>
      <c r="K65" s="153">
        <v>0.0</v>
      </c>
      <c r="L65" s="153">
        <v>0.0</v>
      </c>
      <c r="M65" s="154">
        <v>0.0</v>
      </c>
      <c r="N65" s="153">
        <v>0.0</v>
      </c>
      <c r="O65" s="156">
        <v>0.0</v>
      </c>
      <c r="P65" s="153">
        <v>0.0</v>
      </c>
      <c r="Q65" s="153">
        <v>0.0</v>
      </c>
      <c r="R65" s="153">
        <v>0.0</v>
      </c>
      <c r="S65" s="153">
        <v>0.0</v>
      </c>
      <c r="T65" s="153">
        <v>0.0</v>
      </c>
      <c r="U65" s="153">
        <v>0.0</v>
      </c>
      <c r="V65" s="153">
        <v>0.0</v>
      </c>
      <c r="W65" s="154">
        <v>0.0</v>
      </c>
      <c r="X65" s="153">
        <v>0.0</v>
      </c>
      <c r="Y65" s="156">
        <v>0.0</v>
      </c>
      <c r="Z65" s="153">
        <v>0.0</v>
      </c>
      <c r="AA65" s="153">
        <v>0.0</v>
      </c>
      <c r="AB65" s="153">
        <v>0.0</v>
      </c>
      <c r="AC65" s="153">
        <v>0.0</v>
      </c>
      <c r="AD65" s="153">
        <v>0.0</v>
      </c>
      <c r="AE65" s="153">
        <v>0.0</v>
      </c>
      <c r="AF65" s="153">
        <v>0.0</v>
      </c>
      <c r="AG65" s="154">
        <v>0.0</v>
      </c>
      <c r="AH65" s="153">
        <v>0.0</v>
      </c>
      <c r="AI65" s="156">
        <v>0.0</v>
      </c>
      <c r="AJ65" s="153">
        <v>0.0</v>
      </c>
      <c r="AK65" s="153">
        <v>0.0</v>
      </c>
      <c r="AL65" s="153">
        <v>0.0</v>
      </c>
      <c r="AM65" s="153">
        <v>0.0</v>
      </c>
      <c r="AN65" s="153">
        <v>0.0</v>
      </c>
      <c r="AO65" s="153">
        <v>0.0</v>
      </c>
      <c r="AP65" s="153">
        <v>0.0</v>
      </c>
      <c r="AQ65" s="154">
        <v>0.0</v>
      </c>
      <c r="AR65" s="153">
        <v>0.0</v>
      </c>
      <c r="AS65" s="156">
        <v>0.0</v>
      </c>
      <c r="AT65" s="153">
        <v>0.0</v>
      </c>
      <c r="AU65" s="153">
        <v>0.0</v>
      </c>
      <c r="AV65" s="153">
        <v>0.0</v>
      </c>
      <c r="AW65" s="153">
        <v>0.0</v>
      </c>
      <c r="AX65" s="153">
        <v>0.0</v>
      </c>
      <c r="AY65" s="153">
        <v>0.0</v>
      </c>
      <c r="AZ65" s="153">
        <v>0.0</v>
      </c>
      <c r="BA65" s="154">
        <v>0.0</v>
      </c>
      <c r="BB65" s="153">
        <v>0.0</v>
      </c>
      <c r="BC65" s="156">
        <v>0.0625</v>
      </c>
      <c r="BD65" s="153">
        <v>0.0</v>
      </c>
      <c r="BE65" s="153">
        <v>0.0</v>
      </c>
      <c r="BF65" s="153">
        <v>0.0</v>
      </c>
      <c r="BG65" s="153">
        <v>0.0</v>
      </c>
      <c r="BH65" s="153">
        <v>0.0</v>
      </c>
      <c r="BI65" s="153">
        <v>0.0</v>
      </c>
      <c r="BJ65" s="153">
        <v>0.16666666666666666</v>
      </c>
      <c r="BK65" s="154">
        <v>0.25</v>
      </c>
      <c r="BL65" s="153">
        <v>1.0</v>
      </c>
      <c r="BM65" s="155">
        <v>0.0</v>
      </c>
      <c r="BN65" s="153">
        <v>0.75</v>
      </c>
      <c r="BO65" s="153">
        <v>0.75</v>
      </c>
      <c r="BP65" s="153">
        <v>0.5</v>
      </c>
      <c r="BQ65" s="153">
        <v>0.875</v>
      </c>
      <c r="BR65" s="153">
        <v>1.0</v>
      </c>
      <c r="BS65" s="153">
        <v>1.0</v>
      </c>
      <c r="BT65" s="153">
        <v>1.0</v>
      </c>
      <c r="BU65" s="154">
        <v>0.0</v>
      </c>
      <c r="BV65" s="153">
        <v>0.0</v>
      </c>
      <c r="BW65" s="156">
        <v>0.0</v>
      </c>
      <c r="BX65" s="153">
        <v>0.0</v>
      </c>
      <c r="BY65" s="153">
        <v>0.0</v>
      </c>
      <c r="BZ65" s="153">
        <v>0.0</v>
      </c>
      <c r="CA65" s="153">
        <v>0.0</v>
      </c>
      <c r="CB65" s="153">
        <v>0.0</v>
      </c>
      <c r="CC65" s="153">
        <v>0.0</v>
      </c>
      <c r="CD65" s="153">
        <v>0.0</v>
      </c>
      <c r="CE65" s="154">
        <v>0.0</v>
      </c>
      <c r="CF65" s="153">
        <v>0.0</v>
      </c>
      <c r="CG65" s="156">
        <v>0.0</v>
      </c>
      <c r="CH65" s="153">
        <v>0.0</v>
      </c>
      <c r="CI65" s="153">
        <v>0.0</v>
      </c>
      <c r="CJ65" s="153">
        <v>0.0</v>
      </c>
      <c r="CK65" s="153">
        <v>0.0</v>
      </c>
      <c r="CL65" s="153">
        <v>0.0</v>
      </c>
      <c r="CM65" s="153">
        <v>0.0</v>
      </c>
      <c r="CN65" s="153">
        <v>0.0</v>
      </c>
      <c r="CO65" s="154">
        <v>0.0</v>
      </c>
      <c r="CP65" s="153">
        <v>0.0</v>
      </c>
      <c r="CQ65" s="156">
        <v>0.0</v>
      </c>
      <c r="CR65" s="153">
        <v>0.0</v>
      </c>
      <c r="CS65" s="153">
        <v>0.0</v>
      </c>
      <c r="CT65" s="153">
        <v>0.0</v>
      </c>
      <c r="CU65" s="153">
        <v>0.0</v>
      </c>
      <c r="CV65" s="153">
        <v>0.0</v>
      </c>
      <c r="CW65" s="153">
        <v>0.0</v>
      </c>
      <c r="CX65" s="153">
        <v>0.0</v>
      </c>
    </row>
    <row r="66" ht="35.25" customHeight="1">
      <c r="B66" s="167" t="s">
        <v>3008</v>
      </c>
      <c r="C66" s="154">
        <v>0.0</v>
      </c>
      <c r="D66" s="153">
        <v>0.0</v>
      </c>
      <c r="E66" s="153">
        <v>0.0</v>
      </c>
      <c r="F66" s="156">
        <v>0.0</v>
      </c>
      <c r="G66" s="153">
        <v>0.0</v>
      </c>
      <c r="H66" s="153">
        <v>0.0</v>
      </c>
      <c r="I66" s="153">
        <v>0.0</v>
      </c>
      <c r="J66" s="153">
        <v>0.0</v>
      </c>
      <c r="K66" s="153">
        <v>0.0</v>
      </c>
      <c r="L66" s="153">
        <v>0.0</v>
      </c>
      <c r="M66" s="154">
        <v>0.0</v>
      </c>
      <c r="N66" s="153">
        <v>0.0</v>
      </c>
      <c r="O66" s="153">
        <v>0.0</v>
      </c>
      <c r="P66" s="156">
        <v>0.0</v>
      </c>
      <c r="Q66" s="153">
        <v>0.0</v>
      </c>
      <c r="R66" s="153">
        <v>0.0</v>
      </c>
      <c r="S66" s="153">
        <v>0.0</v>
      </c>
      <c r="T66" s="153">
        <v>0.0</v>
      </c>
      <c r="U66" s="153">
        <v>0.0</v>
      </c>
      <c r="V66" s="153">
        <v>0.0</v>
      </c>
      <c r="W66" s="154">
        <v>0.0</v>
      </c>
      <c r="X66" s="153">
        <v>0.0</v>
      </c>
      <c r="Y66" s="153">
        <v>0.0</v>
      </c>
      <c r="Z66" s="156">
        <v>0.0</v>
      </c>
      <c r="AA66" s="153">
        <v>0.0</v>
      </c>
      <c r="AB66" s="153">
        <v>0.0</v>
      </c>
      <c r="AC66" s="153">
        <v>0.0</v>
      </c>
      <c r="AD66" s="153">
        <v>0.0</v>
      </c>
      <c r="AE66" s="153">
        <v>0.0</v>
      </c>
      <c r="AF66" s="153">
        <v>0.0</v>
      </c>
      <c r="AG66" s="154">
        <v>0.0</v>
      </c>
      <c r="AH66" s="153">
        <v>0.0</v>
      </c>
      <c r="AI66" s="153">
        <v>0.0</v>
      </c>
      <c r="AJ66" s="156">
        <v>0.0</v>
      </c>
      <c r="AK66" s="153">
        <v>0.0</v>
      </c>
      <c r="AL66" s="153">
        <v>0.0</v>
      </c>
      <c r="AM66" s="153">
        <v>0.0</v>
      </c>
      <c r="AN66" s="153">
        <v>0.0</v>
      </c>
      <c r="AO66" s="153">
        <v>0.0</v>
      </c>
      <c r="AP66" s="153">
        <v>0.0</v>
      </c>
      <c r="AQ66" s="154">
        <v>0.0</v>
      </c>
      <c r="AR66" s="153">
        <v>0.0</v>
      </c>
      <c r="AS66" s="153">
        <v>0.0</v>
      </c>
      <c r="AT66" s="156">
        <v>0.0</v>
      </c>
      <c r="AU66" s="153">
        <v>0.0</v>
      </c>
      <c r="AV66" s="153">
        <v>0.0</v>
      </c>
      <c r="AW66" s="153">
        <v>0.0</v>
      </c>
      <c r="AX66" s="153">
        <v>0.0</v>
      </c>
      <c r="AY66" s="153">
        <v>0.0</v>
      </c>
      <c r="AZ66" s="153">
        <v>0.0</v>
      </c>
      <c r="BA66" s="154">
        <v>0.0</v>
      </c>
      <c r="BB66" s="153">
        <v>0.0</v>
      </c>
      <c r="BC66" s="153">
        <v>0.0</v>
      </c>
      <c r="BD66" s="156">
        <v>0.0</v>
      </c>
      <c r="BE66" s="153">
        <v>0.0</v>
      </c>
      <c r="BF66" s="153">
        <v>0.0</v>
      </c>
      <c r="BG66" s="153">
        <v>0.0</v>
      </c>
      <c r="BH66" s="153">
        <v>0.0</v>
      </c>
      <c r="BI66" s="153">
        <v>0.0</v>
      </c>
      <c r="BJ66" s="153">
        <v>0.0</v>
      </c>
      <c r="BK66" s="154">
        <v>0.5</v>
      </c>
      <c r="BL66" s="153">
        <v>1.0</v>
      </c>
      <c r="BM66" s="153">
        <v>0.75</v>
      </c>
      <c r="BN66" s="155">
        <v>0.0</v>
      </c>
      <c r="BO66" s="153">
        <v>1.0</v>
      </c>
      <c r="BP66" s="153">
        <v>0.5</v>
      </c>
      <c r="BQ66" s="153">
        <v>1.0</v>
      </c>
      <c r="BR66" s="153">
        <v>1.0</v>
      </c>
      <c r="BS66" s="153">
        <v>1.0</v>
      </c>
      <c r="BT66" s="153">
        <v>1.0</v>
      </c>
      <c r="BU66" s="154">
        <v>0.0</v>
      </c>
      <c r="BV66" s="153">
        <v>0.0</v>
      </c>
      <c r="BW66" s="153">
        <v>0.0</v>
      </c>
      <c r="BX66" s="156">
        <v>0.0</v>
      </c>
      <c r="BY66" s="153">
        <v>0.0</v>
      </c>
      <c r="BZ66" s="153">
        <v>0.0</v>
      </c>
      <c r="CA66" s="153">
        <v>0.0</v>
      </c>
      <c r="CB66" s="153">
        <v>0.0</v>
      </c>
      <c r="CC66" s="153">
        <v>0.0</v>
      </c>
      <c r="CD66" s="153">
        <v>0.25</v>
      </c>
      <c r="CE66" s="154">
        <v>0.0</v>
      </c>
      <c r="CF66" s="153">
        <v>0.0</v>
      </c>
      <c r="CG66" s="153">
        <v>0.0</v>
      </c>
      <c r="CH66" s="156">
        <v>0.0</v>
      </c>
      <c r="CI66" s="153">
        <v>0.0</v>
      </c>
      <c r="CJ66" s="153">
        <v>0.0</v>
      </c>
      <c r="CK66" s="153">
        <v>0.0</v>
      </c>
      <c r="CL66" s="153">
        <v>0.0</v>
      </c>
      <c r="CM66" s="153">
        <v>0.0</v>
      </c>
      <c r="CN66" s="153">
        <v>0.0</v>
      </c>
      <c r="CO66" s="154">
        <v>0.0</v>
      </c>
      <c r="CP66" s="153">
        <v>0.0</v>
      </c>
      <c r="CQ66" s="153">
        <v>0.0</v>
      </c>
      <c r="CR66" s="156">
        <v>0.0</v>
      </c>
      <c r="CS66" s="153">
        <v>0.0</v>
      </c>
      <c r="CT66" s="153">
        <v>0.0</v>
      </c>
      <c r="CU66" s="153">
        <v>0.0</v>
      </c>
      <c r="CV66" s="153">
        <v>0.0</v>
      </c>
      <c r="CW66" s="153">
        <v>0.0</v>
      </c>
      <c r="CX66" s="153">
        <v>0.0</v>
      </c>
    </row>
    <row r="67" ht="35.25" customHeight="1">
      <c r="B67" s="167" t="s">
        <v>3009</v>
      </c>
      <c r="C67" s="154">
        <v>0.0</v>
      </c>
      <c r="D67" s="153">
        <v>0.0</v>
      </c>
      <c r="E67" s="153">
        <v>0.0</v>
      </c>
      <c r="F67" s="153">
        <v>0.0</v>
      </c>
      <c r="G67" s="156">
        <v>0.0</v>
      </c>
      <c r="H67" s="153">
        <v>0.0</v>
      </c>
      <c r="I67" s="153">
        <v>0.0</v>
      </c>
      <c r="J67" s="153">
        <v>0.0</v>
      </c>
      <c r="K67" s="153">
        <v>0.0</v>
      </c>
      <c r="L67" s="153">
        <v>0.0</v>
      </c>
      <c r="M67" s="154">
        <v>0.0</v>
      </c>
      <c r="N67" s="153">
        <v>0.0</v>
      </c>
      <c r="O67" s="153">
        <v>0.0</v>
      </c>
      <c r="P67" s="153">
        <v>0.0</v>
      </c>
      <c r="Q67" s="156">
        <v>0.0</v>
      </c>
      <c r="R67" s="153">
        <v>0.0</v>
      </c>
      <c r="S67" s="153">
        <v>0.0</v>
      </c>
      <c r="T67" s="153">
        <v>0.0</v>
      </c>
      <c r="U67" s="153">
        <v>0.0</v>
      </c>
      <c r="V67" s="153">
        <v>0.0</v>
      </c>
      <c r="W67" s="154">
        <v>0.0</v>
      </c>
      <c r="X67" s="153">
        <v>0.0</v>
      </c>
      <c r="Y67" s="153">
        <v>0.0</v>
      </c>
      <c r="Z67" s="153">
        <v>0.0</v>
      </c>
      <c r="AA67" s="156">
        <v>0.0</v>
      </c>
      <c r="AB67" s="153">
        <v>0.0</v>
      </c>
      <c r="AC67" s="153">
        <v>0.0</v>
      </c>
      <c r="AD67" s="153">
        <v>0.0</v>
      </c>
      <c r="AE67" s="153">
        <v>0.0</v>
      </c>
      <c r="AF67" s="153">
        <v>0.0</v>
      </c>
      <c r="AG67" s="154">
        <v>0.0</v>
      </c>
      <c r="AH67" s="153">
        <v>0.0</v>
      </c>
      <c r="AI67" s="153">
        <v>0.0</v>
      </c>
      <c r="AJ67" s="153">
        <v>0.0</v>
      </c>
      <c r="AK67" s="156">
        <v>0.0</v>
      </c>
      <c r="AL67" s="153">
        <v>0.0</v>
      </c>
      <c r="AM67" s="153">
        <v>0.0</v>
      </c>
      <c r="AN67" s="153">
        <v>0.0</v>
      </c>
      <c r="AO67" s="153">
        <v>0.0</v>
      </c>
      <c r="AP67" s="153">
        <v>0.0</v>
      </c>
      <c r="AQ67" s="154">
        <v>0.0</v>
      </c>
      <c r="AR67" s="153">
        <v>0.0</v>
      </c>
      <c r="AS67" s="153">
        <v>0.0</v>
      </c>
      <c r="AT67" s="153">
        <v>0.0</v>
      </c>
      <c r="AU67" s="156">
        <v>0.0</v>
      </c>
      <c r="AV67" s="153">
        <v>0.0</v>
      </c>
      <c r="AW67" s="153">
        <v>0.0</v>
      </c>
      <c r="AX67" s="153">
        <v>0.0</v>
      </c>
      <c r="AY67" s="153">
        <v>0.0</v>
      </c>
      <c r="AZ67" s="153">
        <v>0.0</v>
      </c>
      <c r="BA67" s="154">
        <v>0.0</v>
      </c>
      <c r="BB67" s="153">
        <v>0.0</v>
      </c>
      <c r="BC67" s="153">
        <v>0.0</v>
      </c>
      <c r="BD67" s="153">
        <v>0.0</v>
      </c>
      <c r="BE67" s="156">
        <v>0.0</v>
      </c>
      <c r="BF67" s="153">
        <v>0.0</v>
      </c>
      <c r="BG67" s="153">
        <v>0.0</v>
      </c>
      <c r="BH67" s="153">
        <v>0.0</v>
      </c>
      <c r="BI67" s="153">
        <v>0.0</v>
      </c>
      <c r="BJ67" s="153">
        <v>0.0</v>
      </c>
      <c r="BK67" s="154">
        <v>0.8</v>
      </c>
      <c r="BL67" s="153">
        <v>1.0</v>
      </c>
      <c r="BM67" s="153">
        <v>0.75</v>
      </c>
      <c r="BN67" s="153">
        <v>1.0</v>
      </c>
      <c r="BO67" s="155">
        <v>0.0</v>
      </c>
      <c r="BP67" s="153">
        <v>1.0</v>
      </c>
      <c r="BQ67" s="153">
        <v>0.75</v>
      </c>
      <c r="BR67" s="153">
        <v>0.9</v>
      </c>
      <c r="BS67" s="153">
        <v>0.8333333333333334</v>
      </c>
      <c r="BT67" s="153">
        <v>1.0</v>
      </c>
      <c r="BU67" s="154">
        <v>0.0</v>
      </c>
      <c r="BV67" s="153">
        <v>0.0</v>
      </c>
      <c r="BW67" s="153">
        <v>0.0</v>
      </c>
      <c r="BX67" s="153">
        <v>0.0</v>
      </c>
      <c r="BY67" s="156">
        <v>0.0</v>
      </c>
      <c r="BZ67" s="153">
        <v>0.0</v>
      </c>
      <c r="CA67" s="153">
        <v>0.0</v>
      </c>
      <c r="CB67" s="153">
        <v>0.0</v>
      </c>
      <c r="CC67" s="153">
        <v>0.0</v>
      </c>
      <c r="CD67" s="153">
        <v>0.0</v>
      </c>
      <c r="CE67" s="154">
        <v>0.0</v>
      </c>
      <c r="CF67" s="153">
        <v>0.0</v>
      </c>
      <c r="CG67" s="153">
        <v>0.0</v>
      </c>
      <c r="CH67" s="153">
        <v>0.0</v>
      </c>
      <c r="CI67" s="156">
        <v>0.0</v>
      </c>
      <c r="CJ67" s="153">
        <v>0.0</v>
      </c>
      <c r="CK67" s="153">
        <v>0.0</v>
      </c>
      <c r="CL67" s="153">
        <v>0.0</v>
      </c>
      <c r="CM67" s="153">
        <v>0.0</v>
      </c>
      <c r="CN67" s="153">
        <v>0.0</v>
      </c>
      <c r="CO67" s="154">
        <v>0.0</v>
      </c>
      <c r="CP67" s="153">
        <v>0.0</v>
      </c>
      <c r="CQ67" s="153">
        <v>0.0</v>
      </c>
      <c r="CR67" s="153">
        <v>0.0</v>
      </c>
      <c r="CS67" s="156">
        <v>0.0</v>
      </c>
      <c r="CT67" s="153">
        <v>0.0</v>
      </c>
      <c r="CU67" s="153">
        <v>0.0</v>
      </c>
      <c r="CV67" s="153">
        <v>0.0</v>
      </c>
      <c r="CW67" s="153">
        <v>0.0</v>
      </c>
      <c r="CX67" s="153">
        <v>0.0</v>
      </c>
    </row>
    <row r="68" ht="35.25" customHeight="1">
      <c r="B68" s="167" t="s">
        <v>3010</v>
      </c>
      <c r="C68" s="154">
        <v>0.0</v>
      </c>
      <c r="D68" s="153">
        <v>0.0</v>
      </c>
      <c r="E68" s="153">
        <v>0.0</v>
      </c>
      <c r="F68" s="153">
        <v>0.0</v>
      </c>
      <c r="G68" s="153">
        <v>0.0</v>
      </c>
      <c r="H68" s="156">
        <v>0.0</v>
      </c>
      <c r="I68" s="153">
        <v>0.0</v>
      </c>
      <c r="J68" s="153">
        <v>0.0</v>
      </c>
      <c r="K68" s="153">
        <v>0.0</v>
      </c>
      <c r="L68" s="153">
        <v>0.0</v>
      </c>
      <c r="M68" s="154">
        <v>0.0</v>
      </c>
      <c r="N68" s="153">
        <v>0.0</v>
      </c>
      <c r="O68" s="153">
        <v>0.0</v>
      </c>
      <c r="P68" s="153">
        <v>0.0</v>
      </c>
      <c r="Q68" s="153">
        <v>0.0</v>
      </c>
      <c r="R68" s="156">
        <v>0.0</v>
      </c>
      <c r="S68" s="153">
        <v>0.0</v>
      </c>
      <c r="T68" s="153">
        <v>0.0</v>
      </c>
      <c r="U68" s="153">
        <v>0.0</v>
      </c>
      <c r="V68" s="153">
        <v>0.0</v>
      </c>
      <c r="W68" s="154">
        <v>0.0</v>
      </c>
      <c r="X68" s="153">
        <v>0.0</v>
      </c>
      <c r="Y68" s="153">
        <v>0.0</v>
      </c>
      <c r="Z68" s="153">
        <v>0.0</v>
      </c>
      <c r="AA68" s="153">
        <v>0.0</v>
      </c>
      <c r="AB68" s="156">
        <v>0.0</v>
      </c>
      <c r="AC68" s="153">
        <v>0.0</v>
      </c>
      <c r="AD68" s="153">
        <v>0.0</v>
      </c>
      <c r="AE68" s="153">
        <v>0.0</v>
      </c>
      <c r="AF68" s="153">
        <v>0.0</v>
      </c>
      <c r="AG68" s="154">
        <v>0.0</v>
      </c>
      <c r="AH68" s="153">
        <v>0.0</v>
      </c>
      <c r="AI68" s="153">
        <v>0.0</v>
      </c>
      <c r="AJ68" s="153">
        <v>0.0</v>
      </c>
      <c r="AK68" s="153">
        <v>0.0</v>
      </c>
      <c r="AL68" s="156">
        <v>0.0</v>
      </c>
      <c r="AM68" s="153">
        <v>0.0</v>
      </c>
      <c r="AN68" s="153">
        <v>0.0</v>
      </c>
      <c r="AO68" s="153">
        <v>0.0</v>
      </c>
      <c r="AP68" s="153">
        <v>0.0</v>
      </c>
      <c r="AQ68" s="154">
        <v>0.0</v>
      </c>
      <c r="AR68" s="153">
        <v>0.0</v>
      </c>
      <c r="AS68" s="153">
        <v>0.0</v>
      </c>
      <c r="AT68" s="153">
        <v>0.0</v>
      </c>
      <c r="AU68" s="153">
        <v>0.0</v>
      </c>
      <c r="AV68" s="156">
        <v>0.0</v>
      </c>
      <c r="AW68" s="153">
        <v>0.0</v>
      </c>
      <c r="AX68" s="153">
        <v>0.0</v>
      </c>
      <c r="AY68" s="153">
        <v>0.0</v>
      </c>
      <c r="AZ68" s="153">
        <v>0.0</v>
      </c>
      <c r="BA68" s="154">
        <v>0.0</v>
      </c>
      <c r="BB68" s="153">
        <v>0.0</v>
      </c>
      <c r="BC68" s="153">
        <v>0.0</v>
      </c>
      <c r="BD68" s="153">
        <v>0.0</v>
      </c>
      <c r="BE68" s="153">
        <v>0.0</v>
      </c>
      <c r="BF68" s="156">
        <v>0.0</v>
      </c>
      <c r="BG68" s="153">
        <v>0.0</v>
      </c>
      <c r="BH68" s="153">
        <v>0.0</v>
      </c>
      <c r="BI68" s="153">
        <v>0.0</v>
      </c>
      <c r="BJ68" s="153">
        <v>0.0</v>
      </c>
      <c r="BK68" s="154">
        <v>0.8</v>
      </c>
      <c r="BL68" s="153">
        <v>1.0</v>
      </c>
      <c r="BM68" s="153">
        <v>0.5</v>
      </c>
      <c r="BN68" s="153">
        <v>0.5</v>
      </c>
      <c r="BO68" s="153">
        <v>1.0</v>
      </c>
      <c r="BP68" s="155">
        <v>0.0</v>
      </c>
      <c r="BQ68" s="153">
        <v>1.0</v>
      </c>
      <c r="BR68" s="153">
        <v>1.0</v>
      </c>
      <c r="BS68" s="153">
        <v>1.0</v>
      </c>
      <c r="BT68" s="153">
        <v>1.0</v>
      </c>
      <c r="BU68" s="154">
        <v>0.1</v>
      </c>
      <c r="BV68" s="153">
        <v>0.0</v>
      </c>
      <c r="BW68" s="153">
        <v>0.0</v>
      </c>
      <c r="BX68" s="153">
        <v>0.0</v>
      </c>
      <c r="BY68" s="153">
        <v>0.0</v>
      </c>
      <c r="BZ68" s="156">
        <v>0.0</v>
      </c>
      <c r="CA68" s="153">
        <v>0.0</v>
      </c>
      <c r="CB68" s="153">
        <v>0.0</v>
      </c>
      <c r="CC68" s="153">
        <v>0.0</v>
      </c>
      <c r="CD68" s="153">
        <v>0.0</v>
      </c>
      <c r="CE68" s="154">
        <v>0.0</v>
      </c>
      <c r="CF68" s="153">
        <v>0.0</v>
      </c>
      <c r="CG68" s="153">
        <v>0.0</v>
      </c>
      <c r="CH68" s="153">
        <v>0.0</v>
      </c>
      <c r="CI68" s="153">
        <v>0.0</v>
      </c>
      <c r="CJ68" s="156">
        <v>0.0</v>
      </c>
      <c r="CK68" s="153">
        <v>0.0</v>
      </c>
      <c r="CL68" s="153">
        <v>0.0</v>
      </c>
      <c r="CM68" s="153">
        <v>0.0</v>
      </c>
      <c r="CN68" s="153">
        <v>0.0</v>
      </c>
      <c r="CO68" s="154">
        <v>0.0</v>
      </c>
      <c r="CP68" s="153">
        <v>0.0</v>
      </c>
      <c r="CQ68" s="153">
        <v>0.0</v>
      </c>
      <c r="CR68" s="153">
        <v>0.0</v>
      </c>
      <c r="CS68" s="153">
        <v>0.0</v>
      </c>
      <c r="CT68" s="156">
        <v>0.0</v>
      </c>
      <c r="CU68" s="153">
        <v>0.0</v>
      </c>
      <c r="CV68" s="153">
        <v>0.0</v>
      </c>
      <c r="CW68" s="153">
        <v>0.0</v>
      </c>
      <c r="CX68" s="153">
        <v>0.0</v>
      </c>
    </row>
    <row r="69" ht="35.25" customHeight="1">
      <c r="B69" s="167" t="s">
        <v>3011</v>
      </c>
      <c r="C69" s="154">
        <v>0.0</v>
      </c>
      <c r="D69" s="153">
        <v>0.0</v>
      </c>
      <c r="E69" s="153">
        <v>0.0</v>
      </c>
      <c r="F69" s="153">
        <v>0.0</v>
      </c>
      <c r="G69" s="153">
        <v>0.0</v>
      </c>
      <c r="H69" s="153">
        <v>0.0</v>
      </c>
      <c r="I69" s="156">
        <v>0.0</v>
      </c>
      <c r="J69" s="153">
        <v>0.0</v>
      </c>
      <c r="K69" s="153">
        <v>0.0</v>
      </c>
      <c r="L69" s="153">
        <v>0.0</v>
      </c>
      <c r="M69" s="154">
        <v>0.0</v>
      </c>
      <c r="N69" s="153">
        <v>0.0</v>
      </c>
      <c r="O69" s="153">
        <v>0.0</v>
      </c>
      <c r="P69" s="153">
        <v>0.0</v>
      </c>
      <c r="Q69" s="153">
        <v>0.0</v>
      </c>
      <c r="R69" s="153">
        <v>0.0</v>
      </c>
      <c r="S69" s="156">
        <v>0.0</v>
      </c>
      <c r="T69" s="153">
        <v>0.0</v>
      </c>
      <c r="U69" s="153">
        <v>0.0</v>
      </c>
      <c r="V69" s="153">
        <v>0.0</v>
      </c>
      <c r="W69" s="154">
        <v>0.0</v>
      </c>
      <c r="X69" s="153">
        <v>0.0</v>
      </c>
      <c r="Y69" s="153">
        <v>0.0</v>
      </c>
      <c r="Z69" s="153">
        <v>0.0</v>
      </c>
      <c r="AA69" s="153">
        <v>0.0</v>
      </c>
      <c r="AB69" s="153">
        <v>0.0</v>
      </c>
      <c r="AC69" s="156">
        <v>0.0</v>
      </c>
      <c r="AD69" s="153">
        <v>0.0</v>
      </c>
      <c r="AE69" s="153">
        <v>0.0</v>
      </c>
      <c r="AF69" s="153">
        <v>0.0</v>
      </c>
      <c r="AG69" s="154">
        <v>0.0</v>
      </c>
      <c r="AH69" s="153">
        <v>0.0</v>
      </c>
      <c r="AI69" s="153">
        <v>0.0</v>
      </c>
      <c r="AJ69" s="153">
        <v>0.0</v>
      </c>
      <c r="AK69" s="153">
        <v>0.0</v>
      </c>
      <c r="AL69" s="153">
        <v>0.0</v>
      </c>
      <c r="AM69" s="156">
        <v>0.0</v>
      </c>
      <c r="AN69" s="153">
        <v>0.0</v>
      </c>
      <c r="AO69" s="153">
        <v>0.0</v>
      </c>
      <c r="AP69" s="153">
        <v>0.0</v>
      </c>
      <c r="AQ69" s="154">
        <v>0.0</v>
      </c>
      <c r="AR69" s="153">
        <v>0.0</v>
      </c>
      <c r="AS69" s="153">
        <v>0.0</v>
      </c>
      <c r="AT69" s="153">
        <v>0.0</v>
      </c>
      <c r="AU69" s="153">
        <v>0.0</v>
      </c>
      <c r="AV69" s="153">
        <v>0.0</v>
      </c>
      <c r="AW69" s="156">
        <v>0.0</v>
      </c>
      <c r="AX69" s="153">
        <v>0.0</v>
      </c>
      <c r="AY69" s="153">
        <v>0.0</v>
      </c>
      <c r="AZ69" s="153">
        <v>0.0</v>
      </c>
      <c r="BA69" s="154">
        <v>0.0</v>
      </c>
      <c r="BB69" s="153">
        <v>0.0</v>
      </c>
      <c r="BC69" s="153">
        <v>0.125</v>
      </c>
      <c r="BD69" s="153">
        <v>0.0</v>
      </c>
      <c r="BE69" s="153">
        <v>0.0</v>
      </c>
      <c r="BF69" s="153">
        <v>0.0</v>
      </c>
      <c r="BG69" s="156">
        <v>0.0</v>
      </c>
      <c r="BH69" s="153">
        <v>0.0</v>
      </c>
      <c r="BI69" s="153">
        <v>0.0</v>
      </c>
      <c r="BJ69" s="153">
        <v>0.25</v>
      </c>
      <c r="BK69" s="154">
        <v>0.75</v>
      </c>
      <c r="BL69" s="153">
        <v>1.0</v>
      </c>
      <c r="BM69" s="153">
        <v>0.875</v>
      </c>
      <c r="BN69" s="153">
        <v>1.0</v>
      </c>
      <c r="BO69" s="153">
        <v>0.75</v>
      </c>
      <c r="BP69" s="153">
        <v>1.0</v>
      </c>
      <c r="BQ69" s="155">
        <v>0.0</v>
      </c>
      <c r="BR69" s="153">
        <v>1.0</v>
      </c>
      <c r="BS69" s="153">
        <v>1.0</v>
      </c>
      <c r="BT69" s="153">
        <v>1.0</v>
      </c>
      <c r="BU69" s="154">
        <v>0.25</v>
      </c>
      <c r="BV69" s="153">
        <v>0.0</v>
      </c>
      <c r="BW69" s="153">
        <v>0.0</v>
      </c>
      <c r="BX69" s="153">
        <v>0.0</v>
      </c>
      <c r="BY69" s="153">
        <v>0.0</v>
      </c>
      <c r="BZ69" s="153">
        <v>0.0</v>
      </c>
      <c r="CA69" s="156">
        <v>0.0</v>
      </c>
      <c r="CB69" s="153">
        <v>0.0</v>
      </c>
      <c r="CC69" s="153">
        <v>0.0</v>
      </c>
      <c r="CD69" s="153">
        <v>0.25</v>
      </c>
      <c r="CE69" s="154">
        <v>0.0</v>
      </c>
      <c r="CF69" s="153">
        <v>0.0</v>
      </c>
      <c r="CG69" s="153">
        <v>0.0</v>
      </c>
      <c r="CH69" s="153">
        <v>0.0</v>
      </c>
      <c r="CI69" s="153">
        <v>0.0</v>
      </c>
      <c r="CJ69" s="153">
        <v>0.0</v>
      </c>
      <c r="CK69" s="156">
        <v>0.0</v>
      </c>
      <c r="CL69" s="153">
        <v>0.0</v>
      </c>
      <c r="CM69" s="153">
        <v>0.0</v>
      </c>
      <c r="CN69" s="153">
        <v>0.0</v>
      </c>
      <c r="CO69" s="154">
        <v>0.0</v>
      </c>
      <c r="CP69" s="153">
        <v>0.0</v>
      </c>
      <c r="CQ69" s="153">
        <v>0.0</v>
      </c>
      <c r="CR69" s="153">
        <v>0.0</v>
      </c>
      <c r="CS69" s="153">
        <v>0.0</v>
      </c>
      <c r="CT69" s="153">
        <v>0.0</v>
      </c>
      <c r="CU69" s="156">
        <v>0.0</v>
      </c>
      <c r="CV69" s="153">
        <v>0.0</v>
      </c>
      <c r="CW69" s="153">
        <v>0.0</v>
      </c>
      <c r="CX69" s="153">
        <v>0.0</v>
      </c>
    </row>
    <row r="70" ht="35.25" customHeight="1">
      <c r="B70" s="167" t="s">
        <v>3012</v>
      </c>
      <c r="C70" s="154">
        <v>0.0</v>
      </c>
      <c r="D70" s="153">
        <v>0.0</v>
      </c>
      <c r="E70" s="153">
        <v>0.0</v>
      </c>
      <c r="F70" s="153">
        <v>0.0</v>
      </c>
      <c r="G70" s="153">
        <v>0.0</v>
      </c>
      <c r="H70" s="153">
        <v>0.0</v>
      </c>
      <c r="I70" s="153">
        <v>0.0</v>
      </c>
      <c r="J70" s="156">
        <v>0.0</v>
      </c>
      <c r="K70" s="153">
        <v>0.0</v>
      </c>
      <c r="L70" s="153">
        <v>0.0</v>
      </c>
      <c r="M70" s="154">
        <v>0.0</v>
      </c>
      <c r="N70" s="153">
        <v>0.0</v>
      </c>
      <c r="O70" s="153">
        <v>0.0</v>
      </c>
      <c r="P70" s="153">
        <v>0.0</v>
      </c>
      <c r="Q70" s="153">
        <v>0.0</v>
      </c>
      <c r="R70" s="153">
        <v>0.0</v>
      </c>
      <c r="S70" s="153">
        <v>0.0</v>
      </c>
      <c r="T70" s="156">
        <v>0.0</v>
      </c>
      <c r="U70" s="153">
        <v>0.0</v>
      </c>
      <c r="V70" s="153">
        <v>0.0</v>
      </c>
      <c r="W70" s="154">
        <v>0.0</v>
      </c>
      <c r="X70" s="153">
        <v>0.0</v>
      </c>
      <c r="Y70" s="153">
        <v>0.0</v>
      </c>
      <c r="Z70" s="153">
        <v>0.0</v>
      </c>
      <c r="AA70" s="153">
        <v>0.0</v>
      </c>
      <c r="AB70" s="153">
        <v>0.0</v>
      </c>
      <c r="AC70" s="153">
        <v>0.0</v>
      </c>
      <c r="AD70" s="156">
        <v>0.0</v>
      </c>
      <c r="AE70" s="153">
        <v>0.0</v>
      </c>
      <c r="AF70" s="153">
        <v>0.0</v>
      </c>
      <c r="AG70" s="154">
        <v>0.0</v>
      </c>
      <c r="AH70" s="153">
        <v>0.0</v>
      </c>
      <c r="AI70" s="153">
        <v>0.0</v>
      </c>
      <c r="AJ70" s="153">
        <v>0.0</v>
      </c>
      <c r="AK70" s="153">
        <v>0.0</v>
      </c>
      <c r="AL70" s="153">
        <v>0.0</v>
      </c>
      <c r="AM70" s="153">
        <v>0.0</v>
      </c>
      <c r="AN70" s="156">
        <v>0.0</v>
      </c>
      <c r="AO70" s="153">
        <v>0.0</v>
      </c>
      <c r="AP70" s="153">
        <v>0.0</v>
      </c>
      <c r="AQ70" s="154">
        <v>0.0</v>
      </c>
      <c r="AR70" s="153">
        <v>0.0</v>
      </c>
      <c r="AS70" s="153">
        <v>0.0</v>
      </c>
      <c r="AT70" s="153">
        <v>0.0</v>
      </c>
      <c r="AU70" s="153">
        <v>0.0</v>
      </c>
      <c r="AV70" s="153">
        <v>0.0</v>
      </c>
      <c r="AW70" s="153">
        <v>0.0</v>
      </c>
      <c r="AX70" s="156">
        <v>0.0</v>
      </c>
      <c r="AY70" s="153">
        <v>0.0</v>
      </c>
      <c r="AZ70" s="153">
        <v>0.0</v>
      </c>
      <c r="BA70" s="154">
        <v>0.0</v>
      </c>
      <c r="BB70" s="153">
        <v>0.0</v>
      </c>
      <c r="BC70" s="153">
        <v>0.0</v>
      </c>
      <c r="BD70" s="153">
        <v>0.0</v>
      </c>
      <c r="BE70" s="153">
        <v>0.0</v>
      </c>
      <c r="BF70" s="153">
        <v>0.0</v>
      </c>
      <c r="BG70" s="153">
        <v>0.0</v>
      </c>
      <c r="BH70" s="156">
        <v>0.0</v>
      </c>
      <c r="BI70" s="153">
        <v>0.0</v>
      </c>
      <c r="BJ70" s="153">
        <v>0.0</v>
      </c>
      <c r="BK70" s="154">
        <v>0.75</v>
      </c>
      <c r="BL70" s="153">
        <v>1.0</v>
      </c>
      <c r="BM70" s="153">
        <v>1.0</v>
      </c>
      <c r="BN70" s="153">
        <v>1.0</v>
      </c>
      <c r="BO70" s="153">
        <v>0.9</v>
      </c>
      <c r="BP70" s="153">
        <v>1.0</v>
      </c>
      <c r="BQ70" s="153">
        <v>1.0</v>
      </c>
      <c r="BR70" s="155">
        <v>0.0</v>
      </c>
      <c r="BS70" s="153">
        <v>0.75</v>
      </c>
      <c r="BT70" s="153">
        <v>1.0</v>
      </c>
      <c r="BU70" s="154">
        <v>0.0</v>
      </c>
      <c r="BV70" s="153">
        <v>0.0</v>
      </c>
      <c r="BW70" s="153">
        <v>0.0</v>
      </c>
      <c r="BX70" s="153">
        <v>0.0</v>
      </c>
      <c r="BY70" s="153">
        <v>0.0</v>
      </c>
      <c r="BZ70" s="153">
        <v>0.0</v>
      </c>
      <c r="CA70" s="153">
        <v>0.0</v>
      </c>
      <c r="CB70" s="156">
        <v>0.0</v>
      </c>
      <c r="CC70" s="153">
        <v>0.0</v>
      </c>
      <c r="CD70" s="153">
        <v>0.16666666666666666</v>
      </c>
      <c r="CE70" s="154">
        <v>0.0</v>
      </c>
      <c r="CF70" s="153">
        <v>0.0</v>
      </c>
      <c r="CG70" s="153">
        <v>0.0</v>
      </c>
      <c r="CH70" s="153">
        <v>0.0</v>
      </c>
      <c r="CI70" s="153">
        <v>0.0</v>
      </c>
      <c r="CJ70" s="153">
        <v>0.0</v>
      </c>
      <c r="CK70" s="153">
        <v>0.0</v>
      </c>
      <c r="CL70" s="156">
        <v>0.0</v>
      </c>
      <c r="CM70" s="153">
        <v>0.0</v>
      </c>
      <c r="CN70" s="153">
        <v>0.0</v>
      </c>
      <c r="CO70" s="154">
        <v>0.0</v>
      </c>
      <c r="CP70" s="153">
        <v>0.0</v>
      </c>
      <c r="CQ70" s="153">
        <v>0.0</v>
      </c>
      <c r="CR70" s="153">
        <v>0.0</v>
      </c>
      <c r="CS70" s="153">
        <v>0.0</v>
      </c>
      <c r="CT70" s="153">
        <v>0.0</v>
      </c>
      <c r="CU70" s="153">
        <v>0.0</v>
      </c>
      <c r="CV70" s="156">
        <v>0.0</v>
      </c>
      <c r="CW70" s="153">
        <v>0.0</v>
      </c>
      <c r="CX70" s="153">
        <v>0.0</v>
      </c>
    </row>
    <row r="71" ht="35.25" customHeight="1">
      <c r="B71" s="167" t="s">
        <v>3013</v>
      </c>
      <c r="C71" s="154">
        <v>0.0</v>
      </c>
      <c r="D71" s="153">
        <v>0.0</v>
      </c>
      <c r="E71" s="153">
        <v>0.0</v>
      </c>
      <c r="F71" s="153">
        <v>0.0</v>
      </c>
      <c r="G71" s="153">
        <v>0.0</v>
      </c>
      <c r="H71" s="153">
        <v>0.0</v>
      </c>
      <c r="I71" s="153">
        <v>0.0</v>
      </c>
      <c r="J71" s="153">
        <v>0.0</v>
      </c>
      <c r="K71" s="156">
        <v>0.0</v>
      </c>
      <c r="L71" s="153">
        <v>0.0</v>
      </c>
      <c r="M71" s="154">
        <v>0.0</v>
      </c>
      <c r="N71" s="153">
        <v>0.0</v>
      </c>
      <c r="O71" s="153">
        <v>0.0</v>
      </c>
      <c r="P71" s="153">
        <v>0.0</v>
      </c>
      <c r="Q71" s="153">
        <v>0.0</v>
      </c>
      <c r="R71" s="153">
        <v>0.0</v>
      </c>
      <c r="S71" s="153">
        <v>0.0</v>
      </c>
      <c r="T71" s="153">
        <v>0.0</v>
      </c>
      <c r="U71" s="156">
        <v>0.0</v>
      </c>
      <c r="V71" s="153">
        <v>0.0</v>
      </c>
      <c r="W71" s="154">
        <v>0.0</v>
      </c>
      <c r="X71" s="153">
        <v>0.0</v>
      </c>
      <c r="Y71" s="153">
        <v>0.0</v>
      </c>
      <c r="Z71" s="153">
        <v>0.0</v>
      </c>
      <c r="AA71" s="153">
        <v>0.0</v>
      </c>
      <c r="AB71" s="153">
        <v>0.0</v>
      </c>
      <c r="AC71" s="153">
        <v>0.0</v>
      </c>
      <c r="AD71" s="153">
        <v>0.0</v>
      </c>
      <c r="AE71" s="156">
        <v>0.0</v>
      </c>
      <c r="AF71" s="153">
        <v>0.0</v>
      </c>
      <c r="AG71" s="154">
        <v>0.0</v>
      </c>
      <c r="AH71" s="153">
        <v>0.0</v>
      </c>
      <c r="AI71" s="153">
        <v>0.0</v>
      </c>
      <c r="AJ71" s="153">
        <v>0.0</v>
      </c>
      <c r="AK71" s="153">
        <v>0.0</v>
      </c>
      <c r="AL71" s="153">
        <v>0.0</v>
      </c>
      <c r="AM71" s="153">
        <v>0.0</v>
      </c>
      <c r="AN71" s="153">
        <v>0.0</v>
      </c>
      <c r="AO71" s="156">
        <v>0.0</v>
      </c>
      <c r="AP71" s="153">
        <v>0.0</v>
      </c>
      <c r="AQ71" s="154">
        <v>0.0</v>
      </c>
      <c r="AR71" s="153">
        <v>0.0</v>
      </c>
      <c r="AS71" s="153">
        <v>0.0</v>
      </c>
      <c r="AT71" s="153">
        <v>0.0</v>
      </c>
      <c r="AU71" s="153">
        <v>0.0</v>
      </c>
      <c r="AV71" s="153">
        <v>0.0</v>
      </c>
      <c r="AW71" s="153">
        <v>0.0</v>
      </c>
      <c r="AX71" s="153">
        <v>0.0</v>
      </c>
      <c r="AY71" s="156">
        <v>0.0</v>
      </c>
      <c r="AZ71" s="153">
        <v>0.0</v>
      </c>
      <c r="BA71" s="154">
        <v>0.0</v>
      </c>
      <c r="BB71" s="153">
        <v>0.0</v>
      </c>
      <c r="BC71" s="153">
        <v>0.0</v>
      </c>
      <c r="BD71" s="153">
        <v>0.0</v>
      </c>
      <c r="BE71" s="153">
        <v>0.0</v>
      </c>
      <c r="BF71" s="153">
        <v>0.0</v>
      </c>
      <c r="BG71" s="153">
        <v>0.0</v>
      </c>
      <c r="BH71" s="153">
        <v>0.0</v>
      </c>
      <c r="BI71" s="156">
        <v>0.0</v>
      </c>
      <c r="BJ71" s="153">
        <v>0.0</v>
      </c>
      <c r="BK71" s="154">
        <v>0.9</v>
      </c>
      <c r="BL71" s="153">
        <v>1.0</v>
      </c>
      <c r="BM71" s="153">
        <v>1.0</v>
      </c>
      <c r="BN71" s="153">
        <v>1.0</v>
      </c>
      <c r="BO71" s="153">
        <v>0.8333333333333334</v>
      </c>
      <c r="BP71" s="153">
        <v>1.0</v>
      </c>
      <c r="BQ71" s="153">
        <v>1.0</v>
      </c>
      <c r="BR71" s="153">
        <v>0.75</v>
      </c>
      <c r="BS71" s="155">
        <v>0.0</v>
      </c>
      <c r="BT71" s="153">
        <v>1.0</v>
      </c>
      <c r="BU71" s="154">
        <v>0.1</v>
      </c>
      <c r="BV71" s="153">
        <v>0.0</v>
      </c>
      <c r="BW71" s="153">
        <v>0.0</v>
      </c>
      <c r="BX71" s="153">
        <v>0.0</v>
      </c>
      <c r="BY71" s="153">
        <v>0.0</v>
      </c>
      <c r="BZ71" s="153">
        <v>0.0</v>
      </c>
      <c r="CA71" s="153">
        <v>0.0</v>
      </c>
      <c r="CB71" s="153">
        <v>0.0</v>
      </c>
      <c r="CC71" s="156">
        <v>0.0</v>
      </c>
      <c r="CD71" s="153">
        <v>0.0</v>
      </c>
      <c r="CE71" s="154">
        <v>0.0</v>
      </c>
      <c r="CF71" s="153">
        <v>0.0</v>
      </c>
      <c r="CG71" s="153">
        <v>0.0</v>
      </c>
      <c r="CH71" s="153">
        <v>0.0</v>
      </c>
      <c r="CI71" s="153">
        <v>0.0</v>
      </c>
      <c r="CJ71" s="153">
        <v>0.0</v>
      </c>
      <c r="CK71" s="153">
        <v>0.0</v>
      </c>
      <c r="CL71" s="153">
        <v>0.0</v>
      </c>
      <c r="CM71" s="156">
        <v>0.0</v>
      </c>
      <c r="CN71" s="153">
        <v>0.0</v>
      </c>
      <c r="CO71" s="154">
        <v>0.0</v>
      </c>
      <c r="CP71" s="153">
        <v>0.0</v>
      </c>
      <c r="CQ71" s="153">
        <v>0.0</v>
      </c>
      <c r="CR71" s="153">
        <v>0.0</v>
      </c>
      <c r="CS71" s="153">
        <v>0.0</v>
      </c>
      <c r="CT71" s="153">
        <v>0.0</v>
      </c>
      <c r="CU71" s="153">
        <v>0.0</v>
      </c>
      <c r="CV71" s="153">
        <v>0.0</v>
      </c>
      <c r="CW71" s="156">
        <v>0.0</v>
      </c>
      <c r="CX71" s="153">
        <v>0.0</v>
      </c>
    </row>
    <row r="72" ht="35.25" customHeight="1">
      <c r="A72" s="103"/>
      <c r="B72" s="168" t="s">
        <v>3014</v>
      </c>
      <c r="C72" s="157">
        <v>0.0</v>
      </c>
      <c r="D72" s="158">
        <v>0.0</v>
      </c>
      <c r="E72" s="158">
        <v>0.0</v>
      </c>
      <c r="F72" s="158">
        <v>0.0</v>
      </c>
      <c r="G72" s="158">
        <v>0.0</v>
      </c>
      <c r="H72" s="158">
        <v>0.0</v>
      </c>
      <c r="I72" s="158">
        <v>0.0</v>
      </c>
      <c r="J72" s="158">
        <v>0.0</v>
      </c>
      <c r="K72" s="158">
        <v>0.0</v>
      </c>
      <c r="L72" s="160">
        <v>0.0</v>
      </c>
      <c r="M72" s="157">
        <v>0.0</v>
      </c>
      <c r="N72" s="158">
        <v>0.0</v>
      </c>
      <c r="O72" s="158">
        <v>0.0</v>
      </c>
      <c r="P72" s="158">
        <v>0.0</v>
      </c>
      <c r="Q72" s="158">
        <v>0.0</v>
      </c>
      <c r="R72" s="158">
        <v>0.0</v>
      </c>
      <c r="S72" s="158">
        <v>0.0</v>
      </c>
      <c r="T72" s="158">
        <v>0.0</v>
      </c>
      <c r="U72" s="158">
        <v>0.0</v>
      </c>
      <c r="V72" s="160">
        <v>0.0</v>
      </c>
      <c r="W72" s="157">
        <v>0.0</v>
      </c>
      <c r="X72" s="158">
        <v>0.0</v>
      </c>
      <c r="Y72" s="158">
        <v>0.0</v>
      </c>
      <c r="Z72" s="158">
        <v>0.0</v>
      </c>
      <c r="AA72" s="158">
        <v>0.0</v>
      </c>
      <c r="AB72" s="158">
        <v>0.0</v>
      </c>
      <c r="AC72" s="158">
        <v>0.0</v>
      </c>
      <c r="AD72" s="158">
        <v>0.0</v>
      </c>
      <c r="AE72" s="158">
        <v>0.0</v>
      </c>
      <c r="AF72" s="160">
        <v>0.0</v>
      </c>
      <c r="AG72" s="157">
        <v>0.0</v>
      </c>
      <c r="AH72" s="158">
        <v>0.0</v>
      </c>
      <c r="AI72" s="158">
        <v>0.0</v>
      </c>
      <c r="AJ72" s="158">
        <v>0.0</v>
      </c>
      <c r="AK72" s="158">
        <v>0.0</v>
      </c>
      <c r="AL72" s="158">
        <v>0.0</v>
      </c>
      <c r="AM72" s="158">
        <v>0.0</v>
      </c>
      <c r="AN72" s="158">
        <v>0.0</v>
      </c>
      <c r="AO72" s="158">
        <v>0.0</v>
      </c>
      <c r="AP72" s="160">
        <v>0.0</v>
      </c>
      <c r="AQ72" s="157">
        <v>0.0</v>
      </c>
      <c r="AR72" s="158">
        <v>0.0</v>
      </c>
      <c r="AS72" s="158">
        <v>0.0</v>
      </c>
      <c r="AT72" s="158">
        <v>0.0</v>
      </c>
      <c r="AU72" s="158">
        <v>0.0</v>
      </c>
      <c r="AV72" s="158">
        <v>0.0</v>
      </c>
      <c r="AW72" s="158">
        <v>0.0</v>
      </c>
      <c r="AX72" s="158">
        <v>0.0</v>
      </c>
      <c r="AY72" s="158">
        <v>0.0</v>
      </c>
      <c r="AZ72" s="160">
        <v>0.0</v>
      </c>
      <c r="BA72" s="157">
        <v>0.0</v>
      </c>
      <c r="BB72" s="158">
        <v>0.0</v>
      </c>
      <c r="BC72" s="158">
        <v>0.16666666666666666</v>
      </c>
      <c r="BD72" s="158">
        <v>0.0</v>
      </c>
      <c r="BE72" s="158">
        <v>0.0</v>
      </c>
      <c r="BF72" s="158">
        <v>0.0</v>
      </c>
      <c r="BG72" s="158">
        <v>0.0</v>
      </c>
      <c r="BH72" s="158">
        <v>0.0</v>
      </c>
      <c r="BI72" s="158">
        <v>0.0</v>
      </c>
      <c r="BJ72" s="160">
        <v>0.07142857142857142</v>
      </c>
      <c r="BK72" s="157">
        <v>1.0</v>
      </c>
      <c r="BL72" s="158">
        <v>1.0</v>
      </c>
      <c r="BM72" s="158">
        <v>1.0</v>
      </c>
      <c r="BN72" s="158">
        <v>1.0</v>
      </c>
      <c r="BO72" s="158">
        <v>1.0</v>
      </c>
      <c r="BP72" s="158">
        <v>1.0</v>
      </c>
      <c r="BQ72" s="158">
        <v>1.0</v>
      </c>
      <c r="BR72" s="158">
        <v>1.0</v>
      </c>
      <c r="BS72" s="158">
        <v>1.0</v>
      </c>
      <c r="BT72" s="159">
        <v>0.0</v>
      </c>
      <c r="BU72" s="157">
        <v>0.0</v>
      </c>
      <c r="BV72" s="158">
        <v>0.0</v>
      </c>
      <c r="BW72" s="158">
        <v>0.0</v>
      </c>
      <c r="BX72" s="158">
        <v>0.0</v>
      </c>
      <c r="BY72" s="158">
        <v>0.0</v>
      </c>
      <c r="BZ72" s="158">
        <v>0.0</v>
      </c>
      <c r="CA72" s="158">
        <v>0.0</v>
      </c>
      <c r="CB72" s="158">
        <v>0.0</v>
      </c>
      <c r="CC72" s="158">
        <v>0.0</v>
      </c>
      <c r="CD72" s="160">
        <v>0.07142857142857142</v>
      </c>
      <c r="CE72" s="157">
        <v>0.0</v>
      </c>
      <c r="CF72" s="158">
        <v>0.0</v>
      </c>
      <c r="CG72" s="158">
        <v>0.0</v>
      </c>
      <c r="CH72" s="158">
        <v>0.0</v>
      </c>
      <c r="CI72" s="158">
        <v>0.0</v>
      </c>
      <c r="CJ72" s="158">
        <v>0.0</v>
      </c>
      <c r="CK72" s="158">
        <v>0.0</v>
      </c>
      <c r="CL72" s="158">
        <v>0.0</v>
      </c>
      <c r="CM72" s="158">
        <v>0.0</v>
      </c>
      <c r="CN72" s="160">
        <v>0.0</v>
      </c>
      <c r="CO72" s="157">
        <v>0.0</v>
      </c>
      <c r="CP72" s="158">
        <v>0.0</v>
      </c>
      <c r="CQ72" s="158">
        <v>0.0</v>
      </c>
      <c r="CR72" s="158">
        <v>0.0</v>
      </c>
      <c r="CS72" s="158">
        <v>0.0</v>
      </c>
      <c r="CT72" s="158">
        <v>0.0</v>
      </c>
      <c r="CU72" s="158">
        <v>0.0</v>
      </c>
      <c r="CV72" s="158">
        <v>0.0</v>
      </c>
      <c r="CW72" s="158">
        <v>0.0</v>
      </c>
      <c r="CX72" s="160">
        <v>0.0</v>
      </c>
    </row>
    <row r="73" ht="35.25" customHeight="1">
      <c r="A73" s="134" t="s">
        <v>2942</v>
      </c>
      <c r="B73" s="167" t="s">
        <v>3015</v>
      </c>
      <c r="C73" s="154">
        <v>0.0</v>
      </c>
      <c r="D73" s="153">
        <v>0.0</v>
      </c>
      <c r="E73" s="153">
        <v>0.0</v>
      </c>
      <c r="F73" s="153">
        <v>0.0</v>
      </c>
      <c r="G73" s="153">
        <v>0.0</v>
      </c>
      <c r="H73" s="153">
        <v>0.0</v>
      </c>
      <c r="I73" s="153">
        <v>0.0</v>
      </c>
      <c r="J73" s="153">
        <v>0.0</v>
      </c>
      <c r="K73" s="153">
        <v>0.0</v>
      </c>
      <c r="L73" s="153">
        <v>0.0</v>
      </c>
      <c r="M73" s="154">
        <v>0.0</v>
      </c>
      <c r="N73" s="153">
        <v>0.0</v>
      </c>
      <c r="O73" s="153">
        <v>0.0</v>
      </c>
      <c r="P73" s="153">
        <v>0.0</v>
      </c>
      <c r="Q73" s="153">
        <v>0.0</v>
      </c>
      <c r="R73" s="153">
        <v>0.0</v>
      </c>
      <c r="S73" s="153">
        <v>0.0</v>
      </c>
      <c r="T73" s="153">
        <v>0.0</v>
      </c>
      <c r="U73" s="153">
        <v>0.0</v>
      </c>
      <c r="V73" s="153">
        <v>0.0</v>
      </c>
      <c r="W73" s="154">
        <v>0.0</v>
      </c>
      <c r="X73" s="153">
        <v>0.0</v>
      </c>
      <c r="Y73" s="153">
        <v>0.0</v>
      </c>
      <c r="Z73" s="153">
        <v>0.0</v>
      </c>
      <c r="AA73" s="153">
        <v>0.0</v>
      </c>
      <c r="AB73" s="153">
        <v>0.0</v>
      </c>
      <c r="AC73" s="153">
        <v>0.0</v>
      </c>
      <c r="AD73" s="153">
        <v>0.0</v>
      </c>
      <c r="AE73" s="153">
        <v>0.0</v>
      </c>
      <c r="AF73" s="153">
        <v>0.0</v>
      </c>
      <c r="AG73" s="154">
        <v>0.0</v>
      </c>
      <c r="AH73" s="153">
        <v>0.0</v>
      </c>
      <c r="AI73" s="153">
        <v>0.0</v>
      </c>
      <c r="AJ73" s="153">
        <v>0.0</v>
      </c>
      <c r="AK73" s="153">
        <v>0.0</v>
      </c>
      <c r="AL73" s="153">
        <v>0.0</v>
      </c>
      <c r="AM73" s="153">
        <v>0.0</v>
      </c>
      <c r="AN73" s="153">
        <v>0.0</v>
      </c>
      <c r="AO73" s="153">
        <v>0.0</v>
      </c>
      <c r="AP73" s="153">
        <v>0.0</v>
      </c>
      <c r="AQ73" s="154">
        <v>0.0</v>
      </c>
      <c r="AR73" s="153">
        <v>0.0</v>
      </c>
      <c r="AS73" s="153">
        <v>0.0</v>
      </c>
      <c r="AT73" s="153">
        <v>0.0</v>
      </c>
      <c r="AU73" s="153">
        <v>0.0</v>
      </c>
      <c r="AV73" s="153">
        <v>0.0</v>
      </c>
      <c r="AW73" s="153">
        <v>0.0</v>
      </c>
      <c r="AX73" s="153">
        <v>0.0</v>
      </c>
      <c r="AY73" s="153">
        <v>0.0</v>
      </c>
      <c r="AZ73" s="153">
        <v>0.0</v>
      </c>
      <c r="BA73" s="154">
        <v>0.0</v>
      </c>
      <c r="BB73" s="153">
        <v>0.0</v>
      </c>
      <c r="BC73" s="153">
        <v>0.0</v>
      </c>
      <c r="BD73" s="153">
        <v>0.0</v>
      </c>
      <c r="BE73" s="153">
        <v>0.0</v>
      </c>
      <c r="BF73" s="153">
        <v>0.0</v>
      </c>
      <c r="BG73" s="153">
        <v>0.0</v>
      </c>
      <c r="BH73" s="153">
        <v>0.0</v>
      </c>
      <c r="BI73" s="153">
        <v>0.0</v>
      </c>
      <c r="BJ73" s="153">
        <v>0.0</v>
      </c>
      <c r="BK73" s="154">
        <v>0.05555555555555555</v>
      </c>
      <c r="BL73" s="153">
        <v>0.0</v>
      </c>
      <c r="BM73" s="153">
        <v>0.0</v>
      </c>
      <c r="BN73" s="153">
        <v>0.0</v>
      </c>
      <c r="BO73" s="153">
        <v>0.0</v>
      </c>
      <c r="BP73" s="153">
        <v>0.1</v>
      </c>
      <c r="BQ73" s="153">
        <v>0.25</v>
      </c>
      <c r="BR73" s="153">
        <v>0.0</v>
      </c>
      <c r="BS73" s="153">
        <v>0.1</v>
      </c>
      <c r="BT73" s="153">
        <v>0.0</v>
      </c>
      <c r="BU73" s="152">
        <v>0.0</v>
      </c>
      <c r="BV73" s="153">
        <v>1.0</v>
      </c>
      <c r="BW73" s="153">
        <v>0.25</v>
      </c>
      <c r="BX73" s="153">
        <v>0.5</v>
      </c>
      <c r="BY73" s="153">
        <v>0.8</v>
      </c>
      <c r="BZ73" s="153">
        <v>0.7</v>
      </c>
      <c r="CA73" s="153">
        <v>0.5</v>
      </c>
      <c r="CB73" s="153">
        <v>0.75</v>
      </c>
      <c r="CC73" s="153">
        <v>0.8</v>
      </c>
      <c r="CD73" s="153">
        <v>1.0</v>
      </c>
      <c r="CE73" s="154">
        <v>0.0</v>
      </c>
      <c r="CF73" s="153">
        <v>0.0</v>
      </c>
      <c r="CG73" s="153">
        <v>0.0</v>
      </c>
      <c r="CH73" s="153">
        <v>0.0</v>
      </c>
      <c r="CI73" s="153">
        <v>0.0</v>
      </c>
      <c r="CJ73" s="153">
        <v>0.0</v>
      </c>
      <c r="CK73" s="153">
        <v>0.0</v>
      </c>
      <c r="CL73" s="153">
        <v>0.0</v>
      </c>
      <c r="CM73" s="153">
        <v>0.0</v>
      </c>
      <c r="CN73" s="153">
        <v>0.0</v>
      </c>
      <c r="CO73" s="154">
        <v>0.0</v>
      </c>
      <c r="CP73" s="153">
        <v>0.0</v>
      </c>
      <c r="CQ73" s="153">
        <v>0.0</v>
      </c>
      <c r="CR73" s="153">
        <v>0.0</v>
      </c>
      <c r="CS73" s="153">
        <v>0.0</v>
      </c>
      <c r="CT73" s="153">
        <v>0.0</v>
      </c>
      <c r="CU73" s="153">
        <v>0.0</v>
      </c>
      <c r="CV73" s="153">
        <v>0.0</v>
      </c>
      <c r="CW73" s="153">
        <v>0.0</v>
      </c>
      <c r="CX73" s="153">
        <v>0.0</v>
      </c>
    </row>
    <row r="74" ht="35.25" customHeight="1">
      <c r="B74" s="167" t="s">
        <v>3016</v>
      </c>
      <c r="C74" s="154">
        <v>0.0</v>
      </c>
      <c r="D74" s="156">
        <v>0.07142857142857142</v>
      </c>
      <c r="E74" s="153">
        <v>0.25</v>
      </c>
      <c r="F74" s="153">
        <v>0.0</v>
      </c>
      <c r="G74" s="153">
        <v>0.16666666666666666</v>
      </c>
      <c r="H74" s="153">
        <v>0.0</v>
      </c>
      <c r="I74" s="153">
        <v>0.0</v>
      </c>
      <c r="J74" s="153">
        <v>0.0</v>
      </c>
      <c r="K74" s="153">
        <v>0.0</v>
      </c>
      <c r="L74" s="153">
        <v>0.0</v>
      </c>
      <c r="M74" s="154">
        <v>0.0</v>
      </c>
      <c r="N74" s="156">
        <v>0.0</v>
      </c>
      <c r="O74" s="153">
        <v>0.0</v>
      </c>
      <c r="P74" s="153">
        <v>0.0</v>
      </c>
      <c r="Q74" s="153">
        <v>0.0</v>
      </c>
      <c r="R74" s="153">
        <v>0.0</v>
      </c>
      <c r="S74" s="153">
        <v>0.0</v>
      </c>
      <c r="T74" s="153">
        <v>0.0</v>
      </c>
      <c r="U74" s="153">
        <v>0.0</v>
      </c>
      <c r="V74" s="153">
        <v>0.0</v>
      </c>
      <c r="W74" s="154">
        <v>0.0</v>
      </c>
      <c r="X74" s="156">
        <v>0.0</v>
      </c>
      <c r="Y74" s="153">
        <v>0.0</v>
      </c>
      <c r="Z74" s="153">
        <v>0.0</v>
      </c>
      <c r="AA74" s="153">
        <v>0.0</v>
      </c>
      <c r="AB74" s="153">
        <v>0.0</v>
      </c>
      <c r="AC74" s="153">
        <v>0.0</v>
      </c>
      <c r="AD74" s="153">
        <v>0.0</v>
      </c>
      <c r="AE74" s="153">
        <v>0.0</v>
      </c>
      <c r="AF74" s="153">
        <v>0.0</v>
      </c>
      <c r="AG74" s="154">
        <v>0.0</v>
      </c>
      <c r="AH74" s="156">
        <v>0.0</v>
      </c>
      <c r="AI74" s="153">
        <v>0.0</v>
      </c>
      <c r="AJ74" s="153">
        <v>0.0</v>
      </c>
      <c r="AK74" s="153">
        <v>0.0</v>
      </c>
      <c r="AL74" s="153">
        <v>0.0</v>
      </c>
      <c r="AM74" s="153">
        <v>0.0</v>
      </c>
      <c r="AN74" s="153">
        <v>0.0</v>
      </c>
      <c r="AO74" s="153">
        <v>0.0</v>
      </c>
      <c r="AP74" s="153">
        <v>0.0</v>
      </c>
      <c r="AQ74" s="154">
        <v>0.0</v>
      </c>
      <c r="AR74" s="156">
        <v>0.0</v>
      </c>
      <c r="AS74" s="153">
        <v>0.0</v>
      </c>
      <c r="AT74" s="153">
        <v>0.0</v>
      </c>
      <c r="AU74" s="153">
        <v>0.0</v>
      </c>
      <c r="AV74" s="153">
        <v>0.0</v>
      </c>
      <c r="AW74" s="153">
        <v>0.0</v>
      </c>
      <c r="AX74" s="153">
        <v>0.25</v>
      </c>
      <c r="AY74" s="153">
        <v>0.0</v>
      </c>
      <c r="AZ74" s="153">
        <v>0.0</v>
      </c>
      <c r="BA74" s="154">
        <v>0.0</v>
      </c>
      <c r="BB74" s="156">
        <v>0.0</v>
      </c>
      <c r="BC74" s="153">
        <v>0.0</v>
      </c>
      <c r="BD74" s="153">
        <v>0.0</v>
      </c>
      <c r="BE74" s="153">
        <v>0.0</v>
      </c>
      <c r="BF74" s="153">
        <v>0.0</v>
      </c>
      <c r="BG74" s="153">
        <v>0.0</v>
      </c>
      <c r="BH74" s="153">
        <v>0.0</v>
      </c>
      <c r="BI74" s="153">
        <v>0.0</v>
      </c>
      <c r="BJ74" s="153">
        <v>0.0</v>
      </c>
      <c r="BK74" s="154">
        <v>0.0</v>
      </c>
      <c r="BL74" s="156">
        <v>0.0</v>
      </c>
      <c r="BM74" s="153">
        <v>0.0</v>
      </c>
      <c r="BN74" s="153">
        <v>0.0</v>
      </c>
      <c r="BO74" s="153">
        <v>0.0</v>
      </c>
      <c r="BP74" s="153">
        <v>0.0</v>
      </c>
      <c r="BQ74" s="153">
        <v>0.0</v>
      </c>
      <c r="BR74" s="153">
        <v>0.0</v>
      </c>
      <c r="BS74" s="153">
        <v>0.0</v>
      </c>
      <c r="BT74" s="153">
        <v>0.0</v>
      </c>
      <c r="BU74" s="154">
        <v>1.0</v>
      </c>
      <c r="BV74" s="155">
        <v>0.0</v>
      </c>
      <c r="BW74" s="153">
        <v>0.5</v>
      </c>
      <c r="BX74" s="153">
        <v>1.0</v>
      </c>
      <c r="BY74" s="153">
        <v>0.8333333333333334</v>
      </c>
      <c r="BZ74" s="153">
        <v>1.0</v>
      </c>
      <c r="CA74" s="153">
        <v>1.0</v>
      </c>
      <c r="CB74" s="153">
        <v>0.75</v>
      </c>
      <c r="CC74" s="153">
        <v>1.0</v>
      </c>
      <c r="CD74" s="153">
        <v>0.75</v>
      </c>
      <c r="CE74" s="154">
        <v>0.0</v>
      </c>
      <c r="CF74" s="156">
        <v>0.0</v>
      </c>
      <c r="CG74" s="153">
        <v>0.0</v>
      </c>
      <c r="CH74" s="153">
        <v>0.0</v>
      </c>
      <c r="CI74" s="153">
        <v>0.0</v>
      </c>
      <c r="CJ74" s="153">
        <v>0.0</v>
      </c>
      <c r="CK74" s="153">
        <v>0.0</v>
      </c>
      <c r="CL74" s="153">
        <v>0.0</v>
      </c>
      <c r="CM74" s="153">
        <v>0.0</v>
      </c>
      <c r="CN74" s="153">
        <v>0.0</v>
      </c>
      <c r="CO74" s="154">
        <v>0.0</v>
      </c>
      <c r="CP74" s="156">
        <v>0.0</v>
      </c>
      <c r="CQ74" s="153">
        <v>0.0</v>
      </c>
      <c r="CR74" s="153">
        <v>0.0</v>
      </c>
      <c r="CS74" s="153">
        <v>0.0</v>
      </c>
      <c r="CT74" s="153">
        <v>0.0</v>
      </c>
      <c r="CU74" s="153">
        <v>0.0</v>
      </c>
      <c r="CV74" s="153">
        <v>0.0</v>
      </c>
      <c r="CW74" s="153">
        <v>0.0</v>
      </c>
      <c r="CX74" s="153">
        <v>0.0</v>
      </c>
    </row>
    <row r="75" ht="35.25" customHeight="1">
      <c r="B75" s="167" t="s">
        <v>3017</v>
      </c>
      <c r="C75" s="154">
        <v>0.0</v>
      </c>
      <c r="D75" s="153">
        <v>0.0</v>
      </c>
      <c r="E75" s="156">
        <v>0.0</v>
      </c>
      <c r="F75" s="153">
        <v>0.0</v>
      </c>
      <c r="G75" s="153">
        <v>0.0</v>
      </c>
      <c r="H75" s="153">
        <v>0.0</v>
      </c>
      <c r="I75" s="153">
        <v>0.0</v>
      </c>
      <c r="J75" s="153">
        <v>0.0</v>
      </c>
      <c r="K75" s="153">
        <v>0.25</v>
      </c>
      <c r="L75" s="153">
        <v>0.0</v>
      </c>
      <c r="M75" s="154">
        <v>0.0</v>
      </c>
      <c r="N75" s="153">
        <v>0.25</v>
      </c>
      <c r="O75" s="156">
        <v>0.0625</v>
      </c>
      <c r="P75" s="153">
        <v>0.0</v>
      </c>
      <c r="Q75" s="153">
        <v>0.0</v>
      </c>
      <c r="R75" s="153">
        <v>0.0</v>
      </c>
      <c r="S75" s="153">
        <v>0.125</v>
      </c>
      <c r="T75" s="153">
        <v>0.0</v>
      </c>
      <c r="U75" s="153">
        <v>0.0</v>
      </c>
      <c r="V75" s="153">
        <v>0.16666666666666666</v>
      </c>
      <c r="W75" s="154">
        <v>0.0</v>
      </c>
      <c r="X75" s="153">
        <v>0.0</v>
      </c>
      <c r="Y75" s="156">
        <v>0.0</v>
      </c>
      <c r="Z75" s="153">
        <v>0.0</v>
      </c>
      <c r="AA75" s="153">
        <v>0.0</v>
      </c>
      <c r="AB75" s="153">
        <v>0.0</v>
      </c>
      <c r="AC75" s="153">
        <v>0.0</v>
      </c>
      <c r="AD75" s="153">
        <v>0.0</v>
      </c>
      <c r="AE75" s="153">
        <v>0.0</v>
      </c>
      <c r="AF75" s="153">
        <v>0.0</v>
      </c>
      <c r="AG75" s="154">
        <v>0.0</v>
      </c>
      <c r="AH75" s="153">
        <v>0.0</v>
      </c>
      <c r="AI75" s="156">
        <v>0.0</v>
      </c>
      <c r="AJ75" s="153">
        <v>0.0</v>
      </c>
      <c r="AK75" s="153">
        <v>0.0</v>
      </c>
      <c r="AL75" s="153">
        <v>0.0</v>
      </c>
      <c r="AM75" s="153">
        <v>0.0</v>
      </c>
      <c r="AN75" s="153">
        <v>0.0</v>
      </c>
      <c r="AO75" s="153">
        <v>0.0</v>
      </c>
      <c r="AP75" s="153">
        <v>0.0</v>
      </c>
      <c r="AQ75" s="154">
        <v>0.0</v>
      </c>
      <c r="AR75" s="153">
        <v>0.0</v>
      </c>
      <c r="AS75" s="156">
        <v>0.0</v>
      </c>
      <c r="AT75" s="153">
        <v>0.0</v>
      </c>
      <c r="AU75" s="153">
        <v>0.0</v>
      </c>
      <c r="AV75" s="153">
        <v>0.0</v>
      </c>
      <c r="AW75" s="153">
        <v>0.0</v>
      </c>
      <c r="AX75" s="153">
        <v>0.0</v>
      </c>
      <c r="AY75" s="153">
        <v>0.0</v>
      </c>
      <c r="AZ75" s="153">
        <v>0.0</v>
      </c>
      <c r="BA75" s="154">
        <v>0.0</v>
      </c>
      <c r="BB75" s="153">
        <v>0.0</v>
      </c>
      <c r="BC75" s="156">
        <v>0.0</v>
      </c>
      <c r="BD75" s="153">
        <v>0.0</v>
      </c>
      <c r="BE75" s="153">
        <v>0.0</v>
      </c>
      <c r="BF75" s="153">
        <v>0.0</v>
      </c>
      <c r="BG75" s="153">
        <v>0.0</v>
      </c>
      <c r="BH75" s="153">
        <v>0.0</v>
      </c>
      <c r="BI75" s="153">
        <v>0.0</v>
      </c>
      <c r="BJ75" s="153">
        <v>0.0</v>
      </c>
      <c r="BK75" s="154">
        <v>0.0</v>
      </c>
      <c r="BL75" s="153">
        <v>0.0</v>
      </c>
      <c r="BM75" s="156">
        <v>0.0</v>
      </c>
      <c r="BN75" s="153">
        <v>0.0</v>
      </c>
      <c r="BO75" s="153">
        <v>0.0</v>
      </c>
      <c r="BP75" s="153">
        <v>0.0</v>
      </c>
      <c r="BQ75" s="153">
        <v>0.0</v>
      </c>
      <c r="BR75" s="153">
        <v>0.0</v>
      </c>
      <c r="BS75" s="153">
        <v>0.0</v>
      </c>
      <c r="BT75" s="153">
        <v>0.0</v>
      </c>
      <c r="BU75" s="154">
        <v>0.25</v>
      </c>
      <c r="BV75" s="153">
        <v>0.5</v>
      </c>
      <c r="BW75" s="155">
        <v>0.0</v>
      </c>
      <c r="BX75" s="153">
        <v>0.625</v>
      </c>
      <c r="BY75" s="153">
        <v>0.75</v>
      </c>
      <c r="BZ75" s="153">
        <v>0.5</v>
      </c>
      <c r="CA75" s="153">
        <v>0.625</v>
      </c>
      <c r="CB75" s="153">
        <v>1.0</v>
      </c>
      <c r="CC75" s="153">
        <v>1.0</v>
      </c>
      <c r="CD75" s="153">
        <v>0.8333333333333334</v>
      </c>
      <c r="CE75" s="154">
        <v>0.0</v>
      </c>
      <c r="CF75" s="153">
        <v>0.0</v>
      </c>
      <c r="CG75" s="156">
        <v>0.0625</v>
      </c>
      <c r="CH75" s="153">
        <v>0.0</v>
      </c>
      <c r="CI75" s="153">
        <v>0.0</v>
      </c>
      <c r="CJ75" s="153">
        <v>0.0</v>
      </c>
      <c r="CK75" s="153">
        <v>0.0</v>
      </c>
      <c r="CL75" s="153">
        <v>0.0</v>
      </c>
      <c r="CM75" s="153">
        <v>0.0</v>
      </c>
      <c r="CN75" s="153">
        <v>0.0</v>
      </c>
      <c r="CO75" s="154">
        <v>0.0</v>
      </c>
      <c r="CP75" s="153">
        <v>0.0</v>
      </c>
      <c r="CQ75" s="156">
        <v>0.0</v>
      </c>
      <c r="CR75" s="153">
        <v>0.0</v>
      </c>
      <c r="CS75" s="153">
        <v>0.0</v>
      </c>
      <c r="CT75" s="153">
        <v>0.0</v>
      </c>
      <c r="CU75" s="153">
        <v>0.0</v>
      </c>
      <c r="CV75" s="153">
        <v>0.0</v>
      </c>
      <c r="CW75" s="153">
        <v>0.0</v>
      </c>
      <c r="CX75" s="153">
        <v>0.0</v>
      </c>
    </row>
    <row r="76" ht="35.25" customHeight="1">
      <c r="B76" s="167" t="s">
        <v>3018</v>
      </c>
      <c r="C76" s="154">
        <v>0.0</v>
      </c>
      <c r="D76" s="153">
        <v>0.0</v>
      </c>
      <c r="E76" s="153">
        <v>0.0</v>
      </c>
      <c r="F76" s="156">
        <v>0.0</v>
      </c>
      <c r="G76" s="153">
        <v>0.0</v>
      </c>
      <c r="H76" s="153">
        <v>0.0</v>
      </c>
      <c r="I76" s="153">
        <v>0.0</v>
      </c>
      <c r="J76" s="153">
        <v>0.0</v>
      </c>
      <c r="K76" s="153">
        <v>0.0</v>
      </c>
      <c r="L76" s="153">
        <v>0.0</v>
      </c>
      <c r="M76" s="154">
        <v>0.0</v>
      </c>
      <c r="N76" s="153">
        <v>0.0</v>
      </c>
      <c r="O76" s="153">
        <v>0.0</v>
      </c>
      <c r="P76" s="156">
        <v>0.0</v>
      </c>
      <c r="Q76" s="153">
        <v>0.0</v>
      </c>
      <c r="R76" s="153">
        <v>0.0</v>
      </c>
      <c r="S76" s="153">
        <v>0.0</v>
      </c>
      <c r="T76" s="153">
        <v>0.0</v>
      </c>
      <c r="U76" s="153">
        <v>0.0</v>
      </c>
      <c r="V76" s="153">
        <v>0.0</v>
      </c>
      <c r="W76" s="154">
        <v>0.0</v>
      </c>
      <c r="X76" s="153">
        <v>0.0</v>
      </c>
      <c r="Y76" s="153">
        <v>0.0</v>
      </c>
      <c r="Z76" s="156">
        <v>0.0</v>
      </c>
      <c r="AA76" s="153">
        <v>0.0</v>
      </c>
      <c r="AB76" s="153">
        <v>0.0</v>
      </c>
      <c r="AC76" s="153">
        <v>0.0</v>
      </c>
      <c r="AD76" s="153">
        <v>0.0</v>
      </c>
      <c r="AE76" s="153">
        <v>0.0</v>
      </c>
      <c r="AF76" s="153">
        <v>0.0</v>
      </c>
      <c r="AG76" s="154">
        <v>0.0</v>
      </c>
      <c r="AH76" s="153">
        <v>0.0</v>
      </c>
      <c r="AI76" s="153">
        <v>0.0</v>
      </c>
      <c r="AJ76" s="156">
        <v>0.0</v>
      </c>
      <c r="AK76" s="153">
        <v>0.0</v>
      </c>
      <c r="AL76" s="153">
        <v>0.0</v>
      </c>
      <c r="AM76" s="153">
        <v>0.0</v>
      </c>
      <c r="AN76" s="153">
        <v>0.0</v>
      </c>
      <c r="AO76" s="153">
        <v>0.0</v>
      </c>
      <c r="AP76" s="153">
        <v>0.0</v>
      </c>
      <c r="AQ76" s="154">
        <v>0.0</v>
      </c>
      <c r="AR76" s="153">
        <v>0.0</v>
      </c>
      <c r="AS76" s="153">
        <v>0.0</v>
      </c>
      <c r="AT76" s="156">
        <v>0.0</v>
      </c>
      <c r="AU76" s="153">
        <v>0.0</v>
      </c>
      <c r="AV76" s="153">
        <v>0.0</v>
      </c>
      <c r="AW76" s="153">
        <v>0.0</v>
      </c>
      <c r="AX76" s="153">
        <v>0.0</v>
      </c>
      <c r="AY76" s="153">
        <v>0.0</v>
      </c>
      <c r="AZ76" s="153">
        <v>0.0</v>
      </c>
      <c r="BA76" s="154">
        <v>0.0</v>
      </c>
      <c r="BB76" s="153">
        <v>0.0</v>
      </c>
      <c r="BC76" s="153">
        <v>0.0</v>
      </c>
      <c r="BD76" s="156">
        <v>0.0</v>
      </c>
      <c r="BE76" s="153">
        <v>0.0</v>
      </c>
      <c r="BF76" s="153">
        <v>0.0</v>
      </c>
      <c r="BG76" s="153">
        <v>0.0</v>
      </c>
      <c r="BH76" s="153">
        <v>0.0</v>
      </c>
      <c r="BI76" s="153">
        <v>0.0</v>
      </c>
      <c r="BJ76" s="153">
        <v>0.0</v>
      </c>
      <c r="BK76" s="154">
        <v>0.0</v>
      </c>
      <c r="BL76" s="153">
        <v>0.0</v>
      </c>
      <c r="BM76" s="153">
        <v>0.0</v>
      </c>
      <c r="BN76" s="156">
        <v>0.0</v>
      </c>
      <c r="BO76" s="153">
        <v>0.0</v>
      </c>
      <c r="BP76" s="153">
        <v>0.0</v>
      </c>
      <c r="BQ76" s="153">
        <v>0.0</v>
      </c>
      <c r="BR76" s="153">
        <v>0.0</v>
      </c>
      <c r="BS76" s="153">
        <v>0.0</v>
      </c>
      <c r="BT76" s="153">
        <v>0.0</v>
      </c>
      <c r="BU76" s="154">
        <v>0.5</v>
      </c>
      <c r="BV76" s="153">
        <v>1.0</v>
      </c>
      <c r="BW76" s="153">
        <v>0.625</v>
      </c>
      <c r="BX76" s="155">
        <v>0.0</v>
      </c>
      <c r="BY76" s="153">
        <v>1.0</v>
      </c>
      <c r="BZ76" s="153">
        <v>0.5</v>
      </c>
      <c r="CA76" s="153">
        <v>0.9</v>
      </c>
      <c r="CB76" s="153">
        <v>1.0</v>
      </c>
      <c r="CC76" s="153">
        <v>0.8333333333333334</v>
      </c>
      <c r="CD76" s="153">
        <v>0.75</v>
      </c>
      <c r="CE76" s="154">
        <v>0.0</v>
      </c>
      <c r="CF76" s="153">
        <v>0.0</v>
      </c>
      <c r="CG76" s="153">
        <v>0.0</v>
      </c>
      <c r="CH76" s="156">
        <v>0.0</v>
      </c>
      <c r="CI76" s="153">
        <v>0.0</v>
      </c>
      <c r="CJ76" s="153">
        <v>0.0</v>
      </c>
      <c r="CK76" s="153">
        <v>0.0</v>
      </c>
      <c r="CL76" s="153">
        <v>0.0</v>
      </c>
      <c r="CM76" s="153">
        <v>0.0</v>
      </c>
      <c r="CN76" s="153">
        <v>0.0</v>
      </c>
      <c r="CO76" s="154">
        <v>0.0</v>
      </c>
      <c r="CP76" s="153">
        <v>0.0</v>
      </c>
      <c r="CQ76" s="153">
        <v>0.0</v>
      </c>
      <c r="CR76" s="156">
        <v>0.0</v>
      </c>
      <c r="CS76" s="153">
        <v>0.0</v>
      </c>
      <c r="CT76" s="153">
        <v>0.0</v>
      </c>
      <c r="CU76" s="153">
        <v>0.0</v>
      </c>
      <c r="CV76" s="153">
        <v>0.0</v>
      </c>
      <c r="CW76" s="153">
        <v>0.0</v>
      </c>
      <c r="CX76" s="153">
        <v>0.0</v>
      </c>
    </row>
    <row r="77" ht="35.25" customHeight="1">
      <c r="B77" s="167" t="s">
        <v>3019</v>
      </c>
      <c r="C77" s="154">
        <v>0.0</v>
      </c>
      <c r="D77" s="153">
        <v>0.0</v>
      </c>
      <c r="E77" s="153">
        <v>0.0</v>
      </c>
      <c r="F77" s="153">
        <v>0.0</v>
      </c>
      <c r="G77" s="156">
        <v>0.0</v>
      </c>
      <c r="H77" s="153">
        <v>0.0</v>
      </c>
      <c r="I77" s="153">
        <v>0.0</v>
      </c>
      <c r="J77" s="153">
        <v>0.0</v>
      </c>
      <c r="K77" s="153">
        <v>0.0</v>
      </c>
      <c r="L77" s="153">
        <v>0.0</v>
      </c>
      <c r="M77" s="154">
        <v>0.0</v>
      </c>
      <c r="N77" s="153">
        <v>0.0</v>
      </c>
      <c r="O77" s="153">
        <v>0.0</v>
      </c>
      <c r="P77" s="153">
        <v>0.0</v>
      </c>
      <c r="Q77" s="156">
        <v>0.0</v>
      </c>
      <c r="R77" s="153">
        <v>0.0</v>
      </c>
      <c r="S77" s="153">
        <v>0.0</v>
      </c>
      <c r="T77" s="153">
        <v>0.0</v>
      </c>
      <c r="U77" s="153">
        <v>0.0</v>
      </c>
      <c r="V77" s="153">
        <v>0.0</v>
      </c>
      <c r="W77" s="154">
        <v>0.0</v>
      </c>
      <c r="X77" s="153">
        <v>0.0</v>
      </c>
      <c r="Y77" s="153">
        <v>0.0</v>
      </c>
      <c r="Z77" s="153">
        <v>0.0</v>
      </c>
      <c r="AA77" s="156">
        <v>0.0</v>
      </c>
      <c r="AB77" s="153">
        <v>0.0</v>
      </c>
      <c r="AC77" s="153">
        <v>0.0</v>
      </c>
      <c r="AD77" s="153">
        <v>0.0</v>
      </c>
      <c r="AE77" s="153">
        <v>0.0</v>
      </c>
      <c r="AF77" s="153">
        <v>0.0</v>
      </c>
      <c r="AG77" s="154">
        <v>0.0</v>
      </c>
      <c r="AH77" s="153">
        <v>0.0</v>
      </c>
      <c r="AI77" s="153">
        <v>0.0</v>
      </c>
      <c r="AJ77" s="153">
        <v>0.0</v>
      </c>
      <c r="AK77" s="156">
        <v>0.0</v>
      </c>
      <c r="AL77" s="153">
        <v>0.0</v>
      </c>
      <c r="AM77" s="153">
        <v>0.0</v>
      </c>
      <c r="AN77" s="153">
        <v>0.0</v>
      </c>
      <c r="AO77" s="153">
        <v>0.0</v>
      </c>
      <c r="AP77" s="153">
        <v>0.0</v>
      </c>
      <c r="AQ77" s="154">
        <v>0.0</v>
      </c>
      <c r="AR77" s="153">
        <v>0.0</v>
      </c>
      <c r="AS77" s="153">
        <v>0.0</v>
      </c>
      <c r="AT77" s="153">
        <v>0.0</v>
      </c>
      <c r="AU77" s="156">
        <v>0.0</v>
      </c>
      <c r="AV77" s="153">
        <v>0.0</v>
      </c>
      <c r="AW77" s="153">
        <v>0.0</v>
      </c>
      <c r="AX77" s="153">
        <v>0.0</v>
      </c>
      <c r="AY77" s="153">
        <v>0.0</v>
      </c>
      <c r="AZ77" s="153">
        <v>0.0</v>
      </c>
      <c r="BA77" s="154">
        <v>0.0</v>
      </c>
      <c r="BB77" s="153">
        <v>0.0</v>
      </c>
      <c r="BC77" s="153">
        <v>0.0</v>
      </c>
      <c r="BD77" s="153">
        <v>0.0</v>
      </c>
      <c r="BE77" s="156">
        <v>0.0</v>
      </c>
      <c r="BF77" s="153">
        <v>0.0</v>
      </c>
      <c r="BG77" s="153">
        <v>0.0</v>
      </c>
      <c r="BH77" s="153">
        <v>0.0</v>
      </c>
      <c r="BI77" s="153">
        <v>0.0</v>
      </c>
      <c r="BJ77" s="153">
        <v>0.0</v>
      </c>
      <c r="BK77" s="154">
        <v>0.0</v>
      </c>
      <c r="BL77" s="153">
        <v>0.0</v>
      </c>
      <c r="BM77" s="153">
        <v>0.0</v>
      </c>
      <c r="BN77" s="153">
        <v>0.0</v>
      </c>
      <c r="BO77" s="156">
        <v>0.0</v>
      </c>
      <c r="BP77" s="153">
        <v>0.0</v>
      </c>
      <c r="BQ77" s="153">
        <v>0.0</v>
      </c>
      <c r="BR77" s="153">
        <v>0.0</v>
      </c>
      <c r="BS77" s="153">
        <v>0.0</v>
      </c>
      <c r="BT77" s="153">
        <v>0.0</v>
      </c>
      <c r="BU77" s="154">
        <v>0.8</v>
      </c>
      <c r="BV77" s="153">
        <v>0.8333333333333334</v>
      </c>
      <c r="BW77" s="153">
        <v>0.75</v>
      </c>
      <c r="BX77" s="153">
        <v>1.0</v>
      </c>
      <c r="BY77" s="155">
        <v>0.0</v>
      </c>
      <c r="BZ77" s="153">
        <v>1.0</v>
      </c>
      <c r="CA77" s="153">
        <v>0.75</v>
      </c>
      <c r="CB77" s="153">
        <v>0.9</v>
      </c>
      <c r="CC77" s="153">
        <v>0.8333333333333334</v>
      </c>
      <c r="CD77" s="153">
        <v>1.0</v>
      </c>
      <c r="CE77" s="154">
        <v>0.0</v>
      </c>
      <c r="CF77" s="153">
        <v>0.0</v>
      </c>
      <c r="CG77" s="153">
        <v>0.25</v>
      </c>
      <c r="CH77" s="153">
        <v>0.0</v>
      </c>
      <c r="CI77" s="156">
        <v>0.0</v>
      </c>
      <c r="CJ77" s="153">
        <v>0.0</v>
      </c>
      <c r="CK77" s="153">
        <v>0.0</v>
      </c>
      <c r="CL77" s="153">
        <v>0.0</v>
      </c>
      <c r="CM77" s="153">
        <v>0.0</v>
      </c>
      <c r="CN77" s="153">
        <v>0.0</v>
      </c>
      <c r="CO77" s="154">
        <v>0.0</v>
      </c>
      <c r="CP77" s="153">
        <v>0.0</v>
      </c>
      <c r="CQ77" s="153">
        <v>0.0</v>
      </c>
      <c r="CR77" s="153">
        <v>0.0</v>
      </c>
      <c r="CS77" s="156">
        <v>0.0</v>
      </c>
      <c r="CT77" s="153">
        <v>0.0</v>
      </c>
      <c r="CU77" s="153">
        <v>0.0</v>
      </c>
      <c r="CV77" s="153">
        <v>0.0</v>
      </c>
      <c r="CW77" s="153">
        <v>0.0</v>
      </c>
      <c r="CX77" s="153">
        <v>0.0</v>
      </c>
    </row>
    <row r="78" ht="35.25" customHeight="1">
      <c r="B78" s="167" t="s">
        <v>3020</v>
      </c>
      <c r="C78" s="154">
        <v>0.0</v>
      </c>
      <c r="D78" s="153">
        <v>0.0</v>
      </c>
      <c r="E78" s="153">
        <v>0.0</v>
      </c>
      <c r="F78" s="153">
        <v>0.0</v>
      </c>
      <c r="G78" s="153">
        <v>0.0</v>
      </c>
      <c r="H78" s="156">
        <v>0.0</v>
      </c>
      <c r="I78" s="153">
        <v>0.0</v>
      </c>
      <c r="J78" s="153">
        <v>0.0</v>
      </c>
      <c r="K78" s="153">
        <v>0.0</v>
      </c>
      <c r="L78" s="153">
        <v>0.0</v>
      </c>
      <c r="M78" s="154">
        <v>0.0</v>
      </c>
      <c r="N78" s="153">
        <v>0.0</v>
      </c>
      <c r="O78" s="153">
        <v>0.0</v>
      </c>
      <c r="P78" s="153">
        <v>0.0</v>
      </c>
      <c r="Q78" s="153">
        <v>0.0</v>
      </c>
      <c r="R78" s="156">
        <v>0.0</v>
      </c>
      <c r="S78" s="153">
        <v>0.0</v>
      </c>
      <c r="T78" s="153">
        <v>0.0</v>
      </c>
      <c r="U78" s="153">
        <v>0.0</v>
      </c>
      <c r="V78" s="153">
        <v>0.0</v>
      </c>
      <c r="W78" s="154">
        <v>0.0</v>
      </c>
      <c r="X78" s="153">
        <v>0.0</v>
      </c>
      <c r="Y78" s="153">
        <v>0.0</v>
      </c>
      <c r="Z78" s="153">
        <v>0.0</v>
      </c>
      <c r="AA78" s="153">
        <v>0.0</v>
      </c>
      <c r="AB78" s="156">
        <v>0.0</v>
      </c>
      <c r="AC78" s="153">
        <v>0.0</v>
      </c>
      <c r="AD78" s="153">
        <v>0.0</v>
      </c>
      <c r="AE78" s="153">
        <v>0.0</v>
      </c>
      <c r="AF78" s="153">
        <v>0.0</v>
      </c>
      <c r="AG78" s="154">
        <v>0.0</v>
      </c>
      <c r="AH78" s="153">
        <v>0.0</v>
      </c>
      <c r="AI78" s="153">
        <v>0.0</v>
      </c>
      <c r="AJ78" s="153">
        <v>0.0</v>
      </c>
      <c r="AK78" s="153">
        <v>0.0</v>
      </c>
      <c r="AL78" s="156">
        <v>0.0</v>
      </c>
      <c r="AM78" s="153">
        <v>0.0</v>
      </c>
      <c r="AN78" s="153">
        <v>0.0</v>
      </c>
      <c r="AO78" s="153">
        <v>0.0</v>
      </c>
      <c r="AP78" s="153">
        <v>0.0</v>
      </c>
      <c r="AQ78" s="154">
        <v>0.0</v>
      </c>
      <c r="AR78" s="153">
        <v>0.0</v>
      </c>
      <c r="AS78" s="153">
        <v>0.0</v>
      </c>
      <c r="AT78" s="153">
        <v>0.0</v>
      </c>
      <c r="AU78" s="153">
        <v>0.0</v>
      </c>
      <c r="AV78" s="156">
        <v>0.0</v>
      </c>
      <c r="AW78" s="153">
        <v>0.0</v>
      </c>
      <c r="AX78" s="153">
        <v>0.0</v>
      </c>
      <c r="AY78" s="153">
        <v>0.0</v>
      </c>
      <c r="AZ78" s="153">
        <v>0.0</v>
      </c>
      <c r="BA78" s="154">
        <v>0.0</v>
      </c>
      <c r="BB78" s="153">
        <v>0.0</v>
      </c>
      <c r="BC78" s="153">
        <v>0.0</v>
      </c>
      <c r="BD78" s="153">
        <v>0.0</v>
      </c>
      <c r="BE78" s="153">
        <v>0.0</v>
      </c>
      <c r="BF78" s="156">
        <v>0.0</v>
      </c>
      <c r="BG78" s="153">
        <v>0.0</v>
      </c>
      <c r="BH78" s="153">
        <v>0.0</v>
      </c>
      <c r="BI78" s="153">
        <v>0.0</v>
      </c>
      <c r="BJ78" s="153">
        <v>0.0</v>
      </c>
      <c r="BK78" s="154">
        <v>0.0</v>
      </c>
      <c r="BL78" s="153">
        <v>0.0</v>
      </c>
      <c r="BM78" s="153">
        <v>0.0</v>
      </c>
      <c r="BN78" s="153">
        <v>0.0</v>
      </c>
      <c r="BO78" s="153">
        <v>0.0</v>
      </c>
      <c r="BP78" s="156">
        <v>0.0</v>
      </c>
      <c r="BQ78" s="153">
        <v>0.0</v>
      </c>
      <c r="BR78" s="153">
        <v>0.0</v>
      </c>
      <c r="BS78" s="153">
        <v>0.0</v>
      </c>
      <c r="BT78" s="153">
        <v>0.0</v>
      </c>
      <c r="BU78" s="154">
        <v>0.7</v>
      </c>
      <c r="BV78" s="153">
        <v>1.0</v>
      </c>
      <c r="BW78" s="153">
        <v>0.5</v>
      </c>
      <c r="BX78" s="153">
        <v>0.5</v>
      </c>
      <c r="BY78" s="153">
        <v>1.0</v>
      </c>
      <c r="BZ78" s="155">
        <v>0.0</v>
      </c>
      <c r="CA78" s="153">
        <v>1.0</v>
      </c>
      <c r="CB78" s="153">
        <v>1.0</v>
      </c>
      <c r="CC78" s="153">
        <v>1.0</v>
      </c>
      <c r="CD78" s="153">
        <v>1.0</v>
      </c>
      <c r="CE78" s="154">
        <v>0.0</v>
      </c>
      <c r="CF78" s="153">
        <v>0.0</v>
      </c>
      <c r="CG78" s="153">
        <v>0.0</v>
      </c>
      <c r="CH78" s="153">
        <v>0.0</v>
      </c>
      <c r="CI78" s="153">
        <v>0.0</v>
      </c>
      <c r="CJ78" s="156">
        <v>0.0</v>
      </c>
      <c r="CK78" s="153">
        <v>0.0</v>
      </c>
      <c r="CL78" s="153">
        <v>0.0</v>
      </c>
      <c r="CM78" s="153">
        <v>0.0</v>
      </c>
      <c r="CN78" s="153">
        <v>0.0</v>
      </c>
      <c r="CO78" s="154">
        <v>0.0</v>
      </c>
      <c r="CP78" s="153">
        <v>0.0</v>
      </c>
      <c r="CQ78" s="153">
        <v>0.0</v>
      </c>
      <c r="CR78" s="153">
        <v>0.0</v>
      </c>
      <c r="CS78" s="153">
        <v>0.0</v>
      </c>
      <c r="CT78" s="156">
        <v>0.0</v>
      </c>
      <c r="CU78" s="153">
        <v>0.0</v>
      </c>
      <c r="CV78" s="153">
        <v>0.0</v>
      </c>
      <c r="CW78" s="153">
        <v>0.0</v>
      </c>
      <c r="CX78" s="153">
        <v>0.0</v>
      </c>
    </row>
    <row r="79" ht="35.25" customHeight="1">
      <c r="B79" s="167" t="s">
        <v>3021</v>
      </c>
      <c r="C79" s="154">
        <v>0.0</v>
      </c>
      <c r="D79" s="153">
        <v>0.0</v>
      </c>
      <c r="E79" s="153">
        <v>0.0</v>
      </c>
      <c r="F79" s="153">
        <v>0.0</v>
      </c>
      <c r="G79" s="153">
        <v>0.0</v>
      </c>
      <c r="H79" s="153">
        <v>0.0</v>
      </c>
      <c r="I79" s="156">
        <v>0.0625</v>
      </c>
      <c r="J79" s="153">
        <v>0.0</v>
      </c>
      <c r="K79" s="153">
        <v>0.0</v>
      </c>
      <c r="L79" s="153">
        <v>0.0</v>
      </c>
      <c r="M79" s="154">
        <v>0.0</v>
      </c>
      <c r="N79" s="153">
        <v>0.0</v>
      </c>
      <c r="O79" s="153">
        <v>0.0</v>
      </c>
      <c r="P79" s="153">
        <v>0.0</v>
      </c>
      <c r="Q79" s="153">
        <v>0.0</v>
      </c>
      <c r="R79" s="153">
        <v>0.0</v>
      </c>
      <c r="S79" s="156">
        <v>0.0</v>
      </c>
      <c r="T79" s="153">
        <v>0.0</v>
      </c>
      <c r="U79" s="153">
        <v>0.0</v>
      </c>
      <c r="V79" s="153">
        <v>0.0</v>
      </c>
      <c r="W79" s="154">
        <v>0.0</v>
      </c>
      <c r="X79" s="153">
        <v>0.0</v>
      </c>
      <c r="Y79" s="153">
        <v>0.0</v>
      </c>
      <c r="Z79" s="153">
        <v>0.0</v>
      </c>
      <c r="AA79" s="153">
        <v>0.0</v>
      </c>
      <c r="AB79" s="153">
        <v>0.0</v>
      </c>
      <c r="AC79" s="156">
        <v>0.0</v>
      </c>
      <c r="AD79" s="153">
        <v>0.0</v>
      </c>
      <c r="AE79" s="153">
        <v>0.0</v>
      </c>
      <c r="AF79" s="153">
        <v>0.0</v>
      </c>
      <c r="AG79" s="154">
        <v>0.0</v>
      </c>
      <c r="AH79" s="153">
        <v>0.0</v>
      </c>
      <c r="AI79" s="153">
        <v>0.0</v>
      </c>
      <c r="AJ79" s="153">
        <v>0.0</v>
      </c>
      <c r="AK79" s="153">
        <v>0.0</v>
      </c>
      <c r="AL79" s="153">
        <v>0.0</v>
      </c>
      <c r="AM79" s="156">
        <v>0.0</v>
      </c>
      <c r="AN79" s="153">
        <v>0.0</v>
      </c>
      <c r="AO79" s="153">
        <v>0.0</v>
      </c>
      <c r="AP79" s="153">
        <v>0.0</v>
      </c>
      <c r="AQ79" s="154">
        <v>0.0</v>
      </c>
      <c r="AR79" s="153">
        <v>0.0</v>
      </c>
      <c r="AS79" s="153">
        <v>0.0</v>
      </c>
      <c r="AT79" s="153">
        <v>0.0</v>
      </c>
      <c r="AU79" s="153">
        <v>0.0</v>
      </c>
      <c r="AV79" s="153">
        <v>0.0</v>
      </c>
      <c r="AW79" s="156">
        <v>0.0</v>
      </c>
      <c r="AX79" s="153">
        <v>0.0</v>
      </c>
      <c r="AY79" s="153">
        <v>0.0</v>
      </c>
      <c r="AZ79" s="153">
        <v>0.0</v>
      </c>
      <c r="BA79" s="154">
        <v>0.0</v>
      </c>
      <c r="BB79" s="153">
        <v>0.0</v>
      </c>
      <c r="BC79" s="153">
        <v>0.0</v>
      </c>
      <c r="BD79" s="153">
        <v>0.0</v>
      </c>
      <c r="BE79" s="153">
        <v>0.0</v>
      </c>
      <c r="BF79" s="153">
        <v>0.0</v>
      </c>
      <c r="BG79" s="156">
        <v>0.0</v>
      </c>
      <c r="BH79" s="153">
        <v>0.0</v>
      </c>
      <c r="BI79" s="153">
        <v>0.0</v>
      </c>
      <c r="BJ79" s="153">
        <v>0.0</v>
      </c>
      <c r="BK79" s="154">
        <v>0.0</v>
      </c>
      <c r="BL79" s="153">
        <v>0.0</v>
      </c>
      <c r="BM79" s="153">
        <v>0.0</v>
      </c>
      <c r="BN79" s="153">
        <v>0.0</v>
      </c>
      <c r="BO79" s="153">
        <v>0.0</v>
      </c>
      <c r="BP79" s="153">
        <v>0.0</v>
      </c>
      <c r="BQ79" s="156">
        <v>0.0</v>
      </c>
      <c r="BR79" s="153">
        <v>0.0</v>
      </c>
      <c r="BS79" s="153">
        <v>0.0</v>
      </c>
      <c r="BT79" s="153">
        <v>0.0</v>
      </c>
      <c r="BU79" s="154">
        <v>0.5</v>
      </c>
      <c r="BV79" s="153">
        <v>1.0</v>
      </c>
      <c r="BW79" s="153">
        <v>0.625</v>
      </c>
      <c r="BX79" s="153">
        <v>0.9</v>
      </c>
      <c r="BY79" s="153">
        <v>0.75</v>
      </c>
      <c r="BZ79" s="153">
        <v>1.0</v>
      </c>
      <c r="CA79" s="155">
        <v>0.0</v>
      </c>
      <c r="CB79" s="153">
        <v>1.0</v>
      </c>
      <c r="CC79" s="153">
        <v>0.75</v>
      </c>
      <c r="CD79" s="153">
        <v>0.5</v>
      </c>
      <c r="CE79" s="154">
        <v>0.0</v>
      </c>
      <c r="CF79" s="153">
        <v>0.0</v>
      </c>
      <c r="CG79" s="153">
        <v>0.0</v>
      </c>
      <c r="CH79" s="153">
        <v>0.0</v>
      </c>
      <c r="CI79" s="153">
        <v>0.0</v>
      </c>
      <c r="CJ79" s="153">
        <v>0.0</v>
      </c>
      <c r="CK79" s="156">
        <v>0.0</v>
      </c>
      <c r="CL79" s="153">
        <v>0.0</v>
      </c>
      <c r="CM79" s="153">
        <v>0.0</v>
      </c>
      <c r="CN79" s="153">
        <v>0.0</v>
      </c>
      <c r="CO79" s="154">
        <v>0.0</v>
      </c>
      <c r="CP79" s="153">
        <v>0.0</v>
      </c>
      <c r="CQ79" s="153">
        <v>0.0</v>
      </c>
      <c r="CR79" s="153">
        <v>0.0</v>
      </c>
      <c r="CS79" s="153">
        <v>0.0</v>
      </c>
      <c r="CT79" s="153">
        <v>0.0</v>
      </c>
      <c r="CU79" s="156">
        <v>0.0</v>
      </c>
      <c r="CV79" s="153">
        <v>0.0</v>
      </c>
      <c r="CW79" s="153">
        <v>0.0</v>
      </c>
      <c r="CX79" s="153">
        <v>0.0</v>
      </c>
    </row>
    <row r="80" ht="35.25" customHeight="1">
      <c r="B80" s="167" t="s">
        <v>3022</v>
      </c>
      <c r="C80" s="154">
        <v>0.0</v>
      </c>
      <c r="D80" s="153">
        <v>0.0</v>
      </c>
      <c r="E80" s="153">
        <v>0.0</v>
      </c>
      <c r="F80" s="153">
        <v>0.0</v>
      </c>
      <c r="G80" s="153">
        <v>0.0</v>
      </c>
      <c r="H80" s="153">
        <v>0.0</v>
      </c>
      <c r="I80" s="153">
        <v>0.0</v>
      </c>
      <c r="J80" s="156">
        <v>0.0</v>
      </c>
      <c r="K80" s="153">
        <v>0.0</v>
      </c>
      <c r="L80" s="153">
        <v>0.0</v>
      </c>
      <c r="M80" s="154">
        <v>0.0</v>
      </c>
      <c r="N80" s="153">
        <v>0.0</v>
      </c>
      <c r="O80" s="153">
        <v>0.0</v>
      </c>
      <c r="P80" s="153">
        <v>0.0</v>
      </c>
      <c r="Q80" s="153">
        <v>0.0</v>
      </c>
      <c r="R80" s="153">
        <v>0.0</v>
      </c>
      <c r="S80" s="153">
        <v>0.0</v>
      </c>
      <c r="T80" s="156">
        <v>0.0</v>
      </c>
      <c r="U80" s="153">
        <v>0.0</v>
      </c>
      <c r="V80" s="153">
        <v>0.0</v>
      </c>
      <c r="W80" s="154">
        <v>0.0</v>
      </c>
      <c r="X80" s="153">
        <v>0.0</v>
      </c>
      <c r="Y80" s="153">
        <v>0.0</v>
      </c>
      <c r="Z80" s="153">
        <v>0.0</v>
      </c>
      <c r="AA80" s="153">
        <v>0.0</v>
      </c>
      <c r="AB80" s="153">
        <v>0.0</v>
      </c>
      <c r="AC80" s="153">
        <v>0.0</v>
      </c>
      <c r="AD80" s="156">
        <v>0.0</v>
      </c>
      <c r="AE80" s="153">
        <v>0.0</v>
      </c>
      <c r="AF80" s="153">
        <v>0.0</v>
      </c>
      <c r="AG80" s="154">
        <v>0.0</v>
      </c>
      <c r="AH80" s="153">
        <v>0.0</v>
      </c>
      <c r="AI80" s="153">
        <v>0.0</v>
      </c>
      <c r="AJ80" s="153">
        <v>0.0</v>
      </c>
      <c r="AK80" s="153">
        <v>0.0</v>
      </c>
      <c r="AL80" s="153">
        <v>0.0</v>
      </c>
      <c r="AM80" s="153">
        <v>0.0</v>
      </c>
      <c r="AN80" s="156">
        <v>0.0</v>
      </c>
      <c r="AO80" s="153">
        <v>0.0</v>
      </c>
      <c r="AP80" s="153">
        <v>0.0</v>
      </c>
      <c r="AQ80" s="154">
        <v>0.0</v>
      </c>
      <c r="AR80" s="153">
        <v>0.0</v>
      </c>
      <c r="AS80" s="153">
        <v>0.0</v>
      </c>
      <c r="AT80" s="153">
        <v>0.0</v>
      </c>
      <c r="AU80" s="153">
        <v>0.0</v>
      </c>
      <c r="AV80" s="153">
        <v>0.0</v>
      </c>
      <c r="AW80" s="153">
        <v>0.0</v>
      </c>
      <c r="AX80" s="156">
        <v>0.0</v>
      </c>
      <c r="AY80" s="153">
        <v>0.0</v>
      </c>
      <c r="AZ80" s="153">
        <v>0.0</v>
      </c>
      <c r="BA80" s="154">
        <v>0.0</v>
      </c>
      <c r="BB80" s="153">
        <v>0.0</v>
      </c>
      <c r="BC80" s="153">
        <v>0.0</v>
      </c>
      <c r="BD80" s="153">
        <v>0.0</v>
      </c>
      <c r="BE80" s="153">
        <v>0.0</v>
      </c>
      <c r="BF80" s="153">
        <v>0.0</v>
      </c>
      <c r="BG80" s="153">
        <v>0.0</v>
      </c>
      <c r="BH80" s="156">
        <v>0.0</v>
      </c>
      <c r="BI80" s="153">
        <v>0.0</v>
      </c>
      <c r="BJ80" s="153">
        <v>0.0</v>
      </c>
      <c r="BK80" s="154">
        <v>0.0</v>
      </c>
      <c r="BL80" s="153">
        <v>0.0</v>
      </c>
      <c r="BM80" s="153">
        <v>0.0</v>
      </c>
      <c r="BN80" s="153">
        <v>0.0</v>
      </c>
      <c r="BO80" s="153">
        <v>0.0</v>
      </c>
      <c r="BP80" s="153">
        <v>0.0</v>
      </c>
      <c r="BQ80" s="153">
        <v>0.0</v>
      </c>
      <c r="BR80" s="156">
        <v>0.0</v>
      </c>
      <c r="BS80" s="153">
        <v>0.0</v>
      </c>
      <c r="BT80" s="153">
        <v>0.0</v>
      </c>
      <c r="BU80" s="154">
        <v>0.75</v>
      </c>
      <c r="BV80" s="153">
        <v>0.75</v>
      </c>
      <c r="BW80" s="153">
        <v>1.0</v>
      </c>
      <c r="BX80" s="153">
        <v>1.0</v>
      </c>
      <c r="BY80" s="153">
        <v>0.9</v>
      </c>
      <c r="BZ80" s="153">
        <v>1.0</v>
      </c>
      <c r="CA80" s="153">
        <v>1.0</v>
      </c>
      <c r="CB80" s="155">
        <v>0.0</v>
      </c>
      <c r="CC80" s="153">
        <v>0.75</v>
      </c>
      <c r="CD80" s="153">
        <v>0.8333333333333334</v>
      </c>
      <c r="CE80" s="154">
        <v>0.0</v>
      </c>
      <c r="CF80" s="153">
        <v>0.0</v>
      </c>
      <c r="CG80" s="153">
        <v>0.16666666666666666</v>
      </c>
      <c r="CH80" s="153">
        <v>0.0</v>
      </c>
      <c r="CI80" s="153">
        <v>0.0</v>
      </c>
      <c r="CJ80" s="153">
        <v>0.0</v>
      </c>
      <c r="CK80" s="153">
        <v>0.0</v>
      </c>
      <c r="CL80" s="156">
        <v>0.0</v>
      </c>
      <c r="CM80" s="153">
        <v>0.0</v>
      </c>
      <c r="CN80" s="153">
        <v>0.0</v>
      </c>
      <c r="CO80" s="154">
        <v>0.0</v>
      </c>
      <c r="CP80" s="153">
        <v>0.0</v>
      </c>
      <c r="CQ80" s="153">
        <v>0.0</v>
      </c>
      <c r="CR80" s="153">
        <v>0.0</v>
      </c>
      <c r="CS80" s="153">
        <v>0.0</v>
      </c>
      <c r="CT80" s="153">
        <v>0.0</v>
      </c>
      <c r="CU80" s="153">
        <v>0.0</v>
      </c>
      <c r="CV80" s="156">
        <v>0.0</v>
      </c>
      <c r="CW80" s="153">
        <v>0.0</v>
      </c>
      <c r="CX80" s="153">
        <v>0.0</v>
      </c>
    </row>
    <row r="81" ht="35.25" customHeight="1">
      <c r="B81" s="167" t="s">
        <v>3023</v>
      </c>
      <c r="C81" s="154">
        <v>0.0</v>
      </c>
      <c r="D81" s="153">
        <v>0.0</v>
      </c>
      <c r="E81" s="153">
        <v>0.0</v>
      </c>
      <c r="F81" s="153">
        <v>0.0</v>
      </c>
      <c r="G81" s="153">
        <v>0.0</v>
      </c>
      <c r="H81" s="153">
        <v>0.0</v>
      </c>
      <c r="I81" s="153">
        <v>0.0</v>
      </c>
      <c r="J81" s="153">
        <v>0.0</v>
      </c>
      <c r="K81" s="156">
        <v>0.0625</v>
      </c>
      <c r="L81" s="153">
        <v>0.0</v>
      </c>
      <c r="M81" s="154">
        <v>0.0</v>
      </c>
      <c r="N81" s="153">
        <v>0.0</v>
      </c>
      <c r="O81" s="153">
        <v>0.0</v>
      </c>
      <c r="P81" s="153">
        <v>0.0</v>
      </c>
      <c r="Q81" s="153">
        <v>0.0</v>
      </c>
      <c r="R81" s="153">
        <v>0.0</v>
      </c>
      <c r="S81" s="153">
        <v>0.0</v>
      </c>
      <c r="T81" s="153">
        <v>0.0</v>
      </c>
      <c r="U81" s="156">
        <v>0.0</v>
      </c>
      <c r="V81" s="153">
        <v>0.0</v>
      </c>
      <c r="W81" s="154">
        <v>0.0</v>
      </c>
      <c r="X81" s="153">
        <v>0.0</v>
      </c>
      <c r="Y81" s="153">
        <v>0.0</v>
      </c>
      <c r="Z81" s="153">
        <v>0.0</v>
      </c>
      <c r="AA81" s="153">
        <v>0.0</v>
      </c>
      <c r="AB81" s="153">
        <v>0.0</v>
      </c>
      <c r="AC81" s="153">
        <v>0.0</v>
      </c>
      <c r="AD81" s="153">
        <v>0.0</v>
      </c>
      <c r="AE81" s="156">
        <v>0.0</v>
      </c>
      <c r="AF81" s="153">
        <v>0.0</v>
      </c>
      <c r="AG81" s="154">
        <v>0.0</v>
      </c>
      <c r="AH81" s="153">
        <v>0.0</v>
      </c>
      <c r="AI81" s="153">
        <v>0.0</v>
      </c>
      <c r="AJ81" s="153">
        <v>0.0</v>
      </c>
      <c r="AK81" s="153">
        <v>0.0</v>
      </c>
      <c r="AL81" s="153">
        <v>0.0</v>
      </c>
      <c r="AM81" s="153">
        <v>0.0</v>
      </c>
      <c r="AN81" s="153">
        <v>0.0</v>
      </c>
      <c r="AO81" s="156">
        <v>0.0</v>
      </c>
      <c r="AP81" s="153">
        <v>0.0</v>
      </c>
      <c r="AQ81" s="154">
        <v>0.0</v>
      </c>
      <c r="AR81" s="153">
        <v>0.0</v>
      </c>
      <c r="AS81" s="153">
        <v>0.0</v>
      </c>
      <c r="AT81" s="153">
        <v>0.0</v>
      </c>
      <c r="AU81" s="153">
        <v>0.0</v>
      </c>
      <c r="AV81" s="153">
        <v>0.0</v>
      </c>
      <c r="AW81" s="153">
        <v>0.0</v>
      </c>
      <c r="AX81" s="153">
        <v>0.0</v>
      </c>
      <c r="AY81" s="156">
        <v>0.0</v>
      </c>
      <c r="AZ81" s="153">
        <v>0.0</v>
      </c>
      <c r="BA81" s="154">
        <v>0.0</v>
      </c>
      <c r="BB81" s="153">
        <v>0.0</v>
      </c>
      <c r="BC81" s="153">
        <v>0.0</v>
      </c>
      <c r="BD81" s="153">
        <v>0.0</v>
      </c>
      <c r="BE81" s="153">
        <v>0.0</v>
      </c>
      <c r="BF81" s="153">
        <v>0.0</v>
      </c>
      <c r="BG81" s="153">
        <v>0.0</v>
      </c>
      <c r="BH81" s="153">
        <v>0.0</v>
      </c>
      <c r="BI81" s="156">
        <v>0.0</v>
      </c>
      <c r="BJ81" s="153">
        <v>0.0</v>
      </c>
      <c r="BK81" s="154">
        <v>0.0</v>
      </c>
      <c r="BL81" s="153">
        <v>0.0</v>
      </c>
      <c r="BM81" s="153">
        <v>0.0</v>
      </c>
      <c r="BN81" s="153">
        <v>0.0</v>
      </c>
      <c r="BO81" s="153">
        <v>0.0</v>
      </c>
      <c r="BP81" s="153">
        <v>0.0</v>
      </c>
      <c r="BQ81" s="153">
        <v>0.0</v>
      </c>
      <c r="BR81" s="153">
        <v>0.0</v>
      </c>
      <c r="BS81" s="156">
        <v>0.0</v>
      </c>
      <c r="BT81" s="153">
        <v>0.0</v>
      </c>
      <c r="BU81" s="154">
        <v>0.8</v>
      </c>
      <c r="BV81" s="153">
        <v>1.0</v>
      </c>
      <c r="BW81" s="153">
        <v>1.0</v>
      </c>
      <c r="BX81" s="153">
        <v>0.8333333333333334</v>
      </c>
      <c r="BY81" s="153">
        <v>0.8333333333333334</v>
      </c>
      <c r="BZ81" s="153">
        <v>1.0</v>
      </c>
      <c r="CA81" s="153">
        <v>0.75</v>
      </c>
      <c r="CB81" s="153">
        <v>0.75</v>
      </c>
      <c r="CC81" s="155">
        <v>0.0</v>
      </c>
      <c r="CD81" s="153">
        <v>1.0</v>
      </c>
      <c r="CE81" s="154">
        <v>0.0</v>
      </c>
      <c r="CF81" s="153">
        <v>0.0</v>
      </c>
      <c r="CG81" s="153">
        <v>0.0</v>
      </c>
      <c r="CH81" s="153">
        <v>0.0</v>
      </c>
      <c r="CI81" s="153">
        <v>0.0</v>
      </c>
      <c r="CJ81" s="153">
        <v>0.0</v>
      </c>
      <c r="CK81" s="153">
        <v>0.0</v>
      </c>
      <c r="CL81" s="153">
        <v>0.0</v>
      </c>
      <c r="CM81" s="156">
        <v>0.0</v>
      </c>
      <c r="CN81" s="153">
        <v>0.0</v>
      </c>
      <c r="CO81" s="154">
        <v>0.0</v>
      </c>
      <c r="CP81" s="153">
        <v>0.0</v>
      </c>
      <c r="CQ81" s="153">
        <v>0.0</v>
      </c>
      <c r="CR81" s="153">
        <v>0.0</v>
      </c>
      <c r="CS81" s="153">
        <v>0.0</v>
      </c>
      <c r="CT81" s="153">
        <v>0.0</v>
      </c>
      <c r="CU81" s="153">
        <v>0.0</v>
      </c>
      <c r="CV81" s="153">
        <v>0.0</v>
      </c>
      <c r="CW81" s="156">
        <v>0.0</v>
      </c>
      <c r="CX81" s="153">
        <v>0.0</v>
      </c>
    </row>
    <row r="82" ht="35.25" customHeight="1">
      <c r="A82" s="125"/>
      <c r="B82" s="168" t="s">
        <v>3024</v>
      </c>
      <c r="C82" s="157">
        <v>0.0</v>
      </c>
      <c r="D82" s="158">
        <v>0.25</v>
      </c>
      <c r="E82" s="158">
        <v>0.16666666666666666</v>
      </c>
      <c r="F82" s="158">
        <v>0.0</v>
      </c>
      <c r="G82" s="158">
        <v>0.0</v>
      </c>
      <c r="H82" s="158">
        <v>0.0</v>
      </c>
      <c r="I82" s="158">
        <v>0.25</v>
      </c>
      <c r="J82" s="158">
        <v>0.0</v>
      </c>
      <c r="K82" s="158">
        <v>0.0</v>
      </c>
      <c r="L82" s="160">
        <v>0.07142857142857142</v>
      </c>
      <c r="M82" s="157">
        <v>0.0</v>
      </c>
      <c r="N82" s="158">
        <v>0.0</v>
      </c>
      <c r="O82" s="158">
        <v>0.0</v>
      </c>
      <c r="P82" s="158">
        <v>0.0</v>
      </c>
      <c r="Q82" s="158">
        <v>0.0</v>
      </c>
      <c r="R82" s="158">
        <v>0.0</v>
      </c>
      <c r="S82" s="158">
        <v>0.0</v>
      </c>
      <c r="T82" s="158">
        <v>0.0</v>
      </c>
      <c r="U82" s="158">
        <v>0.0</v>
      </c>
      <c r="V82" s="160">
        <v>0.0</v>
      </c>
      <c r="W82" s="157">
        <v>0.0</v>
      </c>
      <c r="X82" s="158">
        <v>0.0</v>
      </c>
      <c r="Y82" s="158">
        <v>0.0</v>
      </c>
      <c r="Z82" s="158">
        <v>0.0</v>
      </c>
      <c r="AA82" s="158">
        <v>0.0</v>
      </c>
      <c r="AB82" s="158">
        <v>0.0</v>
      </c>
      <c r="AC82" s="158">
        <v>0.0</v>
      </c>
      <c r="AD82" s="158">
        <v>0.0</v>
      </c>
      <c r="AE82" s="158">
        <v>0.0</v>
      </c>
      <c r="AF82" s="160">
        <v>0.0</v>
      </c>
      <c r="AG82" s="157">
        <v>0.0</v>
      </c>
      <c r="AH82" s="158">
        <v>0.0</v>
      </c>
      <c r="AI82" s="158">
        <v>0.0</v>
      </c>
      <c r="AJ82" s="158">
        <v>0.0</v>
      </c>
      <c r="AK82" s="158">
        <v>0.0</v>
      </c>
      <c r="AL82" s="158">
        <v>0.0</v>
      </c>
      <c r="AM82" s="158">
        <v>0.0</v>
      </c>
      <c r="AN82" s="158">
        <v>0.0</v>
      </c>
      <c r="AO82" s="158">
        <v>0.0</v>
      </c>
      <c r="AP82" s="160">
        <v>0.0</v>
      </c>
      <c r="AQ82" s="157">
        <v>0.0</v>
      </c>
      <c r="AR82" s="158">
        <v>0.0</v>
      </c>
      <c r="AS82" s="158">
        <v>0.0</v>
      </c>
      <c r="AT82" s="158">
        <v>0.0</v>
      </c>
      <c r="AU82" s="158">
        <v>0.0</v>
      </c>
      <c r="AV82" s="158">
        <v>0.0</v>
      </c>
      <c r="AW82" s="158">
        <v>0.0</v>
      </c>
      <c r="AX82" s="158">
        <v>0.0</v>
      </c>
      <c r="AY82" s="158">
        <v>0.0</v>
      </c>
      <c r="AZ82" s="160">
        <v>0.0</v>
      </c>
      <c r="BA82" s="157">
        <v>0.0</v>
      </c>
      <c r="BB82" s="158">
        <v>0.0</v>
      </c>
      <c r="BC82" s="158">
        <v>0.0</v>
      </c>
      <c r="BD82" s="158">
        <v>0.0</v>
      </c>
      <c r="BE82" s="158">
        <v>0.0</v>
      </c>
      <c r="BF82" s="158">
        <v>0.0</v>
      </c>
      <c r="BG82" s="158">
        <v>0.0</v>
      </c>
      <c r="BH82" s="158">
        <v>0.0</v>
      </c>
      <c r="BI82" s="158">
        <v>0.0</v>
      </c>
      <c r="BJ82" s="160">
        <v>0.0</v>
      </c>
      <c r="BK82" s="157">
        <v>0.0</v>
      </c>
      <c r="BL82" s="158">
        <v>0.0</v>
      </c>
      <c r="BM82" s="158">
        <v>0.0</v>
      </c>
      <c r="BN82" s="158">
        <v>0.25</v>
      </c>
      <c r="BO82" s="158">
        <v>0.0</v>
      </c>
      <c r="BP82" s="158">
        <v>0.0</v>
      </c>
      <c r="BQ82" s="158">
        <v>0.25</v>
      </c>
      <c r="BR82" s="158">
        <v>0.16666666666666666</v>
      </c>
      <c r="BS82" s="158">
        <v>0.0</v>
      </c>
      <c r="BT82" s="160">
        <v>0.07142857142857142</v>
      </c>
      <c r="BU82" s="157">
        <v>1.0</v>
      </c>
      <c r="BV82" s="158">
        <v>0.75</v>
      </c>
      <c r="BW82" s="158">
        <v>0.8333333333333334</v>
      </c>
      <c r="BX82" s="158">
        <v>0.75</v>
      </c>
      <c r="BY82" s="158">
        <v>1.0</v>
      </c>
      <c r="BZ82" s="158">
        <v>1.0</v>
      </c>
      <c r="CA82" s="158">
        <v>0.5</v>
      </c>
      <c r="CB82" s="158">
        <v>0.8333333333333334</v>
      </c>
      <c r="CC82" s="158">
        <v>1.0</v>
      </c>
      <c r="CD82" s="159">
        <v>0.0</v>
      </c>
      <c r="CE82" s="157">
        <v>0.0</v>
      </c>
      <c r="CF82" s="158">
        <v>0.0</v>
      </c>
      <c r="CG82" s="158">
        <v>0.0</v>
      </c>
      <c r="CH82" s="158">
        <v>0.0</v>
      </c>
      <c r="CI82" s="158">
        <v>0.0</v>
      </c>
      <c r="CJ82" s="158">
        <v>0.0</v>
      </c>
      <c r="CK82" s="158">
        <v>0.0</v>
      </c>
      <c r="CL82" s="158">
        <v>0.0</v>
      </c>
      <c r="CM82" s="158">
        <v>0.0</v>
      </c>
      <c r="CN82" s="160">
        <v>0.0</v>
      </c>
      <c r="CO82" s="157">
        <v>0.0</v>
      </c>
      <c r="CP82" s="158">
        <v>0.0</v>
      </c>
      <c r="CQ82" s="158">
        <v>0.0</v>
      </c>
      <c r="CR82" s="158">
        <v>0.0</v>
      </c>
      <c r="CS82" s="158">
        <v>0.0</v>
      </c>
      <c r="CT82" s="158">
        <v>0.0</v>
      </c>
      <c r="CU82" s="158">
        <v>0.0</v>
      </c>
      <c r="CV82" s="158">
        <v>0.0</v>
      </c>
      <c r="CW82" s="158">
        <v>0.0</v>
      </c>
      <c r="CX82" s="160">
        <v>0.0</v>
      </c>
    </row>
    <row r="83" ht="35.25" customHeight="1">
      <c r="A83" s="138" t="s">
        <v>2943</v>
      </c>
      <c r="B83" s="167" t="s">
        <v>3025</v>
      </c>
      <c r="C83" s="154">
        <v>0.0</v>
      </c>
      <c r="D83" s="153">
        <v>0.0</v>
      </c>
      <c r="E83" s="153">
        <v>0.0</v>
      </c>
      <c r="F83" s="153">
        <v>0.0</v>
      </c>
      <c r="G83" s="153">
        <v>0.0</v>
      </c>
      <c r="H83" s="153">
        <v>0.0</v>
      </c>
      <c r="I83" s="153">
        <v>0.0</v>
      </c>
      <c r="J83" s="153">
        <v>0.0</v>
      </c>
      <c r="K83" s="153">
        <v>0.0</v>
      </c>
      <c r="L83" s="153">
        <v>0.0</v>
      </c>
      <c r="M83" s="154">
        <v>0.0</v>
      </c>
      <c r="N83" s="153">
        <v>0.0</v>
      </c>
      <c r="O83" s="153">
        <v>0.0</v>
      </c>
      <c r="P83" s="153">
        <v>0.0</v>
      </c>
      <c r="Q83" s="153">
        <v>0.0</v>
      </c>
      <c r="R83" s="153">
        <v>0.0</v>
      </c>
      <c r="S83" s="153">
        <v>0.0</v>
      </c>
      <c r="T83" s="153">
        <v>0.0</v>
      </c>
      <c r="U83" s="153">
        <v>0.0</v>
      </c>
      <c r="V83" s="153">
        <v>0.0</v>
      </c>
      <c r="W83" s="154">
        <v>0.0</v>
      </c>
      <c r="X83" s="153">
        <v>0.0</v>
      </c>
      <c r="Y83" s="153">
        <v>0.0</v>
      </c>
      <c r="Z83" s="153">
        <v>0.0</v>
      </c>
      <c r="AA83" s="153">
        <v>0.0</v>
      </c>
      <c r="AB83" s="153">
        <v>0.0</v>
      </c>
      <c r="AC83" s="153">
        <v>0.0</v>
      </c>
      <c r="AD83" s="153">
        <v>0.0</v>
      </c>
      <c r="AE83" s="153">
        <v>0.0</v>
      </c>
      <c r="AF83" s="153">
        <v>0.0</v>
      </c>
      <c r="AG83" s="154">
        <v>0.0</v>
      </c>
      <c r="AH83" s="153">
        <v>0.0</v>
      </c>
      <c r="AI83" s="153">
        <v>0.0</v>
      </c>
      <c r="AJ83" s="153">
        <v>0.0</v>
      </c>
      <c r="AK83" s="153">
        <v>0.0</v>
      </c>
      <c r="AL83" s="153">
        <v>0.0</v>
      </c>
      <c r="AM83" s="153">
        <v>0.0</v>
      </c>
      <c r="AN83" s="153">
        <v>0.0</v>
      </c>
      <c r="AO83" s="153">
        <v>0.0</v>
      </c>
      <c r="AP83" s="153">
        <v>0.0</v>
      </c>
      <c r="AQ83" s="154">
        <v>0.0</v>
      </c>
      <c r="AR83" s="153">
        <v>0.0</v>
      </c>
      <c r="AS83" s="153">
        <v>0.0</v>
      </c>
      <c r="AT83" s="153">
        <v>0.0</v>
      </c>
      <c r="AU83" s="153">
        <v>0.1</v>
      </c>
      <c r="AV83" s="153">
        <v>0.1</v>
      </c>
      <c r="AW83" s="153">
        <v>0.0</v>
      </c>
      <c r="AX83" s="153">
        <v>0.0</v>
      </c>
      <c r="AY83" s="153">
        <v>0.0</v>
      </c>
      <c r="AZ83" s="153">
        <v>0.25</v>
      </c>
      <c r="BA83" s="154">
        <v>0.0</v>
      </c>
      <c r="BB83" s="153">
        <v>0.0</v>
      </c>
      <c r="BC83" s="153">
        <v>0.0</v>
      </c>
      <c r="BD83" s="153">
        <v>0.0</v>
      </c>
      <c r="BE83" s="153">
        <v>0.0</v>
      </c>
      <c r="BF83" s="153">
        <v>0.0</v>
      </c>
      <c r="BG83" s="153">
        <v>0.0</v>
      </c>
      <c r="BH83" s="153">
        <v>0.0</v>
      </c>
      <c r="BI83" s="153">
        <v>0.0</v>
      </c>
      <c r="BJ83" s="153">
        <v>0.0</v>
      </c>
      <c r="BK83" s="154">
        <v>0.0</v>
      </c>
      <c r="BL83" s="153">
        <v>0.0</v>
      </c>
      <c r="BM83" s="153">
        <v>0.0</v>
      </c>
      <c r="BN83" s="153">
        <v>0.0</v>
      </c>
      <c r="BO83" s="153">
        <v>0.0</v>
      </c>
      <c r="BP83" s="153">
        <v>0.0</v>
      </c>
      <c r="BQ83" s="153">
        <v>0.0</v>
      </c>
      <c r="BR83" s="153">
        <v>0.0</v>
      </c>
      <c r="BS83" s="153">
        <v>0.0</v>
      </c>
      <c r="BT83" s="153">
        <v>0.0</v>
      </c>
      <c r="BU83" s="154">
        <v>0.0</v>
      </c>
      <c r="BV83" s="153">
        <v>0.0</v>
      </c>
      <c r="BW83" s="153">
        <v>0.0</v>
      </c>
      <c r="BX83" s="153">
        <v>0.0</v>
      </c>
      <c r="BY83" s="153">
        <v>0.0</v>
      </c>
      <c r="BZ83" s="153">
        <v>0.0</v>
      </c>
      <c r="CA83" s="153">
        <v>0.0</v>
      </c>
      <c r="CB83" s="153">
        <v>0.0</v>
      </c>
      <c r="CC83" s="153">
        <v>0.0</v>
      </c>
      <c r="CD83" s="153">
        <v>0.0</v>
      </c>
      <c r="CE83" s="152">
        <v>0.0</v>
      </c>
      <c r="CF83" s="153">
        <v>1.0</v>
      </c>
      <c r="CG83" s="153">
        <v>0.25</v>
      </c>
      <c r="CH83" s="153">
        <v>0.5</v>
      </c>
      <c r="CI83" s="153">
        <v>0.7</v>
      </c>
      <c r="CJ83" s="153">
        <v>0.7</v>
      </c>
      <c r="CK83" s="153">
        <v>0.75</v>
      </c>
      <c r="CL83" s="153">
        <v>0.75</v>
      </c>
      <c r="CM83" s="153">
        <v>0.9</v>
      </c>
      <c r="CN83" s="153">
        <v>0.75</v>
      </c>
      <c r="CO83" s="154">
        <v>0.0</v>
      </c>
      <c r="CP83" s="153">
        <v>0.0</v>
      </c>
      <c r="CQ83" s="153">
        <v>0.0</v>
      </c>
      <c r="CR83" s="153">
        <v>0.0</v>
      </c>
      <c r="CS83" s="153">
        <v>0.0</v>
      </c>
      <c r="CT83" s="153">
        <v>0.0</v>
      </c>
      <c r="CU83" s="153">
        <v>0.0</v>
      </c>
      <c r="CV83" s="153">
        <v>0.0</v>
      </c>
      <c r="CW83" s="153">
        <v>0.0</v>
      </c>
      <c r="CX83" s="153">
        <v>0.0</v>
      </c>
    </row>
    <row r="84" ht="35.25" customHeight="1">
      <c r="B84" s="167" t="s">
        <v>3026</v>
      </c>
      <c r="C84" s="154">
        <v>0.0</v>
      </c>
      <c r="D84" s="156">
        <v>0.0</v>
      </c>
      <c r="E84" s="153">
        <v>0.0</v>
      </c>
      <c r="F84" s="153">
        <v>0.0</v>
      </c>
      <c r="G84" s="153">
        <v>0.0</v>
      </c>
      <c r="H84" s="153">
        <v>0.0</v>
      </c>
      <c r="I84" s="153">
        <v>0.0</v>
      </c>
      <c r="J84" s="153">
        <v>0.0</v>
      </c>
      <c r="K84" s="153">
        <v>0.0</v>
      </c>
      <c r="L84" s="153">
        <v>0.0</v>
      </c>
      <c r="M84" s="154">
        <v>0.0</v>
      </c>
      <c r="N84" s="156">
        <v>0.07142857142857142</v>
      </c>
      <c r="O84" s="153">
        <v>0.0</v>
      </c>
      <c r="P84" s="153">
        <v>0.25</v>
      </c>
      <c r="Q84" s="153">
        <v>0.16666666666666666</v>
      </c>
      <c r="R84" s="153">
        <v>0.0</v>
      </c>
      <c r="S84" s="153">
        <v>0.16666666666666666</v>
      </c>
      <c r="T84" s="153">
        <v>0.25</v>
      </c>
      <c r="U84" s="153">
        <v>0.0</v>
      </c>
      <c r="V84" s="153">
        <v>0.25</v>
      </c>
      <c r="W84" s="154">
        <v>0.0</v>
      </c>
      <c r="X84" s="156">
        <v>0.0</v>
      </c>
      <c r="Y84" s="153">
        <v>0.0</v>
      </c>
      <c r="Z84" s="153">
        <v>0.0</v>
      </c>
      <c r="AA84" s="153">
        <v>0.0</v>
      </c>
      <c r="AB84" s="153">
        <v>0.0</v>
      </c>
      <c r="AC84" s="153">
        <v>0.0</v>
      </c>
      <c r="AD84" s="153">
        <v>0.0</v>
      </c>
      <c r="AE84" s="153">
        <v>0.0</v>
      </c>
      <c r="AF84" s="153">
        <v>0.0</v>
      </c>
      <c r="AG84" s="154">
        <v>0.0</v>
      </c>
      <c r="AH84" s="156">
        <v>0.0</v>
      </c>
      <c r="AI84" s="153">
        <v>0.0</v>
      </c>
      <c r="AJ84" s="153">
        <v>0.0</v>
      </c>
      <c r="AK84" s="153">
        <v>0.0</v>
      </c>
      <c r="AL84" s="153">
        <v>0.0</v>
      </c>
      <c r="AM84" s="153">
        <v>0.0</v>
      </c>
      <c r="AN84" s="153">
        <v>0.0</v>
      </c>
      <c r="AO84" s="153">
        <v>0.0</v>
      </c>
      <c r="AP84" s="153">
        <v>0.0</v>
      </c>
      <c r="AQ84" s="154">
        <v>0.0</v>
      </c>
      <c r="AR84" s="156">
        <v>0.07142857142857142</v>
      </c>
      <c r="AS84" s="153">
        <v>0.25</v>
      </c>
      <c r="AT84" s="153">
        <v>0.0</v>
      </c>
      <c r="AU84" s="153">
        <v>0.0</v>
      </c>
      <c r="AV84" s="153">
        <v>0.0</v>
      </c>
      <c r="AW84" s="153">
        <v>0.0</v>
      </c>
      <c r="AX84" s="153">
        <v>0.0</v>
      </c>
      <c r="AY84" s="153">
        <v>0.0</v>
      </c>
      <c r="AZ84" s="153">
        <v>0.25</v>
      </c>
      <c r="BA84" s="154">
        <v>0.0</v>
      </c>
      <c r="BB84" s="156">
        <v>0.0</v>
      </c>
      <c r="BC84" s="153">
        <v>0.0</v>
      </c>
      <c r="BD84" s="153">
        <v>0.0</v>
      </c>
      <c r="BE84" s="153">
        <v>0.0</v>
      </c>
      <c r="BF84" s="153">
        <v>0.0</v>
      </c>
      <c r="BG84" s="153">
        <v>0.0</v>
      </c>
      <c r="BH84" s="153">
        <v>0.0</v>
      </c>
      <c r="BI84" s="153">
        <v>0.0</v>
      </c>
      <c r="BJ84" s="153">
        <v>0.0</v>
      </c>
      <c r="BK84" s="154">
        <v>0.0</v>
      </c>
      <c r="BL84" s="156">
        <v>0.0</v>
      </c>
      <c r="BM84" s="153">
        <v>0.0</v>
      </c>
      <c r="BN84" s="153">
        <v>0.0</v>
      </c>
      <c r="BO84" s="153">
        <v>0.0</v>
      </c>
      <c r="BP84" s="153">
        <v>0.0</v>
      </c>
      <c r="BQ84" s="153">
        <v>0.0</v>
      </c>
      <c r="BR84" s="153">
        <v>0.0</v>
      </c>
      <c r="BS84" s="153">
        <v>0.0</v>
      </c>
      <c r="BT84" s="153">
        <v>0.0</v>
      </c>
      <c r="BU84" s="154">
        <v>0.0</v>
      </c>
      <c r="BV84" s="156">
        <v>0.0</v>
      </c>
      <c r="BW84" s="153">
        <v>0.0</v>
      </c>
      <c r="BX84" s="153">
        <v>0.0</v>
      </c>
      <c r="BY84" s="153">
        <v>0.0</v>
      </c>
      <c r="BZ84" s="153">
        <v>0.0</v>
      </c>
      <c r="CA84" s="153">
        <v>0.0</v>
      </c>
      <c r="CB84" s="153">
        <v>0.0</v>
      </c>
      <c r="CC84" s="153">
        <v>0.0</v>
      </c>
      <c r="CD84" s="153">
        <v>0.0</v>
      </c>
      <c r="CE84" s="154">
        <v>1.0</v>
      </c>
      <c r="CF84" s="155">
        <v>0.0</v>
      </c>
      <c r="CG84" s="153">
        <v>0.5</v>
      </c>
      <c r="CH84" s="153">
        <v>1.0</v>
      </c>
      <c r="CI84" s="153">
        <v>1.0</v>
      </c>
      <c r="CJ84" s="153">
        <v>1.0</v>
      </c>
      <c r="CK84" s="153">
        <v>1.0</v>
      </c>
      <c r="CL84" s="153">
        <v>1.0</v>
      </c>
      <c r="CM84" s="153">
        <v>1.0</v>
      </c>
      <c r="CN84" s="153">
        <v>1.0</v>
      </c>
      <c r="CO84" s="154">
        <v>0.0</v>
      </c>
      <c r="CP84" s="156">
        <v>0.0</v>
      </c>
      <c r="CQ84" s="153">
        <v>0.0</v>
      </c>
      <c r="CR84" s="153">
        <v>0.0</v>
      </c>
      <c r="CS84" s="153">
        <v>0.0</v>
      </c>
      <c r="CT84" s="153">
        <v>0.0</v>
      </c>
      <c r="CU84" s="153">
        <v>0.16666666666666666</v>
      </c>
      <c r="CV84" s="153">
        <v>0.0</v>
      </c>
      <c r="CW84" s="153">
        <v>0.0</v>
      </c>
      <c r="CX84" s="153">
        <v>0.0</v>
      </c>
    </row>
    <row r="85" ht="35.25" customHeight="1">
      <c r="B85" s="167" t="s">
        <v>3027</v>
      </c>
      <c r="C85" s="154">
        <v>0.0</v>
      </c>
      <c r="D85" s="153">
        <v>0.0</v>
      </c>
      <c r="E85" s="156">
        <v>0.0</v>
      </c>
      <c r="F85" s="153">
        <v>0.0</v>
      </c>
      <c r="G85" s="153">
        <v>0.0</v>
      </c>
      <c r="H85" s="153">
        <v>0.0</v>
      </c>
      <c r="I85" s="153">
        <v>0.0</v>
      </c>
      <c r="J85" s="153">
        <v>0.0</v>
      </c>
      <c r="K85" s="153">
        <v>0.0</v>
      </c>
      <c r="L85" s="153">
        <v>0.0</v>
      </c>
      <c r="M85" s="154">
        <v>0.0</v>
      </c>
      <c r="N85" s="153">
        <v>0.0</v>
      </c>
      <c r="O85" s="156">
        <v>0.0</v>
      </c>
      <c r="P85" s="153">
        <v>0.0</v>
      </c>
      <c r="Q85" s="153">
        <v>0.0</v>
      </c>
      <c r="R85" s="153">
        <v>0.0</v>
      </c>
      <c r="S85" s="153">
        <v>0.0</v>
      </c>
      <c r="T85" s="153">
        <v>0.0</v>
      </c>
      <c r="U85" s="153">
        <v>0.0</v>
      </c>
      <c r="V85" s="153">
        <v>0.0</v>
      </c>
      <c r="W85" s="154">
        <v>0.0</v>
      </c>
      <c r="X85" s="153">
        <v>0.0</v>
      </c>
      <c r="Y85" s="156">
        <v>0.0</v>
      </c>
      <c r="Z85" s="153">
        <v>0.0</v>
      </c>
      <c r="AA85" s="153">
        <v>0.0</v>
      </c>
      <c r="AB85" s="153">
        <v>0.0</v>
      </c>
      <c r="AC85" s="153">
        <v>0.0</v>
      </c>
      <c r="AD85" s="153">
        <v>0.0</v>
      </c>
      <c r="AE85" s="153">
        <v>0.0</v>
      </c>
      <c r="AF85" s="153">
        <v>0.0</v>
      </c>
      <c r="AG85" s="154">
        <v>0.0</v>
      </c>
      <c r="AH85" s="153">
        <v>0.0</v>
      </c>
      <c r="AI85" s="156">
        <v>0.0</v>
      </c>
      <c r="AJ85" s="153">
        <v>0.0</v>
      </c>
      <c r="AK85" s="153">
        <v>0.0</v>
      </c>
      <c r="AL85" s="153">
        <v>0.0</v>
      </c>
      <c r="AM85" s="153">
        <v>0.0</v>
      </c>
      <c r="AN85" s="153">
        <v>0.0</v>
      </c>
      <c r="AO85" s="153">
        <v>0.0</v>
      </c>
      <c r="AP85" s="153">
        <v>0.0</v>
      </c>
      <c r="AQ85" s="154">
        <v>0.0</v>
      </c>
      <c r="AR85" s="153">
        <v>0.0</v>
      </c>
      <c r="AS85" s="156">
        <v>0.0</v>
      </c>
      <c r="AT85" s="153">
        <v>0.0</v>
      </c>
      <c r="AU85" s="153">
        <v>0.0</v>
      </c>
      <c r="AV85" s="153">
        <v>0.0</v>
      </c>
      <c r="AW85" s="153">
        <v>0.125</v>
      </c>
      <c r="AX85" s="153">
        <v>0.0</v>
      </c>
      <c r="AY85" s="153">
        <v>0.0</v>
      </c>
      <c r="AZ85" s="153">
        <v>0.3333333333333333</v>
      </c>
      <c r="BA85" s="154">
        <v>0.0</v>
      </c>
      <c r="BB85" s="153">
        <v>0.0</v>
      </c>
      <c r="BC85" s="156">
        <v>0.0</v>
      </c>
      <c r="BD85" s="153">
        <v>0.0</v>
      </c>
      <c r="BE85" s="153">
        <v>0.0</v>
      </c>
      <c r="BF85" s="153">
        <v>0.0</v>
      </c>
      <c r="BG85" s="153">
        <v>0.0</v>
      </c>
      <c r="BH85" s="153">
        <v>0.0</v>
      </c>
      <c r="BI85" s="153">
        <v>0.0</v>
      </c>
      <c r="BJ85" s="153">
        <v>0.0</v>
      </c>
      <c r="BK85" s="154">
        <v>0.0</v>
      </c>
      <c r="BL85" s="153">
        <v>0.0</v>
      </c>
      <c r="BM85" s="156">
        <v>0.0</v>
      </c>
      <c r="BN85" s="153">
        <v>0.0</v>
      </c>
      <c r="BO85" s="153">
        <v>0.0</v>
      </c>
      <c r="BP85" s="153">
        <v>0.0</v>
      </c>
      <c r="BQ85" s="153">
        <v>0.0</v>
      </c>
      <c r="BR85" s="153">
        <v>0.0</v>
      </c>
      <c r="BS85" s="153">
        <v>0.0</v>
      </c>
      <c r="BT85" s="153">
        <v>0.0</v>
      </c>
      <c r="BU85" s="154">
        <v>0.0</v>
      </c>
      <c r="BV85" s="153">
        <v>0.0</v>
      </c>
      <c r="BW85" s="156">
        <v>0.0625</v>
      </c>
      <c r="BX85" s="153">
        <v>0.0</v>
      </c>
      <c r="BY85" s="153">
        <v>0.25</v>
      </c>
      <c r="BZ85" s="153">
        <v>0.0</v>
      </c>
      <c r="CA85" s="153">
        <v>0.0</v>
      </c>
      <c r="CB85" s="153">
        <v>0.16666666666666666</v>
      </c>
      <c r="CC85" s="153">
        <v>0.0</v>
      </c>
      <c r="CD85" s="153">
        <v>0.0</v>
      </c>
      <c r="CE85" s="154">
        <v>0.25</v>
      </c>
      <c r="CF85" s="153">
        <v>0.5</v>
      </c>
      <c r="CG85" s="155">
        <v>0.0</v>
      </c>
      <c r="CH85" s="153">
        <v>0.75</v>
      </c>
      <c r="CI85" s="153">
        <v>0.5</v>
      </c>
      <c r="CJ85" s="153">
        <v>0.5</v>
      </c>
      <c r="CK85" s="153">
        <v>0.75</v>
      </c>
      <c r="CL85" s="153">
        <v>0.8333333333333334</v>
      </c>
      <c r="CM85" s="153">
        <v>1.0</v>
      </c>
      <c r="CN85" s="153">
        <v>0.5</v>
      </c>
      <c r="CO85" s="154">
        <v>0.0</v>
      </c>
      <c r="CP85" s="153">
        <v>0.25</v>
      </c>
      <c r="CQ85" s="156">
        <v>0.0625</v>
      </c>
      <c r="CR85" s="153">
        <v>0.0</v>
      </c>
      <c r="CS85" s="153">
        <v>0.0</v>
      </c>
      <c r="CT85" s="153">
        <v>0.0</v>
      </c>
      <c r="CU85" s="153">
        <v>0.0</v>
      </c>
      <c r="CV85" s="153">
        <v>0.0</v>
      </c>
      <c r="CW85" s="153">
        <v>0.0</v>
      </c>
      <c r="CX85" s="153">
        <v>0.16666666666666666</v>
      </c>
    </row>
    <row r="86" ht="35.25" customHeight="1">
      <c r="B86" s="167" t="s">
        <v>3028</v>
      </c>
      <c r="C86" s="154">
        <v>0.0</v>
      </c>
      <c r="D86" s="153">
        <v>0.0</v>
      </c>
      <c r="E86" s="153">
        <v>0.0</v>
      </c>
      <c r="F86" s="156">
        <v>0.0</v>
      </c>
      <c r="G86" s="153">
        <v>0.0</v>
      </c>
      <c r="H86" s="153">
        <v>0.0</v>
      </c>
      <c r="I86" s="153">
        <v>0.0</v>
      </c>
      <c r="J86" s="153">
        <v>0.0</v>
      </c>
      <c r="K86" s="153">
        <v>0.0</v>
      </c>
      <c r="L86" s="153">
        <v>0.0</v>
      </c>
      <c r="M86" s="154">
        <v>0.0</v>
      </c>
      <c r="N86" s="153">
        <v>0.25</v>
      </c>
      <c r="O86" s="153">
        <v>0.0</v>
      </c>
      <c r="P86" s="156">
        <v>0.0625</v>
      </c>
      <c r="Q86" s="153">
        <v>0.25</v>
      </c>
      <c r="R86" s="153">
        <v>0.0</v>
      </c>
      <c r="S86" s="153">
        <v>0.2</v>
      </c>
      <c r="T86" s="153">
        <v>0.0</v>
      </c>
      <c r="U86" s="153">
        <v>0.0</v>
      </c>
      <c r="V86" s="153">
        <v>0.0</v>
      </c>
      <c r="W86" s="154">
        <v>0.0</v>
      </c>
      <c r="X86" s="153">
        <v>0.0</v>
      </c>
      <c r="Y86" s="153">
        <v>0.0</v>
      </c>
      <c r="Z86" s="156">
        <v>0.0</v>
      </c>
      <c r="AA86" s="153">
        <v>0.0</v>
      </c>
      <c r="AB86" s="153">
        <v>0.0</v>
      </c>
      <c r="AC86" s="153">
        <v>0.0</v>
      </c>
      <c r="AD86" s="153">
        <v>0.0</v>
      </c>
      <c r="AE86" s="153">
        <v>0.0</v>
      </c>
      <c r="AF86" s="153">
        <v>0.0</v>
      </c>
      <c r="AG86" s="154">
        <v>0.0</v>
      </c>
      <c r="AH86" s="153">
        <v>0.0</v>
      </c>
      <c r="AI86" s="153">
        <v>0.0</v>
      </c>
      <c r="AJ86" s="156">
        <v>0.0</v>
      </c>
      <c r="AK86" s="153">
        <v>0.0</v>
      </c>
      <c r="AL86" s="153">
        <v>0.0</v>
      </c>
      <c r="AM86" s="153">
        <v>0.0</v>
      </c>
      <c r="AN86" s="153">
        <v>0.0</v>
      </c>
      <c r="AO86" s="153">
        <v>0.0</v>
      </c>
      <c r="AP86" s="153">
        <v>0.0</v>
      </c>
      <c r="AQ86" s="154">
        <v>0.0</v>
      </c>
      <c r="AR86" s="153">
        <v>0.0</v>
      </c>
      <c r="AS86" s="153">
        <v>0.0</v>
      </c>
      <c r="AT86" s="156">
        <v>0.0</v>
      </c>
      <c r="AU86" s="153">
        <v>0.0</v>
      </c>
      <c r="AV86" s="153">
        <v>0.0</v>
      </c>
      <c r="AW86" s="153">
        <v>0.0</v>
      </c>
      <c r="AX86" s="153">
        <v>0.0</v>
      </c>
      <c r="AY86" s="153">
        <v>0.0</v>
      </c>
      <c r="AZ86" s="153">
        <v>0.0</v>
      </c>
      <c r="BA86" s="154">
        <v>0.0</v>
      </c>
      <c r="BB86" s="153">
        <v>0.0</v>
      </c>
      <c r="BC86" s="153">
        <v>0.0</v>
      </c>
      <c r="BD86" s="156">
        <v>0.0</v>
      </c>
      <c r="BE86" s="153">
        <v>0.0</v>
      </c>
      <c r="BF86" s="153">
        <v>0.0</v>
      </c>
      <c r="BG86" s="153">
        <v>0.0</v>
      </c>
      <c r="BH86" s="153">
        <v>0.0</v>
      </c>
      <c r="BI86" s="153">
        <v>0.0</v>
      </c>
      <c r="BJ86" s="153">
        <v>0.0</v>
      </c>
      <c r="BK86" s="154">
        <v>0.0</v>
      </c>
      <c r="BL86" s="153">
        <v>0.0</v>
      </c>
      <c r="BM86" s="153">
        <v>0.0</v>
      </c>
      <c r="BN86" s="156">
        <v>0.0</v>
      </c>
      <c r="BO86" s="153">
        <v>0.0</v>
      </c>
      <c r="BP86" s="153">
        <v>0.0</v>
      </c>
      <c r="BQ86" s="153">
        <v>0.0</v>
      </c>
      <c r="BR86" s="153">
        <v>0.0</v>
      </c>
      <c r="BS86" s="153">
        <v>0.0</v>
      </c>
      <c r="BT86" s="153">
        <v>0.0</v>
      </c>
      <c r="BU86" s="154">
        <v>0.0</v>
      </c>
      <c r="BV86" s="153">
        <v>0.0</v>
      </c>
      <c r="BW86" s="153">
        <v>0.0</v>
      </c>
      <c r="BX86" s="156">
        <v>0.0</v>
      </c>
      <c r="BY86" s="153">
        <v>0.0</v>
      </c>
      <c r="BZ86" s="153">
        <v>0.0</v>
      </c>
      <c r="CA86" s="153">
        <v>0.0</v>
      </c>
      <c r="CB86" s="153">
        <v>0.0</v>
      </c>
      <c r="CC86" s="153">
        <v>0.0</v>
      </c>
      <c r="CD86" s="153">
        <v>0.0</v>
      </c>
      <c r="CE86" s="154">
        <v>0.5</v>
      </c>
      <c r="CF86" s="153">
        <v>1.0</v>
      </c>
      <c r="CG86" s="153">
        <v>0.75</v>
      </c>
      <c r="CH86" s="155">
        <v>0.0</v>
      </c>
      <c r="CI86" s="153">
        <v>1.0</v>
      </c>
      <c r="CJ86" s="153">
        <v>0.5</v>
      </c>
      <c r="CK86" s="153">
        <v>0.9</v>
      </c>
      <c r="CL86" s="153">
        <v>0.75</v>
      </c>
      <c r="CM86" s="153">
        <v>1.0</v>
      </c>
      <c r="CN86" s="153">
        <v>0.5</v>
      </c>
      <c r="CO86" s="154">
        <v>0.0</v>
      </c>
      <c r="CP86" s="153">
        <v>0.0</v>
      </c>
      <c r="CQ86" s="153">
        <v>0.0</v>
      </c>
      <c r="CR86" s="156">
        <v>0.0</v>
      </c>
      <c r="CS86" s="153">
        <v>0.0</v>
      </c>
      <c r="CT86" s="153">
        <v>0.0</v>
      </c>
      <c r="CU86" s="153">
        <v>0.0</v>
      </c>
      <c r="CV86" s="153">
        <v>0.0</v>
      </c>
      <c r="CW86" s="153">
        <v>0.0</v>
      </c>
      <c r="CX86" s="153">
        <v>0.0</v>
      </c>
    </row>
    <row r="87" ht="35.25" customHeight="1">
      <c r="B87" s="167" t="s">
        <v>3029</v>
      </c>
      <c r="C87" s="154">
        <v>0.0</v>
      </c>
      <c r="D87" s="153">
        <v>0.0</v>
      </c>
      <c r="E87" s="153">
        <v>0.0</v>
      </c>
      <c r="F87" s="153">
        <v>0.0</v>
      </c>
      <c r="G87" s="156">
        <v>0.0</v>
      </c>
      <c r="H87" s="153">
        <v>0.0</v>
      </c>
      <c r="I87" s="153">
        <v>0.0</v>
      </c>
      <c r="J87" s="153">
        <v>0.0</v>
      </c>
      <c r="K87" s="153">
        <v>0.0</v>
      </c>
      <c r="L87" s="153">
        <v>0.0</v>
      </c>
      <c r="M87" s="154">
        <v>0.0</v>
      </c>
      <c r="N87" s="153">
        <v>0.16666666666666666</v>
      </c>
      <c r="O87" s="153">
        <v>0.0</v>
      </c>
      <c r="P87" s="153">
        <v>0.25</v>
      </c>
      <c r="Q87" s="156">
        <v>0.05555555555555555</v>
      </c>
      <c r="R87" s="153">
        <v>0.0</v>
      </c>
      <c r="S87" s="153">
        <v>0.25</v>
      </c>
      <c r="T87" s="153">
        <v>0.0</v>
      </c>
      <c r="U87" s="153">
        <v>0.0</v>
      </c>
      <c r="V87" s="153">
        <v>0.0</v>
      </c>
      <c r="W87" s="154">
        <v>0.0</v>
      </c>
      <c r="X87" s="153">
        <v>0.0</v>
      </c>
      <c r="Y87" s="153">
        <v>0.0</v>
      </c>
      <c r="Z87" s="153">
        <v>0.0</v>
      </c>
      <c r="AA87" s="156">
        <v>0.0</v>
      </c>
      <c r="AB87" s="153">
        <v>0.0</v>
      </c>
      <c r="AC87" s="153">
        <v>0.0</v>
      </c>
      <c r="AD87" s="153">
        <v>0.0</v>
      </c>
      <c r="AE87" s="153">
        <v>0.0</v>
      </c>
      <c r="AF87" s="153">
        <v>0.0</v>
      </c>
      <c r="AG87" s="154">
        <v>0.0</v>
      </c>
      <c r="AH87" s="153">
        <v>0.0</v>
      </c>
      <c r="AI87" s="153">
        <v>0.0</v>
      </c>
      <c r="AJ87" s="153">
        <v>0.0</v>
      </c>
      <c r="AK87" s="156">
        <v>0.0</v>
      </c>
      <c r="AL87" s="153">
        <v>0.0</v>
      </c>
      <c r="AM87" s="153">
        <v>0.0</v>
      </c>
      <c r="AN87" s="153">
        <v>0.0</v>
      </c>
      <c r="AO87" s="153">
        <v>0.0</v>
      </c>
      <c r="AP87" s="153">
        <v>0.0</v>
      </c>
      <c r="AQ87" s="154">
        <v>0.0</v>
      </c>
      <c r="AR87" s="153">
        <v>0.0</v>
      </c>
      <c r="AS87" s="153">
        <v>0.0</v>
      </c>
      <c r="AT87" s="153">
        <v>0.0</v>
      </c>
      <c r="AU87" s="156">
        <v>0.0</v>
      </c>
      <c r="AV87" s="153">
        <v>0.0</v>
      </c>
      <c r="AW87" s="153">
        <v>0.0</v>
      </c>
      <c r="AX87" s="153">
        <v>0.0</v>
      </c>
      <c r="AY87" s="153">
        <v>0.0</v>
      </c>
      <c r="AZ87" s="153">
        <v>0.0</v>
      </c>
      <c r="BA87" s="154">
        <v>0.0</v>
      </c>
      <c r="BB87" s="153">
        <v>0.0</v>
      </c>
      <c r="BC87" s="153">
        <v>0.0</v>
      </c>
      <c r="BD87" s="153">
        <v>0.0</v>
      </c>
      <c r="BE87" s="156">
        <v>0.0</v>
      </c>
      <c r="BF87" s="153">
        <v>0.0</v>
      </c>
      <c r="BG87" s="153">
        <v>0.0</v>
      </c>
      <c r="BH87" s="153">
        <v>0.0</v>
      </c>
      <c r="BI87" s="153">
        <v>0.0</v>
      </c>
      <c r="BJ87" s="153">
        <v>0.0</v>
      </c>
      <c r="BK87" s="154">
        <v>0.0</v>
      </c>
      <c r="BL87" s="153">
        <v>0.0</v>
      </c>
      <c r="BM87" s="153">
        <v>0.0</v>
      </c>
      <c r="BN87" s="153">
        <v>0.0</v>
      </c>
      <c r="BO87" s="156">
        <v>0.0</v>
      </c>
      <c r="BP87" s="153">
        <v>0.0</v>
      </c>
      <c r="BQ87" s="153">
        <v>0.0</v>
      </c>
      <c r="BR87" s="153">
        <v>0.0</v>
      </c>
      <c r="BS87" s="153">
        <v>0.0</v>
      </c>
      <c r="BT87" s="153">
        <v>0.0</v>
      </c>
      <c r="BU87" s="154">
        <v>0.0</v>
      </c>
      <c r="BV87" s="153">
        <v>0.0</v>
      </c>
      <c r="BW87" s="153">
        <v>0.0</v>
      </c>
      <c r="BX87" s="153">
        <v>0.0</v>
      </c>
      <c r="BY87" s="156">
        <v>0.0</v>
      </c>
      <c r="BZ87" s="153">
        <v>0.0</v>
      </c>
      <c r="CA87" s="153">
        <v>0.0</v>
      </c>
      <c r="CB87" s="153">
        <v>0.0</v>
      </c>
      <c r="CC87" s="153">
        <v>0.0</v>
      </c>
      <c r="CD87" s="153">
        <v>0.0</v>
      </c>
      <c r="CE87" s="154">
        <v>0.7</v>
      </c>
      <c r="CF87" s="153">
        <v>1.0</v>
      </c>
      <c r="CG87" s="153">
        <v>0.5</v>
      </c>
      <c r="CH87" s="153">
        <v>1.0</v>
      </c>
      <c r="CI87" s="155">
        <v>0.0</v>
      </c>
      <c r="CJ87" s="153">
        <v>1.0</v>
      </c>
      <c r="CK87" s="153">
        <v>0.75</v>
      </c>
      <c r="CL87" s="153">
        <v>0.9</v>
      </c>
      <c r="CM87" s="153">
        <v>0.8333333333333334</v>
      </c>
      <c r="CN87" s="153">
        <v>1.0</v>
      </c>
      <c r="CO87" s="154">
        <v>0.0</v>
      </c>
      <c r="CP87" s="153">
        <v>0.0</v>
      </c>
      <c r="CQ87" s="153">
        <v>0.0</v>
      </c>
      <c r="CR87" s="153">
        <v>0.0</v>
      </c>
      <c r="CS87" s="156">
        <v>0.0</v>
      </c>
      <c r="CT87" s="153">
        <v>0.0</v>
      </c>
      <c r="CU87" s="153">
        <v>0.0</v>
      </c>
      <c r="CV87" s="153">
        <v>0.0</v>
      </c>
      <c r="CW87" s="153">
        <v>0.0</v>
      </c>
      <c r="CX87" s="153">
        <v>0.0</v>
      </c>
    </row>
    <row r="88" ht="35.25" customHeight="1">
      <c r="B88" s="167" t="s">
        <v>3030</v>
      </c>
      <c r="C88" s="154">
        <v>0.0</v>
      </c>
      <c r="D88" s="153">
        <v>0.0</v>
      </c>
      <c r="E88" s="153">
        <v>0.0</v>
      </c>
      <c r="F88" s="153">
        <v>0.0</v>
      </c>
      <c r="G88" s="153">
        <v>0.0</v>
      </c>
      <c r="H88" s="156">
        <v>0.0</v>
      </c>
      <c r="I88" s="153">
        <v>0.0</v>
      </c>
      <c r="J88" s="153">
        <v>0.0</v>
      </c>
      <c r="K88" s="153">
        <v>0.0</v>
      </c>
      <c r="L88" s="153">
        <v>0.0</v>
      </c>
      <c r="M88" s="154">
        <v>0.0</v>
      </c>
      <c r="N88" s="153">
        <v>0.0</v>
      </c>
      <c r="O88" s="153">
        <v>0.0</v>
      </c>
      <c r="P88" s="153">
        <v>0.0</v>
      </c>
      <c r="Q88" s="153">
        <v>0.0</v>
      </c>
      <c r="R88" s="156">
        <v>0.0</v>
      </c>
      <c r="S88" s="153">
        <v>0.0</v>
      </c>
      <c r="T88" s="153">
        <v>0.0</v>
      </c>
      <c r="U88" s="153">
        <v>0.0</v>
      </c>
      <c r="V88" s="153">
        <v>0.0</v>
      </c>
      <c r="W88" s="154">
        <v>0.0</v>
      </c>
      <c r="X88" s="153">
        <v>0.0</v>
      </c>
      <c r="Y88" s="153">
        <v>0.0</v>
      </c>
      <c r="Z88" s="153">
        <v>0.0</v>
      </c>
      <c r="AA88" s="153">
        <v>0.0</v>
      </c>
      <c r="AB88" s="156">
        <v>0.0</v>
      </c>
      <c r="AC88" s="153">
        <v>0.0</v>
      </c>
      <c r="AD88" s="153">
        <v>0.0</v>
      </c>
      <c r="AE88" s="153">
        <v>0.0</v>
      </c>
      <c r="AF88" s="153">
        <v>0.0</v>
      </c>
      <c r="AG88" s="154">
        <v>0.0</v>
      </c>
      <c r="AH88" s="153">
        <v>0.0</v>
      </c>
      <c r="AI88" s="153">
        <v>0.0</v>
      </c>
      <c r="AJ88" s="153">
        <v>0.0</v>
      </c>
      <c r="AK88" s="153">
        <v>0.0</v>
      </c>
      <c r="AL88" s="156">
        <v>0.0</v>
      </c>
      <c r="AM88" s="153">
        <v>0.0</v>
      </c>
      <c r="AN88" s="153">
        <v>0.0</v>
      </c>
      <c r="AO88" s="153">
        <v>0.0</v>
      </c>
      <c r="AP88" s="153">
        <v>0.0</v>
      </c>
      <c r="AQ88" s="154">
        <v>0.0</v>
      </c>
      <c r="AR88" s="153">
        <v>0.0</v>
      </c>
      <c r="AS88" s="153">
        <v>0.0</v>
      </c>
      <c r="AT88" s="153">
        <v>0.0</v>
      </c>
      <c r="AU88" s="153">
        <v>0.0</v>
      </c>
      <c r="AV88" s="156">
        <v>0.0</v>
      </c>
      <c r="AW88" s="153">
        <v>0.0</v>
      </c>
      <c r="AX88" s="153">
        <v>0.0</v>
      </c>
      <c r="AY88" s="153">
        <v>0.0</v>
      </c>
      <c r="AZ88" s="153">
        <v>0.0</v>
      </c>
      <c r="BA88" s="154">
        <v>0.0</v>
      </c>
      <c r="BB88" s="153">
        <v>0.0</v>
      </c>
      <c r="BC88" s="153">
        <v>0.0</v>
      </c>
      <c r="BD88" s="153">
        <v>0.0</v>
      </c>
      <c r="BE88" s="153">
        <v>0.0</v>
      </c>
      <c r="BF88" s="156">
        <v>0.0</v>
      </c>
      <c r="BG88" s="153">
        <v>0.0</v>
      </c>
      <c r="BH88" s="153">
        <v>0.0</v>
      </c>
      <c r="BI88" s="153">
        <v>0.0</v>
      </c>
      <c r="BJ88" s="153">
        <v>0.0</v>
      </c>
      <c r="BK88" s="154">
        <v>0.0</v>
      </c>
      <c r="BL88" s="153">
        <v>0.0</v>
      </c>
      <c r="BM88" s="153">
        <v>0.0</v>
      </c>
      <c r="BN88" s="153">
        <v>0.0</v>
      </c>
      <c r="BO88" s="153">
        <v>0.0</v>
      </c>
      <c r="BP88" s="156">
        <v>0.0</v>
      </c>
      <c r="BQ88" s="153">
        <v>0.0</v>
      </c>
      <c r="BR88" s="153">
        <v>0.0</v>
      </c>
      <c r="BS88" s="153">
        <v>0.0</v>
      </c>
      <c r="BT88" s="153">
        <v>0.0</v>
      </c>
      <c r="BU88" s="154">
        <v>0.0</v>
      </c>
      <c r="BV88" s="153">
        <v>0.0</v>
      </c>
      <c r="BW88" s="153">
        <v>0.0</v>
      </c>
      <c r="BX88" s="153">
        <v>0.0</v>
      </c>
      <c r="BY88" s="153">
        <v>0.0</v>
      </c>
      <c r="BZ88" s="156">
        <v>0.0</v>
      </c>
      <c r="CA88" s="153">
        <v>0.0</v>
      </c>
      <c r="CB88" s="153">
        <v>0.0</v>
      </c>
      <c r="CC88" s="153">
        <v>0.0</v>
      </c>
      <c r="CD88" s="153">
        <v>0.0</v>
      </c>
      <c r="CE88" s="154">
        <v>0.7</v>
      </c>
      <c r="CF88" s="153">
        <v>1.0</v>
      </c>
      <c r="CG88" s="153">
        <v>0.5</v>
      </c>
      <c r="CH88" s="153">
        <v>0.5</v>
      </c>
      <c r="CI88" s="153">
        <v>1.0</v>
      </c>
      <c r="CJ88" s="155">
        <v>0.0</v>
      </c>
      <c r="CK88" s="153">
        <v>1.0</v>
      </c>
      <c r="CL88" s="153">
        <v>1.0</v>
      </c>
      <c r="CM88" s="153">
        <v>1.0</v>
      </c>
      <c r="CN88" s="153">
        <v>0.75</v>
      </c>
      <c r="CO88" s="154">
        <v>0.0</v>
      </c>
      <c r="CP88" s="153">
        <v>0.0</v>
      </c>
      <c r="CQ88" s="153">
        <v>0.0</v>
      </c>
      <c r="CR88" s="153">
        <v>0.0</v>
      </c>
      <c r="CS88" s="153">
        <v>0.0</v>
      </c>
      <c r="CT88" s="156">
        <v>0.0</v>
      </c>
      <c r="CU88" s="153">
        <v>0.0</v>
      </c>
      <c r="CV88" s="153">
        <v>0.0</v>
      </c>
      <c r="CW88" s="153">
        <v>0.0</v>
      </c>
      <c r="CX88" s="153">
        <v>0.0</v>
      </c>
    </row>
    <row r="89" ht="35.25" customHeight="1">
      <c r="B89" s="167" t="s">
        <v>3031</v>
      </c>
      <c r="C89" s="154">
        <v>0.0</v>
      </c>
      <c r="D89" s="153">
        <v>0.0</v>
      </c>
      <c r="E89" s="153">
        <v>0.0</v>
      </c>
      <c r="F89" s="153">
        <v>0.0</v>
      </c>
      <c r="G89" s="153">
        <v>0.0</v>
      </c>
      <c r="H89" s="153">
        <v>0.0</v>
      </c>
      <c r="I89" s="156">
        <v>0.0</v>
      </c>
      <c r="J89" s="153">
        <v>0.0</v>
      </c>
      <c r="K89" s="153">
        <v>0.0</v>
      </c>
      <c r="L89" s="153">
        <v>0.0</v>
      </c>
      <c r="M89" s="154">
        <v>0.0</v>
      </c>
      <c r="N89" s="153">
        <v>0.16666666666666666</v>
      </c>
      <c r="O89" s="153">
        <v>0.0</v>
      </c>
      <c r="P89" s="153">
        <v>0.1</v>
      </c>
      <c r="Q89" s="153">
        <v>0.25</v>
      </c>
      <c r="R89" s="153">
        <v>0.0</v>
      </c>
      <c r="S89" s="156">
        <v>0.125</v>
      </c>
      <c r="T89" s="153">
        <v>0.25</v>
      </c>
      <c r="U89" s="153">
        <v>0.0</v>
      </c>
      <c r="V89" s="153">
        <v>0.25</v>
      </c>
      <c r="W89" s="154">
        <v>0.0</v>
      </c>
      <c r="X89" s="153">
        <v>0.0</v>
      </c>
      <c r="Y89" s="153">
        <v>0.0</v>
      </c>
      <c r="Z89" s="153">
        <v>0.0</v>
      </c>
      <c r="AA89" s="153">
        <v>0.0</v>
      </c>
      <c r="AB89" s="153">
        <v>0.0</v>
      </c>
      <c r="AC89" s="156">
        <v>0.0</v>
      </c>
      <c r="AD89" s="153">
        <v>0.0</v>
      </c>
      <c r="AE89" s="153">
        <v>0.0</v>
      </c>
      <c r="AF89" s="153">
        <v>0.0</v>
      </c>
      <c r="AG89" s="154">
        <v>0.0</v>
      </c>
      <c r="AH89" s="153">
        <v>0.0</v>
      </c>
      <c r="AI89" s="153">
        <v>0.0</v>
      </c>
      <c r="AJ89" s="153">
        <v>0.0</v>
      </c>
      <c r="AK89" s="153">
        <v>0.0</v>
      </c>
      <c r="AL89" s="153">
        <v>0.0</v>
      </c>
      <c r="AM89" s="156">
        <v>0.0</v>
      </c>
      <c r="AN89" s="153">
        <v>0.0</v>
      </c>
      <c r="AO89" s="153">
        <v>0.0</v>
      </c>
      <c r="AP89" s="153">
        <v>0.0</v>
      </c>
      <c r="AQ89" s="154">
        <v>0.0</v>
      </c>
      <c r="AR89" s="153">
        <v>0.16666666666666666</v>
      </c>
      <c r="AS89" s="153">
        <v>0.125</v>
      </c>
      <c r="AT89" s="153">
        <v>0.0</v>
      </c>
      <c r="AU89" s="153">
        <v>0.0</v>
      </c>
      <c r="AV89" s="153">
        <v>0.0</v>
      </c>
      <c r="AW89" s="156">
        <v>0.0</v>
      </c>
      <c r="AX89" s="153">
        <v>0.0</v>
      </c>
      <c r="AY89" s="153">
        <v>0.0</v>
      </c>
      <c r="AZ89" s="153">
        <v>0.25</v>
      </c>
      <c r="BA89" s="154">
        <v>0.0</v>
      </c>
      <c r="BB89" s="153">
        <v>0.0</v>
      </c>
      <c r="BC89" s="153">
        <v>0.0</v>
      </c>
      <c r="BD89" s="153">
        <v>0.0</v>
      </c>
      <c r="BE89" s="153">
        <v>0.0</v>
      </c>
      <c r="BF89" s="153">
        <v>0.0</v>
      </c>
      <c r="BG89" s="156">
        <v>0.0</v>
      </c>
      <c r="BH89" s="153">
        <v>0.0</v>
      </c>
      <c r="BI89" s="153">
        <v>0.0</v>
      </c>
      <c r="BJ89" s="153">
        <v>0.0</v>
      </c>
      <c r="BK89" s="154">
        <v>0.0</v>
      </c>
      <c r="BL89" s="153">
        <v>0.0</v>
      </c>
      <c r="BM89" s="153">
        <v>0.0</v>
      </c>
      <c r="BN89" s="153">
        <v>0.0</v>
      </c>
      <c r="BO89" s="153">
        <v>0.0</v>
      </c>
      <c r="BP89" s="153">
        <v>0.0</v>
      </c>
      <c r="BQ89" s="156">
        <v>0.0</v>
      </c>
      <c r="BR89" s="153">
        <v>0.0</v>
      </c>
      <c r="BS89" s="153">
        <v>0.0</v>
      </c>
      <c r="BT89" s="153">
        <v>0.0</v>
      </c>
      <c r="BU89" s="154">
        <v>0.0</v>
      </c>
      <c r="BV89" s="153">
        <v>0.0</v>
      </c>
      <c r="BW89" s="153">
        <v>0.0</v>
      </c>
      <c r="BX89" s="153">
        <v>0.0</v>
      </c>
      <c r="BY89" s="153">
        <v>0.0</v>
      </c>
      <c r="BZ89" s="153">
        <v>0.0</v>
      </c>
      <c r="CA89" s="156">
        <v>0.0</v>
      </c>
      <c r="CB89" s="153">
        <v>0.0</v>
      </c>
      <c r="CC89" s="153">
        <v>0.0</v>
      </c>
      <c r="CD89" s="153">
        <v>0.0</v>
      </c>
      <c r="CE89" s="154">
        <v>0.5</v>
      </c>
      <c r="CF89" s="153">
        <v>1.0</v>
      </c>
      <c r="CG89" s="153">
        <v>0.75</v>
      </c>
      <c r="CH89" s="153">
        <v>0.9</v>
      </c>
      <c r="CI89" s="153">
        <v>0.75</v>
      </c>
      <c r="CJ89" s="153">
        <v>1.0</v>
      </c>
      <c r="CK89" s="155">
        <v>0.0</v>
      </c>
      <c r="CL89" s="153">
        <v>0.75</v>
      </c>
      <c r="CM89" s="153">
        <v>1.0</v>
      </c>
      <c r="CN89" s="153">
        <v>0.75</v>
      </c>
      <c r="CO89" s="154">
        <v>0.0</v>
      </c>
      <c r="CP89" s="153">
        <v>0.0</v>
      </c>
      <c r="CQ89" s="153">
        <v>0.0</v>
      </c>
      <c r="CR89" s="153">
        <v>0.0</v>
      </c>
      <c r="CS89" s="153">
        <v>0.0</v>
      </c>
      <c r="CT89" s="153">
        <v>0.0</v>
      </c>
      <c r="CU89" s="156">
        <v>0.0625</v>
      </c>
      <c r="CV89" s="153">
        <v>0.0</v>
      </c>
      <c r="CW89" s="153">
        <v>0.0</v>
      </c>
      <c r="CX89" s="153">
        <v>0.0</v>
      </c>
    </row>
    <row r="90" ht="35.25" customHeight="1">
      <c r="B90" s="167" t="s">
        <v>3032</v>
      </c>
      <c r="C90" s="154">
        <v>0.0</v>
      </c>
      <c r="D90" s="153">
        <v>0.0</v>
      </c>
      <c r="E90" s="153">
        <v>0.0</v>
      </c>
      <c r="F90" s="153">
        <v>0.0</v>
      </c>
      <c r="G90" s="153">
        <v>0.0</v>
      </c>
      <c r="H90" s="153">
        <v>0.0</v>
      </c>
      <c r="I90" s="153">
        <v>0.0</v>
      </c>
      <c r="J90" s="156">
        <v>0.0</v>
      </c>
      <c r="K90" s="153">
        <v>0.0</v>
      </c>
      <c r="L90" s="153">
        <v>0.0</v>
      </c>
      <c r="M90" s="154">
        <v>0.0</v>
      </c>
      <c r="N90" s="153">
        <v>0.0</v>
      </c>
      <c r="O90" s="153">
        <v>0.0</v>
      </c>
      <c r="P90" s="153">
        <v>0.0</v>
      </c>
      <c r="Q90" s="153">
        <v>0.0</v>
      </c>
      <c r="R90" s="153">
        <v>0.0</v>
      </c>
      <c r="S90" s="153">
        <v>0.25</v>
      </c>
      <c r="T90" s="156">
        <v>0.0625</v>
      </c>
      <c r="U90" s="153">
        <v>0.0</v>
      </c>
      <c r="V90" s="153">
        <v>0.16666666666666666</v>
      </c>
      <c r="W90" s="154">
        <v>0.0</v>
      </c>
      <c r="X90" s="153">
        <v>0.0</v>
      </c>
      <c r="Y90" s="153">
        <v>0.0</v>
      </c>
      <c r="Z90" s="153">
        <v>0.0</v>
      </c>
      <c r="AA90" s="153">
        <v>0.0</v>
      </c>
      <c r="AB90" s="153">
        <v>0.0</v>
      </c>
      <c r="AC90" s="153">
        <v>0.0</v>
      </c>
      <c r="AD90" s="156">
        <v>0.0</v>
      </c>
      <c r="AE90" s="153">
        <v>0.0</v>
      </c>
      <c r="AF90" s="153">
        <v>0.0</v>
      </c>
      <c r="AG90" s="154">
        <v>0.0</v>
      </c>
      <c r="AH90" s="153">
        <v>0.0</v>
      </c>
      <c r="AI90" s="153">
        <v>0.0</v>
      </c>
      <c r="AJ90" s="153">
        <v>0.0</v>
      </c>
      <c r="AK90" s="153">
        <v>0.0</v>
      </c>
      <c r="AL90" s="153">
        <v>0.0</v>
      </c>
      <c r="AM90" s="153">
        <v>0.0</v>
      </c>
      <c r="AN90" s="156">
        <v>0.0</v>
      </c>
      <c r="AO90" s="153">
        <v>0.0</v>
      </c>
      <c r="AP90" s="153">
        <v>0.0</v>
      </c>
      <c r="AQ90" s="154">
        <v>0.0</v>
      </c>
      <c r="AR90" s="153">
        <v>0.0</v>
      </c>
      <c r="AS90" s="153">
        <v>0.0</v>
      </c>
      <c r="AT90" s="153">
        <v>0.0</v>
      </c>
      <c r="AU90" s="153">
        <v>0.0</v>
      </c>
      <c r="AV90" s="153">
        <v>0.0</v>
      </c>
      <c r="AW90" s="153">
        <v>0.0</v>
      </c>
      <c r="AX90" s="156">
        <v>0.0</v>
      </c>
      <c r="AY90" s="153">
        <v>0.0</v>
      </c>
      <c r="AZ90" s="153">
        <v>0.0</v>
      </c>
      <c r="BA90" s="154">
        <v>0.0</v>
      </c>
      <c r="BB90" s="153">
        <v>0.0</v>
      </c>
      <c r="BC90" s="153">
        <v>0.0</v>
      </c>
      <c r="BD90" s="153">
        <v>0.0</v>
      </c>
      <c r="BE90" s="153">
        <v>0.0</v>
      </c>
      <c r="BF90" s="153">
        <v>0.0</v>
      </c>
      <c r="BG90" s="153">
        <v>0.0</v>
      </c>
      <c r="BH90" s="156">
        <v>0.0</v>
      </c>
      <c r="BI90" s="153">
        <v>0.0</v>
      </c>
      <c r="BJ90" s="153">
        <v>0.0</v>
      </c>
      <c r="BK90" s="154">
        <v>0.0</v>
      </c>
      <c r="BL90" s="153">
        <v>0.0</v>
      </c>
      <c r="BM90" s="153">
        <v>0.0</v>
      </c>
      <c r="BN90" s="153">
        <v>0.0</v>
      </c>
      <c r="BO90" s="153">
        <v>0.0</v>
      </c>
      <c r="BP90" s="153">
        <v>0.0</v>
      </c>
      <c r="BQ90" s="153">
        <v>0.0</v>
      </c>
      <c r="BR90" s="156">
        <v>0.0</v>
      </c>
      <c r="BS90" s="153">
        <v>0.0</v>
      </c>
      <c r="BT90" s="153">
        <v>0.0</v>
      </c>
      <c r="BU90" s="154">
        <v>0.0</v>
      </c>
      <c r="BV90" s="153">
        <v>0.0</v>
      </c>
      <c r="BW90" s="153">
        <v>0.0</v>
      </c>
      <c r="BX90" s="153">
        <v>0.0</v>
      </c>
      <c r="BY90" s="153">
        <v>0.0</v>
      </c>
      <c r="BZ90" s="153">
        <v>0.0</v>
      </c>
      <c r="CA90" s="153">
        <v>0.0</v>
      </c>
      <c r="CB90" s="156">
        <v>0.0</v>
      </c>
      <c r="CC90" s="153">
        <v>0.0</v>
      </c>
      <c r="CD90" s="153">
        <v>0.0</v>
      </c>
      <c r="CE90" s="154">
        <v>0.75</v>
      </c>
      <c r="CF90" s="153">
        <v>1.0</v>
      </c>
      <c r="CG90" s="153">
        <v>0.8333333333333334</v>
      </c>
      <c r="CH90" s="153">
        <v>0.75</v>
      </c>
      <c r="CI90" s="153">
        <v>0.9</v>
      </c>
      <c r="CJ90" s="153">
        <v>1.0</v>
      </c>
      <c r="CK90" s="153">
        <v>0.75</v>
      </c>
      <c r="CL90" s="155">
        <v>0.0</v>
      </c>
      <c r="CM90" s="153">
        <v>0.75</v>
      </c>
      <c r="CN90" s="153">
        <v>0.6666666666666666</v>
      </c>
      <c r="CO90" s="154">
        <v>0.0</v>
      </c>
      <c r="CP90" s="153">
        <v>0.0</v>
      </c>
      <c r="CQ90" s="153">
        <v>0.0</v>
      </c>
      <c r="CR90" s="153">
        <v>0.0</v>
      </c>
      <c r="CS90" s="153">
        <v>0.0</v>
      </c>
      <c r="CT90" s="153">
        <v>0.0</v>
      </c>
      <c r="CU90" s="153">
        <v>0.0</v>
      </c>
      <c r="CV90" s="156">
        <v>0.0</v>
      </c>
      <c r="CW90" s="153">
        <v>0.0</v>
      </c>
      <c r="CX90" s="153">
        <v>0.0</v>
      </c>
    </row>
    <row r="91" ht="35.25" customHeight="1">
      <c r="B91" s="167" t="s">
        <v>3033</v>
      </c>
      <c r="C91" s="154">
        <v>0.0</v>
      </c>
      <c r="D91" s="153">
        <v>0.0</v>
      </c>
      <c r="E91" s="153">
        <v>0.0</v>
      </c>
      <c r="F91" s="153">
        <v>0.0</v>
      </c>
      <c r="G91" s="153">
        <v>0.0</v>
      </c>
      <c r="H91" s="153">
        <v>0.0</v>
      </c>
      <c r="I91" s="153">
        <v>0.0</v>
      </c>
      <c r="J91" s="153">
        <v>0.0</v>
      </c>
      <c r="K91" s="156">
        <v>0.0</v>
      </c>
      <c r="L91" s="153">
        <v>0.0</v>
      </c>
      <c r="M91" s="154">
        <v>0.0</v>
      </c>
      <c r="N91" s="153">
        <v>0.0</v>
      </c>
      <c r="O91" s="153">
        <v>0.0</v>
      </c>
      <c r="P91" s="153">
        <v>0.0</v>
      </c>
      <c r="Q91" s="153">
        <v>0.0</v>
      </c>
      <c r="R91" s="153">
        <v>0.0</v>
      </c>
      <c r="S91" s="153">
        <v>0.0</v>
      </c>
      <c r="T91" s="153">
        <v>0.0</v>
      </c>
      <c r="U91" s="156">
        <v>0.0</v>
      </c>
      <c r="V91" s="153">
        <v>0.0</v>
      </c>
      <c r="W91" s="154">
        <v>0.0</v>
      </c>
      <c r="X91" s="153">
        <v>0.0</v>
      </c>
      <c r="Y91" s="153">
        <v>0.0</v>
      </c>
      <c r="Z91" s="153">
        <v>0.0</v>
      </c>
      <c r="AA91" s="153">
        <v>0.0</v>
      </c>
      <c r="AB91" s="153">
        <v>0.0</v>
      </c>
      <c r="AC91" s="153">
        <v>0.0</v>
      </c>
      <c r="AD91" s="153">
        <v>0.0</v>
      </c>
      <c r="AE91" s="156">
        <v>0.0</v>
      </c>
      <c r="AF91" s="153">
        <v>0.0</v>
      </c>
      <c r="AG91" s="154">
        <v>0.0</v>
      </c>
      <c r="AH91" s="153">
        <v>0.0</v>
      </c>
      <c r="AI91" s="153">
        <v>0.0</v>
      </c>
      <c r="AJ91" s="153">
        <v>0.0</v>
      </c>
      <c r="AK91" s="153">
        <v>0.0</v>
      </c>
      <c r="AL91" s="153">
        <v>0.0</v>
      </c>
      <c r="AM91" s="153">
        <v>0.0</v>
      </c>
      <c r="AN91" s="153">
        <v>0.0</v>
      </c>
      <c r="AO91" s="156">
        <v>0.0</v>
      </c>
      <c r="AP91" s="153">
        <v>0.0</v>
      </c>
      <c r="AQ91" s="154">
        <v>0.0</v>
      </c>
      <c r="AR91" s="153">
        <v>0.0</v>
      </c>
      <c r="AS91" s="153">
        <v>0.0</v>
      </c>
      <c r="AT91" s="153">
        <v>0.0</v>
      </c>
      <c r="AU91" s="153">
        <v>0.0</v>
      </c>
      <c r="AV91" s="153">
        <v>0.0</v>
      </c>
      <c r="AW91" s="153">
        <v>0.0</v>
      </c>
      <c r="AX91" s="153">
        <v>0.0</v>
      </c>
      <c r="AY91" s="156">
        <v>0.0</v>
      </c>
      <c r="AZ91" s="153">
        <v>0.0</v>
      </c>
      <c r="BA91" s="154">
        <v>0.0</v>
      </c>
      <c r="BB91" s="153">
        <v>0.0</v>
      </c>
      <c r="BC91" s="153">
        <v>0.0</v>
      </c>
      <c r="BD91" s="153">
        <v>0.0</v>
      </c>
      <c r="BE91" s="153">
        <v>0.0</v>
      </c>
      <c r="BF91" s="153">
        <v>0.0</v>
      </c>
      <c r="BG91" s="153">
        <v>0.0</v>
      </c>
      <c r="BH91" s="153">
        <v>0.0</v>
      </c>
      <c r="BI91" s="156">
        <v>0.0</v>
      </c>
      <c r="BJ91" s="153">
        <v>0.0</v>
      </c>
      <c r="BK91" s="154">
        <v>0.0</v>
      </c>
      <c r="BL91" s="153">
        <v>0.0</v>
      </c>
      <c r="BM91" s="153">
        <v>0.0</v>
      </c>
      <c r="BN91" s="153">
        <v>0.0</v>
      </c>
      <c r="BO91" s="153">
        <v>0.0</v>
      </c>
      <c r="BP91" s="153">
        <v>0.0</v>
      </c>
      <c r="BQ91" s="153">
        <v>0.0</v>
      </c>
      <c r="BR91" s="153">
        <v>0.0</v>
      </c>
      <c r="BS91" s="156">
        <v>0.0</v>
      </c>
      <c r="BT91" s="153">
        <v>0.0</v>
      </c>
      <c r="BU91" s="154">
        <v>0.0</v>
      </c>
      <c r="BV91" s="153">
        <v>0.0</v>
      </c>
      <c r="BW91" s="153">
        <v>0.0</v>
      </c>
      <c r="BX91" s="153">
        <v>0.0</v>
      </c>
      <c r="BY91" s="153">
        <v>0.0</v>
      </c>
      <c r="BZ91" s="153">
        <v>0.0</v>
      </c>
      <c r="CA91" s="153">
        <v>0.0</v>
      </c>
      <c r="CB91" s="153">
        <v>0.0</v>
      </c>
      <c r="CC91" s="156">
        <v>0.0</v>
      </c>
      <c r="CD91" s="153">
        <v>0.0</v>
      </c>
      <c r="CE91" s="154">
        <v>0.9</v>
      </c>
      <c r="CF91" s="153">
        <v>1.0</v>
      </c>
      <c r="CG91" s="153">
        <v>1.0</v>
      </c>
      <c r="CH91" s="153">
        <v>1.0</v>
      </c>
      <c r="CI91" s="153">
        <v>0.8333333333333334</v>
      </c>
      <c r="CJ91" s="153">
        <v>1.0</v>
      </c>
      <c r="CK91" s="153">
        <v>1.0</v>
      </c>
      <c r="CL91" s="153">
        <v>0.75</v>
      </c>
      <c r="CM91" s="155">
        <v>0.0</v>
      </c>
      <c r="CN91" s="153">
        <v>1.0</v>
      </c>
      <c r="CO91" s="154">
        <v>0.0</v>
      </c>
      <c r="CP91" s="153">
        <v>0.0</v>
      </c>
      <c r="CQ91" s="153">
        <v>0.0</v>
      </c>
      <c r="CR91" s="153">
        <v>0.0</v>
      </c>
      <c r="CS91" s="153">
        <v>0.0</v>
      </c>
      <c r="CT91" s="153">
        <v>0.0</v>
      </c>
      <c r="CU91" s="153">
        <v>0.0</v>
      </c>
      <c r="CV91" s="153">
        <v>0.0</v>
      </c>
      <c r="CW91" s="156">
        <v>0.0</v>
      </c>
      <c r="CX91" s="153">
        <v>0.0</v>
      </c>
    </row>
    <row r="92" ht="35.25" customHeight="1">
      <c r="A92" s="125"/>
      <c r="B92" s="168" t="s">
        <v>3034</v>
      </c>
      <c r="C92" s="157">
        <v>0.0</v>
      </c>
      <c r="D92" s="158">
        <v>0.0</v>
      </c>
      <c r="E92" s="158">
        <v>0.0</v>
      </c>
      <c r="F92" s="158">
        <v>0.0</v>
      </c>
      <c r="G92" s="158">
        <v>0.0</v>
      </c>
      <c r="H92" s="158">
        <v>0.0</v>
      </c>
      <c r="I92" s="158">
        <v>0.0</v>
      </c>
      <c r="J92" s="158">
        <v>0.0</v>
      </c>
      <c r="K92" s="158">
        <v>0.0</v>
      </c>
      <c r="L92" s="160">
        <v>0.0</v>
      </c>
      <c r="M92" s="157">
        <v>0.0</v>
      </c>
      <c r="N92" s="158">
        <v>0.0</v>
      </c>
      <c r="O92" s="158">
        <v>0.0</v>
      </c>
      <c r="P92" s="158">
        <v>0.0</v>
      </c>
      <c r="Q92" s="158">
        <v>0.0</v>
      </c>
      <c r="R92" s="158">
        <v>0.0</v>
      </c>
      <c r="S92" s="158">
        <v>0.0</v>
      </c>
      <c r="T92" s="158">
        <v>0.0</v>
      </c>
      <c r="U92" s="158">
        <v>0.0</v>
      </c>
      <c r="V92" s="160">
        <v>0.0</v>
      </c>
      <c r="W92" s="157">
        <v>0.0</v>
      </c>
      <c r="X92" s="158">
        <v>0.0</v>
      </c>
      <c r="Y92" s="158">
        <v>0.0</v>
      </c>
      <c r="Z92" s="158">
        <v>0.0</v>
      </c>
      <c r="AA92" s="158">
        <v>0.0</v>
      </c>
      <c r="AB92" s="158">
        <v>0.0</v>
      </c>
      <c r="AC92" s="158">
        <v>0.0</v>
      </c>
      <c r="AD92" s="158">
        <v>0.0</v>
      </c>
      <c r="AE92" s="158">
        <v>0.0</v>
      </c>
      <c r="AF92" s="160">
        <v>0.0</v>
      </c>
      <c r="AG92" s="157">
        <v>0.0</v>
      </c>
      <c r="AH92" s="158">
        <v>0.0</v>
      </c>
      <c r="AI92" s="158">
        <v>0.0</v>
      </c>
      <c r="AJ92" s="158">
        <v>0.0</v>
      </c>
      <c r="AK92" s="158">
        <v>0.0</v>
      </c>
      <c r="AL92" s="158">
        <v>0.0</v>
      </c>
      <c r="AM92" s="158">
        <v>0.0</v>
      </c>
      <c r="AN92" s="158">
        <v>0.0</v>
      </c>
      <c r="AO92" s="158">
        <v>0.0</v>
      </c>
      <c r="AP92" s="160">
        <v>0.0</v>
      </c>
      <c r="AQ92" s="157">
        <v>0.0</v>
      </c>
      <c r="AR92" s="158">
        <v>0.25</v>
      </c>
      <c r="AS92" s="158">
        <v>0.3333333333333333</v>
      </c>
      <c r="AT92" s="158">
        <v>0.0</v>
      </c>
      <c r="AU92" s="158">
        <v>0.0</v>
      </c>
      <c r="AV92" s="158">
        <v>0.25</v>
      </c>
      <c r="AW92" s="158">
        <v>0.0</v>
      </c>
      <c r="AX92" s="158">
        <v>0.16666666666666666</v>
      </c>
      <c r="AY92" s="158">
        <v>0.0</v>
      </c>
      <c r="AZ92" s="160">
        <v>0.14285714285714285</v>
      </c>
      <c r="BA92" s="157">
        <v>0.0</v>
      </c>
      <c r="BB92" s="158">
        <v>0.0</v>
      </c>
      <c r="BC92" s="158">
        <v>0.0</v>
      </c>
      <c r="BD92" s="158">
        <v>0.0</v>
      </c>
      <c r="BE92" s="158">
        <v>0.0</v>
      </c>
      <c r="BF92" s="158">
        <v>0.0</v>
      </c>
      <c r="BG92" s="158">
        <v>0.0</v>
      </c>
      <c r="BH92" s="158">
        <v>0.0</v>
      </c>
      <c r="BI92" s="158">
        <v>0.0</v>
      </c>
      <c r="BJ92" s="160">
        <v>0.0</v>
      </c>
      <c r="BK92" s="157">
        <v>0.0</v>
      </c>
      <c r="BL92" s="158">
        <v>0.0</v>
      </c>
      <c r="BM92" s="158">
        <v>0.0</v>
      </c>
      <c r="BN92" s="158">
        <v>0.0</v>
      </c>
      <c r="BO92" s="158">
        <v>0.0</v>
      </c>
      <c r="BP92" s="158">
        <v>0.0</v>
      </c>
      <c r="BQ92" s="158">
        <v>0.0</v>
      </c>
      <c r="BR92" s="158">
        <v>0.0</v>
      </c>
      <c r="BS92" s="158">
        <v>0.0</v>
      </c>
      <c r="BT92" s="160">
        <v>0.0</v>
      </c>
      <c r="BU92" s="157">
        <v>0.0</v>
      </c>
      <c r="BV92" s="158">
        <v>0.0</v>
      </c>
      <c r="BW92" s="158">
        <v>0.0</v>
      </c>
      <c r="BX92" s="158">
        <v>0.0</v>
      </c>
      <c r="BY92" s="158">
        <v>0.0</v>
      </c>
      <c r="BZ92" s="158">
        <v>0.0</v>
      </c>
      <c r="CA92" s="158">
        <v>0.0</v>
      </c>
      <c r="CB92" s="158">
        <v>0.0</v>
      </c>
      <c r="CC92" s="158">
        <v>0.0</v>
      </c>
      <c r="CD92" s="160">
        <v>0.0</v>
      </c>
      <c r="CE92" s="157">
        <v>0.75</v>
      </c>
      <c r="CF92" s="158">
        <v>1.0</v>
      </c>
      <c r="CG92" s="158">
        <v>0.6666666666666666</v>
      </c>
      <c r="CH92" s="158">
        <v>0.75</v>
      </c>
      <c r="CI92" s="158">
        <v>1.0</v>
      </c>
      <c r="CJ92" s="158">
        <v>0.75</v>
      </c>
      <c r="CK92" s="158">
        <v>0.75</v>
      </c>
      <c r="CL92" s="158">
        <v>0.6666666666666666</v>
      </c>
      <c r="CM92" s="158">
        <v>1.0</v>
      </c>
      <c r="CN92" s="159">
        <v>0.0</v>
      </c>
      <c r="CO92" s="157">
        <v>0.0</v>
      </c>
      <c r="CP92" s="158">
        <v>0.0</v>
      </c>
      <c r="CQ92" s="158">
        <v>0.0</v>
      </c>
      <c r="CR92" s="158">
        <v>0.25</v>
      </c>
      <c r="CS92" s="158">
        <v>0.0</v>
      </c>
      <c r="CT92" s="158">
        <v>0.0</v>
      </c>
      <c r="CU92" s="158">
        <v>0.5</v>
      </c>
      <c r="CV92" s="158">
        <v>0.0</v>
      </c>
      <c r="CW92" s="158">
        <v>0.0</v>
      </c>
      <c r="CX92" s="160">
        <v>0.07142857142857142</v>
      </c>
    </row>
    <row r="93" ht="35.25" customHeight="1">
      <c r="A93" s="134" t="s">
        <v>2944</v>
      </c>
      <c r="B93" s="167" t="s">
        <v>3035</v>
      </c>
      <c r="C93" s="154">
        <v>0.0</v>
      </c>
      <c r="D93" s="153">
        <v>0.0</v>
      </c>
      <c r="E93" s="153">
        <v>0.0</v>
      </c>
      <c r="F93" s="153">
        <v>0.0</v>
      </c>
      <c r="G93" s="153">
        <v>0.0</v>
      </c>
      <c r="H93" s="153">
        <v>0.0</v>
      </c>
      <c r="I93" s="153">
        <v>0.0</v>
      </c>
      <c r="J93" s="153">
        <v>0.0</v>
      </c>
      <c r="K93" s="153">
        <v>0.0</v>
      </c>
      <c r="L93" s="153">
        <v>0.0</v>
      </c>
      <c r="M93" s="154">
        <v>0.0</v>
      </c>
      <c r="N93" s="153">
        <v>0.0</v>
      </c>
      <c r="O93" s="153">
        <v>0.0</v>
      </c>
      <c r="P93" s="153">
        <v>0.0</v>
      </c>
      <c r="Q93" s="153">
        <v>0.0</v>
      </c>
      <c r="R93" s="153">
        <v>0.0</v>
      </c>
      <c r="S93" s="153">
        <v>0.0</v>
      </c>
      <c r="T93" s="153">
        <v>0.0</v>
      </c>
      <c r="U93" s="153">
        <v>0.0</v>
      </c>
      <c r="V93" s="153">
        <v>0.0</v>
      </c>
      <c r="W93" s="154">
        <v>0.0</v>
      </c>
      <c r="X93" s="153">
        <v>0.0</v>
      </c>
      <c r="Y93" s="153">
        <v>0.0</v>
      </c>
      <c r="Z93" s="153">
        <v>0.0</v>
      </c>
      <c r="AA93" s="153">
        <v>0.0</v>
      </c>
      <c r="AB93" s="153">
        <v>0.0</v>
      </c>
      <c r="AC93" s="153">
        <v>0.0</v>
      </c>
      <c r="AD93" s="153">
        <v>0.0</v>
      </c>
      <c r="AE93" s="153">
        <v>0.0</v>
      </c>
      <c r="AF93" s="153">
        <v>0.0</v>
      </c>
      <c r="AG93" s="154">
        <v>0.0</v>
      </c>
      <c r="AH93" s="153">
        <v>0.0</v>
      </c>
      <c r="AI93" s="153">
        <v>0.0</v>
      </c>
      <c r="AJ93" s="153">
        <v>0.0</v>
      </c>
      <c r="AK93" s="153">
        <v>0.0</v>
      </c>
      <c r="AL93" s="153">
        <v>0.0</v>
      </c>
      <c r="AM93" s="153">
        <v>0.0</v>
      </c>
      <c r="AN93" s="153">
        <v>0.0</v>
      </c>
      <c r="AO93" s="153">
        <v>0.0</v>
      </c>
      <c r="AP93" s="153">
        <v>0.0</v>
      </c>
      <c r="AQ93" s="154">
        <v>0.0</v>
      </c>
      <c r="AR93" s="153">
        <v>0.0</v>
      </c>
      <c r="AS93" s="153">
        <v>0.0</v>
      </c>
      <c r="AT93" s="153">
        <v>0.0</v>
      </c>
      <c r="AU93" s="153">
        <v>0.0</v>
      </c>
      <c r="AV93" s="153">
        <v>0.0</v>
      </c>
      <c r="AW93" s="153">
        <v>0.0</v>
      </c>
      <c r="AX93" s="153">
        <v>0.0</v>
      </c>
      <c r="AY93" s="153">
        <v>0.0</v>
      </c>
      <c r="AZ93" s="153">
        <v>0.0</v>
      </c>
      <c r="BA93" s="154">
        <v>0.0</v>
      </c>
      <c r="BB93" s="153">
        <v>0.0</v>
      </c>
      <c r="BC93" s="153">
        <v>0.0</v>
      </c>
      <c r="BD93" s="153">
        <v>0.0</v>
      </c>
      <c r="BE93" s="153">
        <v>0.0</v>
      </c>
      <c r="BF93" s="153">
        <v>0.0</v>
      </c>
      <c r="BG93" s="153">
        <v>0.0</v>
      </c>
      <c r="BH93" s="153">
        <v>0.0</v>
      </c>
      <c r="BI93" s="153">
        <v>0.0</v>
      </c>
      <c r="BJ93" s="153">
        <v>0.0</v>
      </c>
      <c r="BK93" s="154">
        <v>0.0</v>
      </c>
      <c r="BL93" s="153">
        <v>0.0</v>
      </c>
      <c r="BM93" s="153">
        <v>0.0</v>
      </c>
      <c r="BN93" s="153">
        <v>0.0</v>
      </c>
      <c r="BO93" s="153">
        <v>0.0</v>
      </c>
      <c r="BP93" s="153">
        <v>0.0</v>
      </c>
      <c r="BQ93" s="153">
        <v>0.0</v>
      </c>
      <c r="BR93" s="153">
        <v>0.0</v>
      </c>
      <c r="BS93" s="153">
        <v>0.0</v>
      </c>
      <c r="BT93" s="153">
        <v>0.0</v>
      </c>
      <c r="BU93" s="154">
        <v>0.0</v>
      </c>
      <c r="BV93" s="153">
        <v>0.0</v>
      </c>
      <c r="BW93" s="153">
        <v>0.0</v>
      </c>
      <c r="BX93" s="153">
        <v>0.0</v>
      </c>
      <c r="BY93" s="153">
        <v>0.0</v>
      </c>
      <c r="BZ93" s="153">
        <v>0.0</v>
      </c>
      <c r="CA93" s="153">
        <v>0.0</v>
      </c>
      <c r="CB93" s="153">
        <v>0.0</v>
      </c>
      <c r="CC93" s="153">
        <v>0.0</v>
      </c>
      <c r="CD93" s="153">
        <v>0.0</v>
      </c>
      <c r="CE93" s="154">
        <v>0.0</v>
      </c>
      <c r="CF93" s="153">
        <v>0.0</v>
      </c>
      <c r="CG93" s="153">
        <v>0.0</v>
      </c>
      <c r="CH93" s="153">
        <v>0.0</v>
      </c>
      <c r="CI93" s="153">
        <v>0.0</v>
      </c>
      <c r="CJ93" s="153">
        <v>0.0</v>
      </c>
      <c r="CK93" s="153">
        <v>0.0</v>
      </c>
      <c r="CL93" s="153">
        <v>0.0</v>
      </c>
      <c r="CM93" s="153">
        <v>0.0</v>
      </c>
      <c r="CN93" s="153">
        <v>0.0</v>
      </c>
      <c r="CO93" s="152">
        <v>0.0</v>
      </c>
      <c r="CP93" s="153">
        <v>1.0</v>
      </c>
      <c r="CQ93" s="153">
        <v>0.25</v>
      </c>
      <c r="CR93" s="153">
        <v>0.5</v>
      </c>
      <c r="CS93" s="153">
        <v>0.8</v>
      </c>
      <c r="CT93" s="153">
        <v>0.8</v>
      </c>
      <c r="CU93" s="153">
        <v>0.5</v>
      </c>
      <c r="CV93" s="153">
        <v>0.75</v>
      </c>
      <c r="CW93" s="153">
        <v>0.8</v>
      </c>
      <c r="CX93" s="153">
        <v>1.0</v>
      </c>
    </row>
    <row r="94" ht="35.25" customHeight="1">
      <c r="B94" s="167" t="s">
        <v>3036</v>
      </c>
      <c r="C94" s="154">
        <v>0.0</v>
      </c>
      <c r="D94" s="156">
        <v>0.0</v>
      </c>
      <c r="E94" s="153">
        <v>0.0</v>
      </c>
      <c r="F94" s="153">
        <v>0.0</v>
      </c>
      <c r="G94" s="153">
        <v>0.0</v>
      </c>
      <c r="H94" s="153">
        <v>0.0</v>
      </c>
      <c r="I94" s="153">
        <v>0.0</v>
      </c>
      <c r="J94" s="153">
        <v>0.0</v>
      </c>
      <c r="K94" s="153">
        <v>0.0</v>
      </c>
      <c r="L94" s="153">
        <v>0.0</v>
      </c>
      <c r="M94" s="154">
        <v>0.0</v>
      </c>
      <c r="N94" s="156">
        <v>0.0</v>
      </c>
      <c r="O94" s="153">
        <v>0.0</v>
      </c>
      <c r="P94" s="153">
        <v>0.0</v>
      </c>
      <c r="Q94" s="153">
        <v>0.0</v>
      </c>
      <c r="R94" s="153">
        <v>0.0</v>
      </c>
      <c r="S94" s="153">
        <v>0.0</v>
      </c>
      <c r="T94" s="153">
        <v>0.0</v>
      </c>
      <c r="U94" s="153">
        <v>0.0</v>
      </c>
      <c r="V94" s="153">
        <v>0.0</v>
      </c>
      <c r="W94" s="154">
        <v>0.0</v>
      </c>
      <c r="X94" s="156">
        <v>0.0</v>
      </c>
      <c r="Y94" s="153">
        <v>0.0</v>
      </c>
      <c r="Z94" s="153">
        <v>0.0</v>
      </c>
      <c r="AA94" s="153">
        <v>0.0</v>
      </c>
      <c r="AB94" s="153">
        <v>0.0</v>
      </c>
      <c r="AC94" s="153">
        <v>0.0</v>
      </c>
      <c r="AD94" s="153">
        <v>0.0</v>
      </c>
      <c r="AE94" s="153">
        <v>0.0</v>
      </c>
      <c r="AF94" s="153">
        <v>0.0</v>
      </c>
      <c r="AG94" s="154">
        <v>0.0</v>
      </c>
      <c r="AH94" s="156">
        <v>0.0</v>
      </c>
      <c r="AI94" s="153">
        <v>0.0</v>
      </c>
      <c r="AJ94" s="153">
        <v>0.0</v>
      </c>
      <c r="AK94" s="153">
        <v>0.0</v>
      </c>
      <c r="AL94" s="153">
        <v>0.0</v>
      </c>
      <c r="AM94" s="153">
        <v>0.0</v>
      </c>
      <c r="AN94" s="153">
        <v>0.0</v>
      </c>
      <c r="AO94" s="153">
        <v>0.0</v>
      </c>
      <c r="AP94" s="153">
        <v>0.0</v>
      </c>
      <c r="AQ94" s="154">
        <v>0.0</v>
      </c>
      <c r="AR94" s="156">
        <v>0.0</v>
      </c>
      <c r="AS94" s="153">
        <v>0.0</v>
      </c>
      <c r="AT94" s="153">
        <v>0.0</v>
      </c>
      <c r="AU94" s="153">
        <v>0.0</v>
      </c>
      <c r="AV94" s="153">
        <v>0.0</v>
      </c>
      <c r="AW94" s="153">
        <v>0.16666666666666666</v>
      </c>
      <c r="AX94" s="153">
        <v>0.0</v>
      </c>
      <c r="AY94" s="153">
        <v>0.0</v>
      </c>
      <c r="AZ94" s="153">
        <v>0.25</v>
      </c>
      <c r="BA94" s="154">
        <v>0.0</v>
      </c>
      <c r="BB94" s="156">
        <v>0.0</v>
      </c>
      <c r="BC94" s="153">
        <v>0.0</v>
      </c>
      <c r="BD94" s="153">
        <v>0.0</v>
      </c>
      <c r="BE94" s="153">
        <v>0.0</v>
      </c>
      <c r="BF94" s="153">
        <v>0.0</v>
      </c>
      <c r="BG94" s="153">
        <v>0.0</v>
      </c>
      <c r="BH94" s="153">
        <v>0.0</v>
      </c>
      <c r="BI94" s="153">
        <v>0.0</v>
      </c>
      <c r="BJ94" s="153">
        <v>0.0</v>
      </c>
      <c r="BK94" s="154">
        <v>0.0</v>
      </c>
      <c r="BL94" s="156">
        <v>0.0</v>
      </c>
      <c r="BM94" s="153">
        <v>0.0</v>
      </c>
      <c r="BN94" s="153">
        <v>0.0</v>
      </c>
      <c r="BO94" s="153">
        <v>0.0</v>
      </c>
      <c r="BP94" s="153">
        <v>0.0</v>
      </c>
      <c r="BQ94" s="153">
        <v>0.0</v>
      </c>
      <c r="BR94" s="153">
        <v>0.0</v>
      </c>
      <c r="BS94" s="153">
        <v>0.0</v>
      </c>
      <c r="BT94" s="153">
        <v>0.0</v>
      </c>
      <c r="BU94" s="154">
        <v>0.0</v>
      </c>
      <c r="BV94" s="156">
        <v>0.0</v>
      </c>
      <c r="BW94" s="153">
        <v>0.0</v>
      </c>
      <c r="BX94" s="153">
        <v>0.0</v>
      </c>
      <c r="BY94" s="153">
        <v>0.0</v>
      </c>
      <c r="BZ94" s="153">
        <v>0.0</v>
      </c>
      <c r="CA94" s="153">
        <v>0.0</v>
      </c>
      <c r="CB94" s="153">
        <v>0.0</v>
      </c>
      <c r="CC94" s="153">
        <v>0.0</v>
      </c>
      <c r="CD94" s="153">
        <v>0.0</v>
      </c>
      <c r="CE94" s="154">
        <v>0.0</v>
      </c>
      <c r="CF94" s="156">
        <v>0.0</v>
      </c>
      <c r="CG94" s="153">
        <v>0.25</v>
      </c>
      <c r="CH94" s="153">
        <v>0.0</v>
      </c>
      <c r="CI94" s="153">
        <v>0.0</v>
      </c>
      <c r="CJ94" s="153">
        <v>0.0</v>
      </c>
      <c r="CK94" s="153">
        <v>0.0</v>
      </c>
      <c r="CL94" s="153">
        <v>0.0</v>
      </c>
      <c r="CM94" s="153">
        <v>0.0</v>
      </c>
      <c r="CN94" s="153">
        <v>0.0</v>
      </c>
      <c r="CO94" s="154">
        <v>1.0</v>
      </c>
      <c r="CP94" s="155">
        <v>0.0</v>
      </c>
      <c r="CQ94" s="153">
        <v>1.0</v>
      </c>
      <c r="CR94" s="153">
        <v>1.0</v>
      </c>
      <c r="CS94" s="153">
        <v>0.8333333333333334</v>
      </c>
      <c r="CT94" s="153">
        <v>1.0</v>
      </c>
      <c r="CU94" s="153">
        <v>0.8333333333333334</v>
      </c>
      <c r="CV94" s="153">
        <v>1.0</v>
      </c>
      <c r="CW94" s="153">
        <v>1.0</v>
      </c>
      <c r="CX94" s="153">
        <v>1.0</v>
      </c>
    </row>
    <row r="95" ht="35.25" customHeight="1">
      <c r="B95" s="167" t="s">
        <v>3037</v>
      </c>
      <c r="C95" s="154">
        <v>0.0</v>
      </c>
      <c r="D95" s="153">
        <v>0.0</v>
      </c>
      <c r="E95" s="156">
        <v>0.0</v>
      </c>
      <c r="F95" s="153">
        <v>0.0</v>
      </c>
      <c r="G95" s="153">
        <v>0.0</v>
      </c>
      <c r="H95" s="153">
        <v>0.0</v>
      </c>
      <c r="I95" s="153">
        <v>0.0</v>
      </c>
      <c r="J95" s="153">
        <v>0.0</v>
      </c>
      <c r="K95" s="153">
        <v>0.0</v>
      </c>
      <c r="L95" s="153">
        <v>0.0</v>
      </c>
      <c r="M95" s="154">
        <v>0.0</v>
      </c>
      <c r="N95" s="153">
        <v>0.0</v>
      </c>
      <c r="O95" s="156">
        <v>0.0</v>
      </c>
      <c r="P95" s="153">
        <v>0.0</v>
      </c>
      <c r="Q95" s="153">
        <v>0.0</v>
      </c>
      <c r="R95" s="153">
        <v>0.0</v>
      </c>
      <c r="S95" s="153">
        <v>0.0</v>
      </c>
      <c r="T95" s="153">
        <v>0.0</v>
      </c>
      <c r="U95" s="153">
        <v>0.0</v>
      </c>
      <c r="V95" s="153">
        <v>0.0</v>
      </c>
      <c r="W95" s="154">
        <v>0.0</v>
      </c>
      <c r="X95" s="153">
        <v>0.0</v>
      </c>
      <c r="Y95" s="156">
        <v>0.0</v>
      </c>
      <c r="Z95" s="153">
        <v>0.0</v>
      </c>
      <c r="AA95" s="153">
        <v>0.0</v>
      </c>
      <c r="AB95" s="153">
        <v>0.0</v>
      </c>
      <c r="AC95" s="153">
        <v>0.0</v>
      </c>
      <c r="AD95" s="153">
        <v>0.0</v>
      </c>
      <c r="AE95" s="153">
        <v>0.0</v>
      </c>
      <c r="AF95" s="153">
        <v>0.0</v>
      </c>
      <c r="AG95" s="154">
        <v>0.0</v>
      </c>
      <c r="AH95" s="153">
        <v>0.0</v>
      </c>
      <c r="AI95" s="156">
        <v>0.0</v>
      </c>
      <c r="AJ95" s="153">
        <v>0.0</v>
      </c>
      <c r="AK95" s="153">
        <v>0.0</v>
      </c>
      <c r="AL95" s="153">
        <v>0.0</v>
      </c>
      <c r="AM95" s="153">
        <v>0.0</v>
      </c>
      <c r="AN95" s="153">
        <v>0.0</v>
      </c>
      <c r="AO95" s="153">
        <v>0.0</v>
      </c>
      <c r="AP95" s="153">
        <v>0.0</v>
      </c>
      <c r="AQ95" s="154">
        <v>0.0</v>
      </c>
      <c r="AR95" s="153">
        <v>0.0</v>
      </c>
      <c r="AS95" s="156">
        <v>0.0</v>
      </c>
      <c r="AT95" s="153">
        <v>0.0</v>
      </c>
      <c r="AU95" s="153">
        <v>0.0</v>
      </c>
      <c r="AV95" s="153">
        <v>0.0</v>
      </c>
      <c r="AW95" s="153">
        <v>0.125</v>
      </c>
      <c r="AX95" s="153">
        <v>0.0</v>
      </c>
      <c r="AY95" s="153">
        <v>0.0</v>
      </c>
      <c r="AZ95" s="153">
        <v>0.16666666666666666</v>
      </c>
      <c r="BA95" s="154">
        <v>0.0</v>
      </c>
      <c r="BB95" s="153">
        <v>0.0</v>
      </c>
      <c r="BC95" s="156">
        <v>0.0</v>
      </c>
      <c r="BD95" s="153">
        <v>0.0</v>
      </c>
      <c r="BE95" s="153">
        <v>0.0</v>
      </c>
      <c r="BF95" s="153">
        <v>0.0</v>
      </c>
      <c r="BG95" s="153">
        <v>0.0</v>
      </c>
      <c r="BH95" s="153">
        <v>0.0</v>
      </c>
      <c r="BI95" s="153">
        <v>0.0</v>
      </c>
      <c r="BJ95" s="153">
        <v>0.0</v>
      </c>
      <c r="BK95" s="154">
        <v>0.0</v>
      </c>
      <c r="BL95" s="153">
        <v>0.0</v>
      </c>
      <c r="BM95" s="156">
        <v>0.0</v>
      </c>
      <c r="BN95" s="153">
        <v>0.0</v>
      </c>
      <c r="BO95" s="153">
        <v>0.0</v>
      </c>
      <c r="BP95" s="153">
        <v>0.0</v>
      </c>
      <c r="BQ95" s="153">
        <v>0.0</v>
      </c>
      <c r="BR95" s="153">
        <v>0.0</v>
      </c>
      <c r="BS95" s="153">
        <v>0.0</v>
      </c>
      <c r="BT95" s="153">
        <v>0.0</v>
      </c>
      <c r="BU95" s="154">
        <v>0.0</v>
      </c>
      <c r="BV95" s="153">
        <v>0.0</v>
      </c>
      <c r="BW95" s="156">
        <v>0.0</v>
      </c>
      <c r="BX95" s="153">
        <v>0.0</v>
      </c>
      <c r="BY95" s="153">
        <v>0.0</v>
      </c>
      <c r="BZ95" s="153">
        <v>0.0</v>
      </c>
      <c r="CA95" s="153">
        <v>0.0</v>
      </c>
      <c r="CB95" s="153">
        <v>0.0</v>
      </c>
      <c r="CC95" s="153">
        <v>0.0</v>
      </c>
      <c r="CD95" s="153">
        <v>0.0</v>
      </c>
      <c r="CE95" s="154">
        <v>0.0</v>
      </c>
      <c r="CF95" s="153">
        <v>0.0</v>
      </c>
      <c r="CG95" s="156">
        <v>0.0625</v>
      </c>
      <c r="CH95" s="153">
        <v>0.0</v>
      </c>
      <c r="CI95" s="153">
        <v>0.0</v>
      </c>
      <c r="CJ95" s="153">
        <v>0.0</v>
      </c>
      <c r="CK95" s="153">
        <v>0.0</v>
      </c>
      <c r="CL95" s="153">
        <v>0.0</v>
      </c>
      <c r="CM95" s="153">
        <v>0.0</v>
      </c>
      <c r="CN95" s="153">
        <v>0.0</v>
      </c>
      <c r="CO95" s="154">
        <v>0.25</v>
      </c>
      <c r="CP95" s="153">
        <v>1.0</v>
      </c>
      <c r="CQ95" s="155">
        <v>0.0</v>
      </c>
      <c r="CR95" s="153">
        <v>0.75</v>
      </c>
      <c r="CS95" s="153">
        <v>0.75</v>
      </c>
      <c r="CT95" s="153">
        <v>0.5</v>
      </c>
      <c r="CU95" s="153">
        <v>0.75</v>
      </c>
      <c r="CV95" s="153">
        <v>1.0</v>
      </c>
      <c r="CW95" s="153">
        <v>1.0</v>
      </c>
      <c r="CX95" s="153">
        <v>1.0</v>
      </c>
    </row>
    <row r="96" ht="35.25" customHeight="1">
      <c r="B96" s="167" t="s">
        <v>3038</v>
      </c>
      <c r="C96" s="154">
        <v>0.0</v>
      </c>
      <c r="D96" s="153">
        <v>0.0</v>
      </c>
      <c r="E96" s="153">
        <v>0.0</v>
      </c>
      <c r="F96" s="156">
        <v>0.0</v>
      </c>
      <c r="G96" s="153">
        <v>0.0</v>
      </c>
      <c r="H96" s="153">
        <v>0.0</v>
      </c>
      <c r="I96" s="153">
        <v>0.0</v>
      </c>
      <c r="J96" s="153">
        <v>0.0</v>
      </c>
      <c r="K96" s="153">
        <v>0.0</v>
      </c>
      <c r="L96" s="153">
        <v>0.0</v>
      </c>
      <c r="M96" s="154">
        <v>0.0</v>
      </c>
      <c r="N96" s="153">
        <v>0.0</v>
      </c>
      <c r="O96" s="153">
        <v>0.0</v>
      </c>
      <c r="P96" s="156">
        <v>0.0625</v>
      </c>
      <c r="Q96" s="153">
        <v>0.0</v>
      </c>
      <c r="R96" s="153">
        <v>0.0</v>
      </c>
      <c r="S96" s="153">
        <v>0.0</v>
      </c>
      <c r="T96" s="153">
        <v>0.0</v>
      </c>
      <c r="U96" s="153">
        <v>0.0</v>
      </c>
      <c r="V96" s="153">
        <v>0.0</v>
      </c>
      <c r="W96" s="154">
        <v>0.0</v>
      </c>
      <c r="X96" s="153">
        <v>0.0</v>
      </c>
      <c r="Y96" s="153">
        <v>0.0</v>
      </c>
      <c r="Z96" s="156">
        <v>0.0</v>
      </c>
      <c r="AA96" s="153">
        <v>0.0</v>
      </c>
      <c r="AB96" s="153">
        <v>0.0</v>
      </c>
      <c r="AC96" s="153">
        <v>0.0</v>
      </c>
      <c r="AD96" s="153">
        <v>0.0</v>
      </c>
      <c r="AE96" s="153">
        <v>0.0</v>
      </c>
      <c r="AF96" s="153">
        <v>0.0</v>
      </c>
      <c r="AG96" s="154">
        <v>0.0</v>
      </c>
      <c r="AH96" s="153">
        <v>0.0</v>
      </c>
      <c r="AI96" s="153">
        <v>0.0</v>
      </c>
      <c r="AJ96" s="156">
        <v>0.0</v>
      </c>
      <c r="AK96" s="153">
        <v>0.0</v>
      </c>
      <c r="AL96" s="153">
        <v>0.0</v>
      </c>
      <c r="AM96" s="153">
        <v>0.0</v>
      </c>
      <c r="AN96" s="153">
        <v>0.0</v>
      </c>
      <c r="AO96" s="153">
        <v>0.0</v>
      </c>
      <c r="AP96" s="153">
        <v>0.0</v>
      </c>
      <c r="AQ96" s="154">
        <v>0.0</v>
      </c>
      <c r="AR96" s="153">
        <v>0.0</v>
      </c>
      <c r="AS96" s="153">
        <v>0.0</v>
      </c>
      <c r="AT96" s="156">
        <v>0.0625</v>
      </c>
      <c r="AU96" s="153">
        <v>0.0</v>
      </c>
      <c r="AV96" s="153">
        <v>0.0</v>
      </c>
      <c r="AW96" s="153">
        <v>0.0</v>
      </c>
      <c r="AX96" s="153">
        <v>0.0</v>
      </c>
      <c r="AY96" s="153">
        <v>0.0</v>
      </c>
      <c r="AZ96" s="153">
        <v>0.0</v>
      </c>
      <c r="BA96" s="154">
        <v>0.0</v>
      </c>
      <c r="BB96" s="153">
        <v>0.0</v>
      </c>
      <c r="BC96" s="153">
        <v>0.0</v>
      </c>
      <c r="BD96" s="156">
        <v>0.0</v>
      </c>
      <c r="BE96" s="153">
        <v>0.0</v>
      </c>
      <c r="BF96" s="153">
        <v>0.0</v>
      </c>
      <c r="BG96" s="153">
        <v>0.0</v>
      </c>
      <c r="BH96" s="153">
        <v>0.0</v>
      </c>
      <c r="BI96" s="153">
        <v>0.0</v>
      </c>
      <c r="BJ96" s="153">
        <v>0.0</v>
      </c>
      <c r="BK96" s="154">
        <v>0.0</v>
      </c>
      <c r="BL96" s="153">
        <v>0.0</v>
      </c>
      <c r="BM96" s="153">
        <v>0.0</v>
      </c>
      <c r="BN96" s="156">
        <v>0.0</v>
      </c>
      <c r="BO96" s="153">
        <v>0.0</v>
      </c>
      <c r="BP96" s="153">
        <v>0.0</v>
      </c>
      <c r="BQ96" s="153">
        <v>0.0</v>
      </c>
      <c r="BR96" s="153">
        <v>0.0</v>
      </c>
      <c r="BS96" s="153">
        <v>0.0</v>
      </c>
      <c r="BT96" s="153">
        <v>0.0</v>
      </c>
      <c r="BU96" s="154">
        <v>0.0</v>
      </c>
      <c r="BV96" s="153">
        <v>0.0</v>
      </c>
      <c r="BW96" s="153">
        <v>0.0</v>
      </c>
      <c r="BX96" s="156">
        <v>0.0</v>
      </c>
      <c r="BY96" s="153">
        <v>0.0</v>
      </c>
      <c r="BZ96" s="153">
        <v>0.0</v>
      </c>
      <c r="CA96" s="153">
        <v>0.0</v>
      </c>
      <c r="CB96" s="153">
        <v>0.0</v>
      </c>
      <c r="CC96" s="153">
        <v>0.0</v>
      </c>
      <c r="CD96" s="153">
        <v>0.0</v>
      </c>
      <c r="CE96" s="154">
        <v>0.0</v>
      </c>
      <c r="CF96" s="153">
        <v>0.0</v>
      </c>
      <c r="CG96" s="153">
        <v>0.0</v>
      </c>
      <c r="CH96" s="156">
        <v>0.0</v>
      </c>
      <c r="CI96" s="153">
        <v>0.0</v>
      </c>
      <c r="CJ96" s="153">
        <v>0.0</v>
      </c>
      <c r="CK96" s="153">
        <v>0.0</v>
      </c>
      <c r="CL96" s="153">
        <v>0.0</v>
      </c>
      <c r="CM96" s="153">
        <v>0.0</v>
      </c>
      <c r="CN96" s="153">
        <v>0.25</v>
      </c>
      <c r="CO96" s="154">
        <v>0.5</v>
      </c>
      <c r="CP96" s="153">
        <v>1.0</v>
      </c>
      <c r="CQ96" s="153">
        <v>0.75</v>
      </c>
      <c r="CR96" s="155">
        <v>0.0</v>
      </c>
      <c r="CS96" s="153">
        <v>0.75</v>
      </c>
      <c r="CT96" s="153">
        <v>0.5</v>
      </c>
      <c r="CU96" s="153">
        <v>1.0</v>
      </c>
      <c r="CV96" s="153">
        <v>1.0</v>
      </c>
      <c r="CW96" s="153">
        <v>1.0</v>
      </c>
      <c r="CX96" s="153">
        <v>0.75</v>
      </c>
    </row>
    <row r="97" ht="35.25" customHeight="1">
      <c r="B97" s="167" t="s">
        <v>3039</v>
      </c>
      <c r="C97" s="154">
        <v>0.0</v>
      </c>
      <c r="D97" s="153">
        <v>0.0</v>
      </c>
      <c r="E97" s="153">
        <v>0.0</v>
      </c>
      <c r="F97" s="153">
        <v>0.0</v>
      </c>
      <c r="G97" s="156">
        <v>0.0</v>
      </c>
      <c r="H97" s="153">
        <v>0.0</v>
      </c>
      <c r="I97" s="153">
        <v>0.0</v>
      </c>
      <c r="J97" s="153">
        <v>0.0</v>
      </c>
      <c r="K97" s="153">
        <v>0.0</v>
      </c>
      <c r="L97" s="153">
        <v>0.0</v>
      </c>
      <c r="M97" s="154">
        <v>0.0</v>
      </c>
      <c r="N97" s="153">
        <v>0.0</v>
      </c>
      <c r="O97" s="153">
        <v>0.0</v>
      </c>
      <c r="P97" s="153">
        <v>0.0</v>
      </c>
      <c r="Q97" s="156">
        <v>0.0</v>
      </c>
      <c r="R97" s="153">
        <v>0.0</v>
      </c>
      <c r="S97" s="153">
        <v>0.0</v>
      </c>
      <c r="T97" s="153">
        <v>0.0</v>
      </c>
      <c r="U97" s="153">
        <v>0.0</v>
      </c>
      <c r="V97" s="153">
        <v>0.0</v>
      </c>
      <c r="W97" s="154">
        <v>0.0</v>
      </c>
      <c r="X97" s="153">
        <v>0.0</v>
      </c>
      <c r="Y97" s="153">
        <v>0.0</v>
      </c>
      <c r="Z97" s="153">
        <v>0.0</v>
      </c>
      <c r="AA97" s="156">
        <v>0.0</v>
      </c>
      <c r="AB97" s="153">
        <v>0.0</v>
      </c>
      <c r="AC97" s="153">
        <v>0.0</v>
      </c>
      <c r="AD97" s="153">
        <v>0.0</v>
      </c>
      <c r="AE97" s="153">
        <v>0.0</v>
      </c>
      <c r="AF97" s="153">
        <v>0.0</v>
      </c>
      <c r="AG97" s="154">
        <v>0.0</v>
      </c>
      <c r="AH97" s="153">
        <v>0.0</v>
      </c>
      <c r="AI97" s="153">
        <v>0.0</v>
      </c>
      <c r="AJ97" s="153">
        <v>0.0</v>
      </c>
      <c r="AK97" s="156">
        <v>0.0</v>
      </c>
      <c r="AL97" s="153">
        <v>0.0</v>
      </c>
      <c r="AM97" s="153">
        <v>0.0</v>
      </c>
      <c r="AN97" s="153">
        <v>0.0</v>
      </c>
      <c r="AO97" s="153">
        <v>0.0</v>
      </c>
      <c r="AP97" s="153">
        <v>0.0</v>
      </c>
      <c r="AQ97" s="154">
        <v>0.0</v>
      </c>
      <c r="AR97" s="153">
        <v>0.0</v>
      </c>
      <c r="AS97" s="153">
        <v>0.0</v>
      </c>
      <c r="AT97" s="153">
        <v>0.0</v>
      </c>
      <c r="AU97" s="156">
        <v>0.0</v>
      </c>
      <c r="AV97" s="153">
        <v>0.0</v>
      </c>
      <c r="AW97" s="153">
        <v>0.0</v>
      </c>
      <c r="AX97" s="153">
        <v>0.0</v>
      </c>
      <c r="AY97" s="153">
        <v>0.0</v>
      </c>
      <c r="AZ97" s="153">
        <v>0.0</v>
      </c>
      <c r="BA97" s="154">
        <v>0.0</v>
      </c>
      <c r="BB97" s="153">
        <v>0.0</v>
      </c>
      <c r="BC97" s="153">
        <v>0.0</v>
      </c>
      <c r="BD97" s="153">
        <v>0.0</v>
      </c>
      <c r="BE97" s="156">
        <v>0.0</v>
      </c>
      <c r="BF97" s="153">
        <v>0.0</v>
      </c>
      <c r="BG97" s="153">
        <v>0.0</v>
      </c>
      <c r="BH97" s="153">
        <v>0.0</v>
      </c>
      <c r="BI97" s="153">
        <v>0.0</v>
      </c>
      <c r="BJ97" s="153">
        <v>0.0</v>
      </c>
      <c r="BK97" s="154">
        <v>0.0</v>
      </c>
      <c r="BL97" s="153">
        <v>0.0</v>
      </c>
      <c r="BM97" s="153">
        <v>0.0</v>
      </c>
      <c r="BN97" s="153">
        <v>0.0</v>
      </c>
      <c r="BO97" s="156">
        <v>0.0</v>
      </c>
      <c r="BP97" s="153">
        <v>0.0</v>
      </c>
      <c r="BQ97" s="153">
        <v>0.0</v>
      </c>
      <c r="BR97" s="153">
        <v>0.0</v>
      </c>
      <c r="BS97" s="153">
        <v>0.0</v>
      </c>
      <c r="BT97" s="153">
        <v>0.0</v>
      </c>
      <c r="BU97" s="154">
        <v>0.0</v>
      </c>
      <c r="BV97" s="153">
        <v>0.0</v>
      </c>
      <c r="BW97" s="153">
        <v>0.0</v>
      </c>
      <c r="BX97" s="153">
        <v>0.0</v>
      </c>
      <c r="BY97" s="156">
        <v>0.0</v>
      </c>
      <c r="BZ97" s="153">
        <v>0.0</v>
      </c>
      <c r="CA97" s="153">
        <v>0.0</v>
      </c>
      <c r="CB97" s="153">
        <v>0.0</v>
      </c>
      <c r="CC97" s="153">
        <v>0.0</v>
      </c>
      <c r="CD97" s="153">
        <v>0.0</v>
      </c>
      <c r="CE97" s="154">
        <v>0.0</v>
      </c>
      <c r="CF97" s="153">
        <v>0.0</v>
      </c>
      <c r="CG97" s="153">
        <v>0.0</v>
      </c>
      <c r="CH97" s="153">
        <v>0.0</v>
      </c>
      <c r="CI97" s="156">
        <v>0.0</v>
      </c>
      <c r="CJ97" s="153">
        <v>0.0</v>
      </c>
      <c r="CK97" s="153">
        <v>0.0</v>
      </c>
      <c r="CL97" s="153">
        <v>0.0</v>
      </c>
      <c r="CM97" s="153">
        <v>0.0</v>
      </c>
      <c r="CN97" s="153">
        <v>0.0</v>
      </c>
      <c r="CO97" s="154">
        <v>0.8</v>
      </c>
      <c r="CP97" s="153">
        <v>1.0</v>
      </c>
      <c r="CQ97" s="153">
        <v>0.75</v>
      </c>
      <c r="CR97" s="153">
        <v>1.0</v>
      </c>
      <c r="CS97" s="155">
        <v>0.0</v>
      </c>
      <c r="CT97" s="153">
        <v>1.0</v>
      </c>
      <c r="CU97" s="153">
        <v>0.75</v>
      </c>
      <c r="CV97" s="153">
        <v>0.9</v>
      </c>
      <c r="CW97" s="153">
        <v>0.8333333333333334</v>
      </c>
      <c r="CX97" s="153">
        <v>1.0</v>
      </c>
    </row>
    <row r="98" ht="35.25" customHeight="1">
      <c r="B98" s="167" t="s">
        <v>3040</v>
      </c>
      <c r="C98" s="154">
        <v>0.0</v>
      </c>
      <c r="D98" s="153">
        <v>0.0</v>
      </c>
      <c r="E98" s="153">
        <v>0.0</v>
      </c>
      <c r="F98" s="153">
        <v>0.0</v>
      </c>
      <c r="G98" s="153">
        <v>0.0</v>
      </c>
      <c r="H98" s="156">
        <v>0.0</v>
      </c>
      <c r="I98" s="153">
        <v>0.0</v>
      </c>
      <c r="J98" s="153">
        <v>0.0</v>
      </c>
      <c r="K98" s="153">
        <v>0.0</v>
      </c>
      <c r="L98" s="153">
        <v>0.0</v>
      </c>
      <c r="M98" s="154">
        <v>0.0</v>
      </c>
      <c r="N98" s="153">
        <v>0.0</v>
      </c>
      <c r="O98" s="153">
        <v>0.0</v>
      </c>
      <c r="P98" s="153">
        <v>0.0</v>
      </c>
      <c r="Q98" s="153">
        <v>0.0</v>
      </c>
      <c r="R98" s="156">
        <v>0.0</v>
      </c>
      <c r="S98" s="153">
        <v>0.0</v>
      </c>
      <c r="T98" s="153">
        <v>0.0</v>
      </c>
      <c r="U98" s="153">
        <v>0.0</v>
      </c>
      <c r="V98" s="153">
        <v>0.0</v>
      </c>
      <c r="W98" s="154">
        <v>0.0</v>
      </c>
      <c r="X98" s="153">
        <v>0.0</v>
      </c>
      <c r="Y98" s="153">
        <v>0.0</v>
      </c>
      <c r="Z98" s="153">
        <v>0.0</v>
      </c>
      <c r="AA98" s="153">
        <v>0.0</v>
      </c>
      <c r="AB98" s="156">
        <v>0.0</v>
      </c>
      <c r="AC98" s="153">
        <v>0.0</v>
      </c>
      <c r="AD98" s="153">
        <v>0.0</v>
      </c>
      <c r="AE98" s="153">
        <v>0.0</v>
      </c>
      <c r="AF98" s="153">
        <v>0.0</v>
      </c>
      <c r="AG98" s="154">
        <v>0.0</v>
      </c>
      <c r="AH98" s="153">
        <v>0.0</v>
      </c>
      <c r="AI98" s="153">
        <v>0.0</v>
      </c>
      <c r="AJ98" s="153">
        <v>0.0</v>
      </c>
      <c r="AK98" s="153">
        <v>0.0</v>
      </c>
      <c r="AL98" s="156">
        <v>0.0</v>
      </c>
      <c r="AM98" s="153">
        <v>0.0</v>
      </c>
      <c r="AN98" s="153">
        <v>0.0</v>
      </c>
      <c r="AO98" s="153">
        <v>0.0</v>
      </c>
      <c r="AP98" s="153">
        <v>0.0</v>
      </c>
      <c r="AQ98" s="154">
        <v>0.0</v>
      </c>
      <c r="AR98" s="153">
        <v>0.0</v>
      </c>
      <c r="AS98" s="153">
        <v>0.0</v>
      </c>
      <c r="AT98" s="153">
        <v>0.0</v>
      </c>
      <c r="AU98" s="153">
        <v>0.0</v>
      </c>
      <c r="AV98" s="156">
        <v>0.0</v>
      </c>
      <c r="AW98" s="153">
        <v>0.0</v>
      </c>
      <c r="AX98" s="153">
        <v>0.0</v>
      </c>
      <c r="AY98" s="153">
        <v>0.0</v>
      </c>
      <c r="AZ98" s="153">
        <v>0.0</v>
      </c>
      <c r="BA98" s="154">
        <v>0.0</v>
      </c>
      <c r="BB98" s="153">
        <v>0.0</v>
      </c>
      <c r="BC98" s="153">
        <v>0.0</v>
      </c>
      <c r="BD98" s="153">
        <v>0.0</v>
      </c>
      <c r="BE98" s="153">
        <v>0.0</v>
      </c>
      <c r="BF98" s="156">
        <v>0.0</v>
      </c>
      <c r="BG98" s="153">
        <v>0.0</v>
      </c>
      <c r="BH98" s="153">
        <v>0.0</v>
      </c>
      <c r="BI98" s="153">
        <v>0.0</v>
      </c>
      <c r="BJ98" s="153">
        <v>0.0</v>
      </c>
      <c r="BK98" s="154">
        <v>0.0</v>
      </c>
      <c r="BL98" s="153">
        <v>0.0</v>
      </c>
      <c r="BM98" s="153">
        <v>0.0</v>
      </c>
      <c r="BN98" s="153">
        <v>0.0</v>
      </c>
      <c r="BO98" s="153">
        <v>0.0</v>
      </c>
      <c r="BP98" s="156">
        <v>0.0</v>
      </c>
      <c r="BQ98" s="153">
        <v>0.0</v>
      </c>
      <c r="BR98" s="153">
        <v>0.0</v>
      </c>
      <c r="BS98" s="153">
        <v>0.0</v>
      </c>
      <c r="BT98" s="153">
        <v>0.0</v>
      </c>
      <c r="BU98" s="154">
        <v>0.0</v>
      </c>
      <c r="BV98" s="153">
        <v>0.0</v>
      </c>
      <c r="BW98" s="153">
        <v>0.0</v>
      </c>
      <c r="BX98" s="153">
        <v>0.0</v>
      </c>
      <c r="BY98" s="153">
        <v>0.0</v>
      </c>
      <c r="BZ98" s="156">
        <v>0.0</v>
      </c>
      <c r="CA98" s="153">
        <v>0.0</v>
      </c>
      <c r="CB98" s="153">
        <v>0.0</v>
      </c>
      <c r="CC98" s="153">
        <v>0.0</v>
      </c>
      <c r="CD98" s="153">
        <v>0.0</v>
      </c>
      <c r="CE98" s="154">
        <v>0.0</v>
      </c>
      <c r="CF98" s="153">
        <v>0.0</v>
      </c>
      <c r="CG98" s="153">
        <v>0.0</v>
      </c>
      <c r="CH98" s="153">
        <v>0.0</v>
      </c>
      <c r="CI98" s="153">
        <v>0.0</v>
      </c>
      <c r="CJ98" s="156">
        <v>0.0</v>
      </c>
      <c r="CK98" s="153">
        <v>0.0</v>
      </c>
      <c r="CL98" s="153">
        <v>0.0</v>
      </c>
      <c r="CM98" s="153">
        <v>0.0</v>
      </c>
      <c r="CN98" s="153">
        <v>0.0</v>
      </c>
      <c r="CO98" s="154">
        <v>0.8</v>
      </c>
      <c r="CP98" s="153">
        <v>1.0</v>
      </c>
      <c r="CQ98" s="153">
        <v>0.5</v>
      </c>
      <c r="CR98" s="153">
        <v>0.5</v>
      </c>
      <c r="CS98" s="153">
        <v>1.0</v>
      </c>
      <c r="CT98" s="155">
        <v>0.0</v>
      </c>
      <c r="CU98" s="153">
        <v>0.75</v>
      </c>
      <c r="CV98" s="153">
        <v>1.0</v>
      </c>
      <c r="CW98" s="153">
        <v>0.75</v>
      </c>
      <c r="CX98" s="153">
        <v>0.75</v>
      </c>
    </row>
    <row r="99" ht="35.25" customHeight="1">
      <c r="B99" s="167" t="s">
        <v>3041</v>
      </c>
      <c r="C99" s="154">
        <v>0.0</v>
      </c>
      <c r="D99" s="153">
        <v>0.0</v>
      </c>
      <c r="E99" s="153">
        <v>0.0</v>
      </c>
      <c r="F99" s="153">
        <v>0.0</v>
      </c>
      <c r="G99" s="153">
        <v>0.0</v>
      </c>
      <c r="H99" s="153">
        <v>0.0</v>
      </c>
      <c r="I99" s="156">
        <v>0.0</v>
      </c>
      <c r="J99" s="153">
        <v>0.0</v>
      </c>
      <c r="K99" s="153">
        <v>0.0</v>
      </c>
      <c r="L99" s="153">
        <v>0.0</v>
      </c>
      <c r="M99" s="154">
        <v>0.0</v>
      </c>
      <c r="N99" s="153">
        <v>0.0</v>
      </c>
      <c r="O99" s="153">
        <v>0.0</v>
      </c>
      <c r="P99" s="153">
        <v>0.0</v>
      </c>
      <c r="Q99" s="153">
        <v>0.0</v>
      </c>
      <c r="R99" s="153">
        <v>0.0</v>
      </c>
      <c r="S99" s="156">
        <v>0.0</v>
      </c>
      <c r="T99" s="153">
        <v>0.0</v>
      </c>
      <c r="U99" s="153">
        <v>0.0</v>
      </c>
      <c r="V99" s="153">
        <v>0.0</v>
      </c>
      <c r="W99" s="154">
        <v>0.0</v>
      </c>
      <c r="X99" s="153">
        <v>0.0</v>
      </c>
      <c r="Y99" s="153">
        <v>0.0</v>
      </c>
      <c r="Z99" s="153">
        <v>0.0</v>
      </c>
      <c r="AA99" s="153">
        <v>0.0</v>
      </c>
      <c r="AB99" s="153">
        <v>0.0</v>
      </c>
      <c r="AC99" s="156">
        <v>0.0</v>
      </c>
      <c r="AD99" s="153">
        <v>0.0</v>
      </c>
      <c r="AE99" s="153">
        <v>0.0</v>
      </c>
      <c r="AF99" s="153">
        <v>0.0</v>
      </c>
      <c r="AG99" s="154">
        <v>0.0</v>
      </c>
      <c r="AH99" s="153">
        <v>0.0</v>
      </c>
      <c r="AI99" s="153">
        <v>0.0</v>
      </c>
      <c r="AJ99" s="153">
        <v>0.0</v>
      </c>
      <c r="AK99" s="153">
        <v>0.0</v>
      </c>
      <c r="AL99" s="153">
        <v>0.0</v>
      </c>
      <c r="AM99" s="156">
        <v>0.0</v>
      </c>
      <c r="AN99" s="153">
        <v>0.0</v>
      </c>
      <c r="AO99" s="153">
        <v>0.0</v>
      </c>
      <c r="AP99" s="153">
        <v>0.0</v>
      </c>
      <c r="AQ99" s="154">
        <v>0.0</v>
      </c>
      <c r="AR99" s="153">
        <v>0.16666666666666666</v>
      </c>
      <c r="AS99" s="153">
        <v>0.125</v>
      </c>
      <c r="AT99" s="153">
        <v>0.1</v>
      </c>
      <c r="AU99" s="153">
        <v>0.0</v>
      </c>
      <c r="AV99" s="153">
        <v>0.0</v>
      </c>
      <c r="AW99" s="156">
        <v>0.0</v>
      </c>
      <c r="AX99" s="153">
        <v>0.0</v>
      </c>
      <c r="AY99" s="153">
        <v>0.0</v>
      </c>
      <c r="AZ99" s="153">
        <v>0.0</v>
      </c>
      <c r="BA99" s="154">
        <v>0.0</v>
      </c>
      <c r="BB99" s="153">
        <v>0.0</v>
      </c>
      <c r="BC99" s="153">
        <v>0.0</v>
      </c>
      <c r="BD99" s="153">
        <v>0.0</v>
      </c>
      <c r="BE99" s="153">
        <v>0.0</v>
      </c>
      <c r="BF99" s="153">
        <v>0.0</v>
      </c>
      <c r="BG99" s="156">
        <v>0.0</v>
      </c>
      <c r="BH99" s="153">
        <v>0.0</v>
      </c>
      <c r="BI99" s="153">
        <v>0.0</v>
      </c>
      <c r="BJ99" s="153">
        <v>0.0</v>
      </c>
      <c r="BK99" s="154">
        <v>0.0</v>
      </c>
      <c r="BL99" s="153">
        <v>0.0</v>
      </c>
      <c r="BM99" s="153">
        <v>0.0</v>
      </c>
      <c r="BN99" s="153">
        <v>0.0</v>
      </c>
      <c r="BO99" s="153">
        <v>0.0</v>
      </c>
      <c r="BP99" s="153">
        <v>0.0</v>
      </c>
      <c r="BQ99" s="156">
        <v>0.0</v>
      </c>
      <c r="BR99" s="153">
        <v>0.0</v>
      </c>
      <c r="BS99" s="153">
        <v>0.0</v>
      </c>
      <c r="BT99" s="153">
        <v>0.0</v>
      </c>
      <c r="BU99" s="154">
        <v>0.0</v>
      </c>
      <c r="BV99" s="153">
        <v>0.0</v>
      </c>
      <c r="BW99" s="153">
        <v>0.0</v>
      </c>
      <c r="BX99" s="153">
        <v>0.0</v>
      </c>
      <c r="BY99" s="153">
        <v>0.0</v>
      </c>
      <c r="BZ99" s="153">
        <v>0.0</v>
      </c>
      <c r="CA99" s="156">
        <v>0.0</v>
      </c>
      <c r="CB99" s="153">
        <v>0.0</v>
      </c>
      <c r="CC99" s="153">
        <v>0.0</v>
      </c>
      <c r="CD99" s="153">
        <v>0.0</v>
      </c>
      <c r="CE99" s="154">
        <v>0.0</v>
      </c>
      <c r="CF99" s="153">
        <v>0.16666666666666666</v>
      </c>
      <c r="CG99" s="153">
        <v>0.0</v>
      </c>
      <c r="CH99" s="153">
        <v>0.0</v>
      </c>
      <c r="CI99" s="153">
        <v>0.0</v>
      </c>
      <c r="CJ99" s="153">
        <v>0.0</v>
      </c>
      <c r="CK99" s="156">
        <v>0.0625</v>
      </c>
      <c r="CL99" s="153">
        <v>0.0</v>
      </c>
      <c r="CM99" s="153">
        <v>0.0</v>
      </c>
      <c r="CN99" s="153">
        <v>0.5</v>
      </c>
      <c r="CO99" s="154">
        <v>0.5</v>
      </c>
      <c r="CP99" s="153">
        <v>0.8333333333333334</v>
      </c>
      <c r="CQ99" s="153">
        <v>0.75</v>
      </c>
      <c r="CR99" s="153">
        <v>1.0</v>
      </c>
      <c r="CS99" s="153">
        <v>0.75</v>
      </c>
      <c r="CT99" s="153">
        <v>0.75</v>
      </c>
      <c r="CU99" s="155">
        <v>0.0</v>
      </c>
      <c r="CV99" s="153">
        <v>1.0</v>
      </c>
      <c r="CW99" s="153">
        <v>1.0</v>
      </c>
      <c r="CX99" s="153">
        <v>0.5</v>
      </c>
    </row>
    <row r="100" ht="35.25" customHeight="1">
      <c r="B100" s="167" t="s">
        <v>3042</v>
      </c>
      <c r="C100" s="154">
        <v>0.0</v>
      </c>
      <c r="D100" s="153">
        <v>0.0</v>
      </c>
      <c r="E100" s="153">
        <v>0.0</v>
      </c>
      <c r="F100" s="153">
        <v>0.0</v>
      </c>
      <c r="G100" s="153">
        <v>0.0</v>
      </c>
      <c r="H100" s="153">
        <v>0.0</v>
      </c>
      <c r="I100" s="153">
        <v>0.0</v>
      </c>
      <c r="J100" s="156">
        <v>0.0</v>
      </c>
      <c r="K100" s="153">
        <v>0.0</v>
      </c>
      <c r="L100" s="153">
        <v>0.0</v>
      </c>
      <c r="M100" s="154">
        <v>0.0</v>
      </c>
      <c r="N100" s="153">
        <v>0.0</v>
      </c>
      <c r="O100" s="153">
        <v>0.0</v>
      </c>
      <c r="P100" s="153">
        <v>0.25</v>
      </c>
      <c r="Q100" s="153">
        <v>0.0</v>
      </c>
      <c r="R100" s="153">
        <v>0.0</v>
      </c>
      <c r="S100" s="153">
        <v>0.0</v>
      </c>
      <c r="T100" s="156">
        <v>0.0</v>
      </c>
      <c r="U100" s="153">
        <v>0.0</v>
      </c>
      <c r="V100" s="153">
        <v>0.0</v>
      </c>
      <c r="W100" s="154">
        <v>0.0</v>
      </c>
      <c r="X100" s="153">
        <v>0.0</v>
      </c>
      <c r="Y100" s="153">
        <v>0.0</v>
      </c>
      <c r="Z100" s="153">
        <v>0.0</v>
      </c>
      <c r="AA100" s="153">
        <v>0.0</v>
      </c>
      <c r="AB100" s="153">
        <v>0.0</v>
      </c>
      <c r="AC100" s="153">
        <v>0.0</v>
      </c>
      <c r="AD100" s="156">
        <v>0.0</v>
      </c>
      <c r="AE100" s="153">
        <v>0.0</v>
      </c>
      <c r="AF100" s="153">
        <v>0.0</v>
      </c>
      <c r="AG100" s="154">
        <v>0.0</v>
      </c>
      <c r="AH100" s="153">
        <v>0.0</v>
      </c>
      <c r="AI100" s="153">
        <v>0.0</v>
      </c>
      <c r="AJ100" s="153">
        <v>0.0</v>
      </c>
      <c r="AK100" s="153">
        <v>0.0</v>
      </c>
      <c r="AL100" s="153">
        <v>0.0</v>
      </c>
      <c r="AM100" s="153">
        <v>0.0</v>
      </c>
      <c r="AN100" s="156">
        <v>0.0</v>
      </c>
      <c r="AO100" s="153">
        <v>0.0</v>
      </c>
      <c r="AP100" s="153">
        <v>0.0</v>
      </c>
      <c r="AQ100" s="154">
        <v>0.0</v>
      </c>
      <c r="AR100" s="153">
        <v>0.0</v>
      </c>
      <c r="AS100" s="153">
        <v>0.0</v>
      </c>
      <c r="AT100" s="153">
        <v>0.0</v>
      </c>
      <c r="AU100" s="153">
        <v>0.0</v>
      </c>
      <c r="AV100" s="153">
        <v>0.0</v>
      </c>
      <c r="AW100" s="153">
        <v>0.0</v>
      </c>
      <c r="AX100" s="156">
        <v>0.0</v>
      </c>
      <c r="AY100" s="153">
        <v>0.0</v>
      </c>
      <c r="AZ100" s="153">
        <v>0.0</v>
      </c>
      <c r="BA100" s="154">
        <v>0.0</v>
      </c>
      <c r="BB100" s="153">
        <v>0.0</v>
      </c>
      <c r="BC100" s="153">
        <v>0.0</v>
      </c>
      <c r="BD100" s="153">
        <v>0.0</v>
      </c>
      <c r="BE100" s="153">
        <v>0.0</v>
      </c>
      <c r="BF100" s="153">
        <v>0.0</v>
      </c>
      <c r="BG100" s="153">
        <v>0.0</v>
      </c>
      <c r="BH100" s="156">
        <v>0.0</v>
      </c>
      <c r="BI100" s="153">
        <v>0.0</v>
      </c>
      <c r="BJ100" s="153">
        <v>0.0</v>
      </c>
      <c r="BK100" s="154">
        <v>0.0</v>
      </c>
      <c r="BL100" s="153">
        <v>0.0</v>
      </c>
      <c r="BM100" s="153">
        <v>0.0</v>
      </c>
      <c r="BN100" s="153">
        <v>0.0</v>
      </c>
      <c r="BO100" s="153">
        <v>0.0</v>
      </c>
      <c r="BP100" s="153">
        <v>0.0</v>
      </c>
      <c r="BQ100" s="153">
        <v>0.0</v>
      </c>
      <c r="BR100" s="156">
        <v>0.0</v>
      </c>
      <c r="BS100" s="153">
        <v>0.0</v>
      </c>
      <c r="BT100" s="153">
        <v>0.0</v>
      </c>
      <c r="BU100" s="154">
        <v>0.0</v>
      </c>
      <c r="BV100" s="153">
        <v>0.0</v>
      </c>
      <c r="BW100" s="153">
        <v>0.0</v>
      </c>
      <c r="BX100" s="153">
        <v>0.0</v>
      </c>
      <c r="BY100" s="153">
        <v>0.0</v>
      </c>
      <c r="BZ100" s="153">
        <v>0.0</v>
      </c>
      <c r="CA100" s="153">
        <v>0.0</v>
      </c>
      <c r="CB100" s="156">
        <v>0.0</v>
      </c>
      <c r="CC100" s="153">
        <v>0.0</v>
      </c>
      <c r="CD100" s="153">
        <v>0.0</v>
      </c>
      <c r="CE100" s="154">
        <v>0.0</v>
      </c>
      <c r="CF100" s="153">
        <v>0.0</v>
      </c>
      <c r="CG100" s="153">
        <v>0.0</v>
      </c>
      <c r="CH100" s="153">
        <v>0.0</v>
      </c>
      <c r="CI100" s="153">
        <v>0.0</v>
      </c>
      <c r="CJ100" s="153">
        <v>0.0</v>
      </c>
      <c r="CK100" s="153">
        <v>0.0</v>
      </c>
      <c r="CL100" s="156">
        <v>0.0</v>
      </c>
      <c r="CM100" s="153">
        <v>0.0</v>
      </c>
      <c r="CN100" s="153">
        <v>0.0</v>
      </c>
      <c r="CO100" s="154">
        <v>0.75</v>
      </c>
      <c r="CP100" s="153">
        <v>1.0</v>
      </c>
      <c r="CQ100" s="153">
        <v>1.0</v>
      </c>
      <c r="CR100" s="153">
        <v>1.0</v>
      </c>
      <c r="CS100" s="153">
        <v>0.9</v>
      </c>
      <c r="CT100" s="153">
        <v>1.0</v>
      </c>
      <c r="CU100" s="153">
        <v>1.0</v>
      </c>
      <c r="CV100" s="155">
        <v>0.0</v>
      </c>
      <c r="CW100" s="153">
        <v>0.75</v>
      </c>
      <c r="CX100" s="153">
        <v>0.8333333333333334</v>
      </c>
    </row>
    <row r="101" ht="35.25" customHeight="1">
      <c r="B101" s="167" t="s">
        <v>3043</v>
      </c>
      <c r="C101" s="154">
        <v>0.0</v>
      </c>
      <c r="D101" s="153">
        <v>0.0</v>
      </c>
      <c r="E101" s="153">
        <v>0.0</v>
      </c>
      <c r="F101" s="153">
        <v>0.0</v>
      </c>
      <c r="G101" s="153">
        <v>0.0</v>
      </c>
      <c r="H101" s="153">
        <v>0.0</v>
      </c>
      <c r="I101" s="153">
        <v>0.0</v>
      </c>
      <c r="J101" s="153">
        <v>0.0</v>
      </c>
      <c r="K101" s="156">
        <v>0.0</v>
      </c>
      <c r="L101" s="153">
        <v>0.0</v>
      </c>
      <c r="M101" s="154">
        <v>0.0</v>
      </c>
      <c r="N101" s="153">
        <v>0.0</v>
      </c>
      <c r="O101" s="153">
        <v>0.0</v>
      </c>
      <c r="P101" s="153">
        <v>0.0</v>
      </c>
      <c r="Q101" s="153">
        <v>0.0</v>
      </c>
      <c r="R101" s="153">
        <v>0.0</v>
      </c>
      <c r="S101" s="153">
        <v>0.0</v>
      </c>
      <c r="T101" s="153">
        <v>0.0</v>
      </c>
      <c r="U101" s="156">
        <v>0.0</v>
      </c>
      <c r="V101" s="153">
        <v>0.0</v>
      </c>
      <c r="W101" s="154">
        <v>0.0</v>
      </c>
      <c r="X101" s="153">
        <v>0.0</v>
      </c>
      <c r="Y101" s="153">
        <v>0.25</v>
      </c>
      <c r="Z101" s="153">
        <v>0.16666666666666666</v>
      </c>
      <c r="AA101" s="153">
        <v>0.0</v>
      </c>
      <c r="AB101" s="153">
        <v>0.0</v>
      </c>
      <c r="AC101" s="153">
        <v>0.25</v>
      </c>
      <c r="AD101" s="153">
        <v>0.0</v>
      </c>
      <c r="AE101" s="156">
        <v>0.0625</v>
      </c>
      <c r="AF101" s="153">
        <v>0.0</v>
      </c>
      <c r="AG101" s="154">
        <v>0.0</v>
      </c>
      <c r="AH101" s="153">
        <v>0.0</v>
      </c>
      <c r="AI101" s="153">
        <v>0.25</v>
      </c>
      <c r="AJ101" s="153">
        <v>0.0</v>
      </c>
      <c r="AK101" s="153">
        <v>0.0</v>
      </c>
      <c r="AL101" s="153">
        <v>0.0</v>
      </c>
      <c r="AM101" s="153">
        <v>0.0</v>
      </c>
      <c r="AN101" s="153">
        <v>0.0</v>
      </c>
      <c r="AO101" s="156">
        <v>0.0</v>
      </c>
      <c r="AP101" s="153">
        <v>0.0</v>
      </c>
      <c r="AQ101" s="154">
        <v>0.0</v>
      </c>
      <c r="AR101" s="153">
        <v>0.0</v>
      </c>
      <c r="AS101" s="153">
        <v>0.0</v>
      </c>
      <c r="AT101" s="153">
        <v>0.0</v>
      </c>
      <c r="AU101" s="153">
        <v>0.0</v>
      </c>
      <c r="AV101" s="153">
        <v>0.0</v>
      </c>
      <c r="AW101" s="153">
        <v>0.0</v>
      </c>
      <c r="AX101" s="153">
        <v>0.0</v>
      </c>
      <c r="AY101" s="156">
        <v>0.0</v>
      </c>
      <c r="AZ101" s="153">
        <v>0.0</v>
      </c>
      <c r="BA101" s="154">
        <v>0.0</v>
      </c>
      <c r="BB101" s="153">
        <v>0.0</v>
      </c>
      <c r="BC101" s="153">
        <v>0.0</v>
      </c>
      <c r="BD101" s="153">
        <v>0.0</v>
      </c>
      <c r="BE101" s="153">
        <v>0.0</v>
      </c>
      <c r="BF101" s="153">
        <v>0.0</v>
      </c>
      <c r="BG101" s="153">
        <v>0.0</v>
      </c>
      <c r="BH101" s="153">
        <v>0.0</v>
      </c>
      <c r="BI101" s="156">
        <v>0.0</v>
      </c>
      <c r="BJ101" s="153">
        <v>0.0</v>
      </c>
      <c r="BK101" s="154">
        <v>0.0</v>
      </c>
      <c r="BL101" s="153">
        <v>0.0</v>
      </c>
      <c r="BM101" s="153">
        <v>0.0</v>
      </c>
      <c r="BN101" s="153">
        <v>0.0</v>
      </c>
      <c r="BO101" s="153">
        <v>0.0</v>
      </c>
      <c r="BP101" s="153">
        <v>0.0</v>
      </c>
      <c r="BQ101" s="153">
        <v>0.0</v>
      </c>
      <c r="BR101" s="153">
        <v>0.0</v>
      </c>
      <c r="BS101" s="156">
        <v>0.0</v>
      </c>
      <c r="BT101" s="153">
        <v>0.0</v>
      </c>
      <c r="BU101" s="154">
        <v>0.0</v>
      </c>
      <c r="BV101" s="153">
        <v>0.0</v>
      </c>
      <c r="BW101" s="153">
        <v>0.0</v>
      </c>
      <c r="BX101" s="153">
        <v>0.0</v>
      </c>
      <c r="BY101" s="153">
        <v>0.0</v>
      </c>
      <c r="BZ101" s="153">
        <v>0.0</v>
      </c>
      <c r="CA101" s="153">
        <v>0.0</v>
      </c>
      <c r="CB101" s="153">
        <v>0.0</v>
      </c>
      <c r="CC101" s="156">
        <v>0.0</v>
      </c>
      <c r="CD101" s="153">
        <v>0.0</v>
      </c>
      <c r="CE101" s="154">
        <v>0.0</v>
      </c>
      <c r="CF101" s="153">
        <v>0.0</v>
      </c>
      <c r="CG101" s="153">
        <v>0.0</v>
      </c>
      <c r="CH101" s="153">
        <v>0.0</v>
      </c>
      <c r="CI101" s="153">
        <v>0.0</v>
      </c>
      <c r="CJ101" s="153">
        <v>0.0</v>
      </c>
      <c r="CK101" s="153">
        <v>0.0</v>
      </c>
      <c r="CL101" s="153">
        <v>0.0</v>
      </c>
      <c r="CM101" s="156">
        <v>0.0</v>
      </c>
      <c r="CN101" s="153">
        <v>0.0</v>
      </c>
      <c r="CO101" s="154">
        <v>0.8</v>
      </c>
      <c r="CP101" s="153">
        <v>1.0</v>
      </c>
      <c r="CQ101" s="153">
        <v>1.0</v>
      </c>
      <c r="CR101" s="153">
        <v>1.0</v>
      </c>
      <c r="CS101" s="153">
        <v>0.8333333333333334</v>
      </c>
      <c r="CT101" s="153">
        <v>0.75</v>
      </c>
      <c r="CU101" s="153">
        <v>1.0</v>
      </c>
      <c r="CV101" s="153">
        <v>0.75</v>
      </c>
      <c r="CW101" s="155">
        <v>0.0</v>
      </c>
      <c r="CX101" s="153">
        <v>1.0</v>
      </c>
    </row>
    <row r="102" ht="35.25" customHeight="1">
      <c r="A102" s="125"/>
      <c r="B102" s="168" t="s">
        <v>3044</v>
      </c>
      <c r="C102" s="157">
        <v>0.0</v>
      </c>
      <c r="D102" s="158">
        <v>0.0</v>
      </c>
      <c r="E102" s="158">
        <v>0.0</v>
      </c>
      <c r="F102" s="158">
        <v>0.0</v>
      </c>
      <c r="G102" s="158">
        <v>0.0</v>
      </c>
      <c r="H102" s="158">
        <v>0.0</v>
      </c>
      <c r="I102" s="158">
        <v>0.0</v>
      </c>
      <c r="J102" s="158">
        <v>0.0</v>
      </c>
      <c r="K102" s="158">
        <v>0.0</v>
      </c>
      <c r="L102" s="160">
        <v>0.0</v>
      </c>
      <c r="M102" s="157">
        <v>0.0</v>
      </c>
      <c r="N102" s="158">
        <v>0.0</v>
      </c>
      <c r="O102" s="158">
        <v>0.0</v>
      </c>
      <c r="P102" s="158">
        <v>0.25</v>
      </c>
      <c r="Q102" s="158">
        <v>0.0</v>
      </c>
      <c r="R102" s="158">
        <v>0.0</v>
      </c>
      <c r="S102" s="158">
        <v>0.0</v>
      </c>
      <c r="T102" s="158">
        <v>0.0</v>
      </c>
      <c r="U102" s="158">
        <v>0.0</v>
      </c>
      <c r="V102" s="160">
        <v>0.0</v>
      </c>
      <c r="W102" s="157">
        <v>0.0</v>
      </c>
      <c r="X102" s="158">
        <v>0.0</v>
      </c>
      <c r="Y102" s="158">
        <v>0.0</v>
      </c>
      <c r="Z102" s="158">
        <v>0.0</v>
      </c>
      <c r="AA102" s="158">
        <v>0.0</v>
      </c>
      <c r="AB102" s="158">
        <v>0.0</v>
      </c>
      <c r="AC102" s="158">
        <v>0.0</v>
      </c>
      <c r="AD102" s="158">
        <v>0.0</v>
      </c>
      <c r="AE102" s="158">
        <v>0.0</v>
      </c>
      <c r="AF102" s="160">
        <v>0.0</v>
      </c>
      <c r="AG102" s="157">
        <v>0.0</v>
      </c>
      <c r="AH102" s="158">
        <v>0.0</v>
      </c>
      <c r="AI102" s="158">
        <v>0.0</v>
      </c>
      <c r="AJ102" s="158">
        <v>0.25</v>
      </c>
      <c r="AK102" s="158">
        <v>0.0</v>
      </c>
      <c r="AL102" s="158">
        <v>0.0</v>
      </c>
      <c r="AM102" s="158">
        <v>0.0</v>
      </c>
      <c r="AN102" s="158">
        <v>0.16666666666666666</v>
      </c>
      <c r="AO102" s="158">
        <v>0.0</v>
      </c>
      <c r="AP102" s="160">
        <v>0.0</v>
      </c>
      <c r="AQ102" s="157">
        <v>0.0</v>
      </c>
      <c r="AR102" s="158">
        <v>0.0</v>
      </c>
      <c r="AS102" s="158">
        <v>0.0</v>
      </c>
      <c r="AT102" s="158">
        <v>0.25</v>
      </c>
      <c r="AU102" s="158">
        <v>0.0</v>
      </c>
      <c r="AV102" s="158">
        <v>0.0</v>
      </c>
      <c r="AW102" s="158">
        <v>0.25</v>
      </c>
      <c r="AX102" s="158">
        <v>0.0</v>
      </c>
      <c r="AY102" s="158">
        <v>0.0</v>
      </c>
      <c r="AZ102" s="160">
        <v>0.14285714285714285</v>
      </c>
      <c r="BA102" s="157">
        <v>0.0</v>
      </c>
      <c r="BB102" s="158">
        <v>0.0</v>
      </c>
      <c r="BC102" s="158">
        <v>0.0</v>
      </c>
      <c r="BD102" s="158">
        <v>0.0</v>
      </c>
      <c r="BE102" s="158">
        <v>0.0</v>
      </c>
      <c r="BF102" s="158">
        <v>0.0</v>
      </c>
      <c r="BG102" s="158">
        <v>0.0</v>
      </c>
      <c r="BH102" s="158">
        <v>0.0</v>
      </c>
      <c r="BI102" s="158">
        <v>0.0</v>
      </c>
      <c r="BJ102" s="160">
        <v>0.0</v>
      </c>
      <c r="BK102" s="157">
        <v>0.0</v>
      </c>
      <c r="BL102" s="158">
        <v>0.0</v>
      </c>
      <c r="BM102" s="158">
        <v>0.0</v>
      </c>
      <c r="BN102" s="158">
        <v>0.0</v>
      </c>
      <c r="BO102" s="158">
        <v>0.0</v>
      </c>
      <c r="BP102" s="158">
        <v>0.0</v>
      </c>
      <c r="BQ102" s="158">
        <v>0.0</v>
      </c>
      <c r="BR102" s="158">
        <v>0.0</v>
      </c>
      <c r="BS102" s="158">
        <v>0.0</v>
      </c>
      <c r="BT102" s="160">
        <v>0.0</v>
      </c>
      <c r="BU102" s="157">
        <v>0.0</v>
      </c>
      <c r="BV102" s="158">
        <v>0.0</v>
      </c>
      <c r="BW102" s="158">
        <v>0.0</v>
      </c>
      <c r="BX102" s="158">
        <v>0.0</v>
      </c>
      <c r="BY102" s="158">
        <v>0.0</v>
      </c>
      <c r="BZ102" s="158">
        <v>0.0</v>
      </c>
      <c r="CA102" s="158">
        <v>0.0</v>
      </c>
      <c r="CB102" s="158">
        <v>0.0</v>
      </c>
      <c r="CC102" s="158">
        <v>0.0</v>
      </c>
      <c r="CD102" s="160">
        <v>0.0</v>
      </c>
      <c r="CE102" s="157">
        <v>0.0</v>
      </c>
      <c r="CF102" s="158">
        <v>0.0</v>
      </c>
      <c r="CG102" s="158">
        <v>0.16666666666666666</v>
      </c>
      <c r="CH102" s="158">
        <v>0.0</v>
      </c>
      <c r="CI102" s="158">
        <v>0.0</v>
      </c>
      <c r="CJ102" s="158">
        <v>0.0</v>
      </c>
      <c r="CK102" s="158">
        <v>0.0</v>
      </c>
      <c r="CL102" s="158">
        <v>0.0</v>
      </c>
      <c r="CM102" s="158">
        <v>0.0</v>
      </c>
      <c r="CN102" s="160">
        <v>0.07142857142857142</v>
      </c>
      <c r="CO102" s="157">
        <v>1.0</v>
      </c>
      <c r="CP102" s="158">
        <v>1.0</v>
      </c>
      <c r="CQ102" s="158">
        <v>1.0</v>
      </c>
      <c r="CR102" s="158">
        <v>0.75</v>
      </c>
      <c r="CS102" s="158">
        <v>1.0</v>
      </c>
      <c r="CT102" s="158">
        <v>1.0</v>
      </c>
      <c r="CU102" s="158">
        <v>0.5</v>
      </c>
      <c r="CV102" s="158">
        <v>0.8333333333333334</v>
      </c>
      <c r="CW102" s="158">
        <v>1.0</v>
      </c>
      <c r="CX102" s="159">
        <v>0.0</v>
      </c>
    </row>
    <row r="103" ht="33.75" customHeight="1">
      <c r="B103" s="74"/>
    </row>
    <row r="104">
      <c r="B104" s="74"/>
    </row>
    <row r="105" hidden="1">
      <c r="B105" s="74"/>
      <c r="M105" s="150"/>
    </row>
    <row r="106" hidden="1">
      <c r="B106" s="74"/>
      <c r="M106" s="150"/>
    </row>
    <row r="107" hidden="1">
      <c r="B107" s="74"/>
      <c r="M107" s="150"/>
    </row>
    <row r="108" hidden="1">
      <c r="B108" s="74"/>
      <c r="M108" s="150"/>
    </row>
    <row r="109" hidden="1">
      <c r="B109" s="74"/>
      <c r="M109" s="150"/>
    </row>
    <row r="110" hidden="1">
      <c r="B110" s="74"/>
      <c r="M110" s="150"/>
    </row>
    <row r="111" hidden="1">
      <c r="B111" s="74"/>
      <c r="M111" s="150"/>
    </row>
    <row r="112" hidden="1">
      <c r="B112" s="74"/>
      <c r="M112" s="150"/>
    </row>
    <row r="113" hidden="1">
      <c r="B113" s="74"/>
      <c r="M113" s="150"/>
    </row>
    <row r="114" hidden="1">
      <c r="B114" s="74"/>
      <c r="M114" s="150"/>
    </row>
    <row r="115" hidden="1">
      <c r="B115" s="74"/>
      <c r="M115" s="150"/>
    </row>
    <row r="116" hidden="1">
      <c r="B116" s="74"/>
      <c r="M116" s="150"/>
    </row>
    <row r="117" hidden="1">
      <c r="B117" s="74"/>
      <c r="M117" s="150"/>
    </row>
    <row r="118" hidden="1">
      <c r="B118" s="74"/>
      <c r="M118" s="150"/>
    </row>
    <row r="119" hidden="1">
      <c r="B119" s="74"/>
      <c r="M119" s="150"/>
    </row>
    <row r="120" hidden="1">
      <c r="B120" s="74"/>
      <c r="M120" s="150"/>
    </row>
    <row r="121" hidden="1">
      <c r="B121" s="74"/>
      <c r="M121" s="150"/>
    </row>
    <row r="122" hidden="1">
      <c r="B122" s="74"/>
      <c r="M122" s="150"/>
    </row>
    <row r="123" hidden="1">
      <c r="B123" s="74"/>
      <c r="M123" s="150"/>
    </row>
    <row r="124" hidden="1">
      <c r="B124" s="74"/>
      <c r="M124" s="150"/>
    </row>
    <row r="125" hidden="1">
      <c r="B125" s="74"/>
      <c r="M125" s="150"/>
    </row>
    <row r="126" hidden="1">
      <c r="B126" s="74"/>
      <c r="M126" s="150"/>
    </row>
    <row r="127" hidden="1">
      <c r="B127" s="74"/>
      <c r="M127" s="150"/>
    </row>
    <row r="128" hidden="1">
      <c r="B128" s="74"/>
      <c r="M128" s="150"/>
    </row>
    <row r="129" hidden="1">
      <c r="B129" s="74"/>
      <c r="M129" s="150"/>
    </row>
    <row r="130" hidden="1">
      <c r="B130" s="74"/>
      <c r="M130" s="150"/>
    </row>
    <row r="131" hidden="1">
      <c r="B131" s="74"/>
      <c r="M131" s="150"/>
    </row>
    <row r="132" hidden="1">
      <c r="B132" s="74"/>
      <c r="M132" s="150"/>
    </row>
    <row r="133" hidden="1">
      <c r="B133" s="74"/>
      <c r="M133" s="150"/>
    </row>
    <row r="134" hidden="1">
      <c r="B134" s="74"/>
      <c r="M134" s="150"/>
    </row>
    <row r="135" hidden="1">
      <c r="B135" s="74"/>
      <c r="M135" s="150"/>
    </row>
    <row r="136" hidden="1">
      <c r="B136" s="74"/>
      <c r="M136" s="150"/>
    </row>
    <row r="137" hidden="1">
      <c r="B137" s="74"/>
      <c r="M137" s="150"/>
    </row>
    <row r="138" hidden="1">
      <c r="B138" s="74"/>
      <c r="M138" s="150"/>
    </row>
    <row r="139" hidden="1">
      <c r="B139" s="74"/>
      <c r="M139" s="150"/>
    </row>
    <row r="140" hidden="1">
      <c r="B140" s="74"/>
      <c r="M140" s="150"/>
    </row>
    <row r="141" hidden="1">
      <c r="B141" s="74"/>
      <c r="M141" s="150"/>
    </row>
    <row r="142" hidden="1">
      <c r="B142" s="74"/>
      <c r="M142" s="150"/>
    </row>
    <row r="143" hidden="1">
      <c r="B143" s="74"/>
      <c r="M143" s="150"/>
    </row>
    <row r="144" hidden="1">
      <c r="B144" s="74"/>
      <c r="M144" s="150"/>
    </row>
    <row r="145" hidden="1">
      <c r="B145" s="74"/>
      <c r="M145" s="150"/>
    </row>
    <row r="146" hidden="1">
      <c r="B146" s="74"/>
      <c r="M146" s="150"/>
    </row>
    <row r="147" hidden="1">
      <c r="B147" s="74"/>
      <c r="M147" s="150"/>
    </row>
    <row r="148" hidden="1">
      <c r="B148" s="74"/>
      <c r="M148" s="150"/>
    </row>
    <row r="149" hidden="1">
      <c r="B149" s="74"/>
      <c r="M149" s="150"/>
    </row>
    <row r="150" hidden="1">
      <c r="B150" s="74"/>
      <c r="M150" s="150"/>
    </row>
    <row r="151" hidden="1">
      <c r="B151" s="74"/>
      <c r="M151" s="150"/>
    </row>
    <row r="152" hidden="1">
      <c r="B152" s="74"/>
      <c r="M152" s="150"/>
    </row>
    <row r="153" hidden="1">
      <c r="B153" s="74"/>
      <c r="M153" s="150"/>
    </row>
    <row r="154" hidden="1">
      <c r="B154" s="74"/>
      <c r="M154" s="150"/>
    </row>
    <row r="155" hidden="1">
      <c r="B155" s="74"/>
      <c r="M155" s="150"/>
    </row>
    <row r="156" hidden="1">
      <c r="B156" s="74"/>
      <c r="M156" s="150"/>
    </row>
    <row r="157" hidden="1">
      <c r="B157" s="74"/>
      <c r="M157" s="150"/>
    </row>
    <row r="158" hidden="1">
      <c r="B158" s="74"/>
      <c r="M158" s="150"/>
    </row>
    <row r="159" hidden="1">
      <c r="B159" s="74"/>
      <c r="M159" s="150"/>
    </row>
    <row r="160" hidden="1">
      <c r="B160" s="74"/>
      <c r="M160" s="150"/>
    </row>
    <row r="161" hidden="1">
      <c r="B161" s="74"/>
      <c r="M161" s="150"/>
    </row>
    <row r="162" hidden="1">
      <c r="B162" s="74"/>
      <c r="M162" s="150"/>
    </row>
    <row r="163" hidden="1">
      <c r="B163" s="74"/>
      <c r="M163" s="150"/>
    </row>
    <row r="164" hidden="1">
      <c r="B164" s="74"/>
      <c r="M164" s="150"/>
    </row>
    <row r="165" hidden="1">
      <c r="B165" s="74"/>
      <c r="M165" s="150"/>
    </row>
    <row r="166" hidden="1">
      <c r="B166" s="74"/>
      <c r="M166" s="150"/>
    </row>
    <row r="167" hidden="1">
      <c r="B167" s="74"/>
      <c r="M167" s="150"/>
    </row>
    <row r="168" hidden="1">
      <c r="B168" s="74"/>
      <c r="M168" s="150"/>
    </row>
    <row r="169" hidden="1">
      <c r="B169" s="74"/>
      <c r="M169" s="150"/>
    </row>
    <row r="170" hidden="1">
      <c r="B170" s="74"/>
      <c r="M170" s="150"/>
    </row>
    <row r="171" hidden="1">
      <c r="B171" s="74"/>
      <c r="M171" s="150"/>
    </row>
    <row r="172" hidden="1">
      <c r="B172" s="74"/>
      <c r="M172" s="150"/>
    </row>
    <row r="173" hidden="1">
      <c r="B173" s="74"/>
      <c r="M173" s="150"/>
    </row>
    <row r="174" hidden="1">
      <c r="B174" s="74"/>
      <c r="M174" s="150"/>
    </row>
    <row r="175" hidden="1">
      <c r="B175" s="74"/>
      <c r="M175" s="150"/>
    </row>
    <row r="176" hidden="1">
      <c r="B176" s="74"/>
      <c r="M176" s="150"/>
    </row>
    <row r="177" hidden="1">
      <c r="B177" s="74"/>
      <c r="M177" s="150"/>
    </row>
    <row r="178" hidden="1">
      <c r="B178" s="74"/>
      <c r="M178" s="150"/>
    </row>
    <row r="179" hidden="1">
      <c r="B179" s="74"/>
      <c r="M179" s="150"/>
    </row>
    <row r="180" hidden="1">
      <c r="B180" s="74"/>
      <c r="M180" s="150"/>
    </row>
    <row r="181" hidden="1">
      <c r="B181" s="74"/>
      <c r="M181" s="150"/>
    </row>
    <row r="182" hidden="1">
      <c r="B182" s="74"/>
      <c r="M182" s="150"/>
    </row>
    <row r="183" hidden="1">
      <c r="B183" s="74"/>
      <c r="M183" s="150"/>
    </row>
    <row r="184" hidden="1">
      <c r="B184" s="74"/>
      <c r="M184" s="150"/>
    </row>
    <row r="185" hidden="1">
      <c r="B185" s="74"/>
      <c r="M185" s="150"/>
    </row>
    <row r="186" hidden="1">
      <c r="B186" s="74"/>
      <c r="M186" s="150"/>
    </row>
    <row r="187" hidden="1">
      <c r="B187" s="74"/>
      <c r="M187" s="150"/>
    </row>
    <row r="188" hidden="1">
      <c r="B188" s="74"/>
      <c r="M188" s="150"/>
    </row>
    <row r="189" hidden="1">
      <c r="B189" s="74"/>
      <c r="M189" s="150"/>
    </row>
    <row r="190" hidden="1">
      <c r="B190" s="74"/>
      <c r="M190" s="150"/>
    </row>
    <row r="191" hidden="1">
      <c r="B191" s="74"/>
      <c r="M191" s="150"/>
    </row>
    <row r="192" hidden="1">
      <c r="B192" s="74"/>
      <c r="M192" s="150"/>
    </row>
    <row r="193" hidden="1">
      <c r="B193" s="74"/>
      <c r="M193" s="150"/>
    </row>
    <row r="194" hidden="1">
      <c r="B194" s="74"/>
      <c r="M194" s="150"/>
    </row>
    <row r="195" hidden="1">
      <c r="B195" s="74"/>
      <c r="M195" s="150"/>
    </row>
    <row r="196" hidden="1">
      <c r="B196" s="74"/>
      <c r="M196" s="150"/>
    </row>
    <row r="197" hidden="1">
      <c r="B197" s="74"/>
      <c r="M197" s="150"/>
    </row>
    <row r="198" hidden="1">
      <c r="B198" s="74"/>
      <c r="M198" s="150"/>
    </row>
    <row r="199" hidden="1">
      <c r="B199" s="74"/>
      <c r="M199" s="150"/>
    </row>
    <row r="200" hidden="1">
      <c r="B200" s="74"/>
      <c r="M200" s="150"/>
    </row>
    <row r="201" hidden="1">
      <c r="B201" s="74"/>
      <c r="M201" s="150"/>
    </row>
    <row r="202" hidden="1">
      <c r="B202" s="74"/>
      <c r="M202" s="150"/>
    </row>
    <row r="203" hidden="1">
      <c r="B203" s="74"/>
      <c r="M203" s="150"/>
    </row>
    <row r="204" hidden="1">
      <c r="B204" s="74"/>
      <c r="M204" s="150"/>
    </row>
    <row r="205" hidden="1">
      <c r="B205" s="74"/>
      <c r="M205" s="150"/>
    </row>
    <row r="206" hidden="1">
      <c r="B206" s="74"/>
      <c r="M206" s="150"/>
    </row>
    <row r="207" hidden="1">
      <c r="B207" s="74"/>
      <c r="M207" s="150"/>
    </row>
    <row r="208" hidden="1">
      <c r="B208" s="74"/>
      <c r="M208" s="150"/>
    </row>
    <row r="209" hidden="1">
      <c r="B209" s="74"/>
      <c r="M209" s="150"/>
    </row>
    <row r="210" hidden="1">
      <c r="B210" s="74"/>
      <c r="M210" s="150"/>
    </row>
    <row r="211" hidden="1">
      <c r="B211" s="74"/>
      <c r="M211" s="150"/>
    </row>
    <row r="212" hidden="1">
      <c r="B212" s="74"/>
      <c r="M212" s="150"/>
    </row>
    <row r="213" hidden="1">
      <c r="B213" s="74"/>
      <c r="M213" s="150"/>
    </row>
    <row r="214" hidden="1">
      <c r="B214" s="74"/>
      <c r="M214" s="150"/>
    </row>
    <row r="215" hidden="1">
      <c r="B215" s="74"/>
      <c r="M215" s="150"/>
    </row>
    <row r="216" hidden="1">
      <c r="B216" s="74"/>
      <c r="M216" s="150"/>
    </row>
    <row r="217" hidden="1">
      <c r="B217" s="74"/>
      <c r="M217" s="150"/>
    </row>
    <row r="218" hidden="1">
      <c r="B218" s="74"/>
      <c r="M218" s="150"/>
    </row>
    <row r="219" hidden="1">
      <c r="B219" s="74"/>
      <c r="M219" s="150"/>
    </row>
    <row r="220" hidden="1">
      <c r="B220" s="74"/>
      <c r="M220" s="150"/>
    </row>
    <row r="221" hidden="1">
      <c r="B221" s="74"/>
      <c r="M221" s="150"/>
    </row>
    <row r="222" hidden="1">
      <c r="B222" s="74"/>
      <c r="M222" s="150"/>
    </row>
    <row r="223" hidden="1">
      <c r="B223" s="74"/>
      <c r="M223" s="150"/>
    </row>
    <row r="224" hidden="1">
      <c r="B224" s="74"/>
      <c r="M224" s="150"/>
    </row>
    <row r="225" hidden="1">
      <c r="B225" s="74"/>
      <c r="M225" s="150"/>
    </row>
    <row r="226" hidden="1">
      <c r="B226" s="74"/>
      <c r="M226" s="150"/>
    </row>
    <row r="227" hidden="1">
      <c r="B227" s="74"/>
      <c r="M227" s="150"/>
    </row>
    <row r="228" hidden="1">
      <c r="B228" s="74"/>
      <c r="M228" s="150"/>
    </row>
    <row r="229" hidden="1">
      <c r="B229" s="74"/>
      <c r="M229" s="150"/>
    </row>
    <row r="230" hidden="1">
      <c r="B230" s="74"/>
      <c r="M230" s="150"/>
    </row>
    <row r="231" hidden="1">
      <c r="B231" s="74"/>
      <c r="M231" s="150"/>
    </row>
    <row r="232" hidden="1">
      <c r="B232" s="74"/>
      <c r="M232" s="150"/>
    </row>
    <row r="233" hidden="1">
      <c r="B233" s="74"/>
      <c r="M233" s="150"/>
    </row>
    <row r="234" hidden="1">
      <c r="B234" s="74"/>
      <c r="M234" s="150"/>
    </row>
    <row r="235" hidden="1">
      <c r="B235" s="74"/>
      <c r="M235" s="150"/>
    </row>
    <row r="236" hidden="1">
      <c r="B236" s="74"/>
      <c r="M236" s="150"/>
    </row>
    <row r="237" hidden="1">
      <c r="B237" s="74"/>
      <c r="M237" s="150"/>
    </row>
    <row r="238" hidden="1">
      <c r="B238" s="74"/>
      <c r="M238" s="150"/>
    </row>
    <row r="239" hidden="1">
      <c r="B239" s="74"/>
      <c r="M239" s="150"/>
    </row>
    <row r="240" hidden="1">
      <c r="B240" s="74"/>
      <c r="M240" s="150"/>
    </row>
    <row r="241" hidden="1">
      <c r="B241" s="74"/>
      <c r="M241" s="150"/>
    </row>
    <row r="242" hidden="1">
      <c r="B242" s="74"/>
      <c r="M242" s="150"/>
    </row>
    <row r="243" hidden="1">
      <c r="B243" s="74"/>
      <c r="M243" s="150"/>
    </row>
    <row r="244" hidden="1">
      <c r="B244" s="74"/>
      <c r="M244" s="150"/>
    </row>
    <row r="245" hidden="1">
      <c r="B245" s="74"/>
      <c r="M245" s="150"/>
    </row>
    <row r="246" hidden="1">
      <c r="B246" s="74"/>
      <c r="M246" s="150"/>
    </row>
    <row r="247" hidden="1">
      <c r="B247" s="74"/>
      <c r="M247" s="150"/>
    </row>
    <row r="248" hidden="1">
      <c r="B248" s="74"/>
      <c r="M248" s="150"/>
    </row>
    <row r="249" hidden="1">
      <c r="B249" s="74"/>
      <c r="M249" s="150"/>
    </row>
    <row r="250" hidden="1">
      <c r="B250" s="74"/>
      <c r="M250" s="150"/>
    </row>
    <row r="251" hidden="1">
      <c r="B251" s="74"/>
      <c r="M251" s="150"/>
    </row>
    <row r="252" hidden="1">
      <c r="B252" s="74"/>
      <c r="M252" s="150"/>
    </row>
    <row r="253" hidden="1">
      <c r="B253" s="74"/>
      <c r="M253" s="150"/>
    </row>
    <row r="254" hidden="1">
      <c r="B254" s="74"/>
      <c r="M254" s="150"/>
    </row>
    <row r="255" hidden="1">
      <c r="B255" s="74"/>
      <c r="M255" s="150"/>
    </row>
    <row r="256" hidden="1">
      <c r="B256" s="74"/>
      <c r="M256" s="150"/>
    </row>
    <row r="257" hidden="1">
      <c r="B257" s="74"/>
      <c r="M257" s="150"/>
    </row>
    <row r="258" hidden="1">
      <c r="B258" s="74"/>
      <c r="M258" s="150"/>
    </row>
    <row r="259" hidden="1">
      <c r="B259" s="74"/>
      <c r="M259" s="150"/>
    </row>
    <row r="260" hidden="1">
      <c r="B260" s="74"/>
      <c r="M260" s="150"/>
    </row>
    <row r="261" hidden="1">
      <c r="B261" s="74"/>
      <c r="M261" s="150"/>
    </row>
    <row r="262" hidden="1">
      <c r="B262" s="74"/>
      <c r="M262" s="150"/>
    </row>
    <row r="263" hidden="1">
      <c r="B263" s="74"/>
      <c r="M263" s="150"/>
    </row>
    <row r="264" hidden="1">
      <c r="B264" s="74"/>
      <c r="M264" s="150"/>
    </row>
    <row r="265" hidden="1">
      <c r="B265" s="74"/>
      <c r="M265" s="150"/>
    </row>
    <row r="266" hidden="1">
      <c r="B266" s="74"/>
      <c r="M266" s="150"/>
    </row>
    <row r="267" hidden="1">
      <c r="B267" s="74"/>
      <c r="M267" s="150"/>
    </row>
    <row r="268" hidden="1">
      <c r="B268" s="74"/>
      <c r="M268" s="150"/>
    </row>
    <row r="269" hidden="1">
      <c r="B269" s="74"/>
      <c r="M269" s="150"/>
    </row>
    <row r="270" hidden="1">
      <c r="B270" s="74"/>
      <c r="M270" s="150"/>
    </row>
    <row r="271" hidden="1">
      <c r="B271" s="74"/>
      <c r="M271" s="150"/>
    </row>
    <row r="272" hidden="1">
      <c r="B272" s="74"/>
      <c r="M272" s="150"/>
    </row>
    <row r="273" hidden="1">
      <c r="B273" s="74"/>
      <c r="M273" s="150"/>
    </row>
    <row r="274" hidden="1">
      <c r="B274" s="74"/>
      <c r="M274" s="150"/>
    </row>
    <row r="275" hidden="1">
      <c r="B275" s="74"/>
      <c r="M275" s="150"/>
    </row>
    <row r="276" hidden="1">
      <c r="B276" s="74"/>
      <c r="M276" s="150"/>
    </row>
    <row r="277" hidden="1">
      <c r="B277" s="74"/>
      <c r="M277" s="150"/>
    </row>
    <row r="278" hidden="1">
      <c r="B278" s="74"/>
      <c r="M278" s="150"/>
    </row>
    <row r="279" hidden="1">
      <c r="B279" s="74"/>
      <c r="M279" s="150"/>
    </row>
    <row r="280" hidden="1">
      <c r="B280" s="74"/>
      <c r="M280" s="150"/>
    </row>
    <row r="281" hidden="1">
      <c r="B281" s="74"/>
      <c r="M281" s="150"/>
    </row>
    <row r="282" hidden="1">
      <c r="B282" s="74"/>
      <c r="M282" s="150"/>
    </row>
    <row r="283" hidden="1">
      <c r="B283" s="74"/>
      <c r="M283" s="150"/>
    </row>
    <row r="284" hidden="1">
      <c r="B284" s="74"/>
      <c r="M284" s="150"/>
    </row>
    <row r="285" hidden="1">
      <c r="B285" s="74"/>
      <c r="M285" s="150"/>
    </row>
    <row r="286" hidden="1">
      <c r="B286" s="74"/>
      <c r="M286" s="150"/>
    </row>
    <row r="287" hidden="1">
      <c r="B287" s="74"/>
      <c r="M287" s="150"/>
    </row>
    <row r="288" hidden="1">
      <c r="B288" s="74"/>
      <c r="M288" s="150"/>
    </row>
    <row r="289" hidden="1">
      <c r="B289" s="74"/>
      <c r="M289" s="150"/>
    </row>
    <row r="290" hidden="1">
      <c r="B290" s="74"/>
      <c r="M290" s="150"/>
    </row>
    <row r="291" hidden="1">
      <c r="B291" s="74"/>
      <c r="M291" s="150"/>
    </row>
    <row r="292" hidden="1">
      <c r="B292" s="74"/>
      <c r="M292" s="150"/>
    </row>
    <row r="293" hidden="1">
      <c r="B293" s="74"/>
      <c r="M293" s="150"/>
    </row>
    <row r="294" hidden="1">
      <c r="B294" s="74"/>
      <c r="M294" s="150"/>
    </row>
    <row r="295" hidden="1">
      <c r="B295" s="74"/>
      <c r="M295" s="150"/>
    </row>
    <row r="296" hidden="1">
      <c r="B296" s="74"/>
      <c r="M296" s="150"/>
    </row>
    <row r="297" hidden="1">
      <c r="B297" s="74"/>
      <c r="M297" s="150"/>
    </row>
    <row r="298" hidden="1">
      <c r="B298" s="74"/>
      <c r="M298" s="150"/>
    </row>
    <row r="299" hidden="1">
      <c r="B299" s="74"/>
      <c r="M299" s="150"/>
    </row>
    <row r="300" hidden="1">
      <c r="B300" s="74"/>
      <c r="M300" s="150"/>
    </row>
    <row r="301" hidden="1">
      <c r="B301" s="74"/>
      <c r="M301" s="150"/>
    </row>
    <row r="302" hidden="1">
      <c r="B302" s="74"/>
      <c r="M302" s="150"/>
    </row>
    <row r="303" hidden="1">
      <c r="B303" s="74"/>
      <c r="M303" s="150"/>
    </row>
    <row r="304" hidden="1">
      <c r="B304" s="74"/>
      <c r="M304" s="150"/>
    </row>
    <row r="305" hidden="1">
      <c r="B305" s="74"/>
      <c r="M305" s="150"/>
    </row>
    <row r="306" hidden="1">
      <c r="B306" s="74"/>
      <c r="M306" s="150"/>
    </row>
    <row r="307" hidden="1">
      <c r="B307" s="74"/>
      <c r="M307" s="150"/>
    </row>
    <row r="308" hidden="1">
      <c r="B308" s="74"/>
      <c r="M308" s="150"/>
    </row>
    <row r="309" hidden="1">
      <c r="B309" s="74"/>
      <c r="M309" s="150"/>
    </row>
    <row r="310" hidden="1">
      <c r="B310" s="74"/>
      <c r="M310" s="150"/>
    </row>
    <row r="311" hidden="1">
      <c r="B311" s="74"/>
      <c r="M311" s="150"/>
    </row>
    <row r="312" hidden="1">
      <c r="B312" s="74"/>
      <c r="M312" s="150"/>
    </row>
    <row r="313" hidden="1">
      <c r="B313" s="74"/>
      <c r="M313" s="150"/>
    </row>
    <row r="314" hidden="1">
      <c r="B314" s="74"/>
      <c r="M314" s="150"/>
    </row>
    <row r="315" hidden="1">
      <c r="B315" s="74"/>
      <c r="M315" s="150"/>
    </row>
    <row r="316" hidden="1">
      <c r="B316" s="74"/>
      <c r="M316" s="150"/>
    </row>
    <row r="317" hidden="1">
      <c r="B317" s="74"/>
      <c r="M317" s="150"/>
    </row>
    <row r="318" hidden="1">
      <c r="B318" s="74"/>
      <c r="M318" s="150"/>
    </row>
    <row r="319" hidden="1">
      <c r="B319" s="74"/>
      <c r="M319" s="150"/>
    </row>
    <row r="320" hidden="1">
      <c r="B320" s="74"/>
      <c r="M320" s="150"/>
    </row>
    <row r="321" hidden="1">
      <c r="B321" s="74"/>
      <c r="M321" s="150"/>
    </row>
    <row r="322" hidden="1">
      <c r="B322" s="74"/>
      <c r="M322" s="150"/>
    </row>
    <row r="323" hidden="1">
      <c r="B323" s="74"/>
      <c r="M323" s="150"/>
    </row>
    <row r="324" hidden="1">
      <c r="B324" s="74"/>
      <c r="M324" s="150"/>
    </row>
    <row r="325" hidden="1">
      <c r="B325" s="74"/>
      <c r="M325" s="150"/>
    </row>
    <row r="326" hidden="1">
      <c r="B326" s="74"/>
      <c r="M326" s="150"/>
    </row>
    <row r="327" hidden="1">
      <c r="B327" s="74"/>
      <c r="M327" s="150"/>
    </row>
    <row r="328" hidden="1">
      <c r="B328" s="74"/>
      <c r="M328" s="150"/>
    </row>
    <row r="329" hidden="1">
      <c r="B329" s="74"/>
      <c r="M329" s="150"/>
    </row>
    <row r="330" hidden="1">
      <c r="B330" s="74"/>
      <c r="M330" s="150"/>
    </row>
    <row r="331" hidden="1">
      <c r="B331" s="74"/>
      <c r="M331" s="150"/>
    </row>
    <row r="332" hidden="1">
      <c r="B332" s="74"/>
      <c r="M332" s="150"/>
    </row>
    <row r="333" hidden="1">
      <c r="B333" s="74"/>
      <c r="M333" s="150"/>
    </row>
    <row r="334" hidden="1">
      <c r="B334" s="74"/>
      <c r="M334" s="150"/>
    </row>
    <row r="335" hidden="1">
      <c r="B335" s="74"/>
      <c r="M335" s="150"/>
    </row>
    <row r="336" hidden="1">
      <c r="B336" s="74"/>
      <c r="M336" s="150"/>
    </row>
    <row r="337" hidden="1">
      <c r="B337" s="74"/>
      <c r="M337" s="150"/>
    </row>
    <row r="338" hidden="1">
      <c r="B338" s="74"/>
      <c r="M338" s="150"/>
    </row>
    <row r="339" hidden="1">
      <c r="B339" s="74"/>
      <c r="M339" s="150"/>
    </row>
    <row r="340" hidden="1">
      <c r="B340" s="74"/>
      <c r="M340" s="150"/>
    </row>
    <row r="341" hidden="1">
      <c r="B341" s="74"/>
      <c r="M341" s="150"/>
    </row>
    <row r="342" hidden="1">
      <c r="B342" s="74"/>
      <c r="M342" s="150"/>
    </row>
    <row r="343" hidden="1">
      <c r="B343" s="74"/>
      <c r="M343" s="150"/>
    </row>
    <row r="344" hidden="1">
      <c r="B344" s="74"/>
      <c r="M344" s="150"/>
    </row>
    <row r="345" hidden="1">
      <c r="B345" s="74"/>
      <c r="M345" s="150"/>
    </row>
    <row r="346" hidden="1">
      <c r="B346" s="74"/>
      <c r="M346" s="150"/>
    </row>
    <row r="347" hidden="1">
      <c r="B347" s="74"/>
      <c r="M347" s="150"/>
    </row>
    <row r="348" hidden="1">
      <c r="B348" s="74"/>
      <c r="M348" s="150"/>
    </row>
    <row r="349" hidden="1">
      <c r="B349" s="74"/>
      <c r="M349" s="150"/>
    </row>
    <row r="350" hidden="1">
      <c r="B350" s="74"/>
      <c r="M350" s="150"/>
    </row>
    <row r="351" hidden="1">
      <c r="B351" s="74"/>
      <c r="M351" s="150"/>
    </row>
    <row r="352" hidden="1">
      <c r="B352" s="74"/>
      <c r="M352" s="150"/>
    </row>
    <row r="353" hidden="1">
      <c r="B353" s="74"/>
      <c r="M353" s="150"/>
    </row>
    <row r="354" hidden="1">
      <c r="B354" s="74"/>
      <c r="M354" s="150"/>
    </row>
    <row r="355" hidden="1">
      <c r="B355" s="74"/>
      <c r="M355" s="150"/>
    </row>
    <row r="356" hidden="1">
      <c r="B356" s="74"/>
      <c r="M356" s="150"/>
    </row>
    <row r="357" hidden="1">
      <c r="B357" s="74"/>
      <c r="M357" s="150"/>
    </row>
    <row r="358" hidden="1">
      <c r="B358" s="74"/>
      <c r="M358" s="150"/>
    </row>
    <row r="359" hidden="1">
      <c r="B359" s="74"/>
      <c r="M359" s="150"/>
    </row>
    <row r="360" hidden="1">
      <c r="B360" s="74"/>
      <c r="M360" s="150"/>
    </row>
    <row r="361" hidden="1">
      <c r="B361" s="74"/>
      <c r="M361" s="150"/>
    </row>
    <row r="362" hidden="1">
      <c r="B362" s="74"/>
      <c r="M362" s="150"/>
    </row>
    <row r="363" hidden="1">
      <c r="B363" s="74"/>
      <c r="M363" s="150"/>
    </row>
    <row r="364" hidden="1">
      <c r="B364" s="74"/>
      <c r="M364" s="150"/>
    </row>
    <row r="365" hidden="1">
      <c r="B365" s="74"/>
      <c r="M365" s="150"/>
    </row>
    <row r="366" hidden="1">
      <c r="B366" s="74"/>
      <c r="M366" s="150"/>
    </row>
    <row r="367" hidden="1">
      <c r="B367" s="74"/>
      <c r="M367" s="150"/>
    </row>
    <row r="368" hidden="1">
      <c r="B368" s="74"/>
      <c r="M368" s="150"/>
    </row>
    <row r="369" hidden="1">
      <c r="B369" s="74"/>
      <c r="M369" s="150"/>
    </row>
    <row r="370" hidden="1">
      <c r="B370" s="74"/>
      <c r="M370" s="150"/>
    </row>
    <row r="371" hidden="1">
      <c r="B371" s="74"/>
      <c r="M371" s="150"/>
    </row>
    <row r="372" hidden="1">
      <c r="B372" s="74"/>
      <c r="M372" s="150"/>
    </row>
    <row r="373" hidden="1">
      <c r="B373" s="74"/>
      <c r="M373" s="150"/>
    </row>
    <row r="374" hidden="1">
      <c r="B374" s="74"/>
      <c r="M374" s="150"/>
    </row>
    <row r="375" hidden="1">
      <c r="B375" s="74"/>
      <c r="M375" s="150"/>
    </row>
    <row r="376" hidden="1">
      <c r="B376" s="74"/>
      <c r="M376" s="150"/>
    </row>
    <row r="377" hidden="1">
      <c r="B377" s="74"/>
      <c r="M377" s="150"/>
    </row>
    <row r="378" hidden="1">
      <c r="B378" s="74"/>
      <c r="M378" s="150"/>
    </row>
    <row r="379" hidden="1">
      <c r="B379" s="74"/>
      <c r="M379" s="150"/>
    </row>
    <row r="380" hidden="1">
      <c r="B380" s="74"/>
      <c r="M380" s="150"/>
    </row>
    <row r="381" hidden="1">
      <c r="B381" s="74"/>
      <c r="M381" s="150"/>
    </row>
    <row r="382" hidden="1">
      <c r="B382" s="74"/>
      <c r="M382" s="150"/>
    </row>
    <row r="383" hidden="1">
      <c r="B383" s="74"/>
      <c r="M383" s="150"/>
    </row>
    <row r="384" hidden="1">
      <c r="B384" s="74"/>
      <c r="M384" s="150"/>
    </row>
    <row r="385" hidden="1">
      <c r="B385" s="74"/>
      <c r="M385" s="150"/>
    </row>
    <row r="386" hidden="1">
      <c r="B386" s="74"/>
      <c r="M386" s="150"/>
    </row>
    <row r="387" hidden="1">
      <c r="B387" s="74"/>
      <c r="M387" s="150"/>
    </row>
    <row r="388" hidden="1">
      <c r="B388" s="74"/>
      <c r="M388" s="150"/>
    </row>
    <row r="389" hidden="1">
      <c r="B389" s="74"/>
      <c r="M389" s="150"/>
    </row>
    <row r="390" hidden="1">
      <c r="B390" s="74"/>
      <c r="M390" s="150"/>
    </row>
    <row r="391" hidden="1">
      <c r="B391" s="74"/>
      <c r="M391" s="150"/>
    </row>
    <row r="392" hidden="1">
      <c r="B392" s="74"/>
      <c r="M392" s="150"/>
    </row>
    <row r="393" hidden="1">
      <c r="B393" s="74"/>
      <c r="M393" s="150"/>
    </row>
    <row r="394" hidden="1">
      <c r="B394" s="74"/>
      <c r="M394" s="150"/>
    </row>
    <row r="395" hidden="1">
      <c r="B395" s="74"/>
      <c r="M395" s="150"/>
    </row>
    <row r="396" hidden="1">
      <c r="B396" s="74"/>
      <c r="M396" s="150"/>
    </row>
    <row r="397" hidden="1">
      <c r="B397" s="74"/>
      <c r="M397" s="150"/>
    </row>
    <row r="398" hidden="1">
      <c r="B398" s="74"/>
      <c r="M398" s="150"/>
    </row>
    <row r="399" hidden="1">
      <c r="B399" s="74"/>
      <c r="M399" s="150"/>
    </row>
    <row r="400" hidden="1">
      <c r="B400" s="74"/>
      <c r="M400" s="150"/>
    </row>
    <row r="401" hidden="1">
      <c r="B401" s="74"/>
      <c r="M401" s="150"/>
    </row>
    <row r="402" hidden="1">
      <c r="B402" s="74"/>
      <c r="M402" s="150"/>
    </row>
    <row r="403" hidden="1">
      <c r="B403" s="74"/>
      <c r="M403" s="150"/>
    </row>
    <row r="404" hidden="1">
      <c r="B404" s="74"/>
      <c r="M404" s="150"/>
    </row>
    <row r="405" hidden="1">
      <c r="B405" s="74"/>
      <c r="M405" s="150"/>
    </row>
    <row r="406" hidden="1">
      <c r="B406" s="74"/>
      <c r="M406" s="150"/>
    </row>
    <row r="407" hidden="1">
      <c r="B407" s="74"/>
      <c r="M407" s="150"/>
    </row>
    <row r="408" hidden="1">
      <c r="B408" s="74"/>
      <c r="M408" s="150"/>
    </row>
    <row r="409" hidden="1">
      <c r="B409" s="74"/>
      <c r="M409" s="150"/>
    </row>
    <row r="410" hidden="1">
      <c r="B410" s="74"/>
      <c r="M410" s="150"/>
    </row>
    <row r="411" hidden="1">
      <c r="B411" s="74"/>
      <c r="M411" s="150"/>
    </row>
    <row r="412" hidden="1">
      <c r="B412" s="74"/>
      <c r="M412" s="150"/>
    </row>
    <row r="413" hidden="1">
      <c r="B413" s="74"/>
      <c r="M413" s="150"/>
    </row>
    <row r="414" hidden="1">
      <c r="B414" s="74"/>
      <c r="M414" s="150"/>
    </row>
    <row r="415" hidden="1">
      <c r="B415" s="74"/>
      <c r="M415" s="150"/>
    </row>
    <row r="416" hidden="1">
      <c r="B416" s="74"/>
      <c r="M416" s="150"/>
    </row>
    <row r="417" hidden="1">
      <c r="B417" s="74"/>
      <c r="M417" s="150"/>
    </row>
    <row r="418" hidden="1">
      <c r="B418" s="74"/>
      <c r="M418" s="150"/>
    </row>
    <row r="419" hidden="1">
      <c r="B419" s="74"/>
      <c r="M419" s="150"/>
    </row>
    <row r="420" hidden="1">
      <c r="B420" s="74"/>
      <c r="M420" s="150"/>
    </row>
    <row r="421" hidden="1">
      <c r="B421" s="74"/>
      <c r="M421" s="150"/>
    </row>
    <row r="422" hidden="1">
      <c r="B422" s="74"/>
      <c r="M422" s="150"/>
    </row>
    <row r="423" hidden="1">
      <c r="B423" s="74"/>
      <c r="M423" s="150"/>
    </row>
    <row r="424" hidden="1">
      <c r="B424" s="74"/>
      <c r="M424" s="150"/>
    </row>
    <row r="425" hidden="1">
      <c r="B425" s="74"/>
      <c r="M425" s="150"/>
    </row>
    <row r="426" hidden="1">
      <c r="B426" s="74"/>
      <c r="M426" s="150"/>
    </row>
    <row r="427" hidden="1">
      <c r="B427" s="74"/>
      <c r="M427" s="150"/>
    </row>
    <row r="428" hidden="1">
      <c r="B428" s="74"/>
      <c r="M428" s="150"/>
    </row>
    <row r="429" hidden="1">
      <c r="B429" s="74"/>
      <c r="M429" s="150"/>
    </row>
    <row r="430" hidden="1">
      <c r="B430" s="74"/>
      <c r="M430" s="150"/>
    </row>
    <row r="431" hidden="1">
      <c r="B431" s="74"/>
      <c r="M431" s="150"/>
    </row>
    <row r="432" hidden="1">
      <c r="B432" s="74"/>
      <c r="M432" s="150"/>
    </row>
    <row r="433" hidden="1">
      <c r="B433" s="74"/>
      <c r="M433" s="150"/>
    </row>
    <row r="434" hidden="1">
      <c r="B434" s="74"/>
      <c r="M434" s="150"/>
    </row>
    <row r="435" hidden="1">
      <c r="B435" s="74"/>
      <c r="M435" s="150"/>
    </row>
    <row r="436" hidden="1">
      <c r="B436" s="74"/>
      <c r="M436" s="150"/>
    </row>
    <row r="437" hidden="1">
      <c r="B437" s="74"/>
      <c r="M437" s="150"/>
    </row>
    <row r="438" hidden="1">
      <c r="B438" s="74"/>
      <c r="M438" s="150"/>
    </row>
    <row r="439" hidden="1">
      <c r="B439" s="74"/>
      <c r="M439" s="150"/>
    </row>
    <row r="440" hidden="1">
      <c r="B440" s="74"/>
      <c r="M440" s="150"/>
    </row>
    <row r="441" hidden="1">
      <c r="B441" s="74"/>
      <c r="M441" s="150"/>
    </row>
    <row r="442" hidden="1">
      <c r="B442" s="74"/>
      <c r="M442" s="150"/>
    </row>
    <row r="443" hidden="1">
      <c r="B443" s="74"/>
      <c r="M443" s="150"/>
    </row>
    <row r="444" hidden="1">
      <c r="B444" s="74"/>
      <c r="M444" s="150"/>
    </row>
    <row r="445" hidden="1">
      <c r="B445" s="74"/>
      <c r="M445" s="150"/>
    </row>
    <row r="446" hidden="1">
      <c r="B446" s="74"/>
      <c r="M446" s="150"/>
    </row>
    <row r="447" hidden="1">
      <c r="B447" s="74"/>
      <c r="M447" s="150"/>
    </row>
    <row r="448" hidden="1">
      <c r="B448" s="74"/>
      <c r="M448" s="150"/>
    </row>
    <row r="449" hidden="1">
      <c r="B449" s="74"/>
      <c r="M449" s="150"/>
    </row>
    <row r="450" hidden="1">
      <c r="B450" s="74"/>
      <c r="M450" s="150"/>
    </row>
    <row r="451" hidden="1">
      <c r="B451" s="74"/>
      <c r="M451" s="150"/>
    </row>
    <row r="452" hidden="1">
      <c r="B452" s="74"/>
      <c r="M452" s="150"/>
    </row>
    <row r="453" hidden="1">
      <c r="B453" s="74"/>
      <c r="M453" s="150"/>
    </row>
    <row r="454" hidden="1">
      <c r="B454" s="74"/>
      <c r="M454" s="150"/>
    </row>
    <row r="455" hidden="1">
      <c r="B455" s="74"/>
      <c r="M455" s="150"/>
    </row>
    <row r="456" hidden="1">
      <c r="B456" s="74"/>
      <c r="M456" s="150"/>
    </row>
    <row r="457" hidden="1">
      <c r="B457" s="74"/>
      <c r="M457" s="150"/>
    </row>
    <row r="458" hidden="1">
      <c r="B458" s="74"/>
      <c r="M458" s="150"/>
    </row>
    <row r="459" hidden="1">
      <c r="B459" s="74"/>
      <c r="M459" s="150"/>
    </row>
    <row r="460" hidden="1">
      <c r="B460" s="74"/>
      <c r="M460" s="150"/>
    </row>
    <row r="461" hidden="1">
      <c r="B461" s="74"/>
      <c r="M461" s="150"/>
    </row>
    <row r="462" hidden="1">
      <c r="B462" s="74"/>
      <c r="M462" s="150"/>
    </row>
    <row r="463" hidden="1">
      <c r="B463" s="74"/>
      <c r="M463" s="150"/>
    </row>
    <row r="464" hidden="1">
      <c r="B464" s="74"/>
      <c r="M464" s="150"/>
    </row>
    <row r="465" hidden="1">
      <c r="B465" s="74"/>
      <c r="M465" s="150"/>
    </row>
    <row r="466" hidden="1">
      <c r="B466" s="74"/>
      <c r="M466" s="150"/>
    </row>
    <row r="467" hidden="1">
      <c r="B467" s="74"/>
      <c r="M467" s="150"/>
    </row>
    <row r="468" hidden="1">
      <c r="B468" s="74"/>
      <c r="M468" s="150"/>
    </row>
    <row r="469" hidden="1">
      <c r="B469" s="74"/>
      <c r="M469" s="150"/>
    </row>
    <row r="470" hidden="1">
      <c r="B470" s="74"/>
      <c r="M470" s="150"/>
    </row>
    <row r="471" hidden="1">
      <c r="B471" s="74"/>
      <c r="M471" s="150"/>
    </row>
    <row r="472" hidden="1">
      <c r="B472" s="74"/>
      <c r="M472" s="150"/>
    </row>
    <row r="473" hidden="1">
      <c r="B473" s="74"/>
      <c r="M473" s="150"/>
    </row>
    <row r="474" hidden="1">
      <c r="B474" s="74"/>
      <c r="M474" s="150"/>
    </row>
    <row r="475" hidden="1">
      <c r="B475" s="74"/>
      <c r="M475" s="150"/>
    </row>
    <row r="476" hidden="1">
      <c r="B476" s="74"/>
      <c r="M476" s="150"/>
    </row>
    <row r="477" hidden="1">
      <c r="B477" s="74"/>
      <c r="M477" s="150"/>
    </row>
    <row r="478" hidden="1">
      <c r="B478" s="74"/>
      <c r="M478" s="150"/>
    </row>
    <row r="479" hidden="1">
      <c r="B479" s="74"/>
      <c r="M479" s="150"/>
    </row>
    <row r="480" hidden="1">
      <c r="B480" s="74"/>
      <c r="M480" s="150"/>
    </row>
    <row r="481" hidden="1">
      <c r="B481" s="74"/>
      <c r="M481" s="150"/>
    </row>
    <row r="482" hidden="1">
      <c r="B482" s="74"/>
      <c r="M482" s="150"/>
    </row>
    <row r="483" hidden="1">
      <c r="B483" s="74"/>
      <c r="M483" s="150"/>
    </row>
    <row r="484" hidden="1">
      <c r="B484" s="74"/>
      <c r="M484" s="150"/>
    </row>
    <row r="485" hidden="1">
      <c r="B485" s="74"/>
      <c r="M485" s="150"/>
    </row>
    <row r="486" hidden="1">
      <c r="B486" s="74"/>
      <c r="M486" s="150"/>
    </row>
    <row r="487" hidden="1">
      <c r="B487" s="74"/>
      <c r="M487" s="150"/>
    </row>
    <row r="488" hidden="1">
      <c r="B488" s="74"/>
      <c r="M488" s="150"/>
    </row>
    <row r="489" hidden="1">
      <c r="B489" s="74"/>
      <c r="M489" s="150"/>
    </row>
    <row r="490" hidden="1">
      <c r="B490" s="74"/>
      <c r="M490" s="150"/>
    </row>
    <row r="491" hidden="1">
      <c r="B491" s="74"/>
      <c r="M491" s="150"/>
    </row>
    <row r="492" hidden="1">
      <c r="B492" s="74"/>
      <c r="M492" s="150"/>
    </row>
    <row r="493" hidden="1">
      <c r="B493" s="74"/>
      <c r="M493" s="150"/>
    </row>
    <row r="494" hidden="1">
      <c r="B494" s="74"/>
      <c r="M494" s="150"/>
    </row>
    <row r="495" hidden="1">
      <c r="B495" s="74"/>
      <c r="M495" s="150"/>
    </row>
    <row r="496" hidden="1">
      <c r="B496" s="74"/>
      <c r="M496" s="150"/>
    </row>
    <row r="497" hidden="1">
      <c r="B497" s="74"/>
      <c r="M497" s="150"/>
    </row>
    <row r="498" hidden="1">
      <c r="B498" s="74"/>
      <c r="M498" s="150"/>
    </row>
    <row r="499" hidden="1">
      <c r="B499" s="74"/>
      <c r="M499" s="150"/>
    </row>
    <row r="500" hidden="1">
      <c r="B500" s="74"/>
      <c r="M500" s="150"/>
    </row>
    <row r="501" hidden="1">
      <c r="B501" s="74"/>
      <c r="M501" s="150"/>
    </row>
    <row r="502" hidden="1">
      <c r="B502" s="74"/>
      <c r="M502" s="150"/>
    </row>
    <row r="503" hidden="1">
      <c r="B503" s="74"/>
      <c r="M503" s="150"/>
    </row>
    <row r="504" hidden="1">
      <c r="B504" s="74"/>
      <c r="M504" s="150"/>
    </row>
    <row r="505" hidden="1">
      <c r="B505" s="74"/>
      <c r="M505" s="150"/>
    </row>
    <row r="506" hidden="1">
      <c r="B506" s="74"/>
      <c r="M506" s="150"/>
    </row>
    <row r="507" hidden="1">
      <c r="B507" s="74"/>
      <c r="M507" s="150"/>
    </row>
    <row r="508" hidden="1">
      <c r="B508" s="74"/>
      <c r="M508" s="150"/>
    </row>
    <row r="509" hidden="1">
      <c r="B509" s="74"/>
      <c r="M509" s="150"/>
    </row>
    <row r="510" hidden="1">
      <c r="B510" s="74"/>
      <c r="M510" s="150"/>
    </row>
    <row r="511" hidden="1">
      <c r="B511" s="74"/>
      <c r="M511" s="150"/>
    </row>
    <row r="512" hidden="1">
      <c r="B512" s="74"/>
      <c r="M512" s="150"/>
    </row>
    <row r="513" hidden="1">
      <c r="B513" s="74"/>
      <c r="M513" s="150"/>
    </row>
    <row r="514" hidden="1">
      <c r="B514" s="74"/>
      <c r="M514" s="150"/>
    </row>
    <row r="515" hidden="1">
      <c r="B515" s="74"/>
      <c r="M515" s="150"/>
    </row>
    <row r="516" hidden="1">
      <c r="B516" s="74"/>
      <c r="M516" s="150"/>
    </row>
    <row r="517" hidden="1">
      <c r="B517" s="74"/>
      <c r="M517" s="150"/>
    </row>
    <row r="518" hidden="1">
      <c r="B518" s="74"/>
      <c r="M518" s="150"/>
    </row>
    <row r="519" hidden="1">
      <c r="B519" s="74"/>
      <c r="M519" s="150"/>
    </row>
    <row r="520" hidden="1">
      <c r="B520" s="74"/>
      <c r="M520" s="150"/>
    </row>
    <row r="521" hidden="1">
      <c r="B521" s="74"/>
      <c r="M521" s="150"/>
    </row>
    <row r="522" hidden="1">
      <c r="B522" s="74"/>
      <c r="M522" s="150"/>
    </row>
    <row r="523" hidden="1">
      <c r="B523" s="74"/>
      <c r="M523" s="150"/>
    </row>
    <row r="524" hidden="1">
      <c r="B524" s="74"/>
      <c r="M524" s="150"/>
    </row>
    <row r="525" hidden="1">
      <c r="B525" s="74"/>
      <c r="M525" s="150"/>
    </row>
    <row r="526" hidden="1">
      <c r="B526" s="74"/>
      <c r="M526" s="150"/>
    </row>
    <row r="527" hidden="1">
      <c r="B527" s="74"/>
      <c r="M527" s="150"/>
    </row>
    <row r="528" hidden="1">
      <c r="B528" s="74"/>
      <c r="M528" s="150"/>
    </row>
    <row r="529" hidden="1">
      <c r="B529" s="74"/>
      <c r="M529" s="150"/>
    </row>
    <row r="530" hidden="1">
      <c r="B530" s="74"/>
      <c r="M530" s="150"/>
    </row>
    <row r="531" hidden="1">
      <c r="B531" s="74"/>
      <c r="M531" s="150"/>
    </row>
    <row r="532" hidden="1">
      <c r="B532" s="74"/>
      <c r="M532" s="150"/>
    </row>
    <row r="533" hidden="1">
      <c r="B533" s="74"/>
      <c r="M533" s="150"/>
    </row>
    <row r="534" hidden="1">
      <c r="B534" s="74"/>
      <c r="M534" s="150"/>
    </row>
    <row r="535" hidden="1">
      <c r="B535" s="74"/>
      <c r="M535" s="150"/>
    </row>
    <row r="536" hidden="1">
      <c r="B536" s="74"/>
      <c r="M536" s="150"/>
    </row>
    <row r="537" hidden="1">
      <c r="B537" s="74"/>
      <c r="M537" s="150"/>
    </row>
    <row r="538" hidden="1">
      <c r="B538" s="74"/>
      <c r="M538" s="150"/>
    </row>
    <row r="539" hidden="1">
      <c r="B539" s="74"/>
      <c r="M539" s="150"/>
    </row>
    <row r="540" hidden="1">
      <c r="B540" s="74"/>
      <c r="M540" s="150"/>
    </row>
    <row r="541" hidden="1">
      <c r="B541" s="74"/>
      <c r="M541" s="150"/>
    </row>
    <row r="542" hidden="1">
      <c r="B542" s="74"/>
      <c r="M542" s="150"/>
    </row>
    <row r="543" hidden="1">
      <c r="B543" s="74"/>
      <c r="M543" s="150"/>
    </row>
    <row r="544" hidden="1">
      <c r="B544" s="74"/>
      <c r="M544" s="150"/>
    </row>
    <row r="545" hidden="1">
      <c r="B545" s="74"/>
      <c r="M545" s="150"/>
    </row>
    <row r="546" hidden="1">
      <c r="B546" s="74"/>
      <c r="M546" s="150"/>
    </row>
    <row r="547" hidden="1">
      <c r="B547" s="74"/>
      <c r="M547" s="150"/>
    </row>
    <row r="548" hidden="1">
      <c r="B548" s="74"/>
      <c r="M548" s="150"/>
    </row>
    <row r="549" hidden="1">
      <c r="B549" s="74"/>
      <c r="M549" s="150"/>
    </row>
    <row r="550" hidden="1">
      <c r="B550" s="74"/>
      <c r="M550" s="150"/>
    </row>
    <row r="551" hidden="1">
      <c r="B551" s="74"/>
      <c r="M551" s="150"/>
    </row>
    <row r="552" hidden="1">
      <c r="B552" s="74"/>
      <c r="M552" s="150"/>
    </row>
    <row r="553" hidden="1">
      <c r="B553" s="74"/>
      <c r="M553" s="150"/>
    </row>
    <row r="554" hidden="1">
      <c r="B554" s="74"/>
      <c r="M554" s="150"/>
    </row>
    <row r="555" hidden="1">
      <c r="B555" s="74"/>
      <c r="M555" s="150"/>
    </row>
    <row r="556" hidden="1">
      <c r="B556" s="74"/>
      <c r="M556" s="150"/>
    </row>
    <row r="557" hidden="1">
      <c r="B557" s="74"/>
      <c r="M557" s="150"/>
    </row>
    <row r="558" hidden="1">
      <c r="B558" s="74"/>
      <c r="M558" s="150"/>
    </row>
    <row r="559" hidden="1">
      <c r="B559" s="74"/>
      <c r="M559" s="150"/>
    </row>
    <row r="560" hidden="1">
      <c r="B560" s="74"/>
      <c r="M560" s="150"/>
    </row>
    <row r="561" hidden="1">
      <c r="B561" s="74"/>
      <c r="M561" s="150"/>
    </row>
    <row r="562" hidden="1">
      <c r="B562" s="74"/>
      <c r="M562" s="150"/>
    </row>
    <row r="563" hidden="1">
      <c r="B563" s="74"/>
      <c r="M563" s="150"/>
    </row>
    <row r="564" hidden="1">
      <c r="B564" s="74"/>
      <c r="M564" s="150"/>
    </row>
    <row r="565" hidden="1">
      <c r="B565" s="74"/>
      <c r="M565" s="150"/>
    </row>
    <row r="566" hidden="1">
      <c r="B566" s="74"/>
      <c r="M566" s="150"/>
    </row>
    <row r="567" hidden="1">
      <c r="B567" s="74"/>
      <c r="M567" s="150"/>
    </row>
    <row r="568" hidden="1">
      <c r="B568" s="74"/>
      <c r="M568" s="150"/>
    </row>
    <row r="569" hidden="1">
      <c r="B569" s="74"/>
      <c r="M569" s="150"/>
    </row>
    <row r="570" hidden="1">
      <c r="B570" s="74"/>
      <c r="M570" s="150"/>
    </row>
    <row r="571" hidden="1">
      <c r="B571" s="74"/>
      <c r="M571" s="150"/>
    </row>
    <row r="572" hidden="1">
      <c r="B572" s="74"/>
      <c r="M572" s="150"/>
    </row>
    <row r="573" hidden="1">
      <c r="B573" s="74"/>
      <c r="M573" s="150"/>
    </row>
    <row r="574" hidden="1">
      <c r="B574" s="74"/>
      <c r="M574" s="150"/>
    </row>
    <row r="575" hidden="1">
      <c r="B575" s="74"/>
      <c r="M575" s="150"/>
    </row>
    <row r="576" hidden="1">
      <c r="B576" s="74"/>
      <c r="M576" s="150"/>
    </row>
    <row r="577" hidden="1">
      <c r="B577" s="74"/>
      <c r="M577" s="150"/>
    </row>
    <row r="578" hidden="1">
      <c r="B578" s="74"/>
      <c r="M578" s="150"/>
    </row>
    <row r="579" hidden="1">
      <c r="B579" s="74"/>
      <c r="M579" s="150"/>
    </row>
    <row r="580" hidden="1">
      <c r="B580" s="74"/>
      <c r="M580" s="150"/>
    </row>
    <row r="581" hidden="1">
      <c r="B581" s="74"/>
      <c r="M581" s="150"/>
    </row>
    <row r="582" hidden="1">
      <c r="B582" s="74"/>
      <c r="M582" s="150"/>
    </row>
    <row r="583" hidden="1">
      <c r="B583" s="74"/>
      <c r="M583" s="150"/>
    </row>
    <row r="584" hidden="1">
      <c r="B584" s="74"/>
      <c r="M584" s="150"/>
    </row>
    <row r="585" hidden="1">
      <c r="B585" s="74"/>
      <c r="M585" s="150"/>
    </row>
    <row r="586" hidden="1">
      <c r="B586" s="74"/>
      <c r="M586" s="150"/>
    </row>
    <row r="587" hidden="1">
      <c r="B587" s="74"/>
      <c r="M587" s="150"/>
    </row>
    <row r="588" hidden="1">
      <c r="B588" s="74"/>
      <c r="M588" s="150"/>
    </row>
    <row r="589" hidden="1">
      <c r="B589" s="74"/>
      <c r="M589" s="150"/>
    </row>
    <row r="590" hidden="1">
      <c r="B590" s="74"/>
      <c r="M590" s="150"/>
    </row>
    <row r="591" hidden="1">
      <c r="B591" s="74"/>
      <c r="M591" s="150"/>
    </row>
    <row r="592" hidden="1">
      <c r="B592" s="74"/>
      <c r="M592" s="150"/>
    </row>
    <row r="593" hidden="1">
      <c r="B593" s="74"/>
      <c r="M593" s="150"/>
    </row>
    <row r="594" hidden="1">
      <c r="B594" s="74"/>
      <c r="M594" s="150"/>
    </row>
    <row r="595" hidden="1">
      <c r="B595" s="74"/>
      <c r="M595" s="150"/>
    </row>
    <row r="596" hidden="1">
      <c r="B596" s="74"/>
      <c r="M596" s="150"/>
    </row>
    <row r="597" hidden="1">
      <c r="B597" s="74"/>
      <c r="M597" s="150"/>
    </row>
    <row r="598" hidden="1">
      <c r="B598" s="74"/>
      <c r="M598" s="150"/>
    </row>
    <row r="599" hidden="1">
      <c r="B599" s="74"/>
      <c r="M599" s="150"/>
    </row>
    <row r="600" hidden="1">
      <c r="B600" s="74"/>
      <c r="M600" s="150"/>
    </row>
    <row r="601" hidden="1">
      <c r="B601" s="74"/>
      <c r="M601" s="150"/>
    </row>
    <row r="602" hidden="1">
      <c r="B602" s="74"/>
      <c r="M602" s="150"/>
    </row>
    <row r="603" hidden="1">
      <c r="B603" s="74"/>
      <c r="M603" s="150"/>
    </row>
    <row r="604" hidden="1">
      <c r="B604" s="74"/>
      <c r="M604" s="150"/>
    </row>
    <row r="605" hidden="1">
      <c r="B605" s="74"/>
      <c r="M605" s="150"/>
    </row>
    <row r="606" hidden="1">
      <c r="B606" s="74"/>
      <c r="M606" s="150"/>
    </row>
    <row r="607" hidden="1">
      <c r="B607" s="74"/>
      <c r="M607" s="150"/>
    </row>
    <row r="608" hidden="1">
      <c r="B608" s="74"/>
      <c r="M608" s="150"/>
    </row>
    <row r="609" hidden="1">
      <c r="B609" s="74"/>
      <c r="M609" s="150"/>
    </row>
    <row r="610" hidden="1">
      <c r="B610" s="74"/>
      <c r="M610" s="150"/>
    </row>
    <row r="611" hidden="1">
      <c r="B611" s="74"/>
      <c r="M611" s="150"/>
    </row>
    <row r="612" hidden="1">
      <c r="B612" s="74"/>
      <c r="M612" s="150"/>
    </row>
    <row r="613" hidden="1">
      <c r="B613" s="74"/>
      <c r="M613" s="150"/>
    </row>
    <row r="614" hidden="1">
      <c r="B614" s="74"/>
      <c r="M614" s="150"/>
    </row>
    <row r="615" hidden="1">
      <c r="B615" s="74"/>
      <c r="M615" s="150"/>
    </row>
    <row r="616" hidden="1">
      <c r="B616" s="74"/>
      <c r="M616" s="150"/>
    </row>
    <row r="617" hidden="1">
      <c r="B617" s="74"/>
      <c r="M617" s="150"/>
    </row>
    <row r="618" hidden="1">
      <c r="B618" s="74"/>
      <c r="M618" s="150"/>
    </row>
    <row r="619" hidden="1">
      <c r="B619" s="74"/>
      <c r="M619" s="150"/>
    </row>
    <row r="620" hidden="1">
      <c r="B620" s="74"/>
      <c r="M620" s="150"/>
    </row>
    <row r="621" hidden="1">
      <c r="B621" s="74"/>
      <c r="M621" s="150"/>
    </row>
    <row r="622" hidden="1">
      <c r="B622" s="74"/>
      <c r="M622" s="150"/>
    </row>
    <row r="623" hidden="1">
      <c r="B623" s="74"/>
      <c r="M623" s="150"/>
    </row>
    <row r="624" hidden="1">
      <c r="B624" s="74"/>
      <c r="M624" s="150"/>
    </row>
    <row r="625" hidden="1">
      <c r="B625" s="74"/>
      <c r="M625" s="150"/>
    </row>
    <row r="626" hidden="1">
      <c r="B626" s="74"/>
      <c r="M626" s="150"/>
    </row>
    <row r="627" hidden="1">
      <c r="B627" s="74"/>
      <c r="M627" s="150"/>
    </row>
    <row r="628" hidden="1">
      <c r="B628" s="74"/>
      <c r="M628" s="150"/>
    </row>
    <row r="629" hidden="1">
      <c r="B629" s="74"/>
      <c r="M629" s="150"/>
    </row>
    <row r="630" hidden="1">
      <c r="B630" s="74"/>
      <c r="M630" s="150"/>
    </row>
    <row r="631" hidden="1">
      <c r="B631" s="74"/>
      <c r="M631" s="150"/>
    </row>
    <row r="632" hidden="1">
      <c r="B632" s="74"/>
      <c r="M632" s="150"/>
    </row>
    <row r="633" hidden="1">
      <c r="B633" s="74"/>
      <c r="M633" s="150"/>
    </row>
    <row r="634" hidden="1">
      <c r="B634" s="74"/>
      <c r="M634" s="150"/>
    </row>
    <row r="635" hidden="1">
      <c r="B635" s="74"/>
      <c r="M635" s="150"/>
    </row>
    <row r="636" hidden="1">
      <c r="B636" s="74"/>
      <c r="M636" s="150"/>
    </row>
    <row r="637" hidden="1">
      <c r="B637" s="74"/>
      <c r="M637" s="150"/>
    </row>
    <row r="638" hidden="1">
      <c r="B638" s="74"/>
      <c r="M638" s="150"/>
    </row>
    <row r="639" hidden="1">
      <c r="B639" s="74"/>
      <c r="M639" s="150"/>
    </row>
    <row r="640" hidden="1">
      <c r="B640" s="74"/>
      <c r="M640" s="150"/>
    </row>
    <row r="641" hidden="1">
      <c r="B641" s="74"/>
      <c r="M641" s="150"/>
    </row>
    <row r="642" hidden="1">
      <c r="B642" s="74"/>
      <c r="M642" s="150"/>
    </row>
    <row r="643" hidden="1">
      <c r="B643" s="74"/>
      <c r="M643" s="150"/>
    </row>
    <row r="644" hidden="1">
      <c r="B644" s="74"/>
      <c r="M644" s="150"/>
    </row>
    <row r="645" hidden="1">
      <c r="B645" s="74"/>
      <c r="M645" s="150"/>
    </row>
    <row r="646" hidden="1">
      <c r="B646" s="74"/>
      <c r="M646" s="150"/>
    </row>
    <row r="647" hidden="1">
      <c r="B647" s="74"/>
      <c r="M647" s="150"/>
    </row>
    <row r="648" hidden="1">
      <c r="B648" s="74"/>
      <c r="M648" s="150"/>
    </row>
    <row r="649" hidden="1">
      <c r="B649" s="74"/>
      <c r="M649" s="150"/>
    </row>
    <row r="650" hidden="1">
      <c r="B650" s="74"/>
      <c r="M650" s="150"/>
    </row>
    <row r="651" hidden="1">
      <c r="B651" s="74"/>
      <c r="M651" s="150"/>
    </row>
    <row r="652" hidden="1">
      <c r="B652" s="74"/>
      <c r="M652" s="150"/>
    </row>
    <row r="653" hidden="1">
      <c r="B653" s="74"/>
      <c r="M653" s="150"/>
    </row>
    <row r="654" hidden="1">
      <c r="B654" s="74"/>
      <c r="M654" s="150"/>
    </row>
    <row r="655" hidden="1">
      <c r="B655" s="74"/>
      <c r="M655" s="150"/>
    </row>
    <row r="656" hidden="1">
      <c r="B656" s="74"/>
      <c r="M656" s="150"/>
    </row>
    <row r="657" hidden="1">
      <c r="B657" s="74"/>
      <c r="M657" s="150"/>
    </row>
    <row r="658" hidden="1">
      <c r="B658" s="74"/>
      <c r="M658" s="150"/>
    </row>
    <row r="659" hidden="1">
      <c r="B659" s="74"/>
      <c r="M659" s="150"/>
    </row>
    <row r="660" hidden="1">
      <c r="B660" s="74"/>
      <c r="M660" s="150"/>
    </row>
    <row r="661" hidden="1">
      <c r="B661" s="74"/>
      <c r="M661" s="150"/>
    </row>
    <row r="662" hidden="1">
      <c r="B662" s="74"/>
      <c r="M662" s="150"/>
    </row>
    <row r="663" hidden="1">
      <c r="B663" s="74"/>
      <c r="M663" s="150"/>
    </row>
    <row r="664" hidden="1">
      <c r="B664" s="74"/>
      <c r="M664" s="150"/>
    </row>
    <row r="665" hidden="1">
      <c r="B665" s="74"/>
      <c r="M665" s="150"/>
    </row>
    <row r="666" hidden="1">
      <c r="B666" s="74"/>
      <c r="M666" s="150"/>
    </row>
    <row r="667" hidden="1">
      <c r="B667" s="74"/>
      <c r="M667" s="150"/>
    </row>
    <row r="668" hidden="1">
      <c r="B668" s="74"/>
      <c r="M668" s="150"/>
    </row>
    <row r="669" hidden="1">
      <c r="B669" s="74"/>
      <c r="M669" s="150"/>
    </row>
    <row r="670" hidden="1">
      <c r="B670" s="74"/>
      <c r="M670" s="150"/>
    </row>
    <row r="671" hidden="1">
      <c r="B671" s="74"/>
      <c r="M671" s="150"/>
    </row>
    <row r="672" hidden="1">
      <c r="B672" s="74"/>
      <c r="M672" s="150"/>
    </row>
    <row r="673" hidden="1">
      <c r="B673" s="74"/>
      <c r="M673" s="150"/>
    </row>
    <row r="674" hidden="1">
      <c r="B674" s="74"/>
      <c r="M674" s="150"/>
    </row>
    <row r="675" hidden="1">
      <c r="B675" s="74"/>
      <c r="M675" s="150"/>
    </row>
    <row r="676" hidden="1">
      <c r="B676" s="74"/>
      <c r="M676" s="150"/>
    </row>
    <row r="677" hidden="1">
      <c r="B677" s="74"/>
      <c r="M677" s="150"/>
    </row>
    <row r="678" hidden="1">
      <c r="B678" s="74"/>
      <c r="M678" s="150"/>
    </row>
    <row r="679" hidden="1">
      <c r="B679" s="74"/>
      <c r="M679" s="150"/>
    </row>
    <row r="680" hidden="1">
      <c r="B680" s="74"/>
      <c r="M680" s="150"/>
    </row>
    <row r="681" hidden="1">
      <c r="B681" s="74"/>
      <c r="M681" s="150"/>
    </row>
    <row r="682" hidden="1">
      <c r="B682" s="74"/>
      <c r="M682" s="150"/>
    </row>
    <row r="683" hidden="1">
      <c r="B683" s="74"/>
      <c r="M683" s="150"/>
    </row>
    <row r="684" hidden="1">
      <c r="B684" s="74"/>
      <c r="M684" s="150"/>
    </row>
    <row r="685" hidden="1">
      <c r="B685" s="74"/>
      <c r="M685" s="150"/>
    </row>
    <row r="686" hidden="1">
      <c r="B686" s="74"/>
      <c r="M686" s="150"/>
    </row>
    <row r="687" hidden="1">
      <c r="B687" s="74"/>
      <c r="M687" s="150"/>
    </row>
    <row r="688" hidden="1">
      <c r="B688" s="74"/>
      <c r="M688" s="150"/>
    </row>
    <row r="689" hidden="1">
      <c r="B689" s="74"/>
      <c r="M689" s="150"/>
    </row>
    <row r="690" hidden="1">
      <c r="B690" s="74"/>
      <c r="M690" s="150"/>
    </row>
    <row r="691" hidden="1">
      <c r="B691" s="74"/>
      <c r="M691" s="150"/>
    </row>
    <row r="692" hidden="1">
      <c r="B692" s="74"/>
      <c r="M692" s="150"/>
    </row>
    <row r="693" hidden="1">
      <c r="B693" s="74"/>
      <c r="M693" s="150"/>
    </row>
    <row r="694" hidden="1">
      <c r="B694" s="74"/>
      <c r="M694" s="150"/>
    </row>
    <row r="695" hidden="1">
      <c r="B695" s="74"/>
      <c r="M695" s="150"/>
    </row>
    <row r="696" hidden="1">
      <c r="B696" s="74"/>
      <c r="M696" s="150"/>
    </row>
    <row r="697" hidden="1">
      <c r="B697" s="74"/>
      <c r="M697" s="150"/>
    </row>
    <row r="698" hidden="1">
      <c r="B698" s="74"/>
      <c r="M698" s="150"/>
    </row>
    <row r="699" hidden="1">
      <c r="B699" s="74"/>
      <c r="M699" s="150"/>
    </row>
    <row r="700" hidden="1">
      <c r="B700" s="74"/>
      <c r="M700" s="150"/>
    </row>
    <row r="701" hidden="1">
      <c r="B701" s="74"/>
      <c r="M701" s="150"/>
    </row>
    <row r="702" hidden="1">
      <c r="B702" s="74"/>
      <c r="M702" s="150"/>
    </row>
    <row r="703" hidden="1">
      <c r="B703" s="74"/>
      <c r="M703" s="150"/>
    </row>
    <row r="704" hidden="1">
      <c r="B704" s="74"/>
      <c r="M704" s="150"/>
    </row>
    <row r="705" hidden="1">
      <c r="B705" s="74"/>
      <c r="M705" s="150"/>
    </row>
    <row r="706" hidden="1">
      <c r="B706" s="74"/>
      <c r="M706" s="150"/>
    </row>
    <row r="707" hidden="1">
      <c r="B707" s="74"/>
      <c r="M707" s="150"/>
    </row>
    <row r="708" hidden="1">
      <c r="B708" s="74"/>
      <c r="M708" s="150"/>
    </row>
    <row r="709" hidden="1">
      <c r="B709" s="74"/>
      <c r="M709" s="150"/>
    </row>
    <row r="710" hidden="1">
      <c r="B710" s="74"/>
      <c r="M710" s="150"/>
    </row>
    <row r="711" hidden="1">
      <c r="B711" s="74"/>
      <c r="M711" s="150"/>
    </row>
    <row r="712" hidden="1">
      <c r="B712" s="74"/>
      <c r="M712" s="150"/>
    </row>
    <row r="713" hidden="1">
      <c r="B713" s="74"/>
      <c r="M713" s="150"/>
    </row>
    <row r="714" hidden="1">
      <c r="B714" s="74"/>
      <c r="M714" s="150"/>
    </row>
    <row r="715" hidden="1">
      <c r="B715" s="74"/>
      <c r="M715" s="150"/>
    </row>
    <row r="716" hidden="1">
      <c r="B716" s="74"/>
      <c r="M716" s="150"/>
    </row>
    <row r="717" hidden="1">
      <c r="B717" s="74"/>
      <c r="M717" s="150"/>
    </row>
    <row r="718" hidden="1">
      <c r="B718" s="74"/>
      <c r="M718" s="150"/>
    </row>
    <row r="719" hidden="1">
      <c r="B719" s="74"/>
      <c r="M719" s="150"/>
    </row>
    <row r="720" hidden="1">
      <c r="B720" s="74"/>
      <c r="M720" s="150"/>
    </row>
    <row r="721" hidden="1">
      <c r="B721" s="74"/>
      <c r="M721" s="150"/>
    </row>
    <row r="722" hidden="1">
      <c r="B722" s="74"/>
      <c r="M722" s="150"/>
    </row>
    <row r="723" hidden="1">
      <c r="B723" s="74"/>
      <c r="M723" s="150"/>
    </row>
    <row r="724" hidden="1">
      <c r="B724" s="74"/>
      <c r="M724" s="150"/>
    </row>
    <row r="725" hidden="1">
      <c r="B725" s="74"/>
      <c r="M725" s="150"/>
    </row>
    <row r="726" hidden="1">
      <c r="B726" s="74"/>
      <c r="M726" s="150"/>
    </row>
    <row r="727" hidden="1">
      <c r="B727" s="74"/>
      <c r="M727" s="150"/>
    </row>
    <row r="728" hidden="1">
      <c r="B728" s="74"/>
      <c r="M728" s="150"/>
    </row>
    <row r="729" hidden="1">
      <c r="B729" s="74"/>
      <c r="M729" s="150"/>
    </row>
    <row r="730" hidden="1">
      <c r="B730" s="74"/>
      <c r="M730" s="150"/>
    </row>
    <row r="731" hidden="1">
      <c r="B731" s="74"/>
      <c r="M731" s="150"/>
    </row>
    <row r="732" hidden="1">
      <c r="B732" s="74"/>
      <c r="M732" s="150"/>
    </row>
    <row r="733" hidden="1">
      <c r="B733" s="74"/>
      <c r="M733" s="150"/>
    </row>
    <row r="734" hidden="1">
      <c r="B734" s="74"/>
      <c r="M734" s="150"/>
    </row>
    <row r="735" hidden="1">
      <c r="B735" s="74"/>
      <c r="M735" s="150"/>
    </row>
    <row r="736" hidden="1">
      <c r="B736" s="74"/>
      <c r="M736" s="150"/>
    </row>
    <row r="737" hidden="1">
      <c r="B737" s="74"/>
      <c r="M737" s="150"/>
    </row>
    <row r="738" hidden="1">
      <c r="B738" s="74"/>
      <c r="M738" s="150"/>
    </row>
    <row r="739" hidden="1">
      <c r="B739" s="74"/>
      <c r="M739" s="150"/>
    </row>
    <row r="740" hidden="1">
      <c r="B740" s="74"/>
      <c r="M740" s="150"/>
    </row>
    <row r="741" hidden="1">
      <c r="B741" s="74"/>
      <c r="M741" s="150"/>
    </row>
    <row r="742" hidden="1">
      <c r="B742" s="74"/>
      <c r="M742" s="150"/>
    </row>
    <row r="743" hidden="1">
      <c r="B743" s="74"/>
      <c r="M743" s="150"/>
    </row>
    <row r="744" hidden="1">
      <c r="B744" s="74"/>
      <c r="M744" s="150"/>
    </row>
    <row r="745" hidden="1">
      <c r="B745" s="74"/>
      <c r="M745" s="150"/>
    </row>
    <row r="746" hidden="1">
      <c r="B746" s="74"/>
      <c r="M746" s="150"/>
    </row>
    <row r="747" hidden="1">
      <c r="B747" s="74"/>
      <c r="M747" s="150"/>
    </row>
    <row r="748" hidden="1">
      <c r="B748" s="74"/>
      <c r="M748" s="150"/>
    </row>
    <row r="749" hidden="1">
      <c r="B749" s="74"/>
      <c r="M749" s="150"/>
    </row>
    <row r="750" hidden="1">
      <c r="B750" s="74"/>
      <c r="M750" s="150"/>
    </row>
    <row r="751" hidden="1">
      <c r="B751" s="74"/>
      <c r="M751" s="150"/>
    </row>
    <row r="752" hidden="1">
      <c r="B752" s="74"/>
      <c r="M752" s="150"/>
    </row>
    <row r="753" hidden="1">
      <c r="B753" s="74"/>
      <c r="M753" s="150"/>
    </row>
    <row r="754" hidden="1">
      <c r="B754" s="74"/>
      <c r="M754" s="150"/>
    </row>
    <row r="755" hidden="1">
      <c r="B755" s="74"/>
      <c r="M755" s="150"/>
    </row>
    <row r="756" hidden="1">
      <c r="B756" s="74"/>
      <c r="M756" s="150"/>
    </row>
    <row r="757" hidden="1">
      <c r="B757" s="74"/>
      <c r="M757" s="150"/>
    </row>
    <row r="758" hidden="1">
      <c r="B758" s="74"/>
      <c r="M758" s="150"/>
    </row>
    <row r="759" hidden="1">
      <c r="B759" s="74"/>
      <c r="M759" s="150"/>
    </row>
    <row r="760" hidden="1">
      <c r="B760" s="74"/>
      <c r="M760" s="150"/>
    </row>
    <row r="761" hidden="1">
      <c r="B761" s="74"/>
      <c r="M761" s="150"/>
    </row>
    <row r="762" hidden="1">
      <c r="B762" s="74"/>
      <c r="M762" s="150"/>
    </row>
    <row r="763" hidden="1">
      <c r="B763" s="74"/>
      <c r="M763" s="150"/>
    </row>
    <row r="764" hidden="1">
      <c r="B764" s="74"/>
      <c r="M764" s="150"/>
    </row>
    <row r="765" hidden="1">
      <c r="B765" s="74"/>
      <c r="M765" s="150"/>
    </row>
    <row r="766" hidden="1">
      <c r="B766" s="74"/>
      <c r="M766" s="150"/>
    </row>
    <row r="767" hidden="1">
      <c r="B767" s="74"/>
      <c r="M767" s="150"/>
    </row>
    <row r="768" hidden="1">
      <c r="B768" s="74"/>
      <c r="M768" s="150"/>
    </row>
    <row r="769" hidden="1">
      <c r="B769" s="74"/>
      <c r="M769" s="150"/>
    </row>
    <row r="770" hidden="1">
      <c r="B770" s="74"/>
      <c r="M770" s="150"/>
    </row>
    <row r="771" hidden="1">
      <c r="B771" s="74"/>
      <c r="M771" s="150"/>
    </row>
    <row r="772" hidden="1">
      <c r="B772" s="74"/>
      <c r="M772" s="150"/>
    </row>
    <row r="773" hidden="1">
      <c r="B773" s="74"/>
      <c r="M773" s="150"/>
    </row>
    <row r="774" hidden="1">
      <c r="B774" s="74"/>
      <c r="M774" s="150"/>
    </row>
    <row r="775" hidden="1">
      <c r="B775" s="74"/>
      <c r="M775" s="150"/>
    </row>
    <row r="776" hidden="1">
      <c r="B776" s="74"/>
      <c r="M776" s="150"/>
    </row>
    <row r="777" hidden="1">
      <c r="B777" s="74"/>
      <c r="M777" s="150"/>
    </row>
    <row r="778" hidden="1">
      <c r="B778" s="74"/>
      <c r="M778" s="150"/>
    </row>
    <row r="779" hidden="1">
      <c r="B779" s="74"/>
      <c r="M779" s="150"/>
    </row>
    <row r="780" hidden="1">
      <c r="B780" s="74"/>
      <c r="M780" s="150"/>
    </row>
    <row r="781" hidden="1">
      <c r="B781" s="74"/>
      <c r="M781" s="150"/>
    </row>
    <row r="782" hidden="1">
      <c r="B782" s="74"/>
      <c r="M782" s="150"/>
    </row>
    <row r="783" hidden="1">
      <c r="B783" s="74"/>
      <c r="M783" s="150"/>
    </row>
    <row r="784" hidden="1">
      <c r="B784" s="74"/>
      <c r="M784" s="150"/>
    </row>
    <row r="785" hidden="1">
      <c r="B785" s="74"/>
      <c r="M785" s="150"/>
    </row>
    <row r="786" hidden="1">
      <c r="B786" s="74"/>
      <c r="M786" s="150"/>
    </row>
    <row r="787" hidden="1">
      <c r="B787" s="74"/>
      <c r="M787" s="150"/>
    </row>
    <row r="788" hidden="1">
      <c r="B788" s="74"/>
      <c r="M788" s="150"/>
    </row>
    <row r="789" hidden="1">
      <c r="B789" s="74"/>
      <c r="M789" s="150"/>
    </row>
    <row r="790" hidden="1">
      <c r="B790" s="74"/>
      <c r="M790" s="150"/>
    </row>
    <row r="791" hidden="1">
      <c r="B791" s="74"/>
      <c r="M791" s="150"/>
    </row>
    <row r="792" hidden="1">
      <c r="B792" s="74"/>
      <c r="M792" s="150"/>
    </row>
    <row r="793" hidden="1">
      <c r="B793" s="74"/>
      <c r="M793" s="150"/>
    </row>
    <row r="794" hidden="1">
      <c r="B794" s="74"/>
      <c r="M794" s="150"/>
    </row>
    <row r="795" hidden="1">
      <c r="B795" s="74"/>
      <c r="M795" s="150"/>
    </row>
    <row r="796" hidden="1">
      <c r="B796" s="74"/>
      <c r="M796" s="150"/>
    </row>
    <row r="797" hidden="1">
      <c r="B797" s="74"/>
      <c r="M797" s="150"/>
    </row>
    <row r="798" hidden="1">
      <c r="B798" s="74"/>
      <c r="M798" s="150"/>
    </row>
    <row r="799" hidden="1">
      <c r="B799" s="74"/>
      <c r="M799" s="150"/>
    </row>
    <row r="800" hidden="1">
      <c r="B800" s="74"/>
      <c r="M800" s="150"/>
    </row>
    <row r="801" hidden="1">
      <c r="B801" s="74"/>
      <c r="M801" s="150"/>
    </row>
    <row r="802" hidden="1">
      <c r="B802" s="74"/>
      <c r="M802" s="150"/>
    </row>
    <row r="803" hidden="1">
      <c r="B803" s="74"/>
      <c r="M803" s="150"/>
    </row>
    <row r="804" hidden="1">
      <c r="B804" s="74"/>
      <c r="M804" s="150"/>
    </row>
    <row r="805" hidden="1">
      <c r="B805" s="74"/>
      <c r="M805" s="150"/>
    </row>
    <row r="806" hidden="1">
      <c r="B806" s="74"/>
      <c r="M806" s="150"/>
    </row>
    <row r="807" hidden="1">
      <c r="B807" s="74"/>
      <c r="M807" s="150"/>
    </row>
    <row r="808" hidden="1">
      <c r="B808" s="74"/>
      <c r="M808" s="150"/>
    </row>
    <row r="809" hidden="1">
      <c r="B809" s="74"/>
      <c r="M809" s="150"/>
    </row>
    <row r="810" hidden="1">
      <c r="B810" s="74"/>
      <c r="M810" s="150"/>
    </row>
    <row r="811" hidden="1">
      <c r="B811" s="74"/>
      <c r="M811" s="150"/>
    </row>
    <row r="812" hidden="1">
      <c r="B812" s="74"/>
      <c r="M812" s="150"/>
    </row>
    <row r="813" hidden="1">
      <c r="B813" s="74"/>
      <c r="M813" s="150"/>
    </row>
    <row r="814" hidden="1">
      <c r="B814" s="74"/>
      <c r="M814" s="150"/>
    </row>
    <row r="815" hidden="1">
      <c r="B815" s="74"/>
      <c r="M815" s="150"/>
    </row>
    <row r="816" hidden="1">
      <c r="B816" s="74"/>
      <c r="M816" s="150"/>
    </row>
    <row r="817" hidden="1">
      <c r="B817" s="74"/>
      <c r="M817" s="150"/>
    </row>
    <row r="818" hidden="1">
      <c r="B818" s="74"/>
      <c r="M818" s="150"/>
    </row>
    <row r="819" hidden="1">
      <c r="B819" s="74"/>
      <c r="M819" s="150"/>
    </row>
    <row r="820" hidden="1">
      <c r="B820" s="74"/>
      <c r="M820" s="150"/>
    </row>
    <row r="821" hidden="1">
      <c r="B821" s="74"/>
      <c r="M821" s="150"/>
    </row>
    <row r="822" hidden="1">
      <c r="B822" s="74"/>
      <c r="M822" s="150"/>
    </row>
    <row r="823" hidden="1">
      <c r="B823" s="74"/>
      <c r="M823" s="150"/>
    </row>
    <row r="824" hidden="1">
      <c r="B824" s="74"/>
      <c r="M824" s="150"/>
    </row>
    <row r="825" hidden="1">
      <c r="B825" s="74"/>
      <c r="M825" s="150"/>
    </row>
    <row r="826" hidden="1">
      <c r="B826" s="74"/>
      <c r="M826" s="150"/>
    </row>
    <row r="827" hidden="1">
      <c r="B827" s="74"/>
      <c r="M827" s="150"/>
    </row>
    <row r="828" hidden="1">
      <c r="B828" s="74"/>
      <c r="M828" s="150"/>
    </row>
    <row r="829" hidden="1">
      <c r="B829" s="74"/>
      <c r="M829" s="150"/>
    </row>
    <row r="830" hidden="1">
      <c r="B830" s="74"/>
      <c r="M830" s="150"/>
    </row>
    <row r="831" hidden="1">
      <c r="B831" s="74"/>
      <c r="M831" s="150"/>
    </row>
    <row r="832" hidden="1">
      <c r="B832" s="74"/>
      <c r="M832" s="150"/>
    </row>
    <row r="833" hidden="1">
      <c r="B833" s="74"/>
      <c r="M833" s="150"/>
    </row>
    <row r="834" hidden="1">
      <c r="B834" s="74"/>
      <c r="M834" s="150"/>
    </row>
    <row r="835" hidden="1">
      <c r="B835" s="74"/>
      <c r="M835" s="150"/>
    </row>
    <row r="836" hidden="1">
      <c r="B836" s="74"/>
      <c r="M836" s="150"/>
    </row>
    <row r="837" hidden="1">
      <c r="B837" s="74"/>
      <c r="M837" s="150"/>
    </row>
    <row r="838" hidden="1">
      <c r="B838" s="74"/>
      <c r="M838" s="150"/>
    </row>
    <row r="839" hidden="1">
      <c r="B839" s="74"/>
      <c r="M839" s="150"/>
    </row>
    <row r="840" hidden="1">
      <c r="B840" s="74"/>
      <c r="M840" s="150"/>
    </row>
    <row r="841" hidden="1">
      <c r="B841" s="74"/>
      <c r="M841" s="150"/>
    </row>
    <row r="842" hidden="1">
      <c r="B842" s="74"/>
      <c r="M842" s="150"/>
    </row>
    <row r="843" hidden="1">
      <c r="B843" s="74"/>
      <c r="M843" s="150"/>
    </row>
    <row r="844" hidden="1">
      <c r="B844" s="74"/>
      <c r="M844" s="150"/>
    </row>
    <row r="845" hidden="1">
      <c r="B845" s="74"/>
      <c r="M845" s="150"/>
    </row>
    <row r="846" hidden="1">
      <c r="B846" s="74"/>
      <c r="M846" s="150"/>
    </row>
    <row r="847" hidden="1">
      <c r="B847" s="74"/>
      <c r="M847" s="150"/>
    </row>
    <row r="848" hidden="1">
      <c r="B848" s="74"/>
      <c r="M848" s="150"/>
    </row>
    <row r="849" hidden="1">
      <c r="B849" s="74"/>
      <c r="M849" s="150"/>
    </row>
    <row r="850" hidden="1">
      <c r="B850" s="74"/>
      <c r="M850" s="150"/>
    </row>
    <row r="851" hidden="1">
      <c r="B851" s="74"/>
      <c r="M851" s="150"/>
    </row>
    <row r="852" hidden="1">
      <c r="B852" s="74"/>
      <c r="M852" s="150"/>
    </row>
    <row r="853" hidden="1">
      <c r="B853" s="74"/>
      <c r="M853" s="150"/>
    </row>
    <row r="854" hidden="1">
      <c r="B854" s="74"/>
      <c r="M854" s="150"/>
    </row>
    <row r="855" hidden="1">
      <c r="B855" s="74"/>
      <c r="M855" s="150"/>
    </row>
    <row r="856" hidden="1">
      <c r="B856" s="74"/>
      <c r="M856" s="150"/>
    </row>
    <row r="857" hidden="1">
      <c r="B857" s="74"/>
      <c r="M857" s="150"/>
    </row>
    <row r="858" hidden="1">
      <c r="B858" s="74"/>
      <c r="M858" s="150"/>
    </row>
    <row r="859" hidden="1">
      <c r="B859" s="74"/>
      <c r="M859" s="150"/>
    </row>
    <row r="860" hidden="1">
      <c r="B860" s="74"/>
      <c r="M860" s="150"/>
    </row>
    <row r="861" hidden="1">
      <c r="B861" s="74"/>
      <c r="M861" s="150"/>
    </row>
    <row r="862" hidden="1">
      <c r="B862" s="74"/>
      <c r="M862" s="150"/>
    </row>
    <row r="863" hidden="1">
      <c r="B863" s="74"/>
      <c r="M863" s="150"/>
    </row>
    <row r="864" hidden="1">
      <c r="B864" s="74"/>
      <c r="M864" s="150"/>
    </row>
    <row r="865" hidden="1">
      <c r="B865" s="74"/>
      <c r="M865" s="150"/>
    </row>
    <row r="866" hidden="1">
      <c r="B866" s="74"/>
      <c r="M866" s="150"/>
    </row>
    <row r="867" hidden="1">
      <c r="B867" s="74"/>
      <c r="M867" s="150"/>
    </row>
    <row r="868" hidden="1">
      <c r="B868" s="74"/>
      <c r="M868" s="150"/>
    </row>
    <row r="869" hidden="1">
      <c r="B869" s="74"/>
      <c r="M869" s="150"/>
    </row>
    <row r="870" hidden="1">
      <c r="B870" s="74"/>
      <c r="M870" s="150"/>
    </row>
    <row r="871" hidden="1">
      <c r="B871" s="74"/>
      <c r="M871" s="150"/>
    </row>
    <row r="872" hidden="1">
      <c r="B872" s="74"/>
      <c r="M872" s="150"/>
    </row>
    <row r="873" hidden="1">
      <c r="B873" s="74"/>
      <c r="M873" s="150"/>
    </row>
    <row r="874" hidden="1">
      <c r="B874" s="74"/>
      <c r="M874" s="150"/>
    </row>
    <row r="875" hidden="1">
      <c r="B875" s="74"/>
      <c r="M875" s="150"/>
    </row>
    <row r="876" hidden="1">
      <c r="B876" s="74"/>
      <c r="M876" s="150"/>
    </row>
    <row r="877" hidden="1">
      <c r="B877" s="74"/>
      <c r="M877" s="150"/>
    </row>
    <row r="878" hidden="1">
      <c r="B878" s="74"/>
      <c r="M878" s="150"/>
    </row>
    <row r="879" hidden="1">
      <c r="B879" s="74"/>
      <c r="M879" s="150"/>
    </row>
    <row r="880" hidden="1">
      <c r="B880" s="74"/>
      <c r="M880" s="150"/>
    </row>
    <row r="881" hidden="1">
      <c r="B881" s="74"/>
      <c r="M881" s="150"/>
    </row>
    <row r="882" hidden="1">
      <c r="B882" s="74"/>
      <c r="M882" s="150"/>
    </row>
    <row r="883" hidden="1">
      <c r="B883" s="74"/>
      <c r="M883" s="150"/>
    </row>
    <row r="884" hidden="1">
      <c r="B884" s="74"/>
      <c r="M884" s="150"/>
    </row>
    <row r="885" hidden="1">
      <c r="B885" s="74"/>
      <c r="M885" s="150"/>
    </row>
    <row r="886" hidden="1">
      <c r="B886" s="74"/>
      <c r="M886" s="150"/>
    </row>
    <row r="887" hidden="1">
      <c r="B887" s="74"/>
      <c r="M887" s="150"/>
    </row>
    <row r="888" hidden="1">
      <c r="B888" s="74"/>
      <c r="M888" s="150"/>
    </row>
    <row r="889" hidden="1">
      <c r="B889" s="74"/>
      <c r="M889" s="150"/>
    </row>
    <row r="890" hidden="1">
      <c r="B890" s="74"/>
      <c r="M890" s="150"/>
    </row>
    <row r="891" hidden="1">
      <c r="B891" s="74"/>
      <c r="M891" s="150"/>
    </row>
    <row r="892" hidden="1">
      <c r="B892" s="74"/>
      <c r="M892" s="150"/>
    </row>
    <row r="893" hidden="1">
      <c r="B893" s="74"/>
      <c r="M893" s="150"/>
    </row>
    <row r="894" hidden="1">
      <c r="B894" s="74"/>
      <c r="M894" s="150"/>
    </row>
    <row r="895" hidden="1">
      <c r="B895" s="74"/>
      <c r="M895" s="150"/>
    </row>
    <row r="896" hidden="1">
      <c r="B896" s="74"/>
      <c r="M896" s="150"/>
    </row>
    <row r="897" hidden="1">
      <c r="B897" s="74"/>
      <c r="M897" s="150"/>
    </row>
    <row r="898" hidden="1">
      <c r="B898" s="74"/>
      <c r="M898" s="150"/>
    </row>
    <row r="899" hidden="1">
      <c r="B899" s="74"/>
      <c r="M899" s="150"/>
    </row>
    <row r="900" hidden="1">
      <c r="B900" s="74"/>
      <c r="M900" s="150"/>
    </row>
    <row r="901" hidden="1">
      <c r="B901" s="74"/>
      <c r="M901" s="150"/>
    </row>
    <row r="902" hidden="1">
      <c r="B902" s="74"/>
      <c r="M902" s="150"/>
    </row>
    <row r="903" hidden="1">
      <c r="B903" s="74"/>
      <c r="M903" s="150"/>
    </row>
    <row r="904" hidden="1">
      <c r="B904" s="74"/>
      <c r="M904" s="150"/>
    </row>
    <row r="905" hidden="1">
      <c r="B905" s="74"/>
      <c r="M905" s="150"/>
    </row>
    <row r="906" hidden="1">
      <c r="B906" s="74"/>
      <c r="M906" s="150"/>
    </row>
    <row r="907" hidden="1">
      <c r="B907" s="74"/>
      <c r="M907" s="150"/>
    </row>
    <row r="908" hidden="1">
      <c r="B908" s="74"/>
      <c r="M908" s="150"/>
    </row>
    <row r="909" hidden="1">
      <c r="B909" s="74"/>
      <c r="M909" s="150"/>
    </row>
    <row r="910" hidden="1">
      <c r="B910" s="74"/>
      <c r="M910" s="150"/>
    </row>
    <row r="911" hidden="1">
      <c r="B911" s="74"/>
      <c r="M911" s="150"/>
    </row>
    <row r="912" hidden="1">
      <c r="B912" s="74"/>
      <c r="M912" s="150"/>
    </row>
    <row r="913" hidden="1">
      <c r="B913" s="74"/>
      <c r="M913" s="150"/>
    </row>
    <row r="914" hidden="1">
      <c r="B914" s="74"/>
      <c r="M914" s="150"/>
    </row>
    <row r="915" hidden="1">
      <c r="B915" s="74"/>
      <c r="M915" s="150"/>
    </row>
    <row r="916" hidden="1">
      <c r="B916" s="74"/>
      <c r="M916" s="150"/>
    </row>
    <row r="917" hidden="1">
      <c r="B917" s="74"/>
      <c r="M917" s="150"/>
    </row>
    <row r="918" hidden="1">
      <c r="B918" s="74"/>
      <c r="M918" s="150"/>
    </row>
    <row r="919" hidden="1">
      <c r="B919" s="74"/>
      <c r="M919" s="150"/>
    </row>
    <row r="920" hidden="1">
      <c r="B920" s="74"/>
      <c r="M920" s="150"/>
    </row>
    <row r="921" hidden="1">
      <c r="B921" s="74"/>
      <c r="M921" s="150"/>
    </row>
    <row r="922" hidden="1">
      <c r="B922" s="74"/>
      <c r="M922" s="150"/>
    </row>
    <row r="923" hidden="1">
      <c r="B923" s="74"/>
      <c r="M923" s="150"/>
    </row>
    <row r="924" hidden="1">
      <c r="B924" s="74"/>
      <c r="M924" s="150"/>
    </row>
    <row r="925" hidden="1">
      <c r="B925" s="74"/>
      <c r="M925" s="150"/>
    </row>
    <row r="926" hidden="1">
      <c r="B926" s="74"/>
      <c r="M926" s="150"/>
    </row>
    <row r="927" hidden="1">
      <c r="B927" s="74"/>
      <c r="M927" s="150"/>
    </row>
    <row r="928" hidden="1">
      <c r="B928" s="74"/>
      <c r="M928" s="150"/>
    </row>
    <row r="929" hidden="1">
      <c r="B929" s="74"/>
      <c r="M929" s="150"/>
    </row>
    <row r="930" hidden="1">
      <c r="B930" s="74"/>
      <c r="M930" s="150"/>
    </row>
    <row r="931" hidden="1">
      <c r="B931" s="74"/>
      <c r="M931" s="150"/>
    </row>
    <row r="932" hidden="1">
      <c r="B932" s="74"/>
      <c r="M932" s="150"/>
    </row>
    <row r="933" hidden="1">
      <c r="B933" s="74"/>
      <c r="M933" s="150"/>
    </row>
    <row r="934" hidden="1">
      <c r="B934" s="74"/>
      <c r="M934" s="150"/>
    </row>
    <row r="935" hidden="1">
      <c r="B935" s="74"/>
      <c r="M935" s="150"/>
    </row>
    <row r="936" hidden="1">
      <c r="B936" s="74"/>
      <c r="M936" s="150"/>
    </row>
    <row r="937" hidden="1">
      <c r="B937" s="74"/>
      <c r="M937" s="150"/>
    </row>
    <row r="938" hidden="1">
      <c r="B938" s="74"/>
      <c r="M938" s="150"/>
    </row>
    <row r="939" hidden="1">
      <c r="B939" s="74"/>
      <c r="M939" s="150"/>
    </row>
    <row r="940" hidden="1">
      <c r="B940" s="74"/>
      <c r="M940" s="150"/>
    </row>
    <row r="941" hidden="1">
      <c r="B941" s="74"/>
      <c r="M941" s="150"/>
    </row>
    <row r="942" hidden="1">
      <c r="B942" s="74"/>
      <c r="M942" s="150"/>
    </row>
    <row r="943" hidden="1">
      <c r="B943" s="74"/>
      <c r="M943" s="150"/>
    </row>
    <row r="944" hidden="1">
      <c r="B944" s="74"/>
      <c r="M944" s="150"/>
    </row>
    <row r="945" hidden="1">
      <c r="B945" s="74"/>
      <c r="M945" s="150"/>
    </row>
    <row r="946" hidden="1">
      <c r="B946" s="74"/>
      <c r="M946" s="150"/>
    </row>
    <row r="947" hidden="1">
      <c r="B947" s="74"/>
      <c r="M947" s="150"/>
    </row>
    <row r="948" hidden="1">
      <c r="B948" s="74"/>
      <c r="M948" s="150"/>
    </row>
    <row r="949" hidden="1">
      <c r="B949" s="74"/>
      <c r="M949" s="150"/>
    </row>
    <row r="950" hidden="1">
      <c r="B950" s="74"/>
      <c r="M950" s="150"/>
    </row>
    <row r="951" hidden="1">
      <c r="B951" s="74"/>
      <c r="M951" s="150"/>
    </row>
    <row r="952" hidden="1">
      <c r="B952" s="74"/>
      <c r="M952" s="150"/>
    </row>
    <row r="953" hidden="1">
      <c r="B953" s="74"/>
      <c r="M953" s="150"/>
    </row>
    <row r="954" hidden="1">
      <c r="B954" s="74"/>
      <c r="M954" s="150"/>
    </row>
    <row r="955" hidden="1">
      <c r="B955" s="74"/>
      <c r="M955" s="150"/>
    </row>
    <row r="956" hidden="1">
      <c r="B956" s="74"/>
      <c r="M956" s="150"/>
    </row>
    <row r="957" hidden="1">
      <c r="B957" s="74"/>
      <c r="M957" s="150"/>
    </row>
    <row r="958" hidden="1">
      <c r="B958" s="74"/>
      <c r="M958" s="150"/>
    </row>
    <row r="959" hidden="1">
      <c r="B959" s="74"/>
      <c r="M959" s="150"/>
    </row>
    <row r="960" hidden="1">
      <c r="B960" s="74"/>
      <c r="M960" s="150"/>
    </row>
    <row r="961" hidden="1">
      <c r="B961" s="74"/>
      <c r="M961" s="150"/>
    </row>
    <row r="962" hidden="1">
      <c r="B962" s="74"/>
      <c r="M962" s="150"/>
    </row>
    <row r="963" hidden="1">
      <c r="B963" s="74"/>
      <c r="M963" s="150"/>
    </row>
    <row r="964" hidden="1">
      <c r="B964" s="74"/>
      <c r="M964" s="150"/>
    </row>
    <row r="965" hidden="1">
      <c r="B965" s="74"/>
      <c r="M965" s="150"/>
    </row>
    <row r="966" hidden="1">
      <c r="B966" s="74"/>
      <c r="M966" s="150"/>
    </row>
    <row r="967" hidden="1">
      <c r="B967" s="74"/>
      <c r="M967" s="150"/>
    </row>
    <row r="968" hidden="1">
      <c r="B968" s="74"/>
      <c r="M968" s="150"/>
    </row>
    <row r="969" hidden="1">
      <c r="B969" s="74"/>
      <c r="M969" s="150"/>
    </row>
    <row r="970" hidden="1">
      <c r="B970" s="74"/>
      <c r="M970" s="150"/>
    </row>
    <row r="971" hidden="1">
      <c r="B971" s="74"/>
      <c r="M971" s="150"/>
    </row>
    <row r="972" hidden="1">
      <c r="B972" s="74"/>
      <c r="M972" s="150"/>
    </row>
    <row r="973" hidden="1">
      <c r="B973" s="74"/>
      <c r="M973" s="150"/>
    </row>
    <row r="974" hidden="1">
      <c r="B974" s="74"/>
      <c r="M974" s="150"/>
    </row>
    <row r="975" hidden="1">
      <c r="B975" s="74"/>
      <c r="M975" s="150"/>
    </row>
    <row r="976" hidden="1">
      <c r="B976" s="74"/>
      <c r="M976" s="150"/>
    </row>
    <row r="977" hidden="1">
      <c r="B977" s="74"/>
      <c r="M977" s="150"/>
    </row>
    <row r="978" hidden="1">
      <c r="B978" s="74"/>
      <c r="M978" s="150"/>
    </row>
    <row r="979" hidden="1">
      <c r="B979" s="74"/>
      <c r="M979" s="150"/>
    </row>
    <row r="980" hidden="1">
      <c r="B980" s="74"/>
      <c r="M980" s="150"/>
    </row>
    <row r="981" hidden="1">
      <c r="B981" s="74"/>
      <c r="M981" s="150"/>
    </row>
    <row r="982" hidden="1">
      <c r="B982" s="74"/>
      <c r="M982" s="150"/>
    </row>
    <row r="983" hidden="1">
      <c r="B983" s="74"/>
      <c r="M983" s="150"/>
    </row>
    <row r="984" hidden="1">
      <c r="B984" s="74"/>
      <c r="M984" s="150"/>
    </row>
    <row r="985" hidden="1">
      <c r="B985" s="74"/>
      <c r="M985" s="150"/>
    </row>
    <row r="986" hidden="1">
      <c r="B986" s="74"/>
      <c r="M986" s="150"/>
    </row>
    <row r="987" hidden="1">
      <c r="B987" s="74"/>
      <c r="M987" s="150"/>
    </row>
    <row r="988" hidden="1">
      <c r="B988" s="74"/>
      <c r="M988" s="150"/>
    </row>
    <row r="989" hidden="1">
      <c r="B989" s="74"/>
      <c r="M989" s="150"/>
    </row>
    <row r="990" hidden="1">
      <c r="B990" s="74"/>
      <c r="M990" s="150"/>
    </row>
    <row r="991" hidden="1">
      <c r="B991" s="74"/>
      <c r="M991" s="150"/>
    </row>
    <row r="992" hidden="1">
      <c r="B992" s="74"/>
      <c r="M992" s="150"/>
    </row>
    <row r="993" hidden="1">
      <c r="B993" s="74"/>
      <c r="M993" s="150"/>
    </row>
    <row r="994" hidden="1">
      <c r="B994" s="74"/>
      <c r="M994" s="150"/>
    </row>
    <row r="995" hidden="1">
      <c r="B995" s="74"/>
      <c r="M995" s="150"/>
    </row>
    <row r="996" hidden="1">
      <c r="B996" s="74"/>
      <c r="M996" s="150"/>
    </row>
    <row r="997" hidden="1">
      <c r="B997" s="74"/>
      <c r="M997" s="150"/>
    </row>
    <row r="998" hidden="1">
      <c r="B998" s="74"/>
      <c r="M998" s="150"/>
    </row>
    <row r="999" hidden="1">
      <c r="B999" s="74"/>
      <c r="M999" s="150"/>
    </row>
    <row r="1000" hidden="1">
      <c r="B1000" s="74"/>
      <c r="M1000" s="150"/>
    </row>
  </sheetData>
  <mergeCells count="21">
    <mergeCell ref="AQ1:AZ1"/>
    <mergeCell ref="BA1:BJ1"/>
    <mergeCell ref="BK1:BT1"/>
    <mergeCell ref="BU1:CD1"/>
    <mergeCell ref="CE1:CN1"/>
    <mergeCell ref="CO1:CX1"/>
    <mergeCell ref="A1:B2"/>
    <mergeCell ref="C1:L1"/>
    <mergeCell ref="M1:V1"/>
    <mergeCell ref="A23:A32"/>
    <mergeCell ref="A33:A42"/>
    <mergeCell ref="A43:A52"/>
    <mergeCell ref="A53:A62"/>
    <mergeCell ref="W1:AF1"/>
    <mergeCell ref="AG1:AP1"/>
    <mergeCell ref="A73:A82"/>
    <mergeCell ref="A83:A92"/>
    <mergeCell ref="A93:A102"/>
    <mergeCell ref="A3:A12"/>
    <mergeCell ref="A13:A22"/>
    <mergeCell ref="A63:A7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202" width="6.25"/>
  </cols>
  <sheetData>
    <row r="1" ht="31.5" customHeight="1">
      <c r="A1" s="169" t="s">
        <v>2934</v>
      </c>
      <c r="B1" s="98"/>
      <c r="C1" s="170" t="s">
        <v>2935</v>
      </c>
      <c r="W1" s="171" t="s">
        <v>2936</v>
      </c>
      <c r="AQ1" s="172" t="s">
        <v>2937</v>
      </c>
      <c r="BK1" s="171" t="s">
        <v>2938</v>
      </c>
      <c r="CE1" s="172" t="s">
        <v>2939</v>
      </c>
      <c r="CY1" s="171" t="s">
        <v>2940</v>
      </c>
      <c r="DS1" s="172" t="s">
        <v>2941</v>
      </c>
      <c r="EM1" s="171" t="s">
        <v>2942</v>
      </c>
      <c r="FG1" s="172" t="s">
        <v>2943</v>
      </c>
      <c r="GA1" s="171" t="s">
        <v>2944</v>
      </c>
    </row>
    <row r="2" ht="31.5" customHeight="1">
      <c r="A2" s="103"/>
      <c r="B2" s="104"/>
      <c r="C2" s="173">
        <v>45658.0</v>
      </c>
      <c r="D2" s="125"/>
      <c r="E2" s="174">
        <v>45689.0</v>
      </c>
      <c r="F2" s="125"/>
      <c r="G2" s="174">
        <v>45717.0</v>
      </c>
      <c r="H2" s="125"/>
      <c r="I2" s="174">
        <v>45748.0</v>
      </c>
      <c r="J2" s="125"/>
      <c r="K2" s="174">
        <v>45778.0</v>
      </c>
      <c r="L2" s="125"/>
      <c r="M2" s="174">
        <v>45809.0</v>
      </c>
      <c r="N2" s="125"/>
      <c r="O2" s="174">
        <v>45839.0</v>
      </c>
      <c r="P2" s="125"/>
      <c r="Q2" s="174">
        <v>45870.0</v>
      </c>
      <c r="R2" s="125"/>
      <c r="S2" s="174">
        <v>45901.0</v>
      </c>
      <c r="T2" s="125"/>
      <c r="U2" s="174">
        <v>45931.0</v>
      </c>
      <c r="V2" s="125"/>
      <c r="W2" s="175">
        <v>45659.0</v>
      </c>
      <c r="X2" s="125"/>
      <c r="Y2" s="176">
        <v>45690.0</v>
      </c>
      <c r="Z2" s="125"/>
      <c r="AA2" s="176">
        <v>45718.0</v>
      </c>
      <c r="AB2" s="125"/>
      <c r="AC2" s="176">
        <v>45749.0</v>
      </c>
      <c r="AD2" s="125"/>
      <c r="AE2" s="176">
        <v>45779.0</v>
      </c>
      <c r="AF2" s="125"/>
      <c r="AG2" s="176">
        <v>45810.0</v>
      </c>
      <c r="AH2" s="125"/>
      <c r="AI2" s="176">
        <v>45840.0</v>
      </c>
      <c r="AJ2" s="125"/>
      <c r="AK2" s="176">
        <v>45871.0</v>
      </c>
      <c r="AL2" s="125"/>
      <c r="AM2" s="176">
        <v>45902.0</v>
      </c>
      <c r="AN2" s="125"/>
      <c r="AO2" s="176">
        <v>45932.0</v>
      </c>
      <c r="AP2" s="125"/>
      <c r="AQ2" s="175">
        <v>45660.0</v>
      </c>
      <c r="AR2" s="125"/>
      <c r="AS2" s="176">
        <v>45691.0</v>
      </c>
      <c r="AT2" s="125"/>
      <c r="AU2" s="176">
        <v>45719.0</v>
      </c>
      <c r="AV2" s="125"/>
      <c r="AW2" s="176">
        <v>45750.0</v>
      </c>
      <c r="AX2" s="125"/>
      <c r="AY2" s="176">
        <v>45780.0</v>
      </c>
      <c r="AZ2" s="125"/>
      <c r="BA2" s="176">
        <v>45811.0</v>
      </c>
      <c r="BB2" s="125"/>
      <c r="BC2" s="176">
        <v>45841.0</v>
      </c>
      <c r="BD2" s="125"/>
      <c r="BE2" s="176">
        <v>45872.0</v>
      </c>
      <c r="BF2" s="125"/>
      <c r="BG2" s="176">
        <v>45903.0</v>
      </c>
      <c r="BH2" s="125"/>
      <c r="BI2" s="176">
        <v>45933.0</v>
      </c>
      <c r="BJ2" s="125"/>
      <c r="BK2" s="175">
        <v>45661.0</v>
      </c>
      <c r="BL2" s="125"/>
      <c r="BM2" s="176">
        <v>45692.0</v>
      </c>
      <c r="BN2" s="125"/>
      <c r="BO2" s="176">
        <v>45720.0</v>
      </c>
      <c r="BP2" s="125"/>
      <c r="BQ2" s="176">
        <v>45751.0</v>
      </c>
      <c r="BR2" s="125"/>
      <c r="BS2" s="176">
        <v>45781.0</v>
      </c>
      <c r="BT2" s="125"/>
      <c r="BU2" s="176">
        <v>45812.0</v>
      </c>
      <c r="BV2" s="125"/>
      <c r="BW2" s="176">
        <v>45842.0</v>
      </c>
      <c r="BX2" s="125"/>
      <c r="BY2" s="176">
        <v>45873.0</v>
      </c>
      <c r="BZ2" s="125"/>
      <c r="CA2" s="176">
        <v>45904.0</v>
      </c>
      <c r="CB2" s="125"/>
      <c r="CC2" s="176">
        <v>45934.0</v>
      </c>
      <c r="CD2" s="125"/>
      <c r="CE2" s="175">
        <v>45662.0</v>
      </c>
      <c r="CF2" s="125"/>
      <c r="CG2" s="176">
        <v>45693.0</v>
      </c>
      <c r="CH2" s="125"/>
      <c r="CI2" s="176">
        <v>45721.0</v>
      </c>
      <c r="CJ2" s="125"/>
      <c r="CK2" s="176">
        <v>45752.0</v>
      </c>
      <c r="CL2" s="125"/>
      <c r="CM2" s="176">
        <v>45782.0</v>
      </c>
      <c r="CN2" s="125"/>
      <c r="CO2" s="176">
        <v>45813.0</v>
      </c>
      <c r="CP2" s="125"/>
      <c r="CQ2" s="176">
        <v>45843.0</v>
      </c>
      <c r="CR2" s="125"/>
      <c r="CS2" s="176">
        <v>45874.0</v>
      </c>
      <c r="CT2" s="125"/>
      <c r="CU2" s="176">
        <v>45905.0</v>
      </c>
      <c r="CV2" s="125"/>
      <c r="CW2" s="176">
        <v>45935.0</v>
      </c>
      <c r="CX2" s="125"/>
      <c r="CY2" s="175">
        <v>45663.0</v>
      </c>
      <c r="CZ2" s="125"/>
      <c r="DA2" s="176">
        <v>45694.0</v>
      </c>
      <c r="DB2" s="125"/>
      <c r="DC2" s="176">
        <v>45722.0</v>
      </c>
      <c r="DD2" s="125"/>
      <c r="DE2" s="176">
        <v>45753.0</v>
      </c>
      <c r="DF2" s="125"/>
      <c r="DG2" s="176">
        <v>45783.0</v>
      </c>
      <c r="DH2" s="125"/>
      <c r="DI2" s="176">
        <v>45814.0</v>
      </c>
      <c r="DJ2" s="125"/>
      <c r="DK2" s="176">
        <v>45844.0</v>
      </c>
      <c r="DL2" s="125"/>
      <c r="DM2" s="176">
        <v>45875.0</v>
      </c>
      <c r="DN2" s="125"/>
      <c r="DO2" s="176">
        <v>45906.0</v>
      </c>
      <c r="DP2" s="125"/>
      <c r="DQ2" s="176">
        <v>45936.0</v>
      </c>
      <c r="DR2" s="125"/>
      <c r="DS2" s="175">
        <v>45664.0</v>
      </c>
      <c r="DT2" s="125"/>
      <c r="DU2" s="176">
        <v>45695.0</v>
      </c>
      <c r="DV2" s="125"/>
      <c r="DW2" s="176">
        <v>45723.0</v>
      </c>
      <c r="DX2" s="125"/>
      <c r="DY2" s="176">
        <v>45754.0</v>
      </c>
      <c r="DZ2" s="125"/>
      <c r="EA2" s="176">
        <v>45784.0</v>
      </c>
      <c r="EB2" s="125"/>
      <c r="EC2" s="176">
        <v>45815.0</v>
      </c>
      <c r="ED2" s="125"/>
      <c r="EE2" s="176">
        <v>45845.0</v>
      </c>
      <c r="EF2" s="125"/>
      <c r="EG2" s="176">
        <v>45876.0</v>
      </c>
      <c r="EH2" s="125"/>
      <c r="EI2" s="176">
        <v>45907.0</v>
      </c>
      <c r="EJ2" s="125"/>
      <c r="EK2" s="176">
        <v>45937.0</v>
      </c>
      <c r="EL2" s="125"/>
      <c r="EM2" s="175">
        <v>45665.0</v>
      </c>
      <c r="EN2" s="125"/>
      <c r="EO2" s="176">
        <v>45696.0</v>
      </c>
      <c r="EP2" s="125"/>
      <c r="EQ2" s="176">
        <v>45724.0</v>
      </c>
      <c r="ER2" s="125"/>
      <c r="ES2" s="176">
        <v>45755.0</v>
      </c>
      <c r="ET2" s="125"/>
      <c r="EU2" s="176">
        <v>45785.0</v>
      </c>
      <c r="EV2" s="125"/>
      <c r="EW2" s="176">
        <v>45816.0</v>
      </c>
      <c r="EX2" s="125"/>
      <c r="EY2" s="176">
        <v>45846.0</v>
      </c>
      <c r="EZ2" s="125"/>
      <c r="FA2" s="176">
        <v>45877.0</v>
      </c>
      <c r="FB2" s="125"/>
      <c r="FC2" s="176">
        <v>45908.0</v>
      </c>
      <c r="FD2" s="125"/>
      <c r="FE2" s="176">
        <v>45938.0</v>
      </c>
      <c r="FF2" s="125"/>
      <c r="FG2" s="175">
        <v>45666.0</v>
      </c>
      <c r="FH2" s="125"/>
      <c r="FI2" s="176">
        <v>45697.0</v>
      </c>
      <c r="FJ2" s="125"/>
      <c r="FK2" s="176">
        <v>45725.0</v>
      </c>
      <c r="FL2" s="125"/>
      <c r="FM2" s="176">
        <v>45756.0</v>
      </c>
      <c r="FN2" s="125"/>
      <c r="FO2" s="176">
        <v>45786.0</v>
      </c>
      <c r="FP2" s="125"/>
      <c r="FQ2" s="176">
        <v>45817.0</v>
      </c>
      <c r="FR2" s="125"/>
      <c r="FS2" s="176">
        <v>45847.0</v>
      </c>
      <c r="FT2" s="125"/>
      <c r="FU2" s="176">
        <v>45878.0</v>
      </c>
      <c r="FV2" s="125"/>
      <c r="FW2" s="176">
        <v>45909.0</v>
      </c>
      <c r="FX2" s="125"/>
      <c r="FY2" s="176">
        <v>45939.0</v>
      </c>
      <c r="FZ2" s="125"/>
      <c r="GA2" s="175">
        <v>45667.0</v>
      </c>
      <c r="GB2" s="125"/>
      <c r="GC2" s="176">
        <v>45698.0</v>
      </c>
      <c r="GD2" s="125"/>
      <c r="GE2" s="176">
        <v>45726.0</v>
      </c>
      <c r="GF2" s="125"/>
      <c r="GG2" s="176">
        <v>45757.0</v>
      </c>
      <c r="GH2" s="125"/>
      <c r="GI2" s="176">
        <v>45787.0</v>
      </c>
      <c r="GJ2" s="125"/>
      <c r="GK2" s="176">
        <v>45818.0</v>
      </c>
      <c r="GL2" s="125"/>
      <c r="GM2" s="176">
        <v>45848.0</v>
      </c>
      <c r="GN2" s="125"/>
      <c r="GO2" s="176">
        <v>45879.0</v>
      </c>
      <c r="GP2" s="125"/>
      <c r="GQ2" s="176">
        <v>45910.0</v>
      </c>
      <c r="GR2" s="125"/>
      <c r="GS2" s="176">
        <v>45940.0</v>
      </c>
      <c r="GT2" s="125"/>
    </row>
    <row r="3" ht="31.5" customHeight="1">
      <c r="A3" s="177" t="s">
        <v>3045</v>
      </c>
      <c r="B3" s="102"/>
      <c r="C3" s="178">
        <f>IFERROR(__xludf.DUMMYFUNCTION("LET(idx,INT((COLUMN()-COLUMN(Ranking!$C$2))/2)+1,labels,'Similarity proportion'!$B$3:$B$102,sims,INDEX('Similarity proportion'!$C$3:$CX$102,,idx),valid,FILTER({labels,sims},ISNUMBER(sims)),SORT(valid,2,FALSE))"),45689.0)</f>
        <v>45689</v>
      </c>
      <c r="D3" s="179">
        <f>IFERROR(__xludf.DUMMYFUNCTION("""COMPUTED_VALUE"""),1.0)</f>
        <v>1</v>
      </c>
      <c r="E3" s="180">
        <f>IFERROR(__xludf.DUMMYFUNCTION("LET(idx,INT((COLUMN()-COLUMN(Ranking!$C$2))/2)+1,labels,'Similarity proportion'!$B$3:$B$102,sims,INDEX('Similarity proportion'!$C$3:$CX$102,,idx),valid,FILTER({labels,sims},ISNUMBER(sims)),SORT(valid,2,FALSE))"),45658.0)</f>
        <v>45658</v>
      </c>
      <c r="F3" s="179">
        <f>IFERROR(__xludf.DUMMYFUNCTION("""COMPUTED_VALUE"""),1.0)</f>
        <v>1</v>
      </c>
      <c r="G3" s="180">
        <f>IFERROR(__xludf.DUMMYFUNCTION("LET(idx,INT((COLUMN()-COLUMN(Ranking!$C$2))/2)+1,labels,'Similarity proportion'!$B$3:$B$102,sims,INDEX('Similarity proportion'!$C$3:$CX$102,,idx),valid,FILTER({labels,sims},ISNUMBER(sims)),SORT(valid,2,FALSE))"),45689.0)</f>
        <v>45689</v>
      </c>
      <c r="H3" s="179">
        <f>IFERROR(__xludf.DUMMYFUNCTION("""COMPUTED_VALUE"""),1.0)</f>
        <v>1</v>
      </c>
      <c r="I3" s="180">
        <f>IFERROR(__xludf.DUMMYFUNCTION("LET(idx,INT((COLUMN()-COLUMN(Ranking!$C$2))/2)+1,labels,'Similarity proportion'!$B$3:$B$102,sims,INDEX('Similarity proportion'!$C$3:$CX$102,,idx),valid,FILTER({labels,sims},ISNUMBER(sims)),SORT(valid,2,FALSE))"),45689.0)</f>
        <v>45689</v>
      </c>
      <c r="J3" s="179">
        <f>IFERROR(__xludf.DUMMYFUNCTION("""COMPUTED_VALUE"""),1.0)</f>
        <v>1</v>
      </c>
      <c r="K3" s="180">
        <f>IFERROR(__xludf.DUMMYFUNCTION("LET(idx,INT((COLUMN()-COLUMN(Ranking!$C$2))/2)+1,labels,'Similarity proportion'!$B$3:$B$102,sims,INDEX('Similarity proportion'!$C$3:$CX$102,,idx),valid,FILTER({labels,sims},ISNUMBER(sims)),SORT(valid,2,FALSE))"),45689.0)</f>
        <v>45689</v>
      </c>
      <c r="L3" s="179">
        <f>IFERROR(__xludf.DUMMYFUNCTION("""COMPUTED_VALUE"""),1.0)</f>
        <v>1</v>
      </c>
      <c r="M3" s="180">
        <f>IFERROR(__xludf.DUMMYFUNCTION("LET(idx,INT((COLUMN()-COLUMN(Ranking!$C$2))/2)+1,labels,'Similarity proportion'!$B$3:$B$102,sims,INDEX('Similarity proportion'!$C$3:$CX$102,,idx),valid,FILTER({labels,sims},ISNUMBER(sims)),SORT(valid,2,FALSE))"),45689.0)</f>
        <v>45689</v>
      </c>
      <c r="N3" s="179">
        <f>IFERROR(__xludf.DUMMYFUNCTION("""COMPUTED_VALUE"""),1.0)</f>
        <v>1</v>
      </c>
      <c r="O3" s="180">
        <f>IFERROR(__xludf.DUMMYFUNCTION("LET(idx,INT((COLUMN()-COLUMN(Ranking!$C$2))/2)+1,labels,'Similarity proportion'!$B$3:$B$102,sims,INDEX('Similarity proportion'!$C$3:$CX$102,,idx),valid,FILTER({labels,sims},ISNUMBER(sims)),SORT(valid,2,FALSE))"),45717.0)</f>
        <v>45717</v>
      </c>
      <c r="P3" s="179">
        <f>IFERROR(__xludf.DUMMYFUNCTION("""COMPUTED_VALUE"""),1.0)</f>
        <v>1</v>
      </c>
      <c r="Q3" s="180">
        <f>IFERROR(__xludf.DUMMYFUNCTION("LET(idx,INT((COLUMN()-COLUMN(Ranking!$C$2))/2)+1,labels,'Similarity proportion'!$B$3:$B$102,sims,INDEX('Similarity proportion'!$C$3:$CX$102,,idx),valid,FILTER({labels,sims},ISNUMBER(sims)),SORT(valid,2,FALSE))"),45748.0)</f>
        <v>45748</v>
      </c>
      <c r="R3" s="179">
        <f>IFERROR(__xludf.DUMMYFUNCTION("""COMPUTED_VALUE"""),1.0)</f>
        <v>1</v>
      </c>
      <c r="S3" s="180">
        <f>IFERROR(__xludf.DUMMYFUNCTION("LET(idx,INT((COLUMN()-COLUMN(Ranking!$C$2))/2)+1,labels,'Similarity proportion'!$B$3:$B$102,sims,INDEX('Similarity proportion'!$C$3:$CX$102,,idx),valid,FILTER({labels,sims},ISNUMBER(sims)),SORT(valid,2,FALSE))"),45689.0)</f>
        <v>45689</v>
      </c>
      <c r="T3" s="179">
        <f>IFERROR(__xludf.DUMMYFUNCTION("""COMPUTED_VALUE"""),1.0)</f>
        <v>1</v>
      </c>
      <c r="U3" s="180">
        <f>IFERROR(__xludf.DUMMYFUNCTION("LET(idx,INT((COLUMN()-COLUMN(Ranking!$C$2))/2)+1,labels,'Similarity proportion'!$B$3:$B$102,sims,INDEX('Similarity proportion'!$C$3:$CX$102,,idx),valid,FILTER({labels,sims},ISNUMBER(sims)),SORT(valid,2,FALSE))"),45658.0)</f>
        <v>45658</v>
      </c>
      <c r="V3" s="181">
        <f>IFERROR(__xludf.DUMMYFUNCTION("""COMPUTED_VALUE"""),1.0)</f>
        <v>1</v>
      </c>
      <c r="W3" s="178">
        <f>IFERROR(__xludf.DUMMYFUNCTION("LET(idx,INT((COLUMN()-COLUMN(Ranking!$C$2))/2)+1,labels,'Similarity proportion'!$B$3:$B$102,sims,INDEX('Similarity proportion'!$C$3:$CX$102,,idx),valid,FILTER({labels,sims},ISNUMBER(sims)),SORT(valid,2,FALSE))"),45690.0)</f>
        <v>45690</v>
      </c>
      <c r="X3" s="179">
        <f>IFERROR(__xludf.DUMMYFUNCTION("""COMPUTED_VALUE"""),1.0)</f>
        <v>1</v>
      </c>
      <c r="Y3" s="180">
        <f>IFERROR(__xludf.DUMMYFUNCTION("LET(idx,INT((COLUMN()-COLUMN(Ranking!$C$2))/2)+1,labels,'Similarity proportion'!$B$3:$B$102,sims,INDEX('Similarity proportion'!$C$3:$CX$102,,idx),valid,FILTER({labels,sims},ISNUMBER(sims)),SORT(valid,2,FALSE))"),45659.0)</f>
        <v>45659</v>
      </c>
      <c r="Z3" s="179">
        <f>IFERROR(__xludf.DUMMYFUNCTION("""COMPUTED_VALUE"""),1.0)</f>
        <v>1</v>
      </c>
      <c r="AA3" s="180">
        <f>IFERROR(__xludf.DUMMYFUNCTION("LET(idx,INT((COLUMN()-COLUMN(Ranking!$C$2))/2)+1,labels,'Similarity proportion'!$B$3:$B$102,sims,INDEX('Similarity proportion'!$C$3:$CX$102,,idx),valid,FILTER({labels,sims},ISNUMBER(sims)),SORT(valid,2,FALSE))"),45690.0)</f>
        <v>45690</v>
      </c>
      <c r="AB3" s="179">
        <f>IFERROR(__xludf.DUMMYFUNCTION("""COMPUTED_VALUE"""),1.0)</f>
        <v>1</v>
      </c>
      <c r="AC3" s="180">
        <f>IFERROR(__xludf.DUMMYFUNCTION("LET(idx,INT((COLUMN()-COLUMN(Ranking!$C$2))/2)+1,labels,'Similarity proportion'!$B$3:$B$102,sims,INDEX('Similarity proportion'!$C$3:$CX$102,,idx),valid,FILTER({labels,sims},ISNUMBER(sims)),SORT(valid,2,FALSE))"),45690.0)</f>
        <v>45690</v>
      </c>
      <c r="AD3" s="179">
        <f>IFERROR(__xludf.DUMMYFUNCTION("""COMPUTED_VALUE"""),1.0)</f>
        <v>1</v>
      </c>
      <c r="AE3" s="180">
        <f>IFERROR(__xludf.DUMMYFUNCTION("LET(idx,INT((COLUMN()-COLUMN(Ranking!$C$2))/2)+1,labels,'Similarity proportion'!$B$3:$B$102,sims,INDEX('Similarity proportion'!$C$3:$CX$102,,idx),valid,FILTER({labels,sims},ISNUMBER(sims)),SORT(valid,2,FALSE))"),45690.0)</f>
        <v>45690</v>
      </c>
      <c r="AF3" s="179">
        <f>IFERROR(__xludf.DUMMYFUNCTION("""COMPUTED_VALUE"""),1.0)</f>
        <v>1</v>
      </c>
      <c r="AG3" s="180">
        <f>IFERROR(__xludf.DUMMYFUNCTION("LET(idx,INT((COLUMN()-COLUMN(Ranking!$C$2))/2)+1,labels,'Similarity proportion'!$B$3:$B$102,sims,INDEX('Similarity proportion'!$C$3:$CX$102,,idx),valid,FILTER({labels,sims},ISNUMBER(sims)),SORT(valid,2,FALSE))"),45690.0)</f>
        <v>45690</v>
      </c>
      <c r="AH3" s="179">
        <f>IFERROR(__xludf.DUMMYFUNCTION("""COMPUTED_VALUE"""),1.0)</f>
        <v>1</v>
      </c>
      <c r="AI3" s="180">
        <f>IFERROR(__xludf.DUMMYFUNCTION("LET(idx,INT((COLUMN()-COLUMN(Ranking!$C$2))/2)+1,labels,'Similarity proportion'!$B$3:$B$102,sims,INDEX('Similarity proportion'!$C$3:$CX$102,,idx),valid,FILTER({labels,sims},ISNUMBER(sims)),SORT(valid,2,FALSE))"),45690.0)</f>
        <v>45690</v>
      </c>
      <c r="AJ3" s="179">
        <f>IFERROR(__xludf.DUMMYFUNCTION("""COMPUTED_VALUE"""),1.0)</f>
        <v>1</v>
      </c>
      <c r="AK3" s="180">
        <f>IFERROR(__xludf.DUMMYFUNCTION("LET(idx,INT((COLUMN()-COLUMN(Ranking!$C$2))/2)+1,labels,'Similarity proportion'!$B$3:$B$102,sims,INDEX('Similarity proportion'!$C$3:$CX$102,,idx),valid,FILTER({labels,sims},ISNUMBER(sims)),SORT(valid,2,FALSE))"),45690.0)</f>
        <v>45690</v>
      </c>
      <c r="AL3" s="179">
        <f>IFERROR(__xludf.DUMMYFUNCTION("""COMPUTED_VALUE"""),1.0)</f>
        <v>1</v>
      </c>
      <c r="AM3" s="180">
        <f>IFERROR(__xludf.DUMMYFUNCTION("LET(idx,INT((COLUMN()-COLUMN(Ranking!$C$2))/2)+1,labels,'Similarity proportion'!$B$3:$B$102,sims,INDEX('Similarity proportion'!$C$3:$CX$102,,idx),valid,FILTER({labels,sims},ISNUMBER(sims)),SORT(valid,2,FALSE))"),45690.0)</f>
        <v>45690</v>
      </c>
      <c r="AN3" s="179">
        <f>IFERROR(__xludf.DUMMYFUNCTION("""COMPUTED_VALUE"""),1.0)</f>
        <v>1</v>
      </c>
      <c r="AO3" s="180">
        <f>IFERROR(__xludf.DUMMYFUNCTION("LET(idx,INT((COLUMN()-COLUMN(Ranking!$C$2))/2)+1,labels,'Similarity proportion'!$B$3:$B$102,sims,INDEX('Similarity proportion'!$C$3:$CX$102,,idx),valid,FILTER({labels,sims},ISNUMBER(sims)),SORT(valid,2,FALSE))"),45690.0)</f>
        <v>45690</v>
      </c>
      <c r="AP3" s="181">
        <f>IFERROR(__xludf.DUMMYFUNCTION("""COMPUTED_VALUE"""),1.0)</f>
        <v>1</v>
      </c>
      <c r="AQ3" s="178">
        <f>IFERROR(__xludf.DUMMYFUNCTION("LET(idx,INT((COLUMN()-COLUMN(Ranking!$C$2))/2)+1,labels,'Similarity proportion'!$B$3:$B$102,sims,INDEX('Similarity proportion'!$C$3:$CX$102,,idx),valid,FILTER({labels,sims},ISNUMBER(sims)),SORT(valid,2,FALSE))"),45691.0)</f>
        <v>45691</v>
      </c>
      <c r="AR3" s="179">
        <f>IFERROR(__xludf.DUMMYFUNCTION("""COMPUTED_VALUE"""),1.0)</f>
        <v>1</v>
      </c>
      <c r="AS3" s="180">
        <f>IFERROR(__xludf.DUMMYFUNCTION("LET(idx,INT((COLUMN()-COLUMN(Ranking!$C$2))/2)+1,labels,'Similarity proportion'!$B$3:$B$102,sims,INDEX('Similarity proportion'!$C$3:$CX$102,,idx),valid,FILTER({labels,sims},ISNUMBER(sims)),SORT(valid,2,FALSE))"),45660.0)</f>
        <v>45660</v>
      </c>
      <c r="AT3" s="179">
        <f>IFERROR(__xludf.DUMMYFUNCTION("""COMPUTED_VALUE"""),1.0)</f>
        <v>1</v>
      </c>
      <c r="AU3" s="180">
        <f>IFERROR(__xludf.DUMMYFUNCTION("LET(idx,INT((COLUMN()-COLUMN(Ranking!$C$2))/2)+1,labels,'Similarity proportion'!$B$3:$B$102,sims,INDEX('Similarity proportion'!$C$3:$CX$102,,idx),valid,FILTER({labels,sims},ISNUMBER(sims)),SORT(valid,2,FALSE))"),45841.0)</f>
        <v>45841</v>
      </c>
      <c r="AV3" s="179">
        <f>IFERROR(__xludf.DUMMYFUNCTION("""COMPUTED_VALUE"""),0.875)</f>
        <v>0.875</v>
      </c>
      <c r="AW3" s="180">
        <f>IFERROR(__xludf.DUMMYFUNCTION("LET(idx,INT((COLUMN()-COLUMN(Ranking!$C$2))/2)+1,labels,'Similarity proportion'!$B$3:$B$102,sims,INDEX('Similarity proportion'!$C$3:$CX$102,,idx),valid,FILTER({labels,sims},ISNUMBER(sims)),SORT(valid,2,FALSE))"),45691.0)</f>
        <v>45691</v>
      </c>
      <c r="AX3" s="179">
        <f>IFERROR(__xludf.DUMMYFUNCTION("""COMPUTED_VALUE"""),1.0)</f>
        <v>1</v>
      </c>
      <c r="AY3" s="180">
        <f>IFERROR(__xludf.DUMMYFUNCTION("LET(idx,INT((COLUMN()-COLUMN(Ranking!$C$2))/2)+1,labels,'Similarity proportion'!$B$3:$B$102,sims,INDEX('Similarity proportion'!$C$3:$CX$102,,idx),valid,FILTER({labels,sims},ISNUMBER(sims)),SORT(valid,2,FALSE))"),45691.0)</f>
        <v>45691</v>
      </c>
      <c r="AZ3" s="179">
        <f>IFERROR(__xludf.DUMMYFUNCTION("""COMPUTED_VALUE"""),1.0)</f>
        <v>1</v>
      </c>
      <c r="BA3" s="180">
        <f>IFERROR(__xludf.DUMMYFUNCTION("LET(idx,INT((COLUMN()-COLUMN(Ranking!$C$2))/2)+1,labels,'Similarity proportion'!$B$3:$B$102,sims,INDEX('Similarity proportion'!$C$3:$CX$102,,idx),valid,FILTER({labels,sims},ISNUMBER(sims)),SORT(valid,2,FALSE))"),45691.0)</f>
        <v>45691</v>
      </c>
      <c r="BB3" s="179">
        <f>IFERROR(__xludf.DUMMYFUNCTION("""COMPUTED_VALUE"""),1.0)</f>
        <v>1</v>
      </c>
      <c r="BC3" s="180">
        <f>IFERROR(__xludf.DUMMYFUNCTION("LET(idx,INT((COLUMN()-COLUMN(Ranking!$C$2))/2)+1,labels,'Similarity proportion'!$B$3:$B$102,sims,INDEX('Similarity proportion'!$C$3:$CX$102,,idx),valid,FILTER({labels,sims},ISNUMBER(sims)),SORT(valid,2,FALSE))"),45691.0)</f>
        <v>45691</v>
      </c>
      <c r="BD3" s="179">
        <f>IFERROR(__xludf.DUMMYFUNCTION("""COMPUTED_VALUE"""),1.0)</f>
        <v>1</v>
      </c>
      <c r="BE3" s="180">
        <f>IFERROR(__xludf.DUMMYFUNCTION("LET(idx,INT((COLUMN()-COLUMN(Ranking!$C$2))/2)+1,labels,'Similarity proportion'!$B$3:$B$102,sims,INDEX('Similarity proportion'!$C$3:$CX$102,,idx),valid,FILTER({labels,sims},ISNUMBER(sims)),SORT(valid,2,FALSE))"),45691.0)</f>
        <v>45691</v>
      </c>
      <c r="BF3" s="179">
        <f>IFERROR(__xludf.DUMMYFUNCTION("""COMPUTED_VALUE"""),1.0)</f>
        <v>1</v>
      </c>
      <c r="BG3" s="180">
        <f>IFERROR(__xludf.DUMMYFUNCTION("LET(idx,INT((COLUMN()-COLUMN(Ranking!$C$2))/2)+1,labels,'Similarity proportion'!$B$3:$B$102,sims,INDEX('Similarity proportion'!$C$3:$CX$102,,idx),valid,FILTER({labels,sims},ISNUMBER(sims)),SORT(valid,2,FALSE))"),45691.0)</f>
        <v>45691</v>
      </c>
      <c r="BH3" s="179">
        <f>IFERROR(__xludf.DUMMYFUNCTION("""COMPUTED_VALUE"""),1.0)</f>
        <v>1</v>
      </c>
      <c r="BI3" s="180">
        <f>IFERROR(__xludf.DUMMYFUNCTION("LET(idx,INT((COLUMN()-COLUMN(Ranking!$C$2))/2)+1,labels,'Similarity proportion'!$B$3:$B$102,sims,INDEX('Similarity proportion'!$C$3:$CX$102,,idx),valid,FILTER({labels,sims},ISNUMBER(sims)),SORT(valid,2,FALSE))"),45660.0)</f>
        <v>45660</v>
      </c>
      <c r="BJ3" s="179">
        <f>IFERROR(__xludf.DUMMYFUNCTION("""COMPUTED_VALUE"""),1.0)</f>
        <v>1</v>
      </c>
      <c r="BK3" s="182">
        <f>IFERROR(__xludf.DUMMYFUNCTION("LET(idx,INT((COLUMN()-COLUMN(Ranking!$C$2))/2)+1,labels,'Similarity proportion'!$B$3:$B$102,sims,INDEX('Similarity proportion'!$C$3:$CX$102,,idx),valid,FILTER({labels,sims},ISNUMBER(sims)),SORT(valid,2,FALSE))"),45692.0)</f>
        <v>45692</v>
      </c>
      <c r="BL3" s="179">
        <f>IFERROR(__xludf.DUMMYFUNCTION("""COMPUTED_VALUE"""),1.0)</f>
        <v>1</v>
      </c>
      <c r="BM3" s="180">
        <f>IFERROR(__xludf.DUMMYFUNCTION("LET(idx,INT((COLUMN()-COLUMN(Ranking!$C$2))/2)+1,labels,'Similarity proportion'!$B$3:$B$102,sims,INDEX('Similarity proportion'!$C$3:$CX$102,,idx),valid,FILTER({labels,sims},ISNUMBER(sims)),SORT(valid,2,FALSE))"),45661.0)</f>
        <v>45661</v>
      </c>
      <c r="BN3" s="179">
        <f>IFERROR(__xludf.DUMMYFUNCTION("""COMPUTED_VALUE"""),1.0)</f>
        <v>1</v>
      </c>
      <c r="BO3" s="180">
        <f>IFERROR(__xludf.DUMMYFUNCTION("LET(idx,INT((COLUMN()-COLUMN(Ranking!$C$2))/2)+1,labels,'Similarity proportion'!$B$3:$B$102,sims,INDEX('Similarity proportion'!$C$3:$CX$102,,idx),valid,FILTER({labels,sims},ISNUMBER(sims)),SORT(valid,2,FALSE))"),45692.0)</f>
        <v>45692</v>
      </c>
      <c r="BP3" s="179">
        <f>IFERROR(__xludf.DUMMYFUNCTION("""COMPUTED_VALUE"""),1.0)</f>
        <v>1</v>
      </c>
      <c r="BQ3" s="180">
        <f>IFERROR(__xludf.DUMMYFUNCTION("LET(idx,INT((COLUMN()-COLUMN(Ranking!$C$2))/2)+1,labels,'Similarity proportion'!$B$3:$B$102,sims,INDEX('Similarity proportion'!$C$3:$CX$102,,idx),valid,FILTER({labels,sims},ISNUMBER(sims)),SORT(valid,2,FALSE))"),45692.0)</f>
        <v>45692</v>
      </c>
      <c r="BR3" s="179">
        <f>IFERROR(__xludf.DUMMYFUNCTION("""COMPUTED_VALUE"""),1.0)</f>
        <v>1</v>
      </c>
      <c r="BS3" s="180">
        <f>IFERROR(__xludf.DUMMYFUNCTION("LET(idx,INT((COLUMN()-COLUMN(Ranking!$C$2))/2)+1,labels,'Similarity proportion'!$B$3:$B$102,sims,INDEX('Similarity proportion'!$C$3:$CX$102,,idx),valid,FILTER({labels,sims},ISNUMBER(sims)),SORT(valid,2,FALSE))"),45751.0)</f>
        <v>45751</v>
      </c>
      <c r="BT3" s="179">
        <f>IFERROR(__xludf.DUMMYFUNCTION("""COMPUTED_VALUE"""),1.0)</f>
        <v>1</v>
      </c>
      <c r="BU3" s="180">
        <f>IFERROR(__xludf.DUMMYFUNCTION("LET(idx,INT((COLUMN()-COLUMN(Ranking!$C$2))/2)+1,labels,'Similarity proportion'!$B$3:$B$102,sims,INDEX('Similarity proportion'!$C$3:$CX$102,,idx),valid,FILTER({labels,sims},ISNUMBER(sims)),SORT(valid,2,FALSE))"),45692.0)</f>
        <v>45692</v>
      </c>
      <c r="BV3" s="179">
        <f>IFERROR(__xludf.DUMMYFUNCTION("""COMPUTED_VALUE"""),1.0)</f>
        <v>1</v>
      </c>
      <c r="BW3" s="180">
        <f>IFERROR(__xludf.DUMMYFUNCTION("LET(idx,INT((COLUMN()-COLUMN(Ranking!$C$2))/2)+1,labels,'Similarity proportion'!$B$3:$B$102,sims,INDEX('Similarity proportion'!$C$3:$CX$102,,idx),valid,FILTER({labels,sims},ISNUMBER(sims)),SORT(valid,2,FALSE))"),45751.0)</f>
        <v>45751</v>
      </c>
      <c r="BX3" s="179">
        <f>IFERROR(__xludf.DUMMYFUNCTION("""COMPUTED_VALUE"""),1.0)</f>
        <v>1</v>
      </c>
      <c r="BY3" s="180">
        <f>IFERROR(__xludf.DUMMYFUNCTION("LET(idx,INT((COLUMN()-COLUMN(Ranking!$C$2))/2)+1,labels,'Similarity proportion'!$B$3:$B$102,sims,INDEX('Similarity proportion'!$C$3:$CX$102,,idx),valid,FILTER({labels,sims},ISNUMBER(sims)),SORT(valid,2,FALSE))"),45751.0)</f>
        <v>45751</v>
      </c>
      <c r="BZ3" s="179">
        <f>IFERROR(__xludf.DUMMYFUNCTION("""COMPUTED_VALUE"""),1.0)</f>
        <v>1</v>
      </c>
      <c r="CA3" s="180">
        <f>IFERROR(__xludf.DUMMYFUNCTION("LET(idx,INT((COLUMN()-COLUMN(Ranking!$C$2))/2)+1,labels,'Similarity proportion'!$B$3:$B$102,sims,INDEX('Similarity proportion'!$C$3:$CX$102,,idx),valid,FILTER({labels,sims},ISNUMBER(sims)),SORT(valid,2,FALSE))"),45692.0)</f>
        <v>45692</v>
      </c>
      <c r="CB3" s="179">
        <f>IFERROR(__xludf.DUMMYFUNCTION("""COMPUTED_VALUE"""),1.0)</f>
        <v>1</v>
      </c>
      <c r="CC3" s="180">
        <f>IFERROR(__xludf.DUMMYFUNCTION("LET(idx,INT((COLUMN()-COLUMN(Ranking!$C$2))/2)+1,labels,'Similarity proportion'!$B$3:$B$102,sims,INDEX('Similarity proportion'!$C$3:$CX$102,,idx),valid,FILTER({labels,sims},ISNUMBER(sims)),SORT(valid,2,FALSE))"),45661.0)</f>
        <v>45661</v>
      </c>
      <c r="CD3" s="179">
        <f>IFERROR(__xludf.DUMMYFUNCTION("""COMPUTED_VALUE"""),1.0)</f>
        <v>1</v>
      </c>
      <c r="CE3" s="182">
        <f>IFERROR(__xludf.DUMMYFUNCTION("LET(idx,INT((COLUMN()-COLUMN(Ranking!$C$2))/2)+1,labels,'Similarity proportion'!$B$3:$B$102,sims,INDEX('Similarity proportion'!$C$3:$CX$102,,idx),valid,FILTER({labels,sims},ISNUMBER(sims)),SORT(valid,2,FALSE))"),45693.0)</f>
        <v>45693</v>
      </c>
      <c r="CF3" s="179">
        <f>IFERROR(__xludf.DUMMYFUNCTION("""COMPUTED_VALUE"""),1.0)</f>
        <v>1</v>
      </c>
      <c r="CG3" s="180">
        <f>IFERROR(__xludf.DUMMYFUNCTION("LET(idx,INT((COLUMN()-COLUMN(Ranking!$C$2))/2)+1,labels,'Similarity proportion'!$B$3:$B$102,sims,INDEX('Similarity proportion'!$C$3:$CX$102,,idx),valid,FILTER({labels,sims},ISNUMBER(sims)),SORT(valid,2,FALSE))"),45662.0)</f>
        <v>45662</v>
      </c>
      <c r="CH3" s="179">
        <f>IFERROR(__xludf.DUMMYFUNCTION("""COMPUTED_VALUE"""),1.0)</f>
        <v>1</v>
      </c>
      <c r="CI3" s="180">
        <f>IFERROR(__xludf.DUMMYFUNCTION("LET(idx,INT((COLUMN()-COLUMN(Ranking!$C$2))/2)+1,labels,'Similarity proportion'!$B$3:$B$102,sims,INDEX('Similarity proportion'!$C$3:$CX$102,,idx),valid,FILTER({labels,sims},ISNUMBER(sims)),SORT(valid,2,FALSE))"),45693.0)</f>
        <v>45693</v>
      </c>
      <c r="CJ3" s="179">
        <f>IFERROR(__xludf.DUMMYFUNCTION("""COMPUTED_VALUE"""),1.0)</f>
        <v>1</v>
      </c>
      <c r="CK3" s="180">
        <f>IFERROR(__xludf.DUMMYFUNCTION("LET(idx,INT((COLUMN()-COLUMN(Ranking!$C$2))/2)+1,labels,'Similarity proportion'!$B$3:$B$102,sims,INDEX('Similarity proportion'!$C$3:$CX$102,,idx),valid,FILTER({labels,sims},ISNUMBER(sims)),SORT(valid,2,FALSE))"),45693.0)</f>
        <v>45693</v>
      </c>
      <c r="CL3" s="179">
        <f>IFERROR(__xludf.DUMMYFUNCTION("""COMPUTED_VALUE"""),1.0)</f>
        <v>1</v>
      </c>
      <c r="CM3" s="180">
        <f>IFERROR(__xludf.DUMMYFUNCTION("LET(idx,INT((COLUMN()-COLUMN(Ranking!$C$2))/2)+1,labels,'Similarity proportion'!$B$3:$B$102,sims,INDEX('Similarity proportion'!$C$3:$CX$102,,idx),valid,FILTER({labels,sims},ISNUMBER(sims)),SORT(valid,2,FALSE))"),45813.0)</f>
        <v>45813</v>
      </c>
      <c r="CN3" s="179">
        <f>IFERROR(__xludf.DUMMYFUNCTION("""COMPUTED_VALUE"""),1.0)</f>
        <v>1</v>
      </c>
      <c r="CO3" s="180">
        <f>IFERROR(__xludf.DUMMYFUNCTION("LET(idx,INT((COLUMN()-COLUMN(Ranking!$C$2))/2)+1,labels,'Similarity proportion'!$B$3:$B$102,sims,INDEX('Similarity proportion'!$C$3:$CX$102,,idx),valid,FILTER({labels,sims},ISNUMBER(sims)),SORT(valid,2,FALSE))"),45693.0)</f>
        <v>45693</v>
      </c>
      <c r="CP3" s="179">
        <f>IFERROR(__xludf.DUMMYFUNCTION("""COMPUTED_VALUE"""),1.0)</f>
        <v>1</v>
      </c>
      <c r="CQ3" s="180">
        <f>IFERROR(__xludf.DUMMYFUNCTION("LET(idx,INT((COLUMN()-COLUMN(Ranking!$C$2))/2)+1,labels,'Similarity proportion'!$B$3:$B$102,sims,INDEX('Similarity proportion'!$C$3:$CX$102,,idx),valid,FILTER({labels,sims},ISNUMBER(sims)),SORT(valid,2,FALSE))"),45905.0)</f>
        <v>45905</v>
      </c>
      <c r="CR3" s="179">
        <f>IFERROR(__xludf.DUMMYFUNCTION("""COMPUTED_VALUE"""),1.0)</f>
        <v>1</v>
      </c>
      <c r="CS3" s="180">
        <f>IFERROR(__xludf.DUMMYFUNCTION("LET(idx,INT((COLUMN()-COLUMN(Ranking!$C$2))/2)+1,labels,'Similarity proportion'!$B$3:$B$102,sims,INDEX('Similarity proportion'!$C$3:$CX$102,,idx),valid,FILTER({labels,sims},ISNUMBER(sims)),SORT(valid,2,FALSE))"),45813.0)</f>
        <v>45813</v>
      </c>
      <c r="CT3" s="179">
        <f>IFERROR(__xludf.DUMMYFUNCTION("""COMPUTED_VALUE"""),1.0)</f>
        <v>1</v>
      </c>
      <c r="CU3" s="180">
        <f>IFERROR(__xludf.DUMMYFUNCTION("LET(idx,INT((COLUMN()-COLUMN(Ranking!$C$2))/2)+1,labels,'Similarity proportion'!$B$3:$B$102,sims,INDEX('Similarity proportion'!$C$3:$CX$102,,idx),valid,FILTER({labels,sims},ISNUMBER(sims)),SORT(valid,2,FALSE))"),45693.0)</f>
        <v>45693</v>
      </c>
      <c r="CV3" s="179">
        <f>IFERROR(__xludf.DUMMYFUNCTION("""COMPUTED_VALUE"""),1.0)</f>
        <v>1</v>
      </c>
      <c r="CW3" s="180">
        <f>IFERROR(__xludf.DUMMYFUNCTION("LET(idx,INT((COLUMN()-COLUMN(Ranking!$C$2))/2)+1,labels,'Similarity proportion'!$B$3:$B$102,sims,INDEX('Similarity proportion'!$C$3:$CX$102,,idx),valid,FILTER({labels,sims},ISNUMBER(sims)),SORT(valid,2,FALSE))"),45662.0)</f>
        <v>45662</v>
      </c>
      <c r="CX3" s="179">
        <f>IFERROR(__xludf.DUMMYFUNCTION("""COMPUTED_VALUE"""),1.0)</f>
        <v>1</v>
      </c>
      <c r="CY3" s="182">
        <f>IFERROR(__xludf.DUMMYFUNCTION("LET(idx,INT((COLUMN()-COLUMN(Ranking!$C$2))/2)+1,labels,'Similarity proportion'!$B$3:$B$102,sims,INDEX('Similarity proportion'!$C$3:$CX$102,,idx),valid,FILTER({labels,sims},ISNUMBER(sims)),SORT(valid,2,FALSE))"),45694.0)</f>
        <v>45694</v>
      </c>
      <c r="CZ3" s="179">
        <f>IFERROR(__xludf.DUMMYFUNCTION("""COMPUTED_VALUE"""),1.0)</f>
        <v>1</v>
      </c>
      <c r="DA3" s="180">
        <f>IFERROR(__xludf.DUMMYFUNCTION("LET(idx,INT((COLUMN()-COLUMN(Ranking!$C$2))/2)+1,labels,'Similarity proportion'!$B$3:$B$102,sims,INDEX('Similarity proportion'!$C$3:$CX$102,,idx),valid,FILTER({labels,sims},ISNUMBER(sims)),SORT(valid,2,FALSE))"),45663.0)</f>
        <v>45663</v>
      </c>
      <c r="DB3" s="179">
        <f>IFERROR(__xludf.DUMMYFUNCTION("""COMPUTED_VALUE"""),1.0)</f>
        <v>1</v>
      </c>
      <c r="DC3" s="180">
        <f>IFERROR(__xludf.DUMMYFUNCTION("LET(idx,INT((COLUMN()-COLUMN(Ranking!$C$2))/2)+1,labels,'Similarity proportion'!$B$3:$B$102,sims,INDEX('Similarity proportion'!$C$3:$CX$102,,idx),valid,FILTER({labels,sims},ISNUMBER(sims)),SORT(valid,2,FALSE))"),45906.0)</f>
        <v>45906</v>
      </c>
      <c r="DD3" s="179">
        <f>IFERROR(__xludf.DUMMYFUNCTION("""COMPUTED_VALUE"""),1.0)</f>
        <v>1</v>
      </c>
      <c r="DE3" s="180">
        <f>IFERROR(__xludf.DUMMYFUNCTION("LET(idx,INT((COLUMN()-COLUMN(Ranking!$C$2))/2)+1,labels,'Similarity proportion'!$B$3:$B$102,sims,INDEX('Similarity proportion'!$C$3:$CX$102,,idx),valid,FILTER({labels,sims},ISNUMBER(sims)),SORT(valid,2,FALSE))"),45906.0)</f>
        <v>45906</v>
      </c>
      <c r="DF3" s="179">
        <f>IFERROR(__xludf.DUMMYFUNCTION("""COMPUTED_VALUE"""),0.8333333333333334)</f>
        <v>0.8333333333</v>
      </c>
      <c r="DG3" s="180">
        <f>IFERROR(__xludf.DUMMYFUNCTION("LET(idx,INT((COLUMN()-COLUMN(Ranking!$C$2))/2)+1,labels,'Similarity proportion'!$B$3:$B$102,sims,INDEX('Similarity proportion'!$C$3:$CX$102,,idx),valid,FILTER({labels,sims},ISNUMBER(sims)),SORT(valid,2,FALSE))"),45694.0)</f>
        <v>45694</v>
      </c>
      <c r="DH3" s="179">
        <f>IFERROR(__xludf.DUMMYFUNCTION("""COMPUTED_VALUE"""),0.8333333333333334)</f>
        <v>0.8333333333</v>
      </c>
      <c r="DI3" s="180">
        <f>IFERROR(__xludf.DUMMYFUNCTION("LET(idx,INT((COLUMN()-COLUMN(Ranking!$C$2))/2)+1,labels,'Similarity proportion'!$B$3:$B$102,sims,INDEX('Similarity proportion'!$C$3:$CX$102,,idx),valid,FILTER({labels,sims},ISNUMBER(sims)),SORT(valid,2,FALSE))"),45694.0)</f>
        <v>45694</v>
      </c>
      <c r="DJ3" s="179">
        <f>IFERROR(__xludf.DUMMYFUNCTION("""COMPUTED_VALUE"""),0.8333333333333334)</f>
        <v>0.8333333333</v>
      </c>
      <c r="DK3" s="180">
        <f>IFERROR(__xludf.DUMMYFUNCTION("LET(idx,INT((COLUMN()-COLUMN(Ranking!$C$2))/2)+1,labels,'Similarity proportion'!$B$3:$B$102,sims,INDEX('Similarity proportion'!$C$3:$CX$102,,idx),valid,FILTER({labels,sims},ISNUMBER(sims)),SORT(valid,2,FALSE))"),45875.0)</f>
        <v>45875</v>
      </c>
      <c r="DL3" s="179">
        <f>IFERROR(__xludf.DUMMYFUNCTION("""COMPUTED_VALUE"""),1.0)</f>
        <v>1</v>
      </c>
      <c r="DM3" s="180">
        <f>IFERROR(__xludf.DUMMYFUNCTION("LET(idx,INT((COLUMN()-COLUMN(Ranking!$C$2))/2)+1,labels,'Similarity proportion'!$B$3:$B$102,sims,INDEX('Similarity proportion'!$C$3:$CX$102,,idx),valid,FILTER({labels,sims},ISNUMBER(sims)),SORT(valid,2,FALSE))"),45694.0)</f>
        <v>45694</v>
      </c>
      <c r="DN3" s="179">
        <f>IFERROR(__xludf.DUMMYFUNCTION("""COMPUTED_VALUE"""),1.0)</f>
        <v>1</v>
      </c>
      <c r="DO3" s="180">
        <f>IFERROR(__xludf.DUMMYFUNCTION("LET(idx,INT((COLUMN()-COLUMN(Ranking!$C$2))/2)+1,labels,'Similarity proportion'!$B$3:$B$102,sims,INDEX('Similarity proportion'!$C$3:$CX$102,,idx),valid,FILTER({labels,sims},ISNUMBER(sims)),SORT(valid,2,FALSE))"),45694.0)</f>
        <v>45694</v>
      </c>
      <c r="DP3" s="179">
        <f>IFERROR(__xludf.DUMMYFUNCTION("""COMPUTED_VALUE"""),1.0)</f>
        <v>1</v>
      </c>
      <c r="DQ3" s="180">
        <f>IFERROR(__xludf.DUMMYFUNCTION("LET(idx,INT((COLUMN()-COLUMN(Ranking!$C$2))/2)+1,labels,'Similarity proportion'!$B$3:$B$102,sims,INDEX('Similarity proportion'!$C$3:$CX$102,,idx),valid,FILTER({labels,sims},ISNUMBER(sims)),SORT(valid,2,FALSE))"),45722.0)</f>
        <v>45722</v>
      </c>
      <c r="DR3" s="179">
        <f>IFERROR(__xludf.DUMMYFUNCTION("""COMPUTED_VALUE"""),0.8333333333333334)</f>
        <v>0.8333333333</v>
      </c>
      <c r="DS3" s="182">
        <f>IFERROR(__xludf.DUMMYFUNCTION("LET(idx,INT((COLUMN()-COLUMN(Ranking!$C$2))/2)+1,labels,'Similarity proportion'!$B$3:$B$102,sims,INDEX('Similarity proportion'!$C$3:$CX$102,,idx),valid,FILTER({labels,sims},ISNUMBER(sims)),SORT(valid,2,FALSE))"),45695.0)</f>
        <v>45695</v>
      </c>
      <c r="DT3" s="179">
        <f>IFERROR(__xludf.DUMMYFUNCTION("""COMPUTED_VALUE"""),1.0)</f>
        <v>1</v>
      </c>
      <c r="DU3" s="180">
        <f>IFERROR(__xludf.DUMMYFUNCTION("LET(idx,INT((COLUMN()-COLUMN(Ranking!$C$2))/2)+1,labels,'Similarity proportion'!$B$3:$B$102,sims,INDEX('Similarity proportion'!$C$3:$CX$102,,idx),valid,FILTER({labels,sims},ISNUMBER(sims)),SORT(valid,2,FALSE))"),45664.0)</f>
        <v>45664</v>
      </c>
      <c r="DV3" s="179">
        <f>IFERROR(__xludf.DUMMYFUNCTION("""COMPUTED_VALUE"""),1.0)</f>
        <v>1</v>
      </c>
      <c r="DW3" s="180">
        <f>IFERROR(__xludf.DUMMYFUNCTION("LET(idx,INT((COLUMN()-COLUMN(Ranking!$C$2))/2)+1,labels,'Similarity proportion'!$B$3:$B$102,sims,INDEX('Similarity proportion'!$C$3:$CX$102,,idx),valid,FILTER({labels,sims},ISNUMBER(sims)),SORT(valid,2,FALSE))"),45695.0)</f>
        <v>45695</v>
      </c>
      <c r="DX3" s="179">
        <f>IFERROR(__xludf.DUMMYFUNCTION("""COMPUTED_VALUE"""),1.0)</f>
        <v>1</v>
      </c>
      <c r="DY3" s="180">
        <f>IFERROR(__xludf.DUMMYFUNCTION("LET(idx,INT((COLUMN()-COLUMN(Ranking!$C$2))/2)+1,labels,'Similarity proportion'!$B$3:$B$102,sims,INDEX('Similarity proportion'!$C$3:$CX$102,,idx),valid,FILTER({labels,sims},ISNUMBER(sims)),SORT(valid,2,FALSE))"),45695.0)</f>
        <v>45695</v>
      </c>
      <c r="DZ3" s="179">
        <f>IFERROR(__xludf.DUMMYFUNCTION("""COMPUTED_VALUE"""),1.0)</f>
        <v>1</v>
      </c>
      <c r="EA3" s="180">
        <f>IFERROR(__xludf.DUMMYFUNCTION("LET(idx,INT((COLUMN()-COLUMN(Ranking!$C$2))/2)+1,labels,'Similarity proportion'!$B$3:$B$102,sims,INDEX('Similarity proportion'!$C$3:$CX$102,,idx),valid,FILTER({labels,sims},ISNUMBER(sims)),SORT(valid,2,FALSE))"),45695.0)</f>
        <v>45695</v>
      </c>
      <c r="EB3" s="179">
        <f>IFERROR(__xludf.DUMMYFUNCTION("""COMPUTED_VALUE"""),1.0)</f>
        <v>1</v>
      </c>
      <c r="EC3" s="180">
        <f>IFERROR(__xludf.DUMMYFUNCTION("LET(idx,INT((COLUMN()-COLUMN(Ranking!$C$2))/2)+1,labels,'Similarity proportion'!$B$3:$B$102,sims,INDEX('Similarity proportion'!$C$3:$CX$102,,idx),valid,FILTER({labels,sims},ISNUMBER(sims)),SORT(valid,2,FALSE))"),45695.0)</f>
        <v>45695</v>
      </c>
      <c r="ED3" s="179">
        <f>IFERROR(__xludf.DUMMYFUNCTION("""COMPUTED_VALUE"""),1.0)</f>
        <v>1</v>
      </c>
      <c r="EE3" s="180">
        <f>IFERROR(__xludf.DUMMYFUNCTION("LET(idx,INT((COLUMN()-COLUMN(Ranking!$C$2))/2)+1,labels,'Similarity proportion'!$B$3:$B$102,sims,INDEX('Similarity proportion'!$C$3:$CX$102,,idx),valid,FILTER({labels,sims},ISNUMBER(sims)),SORT(valid,2,FALSE))"),45695.0)</f>
        <v>45695</v>
      </c>
      <c r="EF3" s="179">
        <f>IFERROR(__xludf.DUMMYFUNCTION("""COMPUTED_VALUE"""),1.0)</f>
        <v>1</v>
      </c>
      <c r="EG3" s="180">
        <f>IFERROR(__xludf.DUMMYFUNCTION("LET(idx,INT((COLUMN()-COLUMN(Ranking!$C$2))/2)+1,labels,'Similarity proportion'!$B$3:$B$102,sims,INDEX('Similarity proportion'!$C$3:$CX$102,,idx),valid,FILTER({labels,sims},ISNUMBER(sims)),SORT(valid,2,FALSE))"),45695.0)</f>
        <v>45695</v>
      </c>
      <c r="EH3" s="179">
        <f>IFERROR(__xludf.DUMMYFUNCTION("""COMPUTED_VALUE"""),1.0)</f>
        <v>1</v>
      </c>
      <c r="EI3" s="180">
        <f>IFERROR(__xludf.DUMMYFUNCTION("LET(idx,INT((COLUMN()-COLUMN(Ranking!$C$2))/2)+1,labels,'Similarity proportion'!$B$3:$B$102,sims,INDEX('Similarity proportion'!$C$3:$CX$102,,idx),valid,FILTER({labels,sims},ISNUMBER(sims)),SORT(valid,2,FALSE))"),45695.0)</f>
        <v>45695</v>
      </c>
      <c r="EJ3" s="179">
        <f>IFERROR(__xludf.DUMMYFUNCTION("""COMPUTED_VALUE"""),1.0)</f>
        <v>1</v>
      </c>
      <c r="EK3" s="180">
        <f>IFERROR(__xludf.DUMMYFUNCTION("LET(idx,INT((COLUMN()-COLUMN(Ranking!$C$2))/2)+1,labels,'Similarity proportion'!$B$3:$B$102,sims,INDEX('Similarity proportion'!$C$3:$CX$102,,idx),valid,FILTER({labels,sims},ISNUMBER(sims)),SORT(valid,2,FALSE))"),45664.0)</f>
        <v>45664</v>
      </c>
      <c r="EL3" s="179">
        <f>IFERROR(__xludf.DUMMYFUNCTION("""COMPUTED_VALUE"""),1.0)</f>
        <v>1</v>
      </c>
      <c r="EM3" s="182">
        <f>IFERROR(__xludf.DUMMYFUNCTION("LET(idx,INT((COLUMN()-COLUMN(Ranking!$C$2))/2)+1,labels,'Similarity proportion'!$B$3:$B$102,sims,INDEX('Similarity proportion'!$C$3:$CX$102,,idx),valid,FILTER({labels,sims},ISNUMBER(sims)),SORT(valid,2,FALSE))"),45696.0)</f>
        <v>45696</v>
      </c>
      <c r="EN3" s="179">
        <f>IFERROR(__xludf.DUMMYFUNCTION("""COMPUTED_VALUE"""),1.0)</f>
        <v>1</v>
      </c>
      <c r="EO3" s="180">
        <f>IFERROR(__xludf.DUMMYFUNCTION("LET(idx,INT((COLUMN()-COLUMN(Ranking!$C$2))/2)+1,labels,'Similarity proportion'!$B$3:$B$102,sims,INDEX('Similarity proportion'!$C$3:$CX$102,,idx),valid,FILTER({labels,sims},ISNUMBER(sims)),SORT(valid,2,FALSE))"),45665.0)</f>
        <v>45665</v>
      </c>
      <c r="EP3" s="179">
        <f>IFERROR(__xludf.DUMMYFUNCTION("""COMPUTED_VALUE"""),1.0)</f>
        <v>1</v>
      </c>
      <c r="EQ3" s="180">
        <f>IFERROR(__xludf.DUMMYFUNCTION("LET(idx,INT((COLUMN()-COLUMN(Ranking!$C$2))/2)+1,labels,'Similarity proportion'!$B$3:$B$102,sims,INDEX('Similarity proportion'!$C$3:$CX$102,,idx),valid,FILTER({labels,sims},ISNUMBER(sims)),SORT(valid,2,FALSE))"),45877.0)</f>
        <v>45877</v>
      </c>
      <c r="ER3" s="179">
        <f>IFERROR(__xludf.DUMMYFUNCTION("""COMPUTED_VALUE"""),1.0)</f>
        <v>1</v>
      </c>
      <c r="ES3" s="180">
        <f>IFERROR(__xludf.DUMMYFUNCTION("LET(idx,INT((COLUMN()-COLUMN(Ranking!$C$2))/2)+1,labels,'Similarity proportion'!$B$3:$B$102,sims,INDEX('Similarity proportion'!$C$3:$CX$102,,idx),valid,FILTER({labels,sims},ISNUMBER(sims)),SORT(valid,2,FALSE))"),45696.0)</f>
        <v>45696</v>
      </c>
      <c r="ET3" s="179">
        <f>IFERROR(__xludf.DUMMYFUNCTION("""COMPUTED_VALUE"""),1.0)</f>
        <v>1</v>
      </c>
      <c r="EU3" s="180">
        <f>IFERROR(__xludf.DUMMYFUNCTION("LET(idx,INT((COLUMN()-COLUMN(Ranking!$C$2))/2)+1,labels,'Similarity proportion'!$B$3:$B$102,sims,INDEX('Similarity proportion'!$C$3:$CX$102,,idx),valid,FILTER({labels,sims},ISNUMBER(sims)),SORT(valid,2,FALSE))"),45755.0)</f>
        <v>45755</v>
      </c>
      <c r="EV3" s="179">
        <f>IFERROR(__xludf.DUMMYFUNCTION("""COMPUTED_VALUE"""),1.0)</f>
        <v>1</v>
      </c>
      <c r="EW3" s="180">
        <f>IFERROR(__xludf.DUMMYFUNCTION("LET(idx,INT((COLUMN()-COLUMN(Ranking!$C$2))/2)+1,labels,'Similarity proportion'!$B$3:$B$102,sims,INDEX('Similarity proportion'!$C$3:$CX$102,,idx),valid,FILTER({labels,sims},ISNUMBER(sims)),SORT(valid,2,FALSE))"),45696.0)</f>
        <v>45696</v>
      </c>
      <c r="EX3" s="179">
        <f>IFERROR(__xludf.DUMMYFUNCTION("""COMPUTED_VALUE"""),1.0)</f>
        <v>1</v>
      </c>
      <c r="EY3" s="180">
        <f>IFERROR(__xludf.DUMMYFUNCTION("LET(idx,INT((COLUMN()-COLUMN(Ranking!$C$2))/2)+1,labels,'Similarity proportion'!$B$3:$B$102,sims,INDEX('Similarity proportion'!$C$3:$CX$102,,idx),valid,FILTER({labels,sims},ISNUMBER(sims)),SORT(valid,2,FALSE))"),45696.0)</f>
        <v>45696</v>
      </c>
      <c r="EZ3" s="179">
        <f>IFERROR(__xludf.DUMMYFUNCTION("""COMPUTED_VALUE"""),1.0)</f>
        <v>1</v>
      </c>
      <c r="FA3" s="180">
        <f>IFERROR(__xludf.DUMMYFUNCTION("LET(idx,INT((COLUMN()-COLUMN(Ranking!$C$2))/2)+1,labels,'Similarity proportion'!$B$3:$B$102,sims,INDEX('Similarity proportion'!$C$3:$CX$102,,idx),valid,FILTER({labels,sims},ISNUMBER(sims)),SORT(valid,2,FALSE))"),45724.0)</f>
        <v>45724</v>
      </c>
      <c r="FB3" s="179">
        <f>IFERROR(__xludf.DUMMYFUNCTION("""COMPUTED_VALUE"""),1.0)</f>
        <v>1</v>
      </c>
      <c r="FC3" s="180">
        <f>IFERROR(__xludf.DUMMYFUNCTION("LET(idx,INT((COLUMN()-COLUMN(Ranking!$C$2))/2)+1,labels,'Similarity proportion'!$B$3:$B$102,sims,INDEX('Similarity proportion'!$C$3:$CX$102,,idx),valid,FILTER({labels,sims},ISNUMBER(sims)),SORT(valid,2,FALSE))"),45696.0)</f>
        <v>45696</v>
      </c>
      <c r="FD3" s="179">
        <f>IFERROR(__xludf.DUMMYFUNCTION("""COMPUTED_VALUE"""),1.0)</f>
        <v>1</v>
      </c>
      <c r="FE3" s="180">
        <f>IFERROR(__xludf.DUMMYFUNCTION("LET(idx,INT((COLUMN()-COLUMN(Ranking!$C$2))/2)+1,labels,'Similarity proportion'!$B$3:$B$102,sims,INDEX('Similarity proportion'!$C$3:$CX$102,,idx),valid,FILTER({labels,sims},ISNUMBER(sims)),SORT(valid,2,FALSE))"),45665.0)</f>
        <v>45665</v>
      </c>
      <c r="FF3" s="179">
        <f>IFERROR(__xludf.DUMMYFUNCTION("""COMPUTED_VALUE"""),1.0)</f>
        <v>1</v>
      </c>
      <c r="FG3" s="182">
        <f>IFERROR(__xludf.DUMMYFUNCTION("LET(idx,INT((COLUMN()-COLUMN(Ranking!$C$2))/2)+1,labels,'Similarity proportion'!$B$3:$B$102,sims,INDEX('Similarity proportion'!$C$3:$CX$102,,idx),valid,FILTER({labels,sims},ISNUMBER(sims)),SORT(valid,2,FALSE))"),45697.0)</f>
        <v>45697</v>
      </c>
      <c r="FH3" s="179">
        <f>IFERROR(__xludf.DUMMYFUNCTION("""COMPUTED_VALUE"""),1.0)</f>
        <v>1</v>
      </c>
      <c r="FI3" s="180">
        <f>IFERROR(__xludf.DUMMYFUNCTION("LET(idx,INT((COLUMN()-COLUMN(Ranking!$C$2))/2)+1,labels,'Similarity proportion'!$B$3:$B$102,sims,INDEX('Similarity proportion'!$C$3:$CX$102,,idx),valid,FILTER({labels,sims},ISNUMBER(sims)),SORT(valid,2,FALSE))"),45666.0)</f>
        <v>45666</v>
      </c>
      <c r="FJ3" s="179">
        <f>IFERROR(__xludf.DUMMYFUNCTION("""COMPUTED_VALUE"""),1.0)</f>
        <v>1</v>
      </c>
      <c r="FK3" s="180">
        <f>IFERROR(__xludf.DUMMYFUNCTION("LET(idx,INT((COLUMN()-COLUMN(Ranking!$C$2))/2)+1,labels,'Similarity proportion'!$B$3:$B$102,sims,INDEX('Similarity proportion'!$C$3:$CX$102,,idx),valid,FILTER({labels,sims},ISNUMBER(sims)),SORT(valid,2,FALSE))"),45909.0)</f>
        <v>45909</v>
      </c>
      <c r="FL3" s="179">
        <f>IFERROR(__xludf.DUMMYFUNCTION("""COMPUTED_VALUE"""),1.0)</f>
        <v>1</v>
      </c>
      <c r="FM3" s="180">
        <f>IFERROR(__xludf.DUMMYFUNCTION("LET(idx,INT((COLUMN()-COLUMN(Ranking!$C$2))/2)+1,labels,'Similarity proportion'!$B$3:$B$102,sims,INDEX('Similarity proportion'!$C$3:$CX$102,,idx),valid,FILTER({labels,sims},ISNUMBER(sims)),SORT(valid,2,FALSE))"),45697.0)</f>
        <v>45697</v>
      </c>
      <c r="FN3" s="179">
        <f>IFERROR(__xludf.DUMMYFUNCTION("""COMPUTED_VALUE"""),1.0)</f>
        <v>1</v>
      </c>
      <c r="FO3" s="180">
        <f>IFERROR(__xludf.DUMMYFUNCTION("LET(idx,INT((COLUMN()-COLUMN(Ranking!$C$2))/2)+1,labels,'Similarity proportion'!$B$3:$B$102,sims,INDEX('Similarity proportion'!$C$3:$CX$102,,idx),valid,FILTER({labels,sims},ISNUMBER(sims)),SORT(valid,2,FALSE))"),45697.0)</f>
        <v>45697</v>
      </c>
      <c r="FP3" s="179">
        <f>IFERROR(__xludf.DUMMYFUNCTION("""COMPUTED_VALUE"""),1.0)</f>
        <v>1</v>
      </c>
      <c r="FQ3" s="180">
        <f>IFERROR(__xludf.DUMMYFUNCTION("LET(idx,INT((COLUMN()-COLUMN(Ranking!$C$2))/2)+1,labels,'Similarity proportion'!$B$3:$B$102,sims,INDEX('Similarity proportion'!$C$3:$CX$102,,idx),valid,FILTER({labels,sims},ISNUMBER(sims)),SORT(valid,2,FALSE))"),45697.0)</f>
        <v>45697</v>
      </c>
      <c r="FR3" s="179">
        <f>IFERROR(__xludf.DUMMYFUNCTION("""COMPUTED_VALUE"""),1.0)</f>
        <v>1</v>
      </c>
      <c r="FS3" s="180">
        <f>IFERROR(__xludf.DUMMYFUNCTION("LET(idx,INT((COLUMN()-COLUMN(Ranking!$C$2))/2)+1,labels,'Similarity proportion'!$B$3:$B$102,sims,INDEX('Similarity proportion'!$C$3:$CX$102,,idx),valid,FILTER({labels,sims},ISNUMBER(sims)),SORT(valid,2,FALSE))"),45697.0)</f>
        <v>45697</v>
      </c>
      <c r="FT3" s="179">
        <f>IFERROR(__xludf.DUMMYFUNCTION("""COMPUTED_VALUE"""),1.0)</f>
        <v>1</v>
      </c>
      <c r="FU3" s="180">
        <f>IFERROR(__xludf.DUMMYFUNCTION("LET(idx,INT((COLUMN()-COLUMN(Ranking!$C$2))/2)+1,labels,'Similarity proportion'!$B$3:$B$102,sims,INDEX('Similarity proportion'!$C$3:$CX$102,,idx),valid,FILTER({labels,sims},ISNUMBER(sims)),SORT(valid,2,FALSE))"),45697.0)</f>
        <v>45697</v>
      </c>
      <c r="FV3" s="179">
        <f>IFERROR(__xludf.DUMMYFUNCTION("""COMPUTED_VALUE"""),1.0)</f>
        <v>1</v>
      </c>
      <c r="FW3" s="180">
        <f>IFERROR(__xludf.DUMMYFUNCTION("LET(idx,INT((COLUMN()-COLUMN(Ranking!$C$2))/2)+1,labels,'Similarity proportion'!$B$3:$B$102,sims,INDEX('Similarity proportion'!$C$3:$CX$102,,idx),valid,FILTER({labels,sims},ISNUMBER(sims)),SORT(valid,2,FALSE))"),45697.0)</f>
        <v>45697</v>
      </c>
      <c r="FX3" s="179">
        <f>IFERROR(__xludf.DUMMYFUNCTION("""COMPUTED_VALUE"""),1.0)</f>
        <v>1</v>
      </c>
      <c r="FY3" s="180">
        <f>IFERROR(__xludf.DUMMYFUNCTION("LET(idx,INT((COLUMN()-COLUMN(Ranking!$C$2))/2)+1,labels,'Similarity proportion'!$B$3:$B$102,sims,INDEX('Similarity proportion'!$C$3:$CX$102,,idx),valid,FILTER({labels,sims},ISNUMBER(sims)),SORT(valid,2,FALSE))"),45697.0)</f>
        <v>45697</v>
      </c>
      <c r="FZ3" s="179">
        <f>IFERROR(__xludf.DUMMYFUNCTION("""COMPUTED_VALUE"""),1.0)</f>
        <v>1</v>
      </c>
      <c r="GA3" s="182">
        <f>IFERROR(__xludf.DUMMYFUNCTION("LET(idx,INT((COLUMN()-COLUMN(Ranking!$C$2))/2)+1,labels,'Similarity proportion'!$B$3:$B$102,sims,INDEX('Similarity proportion'!$C$3:$CX$102,,idx),valid,FILTER({labels,sims},ISNUMBER(sims)),SORT(valid,2,FALSE))"),45698.0)</f>
        <v>45698</v>
      </c>
      <c r="GB3" s="179">
        <f>IFERROR(__xludf.DUMMYFUNCTION("""COMPUTED_VALUE"""),1.0)</f>
        <v>1</v>
      </c>
      <c r="GC3" s="180">
        <f>IFERROR(__xludf.DUMMYFUNCTION("LET(idx,INT((COLUMN()-COLUMN(Ranking!$C$2))/2)+1,labels,'Similarity proportion'!$B$3:$B$102,sims,INDEX('Similarity proportion'!$C$3:$CX$102,,idx),valid,FILTER({labels,sims},ISNUMBER(sims)),SORT(valid,2,FALSE))"),45667.0)</f>
        <v>45667</v>
      </c>
      <c r="GD3" s="179">
        <f>IFERROR(__xludf.DUMMYFUNCTION("""COMPUTED_VALUE"""),1.0)</f>
        <v>1</v>
      </c>
      <c r="GE3" s="180">
        <f>IFERROR(__xludf.DUMMYFUNCTION("LET(idx,INT((COLUMN()-COLUMN(Ranking!$C$2))/2)+1,labels,'Similarity proportion'!$B$3:$B$102,sims,INDEX('Similarity proportion'!$C$3:$CX$102,,idx),valid,FILTER({labels,sims},ISNUMBER(sims)),SORT(valid,2,FALSE))"),45698.0)</f>
        <v>45698</v>
      </c>
      <c r="GF3" s="179">
        <f>IFERROR(__xludf.DUMMYFUNCTION("""COMPUTED_VALUE"""),1.0)</f>
        <v>1</v>
      </c>
      <c r="GG3" s="180">
        <f>IFERROR(__xludf.DUMMYFUNCTION("LET(idx,INT((COLUMN()-COLUMN(Ranking!$C$2))/2)+1,labels,'Similarity proportion'!$B$3:$B$102,sims,INDEX('Similarity proportion'!$C$3:$CX$102,,idx),valid,FILTER({labels,sims},ISNUMBER(sims)),SORT(valid,2,FALSE))"),45698.0)</f>
        <v>45698</v>
      </c>
      <c r="GH3" s="179">
        <f>IFERROR(__xludf.DUMMYFUNCTION("""COMPUTED_VALUE"""),1.0)</f>
        <v>1</v>
      </c>
      <c r="GI3" s="180">
        <f>IFERROR(__xludf.DUMMYFUNCTION("LET(idx,INT((COLUMN()-COLUMN(Ranking!$C$2))/2)+1,labels,'Similarity proportion'!$B$3:$B$102,sims,INDEX('Similarity proportion'!$C$3:$CX$102,,idx),valid,FILTER({labels,sims},ISNUMBER(sims)),SORT(valid,2,FALSE))"),45818.0)</f>
        <v>45818</v>
      </c>
      <c r="GJ3" s="179">
        <f>IFERROR(__xludf.DUMMYFUNCTION("""COMPUTED_VALUE"""),1.0)</f>
        <v>1</v>
      </c>
      <c r="GK3" s="180">
        <f>IFERROR(__xludf.DUMMYFUNCTION("LET(idx,INT((COLUMN()-COLUMN(Ranking!$C$2))/2)+1,labels,'Similarity proportion'!$B$3:$B$102,sims,INDEX('Similarity proportion'!$C$3:$CX$102,,idx),valid,FILTER({labels,sims},ISNUMBER(sims)),SORT(valid,2,FALSE))"),45698.0)</f>
        <v>45698</v>
      </c>
      <c r="GL3" s="179">
        <f>IFERROR(__xludf.DUMMYFUNCTION("""COMPUTED_VALUE"""),1.0)</f>
        <v>1</v>
      </c>
      <c r="GM3" s="180">
        <f>IFERROR(__xludf.DUMMYFUNCTION("LET(idx,INT((COLUMN()-COLUMN(Ranking!$C$2))/2)+1,labels,'Similarity proportion'!$B$3:$B$102,sims,INDEX('Similarity proportion'!$C$3:$CX$102,,idx),valid,FILTER({labels,sims},ISNUMBER(sims)),SORT(valid,2,FALSE))"),45757.0)</f>
        <v>45757</v>
      </c>
      <c r="GN3" s="179">
        <f>IFERROR(__xludf.DUMMYFUNCTION("""COMPUTED_VALUE"""),1.0)</f>
        <v>1</v>
      </c>
      <c r="GO3" s="180">
        <f>IFERROR(__xludf.DUMMYFUNCTION("LET(idx,INT((COLUMN()-COLUMN(Ranking!$C$2))/2)+1,labels,'Similarity proportion'!$B$3:$B$102,sims,INDEX('Similarity proportion'!$C$3:$CX$102,,idx),valid,FILTER({labels,sims},ISNUMBER(sims)),SORT(valid,2,FALSE))"),45698.0)</f>
        <v>45698</v>
      </c>
      <c r="GP3" s="179">
        <f>IFERROR(__xludf.DUMMYFUNCTION("""COMPUTED_VALUE"""),1.0)</f>
        <v>1</v>
      </c>
      <c r="GQ3" s="180">
        <f>IFERROR(__xludf.DUMMYFUNCTION("LET(idx,INT((COLUMN()-COLUMN(Ranking!$C$2))/2)+1,labels,'Similarity proportion'!$B$3:$B$102,sims,INDEX('Similarity proportion'!$C$3:$CX$102,,idx),valid,FILTER({labels,sims},ISNUMBER(sims)),SORT(valid,2,FALSE))"),45698.0)</f>
        <v>45698</v>
      </c>
      <c r="GR3" s="179">
        <f>IFERROR(__xludf.DUMMYFUNCTION("""COMPUTED_VALUE"""),1.0)</f>
        <v>1</v>
      </c>
      <c r="GS3" s="180">
        <f>IFERROR(__xludf.DUMMYFUNCTION("LET(idx,INT((COLUMN()-COLUMN(Ranking!$C$2))/2)+1,labels,'Similarity proportion'!$B$3:$B$102,sims,INDEX('Similarity proportion'!$C$3:$CX$102,,idx),valid,FILTER({labels,sims},ISNUMBER(sims)),SORT(valid,2,FALSE))"),45667.0)</f>
        <v>45667</v>
      </c>
      <c r="GT3" s="179">
        <f>IFERROR(__xludf.DUMMYFUNCTION("""COMPUTED_VALUE"""),1.0)</f>
        <v>1</v>
      </c>
    </row>
    <row r="4" ht="31.5" customHeight="1">
      <c r="A4" s="177" t="s">
        <v>3046</v>
      </c>
      <c r="B4" s="102"/>
      <c r="C4" s="178">
        <f>IFERROR(__xludf.DUMMYFUNCTION("""COMPUTED_VALUE"""),45931.0)</f>
        <v>45931</v>
      </c>
      <c r="D4" s="179">
        <f>IFERROR(__xludf.DUMMYFUNCTION("""COMPUTED_VALUE"""),1.0)</f>
        <v>1</v>
      </c>
      <c r="E4" s="180">
        <f>IFERROR(__xludf.DUMMYFUNCTION("""COMPUTED_VALUE"""),45717.0)</f>
        <v>45717</v>
      </c>
      <c r="F4" s="179">
        <f>IFERROR(__xludf.DUMMYFUNCTION("""COMPUTED_VALUE"""),1.0)</f>
        <v>1</v>
      </c>
      <c r="G4" s="180">
        <f>IFERROR(__xludf.DUMMYFUNCTION("""COMPUTED_VALUE"""),45839.0)</f>
        <v>45839</v>
      </c>
      <c r="H4" s="179">
        <f>IFERROR(__xludf.DUMMYFUNCTION("""COMPUTED_VALUE"""),1.0)</f>
        <v>1</v>
      </c>
      <c r="I4" s="180">
        <f>IFERROR(__xludf.DUMMYFUNCTION("""COMPUTED_VALUE"""),45778.0)</f>
        <v>45778</v>
      </c>
      <c r="J4" s="179">
        <f>IFERROR(__xludf.DUMMYFUNCTION("""COMPUTED_VALUE"""),1.0)</f>
        <v>1</v>
      </c>
      <c r="K4" s="180">
        <f>IFERROR(__xludf.DUMMYFUNCTION("""COMPUTED_VALUE"""),45748.0)</f>
        <v>45748</v>
      </c>
      <c r="L4" s="179">
        <f>IFERROR(__xludf.DUMMYFUNCTION("""COMPUTED_VALUE"""),1.0)</f>
        <v>1</v>
      </c>
      <c r="M4" s="180">
        <f>IFERROR(__xludf.DUMMYFUNCTION("""COMPUTED_VALUE"""),45778.0)</f>
        <v>45778</v>
      </c>
      <c r="N4" s="179">
        <f>IFERROR(__xludf.DUMMYFUNCTION("""COMPUTED_VALUE"""),1.0)</f>
        <v>1</v>
      </c>
      <c r="O4" s="180">
        <f>IFERROR(__xludf.DUMMYFUNCTION("""COMPUTED_VALUE"""),45870.0)</f>
        <v>45870</v>
      </c>
      <c r="P4" s="179">
        <f>IFERROR(__xludf.DUMMYFUNCTION("""COMPUTED_VALUE"""),1.0)</f>
        <v>1</v>
      </c>
      <c r="Q4" s="180">
        <f>IFERROR(__xludf.DUMMYFUNCTION("""COMPUTED_VALUE"""),45839.0)</f>
        <v>45839</v>
      </c>
      <c r="R4" s="179">
        <f>IFERROR(__xludf.DUMMYFUNCTION("""COMPUTED_VALUE"""),1.0)</f>
        <v>1</v>
      </c>
      <c r="S4" s="180">
        <f>IFERROR(__xludf.DUMMYFUNCTION("""COMPUTED_VALUE"""),45778.0)</f>
        <v>45778</v>
      </c>
      <c r="T4" s="179">
        <f>IFERROR(__xludf.DUMMYFUNCTION("""COMPUTED_VALUE"""),0.8333333333333334)</f>
        <v>0.8333333333</v>
      </c>
      <c r="U4" s="180">
        <f>IFERROR(__xludf.DUMMYFUNCTION("""COMPUTED_VALUE"""),45689.0)</f>
        <v>45689</v>
      </c>
      <c r="V4" s="181">
        <f>IFERROR(__xludf.DUMMYFUNCTION("""COMPUTED_VALUE"""),1.0)</f>
        <v>1</v>
      </c>
      <c r="W4" s="178">
        <f>IFERROR(__xludf.DUMMYFUNCTION("""COMPUTED_VALUE"""),45902.0)</f>
        <v>45902</v>
      </c>
      <c r="X4" s="179">
        <f>IFERROR(__xludf.DUMMYFUNCTION("""COMPUTED_VALUE"""),0.9)</f>
        <v>0.9</v>
      </c>
      <c r="Y4" s="180">
        <f>IFERROR(__xludf.DUMMYFUNCTION("""COMPUTED_VALUE"""),45718.0)</f>
        <v>45718</v>
      </c>
      <c r="Z4" s="179">
        <f>IFERROR(__xludf.DUMMYFUNCTION("""COMPUTED_VALUE"""),1.0)</f>
        <v>1</v>
      </c>
      <c r="AA4" s="180">
        <f>IFERROR(__xludf.DUMMYFUNCTION("""COMPUTED_VALUE"""),45871.0)</f>
        <v>45871</v>
      </c>
      <c r="AB4" s="179">
        <f>IFERROR(__xludf.DUMMYFUNCTION("""COMPUTED_VALUE"""),1.0)</f>
        <v>1</v>
      </c>
      <c r="AC4" s="180">
        <f>IFERROR(__xludf.DUMMYFUNCTION("""COMPUTED_VALUE"""),45779.0)</f>
        <v>45779</v>
      </c>
      <c r="AD4" s="179">
        <f>IFERROR(__xludf.DUMMYFUNCTION("""COMPUTED_VALUE"""),1.0)</f>
        <v>1</v>
      </c>
      <c r="AE4" s="180">
        <f>IFERROR(__xludf.DUMMYFUNCTION("""COMPUTED_VALUE"""),45749.0)</f>
        <v>45749</v>
      </c>
      <c r="AF4" s="179">
        <f>IFERROR(__xludf.DUMMYFUNCTION("""COMPUTED_VALUE"""),1.0)</f>
        <v>1</v>
      </c>
      <c r="AG4" s="180">
        <f>IFERROR(__xludf.DUMMYFUNCTION("""COMPUTED_VALUE"""),45840.0)</f>
        <v>45840</v>
      </c>
      <c r="AH4" s="179">
        <f>IFERROR(__xludf.DUMMYFUNCTION("""COMPUTED_VALUE"""),1.0)</f>
        <v>1</v>
      </c>
      <c r="AI4" s="180">
        <f>IFERROR(__xludf.DUMMYFUNCTION("""COMPUTED_VALUE"""),45810.0)</f>
        <v>45810</v>
      </c>
      <c r="AJ4" s="179">
        <f>IFERROR(__xludf.DUMMYFUNCTION("""COMPUTED_VALUE"""),1.0)</f>
        <v>1</v>
      </c>
      <c r="AK4" s="180">
        <f>IFERROR(__xludf.DUMMYFUNCTION("""COMPUTED_VALUE"""),45718.0)</f>
        <v>45718</v>
      </c>
      <c r="AL4" s="179">
        <f>IFERROR(__xludf.DUMMYFUNCTION("""COMPUTED_VALUE"""),1.0)</f>
        <v>1</v>
      </c>
      <c r="AM4" s="180">
        <f>IFERROR(__xludf.DUMMYFUNCTION("""COMPUTED_VALUE"""),45718.0)</f>
        <v>45718</v>
      </c>
      <c r="AN4" s="179">
        <f>IFERROR(__xludf.DUMMYFUNCTION("""COMPUTED_VALUE"""),1.0)</f>
        <v>1</v>
      </c>
      <c r="AO4" s="180">
        <f>IFERROR(__xludf.DUMMYFUNCTION("""COMPUTED_VALUE"""),45840.0)</f>
        <v>45840</v>
      </c>
      <c r="AP4" s="181">
        <f>IFERROR(__xludf.DUMMYFUNCTION("""COMPUTED_VALUE"""),1.0)</f>
        <v>1</v>
      </c>
      <c r="AQ4" s="178">
        <f>IFERROR(__xludf.DUMMYFUNCTION("""COMPUTED_VALUE"""),45933.0)</f>
        <v>45933</v>
      </c>
      <c r="AR4" s="179">
        <f>IFERROR(__xludf.DUMMYFUNCTION("""COMPUTED_VALUE"""),1.0)</f>
        <v>1</v>
      </c>
      <c r="AS4" s="180">
        <f>IFERROR(__xludf.DUMMYFUNCTION("""COMPUTED_VALUE"""),45750.0)</f>
        <v>45750</v>
      </c>
      <c r="AT4" s="179">
        <f>IFERROR(__xludf.DUMMYFUNCTION("""COMPUTED_VALUE"""),1.0)</f>
        <v>1</v>
      </c>
      <c r="AU4" s="180">
        <f>IFERROR(__xludf.DUMMYFUNCTION("""COMPUTED_VALUE"""),45872.0)</f>
        <v>45872</v>
      </c>
      <c r="AV4" s="179">
        <f>IFERROR(__xludf.DUMMYFUNCTION("""COMPUTED_VALUE"""),0.8333333333333334)</f>
        <v>0.8333333333</v>
      </c>
      <c r="AW4" s="180">
        <f>IFERROR(__xludf.DUMMYFUNCTION("""COMPUTED_VALUE"""),45780.0)</f>
        <v>45780</v>
      </c>
      <c r="AX4" s="179">
        <f>IFERROR(__xludf.DUMMYFUNCTION("""COMPUTED_VALUE"""),1.0)</f>
        <v>1</v>
      </c>
      <c r="AY4" s="180">
        <f>IFERROR(__xludf.DUMMYFUNCTION("""COMPUTED_VALUE"""),45750.0)</f>
        <v>45750</v>
      </c>
      <c r="AZ4" s="179">
        <f>IFERROR(__xludf.DUMMYFUNCTION("""COMPUTED_VALUE"""),1.0)</f>
        <v>1</v>
      </c>
      <c r="BA4" s="180">
        <f>IFERROR(__xludf.DUMMYFUNCTION("""COMPUTED_VALUE"""),45780.0)</f>
        <v>45780</v>
      </c>
      <c r="BB4" s="179">
        <f>IFERROR(__xludf.DUMMYFUNCTION("""COMPUTED_VALUE"""),1.0)</f>
        <v>1</v>
      </c>
      <c r="BC4" s="180">
        <f>IFERROR(__xludf.DUMMYFUNCTION("""COMPUTED_VALUE"""),45750.0)</f>
        <v>45750</v>
      </c>
      <c r="BD4" s="179">
        <f>IFERROR(__xludf.DUMMYFUNCTION("""COMPUTED_VALUE"""),1.0)</f>
        <v>1</v>
      </c>
      <c r="BE4" s="180">
        <f>IFERROR(__xludf.DUMMYFUNCTION("""COMPUTED_VALUE"""),45750.0)</f>
        <v>45750</v>
      </c>
      <c r="BF4" s="179">
        <f>IFERROR(__xludf.DUMMYFUNCTION("""COMPUTED_VALUE"""),1.0)</f>
        <v>1</v>
      </c>
      <c r="BG4" s="180">
        <f>IFERROR(__xludf.DUMMYFUNCTION("""COMPUTED_VALUE"""),45719.0)</f>
        <v>45719</v>
      </c>
      <c r="BH4" s="179">
        <f>IFERROR(__xludf.DUMMYFUNCTION("""COMPUTED_VALUE"""),1.0)</f>
        <v>1</v>
      </c>
      <c r="BI4" s="180">
        <f>IFERROR(__xludf.DUMMYFUNCTION("""COMPUTED_VALUE"""),45691.0)</f>
        <v>45691</v>
      </c>
      <c r="BJ4" s="179">
        <f>IFERROR(__xludf.DUMMYFUNCTION("""COMPUTED_VALUE"""),1.0)</f>
        <v>1</v>
      </c>
      <c r="BK4" s="182">
        <f>IFERROR(__xludf.DUMMYFUNCTION("""COMPUTED_VALUE"""),45934.0)</f>
        <v>45934</v>
      </c>
      <c r="BL4" s="179">
        <f>IFERROR(__xludf.DUMMYFUNCTION("""COMPUTED_VALUE"""),1.0)</f>
        <v>1</v>
      </c>
      <c r="BM4" s="180">
        <f>IFERROR(__xludf.DUMMYFUNCTION("""COMPUTED_VALUE"""),45720.0)</f>
        <v>45720</v>
      </c>
      <c r="BN4" s="179">
        <f>IFERROR(__xludf.DUMMYFUNCTION("""COMPUTED_VALUE"""),1.0)</f>
        <v>1</v>
      </c>
      <c r="BO4" s="180">
        <f>IFERROR(__xludf.DUMMYFUNCTION("""COMPUTED_VALUE"""),45904.0)</f>
        <v>45904</v>
      </c>
      <c r="BP4" s="179">
        <f>IFERROR(__xludf.DUMMYFUNCTION("""COMPUTED_VALUE"""),1.0)</f>
        <v>1</v>
      </c>
      <c r="BQ4" s="180">
        <f>IFERROR(__xludf.DUMMYFUNCTION("""COMPUTED_VALUE"""),45781.0)</f>
        <v>45781</v>
      </c>
      <c r="BR4" s="179">
        <f>IFERROR(__xludf.DUMMYFUNCTION("""COMPUTED_VALUE"""),1.0)</f>
        <v>1</v>
      </c>
      <c r="BS4" s="180">
        <f>IFERROR(__xludf.DUMMYFUNCTION("""COMPUTED_VALUE"""),45812.0)</f>
        <v>45812</v>
      </c>
      <c r="BT4" s="179">
        <f>IFERROR(__xludf.DUMMYFUNCTION("""COMPUTED_VALUE"""),1.0)</f>
        <v>1</v>
      </c>
      <c r="BU4" s="180">
        <f>IFERROR(__xludf.DUMMYFUNCTION("""COMPUTED_VALUE"""),45781.0)</f>
        <v>45781</v>
      </c>
      <c r="BV4" s="179">
        <f>IFERROR(__xludf.DUMMYFUNCTION("""COMPUTED_VALUE"""),1.0)</f>
        <v>1</v>
      </c>
      <c r="BW4" s="180">
        <f>IFERROR(__xludf.DUMMYFUNCTION("""COMPUTED_VALUE"""),45812.0)</f>
        <v>45812</v>
      </c>
      <c r="BX4" s="179">
        <f>IFERROR(__xludf.DUMMYFUNCTION("""COMPUTED_VALUE"""),1.0)</f>
        <v>1</v>
      </c>
      <c r="BY4" s="180">
        <f>IFERROR(__xludf.DUMMYFUNCTION("""COMPUTED_VALUE"""),45812.0)</f>
        <v>45812</v>
      </c>
      <c r="BZ4" s="179">
        <f>IFERROR(__xludf.DUMMYFUNCTION("""COMPUTED_VALUE"""),1.0)</f>
        <v>1</v>
      </c>
      <c r="CA4" s="180">
        <f>IFERROR(__xludf.DUMMYFUNCTION("""COMPUTED_VALUE"""),45934.0)</f>
        <v>45934</v>
      </c>
      <c r="CB4" s="179">
        <f>IFERROR(__xludf.DUMMYFUNCTION("""COMPUTED_VALUE"""),1.0)</f>
        <v>1</v>
      </c>
      <c r="CC4" s="180">
        <f>IFERROR(__xludf.DUMMYFUNCTION("""COMPUTED_VALUE"""),45781.0)</f>
        <v>45781</v>
      </c>
      <c r="CD4" s="179">
        <f>IFERROR(__xludf.DUMMYFUNCTION("""COMPUTED_VALUE"""),1.0)</f>
        <v>1</v>
      </c>
      <c r="CE4" s="182">
        <f>IFERROR(__xludf.DUMMYFUNCTION("""COMPUTED_VALUE"""),45935.0)</f>
        <v>45935</v>
      </c>
      <c r="CF4" s="179">
        <f>IFERROR(__xludf.DUMMYFUNCTION("""COMPUTED_VALUE"""),1.0)</f>
        <v>1</v>
      </c>
      <c r="CG4" s="180">
        <f>IFERROR(__xludf.DUMMYFUNCTION("""COMPUTED_VALUE"""),45721.0)</f>
        <v>45721</v>
      </c>
      <c r="CH4" s="179">
        <f>IFERROR(__xludf.DUMMYFUNCTION("""COMPUTED_VALUE"""),1.0)</f>
        <v>1</v>
      </c>
      <c r="CI4" s="180">
        <f>IFERROR(__xludf.DUMMYFUNCTION("""COMPUTED_VALUE"""),45905.0)</f>
        <v>45905</v>
      </c>
      <c r="CJ4" s="179">
        <f>IFERROR(__xludf.DUMMYFUNCTION("""COMPUTED_VALUE"""),1.0)</f>
        <v>1</v>
      </c>
      <c r="CK4" s="180">
        <f>IFERROR(__xludf.DUMMYFUNCTION("""COMPUTED_VALUE"""),45905.0)</f>
        <v>45905</v>
      </c>
      <c r="CL4" s="179">
        <f>IFERROR(__xludf.DUMMYFUNCTION("""COMPUTED_VALUE"""),1.0)</f>
        <v>1</v>
      </c>
      <c r="CM4" s="180">
        <f>IFERROR(__xludf.DUMMYFUNCTION("""COMPUTED_VALUE"""),45935.0)</f>
        <v>45935</v>
      </c>
      <c r="CN4" s="179">
        <f>IFERROR(__xludf.DUMMYFUNCTION("""COMPUTED_VALUE"""),1.0)</f>
        <v>1</v>
      </c>
      <c r="CO4" s="180">
        <f>IFERROR(__xludf.DUMMYFUNCTION("""COMPUTED_VALUE"""),45782.0)</f>
        <v>45782</v>
      </c>
      <c r="CP4" s="179">
        <f>IFERROR(__xludf.DUMMYFUNCTION("""COMPUTED_VALUE"""),1.0)</f>
        <v>1</v>
      </c>
      <c r="CQ4" s="180">
        <f>IFERROR(__xludf.DUMMYFUNCTION("""COMPUTED_VALUE"""),45662.0)</f>
        <v>45662</v>
      </c>
      <c r="CR4" s="179">
        <f>IFERROR(__xludf.DUMMYFUNCTION("""COMPUTED_VALUE"""),0.75)</f>
        <v>0.75</v>
      </c>
      <c r="CS4" s="180">
        <f>IFERROR(__xludf.DUMMYFUNCTION("""COMPUTED_VALUE"""),45721.0)</f>
        <v>45721</v>
      </c>
      <c r="CT4" s="179">
        <f>IFERROR(__xludf.DUMMYFUNCTION("""COMPUTED_VALUE"""),0.8333333333333334)</f>
        <v>0.8333333333</v>
      </c>
      <c r="CU4" s="180">
        <f>IFERROR(__xludf.DUMMYFUNCTION("""COMPUTED_VALUE"""),45721.0)</f>
        <v>45721</v>
      </c>
      <c r="CV4" s="179">
        <f>IFERROR(__xludf.DUMMYFUNCTION("""COMPUTED_VALUE"""),1.0)</f>
        <v>1</v>
      </c>
      <c r="CW4" s="180">
        <f>IFERROR(__xludf.DUMMYFUNCTION("""COMPUTED_VALUE"""),45782.0)</f>
        <v>45782</v>
      </c>
      <c r="CX4" s="179">
        <f>IFERROR(__xludf.DUMMYFUNCTION("""COMPUTED_VALUE"""),1.0)</f>
        <v>1</v>
      </c>
      <c r="CY4" s="182">
        <f>IFERROR(__xludf.DUMMYFUNCTION("""COMPUTED_VALUE"""),45906.0)</f>
        <v>45906</v>
      </c>
      <c r="CZ4" s="179">
        <f>IFERROR(__xludf.DUMMYFUNCTION("""COMPUTED_VALUE"""),0.8)</f>
        <v>0.8</v>
      </c>
      <c r="DA4" s="180">
        <f>IFERROR(__xludf.DUMMYFUNCTION("""COMPUTED_VALUE"""),45875.0)</f>
        <v>45875</v>
      </c>
      <c r="DB4" s="179">
        <f>IFERROR(__xludf.DUMMYFUNCTION("""COMPUTED_VALUE"""),1.0)</f>
        <v>1</v>
      </c>
      <c r="DC4" s="180">
        <f>IFERROR(__xludf.DUMMYFUNCTION("""COMPUTED_VALUE"""),45936.0)</f>
        <v>45936</v>
      </c>
      <c r="DD4" s="179">
        <f>IFERROR(__xludf.DUMMYFUNCTION("""COMPUTED_VALUE"""),1.0)</f>
        <v>1</v>
      </c>
      <c r="DE4" s="180">
        <f>IFERROR(__xludf.DUMMYFUNCTION("""COMPUTED_VALUE"""),45722.0)</f>
        <v>45722</v>
      </c>
      <c r="DF4" s="179">
        <f>IFERROR(__xludf.DUMMYFUNCTION("""COMPUTED_VALUE"""),0.75)</f>
        <v>0.75</v>
      </c>
      <c r="DG4" s="180">
        <f>IFERROR(__xludf.DUMMYFUNCTION("""COMPUTED_VALUE"""),45814.0)</f>
        <v>45814</v>
      </c>
      <c r="DH4" s="179">
        <f>IFERROR(__xludf.DUMMYFUNCTION("""COMPUTED_VALUE"""),0.8333333333333334)</f>
        <v>0.8333333333</v>
      </c>
      <c r="DI4" s="180">
        <f>IFERROR(__xludf.DUMMYFUNCTION("""COMPUTED_VALUE"""),45783.0)</f>
        <v>45783</v>
      </c>
      <c r="DJ4" s="179">
        <f>IFERROR(__xludf.DUMMYFUNCTION("""COMPUTED_VALUE"""),0.8333333333333334)</f>
        <v>0.8333333333</v>
      </c>
      <c r="DK4" s="180">
        <f>IFERROR(__xludf.DUMMYFUNCTION("""COMPUTED_VALUE"""),45722.0)</f>
        <v>45722</v>
      </c>
      <c r="DL4" s="179">
        <f>IFERROR(__xludf.DUMMYFUNCTION("""COMPUTED_VALUE"""),0.75)</f>
        <v>0.75</v>
      </c>
      <c r="DM4" s="180">
        <f>IFERROR(__xludf.DUMMYFUNCTION("""COMPUTED_VALUE"""),45844.0)</f>
        <v>45844</v>
      </c>
      <c r="DN4" s="179">
        <f>IFERROR(__xludf.DUMMYFUNCTION("""COMPUTED_VALUE"""),1.0)</f>
        <v>1</v>
      </c>
      <c r="DO4" s="180">
        <f>IFERROR(__xludf.DUMMYFUNCTION("""COMPUTED_VALUE"""),45753.0)</f>
        <v>45753</v>
      </c>
      <c r="DP4" s="179">
        <f>IFERROR(__xludf.DUMMYFUNCTION("""COMPUTED_VALUE"""),0.8333333333333334)</f>
        <v>0.8333333333</v>
      </c>
      <c r="DQ4" s="180">
        <f>IFERROR(__xludf.DUMMYFUNCTION("""COMPUTED_VALUE"""),45875.0)</f>
        <v>45875</v>
      </c>
      <c r="DR4" s="179">
        <f>IFERROR(__xludf.DUMMYFUNCTION("""COMPUTED_VALUE"""),0.8333333333333334)</f>
        <v>0.8333333333</v>
      </c>
      <c r="DS4" s="182">
        <f>IFERROR(__xludf.DUMMYFUNCTION("""COMPUTED_VALUE"""),45937.0)</f>
        <v>45937</v>
      </c>
      <c r="DT4" s="179">
        <f>IFERROR(__xludf.DUMMYFUNCTION("""COMPUTED_VALUE"""),1.0)</f>
        <v>1</v>
      </c>
      <c r="DU4" s="180">
        <f>IFERROR(__xludf.DUMMYFUNCTION("""COMPUTED_VALUE"""),45723.0)</f>
        <v>45723</v>
      </c>
      <c r="DV4" s="179">
        <f>IFERROR(__xludf.DUMMYFUNCTION("""COMPUTED_VALUE"""),1.0)</f>
        <v>1</v>
      </c>
      <c r="DW4" s="180">
        <f>IFERROR(__xludf.DUMMYFUNCTION("""COMPUTED_VALUE"""),45876.0)</f>
        <v>45876</v>
      </c>
      <c r="DX4" s="179">
        <f>IFERROR(__xludf.DUMMYFUNCTION("""COMPUTED_VALUE"""),1.0)</f>
        <v>1</v>
      </c>
      <c r="DY4" s="180">
        <f>IFERROR(__xludf.DUMMYFUNCTION("""COMPUTED_VALUE"""),45784.0)</f>
        <v>45784</v>
      </c>
      <c r="DZ4" s="179">
        <f>IFERROR(__xludf.DUMMYFUNCTION("""COMPUTED_VALUE"""),1.0)</f>
        <v>1</v>
      </c>
      <c r="EA4" s="180">
        <f>IFERROR(__xludf.DUMMYFUNCTION("""COMPUTED_VALUE"""),45754.0)</f>
        <v>45754</v>
      </c>
      <c r="EB4" s="179">
        <f>IFERROR(__xludf.DUMMYFUNCTION("""COMPUTED_VALUE"""),1.0)</f>
        <v>1</v>
      </c>
      <c r="EC4" s="180">
        <f>IFERROR(__xludf.DUMMYFUNCTION("""COMPUTED_VALUE"""),45784.0)</f>
        <v>45784</v>
      </c>
      <c r="ED4" s="179">
        <f>IFERROR(__xludf.DUMMYFUNCTION("""COMPUTED_VALUE"""),1.0)</f>
        <v>1</v>
      </c>
      <c r="EE4" s="180">
        <f>IFERROR(__xludf.DUMMYFUNCTION("""COMPUTED_VALUE"""),45754.0)</f>
        <v>45754</v>
      </c>
      <c r="EF4" s="179">
        <f>IFERROR(__xludf.DUMMYFUNCTION("""COMPUTED_VALUE"""),1.0)</f>
        <v>1</v>
      </c>
      <c r="EG4" s="180">
        <f>IFERROR(__xludf.DUMMYFUNCTION("""COMPUTED_VALUE"""),45723.0)</f>
        <v>45723</v>
      </c>
      <c r="EH4" s="179">
        <f>IFERROR(__xludf.DUMMYFUNCTION("""COMPUTED_VALUE"""),1.0)</f>
        <v>1</v>
      </c>
      <c r="EI4" s="180">
        <f>IFERROR(__xludf.DUMMYFUNCTION("""COMPUTED_VALUE"""),45723.0)</f>
        <v>45723</v>
      </c>
      <c r="EJ4" s="179">
        <f>IFERROR(__xludf.DUMMYFUNCTION("""COMPUTED_VALUE"""),1.0)</f>
        <v>1</v>
      </c>
      <c r="EK4" s="180">
        <f>IFERROR(__xludf.DUMMYFUNCTION("""COMPUTED_VALUE"""),45695.0)</f>
        <v>45695</v>
      </c>
      <c r="EL4" s="179">
        <f>IFERROR(__xludf.DUMMYFUNCTION("""COMPUTED_VALUE"""),1.0)</f>
        <v>1</v>
      </c>
      <c r="EM4" s="182">
        <f>IFERROR(__xludf.DUMMYFUNCTION("""COMPUTED_VALUE"""),45938.0)</f>
        <v>45938</v>
      </c>
      <c r="EN4" s="179">
        <f>IFERROR(__xludf.DUMMYFUNCTION("""COMPUTED_VALUE"""),1.0)</f>
        <v>1</v>
      </c>
      <c r="EO4" s="180">
        <f>IFERROR(__xludf.DUMMYFUNCTION("""COMPUTED_VALUE"""),45755.0)</f>
        <v>45755</v>
      </c>
      <c r="EP4" s="179">
        <f>IFERROR(__xludf.DUMMYFUNCTION("""COMPUTED_VALUE"""),1.0)</f>
        <v>1</v>
      </c>
      <c r="EQ4" s="180">
        <f>IFERROR(__xludf.DUMMYFUNCTION("""COMPUTED_VALUE"""),45908.0)</f>
        <v>45908</v>
      </c>
      <c r="ER4" s="179">
        <f>IFERROR(__xludf.DUMMYFUNCTION("""COMPUTED_VALUE"""),1.0)</f>
        <v>1</v>
      </c>
      <c r="ES4" s="180">
        <f>IFERROR(__xludf.DUMMYFUNCTION("""COMPUTED_VALUE"""),45785.0)</f>
        <v>45785</v>
      </c>
      <c r="ET4" s="179">
        <f>IFERROR(__xludf.DUMMYFUNCTION("""COMPUTED_VALUE"""),1.0)</f>
        <v>1</v>
      </c>
      <c r="EU4" s="180">
        <f>IFERROR(__xludf.DUMMYFUNCTION("""COMPUTED_VALUE"""),45816.0)</f>
        <v>45816</v>
      </c>
      <c r="EV4" s="179">
        <f>IFERROR(__xludf.DUMMYFUNCTION("""COMPUTED_VALUE"""),1.0)</f>
        <v>1</v>
      </c>
      <c r="EW4" s="180">
        <f>IFERROR(__xludf.DUMMYFUNCTION("""COMPUTED_VALUE"""),45785.0)</f>
        <v>45785</v>
      </c>
      <c r="EX4" s="179">
        <f>IFERROR(__xludf.DUMMYFUNCTION("""COMPUTED_VALUE"""),1.0)</f>
        <v>1</v>
      </c>
      <c r="EY4" s="180">
        <f>IFERROR(__xludf.DUMMYFUNCTION("""COMPUTED_VALUE"""),45816.0)</f>
        <v>45816</v>
      </c>
      <c r="EZ4" s="179">
        <f>IFERROR(__xludf.DUMMYFUNCTION("""COMPUTED_VALUE"""),1.0)</f>
        <v>1</v>
      </c>
      <c r="FA4" s="180">
        <f>IFERROR(__xludf.DUMMYFUNCTION("""COMPUTED_VALUE"""),45755.0)</f>
        <v>45755</v>
      </c>
      <c r="FB4" s="179">
        <f>IFERROR(__xludf.DUMMYFUNCTION("""COMPUTED_VALUE"""),1.0)</f>
        <v>1</v>
      </c>
      <c r="FC4" s="180">
        <f>IFERROR(__xludf.DUMMYFUNCTION("""COMPUTED_VALUE"""),45724.0)</f>
        <v>45724</v>
      </c>
      <c r="FD4" s="179">
        <f>IFERROR(__xludf.DUMMYFUNCTION("""COMPUTED_VALUE"""),1.0)</f>
        <v>1</v>
      </c>
      <c r="FE4" s="180">
        <f>IFERROR(__xludf.DUMMYFUNCTION("""COMPUTED_VALUE"""),45785.0)</f>
        <v>45785</v>
      </c>
      <c r="FF4" s="179">
        <f>IFERROR(__xludf.DUMMYFUNCTION("""COMPUTED_VALUE"""),1.0)</f>
        <v>1</v>
      </c>
      <c r="FG4" s="182">
        <f>IFERROR(__xludf.DUMMYFUNCTION("""COMPUTED_VALUE"""),45909.0)</f>
        <v>45909</v>
      </c>
      <c r="FH4" s="179">
        <f>IFERROR(__xludf.DUMMYFUNCTION("""COMPUTED_VALUE"""),0.9)</f>
        <v>0.9</v>
      </c>
      <c r="FI4" s="180">
        <f>IFERROR(__xludf.DUMMYFUNCTION("""COMPUTED_VALUE"""),45756.0)</f>
        <v>45756</v>
      </c>
      <c r="FJ4" s="179">
        <f>IFERROR(__xludf.DUMMYFUNCTION("""COMPUTED_VALUE"""),1.0)</f>
        <v>1</v>
      </c>
      <c r="FK4" s="180">
        <f>IFERROR(__xludf.DUMMYFUNCTION("""COMPUTED_VALUE"""),45878.0)</f>
        <v>45878</v>
      </c>
      <c r="FL4" s="179">
        <f>IFERROR(__xludf.DUMMYFUNCTION("""COMPUTED_VALUE"""),0.8333333333333334)</f>
        <v>0.8333333333</v>
      </c>
      <c r="FM4" s="180">
        <f>IFERROR(__xludf.DUMMYFUNCTION("""COMPUTED_VALUE"""),45786.0)</f>
        <v>45786</v>
      </c>
      <c r="FN4" s="179">
        <f>IFERROR(__xludf.DUMMYFUNCTION("""COMPUTED_VALUE"""),1.0)</f>
        <v>1</v>
      </c>
      <c r="FO4" s="180">
        <f>IFERROR(__xludf.DUMMYFUNCTION("""COMPUTED_VALUE"""),45756.0)</f>
        <v>45756</v>
      </c>
      <c r="FP4" s="179">
        <f>IFERROR(__xludf.DUMMYFUNCTION("""COMPUTED_VALUE"""),1.0)</f>
        <v>1</v>
      </c>
      <c r="FQ4" s="180">
        <f>IFERROR(__xludf.DUMMYFUNCTION("""COMPUTED_VALUE"""),45786.0)</f>
        <v>45786</v>
      </c>
      <c r="FR4" s="179">
        <f>IFERROR(__xludf.DUMMYFUNCTION("""COMPUTED_VALUE"""),1.0)</f>
        <v>1</v>
      </c>
      <c r="FS4" s="180">
        <f>IFERROR(__xludf.DUMMYFUNCTION("""COMPUTED_VALUE"""),45817.0)</f>
        <v>45817</v>
      </c>
      <c r="FT4" s="179">
        <f>IFERROR(__xludf.DUMMYFUNCTION("""COMPUTED_VALUE"""),1.0)</f>
        <v>1</v>
      </c>
      <c r="FU4" s="180">
        <f>IFERROR(__xludf.DUMMYFUNCTION("""COMPUTED_VALUE"""),45817.0)</f>
        <v>45817</v>
      </c>
      <c r="FV4" s="179">
        <f>IFERROR(__xludf.DUMMYFUNCTION("""COMPUTED_VALUE"""),1.0)</f>
        <v>1</v>
      </c>
      <c r="FW4" s="180">
        <f>IFERROR(__xludf.DUMMYFUNCTION("""COMPUTED_VALUE"""),45725.0)</f>
        <v>45725</v>
      </c>
      <c r="FX4" s="179">
        <f>IFERROR(__xludf.DUMMYFUNCTION("""COMPUTED_VALUE"""),1.0)</f>
        <v>1</v>
      </c>
      <c r="FY4" s="180">
        <f>IFERROR(__xludf.DUMMYFUNCTION("""COMPUTED_VALUE"""),45786.0)</f>
        <v>45786</v>
      </c>
      <c r="FZ4" s="179">
        <f>IFERROR(__xludf.DUMMYFUNCTION("""COMPUTED_VALUE"""),1.0)</f>
        <v>1</v>
      </c>
      <c r="GA4" s="182">
        <f>IFERROR(__xludf.DUMMYFUNCTION("""COMPUTED_VALUE"""),45940.0)</f>
        <v>45940</v>
      </c>
      <c r="GB4" s="179">
        <f>IFERROR(__xludf.DUMMYFUNCTION("""COMPUTED_VALUE"""),1.0)</f>
        <v>1</v>
      </c>
      <c r="GC4" s="180">
        <f>IFERROR(__xludf.DUMMYFUNCTION("""COMPUTED_VALUE"""),45726.0)</f>
        <v>45726</v>
      </c>
      <c r="GD4" s="179">
        <f>IFERROR(__xludf.DUMMYFUNCTION("""COMPUTED_VALUE"""),1.0)</f>
        <v>1</v>
      </c>
      <c r="GE4" s="180">
        <f>IFERROR(__xludf.DUMMYFUNCTION("""COMPUTED_VALUE"""),45879.0)</f>
        <v>45879</v>
      </c>
      <c r="GF4" s="179">
        <f>IFERROR(__xludf.DUMMYFUNCTION("""COMPUTED_VALUE"""),1.0)</f>
        <v>1</v>
      </c>
      <c r="GG4" s="180">
        <f>IFERROR(__xludf.DUMMYFUNCTION("""COMPUTED_VALUE"""),45787.0)</f>
        <v>45787</v>
      </c>
      <c r="GH4" s="179">
        <f>IFERROR(__xludf.DUMMYFUNCTION("""COMPUTED_VALUE"""),1.0)</f>
        <v>1</v>
      </c>
      <c r="GI4" s="180">
        <f>IFERROR(__xludf.DUMMYFUNCTION("""COMPUTED_VALUE"""),45940.0)</f>
        <v>45940</v>
      </c>
      <c r="GJ4" s="179">
        <f>IFERROR(__xludf.DUMMYFUNCTION("""COMPUTED_VALUE"""),1.0)</f>
        <v>1</v>
      </c>
      <c r="GK4" s="180">
        <f>IFERROR(__xludf.DUMMYFUNCTION("""COMPUTED_VALUE"""),45787.0)</f>
        <v>45787</v>
      </c>
      <c r="GL4" s="179">
        <f>IFERROR(__xludf.DUMMYFUNCTION("""COMPUTED_VALUE"""),1.0)</f>
        <v>1</v>
      </c>
      <c r="GM4" s="180">
        <f>IFERROR(__xludf.DUMMYFUNCTION("""COMPUTED_VALUE"""),45879.0)</f>
        <v>45879</v>
      </c>
      <c r="GN4" s="179">
        <f>IFERROR(__xludf.DUMMYFUNCTION("""COMPUTED_VALUE"""),1.0)</f>
        <v>1</v>
      </c>
      <c r="GO4" s="180">
        <f>IFERROR(__xludf.DUMMYFUNCTION("""COMPUTED_VALUE"""),45726.0)</f>
        <v>45726</v>
      </c>
      <c r="GP4" s="179">
        <f>IFERROR(__xludf.DUMMYFUNCTION("""COMPUTED_VALUE"""),1.0)</f>
        <v>1</v>
      </c>
      <c r="GQ4" s="180">
        <f>IFERROR(__xludf.DUMMYFUNCTION("""COMPUTED_VALUE"""),45726.0)</f>
        <v>45726</v>
      </c>
      <c r="GR4" s="179">
        <f>IFERROR(__xludf.DUMMYFUNCTION("""COMPUTED_VALUE"""),1.0)</f>
        <v>1</v>
      </c>
      <c r="GS4" s="180">
        <f>IFERROR(__xludf.DUMMYFUNCTION("""COMPUTED_VALUE"""),45698.0)</f>
        <v>45698</v>
      </c>
      <c r="GT4" s="179">
        <f>IFERROR(__xludf.DUMMYFUNCTION("""COMPUTED_VALUE"""),1.0)</f>
        <v>1</v>
      </c>
    </row>
    <row r="5" ht="31.5" customHeight="1">
      <c r="A5" s="177" t="s">
        <v>3047</v>
      </c>
      <c r="B5" s="102"/>
      <c r="C5" s="178">
        <f>IFERROR(__xludf.DUMMYFUNCTION("""COMPUTED_VALUE"""),45778.0)</f>
        <v>45778</v>
      </c>
      <c r="D5" s="179">
        <f>IFERROR(__xludf.DUMMYFUNCTION("""COMPUTED_VALUE"""),0.8)</f>
        <v>0.8</v>
      </c>
      <c r="E5" s="180">
        <f>IFERROR(__xludf.DUMMYFUNCTION("""COMPUTED_VALUE"""),45748.0)</f>
        <v>45748</v>
      </c>
      <c r="F5" s="179">
        <f>IFERROR(__xludf.DUMMYFUNCTION("""COMPUTED_VALUE"""),1.0)</f>
        <v>1</v>
      </c>
      <c r="G5" s="180">
        <f>IFERROR(__xludf.DUMMYFUNCTION("""COMPUTED_VALUE"""),45748.0)</f>
        <v>45748</v>
      </c>
      <c r="H5" s="179">
        <f>IFERROR(__xludf.DUMMYFUNCTION("""COMPUTED_VALUE"""),0.875)</f>
        <v>0.875</v>
      </c>
      <c r="I5" s="180">
        <f>IFERROR(__xludf.DUMMYFUNCTION("""COMPUTED_VALUE"""),45870.0)</f>
        <v>45870</v>
      </c>
      <c r="J5" s="179">
        <f>IFERROR(__xludf.DUMMYFUNCTION("""COMPUTED_VALUE"""),1.0)</f>
        <v>1</v>
      </c>
      <c r="K5" s="180">
        <f>IFERROR(__xludf.DUMMYFUNCTION("""COMPUTED_VALUE"""),45809.0)</f>
        <v>45809</v>
      </c>
      <c r="L5" s="179">
        <f>IFERROR(__xludf.DUMMYFUNCTION("""COMPUTED_VALUE"""),1.0)</f>
        <v>1</v>
      </c>
      <c r="M5" s="180">
        <f>IFERROR(__xludf.DUMMYFUNCTION("""COMPUTED_VALUE"""),45870.0)</f>
        <v>45870</v>
      </c>
      <c r="N5" s="179">
        <f>IFERROR(__xludf.DUMMYFUNCTION("""COMPUTED_VALUE"""),0.8333333333333334)</f>
        <v>0.8333333333</v>
      </c>
      <c r="O5" s="180">
        <f>IFERROR(__xludf.DUMMYFUNCTION("""COMPUTED_VALUE"""),45748.0)</f>
        <v>45748</v>
      </c>
      <c r="P5" s="179">
        <f>IFERROR(__xludf.DUMMYFUNCTION("""COMPUTED_VALUE"""),0.9)</f>
        <v>0.9</v>
      </c>
      <c r="Q5" s="180">
        <f>IFERROR(__xludf.DUMMYFUNCTION("""COMPUTED_VALUE"""),45931.0)</f>
        <v>45931</v>
      </c>
      <c r="R5" s="179">
        <f>IFERROR(__xludf.DUMMYFUNCTION("""COMPUTED_VALUE"""),1.0)</f>
        <v>1</v>
      </c>
      <c r="S5" s="180">
        <f>IFERROR(__xludf.DUMMYFUNCTION("""COMPUTED_VALUE"""),45931.0)</f>
        <v>45931</v>
      </c>
      <c r="T5" s="179">
        <f>IFERROR(__xludf.DUMMYFUNCTION("""COMPUTED_VALUE"""),0.8333333333333334)</f>
        <v>0.8333333333</v>
      </c>
      <c r="U5" s="180">
        <f>IFERROR(__xludf.DUMMYFUNCTION("""COMPUTED_VALUE"""),45778.0)</f>
        <v>45778</v>
      </c>
      <c r="V5" s="181">
        <f>IFERROR(__xludf.DUMMYFUNCTION("""COMPUTED_VALUE"""),1.0)</f>
        <v>1</v>
      </c>
      <c r="W5" s="178">
        <f>IFERROR(__xludf.DUMMYFUNCTION("""COMPUTED_VALUE"""),45840.0)</f>
        <v>45840</v>
      </c>
      <c r="X5" s="179">
        <f>IFERROR(__xludf.DUMMYFUNCTION("""COMPUTED_VALUE"""),0.75)</f>
        <v>0.75</v>
      </c>
      <c r="Y5" s="180">
        <f>IFERROR(__xludf.DUMMYFUNCTION("""COMPUTED_VALUE"""),45749.0)</f>
        <v>45749</v>
      </c>
      <c r="Z5" s="179">
        <f>IFERROR(__xludf.DUMMYFUNCTION("""COMPUTED_VALUE"""),1.0)</f>
        <v>1</v>
      </c>
      <c r="AA5" s="180">
        <f>IFERROR(__xludf.DUMMYFUNCTION("""COMPUTED_VALUE"""),45840.0)</f>
        <v>45840</v>
      </c>
      <c r="AB5" s="179">
        <f>IFERROR(__xludf.DUMMYFUNCTION("""COMPUTED_VALUE"""),0.875)</f>
        <v>0.875</v>
      </c>
      <c r="AC5" s="180">
        <f>IFERROR(__xludf.DUMMYFUNCTION("""COMPUTED_VALUE"""),45902.0)</f>
        <v>45902</v>
      </c>
      <c r="AD5" s="179">
        <f>IFERROR(__xludf.DUMMYFUNCTION("""COMPUTED_VALUE"""),1.0)</f>
        <v>1</v>
      </c>
      <c r="AE5" s="180">
        <f>IFERROR(__xludf.DUMMYFUNCTION("""COMPUTED_VALUE"""),45871.0)</f>
        <v>45871</v>
      </c>
      <c r="AF5" s="179">
        <f>IFERROR(__xludf.DUMMYFUNCTION("""COMPUTED_VALUE"""),0.9)</f>
        <v>0.9</v>
      </c>
      <c r="AG5" s="180">
        <f>IFERROR(__xludf.DUMMYFUNCTION("""COMPUTED_VALUE"""),45902.0)</f>
        <v>45902</v>
      </c>
      <c r="AH5" s="179">
        <f>IFERROR(__xludf.DUMMYFUNCTION("""COMPUTED_VALUE"""),1.0)</f>
        <v>1</v>
      </c>
      <c r="AI5" s="180">
        <f>IFERROR(__xludf.DUMMYFUNCTION("""COMPUTED_VALUE"""),45871.0)</f>
        <v>45871</v>
      </c>
      <c r="AJ5" s="179">
        <f>IFERROR(__xludf.DUMMYFUNCTION("""COMPUTED_VALUE"""),1.0)</f>
        <v>1</v>
      </c>
      <c r="AK5" s="180">
        <f>IFERROR(__xludf.DUMMYFUNCTION("""COMPUTED_VALUE"""),45840.0)</f>
        <v>45840</v>
      </c>
      <c r="AL5" s="179">
        <f>IFERROR(__xludf.DUMMYFUNCTION("""COMPUTED_VALUE"""),1.0)</f>
        <v>1</v>
      </c>
      <c r="AM5" s="180">
        <f>IFERROR(__xludf.DUMMYFUNCTION("""COMPUTED_VALUE"""),45749.0)</f>
        <v>45749</v>
      </c>
      <c r="AN5" s="179">
        <f>IFERROR(__xludf.DUMMYFUNCTION("""COMPUTED_VALUE"""),1.0)</f>
        <v>1</v>
      </c>
      <c r="AO5" s="180">
        <f>IFERROR(__xludf.DUMMYFUNCTION("""COMPUTED_VALUE"""),45902.0)</f>
        <v>45902</v>
      </c>
      <c r="AP5" s="181">
        <f>IFERROR(__xludf.DUMMYFUNCTION("""COMPUTED_VALUE"""),1.0)</f>
        <v>1</v>
      </c>
      <c r="AQ5" s="178">
        <f>IFERROR(__xludf.DUMMYFUNCTION("""COMPUTED_VALUE"""),45780.0)</f>
        <v>45780</v>
      </c>
      <c r="AR5" s="179">
        <f>IFERROR(__xludf.DUMMYFUNCTION("""COMPUTED_VALUE"""),0.8)</f>
        <v>0.8</v>
      </c>
      <c r="AS5" s="180">
        <f>IFERROR(__xludf.DUMMYFUNCTION("""COMPUTED_VALUE"""),45780.0)</f>
        <v>45780</v>
      </c>
      <c r="AT5" s="179">
        <f>IFERROR(__xludf.DUMMYFUNCTION("""COMPUTED_VALUE"""),1.0)</f>
        <v>1</v>
      </c>
      <c r="AU5" s="180">
        <f>IFERROR(__xludf.DUMMYFUNCTION("""COMPUTED_VALUE"""),45691.0)</f>
        <v>45691</v>
      </c>
      <c r="AV5" s="179">
        <f>IFERROR(__xludf.DUMMYFUNCTION("""COMPUTED_VALUE"""),0.75)</f>
        <v>0.75</v>
      </c>
      <c r="AW5" s="180">
        <f>IFERROR(__xludf.DUMMYFUNCTION("""COMPUTED_VALUE"""),45841.0)</f>
        <v>45841</v>
      </c>
      <c r="AX5" s="179">
        <f>IFERROR(__xludf.DUMMYFUNCTION("""COMPUTED_VALUE"""),1.0)</f>
        <v>1</v>
      </c>
      <c r="AY5" s="180">
        <f>IFERROR(__xludf.DUMMYFUNCTION("""COMPUTED_VALUE"""),45811.0)</f>
        <v>45811</v>
      </c>
      <c r="AZ5" s="179">
        <f>IFERROR(__xludf.DUMMYFUNCTION("""COMPUTED_VALUE"""),1.0)</f>
        <v>1</v>
      </c>
      <c r="BA5" s="180">
        <f>IFERROR(__xludf.DUMMYFUNCTION("""COMPUTED_VALUE"""),45872.0)</f>
        <v>45872</v>
      </c>
      <c r="BB5" s="179">
        <f>IFERROR(__xludf.DUMMYFUNCTION("""COMPUTED_VALUE"""),1.0)</f>
        <v>1</v>
      </c>
      <c r="BC5" s="180">
        <f>IFERROR(__xludf.DUMMYFUNCTION("""COMPUTED_VALUE"""),45811.0)</f>
        <v>45811</v>
      </c>
      <c r="BD5" s="179">
        <f>IFERROR(__xludf.DUMMYFUNCTION("""COMPUTED_VALUE"""),1.0)</f>
        <v>1</v>
      </c>
      <c r="BE5" s="180">
        <f>IFERROR(__xludf.DUMMYFUNCTION("""COMPUTED_VALUE"""),45811.0)</f>
        <v>45811</v>
      </c>
      <c r="BF5" s="179">
        <f>IFERROR(__xludf.DUMMYFUNCTION("""COMPUTED_VALUE"""),1.0)</f>
        <v>1</v>
      </c>
      <c r="BG5" s="180">
        <f>IFERROR(__xludf.DUMMYFUNCTION("""COMPUTED_VALUE"""),45750.0)</f>
        <v>45750</v>
      </c>
      <c r="BH5" s="179">
        <f>IFERROR(__xludf.DUMMYFUNCTION("""COMPUTED_VALUE"""),1.0)</f>
        <v>1</v>
      </c>
      <c r="BI5" s="180">
        <f>IFERROR(__xludf.DUMMYFUNCTION("""COMPUTED_VALUE"""),45719.0)</f>
        <v>45719</v>
      </c>
      <c r="BJ5" s="179">
        <f>IFERROR(__xludf.DUMMYFUNCTION("""COMPUTED_VALUE"""),1.0)</f>
        <v>1</v>
      </c>
      <c r="BK5" s="182">
        <f>IFERROR(__xludf.DUMMYFUNCTION("""COMPUTED_VALUE"""),45781.0)</f>
        <v>45781</v>
      </c>
      <c r="BL5" s="179">
        <f>IFERROR(__xludf.DUMMYFUNCTION("""COMPUTED_VALUE"""),0.8)</f>
        <v>0.8</v>
      </c>
      <c r="BM5" s="180">
        <f>IFERROR(__xludf.DUMMYFUNCTION("""COMPUTED_VALUE"""),45751.0)</f>
        <v>45751</v>
      </c>
      <c r="BN5" s="179">
        <f>IFERROR(__xludf.DUMMYFUNCTION("""COMPUTED_VALUE"""),1.0)</f>
        <v>1</v>
      </c>
      <c r="BO5" s="180">
        <f>IFERROR(__xludf.DUMMYFUNCTION("""COMPUTED_VALUE"""),45873.0)</f>
        <v>45873</v>
      </c>
      <c r="BP5" s="179">
        <f>IFERROR(__xludf.DUMMYFUNCTION("""COMPUTED_VALUE"""),0.8333333333333334)</f>
        <v>0.8333333333</v>
      </c>
      <c r="BQ5" s="180">
        <f>IFERROR(__xludf.DUMMYFUNCTION("""COMPUTED_VALUE"""),45842.0)</f>
        <v>45842</v>
      </c>
      <c r="BR5" s="179">
        <f>IFERROR(__xludf.DUMMYFUNCTION("""COMPUTED_VALUE"""),1.0)</f>
        <v>1</v>
      </c>
      <c r="BS5" s="180">
        <f>IFERROR(__xludf.DUMMYFUNCTION("""COMPUTED_VALUE"""),45934.0)</f>
        <v>45934</v>
      </c>
      <c r="BT5" s="179">
        <f>IFERROR(__xludf.DUMMYFUNCTION("""COMPUTED_VALUE"""),1.0)</f>
        <v>1</v>
      </c>
      <c r="BU5" s="180">
        <f>IFERROR(__xludf.DUMMYFUNCTION("""COMPUTED_VALUE"""),45842.0)</f>
        <v>45842</v>
      </c>
      <c r="BV5" s="179">
        <f>IFERROR(__xludf.DUMMYFUNCTION("""COMPUTED_VALUE"""),1.0)</f>
        <v>1</v>
      </c>
      <c r="BW5" s="180">
        <f>IFERROR(__xludf.DUMMYFUNCTION("""COMPUTED_VALUE"""),45781.0)</f>
        <v>45781</v>
      </c>
      <c r="BX5" s="179">
        <f>IFERROR(__xludf.DUMMYFUNCTION("""COMPUTED_VALUE"""),0.75)</f>
        <v>0.75</v>
      </c>
      <c r="BY5" s="180">
        <f>IFERROR(__xludf.DUMMYFUNCTION("""COMPUTED_VALUE"""),45781.0)</f>
        <v>45781</v>
      </c>
      <c r="BZ5" s="179">
        <f>IFERROR(__xludf.DUMMYFUNCTION("""COMPUTED_VALUE"""),0.9)</f>
        <v>0.9</v>
      </c>
      <c r="CA5" s="180">
        <f>IFERROR(__xludf.DUMMYFUNCTION("""COMPUTED_VALUE"""),45781.0)</f>
        <v>45781</v>
      </c>
      <c r="CB5" s="179">
        <f>IFERROR(__xludf.DUMMYFUNCTION("""COMPUTED_VALUE"""),0.8333333333333334)</f>
        <v>0.8333333333</v>
      </c>
      <c r="CC5" s="180">
        <f>IFERROR(__xludf.DUMMYFUNCTION("""COMPUTED_VALUE"""),45812.0)</f>
        <v>45812</v>
      </c>
      <c r="CD5" s="179">
        <f>IFERROR(__xludf.DUMMYFUNCTION("""COMPUTED_VALUE"""),1.0)</f>
        <v>1</v>
      </c>
      <c r="CE5" s="182">
        <f>IFERROR(__xludf.DUMMYFUNCTION("""COMPUTED_VALUE"""),45905.0)</f>
        <v>45905</v>
      </c>
      <c r="CF5" s="179">
        <f>IFERROR(__xludf.DUMMYFUNCTION("""COMPUTED_VALUE"""),0.9)</f>
        <v>0.9</v>
      </c>
      <c r="CG5" s="180">
        <f>IFERROR(__xludf.DUMMYFUNCTION("""COMPUTED_VALUE"""),45752.0)</f>
        <v>45752</v>
      </c>
      <c r="CH5" s="179">
        <f>IFERROR(__xludf.DUMMYFUNCTION("""COMPUTED_VALUE"""),1.0)</f>
        <v>1</v>
      </c>
      <c r="CI5" s="180">
        <f>IFERROR(__xludf.DUMMYFUNCTION("""COMPUTED_VALUE"""),45874.0)</f>
        <v>45874</v>
      </c>
      <c r="CJ5" s="179">
        <f>IFERROR(__xludf.DUMMYFUNCTION("""COMPUTED_VALUE"""),0.8333333333333334)</f>
        <v>0.8333333333</v>
      </c>
      <c r="CK5" s="180">
        <f>IFERROR(__xludf.DUMMYFUNCTION("""COMPUTED_VALUE"""),45843.0)</f>
        <v>45843</v>
      </c>
      <c r="CL5" s="179">
        <f>IFERROR(__xludf.DUMMYFUNCTION("""COMPUTED_VALUE"""),0.8)</f>
        <v>0.8</v>
      </c>
      <c r="CM5" s="180">
        <f>IFERROR(__xludf.DUMMYFUNCTION("""COMPUTED_VALUE"""),45693.0)</f>
        <v>45693</v>
      </c>
      <c r="CN5" s="179">
        <f>IFERROR(__xludf.DUMMYFUNCTION("""COMPUTED_VALUE"""),0.8333333333333334)</f>
        <v>0.8333333333</v>
      </c>
      <c r="CO5" s="180">
        <f>IFERROR(__xludf.DUMMYFUNCTION("""COMPUTED_VALUE"""),45874.0)</f>
        <v>45874</v>
      </c>
      <c r="CP5" s="179">
        <f>IFERROR(__xludf.DUMMYFUNCTION("""COMPUTED_VALUE"""),1.0)</f>
        <v>1</v>
      </c>
      <c r="CQ5" s="180">
        <f>IFERROR(__xludf.DUMMYFUNCTION("""COMPUTED_VALUE"""),45782.0)</f>
        <v>45782</v>
      </c>
      <c r="CR5" s="179">
        <f>IFERROR(__xludf.DUMMYFUNCTION("""COMPUTED_VALUE"""),0.75)</f>
        <v>0.75</v>
      </c>
      <c r="CS5" s="180">
        <f>IFERROR(__xludf.DUMMYFUNCTION("""COMPUTED_VALUE"""),45935.0)</f>
        <v>45935</v>
      </c>
      <c r="CT5" s="179">
        <f>IFERROR(__xludf.DUMMYFUNCTION("""COMPUTED_VALUE"""),0.8333333333333334)</f>
        <v>0.8333333333</v>
      </c>
      <c r="CU5" s="180">
        <f>IFERROR(__xludf.DUMMYFUNCTION("""COMPUTED_VALUE"""),45752.0)</f>
        <v>45752</v>
      </c>
      <c r="CV5" s="179">
        <f>IFERROR(__xludf.DUMMYFUNCTION("""COMPUTED_VALUE"""),1.0)</f>
        <v>1</v>
      </c>
      <c r="CW5" s="180">
        <f>IFERROR(__xludf.DUMMYFUNCTION("""COMPUTED_VALUE"""),45813.0)</f>
        <v>45813</v>
      </c>
      <c r="CX5" s="179">
        <f>IFERROR(__xludf.DUMMYFUNCTION("""COMPUTED_VALUE"""),1.0)</f>
        <v>1</v>
      </c>
      <c r="CY5" s="182">
        <f>IFERROR(__xludf.DUMMYFUNCTION("""COMPUTED_VALUE"""),45844.0)</f>
        <v>45844</v>
      </c>
      <c r="CZ5" s="179">
        <f>IFERROR(__xludf.DUMMYFUNCTION("""COMPUTED_VALUE"""),0.75)</f>
        <v>0.75</v>
      </c>
      <c r="DA5" s="180">
        <f>IFERROR(__xludf.DUMMYFUNCTION("""COMPUTED_VALUE"""),45906.0)</f>
        <v>45906</v>
      </c>
      <c r="DB5" s="179">
        <f>IFERROR(__xludf.DUMMYFUNCTION("""COMPUTED_VALUE"""),1.0)</f>
        <v>1</v>
      </c>
      <c r="DC5" s="180">
        <f>IFERROR(__xludf.DUMMYFUNCTION("""COMPUTED_VALUE"""),45875.0)</f>
        <v>45875</v>
      </c>
      <c r="DD5" s="179">
        <f>IFERROR(__xludf.DUMMYFUNCTION("""COMPUTED_VALUE"""),0.8333333333333334)</f>
        <v>0.8333333333</v>
      </c>
      <c r="DE5" s="180">
        <f>IFERROR(__xludf.DUMMYFUNCTION("""COMPUTED_VALUE"""),45783.0)</f>
        <v>45783</v>
      </c>
      <c r="DF5" s="179">
        <f>IFERROR(__xludf.DUMMYFUNCTION("""COMPUTED_VALUE"""),0.75)</f>
        <v>0.75</v>
      </c>
      <c r="DG5" s="180">
        <f>IFERROR(__xludf.DUMMYFUNCTION("""COMPUTED_VALUE"""),45906.0)</f>
        <v>45906</v>
      </c>
      <c r="DH5" s="179">
        <f>IFERROR(__xludf.DUMMYFUNCTION("""COMPUTED_VALUE"""),0.8333333333333334)</f>
        <v>0.8333333333</v>
      </c>
      <c r="DI5" s="180">
        <f>IFERROR(__xludf.DUMMYFUNCTION("""COMPUTED_VALUE"""),45875.0)</f>
        <v>45875</v>
      </c>
      <c r="DJ5" s="179">
        <f>IFERROR(__xludf.DUMMYFUNCTION("""COMPUTED_VALUE"""),0.8333333333333334)</f>
        <v>0.8333333333</v>
      </c>
      <c r="DK5" s="180">
        <f>IFERROR(__xludf.DUMMYFUNCTION("""COMPUTED_VALUE"""),45906.0)</f>
        <v>45906</v>
      </c>
      <c r="DL5" s="179">
        <f>IFERROR(__xludf.DUMMYFUNCTION("""COMPUTED_VALUE"""),0.75)</f>
        <v>0.75</v>
      </c>
      <c r="DM5" s="180">
        <f>IFERROR(__xludf.DUMMYFUNCTION("""COMPUTED_VALUE"""),45783.0)</f>
        <v>45783</v>
      </c>
      <c r="DN5" s="179">
        <f>IFERROR(__xludf.DUMMYFUNCTION("""COMPUTED_VALUE"""),0.9)</f>
        <v>0.9</v>
      </c>
      <c r="DO5" s="180">
        <f>IFERROR(__xludf.DUMMYFUNCTION("""COMPUTED_VALUE"""),45783.0)</f>
        <v>45783</v>
      </c>
      <c r="DP5" s="179">
        <f>IFERROR(__xludf.DUMMYFUNCTION("""COMPUTED_VALUE"""),0.8333333333333334)</f>
        <v>0.8333333333</v>
      </c>
      <c r="DQ5" s="180">
        <f>IFERROR(__xludf.DUMMYFUNCTION("""COMPUTED_VALUE"""),45906.0)</f>
        <v>45906</v>
      </c>
      <c r="DR5" s="179">
        <f>IFERROR(__xludf.DUMMYFUNCTION("""COMPUTED_VALUE"""),0.8333333333333334)</f>
        <v>0.8333333333</v>
      </c>
      <c r="DS5" s="182">
        <f>IFERROR(__xludf.DUMMYFUNCTION("""COMPUTED_VALUE"""),45907.0)</f>
        <v>45907</v>
      </c>
      <c r="DT5" s="179">
        <f>IFERROR(__xludf.DUMMYFUNCTION("""COMPUTED_VALUE"""),0.9)</f>
        <v>0.9</v>
      </c>
      <c r="DU5" s="180">
        <f>IFERROR(__xludf.DUMMYFUNCTION("""COMPUTED_VALUE"""),45754.0)</f>
        <v>45754</v>
      </c>
      <c r="DV5" s="179">
        <f>IFERROR(__xludf.DUMMYFUNCTION("""COMPUTED_VALUE"""),1.0)</f>
        <v>1</v>
      </c>
      <c r="DW5" s="180">
        <f>IFERROR(__xludf.DUMMYFUNCTION("""COMPUTED_VALUE"""),45907.0)</f>
        <v>45907</v>
      </c>
      <c r="DX5" s="179">
        <f>IFERROR(__xludf.DUMMYFUNCTION("""COMPUTED_VALUE"""),1.0)</f>
        <v>1</v>
      </c>
      <c r="DY5" s="180">
        <f>IFERROR(__xludf.DUMMYFUNCTION("""COMPUTED_VALUE"""),45845.0)</f>
        <v>45845</v>
      </c>
      <c r="DZ5" s="179">
        <f>IFERROR(__xludf.DUMMYFUNCTION("""COMPUTED_VALUE"""),1.0)</f>
        <v>1</v>
      </c>
      <c r="EA5" s="180">
        <f>IFERROR(__xludf.DUMMYFUNCTION("""COMPUTED_VALUE"""),45815.0)</f>
        <v>45815</v>
      </c>
      <c r="EB5" s="179">
        <f>IFERROR(__xludf.DUMMYFUNCTION("""COMPUTED_VALUE"""),1.0)</f>
        <v>1</v>
      </c>
      <c r="EC5" s="180">
        <f>IFERROR(__xludf.DUMMYFUNCTION("""COMPUTED_VALUE"""),45845.0)</f>
        <v>45845</v>
      </c>
      <c r="ED5" s="179">
        <f>IFERROR(__xludf.DUMMYFUNCTION("""COMPUTED_VALUE"""),1.0)</f>
        <v>1</v>
      </c>
      <c r="EE5" s="180">
        <f>IFERROR(__xludf.DUMMYFUNCTION("""COMPUTED_VALUE"""),45815.0)</f>
        <v>45815</v>
      </c>
      <c r="EF5" s="179">
        <f>IFERROR(__xludf.DUMMYFUNCTION("""COMPUTED_VALUE"""),1.0)</f>
        <v>1</v>
      </c>
      <c r="EG5" s="180">
        <f>IFERROR(__xludf.DUMMYFUNCTION("""COMPUTED_VALUE"""),45754.0)</f>
        <v>45754</v>
      </c>
      <c r="EH5" s="179">
        <f>IFERROR(__xludf.DUMMYFUNCTION("""COMPUTED_VALUE"""),1.0)</f>
        <v>1</v>
      </c>
      <c r="EI5" s="180">
        <f>IFERROR(__xludf.DUMMYFUNCTION("""COMPUTED_VALUE"""),45754.0)</f>
        <v>45754</v>
      </c>
      <c r="EJ5" s="179">
        <f>IFERROR(__xludf.DUMMYFUNCTION("""COMPUTED_VALUE"""),1.0)</f>
        <v>1</v>
      </c>
      <c r="EK5" s="180">
        <f>IFERROR(__xludf.DUMMYFUNCTION("""COMPUTED_VALUE"""),45723.0)</f>
        <v>45723</v>
      </c>
      <c r="EL5" s="179">
        <f>IFERROR(__xludf.DUMMYFUNCTION("""COMPUTED_VALUE"""),1.0)</f>
        <v>1</v>
      </c>
      <c r="EM5" s="182">
        <f>IFERROR(__xludf.DUMMYFUNCTION("""COMPUTED_VALUE"""),45785.0)</f>
        <v>45785</v>
      </c>
      <c r="EN5" s="179">
        <f>IFERROR(__xludf.DUMMYFUNCTION("""COMPUTED_VALUE"""),0.8)</f>
        <v>0.8</v>
      </c>
      <c r="EO5" s="180">
        <f>IFERROR(__xludf.DUMMYFUNCTION("""COMPUTED_VALUE"""),45816.0)</f>
        <v>45816</v>
      </c>
      <c r="EP5" s="179">
        <f>IFERROR(__xludf.DUMMYFUNCTION("""COMPUTED_VALUE"""),1.0)</f>
        <v>1</v>
      </c>
      <c r="EQ5" s="180">
        <f>IFERROR(__xludf.DUMMYFUNCTION("""COMPUTED_VALUE"""),45938.0)</f>
        <v>45938</v>
      </c>
      <c r="ER5" s="179">
        <f>IFERROR(__xludf.DUMMYFUNCTION("""COMPUTED_VALUE"""),0.8333333333333334)</f>
        <v>0.8333333333</v>
      </c>
      <c r="ES5" s="180">
        <f>IFERROR(__xludf.DUMMYFUNCTION("""COMPUTED_VALUE"""),45877.0)</f>
        <v>45877</v>
      </c>
      <c r="ET5" s="179">
        <f>IFERROR(__xludf.DUMMYFUNCTION("""COMPUTED_VALUE"""),1.0)</f>
        <v>1</v>
      </c>
      <c r="EU5" s="180">
        <f>IFERROR(__xludf.DUMMYFUNCTION("""COMPUTED_VALUE"""),45938.0)</f>
        <v>45938</v>
      </c>
      <c r="EV5" s="179">
        <f>IFERROR(__xludf.DUMMYFUNCTION("""COMPUTED_VALUE"""),1.0)</f>
        <v>1</v>
      </c>
      <c r="EW5" s="180">
        <f>IFERROR(__xludf.DUMMYFUNCTION("""COMPUTED_VALUE"""),45846.0)</f>
        <v>45846</v>
      </c>
      <c r="EX5" s="179">
        <f>IFERROR(__xludf.DUMMYFUNCTION("""COMPUTED_VALUE"""),1.0)</f>
        <v>1</v>
      </c>
      <c r="EY5" s="180">
        <f>IFERROR(__xludf.DUMMYFUNCTION("""COMPUTED_VALUE"""),45877.0)</f>
        <v>45877</v>
      </c>
      <c r="EZ5" s="179">
        <f>IFERROR(__xludf.DUMMYFUNCTION("""COMPUTED_VALUE"""),1.0)</f>
        <v>1</v>
      </c>
      <c r="FA5" s="180">
        <f>IFERROR(__xludf.DUMMYFUNCTION("""COMPUTED_VALUE"""),45816.0)</f>
        <v>45816</v>
      </c>
      <c r="FB5" s="179">
        <f>IFERROR(__xludf.DUMMYFUNCTION("""COMPUTED_VALUE"""),1.0)</f>
        <v>1</v>
      </c>
      <c r="FC5" s="180">
        <f>IFERROR(__xludf.DUMMYFUNCTION("""COMPUTED_VALUE"""),45816.0)</f>
        <v>45816</v>
      </c>
      <c r="FD5" s="179">
        <f>IFERROR(__xludf.DUMMYFUNCTION("""COMPUTED_VALUE"""),1.0)</f>
        <v>1</v>
      </c>
      <c r="FE5" s="180">
        <f>IFERROR(__xludf.DUMMYFUNCTION("""COMPUTED_VALUE"""),45816.0)</f>
        <v>45816</v>
      </c>
      <c r="FF5" s="179">
        <f>IFERROR(__xludf.DUMMYFUNCTION("""COMPUTED_VALUE"""),1.0)</f>
        <v>1</v>
      </c>
      <c r="FG5" s="182">
        <f>IFERROR(__xludf.DUMMYFUNCTION("""COMPUTED_VALUE"""),45878.0)</f>
        <v>45878</v>
      </c>
      <c r="FH5" s="179">
        <f>IFERROR(__xludf.DUMMYFUNCTION("""COMPUTED_VALUE"""),0.75)</f>
        <v>0.75</v>
      </c>
      <c r="FI5" s="180">
        <f>IFERROR(__xludf.DUMMYFUNCTION("""COMPUTED_VALUE"""),45786.0)</f>
        <v>45786</v>
      </c>
      <c r="FJ5" s="179">
        <f>IFERROR(__xludf.DUMMYFUNCTION("""COMPUTED_VALUE"""),1.0)</f>
        <v>1</v>
      </c>
      <c r="FK5" s="180">
        <f>IFERROR(__xludf.DUMMYFUNCTION("""COMPUTED_VALUE"""),45756.0)</f>
        <v>45756</v>
      </c>
      <c r="FL5" s="179">
        <f>IFERROR(__xludf.DUMMYFUNCTION("""COMPUTED_VALUE"""),0.75)</f>
        <v>0.75</v>
      </c>
      <c r="FM5" s="180">
        <f>IFERROR(__xludf.DUMMYFUNCTION("""COMPUTED_VALUE"""),45909.0)</f>
        <v>45909</v>
      </c>
      <c r="FN5" s="179">
        <f>IFERROR(__xludf.DUMMYFUNCTION("""COMPUTED_VALUE"""),1.0)</f>
        <v>1</v>
      </c>
      <c r="FO5" s="180">
        <f>IFERROR(__xludf.DUMMYFUNCTION("""COMPUTED_VALUE"""),45817.0)</f>
        <v>45817</v>
      </c>
      <c r="FP5" s="179">
        <f>IFERROR(__xludf.DUMMYFUNCTION("""COMPUTED_VALUE"""),1.0)</f>
        <v>1</v>
      </c>
      <c r="FQ5" s="180">
        <f>IFERROR(__xludf.DUMMYFUNCTION("""COMPUTED_VALUE"""),45847.0)</f>
        <v>45847</v>
      </c>
      <c r="FR5" s="179">
        <f>IFERROR(__xludf.DUMMYFUNCTION("""COMPUTED_VALUE"""),1.0)</f>
        <v>1</v>
      </c>
      <c r="FS5" s="180">
        <f>IFERROR(__xludf.DUMMYFUNCTION("""COMPUTED_VALUE"""),45909.0)</f>
        <v>45909</v>
      </c>
      <c r="FT5" s="179">
        <f>IFERROR(__xludf.DUMMYFUNCTION("""COMPUTED_VALUE"""),1.0)</f>
        <v>1</v>
      </c>
      <c r="FU5" s="180">
        <f>IFERROR(__xludf.DUMMYFUNCTION("""COMPUTED_VALUE"""),45786.0)</f>
        <v>45786</v>
      </c>
      <c r="FV5" s="179">
        <f>IFERROR(__xludf.DUMMYFUNCTION("""COMPUTED_VALUE"""),0.9)</f>
        <v>0.9</v>
      </c>
      <c r="FW5" s="180">
        <f>IFERROR(__xludf.DUMMYFUNCTION("""COMPUTED_VALUE"""),45756.0)</f>
        <v>45756</v>
      </c>
      <c r="FX5" s="179">
        <f>IFERROR(__xludf.DUMMYFUNCTION("""COMPUTED_VALUE"""),1.0)</f>
        <v>1</v>
      </c>
      <c r="FY5" s="180">
        <f>IFERROR(__xludf.DUMMYFUNCTION("""COMPUTED_VALUE"""),45909.0)</f>
        <v>45909</v>
      </c>
      <c r="FZ5" s="179">
        <f>IFERROR(__xludf.DUMMYFUNCTION("""COMPUTED_VALUE"""),1.0)</f>
        <v>1</v>
      </c>
      <c r="GA5" s="182">
        <f>IFERROR(__xludf.DUMMYFUNCTION("""COMPUTED_VALUE"""),45787.0)</f>
        <v>45787</v>
      </c>
      <c r="GB5" s="179">
        <f>IFERROR(__xludf.DUMMYFUNCTION("""COMPUTED_VALUE"""),0.8)</f>
        <v>0.8</v>
      </c>
      <c r="GC5" s="180">
        <f>IFERROR(__xludf.DUMMYFUNCTION("""COMPUTED_VALUE"""),45757.0)</f>
        <v>45757</v>
      </c>
      <c r="GD5" s="179">
        <f>IFERROR(__xludf.DUMMYFUNCTION("""COMPUTED_VALUE"""),1.0)</f>
        <v>1</v>
      </c>
      <c r="GE5" s="180">
        <f>IFERROR(__xludf.DUMMYFUNCTION("""COMPUTED_VALUE"""),45910.0)</f>
        <v>45910</v>
      </c>
      <c r="GF5" s="179">
        <f>IFERROR(__xludf.DUMMYFUNCTION("""COMPUTED_VALUE"""),1.0)</f>
        <v>1</v>
      </c>
      <c r="GG5" s="180">
        <f>IFERROR(__xludf.DUMMYFUNCTION("""COMPUTED_VALUE"""),45848.0)</f>
        <v>45848</v>
      </c>
      <c r="GH5" s="179">
        <f>IFERROR(__xludf.DUMMYFUNCTION("""COMPUTED_VALUE"""),1.0)</f>
        <v>1</v>
      </c>
      <c r="GI5" s="180">
        <f>IFERROR(__xludf.DUMMYFUNCTION("""COMPUTED_VALUE"""),45879.0)</f>
        <v>45879</v>
      </c>
      <c r="GJ5" s="179">
        <f>IFERROR(__xludf.DUMMYFUNCTION("""COMPUTED_VALUE"""),0.9)</f>
        <v>0.9</v>
      </c>
      <c r="GK5" s="180">
        <f>IFERROR(__xludf.DUMMYFUNCTION("""COMPUTED_VALUE"""),45879.0)</f>
        <v>45879</v>
      </c>
      <c r="GL5" s="179">
        <f>IFERROR(__xludf.DUMMYFUNCTION("""COMPUTED_VALUE"""),1.0)</f>
        <v>1</v>
      </c>
      <c r="GM5" s="180">
        <f>IFERROR(__xludf.DUMMYFUNCTION("""COMPUTED_VALUE"""),45910.0)</f>
        <v>45910</v>
      </c>
      <c r="GN5" s="179">
        <f>IFERROR(__xludf.DUMMYFUNCTION("""COMPUTED_VALUE"""),1.0)</f>
        <v>1</v>
      </c>
      <c r="GO5" s="180">
        <f>IFERROR(__xludf.DUMMYFUNCTION("""COMPUTED_VALUE"""),45757.0)</f>
        <v>45757</v>
      </c>
      <c r="GP5" s="179">
        <f>IFERROR(__xludf.DUMMYFUNCTION("""COMPUTED_VALUE"""),1.0)</f>
        <v>1</v>
      </c>
      <c r="GQ5" s="180">
        <f>IFERROR(__xludf.DUMMYFUNCTION("""COMPUTED_VALUE"""),45757.0)</f>
        <v>45757</v>
      </c>
      <c r="GR5" s="179">
        <f>IFERROR(__xludf.DUMMYFUNCTION("""COMPUTED_VALUE"""),1.0)</f>
        <v>1</v>
      </c>
      <c r="GS5" s="180">
        <f>IFERROR(__xludf.DUMMYFUNCTION("""COMPUTED_VALUE"""),45726.0)</f>
        <v>45726</v>
      </c>
      <c r="GT5" s="179">
        <f>IFERROR(__xludf.DUMMYFUNCTION("""COMPUTED_VALUE"""),1.0)</f>
        <v>1</v>
      </c>
    </row>
    <row r="6" ht="31.5" customHeight="1">
      <c r="A6" s="177" t="s">
        <v>3048</v>
      </c>
      <c r="B6" s="102"/>
      <c r="C6" s="178">
        <f>IFERROR(__xludf.DUMMYFUNCTION("""COMPUTED_VALUE"""),45901.0)</f>
        <v>45901</v>
      </c>
      <c r="D6" s="179">
        <f>IFERROR(__xludf.DUMMYFUNCTION("""COMPUTED_VALUE"""),0.8)</f>
        <v>0.8</v>
      </c>
      <c r="E6" s="180">
        <f>IFERROR(__xludf.DUMMYFUNCTION("""COMPUTED_VALUE"""),45778.0)</f>
        <v>45778</v>
      </c>
      <c r="F6" s="179">
        <f>IFERROR(__xludf.DUMMYFUNCTION("""COMPUTED_VALUE"""),1.0)</f>
        <v>1</v>
      </c>
      <c r="G6" s="180">
        <f>IFERROR(__xludf.DUMMYFUNCTION("""COMPUTED_VALUE"""),45870.0)</f>
        <v>45870</v>
      </c>
      <c r="H6" s="179">
        <f>IFERROR(__xludf.DUMMYFUNCTION("""COMPUTED_VALUE"""),0.8333333333333334)</f>
        <v>0.8333333333</v>
      </c>
      <c r="I6" s="180">
        <f>IFERROR(__xludf.DUMMYFUNCTION("""COMPUTED_VALUE"""),45839.0)</f>
        <v>45839</v>
      </c>
      <c r="J6" s="179">
        <f>IFERROR(__xludf.DUMMYFUNCTION("""COMPUTED_VALUE"""),0.9)</f>
        <v>0.9</v>
      </c>
      <c r="K6" s="180">
        <f>IFERROR(__xludf.DUMMYFUNCTION("""COMPUTED_VALUE"""),45931.0)</f>
        <v>45931</v>
      </c>
      <c r="L6" s="179">
        <f>IFERROR(__xludf.DUMMYFUNCTION("""COMPUTED_VALUE"""),1.0)</f>
        <v>1</v>
      </c>
      <c r="M6" s="180">
        <f>IFERROR(__xludf.DUMMYFUNCTION("""COMPUTED_VALUE"""),45839.0)</f>
        <v>45839</v>
      </c>
      <c r="N6" s="179">
        <f>IFERROR(__xludf.DUMMYFUNCTION("""COMPUTED_VALUE"""),0.75)</f>
        <v>0.75</v>
      </c>
      <c r="O6" s="180">
        <f>IFERROR(__xludf.DUMMYFUNCTION("""COMPUTED_VALUE"""),45689.0)</f>
        <v>45689</v>
      </c>
      <c r="P6" s="179">
        <f>IFERROR(__xludf.DUMMYFUNCTION("""COMPUTED_VALUE"""),0.8333333333333334)</f>
        <v>0.8333333333</v>
      </c>
      <c r="Q6" s="180">
        <f>IFERROR(__xludf.DUMMYFUNCTION("""COMPUTED_VALUE"""),45717.0)</f>
        <v>45717</v>
      </c>
      <c r="R6" s="179">
        <f>IFERROR(__xludf.DUMMYFUNCTION("""COMPUTED_VALUE"""),0.8333333333333334)</f>
        <v>0.8333333333</v>
      </c>
      <c r="S6" s="180">
        <f>IFERROR(__xludf.DUMMYFUNCTION("""COMPUTED_VALUE"""),45658.0)</f>
        <v>45658</v>
      </c>
      <c r="T6" s="179">
        <f>IFERROR(__xludf.DUMMYFUNCTION("""COMPUTED_VALUE"""),0.8)</f>
        <v>0.8</v>
      </c>
      <c r="U6" s="180">
        <f>IFERROR(__xludf.DUMMYFUNCTION("""COMPUTED_VALUE"""),45870.0)</f>
        <v>45870</v>
      </c>
      <c r="V6" s="181">
        <f>IFERROR(__xludf.DUMMYFUNCTION("""COMPUTED_VALUE"""),1.0)</f>
        <v>1</v>
      </c>
      <c r="W6" s="178">
        <f>IFERROR(__xludf.DUMMYFUNCTION("""COMPUTED_VALUE"""),45871.0)</f>
        <v>45871</v>
      </c>
      <c r="X6" s="179">
        <f>IFERROR(__xludf.DUMMYFUNCTION("""COMPUTED_VALUE"""),0.75)</f>
        <v>0.75</v>
      </c>
      <c r="Y6" s="180">
        <f>IFERROR(__xludf.DUMMYFUNCTION("""COMPUTED_VALUE"""),45779.0)</f>
        <v>45779</v>
      </c>
      <c r="Z6" s="179">
        <f>IFERROR(__xludf.DUMMYFUNCTION("""COMPUTED_VALUE"""),1.0)</f>
        <v>1</v>
      </c>
      <c r="AA6" s="180">
        <f>IFERROR(__xludf.DUMMYFUNCTION("""COMPUTED_VALUE"""),45932.0)</f>
        <v>45932</v>
      </c>
      <c r="AB6" s="179">
        <f>IFERROR(__xludf.DUMMYFUNCTION("""COMPUTED_VALUE"""),0.8333333333333334)</f>
        <v>0.8333333333</v>
      </c>
      <c r="AC6" s="180">
        <f>IFERROR(__xludf.DUMMYFUNCTION("""COMPUTED_VALUE"""),45840.0)</f>
        <v>45840</v>
      </c>
      <c r="AD6" s="179">
        <f>IFERROR(__xludf.DUMMYFUNCTION("""COMPUTED_VALUE"""),0.9)</f>
        <v>0.9</v>
      </c>
      <c r="AE6" s="180">
        <f>IFERROR(__xludf.DUMMYFUNCTION("""COMPUTED_VALUE"""),45810.0)</f>
        <v>45810</v>
      </c>
      <c r="AF6" s="179">
        <f>IFERROR(__xludf.DUMMYFUNCTION("""COMPUTED_VALUE"""),0.8333333333333334)</f>
        <v>0.8333333333</v>
      </c>
      <c r="AG6" s="180">
        <f>IFERROR(__xludf.DUMMYFUNCTION("""COMPUTED_VALUE"""),45779.0)</f>
        <v>45779</v>
      </c>
      <c r="AH6" s="179">
        <f>IFERROR(__xludf.DUMMYFUNCTION("""COMPUTED_VALUE"""),0.8333333333333334)</f>
        <v>0.8333333333</v>
      </c>
      <c r="AI6" s="180">
        <f>IFERROR(__xludf.DUMMYFUNCTION("""COMPUTED_VALUE"""),45902.0)</f>
        <v>45902</v>
      </c>
      <c r="AJ6" s="179">
        <f>IFERROR(__xludf.DUMMYFUNCTION("""COMPUTED_VALUE"""),1.0)</f>
        <v>1</v>
      </c>
      <c r="AK6" s="180">
        <f>IFERROR(__xludf.DUMMYFUNCTION("""COMPUTED_VALUE"""),45779.0)</f>
        <v>45779</v>
      </c>
      <c r="AL6" s="179">
        <f>IFERROR(__xludf.DUMMYFUNCTION("""COMPUTED_VALUE"""),0.9)</f>
        <v>0.9</v>
      </c>
      <c r="AM6" s="180">
        <f>IFERROR(__xludf.DUMMYFUNCTION("""COMPUTED_VALUE"""),45840.0)</f>
        <v>45840</v>
      </c>
      <c r="AN6" s="179">
        <f>IFERROR(__xludf.DUMMYFUNCTION("""COMPUTED_VALUE"""),1.0)</f>
        <v>1</v>
      </c>
      <c r="AO6" s="180">
        <f>IFERROR(__xludf.DUMMYFUNCTION("""COMPUTED_VALUE"""),45718.0)</f>
        <v>45718</v>
      </c>
      <c r="AP6" s="181">
        <f>IFERROR(__xludf.DUMMYFUNCTION("""COMPUTED_VALUE"""),0.8333333333333334)</f>
        <v>0.8333333333</v>
      </c>
      <c r="AQ6" s="178">
        <f>IFERROR(__xludf.DUMMYFUNCTION("""COMPUTED_VALUE"""),45903.0)</f>
        <v>45903</v>
      </c>
      <c r="AR6" s="179">
        <f>IFERROR(__xludf.DUMMYFUNCTION("""COMPUTED_VALUE"""),0.8)</f>
        <v>0.8</v>
      </c>
      <c r="AS6" s="180">
        <f>IFERROR(__xludf.DUMMYFUNCTION("""COMPUTED_VALUE"""),45811.0)</f>
        <v>45811</v>
      </c>
      <c r="AT6" s="179">
        <f>IFERROR(__xludf.DUMMYFUNCTION("""COMPUTED_VALUE"""),1.0)</f>
        <v>1</v>
      </c>
      <c r="AU6" s="180">
        <f>IFERROR(__xludf.DUMMYFUNCTION("""COMPUTED_VALUE"""),45750.0)</f>
        <v>45750</v>
      </c>
      <c r="AV6" s="179">
        <f>IFERROR(__xludf.DUMMYFUNCTION("""COMPUTED_VALUE"""),0.75)</f>
        <v>0.75</v>
      </c>
      <c r="AW6" s="180">
        <f>IFERROR(__xludf.DUMMYFUNCTION("""COMPUTED_VALUE"""),45872.0)</f>
        <v>45872</v>
      </c>
      <c r="AX6" s="179">
        <f>IFERROR(__xludf.DUMMYFUNCTION("""COMPUTED_VALUE"""),1.0)</f>
        <v>1</v>
      </c>
      <c r="AY6" s="180">
        <f>IFERROR(__xludf.DUMMYFUNCTION("""COMPUTED_VALUE"""),45933.0)</f>
        <v>45933</v>
      </c>
      <c r="AZ6" s="179">
        <f>IFERROR(__xludf.DUMMYFUNCTION("""COMPUTED_VALUE"""),1.0)</f>
        <v>1</v>
      </c>
      <c r="BA6" s="180">
        <f>IFERROR(__xludf.DUMMYFUNCTION("""COMPUTED_VALUE"""),45933.0)</f>
        <v>45933</v>
      </c>
      <c r="BB6" s="179">
        <f>IFERROR(__xludf.DUMMYFUNCTION("""COMPUTED_VALUE"""),1.0)</f>
        <v>1</v>
      </c>
      <c r="BC6" s="180">
        <f>IFERROR(__xludf.DUMMYFUNCTION("""COMPUTED_VALUE"""),45872.0)</f>
        <v>45872</v>
      </c>
      <c r="BD6" s="179">
        <f>IFERROR(__xludf.DUMMYFUNCTION("""COMPUTED_VALUE"""),1.0)</f>
        <v>1</v>
      </c>
      <c r="BE6" s="180">
        <f>IFERROR(__xludf.DUMMYFUNCTION("""COMPUTED_VALUE"""),45841.0)</f>
        <v>45841</v>
      </c>
      <c r="BF6" s="179">
        <f>IFERROR(__xludf.DUMMYFUNCTION("""COMPUTED_VALUE"""),1.0)</f>
        <v>1</v>
      </c>
      <c r="BG6" s="180">
        <f>IFERROR(__xludf.DUMMYFUNCTION("""COMPUTED_VALUE"""),45811.0)</f>
        <v>45811</v>
      </c>
      <c r="BH6" s="179">
        <f>IFERROR(__xludf.DUMMYFUNCTION("""COMPUTED_VALUE"""),1.0)</f>
        <v>1</v>
      </c>
      <c r="BI6" s="180">
        <f>IFERROR(__xludf.DUMMYFUNCTION("""COMPUTED_VALUE"""),45750.0)</f>
        <v>45750</v>
      </c>
      <c r="BJ6" s="179">
        <f>IFERROR(__xludf.DUMMYFUNCTION("""COMPUTED_VALUE"""),1.0)</f>
        <v>1</v>
      </c>
      <c r="BK6" s="182">
        <f>IFERROR(__xludf.DUMMYFUNCTION("""COMPUTED_VALUE"""),45904.0)</f>
        <v>45904</v>
      </c>
      <c r="BL6" s="179">
        <f>IFERROR(__xludf.DUMMYFUNCTION("""COMPUTED_VALUE"""),0.8)</f>
        <v>0.8</v>
      </c>
      <c r="BM6" s="180">
        <f>IFERROR(__xludf.DUMMYFUNCTION("""COMPUTED_VALUE"""),45812.0)</f>
        <v>45812</v>
      </c>
      <c r="BN6" s="179">
        <f>IFERROR(__xludf.DUMMYFUNCTION("""COMPUTED_VALUE"""),1.0)</f>
        <v>1</v>
      </c>
      <c r="BO6" s="180">
        <f>IFERROR(__xludf.DUMMYFUNCTION("""COMPUTED_VALUE"""),45934.0)</f>
        <v>45934</v>
      </c>
      <c r="BP6" s="179">
        <f>IFERROR(__xludf.DUMMYFUNCTION("""COMPUTED_VALUE"""),0.6666666666666666)</f>
        <v>0.6666666667</v>
      </c>
      <c r="BQ6" s="180">
        <f>IFERROR(__xludf.DUMMYFUNCTION("""COMPUTED_VALUE"""),45873.0)</f>
        <v>45873</v>
      </c>
      <c r="BR6" s="179">
        <f>IFERROR(__xludf.DUMMYFUNCTION("""COMPUTED_VALUE"""),1.0)</f>
        <v>1</v>
      </c>
      <c r="BS6" s="180">
        <f>IFERROR(__xludf.DUMMYFUNCTION("""COMPUTED_VALUE"""),45873.0)</f>
        <v>45873</v>
      </c>
      <c r="BT6" s="179">
        <f>IFERROR(__xludf.DUMMYFUNCTION("""COMPUTED_VALUE"""),0.9)</f>
        <v>0.9</v>
      </c>
      <c r="BU6" s="180">
        <f>IFERROR(__xludf.DUMMYFUNCTION("""COMPUTED_VALUE"""),45873.0)</f>
        <v>45873</v>
      </c>
      <c r="BV6" s="179">
        <f>IFERROR(__xludf.DUMMYFUNCTION("""COMPUTED_VALUE"""),1.0)</f>
        <v>1</v>
      </c>
      <c r="BW6" s="180">
        <f>IFERROR(__xludf.DUMMYFUNCTION("""COMPUTED_VALUE"""),45873.0)</f>
        <v>45873</v>
      </c>
      <c r="BX6" s="179">
        <f>IFERROR(__xludf.DUMMYFUNCTION("""COMPUTED_VALUE"""),0.75)</f>
        <v>0.75</v>
      </c>
      <c r="BY6" s="180">
        <f>IFERROR(__xludf.DUMMYFUNCTION("""COMPUTED_VALUE"""),45720.0)</f>
        <v>45720</v>
      </c>
      <c r="BZ6" s="179">
        <f>IFERROR(__xludf.DUMMYFUNCTION("""COMPUTED_VALUE"""),0.8333333333333334)</f>
        <v>0.8333333333</v>
      </c>
      <c r="CA6" s="180">
        <f>IFERROR(__xludf.DUMMYFUNCTION("""COMPUTED_VALUE"""),45661.0)</f>
        <v>45661</v>
      </c>
      <c r="CB6" s="179">
        <f>IFERROR(__xludf.DUMMYFUNCTION("""COMPUTED_VALUE"""),0.8)</f>
        <v>0.8</v>
      </c>
      <c r="CC6" s="180">
        <f>IFERROR(__xludf.DUMMYFUNCTION("""COMPUTED_VALUE"""),45904.0)</f>
        <v>45904</v>
      </c>
      <c r="CD6" s="179">
        <f>IFERROR(__xludf.DUMMYFUNCTION("""COMPUTED_VALUE"""),1.0)</f>
        <v>1</v>
      </c>
      <c r="CE6" s="182">
        <f>IFERROR(__xludf.DUMMYFUNCTION("""COMPUTED_VALUE"""),45782.0)</f>
        <v>45782</v>
      </c>
      <c r="CF6" s="179">
        <f>IFERROR(__xludf.DUMMYFUNCTION("""COMPUTED_VALUE"""),0.8)</f>
        <v>0.8</v>
      </c>
      <c r="CG6" s="180">
        <f>IFERROR(__xludf.DUMMYFUNCTION("""COMPUTED_VALUE"""),45813.0)</f>
        <v>45813</v>
      </c>
      <c r="CH6" s="179">
        <f>IFERROR(__xludf.DUMMYFUNCTION("""COMPUTED_VALUE"""),1.0)</f>
        <v>1</v>
      </c>
      <c r="CI6" s="180">
        <f>IFERROR(__xludf.DUMMYFUNCTION("""COMPUTED_VALUE"""),45752.0)</f>
        <v>45752</v>
      </c>
      <c r="CJ6" s="179">
        <f>IFERROR(__xludf.DUMMYFUNCTION("""COMPUTED_VALUE"""),0.75)</f>
        <v>0.75</v>
      </c>
      <c r="CK6" s="180">
        <f>IFERROR(__xludf.DUMMYFUNCTION("""COMPUTED_VALUE"""),45721.0)</f>
        <v>45721</v>
      </c>
      <c r="CL6" s="179">
        <f>IFERROR(__xludf.DUMMYFUNCTION("""COMPUTED_VALUE"""),0.75)</f>
        <v>0.75</v>
      </c>
      <c r="CM6" s="180">
        <f>IFERROR(__xludf.DUMMYFUNCTION("""COMPUTED_VALUE"""),45905.0)</f>
        <v>45905</v>
      </c>
      <c r="CN6" s="179">
        <f>IFERROR(__xludf.DUMMYFUNCTION("""COMPUTED_VALUE"""),0.8333333333333334)</f>
        <v>0.8333333333</v>
      </c>
      <c r="CO6" s="180">
        <f>IFERROR(__xludf.DUMMYFUNCTION("""COMPUTED_VALUE"""),45935.0)</f>
        <v>45935</v>
      </c>
      <c r="CP6" s="179">
        <f>IFERROR(__xludf.DUMMYFUNCTION("""COMPUTED_VALUE"""),1.0)</f>
        <v>1</v>
      </c>
      <c r="CQ6" s="180">
        <f>IFERROR(__xludf.DUMMYFUNCTION("""COMPUTED_VALUE"""),45813.0)</f>
        <v>45813</v>
      </c>
      <c r="CR6" s="179">
        <f>IFERROR(__xludf.DUMMYFUNCTION("""COMPUTED_VALUE"""),0.75)</f>
        <v>0.75</v>
      </c>
      <c r="CS6" s="180">
        <f>IFERROR(__xludf.DUMMYFUNCTION("""COMPUTED_VALUE"""),45782.0)</f>
        <v>45782</v>
      </c>
      <c r="CT6" s="179">
        <f>IFERROR(__xludf.DUMMYFUNCTION("""COMPUTED_VALUE"""),0.8)</f>
        <v>0.8</v>
      </c>
      <c r="CU6" s="180">
        <f>IFERROR(__xludf.DUMMYFUNCTION("""COMPUTED_VALUE"""),45843.0)</f>
        <v>45843</v>
      </c>
      <c r="CV6" s="179">
        <f>IFERROR(__xludf.DUMMYFUNCTION("""COMPUTED_VALUE"""),1.0)</f>
        <v>1</v>
      </c>
      <c r="CW6" s="180">
        <f>IFERROR(__xludf.DUMMYFUNCTION("""COMPUTED_VALUE"""),45905.0)</f>
        <v>45905</v>
      </c>
      <c r="CX6" s="179">
        <f>IFERROR(__xludf.DUMMYFUNCTION("""COMPUTED_VALUE"""),1.0)</f>
        <v>1</v>
      </c>
      <c r="CY6" s="182">
        <f>IFERROR(__xludf.DUMMYFUNCTION("""COMPUTED_VALUE"""),45875.0)</f>
        <v>45875</v>
      </c>
      <c r="CZ6" s="179">
        <f>IFERROR(__xludf.DUMMYFUNCTION("""COMPUTED_VALUE"""),0.75)</f>
        <v>0.75</v>
      </c>
      <c r="DA6" s="180">
        <f>IFERROR(__xludf.DUMMYFUNCTION("""COMPUTED_VALUE"""),45783.0)</f>
        <v>45783</v>
      </c>
      <c r="DB6" s="179">
        <f>IFERROR(__xludf.DUMMYFUNCTION("""COMPUTED_VALUE"""),0.8333333333333334)</f>
        <v>0.8333333333</v>
      </c>
      <c r="DC6" s="180">
        <f>IFERROR(__xludf.DUMMYFUNCTION("""COMPUTED_VALUE"""),45694.0)</f>
        <v>45694</v>
      </c>
      <c r="DD6" s="179">
        <f>IFERROR(__xludf.DUMMYFUNCTION("""COMPUTED_VALUE"""),0.75)</f>
        <v>0.75</v>
      </c>
      <c r="DE6" s="180">
        <f>IFERROR(__xludf.DUMMYFUNCTION("""COMPUTED_VALUE"""),45875.0)</f>
        <v>45875</v>
      </c>
      <c r="DF6" s="179">
        <f>IFERROR(__xludf.DUMMYFUNCTION("""COMPUTED_VALUE"""),0.75)</f>
        <v>0.75</v>
      </c>
      <c r="DG6" s="180">
        <f>IFERROR(__xludf.DUMMYFUNCTION("""COMPUTED_VALUE"""),45875.0)</f>
        <v>45875</v>
      </c>
      <c r="DH6" s="179">
        <f>IFERROR(__xludf.DUMMYFUNCTION("""COMPUTED_VALUE"""),0.8)</f>
        <v>0.8</v>
      </c>
      <c r="DI6" s="180">
        <f>IFERROR(__xludf.DUMMYFUNCTION("""COMPUTED_VALUE"""),45906.0)</f>
        <v>45906</v>
      </c>
      <c r="DJ6" s="179">
        <f>IFERROR(__xludf.DUMMYFUNCTION("""COMPUTED_VALUE"""),0.75)</f>
        <v>0.75</v>
      </c>
      <c r="DK6" s="180">
        <f>IFERROR(__xludf.DUMMYFUNCTION("""COMPUTED_VALUE"""),45936.0)</f>
        <v>45936</v>
      </c>
      <c r="DL6" s="179">
        <f>IFERROR(__xludf.DUMMYFUNCTION("""COMPUTED_VALUE"""),0.75)</f>
        <v>0.75</v>
      </c>
      <c r="DM6" s="180">
        <f>IFERROR(__xludf.DUMMYFUNCTION("""COMPUTED_VALUE"""),45722.0)</f>
        <v>45722</v>
      </c>
      <c r="DN6" s="179">
        <f>IFERROR(__xludf.DUMMYFUNCTION("""COMPUTED_VALUE"""),0.8333333333333334)</f>
        <v>0.8333333333</v>
      </c>
      <c r="DO6" s="180">
        <f>IFERROR(__xludf.DUMMYFUNCTION("""COMPUTED_VALUE"""),45936.0)</f>
        <v>45936</v>
      </c>
      <c r="DP6" s="179">
        <f>IFERROR(__xludf.DUMMYFUNCTION("""COMPUTED_VALUE"""),0.8333333333333334)</f>
        <v>0.8333333333</v>
      </c>
      <c r="DQ6" s="180">
        <f>IFERROR(__xludf.DUMMYFUNCTION("""COMPUTED_VALUE"""),45663.0)</f>
        <v>45663</v>
      </c>
      <c r="DR6" s="179">
        <f>IFERROR(__xludf.DUMMYFUNCTION("""COMPUTED_VALUE"""),0.75)</f>
        <v>0.75</v>
      </c>
      <c r="DS6" s="182">
        <f>IFERROR(__xludf.DUMMYFUNCTION("""COMPUTED_VALUE"""),45784.0)</f>
        <v>45784</v>
      </c>
      <c r="DT6" s="179">
        <f>IFERROR(__xludf.DUMMYFUNCTION("""COMPUTED_VALUE"""),0.8)</f>
        <v>0.8</v>
      </c>
      <c r="DU6" s="180">
        <f>IFERROR(__xludf.DUMMYFUNCTION("""COMPUTED_VALUE"""),45784.0)</f>
        <v>45784</v>
      </c>
      <c r="DV6" s="179">
        <f>IFERROR(__xludf.DUMMYFUNCTION("""COMPUTED_VALUE"""),1.0)</f>
        <v>1</v>
      </c>
      <c r="DW6" s="180">
        <f>IFERROR(__xludf.DUMMYFUNCTION("""COMPUTED_VALUE"""),45937.0)</f>
        <v>45937</v>
      </c>
      <c r="DX6" s="179">
        <f>IFERROR(__xludf.DUMMYFUNCTION("""COMPUTED_VALUE"""),1.0)</f>
        <v>1</v>
      </c>
      <c r="DY6" s="180">
        <f>IFERROR(__xludf.DUMMYFUNCTION("""COMPUTED_VALUE"""),45876.0)</f>
        <v>45876</v>
      </c>
      <c r="DZ6" s="179">
        <f>IFERROR(__xludf.DUMMYFUNCTION("""COMPUTED_VALUE"""),1.0)</f>
        <v>1</v>
      </c>
      <c r="EA6" s="180">
        <f>IFERROR(__xludf.DUMMYFUNCTION("""COMPUTED_VALUE"""),45937.0)</f>
        <v>45937</v>
      </c>
      <c r="EB6" s="179">
        <f>IFERROR(__xludf.DUMMYFUNCTION("""COMPUTED_VALUE"""),1.0)</f>
        <v>1</v>
      </c>
      <c r="EC6" s="180">
        <f>IFERROR(__xludf.DUMMYFUNCTION("""COMPUTED_VALUE"""),45876.0)</f>
        <v>45876</v>
      </c>
      <c r="ED6" s="179">
        <f>IFERROR(__xludf.DUMMYFUNCTION("""COMPUTED_VALUE"""),1.0)</f>
        <v>1</v>
      </c>
      <c r="EE6" s="180">
        <f>IFERROR(__xludf.DUMMYFUNCTION("""COMPUTED_VALUE"""),45876.0)</f>
        <v>45876</v>
      </c>
      <c r="EF6" s="179">
        <f>IFERROR(__xludf.DUMMYFUNCTION("""COMPUTED_VALUE"""),1.0)</f>
        <v>1</v>
      </c>
      <c r="EG6" s="180">
        <f>IFERROR(__xludf.DUMMYFUNCTION("""COMPUTED_VALUE"""),45815.0)</f>
        <v>45815</v>
      </c>
      <c r="EH6" s="179">
        <f>IFERROR(__xludf.DUMMYFUNCTION("""COMPUTED_VALUE"""),1.0)</f>
        <v>1</v>
      </c>
      <c r="EI6" s="180">
        <f>IFERROR(__xludf.DUMMYFUNCTION("""COMPUTED_VALUE"""),45815.0)</f>
        <v>45815</v>
      </c>
      <c r="EJ6" s="179">
        <f>IFERROR(__xludf.DUMMYFUNCTION("""COMPUTED_VALUE"""),1.0)</f>
        <v>1</v>
      </c>
      <c r="EK6" s="180">
        <f>IFERROR(__xludf.DUMMYFUNCTION("""COMPUTED_VALUE"""),45754.0)</f>
        <v>45754</v>
      </c>
      <c r="EL6" s="179">
        <f>IFERROR(__xludf.DUMMYFUNCTION("""COMPUTED_VALUE"""),1.0)</f>
        <v>1</v>
      </c>
      <c r="EM6" s="182">
        <f>IFERROR(__xludf.DUMMYFUNCTION("""COMPUTED_VALUE"""),45908.0)</f>
        <v>45908</v>
      </c>
      <c r="EN6" s="179">
        <f>IFERROR(__xludf.DUMMYFUNCTION("""COMPUTED_VALUE"""),0.8)</f>
        <v>0.8</v>
      </c>
      <c r="EO6" s="180">
        <f>IFERROR(__xludf.DUMMYFUNCTION("""COMPUTED_VALUE"""),45846.0)</f>
        <v>45846</v>
      </c>
      <c r="EP6" s="179">
        <f>IFERROR(__xludf.DUMMYFUNCTION("""COMPUTED_VALUE"""),1.0)</f>
        <v>1</v>
      </c>
      <c r="EQ6" s="180">
        <f>IFERROR(__xludf.DUMMYFUNCTION("""COMPUTED_VALUE"""),45785.0)</f>
        <v>45785</v>
      </c>
      <c r="ER6" s="179">
        <f>IFERROR(__xludf.DUMMYFUNCTION("""COMPUTED_VALUE"""),0.75)</f>
        <v>0.75</v>
      </c>
      <c r="ES6" s="180">
        <f>IFERROR(__xludf.DUMMYFUNCTION("""COMPUTED_VALUE"""),45846.0)</f>
        <v>45846</v>
      </c>
      <c r="ET6" s="179">
        <f>IFERROR(__xludf.DUMMYFUNCTION("""COMPUTED_VALUE"""),0.9)</f>
        <v>0.9</v>
      </c>
      <c r="EU6" s="180">
        <f>IFERROR(__xludf.DUMMYFUNCTION("""COMPUTED_VALUE"""),45877.0)</f>
        <v>45877</v>
      </c>
      <c r="EV6" s="179">
        <f>IFERROR(__xludf.DUMMYFUNCTION("""COMPUTED_VALUE"""),0.9)</f>
        <v>0.9</v>
      </c>
      <c r="EW6" s="180">
        <f>IFERROR(__xludf.DUMMYFUNCTION("""COMPUTED_VALUE"""),45877.0)</f>
        <v>45877</v>
      </c>
      <c r="EX6" s="179">
        <f>IFERROR(__xludf.DUMMYFUNCTION("""COMPUTED_VALUE"""),1.0)</f>
        <v>1</v>
      </c>
      <c r="EY6" s="180">
        <f>IFERROR(__xludf.DUMMYFUNCTION("""COMPUTED_VALUE"""),45755.0)</f>
        <v>45755</v>
      </c>
      <c r="EZ6" s="179">
        <f>IFERROR(__xludf.DUMMYFUNCTION("""COMPUTED_VALUE"""),0.9)</f>
        <v>0.9</v>
      </c>
      <c r="FA6" s="180">
        <f>IFERROR(__xludf.DUMMYFUNCTION("""COMPUTED_VALUE"""),45846.0)</f>
        <v>45846</v>
      </c>
      <c r="FB6" s="179">
        <f>IFERROR(__xludf.DUMMYFUNCTION("""COMPUTED_VALUE"""),1.0)</f>
        <v>1</v>
      </c>
      <c r="FC6" s="180">
        <f>IFERROR(__xludf.DUMMYFUNCTION("""COMPUTED_VALUE"""),45938.0)</f>
        <v>45938</v>
      </c>
      <c r="FD6" s="179">
        <f>IFERROR(__xludf.DUMMYFUNCTION("""COMPUTED_VALUE"""),1.0)</f>
        <v>1</v>
      </c>
      <c r="FE6" s="180">
        <f>IFERROR(__xludf.DUMMYFUNCTION("""COMPUTED_VALUE"""),45908.0)</f>
        <v>45908</v>
      </c>
      <c r="FF6" s="179">
        <f>IFERROR(__xludf.DUMMYFUNCTION("""COMPUTED_VALUE"""),1.0)</f>
        <v>1</v>
      </c>
      <c r="FG6" s="182">
        <f>IFERROR(__xludf.DUMMYFUNCTION("""COMPUTED_VALUE"""),45939.0)</f>
        <v>45939</v>
      </c>
      <c r="FH6" s="179">
        <f>IFERROR(__xludf.DUMMYFUNCTION("""COMPUTED_VALUE"""),0.75)</f>
        <v>0.75</v>
      </c>
      <c r="FI6" s="180">
        <f>IFERROR(__xludf.DUMMYFUNCTION("""COMPUTED_VALUE"""),45817.0)</f>
        <v>45817</v>
      </c>
      <c r="FJ6" s="179">
        <f>IFERROR(__xludf.DUMMYFUNCTION("""COMPUTED_VALUE"""),1.0)</f>
        <v>1</v>
      </c>
      <c r="FK6" s="180">
        <f>IFERROR(__xludf.DUMMYFUNCTION("""COMPUTED_VALUE"""),45847.0)</f>
        <v>45847</v>
      </c>
      <c r="FL6" s="179">
        <f>IFERROR(__xludf.DUMMYFUNCTION("""COMPUTED_VALUE"""),0.75)</f>
        <v>0.75</v>
      </c>
      <c r="FM6" s="180">
        <f>IFERROR(__xludf.DUMMYFUNCTION("""COMPUTED_VALUE"""),45847.0)</f>
        <v>45847</v>
      </c>
      <c r="FN6" s="179">
        <f>IFERROR(__xludf.DUMMYFUNCTION("""COMPUTED_VALUE"""),0.9)</f>
        <v>0.9</v>
      </c>
      <c r="FO6" s="180">
        <f>IFERROR(__xludf.DUMMYFUNCTION("""COMPUTED_VALUE"""),45939.0)</f>
        <v>45939</v>
      </c>
      <c r="FP6" s="179">
        <f>IFERROR(__xludf.DUMMYFUNCTION("""COMPUTED_VALUE"""),1.0)</f>
        <v>1</v>
      </c>
      <c r="FQ6" s="180">
        <f>IFERROR(__xludf.DUMMYFUNCTION("""COMPUTED_VALUE"""),45878.0)</f>
        <v>45878</v>
      </c>
      <c r="FR6" s="179">
        <f>IFERROR(__xludf.DUMMYFUNCTION("""COMPUTED_VALUE"""),1.0)</f>
        <v>1</v>
      </c>
      <c r="FS6" s="180">
        <f>IFERROR(__xludf.DUMMYFUNCTION("""COMPUTED_VALUE"""),45756.0)</f>
        <v>45756</v>
      </c>
      <c r="FT6" s="179">
        <f>IFERROR(__xludf.DUMMYFUNCTION("""COMPUTED_VALUE"""),0.9)</f>
        <v>0.9</v>
      </c>
      <c r="FU6" s="180">
        <f>IFERROR(__xludf.DUMMYFUNCTION("""COMPUTED_VALUE"""),45725.0)</f>
        <v>45725</v>
      </c>
      <c r="FV6" s="179">
        <f>IFERROR(__xludf.DUMMYFUNCTION("""COMPUTED_VALUE"""),0.8333333333333334)</f>
        <v>0.8333333333</v>
      </c>
      <c r="FW6" s="180">
        <f>IFERROR(__xludf.DUMMYFUNCTION("""COMPUTED_VALUE"""),45817.0)</f>
        <v>45817</v>
      </c>
      <c r="FX6" s="179">
        <f>IFERROR(__xludf.DUMMYFUNCTION("""COMPUTED_VALUE"""),1.0)</f>
        <v>1</v>
      </c>
      <c r="FY6" s="180">
        <f>IFERROR(__xludf.DUMMYFUNCTION("""COMPUTED_VALUE"""),45666.0)</f>
        <v>45666</v>
      </c>
      <c r="FZ6" s="179">
        <f>IFERROR(__xludf.DUMMYFUNCTION("""COMPUTED_VALUE"""),0.75)</f>
        <v>0.75</v>
      </c>
      <c r="GA6" s="182">
        <f>IFERROR(__xludf.DUMMYFUNCTION("""COMPUTED_VALUE"""),45818.0)</f>
        <v>45818</v>
      </c>
      <c r="GB6" s="179">
        <f>IFERROR(__xludf.DUMMYFUNCTION("""COMPUTED_VALUE"""),0.8)</f>
        <v>0.8</v>
      </c>
      <c r="GC6" s="180">
        <f>IFERROR(__xludf.DUMMYFUNCTION("""COMPUTED_VALUE"""),45787.0)</f>
        <v>45787</v>
      </c>
      <c r="GD6" s="179">
        <f>IFERROR(__xludf.DUMMYFUNCTION("""COMPUTED_VALUE"""),1.0)</f>
        <v>1</v>
      </c>
      <c r="GE6" s="180">
        <f>IFERROR(__xludf.DUMMYFUNCTION("""COMPUTED_VALUE"""),45940.0)</f>
        <v>45940</v>
      </c>
      <c r="GF6" s="179">
        <f>IFERROR(__xludf.DUMMYFUNCTION("""COMPUTED_VALUE"""),1.0)</f>
        <v>1</v>
      </c>
      <c r="GG6" s="180">
        <f>IFERROR(__xludf.DUMMYFUNCTION("""COMPUTED_VALUE"""),45879.0)</f>
        <v>45879</v>
      </c>
      <c r="GH6" s="179">
        <f>IFERROR(__xludf.DUMMYFUNCTION("""COMPUTED_VALUE"""),1.0)</f>
        <v>1</v>
      </c>
      <c r="GI6" s="180">
        <f>IFERROR(__xludf.DUMMYFUNCTION("""COMPUTED_VALUE"""),45698.0)</f>
        <v>45698</v>
      </c>
      <c r="GJ6" s="179">
        <f>IFERROR(__xludf.DUMMYFUNCTION("""COMPUTED_VALUE"""),0.8333333333333334)</f>
        <v>0.8333333333</v>
      </c>
      <c r="GK6" s="180">
        <f>IFERROR(__xludf.DUMMYFUNCTION("""COMPUTED_VALUE"""),45940.0)</f>
        <v>45940</v>
      </c>
      <c r="GL6" s="179">
        <f>IFERROR(__xludf.DUMMYFUNCTION("""COMPUTED_VALUE"""),1.0)</f>
        <v>1</v>
      </c>
      <c r="GM6" s="180">
        <f>IFERROR(__xludf.DUMMYFUNCTION("""COMPUTED_VALUE"""),45698.0)</f>
        <v>45698</v>
      </c>
      <c r="GN6" s="179">
        <f>IFERROR(__xludf.DUMMYFUNCTION("""COMPUTED_VALUE"""),0.8333333333333334)</f>
        <v>0.8333333333</v>
      </c>
      <c r="GO6" s="180">
        <f>IFERROR(__xludf.DUMMYFUNCTION("""COMPUTED_VALUE"""),45818.0)</f>
        <v>45818</v>
      </c>
      <c r="GP6" s="179">
        <f>IFERROR(__xludf.DUMMYFUNCTION("""COMPUTED_VALUE"""),1.0)</f>
        <v>1</v>
      </c>
      <c r="GQ6" s="180">
        <f>IFERROR(__xludf.DUMMYFUNCTION("""COMPUTED_VALUE"""),45848.0)</f>
        <v>45848</v>
      </c>
      <c r="GR6" s="179">
        <f>IFERROR(__xludf.DUMMYFUNCTION("""COMPUTED_VALUE"""),1.0)</f>
        <v>1</v>
      </c>
      <c r="GS6" s="180">
        <f>IFERROR(__xludf.DUMMYFUNCTION("""COMPUTED_VALUE"""),45787.0)</f>
        <v>45787</v>
      </c>
      <c r="GT6" s="179">
        <f>IFERROR(__xludf.DUMMYFUNCTION("""COMPUTED_VALUE"""),1.0)</f>
        <v>1</v>
      </c>
    </row>
    <row r="7" ht="31.5" customHeight="1">
      <c r="A7" s="177" t="s">
        <v>3049</v>
      </c>
      <c r="B7" s="102"/>
      <c r="C7" s="178">
        <f>IFERROR(__xludf.DUMMYFUNCTION("""COMPUTED_VALUE"""),45870.0)</f>
        <v>45870</v>
      </c>
      <c r="D7" s="179">
        <f>IFERROR(__xludf.DUMMYFUNCTION("""COMPUTED_VALUE"""),0.75)</f>
        <v>0.75</v>
      </c>
      <c r="E7" s="180">
        <f>IFERROR(__xludf.DUMMYFUNCTION("""COMPUTED_VALUE"""),45809.0)</f>
        <v>45809</v>
      </c>
      <c r="F7" s="179">
        <f>IFERROR(__xludf.DUMMYFUNCTION("""COMPUTED_VALUE"""),1.0)</f>
        <v>1</v>
      </c>
      <c r="G7" s="180">
        <f>IFERROR(__xludf.DUMMYFUNCTION("""COMPUTED_VALUE"""),45778.0)</f>
        <v>45778</v>
      </c>
      <c r="H7" s="179">
        <f>IFERROR(__xludf.DUMMYFUNCTION("""COMPUTED_VALUE"""),0.75)</f>
        <v>0.75</v>
      </c>
      <c r="I7" s="180">
        <f>IFERROR(__xludf.DUMMYFUNCTION("""COMPUTED_VALUE"""),45717.0)</f>
        <v>45717</v>
      </c>
      <c r="J7" s="179">
        <f>IFERROR(__xludf.DUMMYFUNCTION("""COMPUTED_VALUE"""),0.875)</f>
        <v>0.875</v>
      </c>
      <c r="K7" s="180">
        <f>IFERROR(__xludf.DUMMYFUNCTION("""COMPUTED_VALUE"""),45901.0)</f>
        <v>45901</v>
      </c>
      <c r="L7" s="179">
        <f>IFERROR(__xludf.DUMMYFUNCTION("""COMPUTED_VALUE"""),0.8333333333333334)</f>
        <v>0.8333333333</v>
      </c>
      <c r="M7" s="180">
        <f>IFERROR(__xludf.DUMMYFUNCTION("""COMPUTED_VALUE"""),45901.0)</f>
        <v>45901</v>
      </c>
      <c r="N7" s="179">
        <f>IFERROR(__xludf.DUMMYFUNCTION("""COMPUTED_VALUE"""),0.75)</f>
        <v>0.75</v>
      </c>
      <c r="O7" s="180">
        <f>IFERROR(__xludf.DUMMYFUNCTION("""COMPUTED_VALUE"""),45809.0)</f>
        <v>45809</v>
      </c>
      <c r="P7" s="179">
        <f>IFERROR(__xludf.DUMMYFUNCTION("""COMPUTED_VALUE"""),0.75)</f>
        <v>0.75</v>
      </c>
      <c r="Q7" s="180">
        <f>IFERROR(__xludf.DUMMYFUNCTION("""COMPUTED_VALUE"""),45809.0)</f>
        <v>45809</v>
      </c>
      <c r="R7" s="179">
        <f>IFERROR(__xludf.DUMMYFUNCTION("""COMPUTED_VALUE"""),0.8333333333333334)</f>
        <v>0.8333333333</v>
      </c>
      <c r="S7" s="180">
        <f>IFERROR(__xludf.DUMMYFUNCTION("""COMPUTED_VALUE"""),45809.0)</f>
        <v>45809</v>
      </c>
      <c r="T7" s="179">
        <f>IFERROR(__xludf.DUMMYFUNCTION("""COMPUTED_VALUE"""),0.75)</f>
        <v>0.75</v>
      </c>
      <c r="U7" s="180">
        <f>IFERROR(__xludf.DUMMYFUNCTION("""COMPUTED_VALUE"""),45901.0)</f>
        <v>45901</v>
      </c>
      <c r="V7" s="181">
        <f>IFERROR(__xludf.DUMMYFUNCTION("""COMPUTED_VALUE"""),0.8333333333333334)</f>
        <v>0.8333333333</v>
      </c>
      <c r="W7" s="178">
        <f>IFERROR(__xludf.DUMMYFUNCTION("""COMPUTED_VALUE"""),45932.0)</f>
        <v>45932</v>
      </c>
      <c r="X7" s="179">
        <f>IFERROR(__xludf.DUMMYFUNCTION("""COMPUTED_VALUE"""),0.75)</f>
        <v>0.75</v>
      </c>
      <c r="Y7" s="180">
        <f>IFERROR(__xludf.DUMMYFUNCTION("""COMPUTED_VALUE"""),45810.0)</f>
        <v>45810</v>
      </c>
      <c r="Z7" s="179">
        <f>IFERROR(__xludf.DUMMYFUNCTION("""COMPUTED_VALUE"""),1.0)</f>
        <v>1</v>
      </c>
      <c r="AA7" s="180">
        <f>IFERROR(__xludf.DUMMYFUNCTION("""COMPUTED_VALUE"""),45749.0)</f>
        <v>45749</v>
      </c>
      <c r="AB7" s="179">
        <f>IFERROR(__xludf.DUMMYFUNCTION("""COMPUTED_VALUE"""),0.75)</f>
        <v>0.75</v>
      </c>
      <c r="AC7" s="180">
        <f>IFERROR(__xludf.DUMMYFUNCTION("""COMPUTED_VALUE"""),45718.0)</f>
        <v>45718</v>
      </c>
      <c r="AD7" s="179">
        <f>IFERROR(__xludf.DUMMYFUNCTION("""COMPUTED_VALUE"""),0.75)</f>
        <v>0.75</v>
      </c>
      <c r="AE7" s="180">
        <f>IFERROR(__xludf.DUMMYFUNCTION("""COMPUTED_VALUE"""),45902.0)</f>
        <v>45902</v>
      </c>
      <c r="AF7" s="179">
        <f>IFERROR(__xludf.DUMMYFUNCTION("""COMPUTED_VALUE"""),0.8333333333333334)</f>
        <v>0.8333333333</v>
      </c>
      <c r="AG7" s="180">
        <f>IFERROR(__xludf.DUMMYFUNCTION("""COMPUTED_VALUE"""),45871.0)</f>
        <v>45871</v>
      </c>
      <c r="AH7" s="179">
        <f>IFERROR(__xludf.DUMMYFUNCTION("""COMPUTED_VALUE"""),0.8333333333333334)</f>
        <v>0.8333333333</v>
      </c>
      <c r="AI7" s="180">
        <f>IFERROR(__xludf.DUMMYFUNCTION("""COMPUTED_VALUE"""),45932.0)</f>
        <v>45932</v>
      </c>
      <c r="AJ7" s="179">
        <f>IFERROR(__xludf.DUMMYFUNCTION("""COMPUTED_VALUE"""),1.0)</f>
        <v>1</v>
      </c>
      <c r="AK7" s="180">
        <f>IFERROR(__xludf.DUMMYFUNCTION("""COMPUTED_VALUE"""),45810.0)</f>
        <v>45810</v>
      </c>
      <c r="AL7" s="179">
        <f>IFERROR(__xludf.DUMMYFUNCTION("""COMPUTED_VALUE"""),0.8333333333333334)</f>
        <v>0.8333333333</v>
      </c>
      <c r="AM7" s="180">
        <f>IFERROR(__xludf.DUMMYFUNCTION("""COMPUTED_VALUE"""),45932.0)</f>
        <v>45932</v>
      </c>
      <c r="AN7" s="179">
        <f>IFERROR(__xludf.DUMMYFUNCTION("""COMPUTED_VALUE"""),1.0)</f>
        <v>1</v>
      </c>
      <c r="AO7" s="180">
        <f>IFERROR(__xludf.DUMMYFUNCTION("""COMPUTED_VALUE"""),45871.0)</f>
        <v>45871</v>
      </c>
      <c r="AP7" s="181">
        <f>IFERROR(__xludf.DUMMYFUNCTION("""COMPUTED_VALUE"""),0.8333333333333334)</f>
        <v>0.8333333333</v>
      </c>
      <c r="AQ7" s="178">
        <f>IFERROR(__xludf.DUMMYFUNCTION("""COMPUTED_VALUE"""),45872.0)</f>
        <v>45872</v>
      </c>
      <c r="AR7" s="179">
        <f>IFERROR(__xludf.DUMMYFUNCTION("""COMPUTED_VALUE"""),0.75)</f>
        <v>0.75</v>
      </c>
      <c r="AS7" s="180">
        <f>IFERROR(__xludf.DUMMYFUNCTION("""COMPUTED_VALUE"""),45841.0)</f>
        <v>45841</v>
      </c>
      <c r="AT7" s="179">
        <f>IFERROR(__xludf.DUMMYFUNCTION("""COMPUTED_VALUE"""),1.0)</f>
        <v>1</v>
      </c>
      <c r="AU7" s="180">
        <f>IFERROR(__xludf.DUMMYFUNCTION("""COMPUTED_VALUE"""),45903.0)</f>
        <v>45903</v>
      </c>
      <c r="AV7" s="179">
        <f>IFERROR(__xludf.DUMMYFUNCTION("""COMPUTED_VALUE"""),0.75)</f>
        <v>0.75</v>
      </c>
      <c r="AW7" s="180">
        <f>IFERROR(__xludf.DUMMYFUNCTION("""COMPUTED_VALUE"""),45903.0)</f>
        <v>45903</v>
      </c>
      <c r="AX7" s="179">
        <f>IFERROR(__xludf.DUMMYFUNCTION("""COMPUTED_VALUE"""),1.0)</f>
        <v>1</v>
      </c>
      <c r="AY7" s="180">
        <f>IFERROR(__xludf.DUMMYFUNCTION("""COMPUTED_VALUE"""),45872.0)</f>
        <v>45872</v>
      </c>
      <c r="AZ7" s="179">
        <f>IFERROR(__xludf.DUMMYFUNCTION("""COMPUTED_VALUE"""),0.9)</f>
        <v>0.9</v>
      </c>
      <c r="BA7" s="180">
        <f>IFERROR(__xludf.DUMMYFUNCTION("""COMPUTED_VALUE"""),45841.0)</f>
        <v>45841</v>
      </c>
      <c r="BB7" s="179">
        <f>IFERROR(__xludf.DUMMYFUNCTION("""COMPUTED_VALUE"""),0.75)</f>
        <v>0.75</v>
      </c>
      <c r="BC7" s="180">
        <f>IFERROR(__xludf.DUMMYFUNCTION("""COMPUTED_VALUE"""),45903.0)</f>
        <v>45903</v>
      </c>
      <c r="BD7" s="179">
        <f>IFERROR(__xludf.DUMMYFUNCTION("""COMPUTED_VALUE"""),1.0)</f>
        <v>1</v>
      </c>
      <c r="BE7" s="180">
        <f>IFERROR(__xludf.DUMMYFUNCTION("""COMPUTED_VALUE"""),45933.0)</f>
        <v>45933</v>
      </c>
      <c r="BF7" s="179">
        <f>IFERROR(__xludf.DUMMYFUNCTION("""COMPUTED_VALUE"""),1.0)</f>
        <v>1</v>
      </c>
      <c r="BG7" s="180">
        <f>IFERROR(__xludf.DUMMYFUNCTION("""COMPUTED_VALUE"""),45841.0)</f>
        <v>45841</v>
      </c>
      <c r="BH7" s="179">
        <f>IFERROR(__xludf.DUMMYFUNCTION("""COMPUTED_VALUE"""),1.0)</f>
        <v>1</v>
      </c>
      <c r="BI7" s="180">
        <f>IFERROR(__xludf.DUMMYFUNCTION("""COMPUTED_VALUE"""),45780.0)</f>
        <v>45780</v>
      </c>
      <c r="BJ7" s="179">
        <f>IFERROR(__xludf.DUMMYFUNCTION("""COMPUTED_VALUE"""),1.0)</f>
        <v>1</v>
      </c>
      <c r="BK7" s="182">
        <f>IFERROR(__xludf.DUMMYFUNCTION("""COMPUTED_VALUE"""),45873.0)</f>
        <v>45873</v>
      </c>
      <c r="BL7" s="179">
        <f>IFERROR(__xludf.DUMMYFUNCTION("""COMPUTED_VALUE"""),0.75)</f>
        <v>0.75</v>
      </c>
      <c r="BM7" s="180">
        <f>IFERROR(__xludf.DUMMYFUNCTION("""COMPUTED_VALUE"""),45904.0)</f>
        <v>45904</v>
      </c>
      <c r="BN7" s="179">
        <f>IFERROR(__xludf.DUMMYFUNCTION("""COMPUTED_VALUE"""),1.0)</f>
        <v>1</v>
      </c>
      <c r="BO7" s="180">
        <f>IFERROR(__xludf.DUMMYFUNCTION("""COMPUTED_VALUE"""),45691.0)</f>
        <v>45691</v>
      </c>
      <c r="BP7" s="179">
        <f>IFERROR(__xludf.DUMMYFUNCTION("""COMPUTED_VALUE"""),0.5)</f>
        <v>0.5</v>
      </c>
      <c r="BQ7" s="180">
        <f>IFERROR(__xludf.DUMMYFUNCTION("""COMPUTED_VALUE"""),45812.0)</f>
        <v>45812</v>
      </c>
      <c r="BR7" s="179">
        <f>IFERROR(__xludf.DUMMYFUNCTION("""COMPUTED_VALUE"""),0.75)</f>
        <v>0.75</v>
      </c>
      <c r="BS7" s="180">
        <f>IFERROR(__xludf.DUMMYFUNCTION("""COMPUTED_VALUE"""),45904.0)</f>
        <v>45904</v>
      </c>
      <c r="BT7" s="179">
        <f>IFERROR(__xludf.DUMMYFUNCTION("""COMPUTED_VALUE"""),0.8333333333333334)</f>
        <v>0.8333333333</v>
      </c>
      <c r="BU7" s="180">
        <f>IFERROR(__xludf.DUMMYFUNCTION("""COMPUTED_VALUE"""),45934.0)</f>
        <v>45934</v>
      </c>
      <c r="BV7" s="179">
        <f>IFERROR(__xludf.DUMMYFUNCTION("""COMPUTED_VALUE"""),1.0)</f>
        <v>1</v>
      </c>
      <c r="BW7" s="180">
        <f>IFERROR(__xludf.DUMMYFUNCTION("""COMPUTED_VALUE"""),45692.0)</f>
        <v>45692</v>
      </c>
      <c r="BX7" s="179">
        <f>IFERROR(__xludf.DUMMYFUNCTION("""COMPUTED_VALUE"""),0.6666666666666666)</f>
        <v>0.6666666667</v>
      </c>
      <c r="BY7" s="180">
        <f>IFERROR(__xludf.DUMMYFUNCTION("""COMPUTED_VALUE"""),45934.0)</f>
        <v>45934</v>
      </c>
      <c r="BZ7" s="179">
        <f>IFERROR(__xludf.DUMMYFUNCTION("""COMPUTED_VALUE"""),0.8333333333333334)</f>
        <v>0.8333333333</v>
      </c>
      <c r="CA7" s="180">
        <f>IFERROR(__xludf.DUMMYFUNCTION("""COMPUTED_VALUE"""),45720.0)</f>
        <v>45720</v>
      </c>
      <c r="CB7" s="179">
        <f>IFERROR(__xludf.DUMMYFUNCTION("""COMPUTED_VALUE"""),0.75)</f>
        <v>0.75</v>
      </c>
      <c r="CC7" s="180">
        <f>IFERROR(__xludf.DUMMYFUNCTION("""COMPUTED_VALUE"""),45873.0)</f>
        <v>45873</v>
      </c>
      <c r="CD7" s="179">
        <f>IFERROR(__xludf.DUMMYFUNCTION("""COMPUTED_VALUE"""),0.8333333333333334)</f>
        <v>0.8333333333</v>
      </c>
      <c r="CE7" s="182">
        <f>IFERROR(__xludf.DUMMYFUNCTION("""COMPUTED_VALUE"""),45843.0)</f>
        <v>45843</v>
      </c>
      <c r="CF7" s="179">
        <f>IFERROR(__xludf.DUMMYFUNCTION("""COMPUTED_VALUE"""),0.75)</f>
        <v>0.75</v>
      </c>
      <c r="CG7" s="180">
        <f>IFERROR(__xludf.DUMMYFUNCTION("""COMPUTED_VALUE"""),45905.0)</f>
        <v>45905</v>
      </c>
      <c r="CH7" s="179">
        <f>IFERROR(__xludf.DUMMYFUNCTION("""COMPUTED_VALUE"""),1.0)</f>
        <v>1</v>
      </c>
      <c r="CI7" s="180">
        <f>IFERROR(__xludf.DUMMYFUNCTION("""COMPUTED_VALUE"""),45782.0)</f>
        <v>45782</v>
      </c>
      <c r="CJ7" s="179">
        <f>IFERROR(__xludf.DUMMYFUNCTION("""COMPUTED_VALUE"""),0.75)</f>
        <v>0.75</v>
      </c>
      <c r="CK7" s="180">
        <f>IFERROR(__xludf.DUMMYFUNCTION("""COMPUTED_VALUE"""),45782.0)</f>
        <v>45782</v>
      </c>
      <c r="CL7" s="179">
        <f>IFERROR(__xludf.DUMMYFUNCTION("""COMPUTED_VALUE"""),0.75)</f>
        <v>0.75</v>
      </c>
      <c r="CM7" s="180">
        <f>IFERROR(__xludf.DUMMYFUNCTION("""COMPUTED_VALUE"""),45662.0)</f>
        <v>45662</v>
      </c>
      <c r="CN7" s="179">
        <f>IFERROR(__xludf.DUMMYFUNCTION("""COMPUTED_VALUE"""),0.8)</f>
        <v>0.8</v>
      </c>
      <c r="CO7" s="180">
        <f>IFERROR(__xludf.DUMMYFUNCTION("""COMPUTED_VALUE"""),45843.0)</f>
        <v>45843</v>
      </c>
      <c r="CP7" s="179">
        <f>IFERROR(__xludf.DUMMYFUNCTION("""COMPUTED_VALUE"""),0.75)</f>
        <v>0.75</v>
      </c>
      <c r="CQ7" s="180">
        <f>IFERROR(__xludf.DUMMYFUNCTION("""COMPUTED_VALUE"""),45874.0)</f>
        <v>45874</v>
      </c>
      <c r="CR7" s="179">
        <f>IFERROR(__xludf.DUMMYFUNCTION("""COMPUTED_VALUE"""),0.75)</f>
        <v>0.75</v>
      </c>
      <c r="CS7" s="180">
        <f>IFERROR(__xludf.DUMMYFUNCTION("""COMPUTED_VALUE"""),45662.0)</f>
        <v>45662</v>
      </c>
      <c r="CT7" s="179">
        <f>IFERROR(__xludf.DUMMYFUNCTION("""COMPUTED_VALUE"""),0.75)</f>
        <v>0.75</v>
      </c>
      <c r="CU7" s="180">
        <f>IFERROR(__xludf.DUMMYFUNCTION("""COMPUTED_VALUE"""),45935.0)</f>
        <v>45935</v>
      </c>
      <c r="CV7" s="179">
        <f>IFERROR(__xludf.DUMMYFUNCTION("""COMPUTED_VALUE"""),1.0)</f>
        <v>1</v>
      </c>
      <c r="CW7" s="180">
        <f>IFERROR(__xludf.DUMMYFUNCTION("""COMPUTED_VALUE"""),45874.0)</f>
        <v>45874</v>
      </c>
      <c r="CX7" s="179">
        <f>IFERROR(__xludf.DUMMYFUNCTION("""COMPUTED_VALUE"""),0.8333333333333334)</f>
        <v>0.8333333333</v>
      </c>
      <c r="CY7" s="182">
        <f>IFERROR(__xludf.DUMMYFUNCTION("""COMPUTED_VALUE"""),45936.0)</f>
        <v>45936</v>
      </c>
      <c r="CZ7" s="179">
        <f>IFERROR(__xludf.DUMMYFUNCTION("""COMPUTED_VALUE"""),0.75)</f>
        <v>0.75</v>
      </c>
      <c r="DA7" s="180">
        <f>IFERROR(__xludf.DUMMYFUNCTION("""COMPUTED_VALUE"""),45814.0)</f>
        <v>45814</v>
      </c>
      <c r="DB7" s="179">
        <f>IFERROR(__xludf.DUMMYFUNCTION("""COMPUTED_VALUE"""),0.8333333333333334)</f>
        <v>0.8333333333</v>
      </c>
      <c r="DC7" s="180">
        <f>IFERROR(__xludf.DUMMYFUNCTION("""COMPUTED_VALUE"""),45783.0)</f>
        <v>45783</v>
      </c>
      <c r="DD7" s="179">
        <f>IFERROR(__xludf.DUMMYFUNCTION("""COMPUTED_VALUE"""),0.75)</f>
        <v>0.75</v>
      </c>
      <c r="DE7" s="180">
        <f>IFERROR(__xludf.DUMMYFUNCTION("""COMPUTED_VALUE"""),45844.0)</f>
        <v>45844</v>
      </c>
      <c r="DF7" s="179">
        <f>IFERROR(__xludf.DUMMYFUNCTION("""COMPUTED_VALUE"""),0.7)</f>
        <v>0.7</v>
      </c>
      <c r="DG7" s="180">
        <f>IFERROR(__xludf.DUMMYFUNCTION("""COMPUTED_VALUE"""),45722.0)</f>
        <v>45722</v>
      </c>
      <c r="DH7" s="179">
        <f>IFERROR(__xludf.DUMMYFUNCTION("""COMPUTED_VALUE"""),0.75)</f>
        <v>0.75</v>
      </c>
      <c r="DI7" s="180">
        <f>IFERROR(__xludf.DUMMYFUNCTION("""COMPUTED_VALUE"""),45936.0)</f>
        <v>45936</v>
      </c>
      <c r="DJ7" s="179">
        <f>IFERROR(__xludf.DUMMYFUNCTION("""COMPUTED_VALUE"""),0.75)</f>
        <v>0.75</v>
      </c>
      <c r="DK7" s="180">
        <f>IFERROR(__xludf.DUMMYFUNCTION("""COMPUTED_VALUE"""),45753.0)</f>
        <v>45753</v>
      </c>
      <c r="DL7" s="179">
        <f>IFERROR(__xludf.DUMMYFUNCTION("""COMPUTED_VALUE"""),0.7)</f>
        <v>0.7</v>
      </c>
      <c r="DM7" s="180">
        <f>IFERROR(__xludf.DUMMYFUNCTION("""COMPUTED_VALUE"""),45814.0)</f>
        <v>45814</v>
      </c>
      <c r="DN7" s="179">
        <f>IFERROR(__xludf.DUMMYFUNCTION("""COMPUTED_VALUE"""),0.8333333333333334)</f>
        <v>0.8333333333</v>
      </c>
      <c r="DO7" s="180">
        <f>IFERROR(__xludf.DUMMYFUNCTION("""COMPUTED_VALUE"""),45663.0)</f>
        <v>45663</v>
      </c>
      <c r="DP7" s="179">
        <f>IFERROR(__xludf.DUMMYFUNCTION("""COMPUTED_VALUE"""),0.8)</f>
        <v>0.8</v>
      </c>
      <c r="DQ7" s="180">
        <f>IFERROR(__xludf.DUMMYFUNCTION("""COMPUTED_VALUE"""),45694.0)</f>
        <v>45694</v>
      </c>
      <c r="DR7" s="179">
        <f>IFERROR(__xludf.DUMMYFUNCTION("""COMPUTED_VALUE"""),0.75)</f>
        <v>0.75</v>
      </c>
      <c r="DS7" s="182">
        <f>IFERROR(__xludf.DUMMYFUNCTION("""COMPUTED_VALUE"""),45815.0)</f>
        <v>45815</v>
      </c>
      <c r="DT7" s="179">
        <f>IFERROR(__xludf.DUMMYFUNCTION("""COMPUTED_VALUE"""),0.8)</f>
        <v>0.8</v>
      </c>
      <c r="DU7" s="180">
        <f>IFERROR(__xludf.DUMMYFUNCTION("""COMPUTED_VALUE"""),45815.0)</f>
        <v>45815</v>
      </c>
      <c r="DV7" s="179">
        <f>IFERROR(__xludf.DUMMYFUNCTION("""COMPUTED_VALUE"""),1.0)</f>
        <v>1</v>
      </c>
      <c r="DW7" s="180">
        <f>IFERROR(__xludf.DUMMYFUNCTION("""COMPUTED_VALUE"""),45845.0)</f>
        <v>45845</v>
      </c>
      <c r="DX7" s="179">
        <f>IFERROR(__xludf.DUMMYFUNCTION("""COMPUTED_VALUE"""),0.875)</f>
        <v>0.875</v>
      </c>
      <c r="DY7" s="180">
        <f>IFERROR(__xludf.DUMMYFUNCTION("""COMPUTED_VALUE"""),45907.0)</f>
        <v>45907</v>
      </c>
      <c r="DZ7" s="179">
        <f>IFERROR(__xludf.DUMMYFUNCTION("""COMPUTED_VALUE"""),1.0)</f>
        <v>1</v>
      </c>
      <c r="EA7" s="180">
        <f>IFERROR(__xludf.DUMMYFUNCTION("""COMPUTED_VALUE"""),45876.0)</f>
        <v>45876</v>
      </c>
      <c r="EB7" s="179">
        <f>IFERROR(__xludf.DUMMYFUNCTION("""COMPUTED_VALUE"""),0.9)</f>
        <v>0.9</v>
      </c>
      <c r="EC7" s="180">
        <f>IFERROR(__xludf.DUMMYFUNCTION("""COMPUTED_VALUE"""),45907.0)</f>
        <v>45907</v>
      </c>
      <c r="ED7" s="179">
        <f>IFERROR(__xludf.DUMMYFUNCTION("""COMPUTED_VALUE"""),1.0)</f>
        <v>1</v>
      </c>
      <c r="EE7" s="180">
        <f>IFERROR(__xludf.DUMMYFUNCTION("""COMPUTED_VALUE"""),45907.0)</f>
        <v>45907</v>
      </c>
      <c r="EF7" s="179">
        <f>IFERROR(__xludf.DUMMYFUNCTION("""COMPUTED_VALUE"""),1.0)</f>
        <v>1</v>
      </c>
      <c r="EG7" s="180">
        <f>IFERROR(__xludf.DUMMYFUNCTION("""COMPUTED_VALUE"""),45845.0)</f>
        <v>45845</v>
      </c>
      <c r="EH7" s="179">
        <f>IFERROR(__xludf.DUMMYFUNCTION("""COMPUTED_VALUE"""),1.0)</f>
        <v>1</v>
      </c>
      <c r="EI7" s="180">
        <f>IFERROR(__xludf.DUMMYFUNCTION("""COMPUTED_VALUE"""),45845.0)</f>
        <v>45845</v>
      </c>
      <c r="EJ7" s="179">
        <f>IFERROR(__xludf.DUMMYFUNCTION("""COMPUTED_VALUE"""),1.0)</f>
        <v>1</v>
      </c>
      <c r="EK7" s="180">
        <f>IFERROR(__xludf.DUMMYFUNCTION("""COMPUTED_VALUE"""),45784.0)</f>
        <v>45784</v>
      </c>
      <c r="EL7" s="179">
        <f>IFERROR(__xludf.DUMMYFUNCTION("""COMPUTED_VALUE"""),1.0)</f>
        <v>1</v>
      </c>
      <c r="EM7" s="182">
        <f>IFERROR(__xludf.DUMMYFUNCTION("""COMPUTED_VALUE"""),45877.0)</f>
        <v>45877</v>
      </c>
      <c r="EN7" s="179">
        <f>IFERROR(__xludf.DUMMYFUNCTION("""COMPUTED_VALUE"""),0.75)</f>
        <v>0.75</v>
      </c>
      <c r="EO7" s="180">
        <f>IFERROR(__xludf.DUMMYFUNCTION("""COMPUTED_VALUE"""),45908.0)</f>
        <v>45908</v>
      </c>
      <c r="EP7" s="179">
        <f>IFERROR(__xludf.DUMMYFUNCTION("""COMPUTED_VALUE"""),1.0)</f>
        <v>1</v>
      </c>
      <c r="EQ7" s="180">
        <f>IFERROR(__xludf.DUMMYFUNCTION("""COMPUTED_VALUE"""),45755.0)</f>
        <v>45755</v>
      </c>
      <c r="ER7" s="179">
        <f>IFERROR(__xludf.DUMMYFUNCTION("""COMPUTED_VALUE"""),0.625)</f>
        <v>0.625</v>
      </c>
      <c r="ES7" s="180">
        <f>IFERROR(__xludf.DUMMYFUNCTION("""COMPUTED_VALUE"""),45908.0)</f>
        <v>45908</v>
      </c>
      <c r="ET7" s="179">
        <f>IFERROR(__xludf.DUMMYFUNCTION("""COMPUTED_VALUE"""),0.8333333333333334)</f>
        <v>0.8333333333</v>
      </c>
      <c r="EU7" s="180">
        <f>IFERROR(__xludf.DUMMYFUNCTION("""COMPUTED_VALUE"""),45696.0)</f>
        <v>45696</v>
      </c>
      <c r="EV7" s="179">
        <f>IFERROR(__xludf.DUMMYFUNCTION("""COMPUTED_VALUE"""),0.8333333333333334)</f>
        <v>0.8333333333</v>
      </c>
      <c r="EW7" s="180">
        <f>IFERROR(__xludf.DUMMYFUNCTION("""COMPUTED_VALUE"""),45908.0)</f>
        <v>45908</v>
      </c>
      <c r="EX7" s="179">
        <f>IFERROR(__xludf.DUMMYFUNCTION("""COMPUTED_VALUE"""),1.0)</f>
        <v>1</v>
      </c>
      <c r="EY7" s="180">
        <f>IFERROR(__xludf.DUMMYFUNCTION("""COMPUTED_VALUE"""),45785.0)</f>
        <v>45785</v>
      </c>
      <c r="EZ7" s="179">
        <f>IFERROR(__xludf.DUMMYFUNCTION("""COMPUTED_VALUE"""),0.75)</f>
        <v>0.75</v>
      </c>
      <c r="FA7" s="180">
        <f>IFERROR(__xludf.DUMMYFUNCTION("""COMPUTED_VALUE"""),45785.0)</f>
        <v>45785</v>
      </c>
      <c r="FB7" s="179">
        <f>IFERROR(__xludf.DUMMYFUNCTION("""COMPUTED_VALUE"""),0.9)</f>
        <v>0.9</v>
      </c>
      <c r="FC7" s="180">
        <f>IFERROR(__xludf.DUMMYFUNCTION("""COMPUTED_VALUE"""),45755.0)</f>
        <v>45755</v>
      </c>
      <c r="FD7" s="179">
        <f>IFERROR(__xludf.DUMMYFUNCTION("""COMPUTED_VALUE"""),0.8333333333333334)</f>
        <v>0.8333333333</v>
      </c>
      <c r="FE7" s="180">
        <f>IFERROR(__xludf.DUMMYFUNCTION("""COMPUTED_VALUE"""),45724.0)</f>
        <v>45724</v>
      </c>
      <c r="FF7" s="179">
        <f>IFERROR(__xludf.DUMMYFUNCTION("""COMPUTED_VALUE"""),0.8333333333333334)</f>
        <v>0.8333333333</v>
      </c>
      <c r="FG7" s="182">
        <f>IFERROR(__xludf.DUMMYFUNCTION("""COMPUTED_VALUE"""),45786.0)</f>
        <v>45786</v>
      </c>
      <c r="FH7" s="179">
        <f>IFERROR(__xludf.DUMMYFUNCTION("""COMPUTED_VALUE"""),0.7)</f>
        <v>0.7</v>
      </c>
      <c r="FI7" s="180">
        <f>IFERROR(__xludf.DUMMYFUNCTION("""COMPUTED_VALUE"""),45847.0)</f>
        <v>45847</v>
      </c>
      <c r="FJ7" s="179">
        <f>IFERROR(__xludf.DUMMYFUNCTION("""COMPUTED_VALUE"""),1.0)</f>
        <v>1</v>
      </c>
      <c r="FK7" s="180">
        <f>IFERROR(__xludf.DUMMYFUNCTION("""COMPUTED_VALUE"""),45939.0)</f>
        <v>45939</v>
      </c>
      <c r="FL7" s="179">
        <f>IFERROR(__xludf.DUMMYFUNCTION("""COMPUTED_VALUE"""),0.6666666666666666)</f>
        <v>0.6666666667</v>
      </c>
      <c r="FM7" s="180">
        <f>IFERROR(__xludf.DUMMYFUNCTION("""COMPUTED_VALUE"""),45725.0)</f>
        <v>45725</v>
      </c>
      <c r="FN7" s="179">
        <f>IFERROR(__xludf.DUMMYFUNCTION("""COMPUTED_VALUE"""),0.75)</f>
        <v>0.75</v>
      </c>
      <c r="FO7" s="180">
        <f>IFERROR(__xludf.DUMMYFUNCTION("""COMPUTED_VALUE"""),45878.0)</f>
        <v>45878</v>
      </c>
      <c r="FP7" s="179">
        <f>IFERROR(__xludf.DUMMYFUNCTION("""COMPUTED_VALUE"""),0.9)</f>
        <v>0.9</v>
      </c>
      <c r="FQ7" s="180">
        <f>IFERROR(__xludf.DUMMYFUNCTION("""COMPUTED_VALUE"""),45909.0)</f>
        <v>45909</v>
      </c>
      <c r="FR7" s="179">
        <f>IFERROR(__xludf.DUMMYFUNCTION("""COMPUTED_VALUE"""),1.0)</f>
        <v>1</v>
      </c>
      <c r="FS7" s="180">
        <f>IFERROR(__xludf.DUMMYFUNCTION("""COMPUTED_VALUE"""),45666.0)</f>
        <v>45666</v>
      </c>
      <c r="FT7" s="179">
        <f>IFERROR(__xludf.DUMMYFUNCTION("""COMPUTED_VALUE"""),0.75)</f>
        <v>0.75</v>
      </c>
      <c r="FU7" s="180">
        <f>IFERROR(__xludf.DUMMYFUNCTION("""COMPUTED_VALUE"""),45666.0)</f>
        <v>45666</v>
      </c>
      <c r="FV7" s="179">
        <f>IFERROR(__xludf.DUMMYFUNCTION("""COMPUTED_VALUE"""),0.75)</f>
        <v>0.75</v>
      </c>
      <c r="FW7" s="180">
        <f>IFERROR(__xludf.DUMMYFUNCTION("""COMPUTED_VALUE"""),45847.0)</f>
        <v>45847</v>
      </c>
      <c r="FX7" s="179">
        <f>IFERROR(__xludf.DUMMYFUNCTION("""COMPUTED_VALUE"""),1.0)</f>
        <v>1</v>
      </c>
      <c r="FY7" s="180">
        <f>IFERROR(__xludf.DUMMYFUNCTION("""COMPUTED_VALUE"""),45817.0)</f>
        <v>45817</v>
      </c>
      <c r="FZ7" s="179">
        <f>IFERROR(__xludf.DUMMYFUNCTION("""COMPUTED_VALUE"""),0.75)</f>
        <v>0.75</v>
      </c>
      <c r="GA7" s="182">
        <f>IFERROR(__xludf.DUMMYFUNCTION("""COMPUTED_VALUE"""),45910.0)</f>
        <v>45910</v>
      </c>
      <c r="GB7" s="179">
        <f>IFERROR(__xludf.DUMMYFUNCTION("""COMPUTED_VALUE"""),0.8)</f>
        <v>0.8</v>
      </c>
      <c r="GC7" s="180">
        <f>IFERROR(__xludf.DUMMYFUNCTION("""COMPUTED_VALUE"""),45818.0)</f>
        <v>45818</v>
      </c>
      <c r="GD7" s="179">
        <f>IFERROR(__xludf.DUMMYFUNCTION("""COMPUTED_VALUE"""),1.0)</f>
        <v>1</v>
      </c>
      <c r="GE7" s="180">
        <f>IFERROR(__xludf.DUMMYFUNCTION("""COMPUTED_VALUE"""),45757.0)</f>
        <v>45757</v>
      </c>
      <c r="GF7" s="179">
        <f>IFERROR(__xludf.DUMMYFUNCTION("""COMPUTED_VALUE"""),0.75)</f>
        <v>0.75</v>
      </c>
      <c r="GG7" s="180">
        <f>IFERROR(__xludf.DUMMYFUNCTION("""COMPUTED_VALUE"""),45910.0)</f>
        <v>45910</v>
      </c>
      <c r="GH7" s="179">
        <f>IFERROR(__xludf.DUMMYFUNCTION("""COMPUTED_VALUE"""),1.0)</f>
        <v>1</v>
      </c>
      <c r="GI7" s="180">
        <f>IFERROR(__xludf.DUMMYFUNCTION("""COMPUTED_VALUE"""),45910.0)</f>
        <v>45910</v>
      </c>
      <c r="GJ7" s="179">
        <f>IFERROR(__xludf.DUMMYFUNCTION("""COMPUTED_VALUE"""),0.8333333333333334)</f>
        <v>0.8333333333</v>
      </c>
      <c r="GK7" s="180">
        <f>IFERROR(__xludf.DUMMYFUNCTION("""COMPUTED_VALUE"""),45667.0)</f>
        <v>45667</v>
      </c>
      <c r="GL7" s="179">
        <f>IFERROR(__xludf.DUMMYFUNCTION("""COMPUTED_VALUE"""),0.8)</f>
        <v>0.8</v>
      </c>
      <c r="GM7" s="180">
        <f>IFERROR(__xludf.DUMMYFUNCTION("""COMPUTED_VALUE"""),45726.0)</f>
        <v>45726</v>
      </c>
      <c r="GN7" s="179">
        <f>IFERROR(__xludf.DUMMYFUNCTION("""COMPUTED_VALUE"""),0.75)</f>
        <v>0.75</v>
      </c>
      <c r="GO7" s="180">
        <f>IFERROR(__xludf.DUMMYFUNCTION("""COMPUTED_VALUE"""),45848.0)</f>
        <v>45848</v>
      </c>
      <c r="GP7" s="179">
        <f>IFERROR(__xludf.DUMMYFUNCTION("""COMPUTED_VALUE"""),1.0)</f>
        <v>1</v>
      </c>
      <c r="GQ7" s="180">
        <f>IFERROR(__xludf.DUMMYFUNCTION("""COMPUTED_VALUE"""),45940.0)</f>
        <v>45940</v>
      </c>
      <c r="GR7" s="179">
        <f>IFERROR(__xludf.DUMMYFUNCTION("""COMPUTED_VALUE"""),1.0)</f>
        <v>1</v>
      </c>
      <c r="GS7" s="180">
        <f>IFERROR(__xludf.DUMMYFUNCTION("""COMPUTED_VALUE"""),45910.0)</f>
        <v>45910</v>
      </c>
      <c r="GT7" s="179">
        <f>IFERROR(__xludf.DUMMYFUNCTION("""COMPUTED_VALUE"""),1.0)</f>
        <v>1</v>
      </c>
    </row>
    <row r="8" ht="31.5" customHeight="1">
      <c r="A8" s="177" t="s">
        <v>3050</v>
      </c>
      <c r="B8" s="102"/>
      <c r="C8" s="178">
        <f>IFERROR(__xludf.DUMMYFUNCTION("""COMPUTED_VALUE"""),45809.0)</f>
        <v>45809</v>
      </c>
      <c r="D8" s="179">
        <f>IFERROR(__xludf.DUMMYFUNCTION("""COMPUTED_VALUE"""),0.7)</f>
        <v>0.7</v>
      </c>
      <c r="E8" s="180">
        <f>IFERROR(__xludf.DUMMYFUNCTION("""COMPUTED_VALUE"""),45901.0)</f>
        <v>45901</v>
      </c>
      <c r="F8" s="179">
        <f>IFERROR(__xludf.DUMMYFUNCTION("""COMPUTED_VALUE"""),1.0)</f>
        <v>1</v>
      </c>
      <c r="G8" s="180">
        <f>IFERROR(__xludf.DUMMYFUNCTION("""COMPUTED_VALUE"""),45931.0)</f>
        <v>45931</v>
      </c>
      <c r="H8" s="179">
        <f>IFERROR(__xludf.DUMMYFUNCTION("""COMPUTED_VALUE"""),0.6666666666666666)</f>
        <v>0.6666666667</v>
      </c>
      <c r="I8" s="180">
        <f>IFERROR(__xludf.DUMMYFUNCTION("""COMPUTED_VALUE"""),45901.0)</f>
        <v>45901</v>
      </c>
      <c r="J8" s="179">
        <f>IFERROR(__xludf.DUMMYFUNCTION("""COMPUTED_VALUE"""),0.6666666666666666)</f>
        <v>0.6666666667</v>
      </c>
      <c r="K8" s="180">
        <f>IFERROR(__xludf.DUMMYFUNCTION("""COMPUTED_VALUE"""),45658.0)</f>
        <v>45658</v>
      </c>
      <c r="L8" s="179">
        <f>IFERROR(__xludf.DUMMYFUNCTION("""COMPUTED_VALUE"""),0.8)</f>
        <v>0.8</v>
      </c>
      <c r="M8" s="180">
        <f>IFERROR(__xludf.DUMMYFUNCTION("""COMPUTED_VALUE"""),45931.0)</f>
        <v>45931</v>
      </c>
      <c r="N8" s="179">
        <f>IFERROR(__xludf.DUMMYFUNCTION("""COMPUTED_VALUE"""),0.75)</f>
        <v>0.75</v>
      </c>
      <c r="O8" s="180">
        <f>IFERROR(__xludf.DUMMYFUNCTION("""COMPUTED_VALUE"""),45931.0)</f>
        <v>45931</v>
      </c>
      <c r="P8" s="179">
        <f>IFERROR(__xludf.DUMMYFUNCTION("""COMPUTED_VALUE"""),0.75)</f>
        <v>0.75</v>
      </c>
      <c r="Q8" s="180">
        <f>IFERROR(__xludf.DUMMYFUNCTION("""COMPUTED_VALUE"""),45778.0)</f>
        <v>45778</v>
      </c>
      <c r="R8" s="179">
        <f>IFERROR(__xludf.DUMMYFUNCTION("""COMPUTED_VALUE"""),0.8)</f>
        <v>0.8</v>
      </c>
      <c r="S8" s="180">
        <f>IFERROR(__xludf.DUMMYFUNCTION("""COMPUTED_VALUE"""),45870.0)</f>
        <v>45870</v>
      </c>
      <c r="T8" s="179">
        <f>IFERROR(__xludf.DUMMYFUNCTION("""COMPUTED_VALUE"""),0.75)</f>
        <v>0.75</v>
      </c>
      <c r="U8" s="180">
        <f>IFERROR(__xludf.DUMMYFUNCTION("""COMPUTED_VALUE"""),45809.0)</f>
        <v>45809</v>
      </c>
      <c r="V8" s="181">
        <f>IFERROR(__xludf.DUMMYFUNCTION("""COMPUTED_VALUE"""),0.75)</f>
        <v>0.75</v>
      </c>
      <c r="W8" s="178">
        <f>IFERROR(__xludf.DUMMYFUNCTION("""COMPUTED_VALUE"""),45779.0)</f>
        <v>45779</v>
      </c>
      <c r="X8" s="179">
        <f>IFERROR(__xludf.DUMMYFUNCTION("""COMPUTED_VALUE"""),0.7)</f>
        <v>0.7</v>
      </c>
      <c r="Y8" s="180">
        <f>IFERROR(__xludf.DUMMYFUNCTION("""COMPUTED_VALUE"""),45840.0)</f>
        <v>45840</v>
      </c>
      <c r="Z8" s="179">
        <f>IFERROR(__xludf.DUMMYFUNCTION("""COMPUTED_VALUE"""),1.0)</f>
        <v>1</v>
      </c>
      <c r="AA8" s="180">
        <f>IFERROR(__xludf.DUMMYFUNCTION("""COMPUTED_VALUE"""),45779.0)</f>
        <v>45779</v>
      </c>
      <c r="AB8" s="179">
        <f>IFERROR(__xludf.DUMMYFUNCTION("""COMPUTED_VALUE"""),0.75)</f>
        <v>0.75</v>
      </c>
      <c r="AC8" s="180">
        <f>IFERROR(__xludf.DUMMYFUNCTION("""COMPUTED_VALUE"""),45871.0)</f>
        <v>45871</v>
      </c>
      <c r="AD8" s="179">
        <f>IFERROR(__xludf.DUMMYFUNCTION("""COMPUTED_VALUE"""),0.75)</f>
        <v>0.75</v>
      </c>
      <c r="AE8" s="180">
        <f>IFERROR(__xludf.DUMMYFUNCTION("""COMPUTED_VALUE"""),45718.0)</f>
        <v>45718</v>
      </c>
      <c r="AF8" s="179">
        <f>IFERROR(__xludf.DUMMYFUNCTION("""COMPUTED_VALUE"""),0.75)</f>
        <v>0.75</v>
      </c>
      <c r="AG8" s="180">
        <f>IFERROR(__xludf.DUMMYFUNCTION("""COMPUTED_VALUE"""),45932.0)</f>
        <v>45932</v>
      </c>
      <c r="AH8" s="179">
        <f>IFERROR(__xludf.DUMMYFUNCTION("""COMPUTED_VALUE"""),0.75)</f>
        <v>0.75</v>
      </c>
      <c r="AI8" s="180">
        <f>IFERROR(__xludf.DUMMYFUNCTION("""COMPUTED_VALUE"""),45749.0)</f>
        <v>45749</v>
      </c>
      <c r="AJ8" s="179">
        <f>IFERROR(__xludf.DUMMYFUNCTION("""COMPUTED_VALUE"""),0.9)</f>
        <v>0.9</v>
      </c>
      <c r="AK8" s="180">
        <f>IFERROR(__xludf.DUMMYFUNCTION("""COMPUTED_VALUE"""),45932.0)</f>
        <v>45932</v>
      </c>
      <c r="AL8" s="179">
        <f>IFERROR(__xludf.DUMMYFUNCTION("""COMPUTED_VALUE"""),0.8333333333333334)</f>
        <v>0.8333333333</v>
      </c>
      <c r="AM8" s="180">
        <f>IFERROR(__xludf.DUMMYFUNCTION("""COMPUTED_VALUE"""),45659.0)</f>
        <v>45659</v>
      </c>
      <c r="AN8" s="179">
        <f>IFERROR(__xludf.DUMMYFUNCTION("""COMPUTED_VALUE"""),0.9)</f>
        <v>0.9</v>
      </c>
      <c r="AO8" s="180">
        <f>IFERROR(__xludf.DUMMYFUNCTION("""COMPUTED_VALUE"""),45659.0)</f>
        <v>45659</v>
      </c>
      <c r="AP8" s="181">
        <f>IFERROR(__xludf.DUMMYFUNCTION("""COMPUTED_VALUE"""),0.75)</f>
        <v>0.75</v>
      </c>
      <c r="AQ8" s="178">
        <f>IFERROR(__xludf.DUMMYFUNCTION("""COMPUTED_VALUE"""),45811.0)</f>
        <v>45811</v>
      </c>
      <c r="AR8" s="179">
        <f>IFERROR(__xludf.DUMMYFUNCTION("""COMPUTED_VALUE"""),0.7)</f>
        <v>0.7</v>
      </c>
      <c r="AS8" s="180">
        <f>IFERROR(__xludf.DUMMYFUNCTION("""COMPUTED_VALUE"""),45872.0)</f>
        <v>45872</v>
      </c>
      <c r="AT8" s="179">
        <f>IFERROR(__xludf.DUMMYFUNCTION("""COMPUTED_VALUE"""),1.0)</f>
        <v>1</v>
      </c>
      <c r="AU8" s="180">
        <f>IFERROR(__xludf.DUMMYFUNCTION("""COMPUTED_VALUE"""),45692.0)</f>
        <v>45692</v>
      </c>
      <c r="AV8" s="179">
        <f>IFERROR(__xludf.DUMMYFUNCTION("""COMPUTED_VALUE"""),0.75)</f>
        <v>0.75</v>
      </c>
      <c r="AW8" s="180">
        <f>IFERROR(__xludf.DUMMYFUNCTION("""COMPUTED_VALUE"""),45933.0)</f>
        <v>45933</v>
      </c>
      <c r="AX8" s="179">
        <f>IFERROR(__xludf.DUMMYFUNCTION("""COMPUTED_VALUE"""),1.0)</f>
        <v>1</v>
      </c>
      <c r="AY8" s="180">
        <f>IFERROR(__xludf.DUMMYFUNCTION("""COMPUTED_VALUE"""),45903.0)</f>
        <v>45903</v>
      </c>
      <c r="AZ8" s="179">
        <f>IFERROR(__xludf.DUMMYFUNCTION("""COMPUTED_VALUE"""),0.8333333333333334)</f>
        <v>0.8333333333</v>
      </c>
      <c r="BA8" s="180">
        <f>IFERROR(__xludf.DUMMYFUNCTION("""COMPUTED_VALUE"""),45903.0)</f>
        <v>45903</v>
      </c>
      <c r="BB8" s="179">
        <f>IFERROR(__xludf.DUMMYFUNCTION("""COMPUTED_VALUE"""),0.75)</f>
        <v>0.75</v>
      </c>
      <c r="BC8" s="180">
        <f>IFERROR(__xludf.DUMMYFUNCTION("""COMPUTED_VALUE"""),45933.0)</f>
        <v>45933</v>
      </c>
      <c r="BD8" s="179">
        <f>IFERROR(__xludf.DUMMYFUNCTION("""COMPUTED_VALUE"""),1.0)</f>
        <v>1</v>
      </c>
      <c r="BE8" s="180">
        <f>IFERROR(__xludf.DUMMYFUNCTION("""COMPUTED_VALUE"""),45780.0)</f>
        <v>45780</v>
      </c>
      <c r="BF8" s="179">
        <f>IFERROR(__xludf.DUMMYFUNCTION("""COMPUTED_VALUE"""),0.9)</f>
        <v>0.9</v>
      </c>
      <c r="BG8" s="180">
        <f>IFERROR(__xludf.DUMMYFUNCTION("""COMPUTED_VALUE"""),45933.0)</f>
        <v>45933</v>
      </c>
      <c r="BH8" s="179">
        <f>IFERROR(__xludf.DUMMYFUNCTION("""COMPUTED_VALUE"""),1.0)</f>
        <v>1</v>
      </c>
      <c r="BI8" s="180">
        <f>IFERROR(__xludf.DUMMYFUNCTION("""COMPUTED_VALUE"""),45811.0)</f>
        <v>45811</v>
      </c>
      <c r="BJ8" s="179">
        <f>IFERROR(__xludf.DUMMYFUNCTION("""COMPUTED_VALUE"""),1.0)</f>
        <v>1</v>
      </c>
      <c r="BK8" s="182">
        <f>IFERROR(__xludf.DUMMYFUNCTION("""COMPUTED_VALUE"""),45812.0)</f>
        <v>45812</v>
      </c>
      <c r="BL8" s="179">
        <f>IFERROR(__xludf.DUMMYFUNCTION("""COMPUTED_VALUE"""),0.7)</f>
        <v>0.7</v>
      </c>
      <c r="BM8" s="180">
        <f>IFERROR(__xludf.DUMMYFUNCTION("""COMPUTED_VALUE"""),45719.0)</f>
        <v>45719</v>
      </c>
      <c r="BN8" s="179">
        <f>IFERROR(__xludf.DUMMYFUNCTION("""COMPUTED_VALUE"""),0.75)</f>
        <v>0.75</v>
      </c>
      <c r="BO8" s="180">
        <f>IFERROR(__xludf.DUMMYFUNCTION("""COMPUTED_VALUE"""),45751.0)</f>
        <v>45751</v>
      </c>
      <c r="BP8" s="179">
        <f>IFERROR(__xludf.DUMMYFUNCTION("""COMPUTED_VALUE"""),0.5)</f>
        <v>0.5</v>
      </c>
      <c r="BQ8" s="180">
        <f>IFERROR(__xludf.DUMMYFUNCTION("""COMPUTED_VALUE"""),45661.0)</f>
        <v>45661</v>
      </c>
      <c r="BR8" s="179">
        <f>IFERROR(__xludf.DUMMYFUNCTION("""COMPUTED_VALUE"""),0.5)</f>
        <v>0.5</v>
      </c>
      <c r="BS8" s="180">
        <f>IFERROR(__xludf.DUMMYFUNCTION("""COMPUTED_VALUE"""),45661.0)</f>
        <v>45661</v>
      </c>
      <c r="BT8" s="179">
        <f>IFERROR(__xludf.DUMMYFUNCTION("""COMPUTED_VALUE"""),0.8)</f>
        <v>0.8</v>
      </c>
      <c r="BU8" s="180">
        <f>IFERROR(__xludf.DUMMYFUNCTION("""COMPUTED_VALUE"""),45751.0)</f>
        <v>45751</v>
      </c>
      <c r="BV8" s="179">
        <f>IFERROR(__xludf.DUMMYFUNCTION("""COMPUTED_VALUE"""),0.75)</f>
        <v>0.75</v>
      </c>
      <c r="BW8" s="180">
        <f>IFERROR(__xludf.DUMMYFUNCTION("""COMPUTED_VALUE"""),45661.0)</f>
        <v>45661</v>
      </c>
      <c r="BX8" s="179">
        <f>IFERROR(__xludf.DUMMYFUNCTION("""COMPUTED_VALUE"""),0.5)</f>
        <v>0.5</v>
      </c>
      <c r="BY8" s="180">
        <f>IFERROR(__xludf.DUMMYFUNCTION("""COMPUTED_VALUE"""),45661.0)</f>
        <v>45661</v>
      </c>
      <c r="BZ8" s="179">
        <f>IFERROR(__xludf.DUMMYFUNCTION("""COMPUTED_VALUE"""),0.75)</f>
        <v>0.75</v>
      </c>
      <c r="CA8" s="180">
        <f>IFERROR(__xludf.DUMMYFUNCTION("""COMPUTED_VALUE"""),45812.0)</f>
        <v>45812</v>
      </c>
      <c r="CB8" s="179">
        <f>IFERROR(__xludf.DUMMYFUNCTION("""COMPUTED_VALUE"""),0.75)</f>
        <v>0.75</v>
      </c>
      <c r="CC8" s="180">
        <f>IFERROR(__xludf.DUMMYFUNCTION("""COMPUTED_VALUE"""),45751.0)</f>
        <v>45751</v>
      </c>
      <c r="CD8" s="179">
        <f>IFERROR(__xludf.DUMMYFUNCTION("""COMPUTED_VALUE"""),0.75)</f>
        <v>0.75</v>
      </c>
      <c r="CE8" s="182">
        <f>IFERROR(__xludf.DUMMYFUNCTION("""COMPUTED_VALUE"""),45874.0)</f>
        <v>45874</v>
      </c>
      <c r="CF8" s="179">
        <f>IFERROR(__xludf.DUMMYFUNCTION("""COMPUTED_VALUE"""),0.75)</f>
        <v>0.75</v>
      </c>
      <c r="CG8" s="180">
        <f>IFERROR(__xludf.DUMMYFUNCTION("""COMPUTED_VALUE"""),45782.0)</f>
        <v>45782</v>
      </c>
      <c r="CH8" s="179">
        <f>IFERROR(__xludf.DUMMYFUNCTION("""COMPUTED_VALUE"""),0.8333333333333334)</f>
        <v>0.8333333333</v>
      </c>
      <c r="CI8" s="180">
        <f>IFERROR(__xludf.DUMMYFUNCTION("""COMPUTED_VALUE"""),45935.0)</f>
        <v>45935</v>
      </c>
      <c r="CJ8" s="179">
        <f>IFERROR(__xludf.DUMMYFUNCTION("""COMPUTED_VALUE"""),0.6666666666666666)</f>
        <v>0.6666666667</v>
      </c>
      <c r="CK8" s="180">
        <f>IFERROR(__xludf.DUMMYFUNCTION("""COMPUTED_VALUE"""),45874.0)</f>
        <v>45874</v>
      </c>
      <c r="CL8" s="179">
        <f>IFERROR(__xludf.DUMMYFUNCTION("""COMPUTED_VALUE"""),0.75)</f>
        <v>0.75</v>
      </c>
      <c r="CM8" s="180">
        <f>IFERROR(__xludf.DUMMYFUNCTION("""COMPUTED_VALUE"""),45874.0)</f>
        <v>45874</v>
      </c>
      <c r="CN8" s="179">
        <f>IFERROR(__xludf.DUMMYFUNCTION("""COMPUTED_VALUE"""),0.8)</f>
        <v>0.8</v>
      </c>
      <c r="CO8" s="180">
        <f>IFERROR(__xludf.DUMMYFUNCTION("""COMPUTED_VALUE"""),45905.0)</f>
        <v>45905</v>
      </c>
      <c r="CP8" s="179">
        <f>IFERROR(__xludf.DUMMYFUNCTION("""COMPUTED_VALUE"""),0.75)</f>
        <v>0.75</v>
      </c>
      <c r="CQ8" s="180">
        <f>IFERROR(__xludf.DUMMYFUNCTION("""COMPUTED_VALUE"""),45752.0)</f>
        <v>45752</v>
      </c>
      <c r="CR8" s="179">
        <f>IFERROR(__xludf.DUMMYFUNCTION("""COMPUTED_VALUE"""),0.7)</f>
        <v>0.7</v>
      </c>
      <c r="CS8" s="180">
        <f>IFERROR(__xludf.DUMMYFUNCTION("""COMPUTED_VALUE"""),45693.0)</f>
        <v>45693</v>
      </c>
      <c r="CT8" s="179">
        <f>IFERROR(__xludf.DUMMYFUNCTION("""COMPUTED_VALUE"""),0.75)</f>
        <v>0.75</v>
      </c>
      <c r="CU8" s="180">
        <f>IFERROR(__xludf.DUMMYFUNCTION("""COMPUTED_VALUE"""),45662.0)</f>
        <v>45662</v>
      </c>
      <c r="CV8" s="179">
        <f>IFERROR(__xludf.DUMMYFUNCTION("""COMPUTED_VALUE"""),0.9)</f>
        <v>0.9</v>
      </c>
      <c r="CW8" s="180">
        <f>IFERROR(__xludf.DUMMYFUNCTION("""COMPUTED_VALUE"""),45752.0)</f>
        <v>45752</v>
      </c>
      <c r="CX8" s="179">
        <f>IFERROR(__xludf.DUMMYFUNCTION("""COMPUTED_VALUE"""),0.75)</f>
        <v>0.75</v>
      </c>
      <c r="CY8" s="182">
        <f>IFERROR(__xludf.DUMMYFUNCTION("""COMPUTED_VALUE"""),45783.0)</f>
        <v>45783</v>
      </c>
      <c r="CZ8" s="179">
        <f>IFERROR(__xludf.DUMMYFUNCTION("""COMPUTED_VALUE"""),0.7)</f>
        <v>0.7</v>
      </c>
      <c r="DA8" s="180">
        <f>IFERROR(__xludf.DUMMYFUNCTION("""COMPUTED_VALUE"""),45722.0)</f>
        <v>45722</v>
      </c>
      <c r="DB8" s="179">
        <f>IFERROR(__xludf.DUMMYFUNCTION("""COMPUTED_VALUE"""),0.75)</f>
        <v>0.75</v>
      </c>
      <c r="DC8" s="180">
        <f>IFERROR(__xludf.DUMMYFUNCTION("""COMPUTED_VALUE"""),45844.0)</f>
        <v>45844</v>
      </c>
      <c r="DD8" s="179">
        <f>IFERROR(__xludf.DUMMYFUNCTION("""COMPUTED_VALUE"""),0.75)</f>
        <v>0.75</v>
      </c>
      <c r="DE8" s="180">
        <f>IFERROR(__xludf.DUMMYFUNCTION("""COMPUTED_VALUE"""),45663.0)</f>
        <v>45663</v>
      </c>
      <c r="DF8" s="179">
        <f>IFERROR(__xludf.DUMMYFUNCTION("""COMPUTED_VALUE"""),0.5)</f>
        <v>0.5</v>
      </c>
      <c r="DG8" s="180">
        <f>IFERROR(__xludf.DUMMYFUNCTION("""COMPUTED_VALUE"""),45753.0)</f>
        <v>45753</v>
      </c>
      <c r="DH8" s="179">
        <f>IFERROR(__xludf.DUMMYFUNCTION("""COMPUTED_VALUE"""),0.75)</f>
        <v>0.75</v>
      </c>
      <c r="DI8" s="180">
        <f>IFERROR(__xludf.DUMMYFUNCTION("""COMPUTED_VALUE"""),45663.0)</f>
        <v>45663</v>
      </c>
      <c r="DJ8" s="179">
        <f>IFERROR(__xludf.DUMMYFUNCTION("""COMPUTED_VALUE"""),0.6)</f>
        <v>0.6</v>
      </c>
      <c r="DK8" s="180">
        <f>IFERROR(__xludf.DUMMYFUNCTION("""COMPUTED_VALUE"""),45663.0)</f>
        <v>45663</v>
      </c>
      <c r="DL8" s="179">
        <f>IFERROR(__xludf.DUMMYFUNCTION("""COMPUTED_VALUE"""),0.5)</f>
        <v>0.5</v>
      </c>
      <c r="DM8" s="180">
        <f>IFERROR(__xludf.DUMMYFUNCTION("""COMPUTED_VALUE"""),45936.0)</f>
        <v>45936</v>
      </c>
      <c r="DN8" s="179">
        <f>IFERROR(__xludf.DUMMYFUNCTION("""COMPUTED_VALUE"""),0.8333333333333334)</f>
        <v>0.8333333333</v>
      </c>
      <c r="DO8" s="180">
        <f>IFERROR(__xludf.DUMMYFUNCTION("""COMPUTED_VALUE"""),45722.0)</f>
        <v>45722</v>
      </c>
      <c r="DP8" s="179">
        <f>IFERROR(__xludf.DUMMYFUNCTION("""COMPUTED_VALUE"""),0.75)</f>
        <v>0.75</v>
      </c>
      <c r="DQ8" s="180">
        <f>IFERROR(__xludf.DUMMYFUNCTION("""COMPUTED_VALUE"""),45783.0)</f>
        <v>45783</v>
      </c>
      <c r="DR8" s="179">
        <f>IFERROR(__xludf.DUMMYFUNCTION("""COMPUTED_VALUE"""),0.75)</f>
        <v>0.75</v>
      </c>
      <c r="DS8" s="182">
        <f>IFERROR(__xludf.DUMMYFUNCTION("""COMPUTED_VALUE"""),45845.0)</f>
        <v>45845</v>
      </c>
      <c r="DT8" s="179">
        <f>IFERROR(__xludf.DUMMYFUNCTION("""COMPUTED_VALUE"""),0.75)</f>
        <v>0.75</v>
      </c>
      <c r="DU8" s="180">
        <f>IFERROR(__xludf.DUMMYFUNCTION("""COMPUTED_VALUE"""),45845.0)</f>
        <v>45845</v>
      </c>
      <c r="DV8" s="179">
        <f>IFERROR(__xludf.DUMMYFUNCTION("""COMPUTED_VALUE"""),1.0)</f>
        <v>1</v>
      </c>
      <c r="DW8" s="180">
        <f>IFERROR(__xludf.DUMMYFUNCTION("""COMPUTED_VALUE"""),45754.0)</f>
        <v>45754</v>
      </c>
      <c r="DX8" s="179">
        <f>IFERROR(__xludf.DUMMYFUNCTION("""COMPUTED_VALUE"""),0.75)</f>
        <v>0.75</v>
      </c>
      <c r="DY8" s="180">
        <f>IFERROR(__xludf.DUMMYFUNCTION("""COMPUTED_VALUE"""),45937.0)</f>
        <v>45937</v>
      </c>
      <c r="DZ8" s="179">
        <f>IFERROR(__xludf.DUMMYFUNCTION("""COMPUTED_VALUE"""),1.0)</f>
        <v>1</v>
      </c>
      <c r="EA8" s="180">
        <f>IFERROR(__xludf.DUMMYFUNCTION("""COMPUTED_VALUE"""),45907.0)</f>
        <v>45907</v>
      </c>
      <c r="EB8" s="179">
        <f>IFERROR(__xludf.DUMMYFUNCTION("""COMPUTED_VALUE"""),0.8333333333333334)</f>
        <v>0.8333333333</v>
      </c>
      <c r="EC8" s="180">
        <f>IFERROR(__xludf.DUMMYFUNCTION("""COMPUTED_VALUE"""),45937.0)</f>
        <v>45937</v>
      </c>
      <c r="ED8" s="179">
        <f>IFERROR(__xludf.DUMMYFUNCTION("""COMPUTED_VALUE"""),1.0)</f>
        <v>1</v>
      </c>
      <c r="EE8" s="180">
        <f>IFERROR(__xludf.DUMMYFUNCTION("""COMPUTED_VALUE"""),45937.0)</f>
        <v>45937</v>
      </c>
      <c r="EF8" s="179">
        <f>IFERROR(__xludf.DUMMYFUNCTION("""COMPUTED_VALUE"""),1.0)</f>
        <v>1</v>
      </c>
      <c r="EG8" s="180">
        <f>IFERROR(__xludf.DUMMYFUNCTION("""COMPUTED_VALUE"""),45937.0)</f>
        <v>45937</v>
      </c>
      <c r="EH8" s="179">
        <f>IFERROR(__xludf.DUMMYFUNCTION("""COMPUTED_VALUE"""),1.0)</f>
        <v>1</v>
      </c>
      <c r="EI8" s="180">
        <f>IFERROR(__xludf.DUMMYFUNCTION("""COMPUTED_VALUE"""),45937.0)</f>
        <v>45937</v>
      </c>
      <c r="EJ8" s="179">
        <f>IFERROR(__xludf.DUMMYFUNCTION("""COMPUTED_VALUE"""),1.0)</f>
        <v>1</v>
      </c>
      <c r="EK8" s="180">
        <f>IFERROR(__xludf.DUMMYFUNCTION("""COMPUTED_VALUE"""),45815.0)</f>
        <v>45815</v>
      </c>
      <c r="EL8" s="179">
        <f>IFERROR(__xludf.DUMMYFUNCTION("""COMPUTED_VALUE"""),1.0)</f>
        <v>1</v>
      </c>
      <c r="EM8" s="182">
        <f>IFERROR(__xludf.DUMMYFUNCTION("""COMPUTED_VALUE"""),45816.0)</f>
        <v>45816</v>
      </c>
      <c r="EN8" s="179">
        <f>IFERROR(__xludf.DUMMYFUNCTION("""COMPUTED_VALUE"""),0.7)</f>
        <v>0.7</v>
      </c>
      <c r="EO8" s="180">
        <f>IFERROR(__xludf.DUMMYFUNCTION("""COMPUTED_VALUE"""),45785.0)</f>
        <v>45785</v>
      </c>
      <c r="EP8" s="179">
        <f>IFERROR(__xludf.DUMMYFUNCTION("""COMPUTED_VALUE"""),0.8333333333333334)</f>
        <v>0.8333333333</v>
      </c>
      <c r="EQ8" s="180">
        <f>IFERROR(__xludf.DUMMYFUNCTION("""COMPUTED_VALUE"""),45846.0)</f>
        <v>45846</v>
      </c>
      <c r="ER8" s="179">
        <f>IFERROR(__xludf.DUMMYFUNCTION("""COMPUTED_VALUE"""),0.625)</f>
        <v>0.625</v>
      </c>
      <c r="ES8" s="180">
        <f>IFERROR(__xludf.DUMMYFUNCTION("""COMPUTED_VALUE"""),45938.0)</f>
        <v>45938</v>
      </c>
      <c r="ET8" s="179">
        <f>IFERROR(__xludf.DUMMYFUNCTION("""COMPUTED_VALUE"""),0.75)</f>
        <v>0.75</v>
      </c>
      <c r="EU8" s="180">
        <f>IFERROR(__xludf.DUMMYFUNCTION("""COMPUTED_VALUE"""),45908.0)</f>
        <v>45908</v>
      </c>
      <c r="EV8" s="179">
        <f>IFERROR(__xludf.DUMMYFUNCTION("""COMPUTED_VALUE"""),0.8333333333333334)</f>
        <v>0.8333333333</v>
      </c>
      <c r="EW8" s="180">
        <f>IFERROR(__xludf.DUMMYFUNCTION("""COMPUTED_VALUE"""),45938.0)</f>
        <v>45938</v>
      </c>
      <c r="EX8" s="179">
        <f>IFERROR(__xludf.DUMMYFUNCTION("""COMPUTED_VALUE"""),1.0)</f>
        <v>1</v>
      </c>
      <c r="EY8" s="180">
        <f>IFERROR(__xludf.DUMMYFUNCTION("""COMPUTED_VALUE"""),45908.0)</f>
        <v>45908</v>
      </c>
      <c r="EZ8" s="179">
        <f>IFERROR(__xludf.DUMMYFUNCTION("""COMPUTED_VALUE"""),0.75)</f>
        <v>0.75</v>
      </c>
      <c r="FA8" s="180">
        <f>IFERROR(__xludf.DUMMYFUNCTION("""COMPUTED_VALUE"""),45938.0)</f>
        <v>45938</v>
      </c>
      <c r="FB8" s="179">
        <f>IFERROR(__xludf.DUMMYFUNCTION("""COMPUTED_VALUE"""),0.8333333333333334)</f>
        <v>0.8333333333</v>
      </c>
      <c r="FC8" s="180">
        <f>IFERROR(__xludf.DUMMYFUNCTION("""COMPUTED_VALUE"""),45785.0)</f>
        <v>45785</v>
      </c>
      <c r="FD8" s="179">
        <f>IFERROR(__xludf.DUMMYFUNCTION("""COMPUTED_VALUE"""),0.8333333333333334)</f>
        <v>0.8333333333</v>
      </c>
      <c r="FE8" s="180">
        <f>IFERROR(__xludf.DUMMYFUNCTION("""COMPUTED_VALUE"""),45877.0)</f>
        <v>45877</v>
      </c>
      <c r="FF8" s="179">
        <f>IFERROR(__xludf.DUMMYFUNCTION("""COMPUTED_VALUE"""),0.8333333333333334)</f>
        <v>0.8333333333</v>
      </c>
      <c r="FG8" s="182">
        <f>IFERROR(__xludf.DUMMYFUNCTION("""COMPUTED_VALUE"""),45817.0)</f>
        <v>45817</v>
      </c>
      <c r="FH8" s="179">
        <f>IFERROR(__xludf.DUMMYFUNCTION("""COMPUTED_VALUE"""),0.7)</f>
        <v>0.7</v>
      </c>
      <c r="FI8" s="180">
        <f>IFERROR(__xludf.DUMMYFUNCTION("""COMPUTED_VALUE"""),45878.0)</f>
        <v>45878</v>
      </c>
      <c r="FJ8" s="179">
        <f>IFERROR(__xludf.DUMMYFUNCTION("""COMPUTED_VALUE"""),1.0)</f>
        <v>1</v>
      </c>
      <c r="FK8" s="180">
        <f>IFERROR(__xludf.DUMMYFUNCTION("""COMPUTED_VALUE"""),45697.0)</f>
        <v>45697</v>
      </c>
      <c r="FL8" s="179">
        <f>IFERROR(__xludf.DUMMYFUNCTION("""COMPUTED_VALUE"""),0.5)</f>
        <v>0.5</v>
      </c>
      <c r="FM8" s="180">
        <f>IFERROR(__xludf.DUMMYFUNCTION("""COMPUTED_VALUE"""),45878.0)</f>
        <v>45878</v>
      </c>
      <c r="FN8" s="179">
        <f>IFERROR(__xludf.DUMMYFUNCTION("""COMPUTED_VALUE"""),0.75)</f>
        <v>0.75</v>
      </c>
      <c r="FO8" s="180">
        <f>IFERROR(__xludf.DUMMYFUNCTION("""COMPUTED_VALUE"""),45909.0)</f>
        <v>45909</v>
      </c>
      <c r="FP8" s="179">
        <f>IFERROR(__xludf.DUMMYFUNCTION("""COMPUTED_VALUE"""),0.8333333333333334)</f>
        <v>0.8333333333</v>
      </c>
      <c r="FQ8" s="180">
        <f>IFERROR(__xludf.DUMMYFUNCTION("""COMPUTED_VALUE"""),45939.0)</f>
        <v>45939</v>
      </c>
      <c r="FR8" s="179">
        <f>IFERROR(__xludf.DUMMYFUNCTION("""COMPUTED_VALUE"""),0.75)</f>
        <v>0.75</v>
      </c>
      <c r="FS8" s="180">
        <f>IFERROR(__xludf.DUMMYFUNCTION("""COMPUTED_VALUE"""),45725.0)</f>
        <v>45725</v>
      </c>
      <c r="FT8" s="179">
        <f>IFERROR(__xludf.DUMMYFUNCTION("""COMPUTED_VALUE"""),0.75)</f>
        <v>0.75</v>
      </c>
      <c r="FU8" s="180">
        <f>IFERROR(__xludf.DUMMYFUNCTION("""COMPUTED_VALUE"""),45756.0)</f>
        <v>45756</v>
      </c>
      <c r="FV8" s="179">
        <f>IFERROR(__xludf.DUMMYFUNCTION("""COMPUTED_VALUE"""),0.75)</f>
        <v>0.75</v>
      </c>
      <c r="FW8" s="180">
        <f>IFERROR(__xludf.DUMMYFUNCTION("""COMPUTED_VALUE"""),45939.0)</f>
        <v>45939</v>
      </c>
      <c r="FX8" s="179">
        <f>IFERROR(__xludf.DUMMYFUNCTION("""COMPUTED_VALUE"""),1.0)</f>
        <v>1</v>
      </c>
      <c r="FY8" s="180">
        <f>IFERROR(__xludf.DUMMYFUNCTION("""COMPUTED_VALUE"""),45847.0)</f>
        <v>45847</v>
      </c>
      <c r="FZ8" s="179">
        <f>IFERROR(__xludf.DUMMYFUNCTION("""COMPUTED_VALUE"""),0.75)</f>
        <v>0.75</v>
      </c>
      <c r="GA8" s="182">
        <f>IFERROR(__xludf.DUMMYFUNCTION("""COMPUTED_VALUE"""),45879.0)</f>
        <v>45879</v>
      </c>
      <c r="GB8" s="179">
        <f>IFERROR(__xludf.DUMMYFUNCTION("""COMPUTED_VALUE"""),0.75)</f>
        <v>0.75</v>
      </c>
      <c r="GC8" s="180">
        <f>IFERROR(__xludf.DUMMYFUNCTION("""COMPUTED_VALUE"""),45879.0)</f>
        <v>45879</v>
      </c>
      <c r="GD8" s="179">
        <f>IFERROR(__xludf.DUMMYFUNCTION("""COMPUTED_VALUE"""),1.0)</f>
        <v>1</v>
      </c>
      <c r="GE8" s="180">
        <f>IFERROR(__xludf.DUMMYFUNCTION("""COMPUTED_VALUE"""),45787.0)</f>
        <v>45787</v>
      </c>
      <c r="GF8" s="179">
        <f>IFERROR(__xludf.DUMMYFUNCTION("""COMPUTED_VALUE"""),0.75)</f>
        <v>0.75</v>
      </c>
      <c r="GG8" s="180">
        <f>IFERROR(__xludf.DUMMYFUNCTION("""COMPUTED_VALUE"""),45726.0)</f>
        <v>45726</v>
      </c>
      <c r="GH8" s="179">
        <f>IFERROR(__xludf.DUMMYFUNCTION("""COMPUTED_VALUE"""),0.75)</f>
        <v>0.75</v>
      </c>
      <c r="GI8" s="180">
        <f>IFERROR(__xludf.DUMMYFUNCTION("""COMPUTED_VALUE"""),45667.0)</f>
        <v>45667</v>
      </c>
      <c r="GJ8" s="179">
        <f>IFERROR(__xludf.DUMMYFUNCTION("""COMPUTED_VALUE"""),0.8)</f>
        <v>0.8</v>
      </c>
      <c r="GK8" s="180">
        <f>IFERROR(__xludf.DUMMYFUNCTION("""COMPUTED_VALUE"""),45848.0)</f>
        <v>45848</v>
      </c>
      <c r="GL8" s="179">
        <f>IFERROR(__xludf.DUMMYFUNCTION("""COMPUTED_VALUE"""),0.75)</f>
        <v>0.75</v>
      </c>
      <c r="GM8" s="180">
        <f>IFERROR(__xludf.DUMMYFUNCTION("""COMPUTED_VALUE"""),45787.0)</f>
        <v>45787</v>
      </c>
      <c r="GN8" s="179">
        <f>IFERROR(__xludf.DUMMYFUNCTION("""COMPUTED_VALUE"""),0.75)</f>
        <v>0.75</v>
      </c>
      <c r="GO8" s="180">
        <f>IFERROR(__xludf.DUMMYFUNCTION("""COMPUTED_VALUE"""),45787.0)</f>
        <v>45787</v>
      </c>
      <c r="GP8" s="179">
        <f>IFERROR(__xludf.DUMMYFUNCTION("""COMPUTED_VALUE"""),0.9)</f>
        <v>0.9</v>
      </c>
      <c r="GQ8" s="180">
        <f>IFERROR(__xludf.DUMMYFUNCTION("""COMPUTED_VALUE"""),45787.0)</f>
        <v>45787</v>
      </c>
      <c r="GR8" s="179">
        <f>IFERROR(__xludf.DUMMYFUNCTION("""COMPUTED_VALUE"""),0.8333333333333334)</f>
        <v>0.8333333333</v>
      </c>
      <c r="GS8" s="180">
        <f>IFERROR(__xludf.DUMMYFUNCTION("""COMPUTED_VALUE"""),45879.0)</f>
        <v>45879</v>
      </c>
      <c r="GT8" s="179">
        <f>IFERROR(__xludf.DUMMYFUNCTION("""COMPUTED_VALUE"""),0.8333333333333334)</f>
        <v>0.8333333333</v>
      </c>
    </row>
    <row r="9" ht="31.5" customHeight="1">
      <c r="A9" s="177" t="s">
        <v>3051</v>
      </c>
      <c r="B9" s="102"/>
      <c r="C9" s="178">
        <f>IFERROR(__xludf.DUMMYFUNCTION("""COMPUTED_VALUE"""),45748.0)</f>
        <v>45748</v>
      </c>
      <c r="D9" s="179">
        <f>IFERROR(__xludf.DUMMYFUNCTION("""COMPUTED_VALUE"""),0.5)</f>
        <v>0.5</v>
      </c>
      <c r="E9" s="180">
        <f>IFERROR(__xludf.DUMMYFUNCTION("""COMPUTED_VALUE"""),45931.0)</f>
        <v>45931</v>
      </c>
      <c r="F9" s="179">
        <f>IFERROR(__xludf.DUMMYFUNCTION("""COMPUTED_VALUE"""),1.0)</f>
        <v>1</v>
      </c>
      <c r="G9" s="180">
        <f>IFERROR(__xludf.DUMMYFUNCTION("""COMPUTED_VALUE"""),45809.0)</f>
        <v>45809</v>
      </c>
      <c r="H9" s="179">
        <f>IFERROR(__xludf.DUMMYFUNCTION("""COMPUTED_VALUE"""),0.5)</f>
        <v>0.5</v>
      </c>
      <c r="I9" s="180">
        <f>IFERROR(__xludf.DUMMYFUNCTION("""COMPUTED_VALUE"""),45658.0)</f>
        <v>45658</v>
      </c>
      <c r="J9" s="179">
        <f>IFERROR(__xludf.DUMMYFUNCTION("""COMPUTED_VALUE"""),0.5)</f>
        <v>0.5</v>
      </c>
      <c r="K9" s="180">
        <f>IFERROR(__xludf.DUMMYFUNCTION("""COMPUTED_VALUE"""),45870.0)</f>
        <v>45870</v>
      </c>
      <c r="L9" s="179">
        <f>IFERROR(__xludf.DUMMYFUNCTION("""COMPUTED_VALUE"""),0.8)</f>
        <v>0.8</v>
      </c>
      <c r="M9" s="180">
        <f>IFERROR(__xludf.DUMMYFUNCTION("""COMPUTED_VALUE"""),45658.0)</f>
        <v>45658</v>
      </c>
      <c r="N9" s="179">
        <f>IFERROR(__xludf.DUMMYFUNCTION("""COMPUTED_VALUE"""),0.7)</f>
        <v>0.7</v>
      </c>
      <c r="O9" s="180">
        <f>IFERROR(__xludf.DUMMYFUNCTION("""COMPUTED_VALUE"""),45658.0)</f>
        <v>45658</v>
      </c>
      <c r="P9" s="179">
        <f>IFERROR(__xludf.DUMMYFUNCTION("""COMPUTED_VALUE"""),0.5)</f>
        <v>0.5</v>
      </c>
      <c r="Q9" s="180">
        <f>IFERROR(__xludf.DUMMYFUNCTION("""COMPUTED_VALUE"""),45658.0)</f>
        <v>45658</v>
      </c>
      <c r="R9" s="179">
        <f>IFERROR(__xludf.DUMMYFUNCTION("""COMPUTED_VALUE"""),0.75)</f>
        <v>0.75</v>
      </c>
      <c r="S9" s="180">
        <f>IFERROR(__xludf.DUMMYFUNCTION("""COMPUTED_VALUE"""),45748.0)</f>
        <v>45748</v>
      </c>
      <c r="T9" s="179">
        <f>IFERROR(__xludf.DUMMYFUNCTION("""COMPUTED_VALUE"""),0.6666666666666666)</f>
        <v>0.6666666667</v>
      </c>
      <c r="U9" s="180">
        <f>IFERROR(__xludf.DUMMYFUNCTION("""COMPUTED_VALUE"""),45839.0)</f>
        <v>45839</v>
      </c>
      <c r="V9" s="181">
        <f>IFERROR(__xludf.DUMMYFUNCTION("""COMPUTED_VALUE"""),0.75)</f>
        <v>0.75</v>
      </c>
      <c r="W9" s="178">
        <f>IFERROR(__xludf.DUMMYFUNCTION("""COMPUTED_VALUE"""),45810.0)</f>
        <v>45810</v>
      </c>
      <c r="X9" s="179">
        <f>IFERROR(__xludf.DUMMYFUNCTION("""COMPUTED_VALUE"""),0.7)</f>
        <v>0.7</v>
      </c>
      <c r="Y9" s="180">
        <f>IFERROR(__xludf.DUMMYFUNCTION("""COMPUTED_VALUE"""),45871.0)</f>
        <v>45871</v>
      </c>
      <c r="Z9" s="179">
        <f>IFERROR(__xludf.DUMMYFUNCTION("""COMPUTED_VALUE"""),1.0)</f>
        <v>1</v>
      </c>
      <c r="AA9" s="180">
        <f>IFERROR(__xludf.DUMMYFUNCTION("""COMPUTED_VALUE"""),45902.0)</f>
        <v>45902</v>
      </c>
      <c r="AB9" s="179">
        <f>IFERROR(__xludf.DUMMYFUNCTION("""COMPUTED_VALUE"""),0.75)</f>
        <v>0.75</v>
      </c>
      <c r="AC9" s="180">
        <f>IFERROR(__xludf.DUMMYFUNCTION("""COMPUTED_VALUE"""),45932.0)</f>
        <v>45932</v>
      </c>
      <c r="AD9" s="179">
        <f>IFERROR(__xludf.DUMMYFUNCTION("""COMPUTED_VALUE"""),0.75)</f>
        <v>0.75</v>
      </c>
      <c r="AE9" s="180">
        <f>IFERROR(__xludf.DUMMYFUNCTION("""COMPUTED_VALUE"""),45840.0)</f>
        <v>45840</v>
      </c>
      <c r="AF9" s="179">
        <f>IFERROR(__xludf.DUMMYFUNCTION("""COMPUTED_VALUE"""),0.75)</f>
        <v>0.75</v>
      </c>
      <c r="AG9" s="180">
        <f>IFERROR(__xludf.DUMMYFUNCTION("""COMPUTED_VALUE"""),45659.0)</f>
        <v>45659</v>
      </c>
      <c r="AH9" s="179">
        <f>IFERROR(__xludf.DUMMYFUNCTION("""COMPUTED_VALUE"""),0.7)</f>
        <v>0.7</v>
      </c>
      <c r="AI9" s="180">
        <f>IFERROR(__xludf.DUMMYFUNCTION("""COMPUTED_VALUE"""),45718.0)</f>
        <v>45718</v>
      </c>
      <c r="AJ9" s="179">
        <f>IFERROR(__xludf.DUMMYFUNCTION("""COMPUTED_VALUE"""),0.875)</f>
        <v>0.875</v>
      </c>
      <c r="AK9" s="180">
        <f>IFERROR(__xludf.DUMMYFUNCTION("""COMPUTED_VALUE"""),45659.0)</f>
        <v>45659</v>
      </c>
      <c r="AL9" s="179">
        <f>IFERROR(__xludf.DUMMYFUNCTION("""COMPUTED_VALUE"""),0.75)</f>
        <v>0.75</v>
      </c>
      <c r="AM9" s="180">
        <f>IFERROR(__xludf.DUMMYFUNCTION("""COMPUTED_VALUE"""),45779.0)</f>
        <v>45779</v>
      </c>
      <c r="AN9" s="179">
        <f>IFERROR(__xludf.DUMMYFUNCTION("""COMPUTED_VALUE"""),0.8333333333333334)</f>
        <v>0.8333333333</v>
      </c>
      <c r="AO9" s="180">
        <f>IFERROR(__xludf.DUMMYFUNCTION("""COMPUTED_VALUE"""),45749.0)</f>
        <v>45749</v>
      </c>
      <c r="AP9" s="181">
        <f>IFERROR(__xludf.DUMMYFUNCTION("""COMPUTED_VALUE"""),0.75)</f>
        <v>0.75</v>
      </c>
      <c r="AQ9" s="178">
        <f>IFERROR(__xludf.DUMMYFUNCTION("""COMPUTED_VALUE"""),45750.0)</f>
        <v>45750</v>
      </c>
      <c r="AR9" s="179">
        <f>IFERROR(__xludf.DUMMYFUNCTION("""COMPUTED_VALUE"""),0.5)</f>
        <v>0.5</v>
      </c>
      <c r="AS9" s="180">
        <f>IFERROR(__xludf.DUMMYFUNCTION("""COMPUTED_VALUE"""),45903.0)</f>
        <v>45903</v>
      </c>
      <c r="AT9" s="179">
        <f>IFERROR(__xludf.DUMMYFUNCTION("""COMPUTED_VALUE"""),1.0)</f>
        <v>1</v>
      </c>
      <c r="AU9" s="180">
        <f>IFERROR(__xludf.DUMMYFUNCTION("""COMPUTED_VALUE"""),45660.0)</f>
        <v>45660</v>
      </c>
      <c r="AV9" s="179">
        <f>IFERROR(__xludf.DUMMYFUNCTION("""COMPUTED_VALUE"""),0.5)</f>
        <v>0.5</v>
      </c>
      <c r="AW9" s="180">
        <f>IFERROR(__xludf.DUMMYFUNCTION("""COMPUTED_VALUE"""),45719.0)</f>
        <v>45719</v>
      </c>
      <c r="AX9" s="179">
        <f>IFERROR(__xludf.DUMMYFUNCTION("""COMPUTED_VALUE"""),0.75)</f>
        <v>0.75</v>
      </c>
      <c r="AY9" s="180">
        <f>IFERROR(__xludf.DUMMYFUNCTION("""COMPUTED_VALUE"""),45660.0)</f>
        <v>45660</v>
      </c>
      <c r="AZ9" s="179">
        <f>IFERROR(__xludf.DUMMYFUNCTION("""COMPUTED_VALUE"""),0.8)</f>
        <v>0.8</v>
      </c>
      <c r="BA9" s="180">
        <f>IFERROR(__xludf.DUMMYFUNCTION("""COMPUTED_VALUE"""),45660.0)</f>
        <v>45660</v>
      </c>
      <c r="BB9" s="179">
        <f>IFERROR(__xludf.DUMMYFUNCTION("""COMPUTED_VALUE"""),0.7)</f>
        <v>0.7</v>
      </c>
      <c r="BC9" s="180">
        <f>IFERROR(__xludf.DUMMYFUNCTION("""COMPUTED_VALUE"""),45719.0)</f>
        <v>45719</v>
      </c>
      <c r="BD9" s="179">
        <f>IFERROR(__xludf.DUMMYFUNCTION("""COMPUTED_VALUE"""),0.875)</f>
        <v>0.875</v>
      </c>
      <c r="BE9" s="180">
        <f>IFERROR(__xludf.DUMMYFUNCTION("""COMPUTED_VALUE"""),45719.0)</f>
        <v>45719</v>
      </c>
      <c r="BF9" s="179">
        <f>IFERROR(__xludf.DUMMYFUNCTION("""COMPUTED_VALUE"""),0.8333333333333334)</f>
        <v>0.8333333333</v>
      </c>
      <c r="BG9" s="180">
        <f>IFERROR(__xludf.DUMMYFUNCTION("""COMPUTED_VALUE"""),45660.0)</f>
        <v>45660</v>
      </c>
      <c r="BH9" s="179">
        <f>IFERROR(__xludf.DUMMYFUNCTION("""COMPUTED_VALUE"""),0.9)</f>
        <v>0.9</v>
      </c>
      <c r="BI9" s="180">
        <f>IFERROR(__xludf.DUMMYFUNCTION("""COMPUTED_VALUE"""),45841.0)</f>
        <v>45841</v>
      </c>
      <c r="BJ9" s="179">
        <f>IFERROR(__xludf.DUMMYFUNCTION("""COMPUTED_VALUE"""),1.0)</f>
        <v>1</v>
      </c>
      <c r="BK9" s="182">
        <f>IFERROR(__xludf.DUMMYFUNCTION("""COMPUTED_VALUE"""),45751.0)</f>
        <v>45751</v>
      </c>
      <c r="BL9" s="179">
        <f>IFERROR(__xludf.DUMMYFUNCTION("""COMPUTED_VALUE"""),0.5)</f>
        <v>0.5</v>
      </c>
      <c r="BM9" s="180">
        <f>IFERROR(__xludf.DUMMYFUNCTION("""COMPUTED_VALUE"""),45873.0)</f>
        <v>45873</v>
      </c>
      <c r="BN9" s="179">
        <f>IFERROR(__xludf.DUMMYFUNCTION("""COMPUTED_VALUE"""),0.75)</f>
        <v>0.75</v>
      </c>
      <c r="BO9" s="180">
        <f>IFERROR(__xludf.DUMMYFUNCTION("""COMPUTED_VALUE"""),45781.0)</f>
        <v>45781</v>
      </c>
      <c r="BP9" s="179">
        <f>IFERROR(__xludf.DUMMYFUNCTION("""COMPUTED_VALUE"""),0.5)</f>
        <v>0.5</v>
      </c>
      <c r="BQ9" s="180">
        <f>IFERROR(__xludf.DUMMYFUNCTION("""COMPUTED_VALUE"""),45720.0)</f>
        <v>45720</v>
      </c>
      <c r="BR9" s="179">
        <f>IFERROR(__xludf.DUMMYFUNCTION("""COMPUTED_VALUE"""),0.5)</f>
        <v>0.5</v>
      </c>
      <c r="BS9" s="180">
        <f>IFERROR(__xludf.DUMMYFUNCTION("""COMPUTED_VALUE"""),45842.0)</f>
        <v>45842</v>
      </c>
      <c r="BT9" s="179">
        <f>IFERROR(__xludf.DUMMYFUNCTION("""COMPUTED_VALUE"""),0.75)</f>
        <v>0.75</v>
      </c>
      <c r="BU9" s="180">
        <f>IFERROR(__xludf.DUMMYFUNCTION("""COMPUTED_VALUE"""),45904.0)</f>
        <v>45904</v>
      </c>
      <c r="BV9" s="179">
        <f>IFERROR(__xludf.DUMMYFUNCTION("""COMPUTED_VALUE"""),0.75)</f>
        <v>0.75</v>
      </c>
      <c r="BW9" s="180">
        <f>IFERROR(__xludf.DUMMYFUNCTION("""COMPUTED_VALUE"""),45934.0)</f>
        <v>45934</v>
      </c>
      <c r="BX9" s="179">
        <f>IFERROR(__xludf.DUMMYFUNCTION("""COMPUTED_VALUE"""),0.5)</f>
        <v>0.5</v>
      </c>
      <c r="BY9" s="180">
        <f>IFERROR(__xludf.DUMMYFUNCTION("""COMPUTED_VALUE"""),45692.0)</f>
        <v>45692</v>
      </c>
      <c r="BZ9" s="179">
        <f>IFERROR(__xludf.DUMMYFUNCTION("""COMPUTED_VALUE"""),0.75)</f>
        <v>0.75</v>
      </c>
      <c r="CA9" s="180">
        <f>IFERROR(__xludf.DUMMYFUNCTION("""COMPUTED_VALUE"""),45873.0)</f>
        <v>45873</v>
      </c>
      <c r="CB9" s="179">
        <f>IFERROR(__xludf.DUMMYFUNCTION("""COMPUTED_VALUE"""),0.75)</f>
        <v>0.75</v>
      </c>
      <c r="CC9" s="180">
        <f>IFERROR(__xludf.DUMMYFUNCTION("""COMPUTED_VALUE"""),45720.0)</f>
        <v>45720</v>
      </c>
      <c r="CD9" s="179">
        <f>IFERROR(__xludf.DUMMYFUNCTION("""COMPUTED_VALUE"""),0.6666666666666666)</f>
        <v>0.6666666667</v>
      </c>
      <c r="CE9" s="182">
        <f>IFERROR(__xludf.DUMMYFUNCTION("""COMPUTED_VALUE"""),45813.0)</f>
        <v>45813</v>
      </c>
      <c r="CF9" s="179">
        <f>IFERROR(__xludf.DUMMYFUNCTION("""COMPUTED_VALUE"""),0.7)</f>
        <v>0.7</v>
      </c>
      <c r="CG9" s="180">
        <f>IFERROR(__xludf.DUMMYFUNCTION("""COMPUTED_VALUE"""),45874.0)</f>
        <v>45874</v>
      </c>
      <c r="CH9" s="179">
        <f>IFERROR(__xludf.DUMMYFUNCTION("""COMPUTED_VALUE"""),0.75)</f>
        <v>0.75</v>
      </c>
      <c r="CI9" s="180">
        <f>IFERROR(__xludf.DUMMYFUNCTION("""COMPUTED_VALUE"""),45843.0)</f>
        <v>45843</v>
      </c>
      <c r="CJ9" s="179">
        <f>IFERROR(__xludf.DUMMYFUNCTION("""COMPUTED_VALUE"""),0.625)</f>
        <v>0.625</v>
      </c>
      <c r="CK9" s="180">
        <f>IFERROR(__xludf.DUMMYFUNCTION("""COMPUTED_VALUE"""),45935.0)</f>
        <v>45935</v>
      </c>
      <c r="CL9" s="179">
        <f>IFERROR(__xludf.DUMMYFUNCTION("""COMPUTED_VALUE"""),0.75)</f>
        <v>0.75</v>
      </c>
      <c r="CM9" s="180">
        <f>IFERROR(__xludf.DUMMYFUNCTION("""COMPUTED_VALUE"""),45721.0)</f>
        <v>45721</v>
      </c>
      <c r="CN9" s="179">
        <f>IFERROR(__xludf.DUMMYFUNCTION("""COMPUTED_VALUE"""),0.75)</f>
        <v>0.75</v>
      </c>
      <c r="CO9" s="180">
        <f>IFERROR(__xludf.DUMMYFUNCTION("""COMPUTED_VALUE"""),45662.0)</f>
        <v>45662</v>
      </c>
      <c r="CP9" s="179">
        <f>IFERROR(__xludf.DUMMYFUNCTION("""COMPUTED_VALUE"""),0.7)</f>
        <v>0.7</v>
      </c>
      <c r="CQ9" s="180">
        <f>IFERROR(__xludf.DUMMYFUNCTION("""COMPUTED_VALUE"""),45721.0)</f>
        <v>45721</v>
      </c>
      <c r="CR9" s="179">
        <f>IFERROR(__xludf.DUMMYFUNCTION("""COMPUTED_VALUE"""),0.625)</f>
        <v>0.625</v>
      </c>
      <c r="CS9" s="180">
        <f>IFERROR(__xludf.DUMMYFUNCTION("""COMPUTED_VALUE"""),45752.0)</f>
        <v>45752</v>
      </c>
      <c r="CT9" s="179">
        <f>IFERROR(__xludf.DUMMYFUNCTION("""COMPUTED_VALUE"""),0.75)</f>
        <v>0.75</v>
      </c>
      <c r="CU9" s="180">
        <f>IFERROR(__xludf.DUMMYFUNCTION("""COMPUTED_VALUE"""),45782.0)</f>
        <v>45782</v>
      </c>
      <c r="CV9" s="179">
        <f>IFERROR(__xludf.DUMMYFUNCTION("""COMPUTED_VALUE"""),0.8333333333333334)</f>
        <v>0.8333333333</v>
      </c>
      <c r="CW9" s="180">
        <f>IFERROR(__xludf.DUMMYFUNCTION("""COMPUTED_VALUE"""),45721.0)</f>
        <v>45721</v>
      </c>
      <c r="CX9" s="179">
        <f>IFERROR(__xludf.DUMMYFUNCTION("""COMPUTED_VALUE"""),0.6666666666666666)</f>
        <v>0.6666666667</v>
      </c>
      <c r="CY9" s="182">
        <f>IFERROR(__xludf.DUMMYFUNCTION("""COMPUTED_VALUE"""),45814.0)</f>
        <v>45814</v>
      </c>
      <c r="CZ9" s="179">
        <f>IFERROR(__xludf.DUMMYFUNCTION("""COMPUTED_VALUE"""),0.6)</f>
        <v>0.6</v>
      </c>
      <c r="DA9" s="180">
        <f>IFERROR(__xludf.DUMMYFUNCTION("""COMPUTED_VALUE"""),45936.0)</f>
        <v>45936</v>
      </c>
      <c r="DB9" s="179">
        <f>IFERROR(__xludf.DUMMYFUNCTION("""COMPUTED_VALUE"""),0.75)</f>
        <v>0.75</v>
      </c>
      <c r="DC9" s="180">
        <f>IFERROR(__xludf.DUMMYFUNCTION("""COMPUTED_VALUE"""),45753.0)</f>
        <v>45753</v>
      </c>
      <c r="DD9" s="179">
        <f>IFERROR(__xludf.DUMMYFUNCTION("""COMPUTED_VALUE"""),0.625)</f>
        <v>0.625</v>
      </c>
      <c r="DE9" s="180">
        <f>IFERROR(__xludf.DUMMYFUNCTION("""COMPUTED_VALUE"""),45694.0)</f>
        <v>45694</v>
      </c>
      <c r="DF9" s="179">
        <f>IFERROR(__xludf.DUMMYFUNCTION("""COMPUTED_VALUE"""),0.5)</f>
        <v>0.5</v>
      </c>
      <c r="DG9" s="180">
        <f>IFERROR(__xludf.DUMMYFUNCTION("""COMPUTED_VALUE"""),45936.0)</f>
        <v>45936</v>
      </c>
      <c r="DH9" s="179">
        <f>IFERROR(__xludf.DUMMYFUNCTION("""COMPUTED_VALUE"""),0.75)</f>
        <v>0.75</v>
      </c>
      <c r="DI9" s="180">
        <f>IFERROR(__xludf.DUMMYFUNCTION("""COMPUTED_VALUE"""),45722.0)</f>
        <v>45722</v>
      </c>
      <c r="DJ9" s="179">
        <f>IFERROR(__xludf.DUMMYFUNCTION("""COMPUTED_VALUE"""),0.5)</f>
        <v>0.5</v>
      </c>
      <c r="DK9" s="180">
        <f>IFERROR(__xludf.DUMMYFUNCTION("""COMPUTED_VALUE"""),45694.0)</f>
        <v>45694</v>
      </c>
      <c r="DL9" s="179">
        <f>IFERROR(__xludf.DUMMYFUNCTION("""COMPUTED_VALUE"""),0.5)</f>
        <v>0.5</v>
      </c>
      <c r="DM9" s="180">
        <f>IFERROR(__xludf.DUMMYFUNCTION("""COMPUTED_VALUE"""),45663.0)</f>
        <v>45663</v>
      </c>
      <c r="DN9" s="179">
        <f>IFERROR(__xludf.DUMMYFUNCTION("""COMPUTED_VALUE"""),0.75)</f>
        <v>0.75</v>
      </c>
      <c r="DO9" s="180">
        <f>IFERROR(__xludf.DUMMYFUNCTION("""COMPUTED_VALUE"""),45814.0)</f>
        <v>45814</v>
      </c>
      <c r="DP9" s="179">
        <f>IFERROR(__xludf.DUMMYFUNCTION("""COMPUTED_VALUE"""),0.75)</f>
        <v>0.75</v>
      </c>
      <c r="DQ9" s="180">
        <f>IFERROR(__xludf.DUMMYFUNCTION("""COMPUTED_VALUE"""),45814.0)</f>
        <v>45814</v>
      </c>
      <c r="DR9" s="179">
        <f>IFERROR(__xludf.DUMMYFUNCTION("""COMPUTED_VALUE"""),0.75)</f>
        <v>0.75</v>
      </c>
      <c r="DS9" s="182">
        <f>IFERROR(__xludf.DUMMYFUNCTION("""COMPUTED_VALUE"""),45876.0)</f>
        <v>45876</v>
      </c>
      <c r="DT9" s="179">
        <f>IFERROR(__xludf.DUMMYFUNCTION("""COMPUTED_VALUE"""),0.75)</f>
        <v>0.75</v>
      </c>
      <c r="DU9" s="180">
        <f>IFERROR(__xludf.DUMMYFUNCTION("""COMPUTED_VALUE"""),45876.0)</f>
        <v>45876</v>
      </c>
      <c r="DV9" s="179">
        <f>IFERROR(__xludf.DUMMYFUNCTION("""COMPUTED_VALUE"""),1.0)</f>
        <v>1</v>
      </c>
      <c r="DW9" s="180">
        <f>IFERROR(__xludf.DUMMYFUNCTION("""COMPUTED_VALUE"""),45784.0)</f>
        <v>45784</v>
      </c>
      <c r="DX9" s="179">
        <f>IFERROR(__xludf.DUMMYFUNCTION("""COMPUTED_VALUE"""),0.75)</f>
        <v>0.75</v>
      </c>
      <c r="DY9" s="180">
        <f>IFERROR(__xludf.DUMMYFUNCTION("""COMPUTED_VALUE"""),45723.0)</f>
        <v>45723</v>
      </c>
      <c r="DZ9" s="179">
        <f>IFERROR(__xludf.DUMMYFUNCTION("""COMPUTED_VALUE"""),0.75)</f>
        <v>0.75</v>
      </c>
      <c r="EA9" s="180">
        <f>IFERROR(__xludf.DUMMYFUNCTION("""COMPUTED_VALUE"""),45664.0)</f>
        <v>45664</v>
      </c>
      <c r="EB9" s="179">
        <f>IFERROR(__xludf.DUMMYFUNCTION("""COMPUTED_VALUE"""),0.8)</f>
        <v>0.8</v>
      </c>
      <c r="EC9" s="180">
        <f>IFERROR(__xludf.DUMMYFUNCTION("""COMPUTED_VALUE"""),45664.0)</f>
        <v>45664</v>
      </c>
      <c r="ED9" s="179">
        <f>IFERROR(__xludf.DUMMYFUNCTION("""COMPUTED_VALUE"""),0.8)</f>
        <v>0.8</v>
      </c>
      <c r="EE9" s="180">
        <f>IFERROR(__xludf.DUMMYFUNCTION("""COMPUTED_VALUE"""),45723.0)</f>
        <v>45723</v>
      </c>
      <c r="EF9" s="179">
        <f>IFERROR(__xludf.DUMMYFUNCTION("""COMPUTED_VALUE"""),0.875)</f>
        <v>0.875</v>
      </c>
      <c r="EG9" s="180">
        <f>IFERROR(__xludf.DUMMYFUNCTION("""COMPUTED_VALUE"""),45784.0)</f>
        <v>45784</v>
      </c>
      <c r="EH9" s="179">
        <f>IFERROR(__xludf.DUMMYFUNCTION("""COMPUTED_VALUE"""),0.9)</f>
        <v>0.9</v>
      </c>
      <c r="EI9" s="180">
        <f>IFERROR(__xludf.DUMMYFUNCTION("""COMPUTED_VALUE"""),45664.0)</f>
        <v>45664</v>
      </c>
      <c r="EJ9" s="179">
        <f>IFERROR(__xludf.DUMMYFUNCTION("""COMPUTED_VALUE"""),0.9)</f>
        <v>0.9</v>
      </c>
      <c r="EK9" s="180">
        <f>IFERROR(__xludf.DUMMYFUNCTION("""COMPUTED_VALUE"""),45845.0)</f>
        <v>45845</v>
      </c>
      <c r="EL9" s="179">
        <f>IFERROR(__xludf.DUMMYFUNCTION("""COMPUTED_VALUE"""),1.0)</f>
        <v>1</v>
      </c>
      <c r="EM9" s="182">
        <f>IFERROR(__xludf.DUMMYFUNCTION("""COMPUTED_VALUE"""),45755.0)</f>
        <v>45755</v>
      </c>
      <c r="EN9" s="179">
        <f>IFERROR(__xludf.DUMMYFUNCTION("""COMPUTED_VALUE"""),0.5)</f>
        <v>0.5</v>
      </c>
      <c r="EO9" s="180">
        <f>IFERROR(__xludf.DUMMYFUNCTION("""COMPUTED_VALUE"""),45877.0)</f>
        <v>45877</v>
      </c>
      <c r="EP9" s="179">
        <f>IFERROR(__xludf.DUMMYFUNCTION("""COMPUTED_VALUE"""),0.75)</f>
        <v>0.75</v>
      </c>
      <c r="EQ9" s="180">
        <f>IFERROR(__xludf.DUMMYFUNCTION("""COMPUTED_VALUE"""),45696.0)</f>
        <v>45696</v>
      </c>
      <c r="ER9" s="179">
        <f>IFERROR(__xludf.DUMMYFUNCTION("""COMPUTED_VALUE"""),0.5)</f>
        <v>0.5</v>
      </c>
      <c r="ES9" s="180">
        <f>IFERROR(__xludf.DUMMYFUNCTION("""COMPUTED_VALUE"""),45724.0)</f>
        <v>45724</v>
      </c>
      <c r="ET9" s="179">
        <f>IFERROR(__xludf.DUMMYFUNCTION("""COMPUTED_VALUE"""),0.625)</f>
        <v>0.625</v>
      </c>
      <c r="EU9" s="180">
        <f>IFERROR(__xludf.DUMMYFUNCTION("""COMPUTED_VALUE"""),45665.0)</f>
        <v>45665</v>
      </c>
      <c r="EV9" s="179">
        <f>IFERROR(__xludf.DUMMYFUNCTION("""COMPUTED_VALUE"""),0.8)</f>
        <v>0.8</v>
      </c>
      <c r="EW9" s="180">
        <f>IFERROR(__xludf.DUMMYFUNCTION("""COMPUTED_VALUE"""),45665.0)</f>
        <v>45665</v>
      </c>
      <c r="EX9" s="179">
        <f>IFERROR(__xludf.DUMMYFUNCTION("""COMPUTED_VALUE"""),0.7)</f>
        <v>0.7</v>
      </c>
      <c r="EY9" s="180">
        <f>IFERROR(__xludf.DUMMYFUNCTION("""COMPUTED_VALUE"""),45724.0)</f>
        <v>45724</v>
      </c>
      <c r="EZ9" s="179">
        <f>IFERROR(__xludf.DUMMYFUNCTION("""COMPUTED_VALUE"""),0.625)</f>
        <v>0.625</v>
      </c>
      <c r="FA9" s="180">
        <f>IFERROR(__xludf.DUMMYFUNCTION("""COMPUTED_VALUE"""),45665.0)</f>
        <v>45665</v>
      </c>
      <c r="FB9" s="179">
        <f>IFERROR(__xludf.DUMMYFUNCTION("""COMPUTED_VALUE"""),0.75)</f>
        <v>0.75</v>
      </c>
      <c r="FC9" s="180">
        <f>IFERROR(__xludf.DUMMYFUNCTION("""COMPUTED_VALUE"""),45665.0)</f>
        <v>45665</v>
      </c>
      <c r="FD9" s="179">
        <f>IFERROR(__xludf.DUMMYFUNCTION("""COMPUTED_VALUE"""),0.8)</f>
        <v>0.8</v>
      </c>
      <c r="FE9" s="180">
        <f>IFERROR(__xludf.DUMMYFUNCTION("""COMPUTED_VALUE"""),45696.0)</f>
        <v>45696</v>
      </c>
      <c r="FF9" s="179">
        <f>IFERROR(__xludf.DUMMYFUNCTION("""COMPUTED_VALUE"""),0.75)</f>
        <v>0.75</v>
      </c>
      <c r="FG9" s="182">
        <f>IFERROR(__xludf.DUMMYFUNCTION("""COMPUTED_VALUE"""),45756.0)</f>
        <v>45756</v>
      </c>
      <c r="FH9" s="179">
        <f>IFERROR(__xludf.DUMMYFUNCTION("""COMPUTED_VALUE"""),0.5)</f>
        <v>0.5</v>
      </c>
      <c r="FI9" s="180">
        <f>IFERROR(__xludf.DUMMYFUNCTION("""COMPUTED_VALUE"""),45909.0)</f>
        <v>45909</v>
      </c>
      <c r="FJ9" s="179">
        <f>IFERROR(__xludf.DUMMYFUNCTION("""COMPUTED_VALUE"""),1.0)</f>
        <v>1</v>
      </c>
      <c r="FK9" s="180">
        <f>IFERROR(__xludf.DUMMYFUNCTION("""COMPUTED_VALUE"""),45786.0)</f>
        <v>45786</v>
      </c>
      <c r="FL9" s="179">
        <f>IFERROR(__xludf.DUMMYFUNCTION("""COMPUTED_VALUE"""),0.5)</f>
        <v>0.5</v>
      </c>
      <c r="FM9" s="180">
        <f>IFERROR(__xludf.DUMMYFUNCTION("""COMPUTED_VALUE"""),45939.0)</f>
        <v>45939</v>
      </c>
      <c r="FN9" s="179">
        <f>IFERROR(__xludf.DUMMYFUNCTION("""COMPUTED_VALUE"""),0.75)</f>
        <v>0.75</v>
      </c>
      <c r="FO9" s="180">
        <f>IFERROR(__xludf.DUMMYFUNCTION("""COMPUTED_VALUE"""),45847.0)</f>
        <v>45847</v>
      </c>
      <c r="FP9" s="179">
        <f>IFERROR(__xludf.DUMMYFUNCTION("""COMPUTED_VALUE"""),0.75)</f>
        <v>0.75</v>
      </c>
      <c r="FQ9" s="180">
        <f>IFERROR(__xludf.DUMMYFUNCTION("""COMPUTED_VALUE"""),45666.0)</f>
        <v>45666</v>
      </c>
      <c r="FR9" s="179">
        <f>IFERROR(__xludf.DUMMYFUNCTION("""COMPUTED_VALUE"""),0.7)</f>
        <v>0.7</v>
      </c>
      <c r="FS9" s="180">
        <f>IFERROR(__xludf.DUMMYFUNCTION("""COMPUTED_VALUE"""),45786.0)</f>
        <v>45786</v>
      </c>
      <c r="FT9" s="179">
        <f>IFERROR(__xludf.DUMMYFUNCTION("""COMPUTED_VALUE"""),0.75)</f>
        <v>0.75</v>
      </c>
      <c r="FU9" s="180">
        <f>IFERROR(__xludf.DUMMYFUNCTION("""COMPUTED_VALUE"""),45847.0)</f>
        <v>45847</v>
      </c>
      <c r="FV9" s="179">
        <f>IFERROR(__xludf.DUMMYFUNCTION("""COMPUTED_VALUE"""),0.75)</f>
        <v>0.75</v>
      </c>
      <c r="FW9" s="180">
        <f>IFERROR(__xludf.DUMMYFUNCTION("""COMPUTED_VALUE"""),45666.0)</f>
        <v>45666</v>
      </c>
      <c r="FX9" s="179">
        <f>IFERROR(__xludf.DUMMYFUNCTION("""COMPUTED_VALUE"""),0.9)</f>
        <v>0.9</v>
      </c>
      <c r="FY9" s="180">
        <f>IFERROR(__xludf.DUMMYFUNCTION("""COMPUTED_VALUE"""),45878.0)</f>
        <v>45878</v>
      </c>
      <c r="FZ9" s="179">
        <f>IFERROR(__xludf.DUMMYFUNCTION("""COMPUTED_VALUE"""),0.6666666666666666)</f>
        <v>0.6666666667</v>
      </c>
      <c r="GA9" s="182">
        <f>IFERROR(__xludf.DUMMYFUNCTION("""COMPUTED_VALUE"""),45757.0)</f>
        <v>45757</v>
      </c>
      <c r="GB9" s="179">
        <f>IFERROR(__xludf.DUMMYFUNCTION("""COMPUTED_VALUE"""),0.5)</f>
        <v>0.5</v>
      </c>
      <c r="GC9" s="180">
        <f>IFERROR(__xludf.DUMMYFUNCTION("""COMPUTED_VALUE"""),45910.0)</f>
        <v>45910</v>
      </c>
      <c r="GD9" s="179">
        <f>IFERROR(__xludf.DUMMYFUNCTION("""COMPUTED_VALUE"""),1.0)</f>
        <v>1</v>
      </c>
      <c r="GE9" s="180">
        <f>IFERROR(__xludf.DUMMYFUNCTION("""COMPUTED_VALUE"""),45848.0)</f>
        <v>45848</v>
      </c>
      <c r="GF9" s="179">
        <f>IFERROR(__xludf.DUMMYFUNCTION("""COMPUTED_VALUE"""),0.75)</f>
        <v>0.75</v>
      </c>
      <c r="GG9" s="180">
        <f>IFERROR(__xludf.DUMMYFUNCTION("""COMPUTED_VALUE"""),45940.0)</f>
        <v>45940</v>
      </c>
      <c r="GH9" s="179">
        <f>IFERROR(__xludf.DUMMYFUNCTION("""COMPUTED_VALUE"""),0.75)</f>
        <v>0.75</v>
      </c>
      <c r="GI9" s="180">
        <f>IFERROR(__xludf.DUMMYFUNCTION("""COMPUTED_VALUE"""),45726.0)</f>
        <v>45726</v>
      </c>
      <c r="GJ9" s="179">
        <f>IFERROR(__xludf.DUMMYFUNCTION("""COMPUTED_VALUE"""),0.75)</f>
        <v>0.75</v>
      </c>
      <c r="GK9" s="180">
        <f>IFERROR(__xludf.DUMMYFUNCTION("""COMPUTED_VALUE"""),45910.0)</f>
        <v>45910</v>
      </c>
      <c r="GL9" s="179">
        <f>IFERROR(__xludf.DUMMYFUNCTION("""COMPUTED_VALUE"""),0.75)</f>
        <v>0.75</v>
      </c>
      <c r="GM9" s="180">
        <f>IFERROR(__xludf.DUMMYFUNCTION("""COMPUTED_VALUE"""),45818.0)</f>
        <v>45818</v>
      </c>
      <c r="GN9" s="179">
        <f>IFERROR(__xludf.DUMMYFUNCTION("""COMPUTED_VALUE"""),0.75)</f>
        <v>0.75</v>
      </c>
      <c r="GO9" s="180">
        <f>IFERROR(__xludf.DUMMYFUNCTION("""COMPUTED_VALUE"""),45940.0)</f>
        <v>45940</v>
      </c>
      <c r="GP9" s="179">
        <f>IFERROR(__xludf.DUMMYFUNCTION("""COMPUTED_VALUE"""),0.8333333333333334)</f>
        <v>0.8333333333</v>
      </c>
      <c r="GQ9" s="180">
        <f>IFERROR(__xludf.DUMMYFUNCTION("""COMPUTED_VALUE"""),45667.0)</f>
        <v>45667</v>
      </c>
      <c r="GR9" s="179">
        <f>IFERROR(__xludf.DUMMYFUNCTION("""COMPUTED_VALUE"""),0.8)</f>
        <v>0.8</v>
      </c>
      <c r="GS9" s="180">
        <f>IFERROR(__xludf.DUMMYFUNCTION("""COMPUTED_VALUE"""),45757.0)</f>
        <v>45757</v>
      </c>
      <c r="GT9" s="179">
        <f>IFERROR(__xludf.DUMMYFUNCTION("""COMPUTED_VALUE"""),0.75)</f>
        <v>0.75</v>
      </c>
    </row>
    <row r="10" ht="31.5" customHeight="1">
      <c r="A10" s="177" t="s">
        <v>3052</v>
      </c>
      <c r="B10" s="102"/>
      <c r="C10" s="178">
        <f>IFERROR(__xludf.DUMMYFUNCTION("""COMPUTED_VALUE"""),45839.0)</f>
        <v>45839</v>
      </c>
      <c r="D10" s="179">
        <f>IFERROR(__xludf.DUMMYFUNCTION("""COMPUTED_VALUE"""),0.5)</f>
        <v>0.5</v>
      </c>
      <c r="E10" s="180">
        <f>IFERROR(__xludf.DUMMYFUNCTION("""COMPUTED_VALUE"""),45839.0)</f>
        <v>45839</v>
      </c>
      <c r="F10" s="179">
        <f>IFERROR(__xludf.DUMMYFUNCTION("""COMPUTED_VALUE"""),0.8333333333333334)</f>
        <v>0.8333333333</v>
      </c>
      <c r="G10" s="180">
        <f>IFERROR(__xludf.DUMMYFUNCTION("""COMPUTED_VALUE"""),45901.0)</f>
        <v>45901</v>
      </c>
      <c r="H10" s="179">
        <f>IFERROR(__xludf.DUMMYFUNCTION("""COMPUTED_VALUE"""),0.5)</f>
        <v>0.5</v>
      </c>
      <c r="I10" s="180">
        <f>IFERROR(__xludf.DUMMYFUNCTION("""COMPUTED_VALUE"""),45809.0)</f>
        <v>45809</v>
      </c>
      <c r="J10" s="179">
        <f>IFERROR(__xludf.DUMMYFUNCTION("""COMPUTED_VALUE"""),0.5)</f>
        <v>0.5</v>
      </c>
      <c r="K10" s="180">
        <f>IFERROR(__xludf.DUMMYFUNCTION("""COMPUTED_VALUE"""),45717.0)</f>
        <v>45717</v>
      </c>
      <c r="L10" s="179">
        <f>IFERROR(__xludf.DUMMYFUNCTION("""COMPUTED_VALUE"""),0.75)</f>
        <v>0.75</v>
      </c>
      <c r="M10" s="180">
        <f>IFERROR(__xludf.DUMMYFUNCTION("""COMPUTED_VALUE"""),45717.0)</f>
        <v>45717</v>
      </c>
      <c r="N10" s="179">
        <f>IFERROR(__xludf.DUMMYFUNCTION("""COMPUTED_VALUE"""),0.5)</f>
        <v>0.5</v>
      </c>
      <c r="O10" s="180">
        <f>IFERROR(__xludf.DUMMYFUNCTION("""COMPUTED_VALUE"""),45778.0)</f>
        <v>45778</v>
      </c>
      <c r="P10" s="179">
        <f>IFERROR(__xludf.DUMMYFUNCTION("""COMPUTED_VALUE"""),0.5)</f>
        <v>0.5</v>
      </c>
      <c r="Q10" s="180">
        <f>IFERROR(__xludf.DUMMYFUNCTION("""COMPUTED_VALUE"""),45689.0)</f>
        <v>45689</v>
      </c>
      <c r="R10" s="179">
        <f>IFERROR(__xludf.DUMMYFUNCTION("""COMPUTED_VALUE"""),0.75)</f>
        <v>0.75</v>
      </c>
      <c r="S10" s="180">
        <f>IFERROR(__xludf.DUMMYFUNCTION("""COMPUTED_VALUE"""),45717.0)</f>
        <v>45717</v>
      </c>
      <c r="T10" s="179">
        <f>IFERROR(__xludf.DUMMYFUNCTION("""COMPUTED_VALUE"""),0.5)</f>
        <v>0.5</v>
      </c>
      <c r="U10" s="180">
        <f>IFERROR(__xludf.DUMMYFUNCTION("""COMPUTED_VALUE"""),45717.0)</f>
        <v>45717</v>
      </c>
      <c r="V10" s="181">
        <f>IFERROR(__xludf.DUMMYFUNCTION("""COMPUTED_VALUE"""),0.6666666666666666)</f>
        <v>0.6666666667</v>
      </c>
      <c r="W10" s="178">
        <f>IFERROR(__xludf.DUMMYFUNCTION("""COMPUTED_VALUE"""),45749.0)</f>
        <v>45749</v>
      </c>
      <c r="X10" s="179">
        <f>IFERROR(__xludf.DUMMYFUNCTION("""COMPUTED_VALUE"""),0.5)</f>
        <v>0.5</v>
      </c>
      <c r="Y10" s="180">
        <f>IFERROR(__xludf.DUMMYFUNCTION("""COMPUTED_VALUE"""),45902.0)</f>
        <v>45902</v>
      </c>
      <c r="Z10" s="179">
        <f>IFERROR(__xludf.DUMMYFUNCTION("""COMPUTED_VALUE"""),1.0)</f>
        <v>1</v>
      </c>
      <c r="AA10" s="180">
        <f>IFERROR(__xludf.DUMMYFUNCTION("""COMPUTED_VALUE"""),45659.0)</f>
        <v>45659</v>
      </c>
      <c r="AB10" s="179">
        <f>IFERROR(__xludf.DUMMYFUNCTION("""COMPUTED_VALUE"""),0.25)</f>
        <v>0.25</v>
      </c>
      <c r="AC10" s="180">
        <f>IFERROR(__xludf.DUMMYFUNCTION("""COMPUTED_VALUE"""),45659.0)</f>
        <v>45659</v>
      </c>
      <c r="AD10" s="179">
        <f>IFERROR(__xludf.DUMMYFUNCTION("""COMPUTED_VALUE"""),0.5)</f>
        <v>0.5</v>
      </c>
      <c r="AE10" s="180">
        <f>IFERROR(__xludf.DUMMYFUNCTION("""COMPUTED_VALUE"""),45932.0)</f>
        <v>45932</v>
      </c>
      <c r="AF10" s="179">
        <f>IFERROR(__xludf.DUMMYFUNCTION("""COMPUTED_VALUE"""),0.75)</f>
        <v>0.75</v>
      </c>
      <c r="AG10" s="180">
        <f>IFERROR(__xludf.DUMMYFUNCTION("""COMPUTED_VALUE"""),45749.0)</f>
        <v>45749</v>
      </c>
      <c r="AH10" s="179">
        <f>IFERROR(__xludf.DUMMYFUNCTION("""COMPUTED_VALUE"""),0.5)</f>
        <v>0.5</v>
      </c>
      <c r="AI10" s="180">
        <f>IFERROR(__xludf.DUMMYFUNCTION("""COMPUTED_VALUE"""),45659.0)</f>
        <v>45659</v>
      </c>
      <c r="AJ10" s="179">
        <f>IFERROR(__xludf.DUMMYFUNCTION("""COMPUTED_VALUE"""),0.75)</f>
        <v>0.75</v>
      </c>
      <c r="AK10" s="180">
        <f>IFERROR(__xludf.DUMMYFUNCTION("""COMPUTED_VALUE"""),45749.0)</f>
        <v>45749</v>
      </c>
      <c r="AL10" s="179">
        <f>IFERROR(__xludf.DUMMYFUNCTION("""COMPUTED_VALUE"""),0.75)</f>
        <v>0.75</v>
      </c>
      <c r="AM10" s="180">
        <f>IFERROR(__xludf.DUMMYFUNCTION("""COMPUTED_VALUE"""),45810.0)</f>
        <v>45810</v>
      </c>
      <c r="AN10" s="179">
        <f>IFERROR(__xludf.DUMMYFUNCTION("""COMPUTED_VALUE"""),0.75)</f>
        <v>0.75</v>
      </c>
      <c r="AO10" s="180">
        <f>IFERROR(__xludf.DUMMYFUNCTION("""COMPUTED_VALUE"""),45779.0)</f>
        <v>45779</v>
      </c>
      <c r="AP10" s="181">
        <f>IFERROR(__xludf.DUMMYFUNCTION("""COMPUTED_VALUE"""),0.75)</f>
        <v>0.75</v>
      </c>
      <c r="AQ10" s="178">
        <f>IFERROR(__xludf.DUMMYFUNCTION("""COMPUTED_VALUE"""),45841.0)</f>
        <v>45841</v>
      </c>
      <c r="AR10" s="179">
        <f>IFERROR(__xludf.DUMMYFUNCTION("""COMPUTED_VALUE"""),0.5)</f>
        <v>0.5</v>
      </c>
      <c r="AS10" s="180">
        <f>IFERROR(__xludf.DUMMYFUNCTION("""COMPUTED_VALUE"""),45933.0)</f>
        <v>45933</v>
      </c>
      <c r="AT10" s="179">
        <f>IFERROR(__xludf.DUMMYFUNCTION("""COMPUTED_VALUE"""),1.0)</f>
        <v>1</v>
      </c>
      <c r="AU10" s="180">
        <f>IFERROR(__xludf.DUMMYFUNCTION("""COMPUTED_VALUE"""),45780.0)</f>
        <v>45780</v>
      </c>
      <c r="AV10" s="179">
        <f>IFERROR(__xludf.DUMMYFUNCTION("""COMPUTED_VALUE"""),0.5)</f>
        <v>0.5</v>
      </c>
      <c r="AW10" s="180">
        <f>IFERROR(__xludf.DUMMYFUNCTION("""COMPUTED_VALUE"""),45660.0)</f>
        <v>45660</v>
      </c>
      <c r="AX10" s="179">
        <f>IFERROR(__xludf.DUMMYFUNCTION("""COMPUTED_VALUE"""),0.5)</f>
        <v>0.5</v>
      </c>
      <c r="AY10" s="180">
        <f>IFERROR(__xludf.DUMMYFUNCTION("""COMPUTED_VALUE"""),45841.0)</f>
        <v>45841</v>
      </c>
      <c r="AZ10" s="179">
        <f>IFERROR(__xludf.DUMMYFUNCTION("""COMPUTED_VALUE"""),0.75)</f>
        <v>0.75</v>
      </c>
      <c r="BA10" s="180">
        <f>IFERROR(__xludf.DUMMYFUNCTION("""COMPUTED_VALUE"""),45719.0)</f>
        <v>45719</v>
      </c>
      <c r="BB10" s="179">
        <f>IFERROR(__xludf.DUMMYFUNCTION("""COMPUTED_VALUE"""),0.5)</f>
        <v>0.5</v>
      </c>
      <c r="BC10" s="180">
        <f>IFERROR(__xludf.DUMMYFUNCTION("""COMPUTED_VALUE"""),45660.0)</f>
        <v>45660</v>
      </c>
      <c r="BD10" s="179">
        <f>IFERROR(__xludf.DUMMYFUNCTION("""COMPUTED_VALUE"""),0.75)</f>
        <v>0.75</v>
      </c>
      <c r="BE10" s="180">
        <f>IFERROR(__xludf.DUMMYFUNCTION("""COMPUTED_VALUE"""),45660.0)</f>
        <v>45660</v>
      </c>
      <c r="BF10" s="179">
        <f>IFERROR(__xludf.DUMMYFUNCTION("""COMPUTED_VALUE"""),0.75)</f>
        <v>0.75</v>
      </c>
      <c r="BG10" s="180">
        <f>IFERROR(__xludf.DUMMYFUNCTION("""COMPUTED_VALUE"""),45780.0)</f>
        <v>45780</v>
      </c>
      <c r="BH10" s="179">
        <f>IFERROR(__xludf.DUMMYFUNCTION("""COMPUTED_VALUE"""),0.8333333333333334)</f>
        <v>0.8333333333</v>
      </c>
      <c r="BI10" s="180">
        <f>IFERROR(__xludf.DUMMYFUNCTION("""COMPUTED_VALUE"""),45872.0)</f>
        <v>45872</v>
      </c>
      <c r="BJ10" s="179">
        <f>IFERROR(__xludf.DUMMYFUNCTION("""COMPUTED_VALUE"""),1.0)</f>
        <v>1</v>
      </c>
      <c r="BK10" s="182">
        <f>IFERROR(__xludf.DUMMYFUNCTION("""COMPUTED_VALUE"""),45842.0)</f>
        <v>45842</v>
      </c>
      <c r="BL10" s="179">
        <f>IFERROR(__xludf.DUMMYFUNCTION("""COMPUTED_VALUE"""),0.5)</f>
        <v>0.5</v>
      </c>
      <c r="BM10" s="180">
        <f>IFERROR(__xludf.DUMMYFUNCTION("""COMPUTED_VALUE"""),45781.0)</f>
        <v>45781</v>
      </c>
      <c r="BN10" s="179">
        <f>IFERROR(__xludf.DUMMYFUNCTION("""COMPUTED_VALUE"""),0.6666666666666666)</f>
        <v>0.6666666667</v>
      </c>
      <c r="BO10" s="180">
        <f>IFERROR(__xludf.DUMMYFUNCTION("""COMPUTED_VALUE"""),45812.0)</f>
        <v>45812</v>
      </c>
      <c r="BP10" s="179">
        <f>IFERROR(__xludf.DUMMYFUNCTION("""COMPUTED_VALUE"""),0.5)</f>
        <v>0.5</v>
      </c>
      <c r="BQ10" s="180">
        <f>IFERROR(__xludf.DUMMYFUNCTION("""COMPUTED_VALUE"""),45904.0)</f>
        <v>45904</v>
      </c>
      <c r="BR10" s="179">
        <f>IFERROR(__xludf.DUMMYFUNCTION("""COMPUTED_VALUE"""),0.5)</f>
        <v>0.5</v>
      </c>
      <c r="BS10" s="180">
        <f>IFERROR(__xludf.DUMMYFUNCTION("""COMPUTED_VALUE"""),45692.0)</f>
        <v>45692</v>
      </c>
      <c r="BT10" s="179">
        <f>IFERROR(__xludf.DUMMYFUNCTION("""COMPUTED_VALUE"""),0.6666666666666666)</f>
        <v>0.6666666667</v>
      </c>
      <c r="BU10" s="180">
        <f>IFERROR(__xludf.DUMMYFUNCTION("""COMPUTED_VALUE"""),45661.0)</f>
        <v>45661</v>
      </c>
      <c r="BV10" s="179">
        <f>IFERROR(__xludf.DUMMYFUNCTION("""COMPUTED_VALUE"""),0.7)</f>
        <v>0.7</v>
      </c>
      <c r="BW10" s="180">
        <f>IFERROR(__xludf.DUMMYFUNCTION("""COMPUTED_VALUE"""),45720.0)</f>
        <v>45720</v>
      </c>
      <c r="BX10" s="179">
        <f>IFERROR(__xludf.DUMMYFUNCTION("""COMPUTED_VALUE"""),0.375)</f>
        <v>0.375</v>
      </c>
      <c r="BY10" s="180">
        <f>IFERROR(__xludf.DUMMYFUNCTION("""COMPUTED_VALUE"""),45842.0)</f>
        <v>45842</v>
      </c>
      <c r="BZ10" s="179">
        <f>IFERROR(__xludf.DUMMYFUNCTION("""COMPUTED_VALUE"""),0.75)</f>
        <v>0.75</v>
      </c>
      <c r="CA10" s="180">
        <f>IFERROR(__xludf.DUMMYFUNCTION("""COMPUTED_VALUE"""),45751.0)</f>
        <v>45751</v>
      </c>
      <c r="CB10" s="179">
        <f>IFERROR(__xludf.DUMMYFUNCTION("""COMPUTED_VALUE"""),0.6666666666666666)</f>
        <v>0.6666666667</v>
      </c>
      <c r="CC10" s="180">
        <f>IFERROR(__xludf.DUMMYFUNCTION("""COMPUTED_VALUE"""),45692.0)</f>
        <v>45692</v>
      </c>
      <c r="CD10" s="179">
        <f>IFERROR(__xludf.DUMMYFUNCTION("""COMPUTED_VALUE"""),0.5)</f>
        <v>0.5</v>
      </c>
      <c r="CE10" s="182">
        <f>IFERROR(__xludf.DUMMYFUNCTION("""COMPUTED_VALUE"""),45752.0)</f>
        <v>45752</v>
      </c>
      <c r="CF10" s="179">
        <f>IFERROR(__xludf.DUMMYFUNCTION("""COMPUTED_VALUE"""),0.5)</f>
        <v>0.5</v>
      </c>
      <c r="CG10" s="180">
        <f>IFERROR(__xludf.DUMMYFUNCTION("""COMPUTED_VALUE"""),45843.0)</f>
        <v>45843</v>
      </c>
      <c r="CH10" s="179">
        <f>IFERROR(__xludf.DUMMYFUNCTION("""COMPUTED_VALUE"""),0.5)</f>
        <v>0.5</v>
      </c>
      <c r="CI10" s="180">
        <f>IFERROR(__xludf.DUMMYFUNCTION("""COMPUTED_VALUE"""),45813.0)</f>
        <v>45813</v>
      </c>
      <c r="CJ10" s="179">
        <f>IFERROR(__xludf.DUMMYFUNCTION("""COMPUTED_VALUE"""),0.5)</f>
        <v>0.5</v>
      </c>
      <c r="CK10" s="180">
        <f>IFERROR(__xludf.DUMMYFUNCTION("""COMPUTED_VALUE"""),45662.0)</f>
        <v>45662</v>
      </c>
      <c r="CL10" s="179">
        <f>IFERROR(__xludf.DUMMYFUNCTION("""COMPUTED_VALUE"""),0.5)</f>
        <v>0.5</v>
      </c>
      <c r="CM10" s="180">
        <f>IFERROR(__xludf.DUMMYFUNCTION("""COMPUTED_VALUE"""),45752.0)</f>
        <v>45752</v>
      </c>
      <c r="CN10" s="179">
        <f>IFERROR(__xludf.DUMMYFUNCTION("""COMPUTED_VALUE"""),0.75)</f>
        <v>0.75</v>
      </c>
      <c r="CO10" s="180">
        <f>IFERROR(__xludf.DUMMYFUNCTION("""COMPUTED_VALUE"""),45721.0)</f>
        <v>45721</v>
      </c>
      <c r="CP10" s="179">
        <f>IFERROR(__xludf.DUMMYFUNCTION("""COMPUTED_VALUE"""),0.5)</f>
        <v>0.5</v>
      </c>
      <c r="CQ10" s="180">
        <f>IFERROR(__xludf.DUMMYFUNCTION("""COMPUTED_VALUE"""),45693.0)</f>
        <v>45693</v>
      </c>
      <c r="CR10" s="179">
        <f>IFERROR(__xludf.DUMMYFUNCTION("""COMPUTED_VALUE"""),0.5)</f>
        <v>0.5</v>
      </c>
      <c r="CS10" s="180">
        <f>IFERROR(__xludf.DUMMYFUNCTION("""COMPUTED_VALUE"""),45843.0)</f>
        <v>45843</v>
      </c>
      <c r="CT10" s="179">
        <f>IFERROR(__xludf.DUMMYFUNCTION("""COMPUTED_VALUE"""),0.75)</f>
        <v>0.75</v>
      </c>
      <c r="CU10" s="180">
        <f>IFERROR(__xludf.DUMMYFUNCTION("""COMPUTED_VALUE"""),45813.0)</f>
        <v>45813</v>
      </c>
      <c r="CV10" s="179">
        <f>IFERROR(__xludf.DUMMYFUNCTION("""COMPUTED_VALUE"""),0.75)</f>
        <v>0.75</v>
      </c>
      <c r="CW10" s="180">
        <f>IFERROR(__xludf.DUMMYFUNCTION("""COMPUTED_VALUE"""),45693.0)</f>
        <v>45693</v>
      </c>
      <c r="CX10" s="179">
        <f>IFERROR(__xludf.DUMMYFUNCTION("""COMPUTED_VALUE"""),0.5)</f>
        <v>0.5</v>
      </c>
      <c r="CY10" s="182">
        <f>IFERROR(__xludf.DUMMYFUNCTION("""COMPUTED_VALUE"""),45753.0)</f>
        <v>45753</v>
      </c>
      <c r="CZ10" s="179">
        <f>IFERROR(__xludf.DUMMYFUNCTION("""COMPUTED_VALUE"""),0.5)</f>
        <v>0.5</v>
      </c>
      <c r="DA10" s="180">
        <f>IFERROR(__xludf.DUMMYFUNCTION("""COMPUTED_VALUE"""),45753.0)</f>
        <v>45753</v>
      </c>
      <c r="DB10" s="179">
        <f>IFERROR(__xludf.DUMMYFUNCTION("""COMPUTED_VALUE"""),0.5)</f>
        <v>0.5</v>
      </c>
      <c r="DC10" s="180">
        <f>IFERROR(__xludf.DUMMYFUNCTION("""COMPUTED_VALUE"""),45814.0)</f>
        <v>45814</v>
      </c>
      <c r="DD10" s="179">
        <f>IFERROR(__xludf.DUMMYFUNCTION("""COMPUTED_VALUE"""),0.5)</f>
        <v>0.5</v>
      </c>
      <c r="DE10" s="180">
        <f>IFERROR(__xludf.DUMMYFUNCTION("""COMPUTED_VALUE"""),45936.0)</f>
        <v>45936</v>
      </c>
      <c r="DF10" s="179">
        <f>IFERROR(__xludf.DUMMYFUNCTION("""COMPUTED_VALUE"""),0.5)</f>
        <v>0.5</v>
      </c>
      <c r="DG10" s="180">
        <f>IFERROR(__xludf.DUMMYFUNCTION("""COMPUTED_VALUE"""),45663.0)</f>
        <v>45663</v>
      </c>
      <c r="DH10" s="179">
        <f>IFERROR(__xludf.DUMMYFUNCTION("""COMPUTED_VALUE"""),0.6)</f>
        <v>0.6</v>
      </c>
      <c r="DI10" s="180">
        <f>IFERROR(__xludf.DUMMYFUNCTION("""COMPUTED_VALUE"""),45844.0)</f>
        <v>45844</v>
      </c>
      <c r="DJ10" s="179">
        <f>IFERROR(__xludf.DUMMYFUNCTION("""COMPUTED_VALUE"""),0.5)</f>
        <v>0.5</v>
      </c>
      <c r="DK10" s="180">
        <f>IFERROR(__xludf.DUMMYFUNCTION("""COMPUTED_VALUE"""),45783.0)</f>
        <v>45783</v>
      </c>
      <c r="DL10" s="179">
        <f>IFERROR(__xludf.DUMMYFUNCTION("""COMPUTED_VALUE"""),0.5)</f>
        <v>0.5</v>
      </c>
      <c r="DM10" s="180">
        <f>IFERROR(__xludf.DUMMYFUNCTION("""COMPUTED_VALUE"""),45753.0)</f>
        <v>45753</v>
      </c>
      <c r="DN10" s="179">
        <f>IFERROR(__xludf.DUMMYFUNCTION("""COMPUTED_VALUE"""),0.75)</f>
        <v>0.75</v>
      </c>
      <c r="DO10" s="180">
        <f>IFERROR(__xludf.DUMMYFUNCTION("""COMPUTED_VALUE"""),45844.0)</f>
        <v>45844</v>
      </c>
      <c r="DP10" s="179">
        <f>IFERROR(__xludf.DUMMYFUNCTION("""COMPUTED_VALUE"""),0.75)</f>
        <v>0.75</v>
      </c>
      <c r="DQ10" s="180">
        <f>IFERROR(__xludf.DUMMYFUNCTION("""COMPUTED_VALUE"""),45844.0)</f>
        <v>45844</v>
      </c>
      <c r="DR10" s="179">
        <f>IFERROR(__xludf.DUMMYFUNCTION("""COMPUTED_VALUE"""),0.75)</f>
        <v>0.75</v>
      </c>
      <c r="DS10" s="182">
        <f>IFERROR(__xludf.DUMMYFUNCTION("""COMPUTED_VALUE"""),45754.0)</f>
        <v>45754</v>
      </c>
      <c r="DT10" s="179">
        <f>IFERROR(__xludf.DUMMYFUNCTION("""COMPUTED_VALUE"""),0.5)</f>
        <v>0.5</v>
      </c>
      <c r="DU10" s="180">
        <f>IFERROR(__xludf.DUMMYFUNCTION("""COMPUTED_VALUE"""),45907.0)</f>
        <v>45907</v>
      </c>
      <c r="DV10" s="179">
        <f>IFERROR(__xludf.DUMMYFUNCTION("""COMPUTED_VALUE"""),1.0)</f>
        <v>1</v>
      </c>
      <c r="DW10" s="180">
        <f>IFERROR(__xludf.DUMMYFUNCTION("""COMPUTED_VALUE"""),45815.0)</f>
        <v>45815</v>
      </c>
      <c r="DX10" s="179">
        <f>IFERROR(__xludf.DUMMYFUNCTION("""COMPUTED_VALUE"""),0.5)</f>
        <v>0.5</v>
      </c>
      <c r="DY10" s="180">
        <f>IFERROR(__xludf.DUMMYFUNCTION("""COMPUTED_VALUE"""),45664.0)</f>
        <v>45664</v>
      </c>
      <c r="DZ10" s="179">
        <f>IFERROR(__xludf.DUMMYFUNCTION("""COMPUTED_VALUE"""),0.5)</f>
        <v>0.5</v>
      </c>
      <c r="EA10" s="180">
        <f>IFERROR(__xludf.DUMMYFUNCTION("""COMPUTED_VALUE"""),45723.0)</f>
        <v>45723</v>
      </c>
      <c r="EB10" s="179">
        <f>IFERROR(__xludf.DUMMYFUNCTION("""COMPUTED_VALUE"""),0.75)</f>
        <v>0.75</v>
      </c>
      <c r="EC10" s="180">
        <f>IFERROR(__xludf.DUMMYFUNCTION("""COMPUTED_VALUE"""),45723.0)</f>
        <v>45723</v>
      </c>
      <c r="ED10" s="179">
        <f>IFERROR(__xludf.DUMMYFUNCTION("""COMPUTED_VALUE"""),0.5)</f>
        <v>0.5</v>
      </c>
      <c r="EE10" s="180">
        <f>IFERROR(__xludf.DUMMYFUNCTION("""COMPUTED_VALUE"""),45664.0)</f>
        <v>45664</v>
      </c>
      <c r="EF10" s="179">
        <f>IFERROR(__xludf.DUMMYFUNCTION("""COMPUTED_VALUE"""),0.75)</f>
        <v>0.75</v>
      </c>
      <c r="EG10" s="180">
        <f>IFERROR(__xludf.DUMMYFUNCTION("""COMPUTED_VALUE"""),45664.0)</f>
        <v>45664</v>
      </c>
      <c r="EH10" s="179">
        <f>IFERROR(__xludf.DUMMYFUNCTION("""COMPUTED_VALUE"""),0.75)</f>
        <v>0.75</v>
      </c>
      <c r="EI10" s="180">
        <f>IFERROR(__xludf.DUMMYFUNCTION("""COMPUTED_VALUE"""),45784.0)</f>
        <v>45784</v>
      </c>
      <c r="EJ10" s="179">
        <f>IFERROR(__xludf.DUMMYFUNCTION("""COMPUTED_VALUE"""),0.8333333333333334)</f>
        <v>0.8333333333</v>
      </c>
      <c r="EK10" s="180">
        <f>IFERROR(__xludf.DUMMYFUNCTION("""COMPUTED_VALUE"""),45876.0)</f>
        <v>45876</v>
      </c>
      <c r="EL10" s="179">
        <f>IFERROR(__xludf.DUMMYFUNCTION("""COMPUTED_VALUE"""),1.0)</f>
        <v>1</v>
      </c>
      <c r="EM10" s="182">
        <f>IFERROR(__xludf.DUMMYFUNCTION("""COMPUTED_VALUE"""),45846.0)</f>
        <v>45846</v>
      </c>
      <c r="EN10" s="179">
        <f>IFERROR(__xludf.DUMMYFUNCTION("""COMPUTED_VALUE"""),0.5)</f>
        <v>0.5</v>
      </c>
      <c r="EO10" s="180">
        <f>IFERROR(__xludf.DUMMYFUNCTION("""COMPUTED_VALUE"""),45938.0)</f>
        <v>45938</v>
      </c>
      <c r="EP10" s="179">
        <f>IFERROR(__xludf.DUMMYFUNCTION("""COMPUTED_VALUE"""),0.75)</f>
        <v>0.75</v>
      </c>
      <c r="EQ10" s="180">
        <f>IFERROR(__xludf.DUMMYFUNCTION("""COMPUTED_VALUE"""),45816.0)</f>
        <v>45816</v>
      </c>
      <c r="ER10" s="179">
        <f>IFERROR(__xludf.DUMMYFUNCTION("""COMPUTED_VALUE"""),0.5)</f>
        <v>0.5</v>
      </c>
      <c r="ES10" s="180">
        <f>IFERROR(__xludf.DUMMYFUNCTION("""COMPUTED_VALUE"""),45665.0)</f>
        <v>45665</v>
      </c>
      <c r="ET10" s="179">
        <f>IFERROR(__xludf.DUMMYFUNCTION("""COMPUTED_VALUE"""),0.5)</f>
        <v>0.5</v>
      </c>
      <c r="EU10" s="180">
        <f>IFERROR(__xludf.DUMMYFUNCTION("""COMPUTED_VALUE"""),45724.0)</f>
        <v>45724</v>
      </c>
      <c r="EV10" s="179">
        <f>IFERROR(__xludf.DUMMYFUNCTION("""COMPUTED_VALUE"""),0.75)</f>
        <v>0.75</v>
      </c>
      <c r="EW10" s="180">
        <f>IFERROR(__xludf.DUMMYFUNCTION("""COMPUTED_VALUE"""),45724.0)</f>
        <v>45724</v>
      </c>
      <c r="EX10" s="179">
        <f>IFERROR(__xludf.DUMMYFUNCTION("""COMPUTED_VALUE"""),0.5)</f>
        <v>0.5</v>
      </c>
      <c r="EY10" s="180">
        <f>IFERROR(__xludf.DUMMYFUNCTION("""COMPUTED_VALUE"""),45665.0)</f>
        <v>45665</v>
      </c>
      <c r="EZ10" s="179">
        <f>IFERROR(__xludf.DUMMYFUNCTION("""COMPUTED_VALUE"""),0.5)</f>
        <v>0.5</v>
      </c>
      <c r="FA10" s="180">
        <f>IFERROR(__xludf.DUMMYFUNCTION("""COMPUTED_VALUE"""),45696.0)</f>
        <v>45696</v>
      </c>
      <c r="FB10" s="179">
        <f>IFERROR(__xludf.DUMMYFUNCTION("""COMPUTED_VALUE"""),0.75)</f>
        <v>0.75</v>
      </c>
      <c r="FC10" s="180">
        <f>IFERROR(__xludf.DUMMYFUNCTION("""COMPUTED_VALUE"""),45846.0)</f>
        <v>45846</v>
      </c>
      <c r="FD10" s="179">
        <f>IFERROR(__xludf.DUMMYFUNCTION("""COMPUTED_VALUE"""),0.75)</f>
        <v>0.75</v>
      </c>
      <c r="FE10" s="180">
        <f>IFERROR(__xludf.DUMMYFUNCTION("""COMPUTED_VALUE"""),45755.0)</f>
        <v>45755</v>
      </c>
      <c r="FF10" s="179">
        <f>IFERROR(__xludf.DUMMYFUNCTION("""COMPUTED_VALUE"""),0.75)</f>
        <v>0.75</v>
      </c>
      <c r="FG10" s="182">
        <f>IFERROR(__xludf.DUMMYFUNCTION("""COMPUTED_VALUE"""),45847.0)</f>
        <v>45847</v>
      </c>
      <c r="FH10" s="179">
        <f>IFERROR(__xludf.DUMMYFUNCTION("""COMPUTED_VALUE"""),0.5)</f>
        <v>0.5</v>
      </c>
      <c r="FI10" s="180">
        <f>IFERROR(__xludf.DUMMYFUNCTION("""COMPUTED_VALUE"""),45939.0)</f>
        <v>45939</v>
      </c>
      <c r="FJ10" s="179">
        <f>IFERROR(__xludf.DUMMYFUNCTION("""COMPUTED_VALUE"""),1.0)</f>
        <v>1</v>
      </c>
      <c r="FK10" s="180">
        <f>IFERROR(__xludf.DUMMYFUNCTION("""COMPUTED_VALUE"""),45817.0)</f>
        <v>45817</v>
      </c>
      <c r="FL10" s="179">
        <f>IFERROR(__xludf.DUMMYFUNCTION("""COMPUTED_VALUE"""),0.5)</f>
        <v>0.5</v>
      </c>
      <c r="FM10" s="180">
        <f>IFERROR(__xludf.DUMMYFUNCTION("""COMPUTED_VALUE"""),45666.0)</f>
        <v>45666</v>
      </c>
      <c r="FN10" s="179">
        <f>IFERROR(__xludf.DUMMYFUNCTION("""COMPUTED_VALUE"""),0.5)</f>
        <v>0.5</v>
      </c>
      <c r="FO10" s="180">
        <f>IFERROR(__xludf.DUMMYFUNCTION("""COMPUTED_VALUE"""),45666.0)</f>
        <v>45666</v>
      </c>
      <c r="FP10" s="179">
        <f>IFERROR(__xludf.DUMMYFUNCTION("""COMPUTED_VALUE"""),0.7)</f>
        <v>0.7</v>
      </c>
      <c r="FQ10" s="180">
        <f>IFERROR(__xludf.DUMMYFUNCTION("""COMPUTED_VALUE"""),45725.0)</f>
        <v>45725</v>
      </c>
      <c r="FR10" s="179">
        <f>IFERROR(__xludf.DUMMYFUNCTION("""COMPUTED_VALUE"""),0.5)</f>
        <v>0.5</v>
      </c>
      <c r="FS10" s="180">
        <f>IFERROR(__xludf.DUMMYFUNCTION("""COMPUTED_VALUE"""),45878.0)</f>
        <v>45878</v>
      </c>
      <c r="FT10" s="179">
        <f>IFERROR(__xludf.DUMMYFUNCTION("""COMPUTED_VALUE"""),0.75)</f>
        <v>0.75</v>
      </c>
      <c r="FU10" s="180">
        <f>IFERROR(__xludf.DUMMYFUNCTION("""COMPUTED_VALUE"""),45909.0)</f>
        <v>45909</v>
      </c>
      <c r="FV10" s="179">
        <f>IFERROR(__xludf.DUMMYFUNCTION("""COMPUTED_VALUE"""),0.75)</f>
        <v>0.75</v>
      </c>
      <c r="FW10" s="180">
        <f>IFERROR(__xludf.DUMMYFUNCTION("""COMPUTED_VALUE"""),45786.0)</f>
        <v>45786</v>
      </c>
      <c r="FX10" s="179">
        <f>IFERROR(__xludf.DUMMYFUNCTION("""COMPUTED_VALUE"""),0.8333333333333334)</f>
        <v>0.8333333333</v>
      </c>
      <c r="FY10" s="180">
        <f>IFERROR(__xludf.DUMMYFUNCTION("""COMPUTED_VALUE"""),45725.0)</f>
        <v>45725</v>
      </c>
      <c r="FZ10" s="179">
        <f>IFERROR(__xludf.DUMMYFUNCTION("""COMPUTED_VALUE"""),0.5)</f>
        <v>0.5</v>
      </c>
      <c r="GA10" s="182">
        <f>IFERROR(__xludf.DUMMYFUNCTION("""COMPUTED_VALUE"""),45848.0)</f>
        <v>45848</v>
      </c>
      <c r="GB10" s="179">
        <f>IFERROR(__xludf.DUMMYFUNCTION("""COMPUTED_VALUE"""),0.5)</f>
        <v>0.5</v>
      </c>
      <c r="GC10" s="180">
        <f>IFERROR(__xludf.DUMMYFUNCTION("""COMPUTED_VALUE"""),45940.0)</f>
        <v>45940</v>
      </c>
      <c r="GD10" s="179">
        <f>IFERROR(__xludf.DUMMYFUNCTION("""COMPUTED_VALUE"""),1.0)</f>
        <v>1</v>
      </c>
      <c r="GE10" s="180">
        <f>IFERROR(__xludf.DUMMYFUNCTION("""COMPUTED_VALUE"""),45818.0)</f>
        <v>45818</v>
      </c>
      <c r="GF10" s="179">
        <f>IFERROR(__xludf.DUMMYFUNCTION("""COMPUTED_VALUE"""),0.5)</f>
        <v>0.5</v>
      </c>
      <c r="GG10" s="180">
        <f>IFERROR(__xludf.DUMMYFUNCTION("""COMPUTED_VALUE"""),45667.0)</f>
        <v>45667</v>
      </c>
      <c r="GH10" s="179">
        <f>IFERROR(__xludf.DUMMYFUNCTION("""COMPUTED_VALUE"""),0.5)</f>
        <v>0.5</v>
      </c>
      <c r="GI10" s="180">
        <f>IFERROR(__xludf.DUMMYFUNCTION("""COMPUTED_VALUE"""),45757.0)</f>
        <v>45757</v>
      </c>
      <c r="GJ10" s="179">
        <f>IFERROR(__xludf.DUMMYFUNCTION("""COMPUTED_VALUE"""),0.75)</f>
        <v>0.75</v>
      </c>
      <c r="GK10" s="180">
        <f>IFERROR(__xludf.DUMMYFUNCTION("""COMPUTED_VALUE"""),45726.0)</f>
        <v>45726</v>
      </c>
      <c r="GL10" s="179">
        <f>IFERROR(__xludf.DUMMYFUNCTION("""COMPUTED_VALUE"""),0.5)</f>
        <v>0.5</v>
      </c>
      <c r="GM10" s="180">
        <f>IFERROR(__xludf.DUMMYFUNCTION("""COMPUTED_VALUE"""),45939.0)</f>
        <v>45939</v>
      </c>
      <c r="GN10" s="179">
        <f>IFERROR(__xludf.DUMMYFUNCTION("""COMPUTED_VALUE"""),0.5)</f>
        <v>0.5</v>
      </c>
      <c r="GO10" s="180">
        <f>IFERROR(__xludf.DUMMYFUNCTION("""COMPUTED_VALUE"""),45667.0)</f>
        <v>45667</v>
      </c>
      <c r="GP10" s="179">
        <f>IFERROR(__xludf.DUMMYFUNCTION("""COMPUTED_VALUE"""),0.75)</f>
        <v>0.75</v>
      </c>
      <c r="GQ10" s="180">
        <f>IFERROR(__xludf.DUMMYFUNCTION("""COMPUTED_VALUE"""),45818.0)</f>
        <v>45818</v>
      </c>
      <c r="GR10" s="179">
        <f>IFERROR(__xludf.DUMMYFUNCTION("""COMPUTED_VALUE"""),0.75)</f>
        <v>0.75</v>
      </c>
      <c r="GS10" s="180">
        <f>IFERROR(__xludf.DUMMYFUNCTION("""COMPUTED_VALUE"""),45818.0)</f>
        <v>45818</v>
      </c>
      <c r="GT10" s="179">
        <f>IFERROR(__xludf.DUMMYFUNCTION("""COMPUTED_VALUE"""),0.75)</f>
        <v>0.75</v>
      </c>
    </row>
    <row r="11" ht="31.5" customHeight="1">
      <c r="A11" s="177" t="s">
        <v>3053</v>
      </c>
      <c r="B11" s="102"/>
      <c r="C11" s="178">
        <f>IFERROR(__xludf.DUMMYFUNCTION("""COMPUTED_VALUE"""),45717.0)</f>
        <v>45717</v>
      </c>
      <c r="D11" s="179">
        <f>IFERROR(__xludf.DUMMYFUNCTION("""COMPUTED_VALUE"""),0.25)</f>
        <v>0.25</v>
      </c>
      <c r="E11" s="180">
        <f>IFERROR(__xludf.DUMMYFUNCTION("""COMPUTED_VALUE"""),45870.0)</f>
        <v>45870</v>
      </c>
      <c r="F11" s="179">
        <f>IFERROR(__xludf.DUMMYFUNCTION("""COMPUTED_VALUE"""),0.75)</f>
        <v>0.75</v>
      </c>
      <c r="G11" s="180">
        <f>IFERROR(__xludf.DUMMYFUNCTION("""COMPUTED_VALUE"""),45658.0)</f>
        <v>45658</v>
      </c>
      <c r="H11" s="179">
        <f>IFERROR(__xludf.DUMMYFUNCTION("""COMPUTED_VALUE"""),0.25)</f>
        <v>0.25</v>
      </c>
      <c r="I11" s="180">
        <f>IFERROR(__xludf.DUMMYFUNCTION("""COMPUTED_VALUE"""),45931.0)</f>
        <v>45931</v>
      </c>
      <c r="J11" s="179">
        <f>IFERROR(__xludf.DUMMYFUNCTION("""COMPUTED_VALUE"""),0.5)</f>
        <v>0.5</v>
      </c>
      <c r="K11" s="180">
        <f>IFERROR(__xludf.DUMMYFUNCTION("""COMPUTED_VALUE"""),45839.0)</f>
        <v>45839</v>
      </c>
      <c r="L11" s="179">
        <f>IFERROR(__xludf.DUMMYFUNCTION("""COMPUTED_VALUE"""),0.5)</f>
        <v>0.5</v>
      </c>
      <c r="M11" s="180">
        <f>IFERROR(__xludf.DUMMYFUNCTION("""COMPUTED_VALUE"""),45748.0)</f>
        <v>45748</v>
      </c>
      <c r="N11" s="179">
        <f>IFERROR(__xludf.DUMMYFUNCTION("""COMPUTED_VALUE"""),0.5)</f>
        <v>0.5</v>
      </c>
      <c r="O11" s="180">
        <f>IFERROR(__xludf.DUMMYFUNCTION("""COMPUTED_VALUE"""),45901.0)</f>
        <v>45901</v>
      </c>
      <c r="P11" s="179">
        <f>IFERROR(__xludf.DUMMYFUNCTION("""COMPUTED_VALUE"""),0.5)</f>
        <v>0.5</v>
      </c>
      <c r="Q11" s="180">
        <f>IFERROR(__xludf.DUMMYFUNCTION("""COMPUTED_VALUE"""),45901.0)</f>
        <v>45901</v>
      </c>
      <c r="R11" s="179">
        <f>IFERROR(__xludf.DUMMYFUNCTION("""COMPUTED_VALUE"""),0.75)</f>
        <v>0.75</v>
      </c>
      <c r="S11" s="180">
        <f>IFERROR(__xludf.DUMMYFUNCTION("""COMPUTED_VALUE"""),45839.0)</f>
        <v>45839</v>
      </c>
      <c r="T11" s="179">
        <f>IFERROR(__xludf.DUMMYFUNCTION("""COMPUTED_VALUE"""),0.5)</f>
        <v>0.5</v>
      </c>
      <c r="U11" s="180">
        <f>IFERROR(__xludf.DUMMYFUNCTION("""COMPUTED_VALUE"""),45748.0)</f>
        <v>45748</v>
      </c>
      <c r="V11" s="181">
        <f>IFERROR(__xludf.DUMMYFUNCTION("""COMPUTED_VALUE"""),0.5)</f>
        <v>0.5</v>
      </c>
      <c r="W11" s="178">
        <f>IFERROR(__xludf.DUMMYFUNCTION("""COMPUTED_VALUE"""),45718.0)</f>
        <v>45718</v>
      </c>
      <c r="X11" s="179">
        <f>IFERROR(__xludf.DUMMYFUNCTION("""COMPUTED_VALUE"""),0.25)</f>
        <v>0.25</v>
      </c>
      <c r="Y11" s="180">
        <f>IFERROR(__xludf.DUMMYFUNCTION("""COMPUTED_VALUE"""),45932.0)</f>
        <v>45932</v>
      </c>
      <c r="Z11" s="179">
        <f>IFERROR(__xludf.DUMMYFUNCTION("""COMPUTED_VALUE"""),1.0)</f>
        <v>1</v>
      </c>
      <c r="AA11" s="180">
        <f>IFERROR(__xludf.DUMMYFUNCTION("""COMPUTED_VALUE"""),45810.0)</f>
        <v>45810</v>
      </c>
      <c r="AB11" s="179">
        <f>IFERROR(__xludf.DUMMYFUNCTION("""COMPUTED_VALUE"""),0.25)</f>
        <v>0.25</v>
      </c>
      <c r="AC11" s="180">
        <f>IFERROR(__xludf.DUMMYFUNCTION("""COMPUTED_VALUE"""),45810.0)</f>
        <v>45810</v>
      </c>
      <c r="AD11" s="179">
        <f>IFERROR(__xludf.DUMMYFUNCTION("""COMPUTED_VALUE"""),0.5)</f>
        <v>0.5</v>
      </c>
      <c r="AE11" s="180">
        <f>IFERROR(__xludf.DUMMYFUNCTION("""COMPUTED_VALUE"""),45659.0)</f>
        <v>45659</v>
      </c>
      <c r="AF11" s="179">
        <f>IFERROR(__xludf.DUMMYFUNCTION("""COMPUTED_VALUE"""),0.7)</f>
        <v>0.7</v>
      </c>
      <c r="AG11" s="180">
        <f>IFERROR(__xludf.DUMMYFUNCTION("""COMPUTED_VALUE"""),45718.0)</f>
        <v>45718</v>
      </c>
      <c r="AH11" s="179">
        <f>IFERROR(__xludf.DUMMYFUNCTION("""COMPUTED_VALUE"""),0.25)</f>
        <v>0.25</v>
      </c>
      <c r="AI11" s="180">
        <f>IFERROR(__xludf.DUMMYFUNCTION("""COMPUTED_VALUE"""),45779.0)</f>
        <v>45779</v>
      </c>
      <c r="AJ11" s="179">
        <f>IFERROR(__xludf.DUMMYFUNCTION("""COMPUTED_VALUE"""),0.75)</f>
        <v>0.75</v>
      </c>
      <c r="AK11" s="180">
        <f>IFERROR(__xludf.DUMMYFUNCTION("""COMPUTED_VALUE"""),45902.0)</f>
        <v>45902</v>
      </c>
      <c r="AL11" s="179">
        <f>IFERROR(__xludf.DUMMYFUNCTION("""COMPUTED_VALUE"""),0.75)</f>
        <v>0.75</v>
      </c>
      <c r="AM11" s="180">
        <f>IFERROR(__xludf.DUMMYFUNCTION("""COMPUTED_VALUE"""),45871.0)</f>
        <v>45871</v>
      </c>
      <c r="AN11" s="179">
        <f>IFERROR(__xludf.DUMMYFUNCTION("""COMPUTED_VALUE"""),0.75)</f>
        <v>0.75</v>
      </c>
      <c r="AO11" s="180">
        <f>IFERROR(__xludf.DUMMYFUNCTION("""COMPUTED_VALUE"""),45810.0)</f>
        <v>45810</v>
      </c>
      <c r="AP11" s="181">
        <f>IFERROR(__xludf.DUMMYFUNCTION("""COMPUTED_VALUE"""),0.75)</f>
        <v>0.75</v>
      </c>
      <c r="AQ11" s="178">
        <f>IFERROR(__xludf.DUMMYFUNCTION("""COMPUTED_VALUE"""),45932.0)</f>
        <v>45932</v>
      </c>
      <c r="AR11" s="179">
        <f>IFERROR(__xludf.DUMMYFUNCTION("""COMPUTED_VALUE"""),0.25)</f>
        <v>0.25</v>
      </c>
      <c r="AS11" s="180">
        <f>IFERROR(__xludf.DUMMYFUNCTION("""COMPUTED_VALUE"""),45719.0)</f>
        <v>45719</v>
      </c>
      <c r="AT11" s="179">
        <f>IFERROR(__xludf.DUMMYFUNCTION("""COMPUTED_VALUE"""),0.75)</f>
        <v>0.75</v>
      </c>
      <c r="AU11" s="180">
        <f>IFERROR(__xludf.DUMMYFUNCTION("""COMPUTED_VALUE"""),45811.0)</f>
        <v>45811</v>
      </c>
      <c r="AV11" s="179">
        <f>IFERROR(__xludf.DUMMYFUNCTION("""COMPUTED_VALUE"""),0.5)</f>
        <v>0.5</v>
      </c>
      <c r="AW11" s="180">
        <f>IFERROR(__xludf.DUMMYFUNCTION("""COMPUTED_VALUE"""),45811.0)</f>
        <v>45811</v>
      </c>
      <c r="AX11" s="179">
        <f>IFERROR(__xludf.DUMMYFUNCTION("""COMPUTED_VALUE"""),0.5)</f>
        <v>0.5</v>
      </c>
      <c r="AY11" s="180">
        <f>IFERROR(__xludf.DUMMYFUNCTION("""COMPUTED_VALUE"""),45719.0)</f>
        <v>45719</v>
      </c>
      <c r="AZ11" s="179">
        <f>IFERROR(__xludf.DUMMYFUNCTION("""COMPUTED_VALUE"""),0.5)</f>
        <v>0.5</v>
      </c>
      <c r="BA11" s="180">
        <f>IFERROR(__xludf.DUMMYFUNCTION("""COMPUTED_VALUE"""),45750.0)</f>
        <v>45750</v>
      </c>
      <c r="BB11" s="179">
        <f>IFERROR(__xludf.DUMMYFUNCTION("""COMPUTED_VALUE"""),0.5)</f>
        <v>0.5</v>
      </c>
      <c r="BC11" s="180">
        <f>IFERROR(__xludf.DUMMYFUNCTION("""COMPUTED_VALUE"""),45780.0)</f>
        <v>45780</v>
      </c>
      <c r="BD11" s="179">
        <f>IFERROR(__xludf.DUMMYFUNCTION("""COMPUTED_VALUE"""),0.75)</f>
        <v>0.75</v>
      </c>
      <c r="BE11" s="180">
        <f>IFERROR(__xludf.DUMMYFUNCTION("""COMPUTED_VALUE"""),45903.0)</f>
        <v>45903</v>
      </c>
      <c r="BF11" s="179">
        <f>IFERROR(__xludf.DUMMYFUNCTION("""COMPUTED_VALUE"""),0.75)</f>
        <v>0.75</v>
      </c>
      <c r="BG11" s="180">
        <f>IFERROR(__xludf.DUMMYFUNCTION("""COMPUTED_VALUE"""),45872.0)</f>
        <v>45872</v>
      </c>
      <c r="BH11" s="179">
        <f>IFERROR(__xludf.DUMMYFUNCTION("""COMPUTED_VALUE"""),0.75)</f>
        <v>0.75</v>
      </c>
      <c r="BI11" s="180">
        <f>IFERROR(__xludf.DUMMYFUNCTION("""COMPUTED_VALUE"""),45903.0)</f>
        <v>45903</v>
      </c>
      <c r="BJ11" s="179">
        <f>IFERROR(__xludf.DUMMYFUNCTION("""COMPUTED_VALUE"""),1.0)</f>
        <v>1</v>
      </c>
      <c r="BK11" s="182">
        <f>IFERROR(__xludf.DUMMYFUNCTION("""COMPUTED_VALUE"""),45839.0)</f>
        <v>45839</v>
      </c>
      <c r="BL11" s="179">
        <f>IFERROR(__xludf.DUMMYFUNCTION("""COMPUTED_VALUE"""),0.25)</f>
        <v>0.25</v>
      </c>
      <c r="BM11" s="180">
        <f>IFERROR(__xludf.DUMMYFUNCTION("""COMPUTED_VALUE"""),45842.0)</f>
        <v>45842</v>
      </c>
      <c r="BN11" s="179">
        <f>IFERROR(__xludf.DUMMYFUNCTION("""COMPUTED_VALUE"""),0.6666666666666666)</f>
        <v>0.6666666667</v>
      </c>
      <c r="BO11" s="180">
        <f>IFERROR(__xludf.DUMMYFUNCTION("""COMPUTED_VALUE"""),45841.0)</f>
        <v>45841</v>
      </c>
      <c r="BP11" s="179">
        <f>IFERROR(__xludf.DUMMYFUNCTION("""COMPUTED_VALUE"""),0.375)</f>
        <v>0.375</v>
      </c>
      <c r="BQ11" s="180">
        <f>IFERROR(__xludf.DUMMYFUNCTION("""COMPUTED_VALUE"""),45934.0)</f>
        <v>45934</v>
      </c>
      <c r="BR11" s="179">
        <f>IFERROR(__xludf.DUMMYFUNCTION("""COMPUTED_VALUE"""),0.5)</f>
        <v>0.5</v>
      </c>
      <c r="BS11" s="180">
        <f>IFERROR(__xludf.DUMMYFUNCTION("""COMPUTED_VALUE"""),45720.0)</f>
        <v>45720</v>
      </c>
      <c r="BT11" s="179">
        <f>IFERROR(__xludf.DUMMYFUNCTION("""COMPUTED_VALUE"""),0.5)</f>
        <v>0.5</v>
      </c>
      <c r="BU11" s="180">
        <f>IFERROR(__xludf.DUMMYFUNCTION("""COMPUTED_VALUE"""),45720.0)</f>
        <v>45720</v>
      </c>
      <c r="BV11" s="179">
        <f>IFERROR(__xludf.DUMMYFUNCTION("""COMPUTED_VALUE"""),0.5)</f>
        <v>0.5</v>
      </c>
      <c r="BW11" s="180">
        <f>IFERROR(__xludf.DUMMYFUNCTION("""COMPUTED_VALUE"""),45870.0)</f>
        <v>45870</v>
      </c>
      <c r="BX11" s="179">
        <f>IFERROR(__xludf.DUMMYFUNCTION("""COMPUTED_VALUE"""),0.25)</f>
        <v>0.25</v>
      </c>
      <c r="BY11" s="180">
        <f>IFERROR(__xludf.DUMMYFUNCTION("""COMPUTED_VALUE"""),45904.0)</f>
        <v>45904</v>
      </c>
      <c r="BZ11" s="179">
        <f>IFERROR(__xludf.DUMMYFUNCTION("""COMPUTED_VALUE"""),0.75)</f>
        <v>0.75</v>
      </c>
      <c r="CA11" s="180">
        <f>IFERROR(__xludf.DUMMYFUNCTION("""COMPUTED_VALUE"""),45811.0)</f>
        <v>45811</v>
      </c>
      <c r="CB11" s="179">
        <f>IFERROR(__xludf.DUMMYFUNCTION("""COMPUTED_VALUE"""),0.25)</f>
        <v>0.25</v>
      </c>
      <c r="CC11" s="180">
        <f>IFERROR(__xludf.DUMMYFUNCTION("""COMPUTED_VALUE"""),45842.0)</f>
        <v>45842</v>
      </c>
      <c r="CD11" s="179">
        <f>IFERROR(__xludf.DUMMYFUNCTION("""COMPUTED_VALUE"""),0.5)</f>
        <v>0.5</v>
      </c>
      <c r="CE11" s="182">
        <f>IFERROR(__xludf.DUMMYFUNCTION("""COMPUTED_VALUE"""),45721.0)</f>
        <v>45721</v>
      </c>
      <c r="CF11" s="179">
        <f>IFERROR(__xludf.DUMMYFUNCTION("""COMPUTED_VALUE"""),0.25)</f>
        <v>0.25</v>
      </c>
      <c r="CG11" s="180">
        <f>IFERROR(__xludf.DUMMYFUNCTION("""COMPUTED_VALUE"""),45935.0)</f>
        <v>45935</v>
      </c>
      <c r="CH11" s="179">
        <f>IFERROR(__xludf.DUMMYFUNCTION("""COMPUTED_VALUE"""),0.5)</f>
        <v>0.5</v>
      </c>
      <c r="CI11" s="180">
        <f>IFERROR(__xludf.DUMMYFUNCTION("""COMPUTED_VALUE"""),45939.0)</f>
        <v>45939</v>
      </c>
      <c r="CJ11" s="179">
        <f>IFERROR(__xludf.DUMMYFUNCTION("""COMPUTED_VALUE"""),0.3333333333333333)</f>
        <v>0.3333333333</v>
      </c>
      <c r="CK11" s="180">
        <f>IFERROR(__xludf.DUMMYFUNCTION("""COMPUTED_VALUE"""),45813.0)</f>
        <v>45813</v>
      </c>
      <c r="CL11" s="179">
        <f>IFERROR(__xludf.DUMMYFUNCTION("""COMPUTED_VALUE"""),0.5)</f>
        <v>0.5</v>
      </c>
      <c r="CM11" s="180">
        <f>IFERROR(__xludf.DUMMYFUNCTION("""COMPUTED_VALUE"""),45843.0)</f>
        <v>45843</v>
      </c>
      <c r="CN11" s="179">
        <f>IFERROR(__xludf.DUMMYFUNCTION("""COMPUTED_VALUE"""),0.75)</f>
        <v>0.75</v>
      </c>
      <c r="CO11" s="180">
        <f>IFERROR(__xludf.DUMMYFUNCTION("""COMPUTED_VALUE"""),45752.0)</f>
        <v>45752</v>
      </c>
      <c r="CP11" s="179">
        <f>IFERROR(__xludf.DUMMYFUNCTION("""COMPUTED_VALUE"""),0.5)</f>
        <v>0.5</v>
      </c>
      <c r="CQ11" s="180">
        <f>IFERROR(__xludf.DUMMYFUNCTION("""COMPUTED_VALUE"""),45935.0)</f>
        <v>45935</v>
      </c>
      <c r="CR11" s="179">
        <f>IFERROR(__xludf.DUMMYFUNCTION("""COMPUTED_VALUE"""),0.5)</f>
        <v>0.5</v>
      </c>
      <c r="CS11" s="180">
        <f>IFERROR(__xludf.DUMMYFUNCTION("""COMPUTED_VALUE"""),45905.0)</f>
        <v>45905</v>
      </c>
      <c r="CT11" s="179">
        <f>IFERROR(__xludf.DUMMYFUNCTION("""COMPUTED_VALUE"""),0.75)</f>
        <v>0.75</v>
      </c>
      <c r="CU11" s="180">
        <f>IFERROR(__xludf.DUMMYFUNCTION("""COMPUTED_VALUE"""),45874.0)</f>
        <v>45874</v>
      </c>
      <c r="CV11" s="179">
        <f>IFERROR(__xludf.DUMMYFUNCTION("""COMPUTED_VALUE"""),0.75)</f>
        <v>0.75</v>
      </c>
      <c r="CW11" s="180">
        <f>IFERROR(__xludf.DUMMYFUNCTION("""COMPUTED_VALUE"""),45843.0)</f>
        <v>45843</v>
      </c>
      <c r="CX11" s="179">
        <f>IFERROR(__xludf.DUMMYFUNCTION("""COMPUTED_VALUE"""),0.5)</f>
        <v>0.5</v>
      </c>
      <c r="CY11" s="182">
        <f>IFERROR(__xludf.DUMMYFUNCTION("""COMPUTED_VALUE"""),45839.0)</f>
        <v>45839</v>
      </c>
      <c r="CZ11" s="179">
        <f>IFERROR(__xludf.DUMMYFUNCTION("""COMPUTED_VALUE"""),0.25)</f>
        <v>0.25</v>
      </c>
      <c r="DA11" s="180">
        <f>IFERROR(__xludf.DUMMYFUNCTION("""COMPUTED_VALUE"""),45844.0)</f>
        <v>45844</v>
      </c>
      <c r="DB11" s="179">
        <f>IFERROR(__xludf.DUMMYFUNCTION("""COMPUTED_VALUE"""),0.5)</f>
        <v>0.5</v>
      </c>
      <c r="DC11" s="180">
        <f>IFERROR(__xludf.DUMMYFUNCTION("""COMPUTED_VALUE"""),45663.0)</f>
        <v>45663</v>
      </c>
      <c r="DD11" s="179">
        <f>IFERROR(__xludf.DUMMYFUNCTION("""COMPUTED_VALUE"""),0.25)</f>
        <v>0.25</v>
      </c>
      <c r="DE11" s="180">
        <f>IFERROR(__xludf.DUMMYFUNCTION("""COMPUTED_VALUE"""),45934.0)</f>
        <v>45934</v>
      </c>
      <c r="DF11" s="179">
        <f>IFERROR(__xludf.DUMMYFUNCTION("""COMPUTED_VALUE"""),0.25)</f>
        <v>0.25</v>
      </c>
      <c r="DG11" s="180">
        <f>IFERROR(__xludf.DUMMYFUNCTION("""COMPUTED_VALUE"""),45844.0)</f>
        <v>45844</v>
      </c>
      <c r="DH11" s="179">
        <f>IFERROR(__xludf.DUMMYFUNCTION("""COMPUTED_VALUE"""),0.5)</f>
        <v>0.5</v>
      </c>
      <c r="DI11" s="180">
        <f>IFERROR(__xludf.DUMMYFUNCTION("""COMPUTED_VALUE"""),45931.0)</f>
        <v>45931</v>
      </c>
      <c r="DJ11" s="179">
        <f>IFERROR(__xludf.DUMMYFUNCTION("""COMPUTED_VALUE"""),0.25)</f>
        <v>0.25</v>
      </c>
      <c r="DK11" s="180">
        <f>IFERROR(__xludf.DUMMYFUNCTION("""COMPUTED_VALUE"""),45814.0)</f>
        <v>45814</v>
      </c>
      <c r="DL11" s="179">
        <f>IFERROR(__xludf.DUMMYFUNCTION("""COMPUTED_VALUE"""),0.5)</f>
        <v>0.5</v>
      </c>
      <c r="DM11" s="180">
        <f>IFERROR(__xludf.DUMMYFUNCTION("""COMPUTED_VALUE"""),45906.0)</f>
        <v>45906</v>
      </c>
      <c r="DN11" s="179">
        <f>IFERROR(__xludf.DUMMYFUNCTION("""COMPUTED_VALUE"""),0.75)</f>
        <v>0.75</v>
      </c>
      <c r="DO11" s="180">
        <f>IFERROR(__xludf.DUMMYFUNCTION("""COMPUTED_VALUE"""),45875.0)</f>
        <v>45875</v>
      </c>
      <c r="DP11" s="179">
        <f>IFERROR(__xludf.DUMMYFUNCTION("""COMPUTED_VALUE"""),0.75)</f>
        <v>0.75</v>
      </c>
      <c r="DQ11" s="180">
        <f>IFERROR(__xludf.DUMMYFUNCTION("""COMPUTED_VALUE"""),45753.0)</f>
        <v>45753</v>
      </c>
      <c r="DR11" s="179">
        <f>IFERROR(__xludf.DUMMYFUNCTION("""COMPUTED_VALUE"""),0.5)</f>
        <v>0.5</v>
      </c>
      <c r="DS11" s="182">
        <f>IFERROR(__xludf.DUMMYFUNCTION("""COMPUTED_VALUE"""),45723.0)</f>
        <v>45723</v>
      </c>
      <c r="DT11" s="179">
        <f>IFERROR(__xludf.DUMMYFUNCTION("""COMPUTED_VALUE"""),0.25)</f>
        <v>0.25</v>
      </c>
      <c r="DU11" s="180">
        <f>IFERROR(__xludf.DUMMYFUNCTION("""COMPUTED_VALUE"""),45937.0)</f>
        <v>45937</v>
      </c>
      <c r="DV11" s="179">
        <f>IFERROR(__xludf.DUMMYFUNCTION("""COMPUTED_VALUE"""),1.0)</f>
        <v>1</v>
      </c>
      <c r="DW11" s="180">
        <f>IFERROR(__xludf.DUMMYFUNCTION("""COMPUTED_VALUE"""),45664.0)</f>
        <v>45664</v>
      </c>
      <c r="DX11" s="179">
        <f>IFERROR(__xludf.DUMMYFUNCTION("""COMPUTED_VALUE"""),0.25)</f>
        <v>0.25</v>
      </c>
      <c r="DY11" s="180">
        <f>IFERROR(__xludf.DUMMYFUNCTION("""COMPUTED_VALUE"""),45815.0)</f>
        <v>45815</v>
      </c>
      <c r="DZ11" s="179">
        <f>IFERROR(__xludf.DUMMYFUNCTION("""COMPUTED_VALUE"""),0.5)</f>
        <v>0.5</v>
      </c>
      <c r="EA11" s="180">
        <f>IFERROR(__xludf.DUMMYFUNCTION("""COMPUTED_VALUE"""),45845.0)</f>
        <v>45845</v>
      </c>
      <c r="EB11" s="179">
        <f>IFERROR(__xludf.DUMMYFUNCTION("""COMPUTED_VALUE"""),0.75)</f>
        <v>0.75</v>
      </c>
      <c r="EC11" s="180">
        <f>IFERROR(__xludf.DUMMYFUNCTION("""COMPUTED_VALUE"""),45754.0)</f>
        <v>45754</v>
      </c>
      <c r="ED11" s="179">
        <f>IFERROR(__xludf.DUMMYFUNCTION("""COMPUTED_VALUE"""),0.5)</f>
        <v>0.5</v>
      </c>
      <c r="EE11" s="180">
        <f>IFERROR(__xludf.DUMMYFUNCTION("""COMPUTED_VALUE"""),45784.0)</f>
        <v>45784</v>
      </c>
      <c r="EF11" s="179">
        <f>IFERROR(__xludf.DUMMYFUNCTION("""COMPUTED_VALUE"""),0.75)</f>
        <v>0.75</v>
      </c>
      <c r="EG11" s="180">
        <f>IFERROR(__xludf.DUMMYFUNCTION("""COMPUTED_VALUE"""),45907.0)</f>
        <v>45907</v>
      </c>
      <c r="EH11" s="179">
        <f>IFERROR(__xludf.DUMMYFUNCTION("""COMPUTED_VALUE"""),0.75)</f>
        <v>0.75</v>
      </c>
      <c r="EI11" s="180">
        <f>IFERROR(__xludf.DUMMYFUNCTION("""COMPUTED_VALUE"""),45876.0)</f>
        <v>45876</v>
      </c>
      <c r="EJ11" s="179">
        <f>IFERROR(__xludf.DUMMYFUNCTION("""COMPUTED_VALUE"""),0.75)</f>
        <v>0.75</v>
      </c>
      <c r="EK11" s="180">
        <f>IFERROR(__xludf.DUMMYFUNCTION("""COMPUTED_VALUE"""),45907.0)</f>
        <v>45907</v>
      </c>
      <c r="EL11" s="179">
        <f>IFERROR(__xludf.DUMMYFUNCTION("""COMPUTED_VALUE"""),1.0)</f>
        <v>1</v>
      </c>
      <c r="EM11" s="182">
        <f>IFERROR(__xludf.DUMMYFUNCTION("""COMPUTED_VALUE"""),45845.0)</f>
        <v>45845</v>
      </c>
      <c r="EN11" s="179">
        <f>IFERROR(__xludf.DUMMYFUNCTION("""COMPUTED_VALUE"""),0.25)</f>
        <v>0.25</v>
      </c>
      <c r="EO11" s="180">
        <f>IFERROR(__xludf.DUMMYFUNCTION("""COMPUTED_VALUE"""),45724.0)</f>
        <v>45724</v>
      </c>
      <c r="EP11" s="179">
        <f>IFERROR(__xludf.DUMMYFUNCTION("""COMPUTED_VALUE"""),0.5)</f>
        <v>0.5</v>
      </c>
      <c r="EQ11" s="180">
        <f>IFERROR(__xludf.DUMMYFUNCTION("""COMPUTED_VALUE"""),45901.0)</f>
        <v>45901</v>
      </c>
      <c r="ER11" s="179">
        <f>IFERROR(__xludf.DUMMYFUNCTION("""COMPUTED_VALUE"""),0.25)</f>
        <v>0.25</v>
      </c>
      <c r="ES11" s="180">
        <f>IFERROR(__xludf.DUMMYFUNCTION("""COMPUTED_VALUE"""),45816.0)</f>
        <v>45816</v>
      </c>
      <c r="ET11" s="179">
        <f>IFERROR(__xludf.DUMMYFUNCTION("""COMPUTED_VALUE"""),0.5)</f>
        <v>0.5</v>
      </c>
      <c r="EU11" s="180">
        <f>IFERROR(__xludf.DUMMYFUNCTION("""COMPUTED_VALUE"""),45846.0)</f>
        <v>45846</v>
      </c>
      <c r="EV11" s="179">
        <f>IFERROR(__xludf.DUMMYFUNCTION("""COMPUTED_VALUE"""),0.75)</f>
        <v>0.75</v>
      </c>
      <c r="EW11" s="180">
        <f>IFERROR(__xludf.DUMMYFUNCTION("""COMPUTED_VALUE"""),45755.0)</f>
        <v>45755</v>
      </c>
      <c r="EX11" s="179">
        <f>IFERROR(__xludf.DUMMYFUNCTION("""COMPUTED_VALUE"""),0.5)</f>
        <v>0.5</v>
      </c>
      <c r="EY11" s="180">
        <f>IFERROR(__xludf.DUMMYFUNCTION("""COMPUTED_VALUE"""),45938.0)</f>
        <v>45938</v>
      </c>
      <c r="EZ11" s="179">
        <f>IFERROR(__xludf.DUMMYFUNCTION("""COMPUTED_VALUE"""),0.5)</f>
        <v>0.5</v>
      </c>
      <c r="FA11" s="180">
        <f>IFERROR(__xludf.DUMMYFUNCTION("""COMPUTED_VALUE"""),45908.0)</f>
        <v>45908</v>
      </c>
      <c r="FB11" s="179">
        <f>IFERROR(__xludf.DUMMYFUNCTION("""COMPUTED_VALUE"""),0.75)</f>
        <v>0.75</v>
      </c>
      <c r="FC11" s="180">
        <f>IFERROR(__xludf.DUMMYFUNCTION("""COMPUTED_VALUE"""),45877.0)</f>
        <v>45877</v>
      </c>
      <c r="FD11" s="179">
        <f>IFERROR(__xludf.DUMMYFUNCTION("""COMPUTED_VALUE"""),0.75)</f>
        <v>0.75</v>
      </c>
      <c r="FE11" s="180">
        <f>IFERROR(__xludf.DUMMYFUNCTION("""COMPUTED_VALUE"""),45846.0)</f>
        <v>45846</v>
      </c>
      <c r="FF11" s="179">
        <f>IFERROR(__xludf.DUMMYFUNCTION("""COMPUTED_VALUE"""),0.5)</f>
        <v>0.5</v>
      </c>
      <c r="FG11" s="182">
        <f>IFERROR(__xludf.DUMMYFUNCTION("""COMPUTED_VALUE"""),45935.0)</f>
        <v>45935</v>
      </c>
      <c r="FH11" s="179">
        <f>IFERROR(__xludf.DUMMYFUNCTION("""COMPUTED_VALUE"""),0.25)</f>
        <v>0.25</v>
      </c>
      <c r="FI11" s="180">
        <f>IFERROR(__xludf.DUMMYFUNCTION("""COMPUTED_VALUE"""),45725.0)</f>
        <v>45725</v>
      </c>
      <c r="FJ11" s="179">
        <f>IFERROR(__xludf.DUMMYFUNCTION("""COMPUTED_VALUE"""),0.5)</f>
        <v>0.5</v>
      </c>
      <c r="FK11" s="180">
        <f>IFERROR(__xludf.DUMMYFUNCTION("""COMPUTED_VALUE"""),45935.0)</f>
        <v>45935</v>
      </c>
      <c r="FL11" s="179">
        <f>IFERROR(__xludf.DUMMYFUNCTION("""COMPUTED_VALUE"""),0.3333333333333333)</f>
        <v>0.3333333333</v>
      </c>
      <c r="FM11" s="180">
        <f>IFERROR(__xludf.DUMMYFUNCTION("""COMPUTED_VALUE"""),45817.0)</f>
        <v>45817</v>
      </c>
      <c r="FN11" s="179">
        <f>IFERROR(__xludf.DUMMYFUNCTION("""COMPUTED_VALUE"""),0.5)</f>
        <v>0.5</v>
      </c>
      <c r="FO11" s="180">
        <f>IFERROR(__xludf.DUMMYFUNCTION("""COMPUTED_VALUE"""),45725.0)</f>
        <v>45725</v>
      </c>
      <c r="FP11" s="179">
        <f>IFERROR(__xludf.DUMMYFUNCTION("""COMPUTED_VALUE"""),0.5)</f>
        <v>0.5</v>
      </c>
      <c r="FQ11" s="180">
        <f>IFERROR(__xludf.DUMMYFUNCTION("""COMPUTED_VALUE"""),45756.0)</f>
        <v>45756</v>
      </c>
      <c r="FR11" s="179">
        <f>IFERROR(__xludf.DUMMYFUNCTION("""COMPUTED_VALUE"""),0.5)</f>
        <v>0.5</v>
      </c>
      <c r="FS11" s="180">
        <f>IFERROR(__xludf.DUMMYFUNCTION("""COMPUTED_VALUE"""),45939.0)</f>
        <v>45939</v>
      </c>
      <c r="FT11" s="179">
        <f>IFERROR(__xludf.DUMMYFUNCTION("""COMPUTED_VALUE"""),0.75)</f>
        <v>0.75</v>
      </c>
      <c r="FU11" s="180">
        <f>IFERROR(__xludf.DUMMYFUNCTION("""COMPUTED_VALUE"""),45939.0)</f>
        <v>45939</v>
      </c>
      <c r="FV11" s="179">
        <f>IFERROR(__xludf.DUMMYFUNCTION("""COMPUTED_VALUE"""),0.6666666666666666)</f>
        <v>0.6666666667</v>
      </c>
      <c r="FW11" s="180">
        <f>IFERROR(__xludf.DUMMYFUNCTION("""COMPUTED_VALUE"""),45878.0)</f>
        <v>45878</v>
      </c>
      <c r="FX11" s="179">
        <f>IFERROR(__xludf.DUMMYFUNCTION("""COMPUTED_VALUE"""),0.75)</f>
        <v>0.75</v>
      </c>
      <c r="FY11" s="180">
        <f>IFERROR(__xludf.DUMMYFUNCTION("""COMPUTED_VALUE"""),45756.0)</f>
        <v>45756</v>
      </c>
      <c r="FZ11" s="179">
        <f>IFERROR(__xludf.DUMMYFUNCTION("""COMPUTED_VALUE"""),0.5)</f>
        <v>0.5</v>
      </c>
      <c r="GA11" s="182">
        <f>IFERROR(__xludf.DUMMYFUNCTION("""COMPUTED_VALUE"""),45726.0)</f>
        <v>45726</v>
      </c>
      <c r="GB11" s="179">
        <f>IFERROR(__xludf.DUMMYFUNCTION("""COMPUTED_VALUE"""),0.25)</f>
        <v>0.25</v>
      </c>
      <c r="GC11" s="180">
        <f>IFERROR(__xludf.DUMMYFUNCTION("""COMPUTED_VALUE"""),45848.0)</f>
        <v>45848</v>
      </c>
      <c r="GD11" s="179">
        <f>IFERROR(__xludf.DUMMYFUNCTION("""COMPUTED_VALUE"""),0.8333333333333334)</f>
        <v>0.8333333333</v>
      </c>
      <c r="GE11" s="180">
        <f>IFERROR(__xludf.DUMMYFUNCTION("""COMPUTED_VALUE"""),45667.0)</f>
        <v>45667</v>
      </c>
      <c r="GF11" s="179">
        <f>IFERROR(__xludf.DUMMYFUNCTION("""COMPUTED_VALUE"""),0.25)</f>
        <v>0.25</v>
      </c>
      <c r="GG11" s="180">
        <f>IFERROR(__xludf.DUMMYFUNCTION("""COMPUTED_VALUE"""),45818.0)</f>
        <v>45818</v>
      </c>
      <c r="GH11" s="179">
        <f>IFERROR(__xludf.DUMMYFUNCTION("""COMPUTED_VALUE"""),0.5)</f>
        <v>0.5</v>
      </c>
      <c r="GI11" s="180">
        <f>IFERROR(__xludf.DUMMYFUNCTION("""COMPUTED_VALUE"""),45848.0)</f>
        <v>45848</v>
      </c>
      <c r="GJ11" s="179">
        <f>IFERROR(__xludf.DUMMYFUNCTION("""COMPUTED_VALUE"""),0.75)</f>
        <v>0.75</v>
      </c>
      <c r="GK11" s="180">
        <f>IFERROR(__xludf.DUMMYFUNCTION("""COMPUTED_VALUE"""),45757.0)</f>
        <v>45757</v>
      </c>
      <c r="GL11" s="179">
        <f>IFERROR(__xludf.DUMMYFUNCTION("""COMPUTED_VALUE"""),0.5)</f>
        <v>0.5</v>
      </c>
      <c r="GM11" s="180">
        <f>IFERROR(__xludf.DUMMYFUNCTION("""COMPUTED_VALUE"""),45667.0)</f>
        <v>45667</v>
      </c>
      <c r="GN11" s="179">
        <f>IFERROR(__xludf.DUMMYFUNCTION("""COMPUTED_VALUE"""),0.5)</f>
        <v>0.5</v>
      </c>
      <c r="GO11" s="180">
        <f>IFERROR(__xludf.DUMMYFUNCTION("""COMPUTED_VALUE"""),45910.0)</f>
        <v>45910</v>
      </c>
      <c r="GP11" s="179">
        <f>IFERROR(__xludf.DUMMYFUNCTION("""COMPUTED_VALUE"""),0.75)</f>
        <v>0.75</v>
      </c>
      <c r="GQ11" s="180">
        <f>IFERROR(__xludf.DUMMYFUNCTION("""COMPUTED_VALUE"""),45879.0)</f>
        <v>45879</v>
      </c>
      <c r="GR11" s="179">
        <f>IFERROR(__xludf.DUMMYFUNCTION("""COMPUTED_VALUE"""),0.75)</f>
        <v>0.75</v>
      </c>
      <c r="GS11" s="180">
        <f>IFERROR(__xludf.DUMMYFUNCTION("""COMPUTED_VALUE"""),45848.0)</f>
        <v>45848</v>
      </c>
      <c r="GT11" s="179">
        <f>IFERROR(__xludf.DUMMYFUNCTION("""COMPUTED_VALUE"""),0.5)</f>
        <v>0.5</v>
      </c>
    </row>
    <row r="12" ht="31.5" customHeight="1">
      <c r="A12" s="177" t="s">
        <v>3054</v>
      </c>
      <c r="B12" s="102"/>
      <c r="C12" s="178">
        <f>IFERROR(__xludf.DUMMYFUNCTION("""COMPUTED_VALUE"""),45936.0)</f>
        <v>45936</v>
      </c>
      <c r="D12" s="179">
        <f>IFERROR(__xludf.DUMMYFUNCTION("""COMPUTED_VALUE"""),0.25)</f>
        <v>0.25</v>
      </c>
      <c r="E12" s="180">
        <f>IFERROR(__xludf.DUMMYFUNCTION("""COMPUTED_VALUE"""),45874.0)</f>
        <v>45874</v>
      </c>
      <c r="F12" s="179">
        <f>IFERROR(__xludf.DUMMYFUNCTION("""COMPUTED_VALUE"""),0.25)</f>
        <v>0.25</v>
      </c>
      <c r="G12" s="180">
        <f>IFERROR(__xludf.DUMMYFUNCTION("""COMPUTED_VALUE"""),45696.0)</f>
        <v>45696</v>
      </c>
      <c r="H12" s="179">
        <f>IFERROR(__xludf.DUMMYFUNCTION("""COMPUTED_VALUE"""),0.25)</f>
        <v>0.25</v>
      </c>
      <c r="I12" s="180">
        <f>IFERROR(__xludf.DUMMYFUNCTION("""COMPUTED_VALUE"""),45874.0)</f>
        <v>45874</v>
      </c>
      <c r="J12" s="179">
        <f>IFERROR(__xludf.DUMMYFUNCTION("""COMPUTED_VALUE"""),0.25)</f>
        <v>0.25</v>
      </c>
      <c r="K12" s="180">
        <f>IFERROR(__xludf.DUMMYFUNCTION("""COMPUTED_VALUE"""),45936.0)</f>
        <v>45936</v>
      </c>
      <c r="L12" s="179">
        <f>IFERROR(__xludf.DUMMYFUNCTION("""COMPUTED_VALUE"""),0.25)</f>
        <v>0.25</v>
      </c>
      <c r="M12" s="180">
        <f>IFERROR(__xludf.DUMMYFUNCTION("""COMPUTED_VALUE"""),45936.0)</f>
        <v>45936</v>
      </c>
      <c r="N12" s="179">
        <f>IFERROR(__xludf.DUMMYFUNCTION("""COMPUTED_VALUE"""),0.25)</f>
        <v>0.25</v>
      </c>
      <c r="O12" s="180">
        <f>IFERROR(__xludf.DUMMYFUNCTION("""COMPUTED_VALUE"""),45661.0)</f>
        <v>45661</v>
      </c>
      <c r="P12" s="179">
        <f>IFERROR(__xludf.DUMMYFUNCTION("""COMPUTED_VALUE"""),0.25)</f>
        <v>0.25</v>
      </c>
      <c r="Q12" s="180">
        <f>IFERROR(__xludf.DUMMYFUNCTION("""COMPUTED_VALUE"""),45844.0)</f>
        <v>45844</v>
      </c>
      <c r="R12" s="179">
        <f>IFERROR(__xludf.DUMMYFUNCTION("""COMPUTED_VALUE"""),0.5)</f>
        <v>0.5</v>
      </c>
      <c r="S12" s="180">
        <f>IFERROR(__xludf.DUMMYFUNCTION("""COMPUTED_VALUE"""),45724.0)</f>
        <v>45724</v>
      </c>
      <c r="T12" s="179">
        <f>IFERROR(__xludf.DUMMYFUNCTION("""COMPUTED_VALUE"""),0.25)</f>
        <v>0.25</v>
      </c>
      <c r="U12" s="180">
        <f>IFERROR(__xludf.DUMMYFUNCTION("""COMPUTED_VALUE"""),45875.0)</f>
        <v>45875</v>
      </c>
      <c r="V12" s="181">
        <f>IFERROR(__xludf.DUMMYFUNCTION("""COMPUTED_VALUE"""),0.3333333333333333)</f>
        <v>0.3333333333</v>
      </c>
      <c r="W12" s="178">
        <f>IFERROR(__xludf.DUMMYFUNCTION("""COMPUTED_VALUE"""),45933.0)</f>
        <v>45933</v>
      </c>
      <c r="X12" s="179">
        <f>IFERROR(__xludf.DUMMYFUNCTION("""COMPUTED_VALUE"""),0.25)</f>
        <v>0.25</v>
      </c>
      <c r="Y12" s="180">
        <f>IFERROR(__xludf.DUMMYFUNCTION("""COMPUTED_VALUE"""),45843.0)</f>
        <v>45843</v>
      </c>
      <c r="Z12" s="179">
        <f>IFERROR(__xludf.DUMMYFUNCTION("""COMPUTED_VALUE"""),0.3333333333333333)</f>
        <v>0.3333333333</v>
      </c>
      <c r="AA12" s="180">
        <f>IFERROR(__xludf.DUMMYFUNCTION("""COMPUTED_VALUE"""),45843.0)</f>
        <v>45843</v>
      </c>
      <c r="AB12" s="179">
        <f>IFERROR(__xludf.DUMMYFUNCTION("""COMPUTED_VALUE"""),0.125)</f>
        <v>0.125</v>
      </c>
      <c r="AC12" s="180">
        <f>IFERROR(__xludf.DUMMYFUNCTION("""COMPUTED_VALUE"""),45782.0)</f>
        <v>45782</v>
      </c>
      <c r="AD12" s="179">
        <f>IFERROR(__xludf.DUMMYFUNCTION("""COMPUTED_VALUE"""),0.25)</f>
        <v>0.25</v>
      </c>
      <c r="AE12" s="180">
        <f>IFERROR(__xludf.DUMMYFUNCTION("""COMPUTED_VALUE"""),45933.0)</f>
        <v>45933</v>
      </c>
      <c r="AF12" s="179">
        <f>IFERROR(__xludf.DUMMYFUNCTION("""COMPUTED_VALUE"""),0.25)</f>
        <v>0.25</v>
      </c>
      <c r="AG12" s="180">
        <f>IFERROR(__xludf.DUMMYFUNCTION("""COMPUTED_VALUE"""),45933.0)</f>
        <v>45933</v>
      </c>
      <c r="AH12" s="179">
        <f>IFERROR(__xludf.DUMMYFUNCTION("""COMPUTED_VALUE"""),0.25)</f>
        <v>0.25</v>
      </c>
      <c r="AI12" s="180">
        <f>IFERROR(__xludf.DUMMYFUNCTION("""COMPUTED_VALUE"""),45782.0)</f>
        <v>45782</v>
      </c>
      <c r="AJ12" s="179">
        <f>IFERROR(__xludf.DUMMYFUNCTION("""COMPUTED_VALUE"""),0.25)</f>
        <v>0.25</v>
      </c>
      <c r="AK12" s="180">
        <f>IFERROR(__xludf.DUMMYFUNCTION("""COMPUTED_VALUE"""),45697.0)</f>
        <v>45697</v>
      </c>
      <c r="AL12" s="179">
        <f>IFERROR(__xludf.DUMMYFUNCTION("""COMPUTED_VALUE"""),0.25)</f>
        <v>0.25</v>
      </c>
      <c r="AM12" s="180">
        <f>IFERROR(__xludf.DUMMYFUNCTION("""COMPUTED_VALUE"""),45813.0)</f>
        <v>45813</v>
      </c>
      <c r="AN12" s="179">
        <f>IFERROR(__xludf.DUMMYFUNCTION("""COMPUTED_VALUE"""),0.25)</f>
        <v>0.25</v>
      </c>
      <c r="AO12" s="180">
        <f>IFERROR(__xludf.DUMMYFUNCTION("""COMPUTED_VALUE"""),45660.0)</f>
        <v>45660</v>
      </c>
      <c r="AP12" s="181">
        <f>IFERROR(__xludf.DUMMYFUNCTION("""COMPUTED_VALUE"""),0.25)</f>
        <v>0.25</v>
      </c>
      <c r="AQ12" s="178">
        <f>IFERROR(__xludf.DUMMYFUNCTION("""COMPUTED_VALUE"""),45719.0)</f>
        <v>45719</v>
      </c>
      <c r="AR12" s="179">
        <f>IFERROR(__xludf.DUMMYFUNCTION("""COMPUTED_VALUE"""),0.25)</f>
        <v>0.25</v>
      </c>
      <c r="AS12" s="180">
        <f>IFERROR(__xludf.DUMMYFUNCTION("""COMPUTED_VALUE"""),45720.0)</f>
        <v>45720</v>
      </c>
      <c r="AT12" s="179">
        <f>IFERROR(__xludf.DUMMYFUNCTION("""COMPUTED_VALUE"""),0.5)</f>
        <v>0.5</v>
      </c>
      <c r="AU12" s="180">
        <f>IFERROR(__xludf.DUMMYFUNCTION("""COMPUTED_VALUE"""),45933.0)</f>
        <v>45933</v>
      </c>
      <c r="AV12" s="179">
        <f>IFERROR(__xludf.DUMMYFUNCTION("""COMPUTED_VALUE"""),0.3333333333333333)</f>
        <v>0.3333333333</v>
      </c>
      <c r="AW12" s="180">
        <f>IFERROR(__xludf.DUMMYFUNCTION("""COMPUTED_VALUE"""),45692.0)</f>
        <v>45692</v>
      </c>
      <c r="AX12" s="179">
        <f>IFERROR(__xludf.DUMMYFUNCTION("""COMPUTED_VALUE"""),0.25)</f>
        <v>0.25</v>
      </c>
      <c r="AY12" s="180">
        <f>IFERROR(__xludf.DUMMYFUNCTION("""COMPUTED_VALUE"""),45932.0)</f>
        <v>45932</v>
      </c>
      <c r="AZ12" s="179">
        <f>IFERROR(__xludf.DUMMYFUNCTION("""COMPUTED_VALUE"""),0.25)</f>
        <v>0.25</v>
      </c>
      <c r="BA12" s="180">
        <f>IFERROR(__xludf.DUMMYFUNCTION("""COMPUTED_VALUE"""),45932.0)</f>
        <v>45932</v>
      </c>
      <c r="BB12" s="179">
        <f>IFERROR(__xludf.DUMMYFUNCTION("""COMPUTED_VALUE"""),0.25)</f>
        <v>0.25</v>
      </c>
      <c r="BC12" s="180">
        <f>IFERROR(__xludf.DUMMYFUNCTION("""COMPUTED_VALUE"""),45692.0)</f>
        <v>45692</v>
      </c>
      <c r="BD12" s="179">
        <f>IFERROR(__xludf.DUMMYFUNCTION("""COMPUTED_VALUE"""),0.5)</f>
        <v>0.5</v>
      </c>
      <c r="BE12" s="180">
        <f>IFERROR(__xludf.DUMMYFUNCTION("""COMPUTED_VALUE"""),45658.0)</f>
        <v>45658</v>
      </c>
      <c r="BF12" s="179">
        <f>IFERROR(__xludf.DUMMYFUNCTION("""COMPUTED_VALUE"""),0.0)</f>
        <v>0</v>
      </c>
      <c r="BG12" s="180">
        <f>IFERROR(__xludf.DUMMYFUNCTION("""COMPUTED_VALUE"""),45720.0)</f>
        <v>45720</v>
      </c>
      <c r="BH12" s="179">
        <f>IFERROR(__xludf.DUMMYFUNCTION("""COMPUTED_VALUE"""),0.25)</f>
        <v>0.25</v>
      </c>
      <c r="BI12" s="180">
        <f>IFERROR(__xludf.DUMMYFUNCTION("""COMPUTED_VALUE"""),45692.0)</f>
        <v>45692</v>
      </c>
      <c r="BJ12" s="179">
        <f>IFERROR(__xludf.DUMMYFUNCTION("""COMPUTED_VALUE"""),0.5)</f>
        <v>0.5</v>
      </c>
      <c r="BK12" s="182">
        <f>IFERROR(__xludf.DUMMYFUNCTION("""COMPUTED_VALUE"""),45720.0)</f>
        <v>45720</v>
      </c>
      <c r="BL12" s="179">
        <f>IFERROR(__xludf.DUMMYFUNCTION("""COMPUTED_VALUE"""),0.25)</f>
        <v>0.25</v>
      </c>
      <c r="BM12" s="180">
        <f>IFERROR(__xludf.DUMMYFUNCTION("""COMPUTED_VALUE"""),45841.0)</f>
        <v>45841</v>
      </c>
      <c r="BN12" s="179">
        <f>IFERROR(__xludf.DUMMYFUNCTION("""COMPUTED_VALUE"""),0.5)</f>
        <v>0.5</v>
      </c>
      <c r="BO12" s="180">
        <f>IFERROR(__xludf.DUMMYFUNCTION("""COMPUTED_VALUE"""),45842.0)</f>
        <v>45842</v>
      </c>
      <c r="BP12" s="179">
        <f>IFERROR(__xludf.DUMMYFUNCTION("""COMPUTED_VALUE"""),0.375)</f>
        <v>0.375</v>
      </c>
      <c r="BQ12" s="180">
        <f>IFERROR(__xludf.DUMMYFUNCTION("""COMPUTED_VALUE"""),45935.0)</f>
        <v>45935</v>
      </c>
      <c r="BR12" s="179">
        <f>IFERROR(__xludf.DUMMYFUNCTION("""COMPUTED_VALUE"""),0.25)</f>
        <v>0.25</v>
      </c>
      <c r="BS12" s="180">
        <f>IFERROR(__xludf.DUMMYFUNCTION("""COMPUTED_VALUE"""),45658.0)</f>
        <v>45658</v>
      </c>
      <c r="BT12" s="179">
        <f>IFERROR(__xludf.DUMMYFUNCTION("""COMPUTED_VALUE"""),0.0)</f>
        <v>0</v>
      </c>
      <c r="BU12" s="180">
        <f>IFERROR(__xludf.DUMMYFUNCTION("""COMPUTED_VALUE"""),45906.0)</f>
        <v>45906</v>
      </c>
      <c r="BV12" s="179">
        <f>IFERROR(__xludf.DUMMYFUNCTION("""COMPUTED_VALUE"""),0.25)</f>
        <v>0.25</v>
      </c>
      <c r="BW12" s="180">
        <f>IFERROR(__xludf.DUMMYFUNCTION("""COMPUTED_VALUE"""),45931.0)</f>
        <v>45931</v>
      </c>
      <c r="BX12" s="179">
        <f>IFERROR(__xludf.DUMMYFUNCTION("""COMPUTED_VALUE"""),0.25)</f>
        <v>0.25</v>
      </c>
      <c r="BY12" s="180">
        <f>IFERROR(__xludf.DUMMYFUNCTION("""COMPUTED_VALUE"""),45935.0)</f>
        <v>45935</v>
      </c>
      <c r="BZ12" s="179">
        <f>IFERROR(__xludf.DUMMYFUNCTION("""COMPUTED_VALUE"""),0.16666666666666666)</f>
        <v>0.1666666667</v>
      </c>
      <c r="CA12" s="180">
        <f>IFERROR(__xludf.DUMMYFUNCTION("""COMPUTED_VALUE"""),45841.0)</f>
        <v>45841</v>
      </c>
      <c r="CB12" s="179">
        <f>IFERROR(__xludf.DUMMYFUNCTION("""COMPUTED_VALUE"""),0.25)</f>
        <v>0.25</v>
      </c>
      <c r="CC12" s="180">
        <f>IFERROR(__xludf.DUMMYFUNCTION("""COMPUTED_VALUE"""),45839.0)</f>
        <v>45839</v>
      </c>
      <c r="CD12" s="179">
        <f>IFERROR(__xludf.DUMMYFUNCTION("""COMPUTED_VALUE"""),0.25)</f>
        <v>0.25</v>
      </c>
      <c r="CE12" s="182">
        <f>IFERROR(__xludf.DUMMYFUNCTION("""COMPUTED_VALUE"""),45658.0)</f>
        <v>45658</v>
      </c>
      <c r="CF12" s="179">
        <f>IFERROR(__xludf.DUMMYFUNCTION("""COMPUTED_VALUE"""),0.0)</f>
        <v>0</v>
      </c>
      <c r="CG12" s="180">
        <f>IFERROR(__xludf.DUMMYFUNCTION("""COMPUTED_VALUE"""),45934.0)</f>
        <v>45934</v>
      </c>
      <c r="CH12" s="179">
        <f>IFERROR(__xludf.DUMMYFUNCTION("""COMPUTED_VALUE"""),0.25)</f>
        <v>0.25</v>
      </c>
      <c r="CI12" s="180">
        <f>IFERROR(__xludf.DUMMYFUNCTION("""COMPUTED_VALUE"""),45662.0)</f>
        <v>45662</v>
      </c>
      <c r="CJ12" s="179">
        <f>IFERROR(__xludf.DUMMYFUNCTION("""COMPUTED_VALUE"""),0.25)</f>
        <v>0.25</v>
      </c>
      <c r="CK12" s="180">
        <f>IFERROR(__xludf.DUMMYFUNCTION("""COMPUTED_VALUE"""),45940.0)</f>
        <v>45940</v>
      </c>
      <c r="CL12" s="179">
        <f>IFERROR(__xludf.DUMMYFUNCTION("""COMPUTED_VALUE"""),0.25)</f>
        <v>0.25</v>
      </c>
      <c r="CM12" s="180">
        <f>IFERROR(__xludf.DUMMYFUNCTION("""COMPUTED_VALUE"""),45749.0)</f>
        <v>45749</v>
      </c>
      <c r="CN12" s="179">
        <f>IFERROR(__xludf.DUMMYFUNCTION("""COMPUTED_VALUE"""),0.25)</f>
        <v>0.25</v>
      </c>
      <c r="CO12" s="180">
        <f>IFERROR(__xludf.DUMMYFUNCTION("""COMPUTED_VALUE"""),45840.0)</f>
        <v>45840</v>
      </c>
      <c r="CP12" s="179">
        <f>IFERROR(__xludf.DUMMYFUNCTION("""COMPUTED_VALUE"""),0.25)</f>
        <v>0.25</v>
      </c>
      <c r="CQ12" s="180">
        <f>IFERROR(__xludf.DUMMYFUNCTION("""COMPUTED_VALUE"""),45690.0)</f>
        <v>45690</v>
      </c>
      <c r="CR12" s="179">
        <f>IFERROR(__xludf.DUMMYFUNCTION("""COMPUTED_VALUE"""),0.3333333333333333)</f>
        <v>0.3333333333</v>
      </c>
      <c r="CS12" s="180">
        <f>IFERROR(__xludf.DUMMYFUNCTION("""COMPUTED_VALUE"""),45689.0)</f>
        <v>45689</v>
      </c>
      <c r="CT12" s="179">
        <f>IFERROR(__xludf.DUMMYFUNCTION("""COMPUTED_VALUE"""),0.25)</f>
        <v>0.25</v>
      </c>
      <c r="CU12" s="180">
        <f>IFERROR(__xludf.DUMMYFUNCTION("""COMPUTED_VALUE"""),45658.0)</f>
        <v>45658</v>
      </c>
      <c r="CV12" s="179">
        <f>IFERROR(__xludf.DUMMYFUNCTION("""COMPUTED_VALUE"""),0.0)</f>
        <v>0</v>
      </c>
      <c r="CW12" s="180">
        <f>IFERROR(__xludf.DUMMYFUNCTION("""COMPUTED_VALUE"""),45725.0)</f>
        <v>45725</v>
      </c>
      <c r="CX12" s="179">
        <f>IFERROR(__xludf.DUMMYFUNCTION("""COMPUTED_VALUE"""),0.3333333333333333)</f>
        <v>0.3333333333</v>
      </c>
      <c r="CY12" s="182">
        <f>IFERROR(__xludf.DUMMYFUNCTION("""COMPUTED_VALUE"""),45931.0)</f>
        <v>45931</v>
      </c>
      <c r="CZ12" s="179">
        <f>IFERROR(__xludf.DUMMYFUNCTION("""COMPUTED_VALUE"""),0.25)</f>
        <v>0.25</v>
      </c>
      <c r="DA12" s="180">
        <f>IFERROR(__xludf.DUMMYFUNCTION("""COMPUTED_VALUE"""),45870.0)</f>
        <v>45870</v>
      </c>
      <c r="DB12" s="179">
        <f>IFERROR(__xludf.DUMMYFUNCTION("""COMPUTED_VALUE"""),0.25)</f>
        <v>0.25</v>
      </c>
      <c r="DC12" s="180">
        <f>IFERROR(__xludf.DUMMYFUNCTION("""COMPUTED_VALUE"""),45695.0)</f>
        <v>45695</v>
      </c>
      <c r="DD12" s="179">
        <f>IFERROR(__xludf.DUMMYFUNCTION("""COMPUTED_VALUE"""),0.25)</f>
        <v>0.25</v>
      </c>
      <c r="DE12" s="180">
        <f>IFERROR(__xludf.DUMMYFUNCTION("""COMPUTED_VALUE"""),45693.0)</f>
        <v>45693</v>
      </c>
      <c r="DF12" s="179">
        <f>IFERROR(__xludf.DUMMYFUNCTION("""COMPUTED_VALUE"""),0.25)</f>
        <v>0.25</v>
      </c>
      <c r="DG12" s="180">
        <f>IFERROR(__xludf.DUMMYFUNCTION("""COMPUTED_VALUE"""),45839.0)</f>
        <v>45839</v>
      </c>
      <c r="DH12" s="179">
        <f>IFERROR(__xludf.DUMMYFUNCTION("""COMPUTED_VALUE"""),0.25)</f>
        <v>0.25</v>
      </c>
      <c r="DI12" s="180">
        <f>IFERROR(__xludf.DUMMYFUNCTION("""COMPUTED_VALUE"""),45753.0)</f>
        <v>45753</v>
      </c>
      <c r="DJ12" s="179">
        <f>IFERROR(__xludf.DUMMYFUNCTION("""COMPUTED_VALUE"""),0.25)</f>
        <v>0.25</v>
      </c>
      <c r="DK12" s="180">
        <f>IFERROR(__xludf.DUMMYFUNCTION("""COMPUTED_VALUE"""),45870.0)</f>
        <v>45870</v>
      </c>
      <c r="DL12" s="179">
        <f>IFERROR(__xludf.DUMMYFUNCTION("""COMPUTED_VALUE"""),0.25)</f>
        <v>0.25</v>
      </c>
      <c r="DM12" s="180">
        <f>IFERROR(__xludf.DUMMYFUNCTION("""COMPUTED_VALUE"""),45931.0)</f>
        <v>45931</v>
      </c>
      <c r="DN12" s="179">
        <f>IFERROR(__xludf.DUMMYFUNCTION("""COMPUTED_VALUE"""),0.3333333333333333)</f>
        <v>0.3333333333</v>
      </c>
      <c r="DO12" s="180">
        <f>IFERROR(__xludf.DUMMYFUNCTION("""COMPUTED_VALUE"""),45812.0)</f>
        <v>45812</v>
      </c>
      <c r="DP12" s="179">
        <f>IFERROR(__xludf.DUMMYFUNCTION("""COMPUTED_VALUE"""),0.25)</f>
        <v>0.25</v>
      </c>
      <c r="DQ12" s="180">
        <f>IFERROR(__xludf.DUMMYFUNCTION("""COMPUTED_VALUE"""),45658.0)</f>
        <v>45658</v>
      </c>
      <c r="DR12" s="179">
        <f>IFERROR(__xludf.DUMMYFUNCTION("""COMPUTED_VALUE"""),0.25)</f>
        <v>0.25</v>
      </c>
      <c r="DS12" s="182">
        <f>IFERROR(__xludf.DUMMYFUNCTION("""COMPUTED_VALUE"""),45665.0)</f>
        <v>45665</v>
      </c>
      <c r="DT12" s="179">
        <f>IFERROR(__xludf.DUMMYFUNCTION("""COMPUTED_VALUE"""),0.05555555555555555)</f>
        <v>0.05555555556</v>
      </c>
      <c r="DU12" s="180">
        <f>IFERROR(__xludf.DUMMYFUNCTION("""COMPUTED_VALUE"""),45722.0)</f>
        <v>45722</v>
      </c>
      <c r="DV12" s="179">
        <f>IFERROR(__xludf.DUMMYFUNCTION("""COMPUTED_VALUE"""),0.25)</f>
        <v>0.25</v>
      </c>
      <c r="DW12" s="180">
        <f>IFERROR(__xludf.DUMMYFUNCTION("""COMPUTED_VALUE"""),45936.0)</f>
        <v>45936</v>
      </c>
      <c r="DX12" s="179">
        <f>IFERROR(__xludf.DUMMYFUNCTION("""COMPUTED_VALUE"""),0.16666666666666666)</f>
        <v>0.1666666667</v>
      </c>
      <c r="DY12" s="180">
        <f>IFERROR(__xludf.DUMMYFUNCTION("""COMPUTED_VALUE"""),45938.0)</f>
        <v>45938</v>
      </c>
      <c r="DZ12" s="179">
        <f>IFERROR(__xludf.DUMMYFUNCTION("""COMPUTED_VALUE"""),0.25)</f>
        <v>0.25</v>
      </c>
      <c r="EA12" s="180">
        <f>IFERROR(__xludf.DUMMYFUNCTION("""COMPUTED_VALUE"""),45658.0)</f>
        <v>45658</v>
      </c>
      <c r="EB12" s="179">
        <f>IFERROR(__xludf.DUMMYFUNCTION("""COMPUTED_VALUE"""),0.0)</f>
        <v>0</v>
      </c>
      <c r="EC12" s="180">
        <f>IFERROR(__xludf.DUMMYFUNCTION("""COMPUTED_VALUE"""),45665.0)</f>
        <v>45665</v>
      </c>
      <c r="ED12" s="179">
        <f>IFERROR(__xludf.DUMMYFUNCTION("""COMPUTED_VALUE"""),0.1)</f>
        <v>0.1</v>
      </c>
      <c r="EE12" s="180">
        <f>IFERROR(__xludf.DUMMYFUNCTION("""COMPUTED_VALUE"""),45936.0)</f>
        <v>45936</v>
      </c>
      <c r="EF12" s="179">
        <f>IFERROR(__xludf.DUMMYFUNCTION("""COMPUTED_VALUE"""),0.25)</f>
        <v>0.25</v>
      </c>
      <c r="EG12" s="180">
        <f>IFERROR(__xludf.DUMMYFUNCTION("""COMPUTED_VALUE"""),45938.0)</f>
        <v>45938</v>
      </c>
      <c r="EH12" s="179">
        <f>IFERROR(__xludf.DUMMYFUNCTION("""COMPUTED_VALUE"""),0.16666666666666666)</f>
        <v>0.1666666667</v>
      </c>
      <c r="EI12" s="180">
        <f>IFERROR(__xludf.DUMMYFUNCTION("""COMPUTED_VALUE"""),45665.0)</f>
        <v>45665</v>
      </c>
      <c r="EJ12" s="179">
        <f>IFERROR(__xludf.DUMMYFUNCTION("""COMPUTED_VALUE"""),0.1)</f>
        <v>0.1</v>
      </c>
      <c r="EK12" s="180">
        <f>IFERROR(__xludf.DUMMYFUNCTION("""COMPUTED_VALUE"""),45722.0)</f>
        <v>45722</v>
      </c>
      <c r="EL12" s="179">
        <f>IFERROR(__xludf.DUMMYFUNCTION("""COMPUTED_VALUE"""),0.16666666666666666)</f>
        <v>0.1666666667</v>
      </c>
      <c r="EM12" s="182">
        <f>IFERROR(__xludf.DUMMYFUNCTION("""COMPUTED_VALUE"""),45724.0)</f>
        <v>45724</v>
      </c>
      <c r="EN12" s="179">
        <f>IFERROR(__xludf.DUMMYFUNCTION("""COMPUTED_VALUE"""),0.25)</f>
        <v>0.25</v>
      </c>
      <c r="EO12" s="180">
        <f>IFERROR(__xludf.DUMMYFUNCTION("""COMPUTED_VALUE"""),45717.0)</f>
        <v>45717</v>
      </c>
      <c r="EP12" s="179">
        <f>IFERROR(__xludf.DUMMYFUNCTION("""COMPUTED_VALUE"""),0.25)</f>
        <v>0.25</v>
      </c>
      <c r="EQ12" s="180">
        <f>IFERROR(__xludf.DUMMYFUNCTION("""COMPUTED_VALUE"""),45690.0)</f>
        <v>45690</v>
      </c>
      <c r="ER12" s="179">
        <f>IFERROR(__xludf.DUMMYFUNCTION("""COMPUTED_VALUE"""),0.25)</f>
        <v>0.25</v>
      </c>
      <c r="ES12" s="180">
        <f>IFERROR(__xludf.DUMMYFUNCTION("""COMPUTED_VALUE"""),45658.0)</f>
        <v>45658</v>
      </c>
      <c r="ET12" s="179">
        <f>IFERROR(__xludf.DUMMYFUNCTION("""COMPUTED_VALUE"""),0.0)</f>
        <v>0</v>
      </c>
      <c r="EU12" s="180">
        <f>IFERROR(__xludf.DUMMYFUNCTION("""COMPUTED_VALUE"""),45725.0)</f>
        <v>45725</v>
      </c>
      <c r="EV12" s="179">
        <f>IFERROR(__xludf.DUMMYFUNCTION("""COMPUTED_VALUE"""),0.25)</f>
        <v>0.25</v>
      </c>
      <c r="EW12" s="180">
        <f>IFERROR(__xludf.DUMMYFUNCTION("""COMPUTED_VALUE"""),45658.0)</f>
        <v>45658</v>
      </c>
      <c r="EX12" s="179">
        <f>IFERROR(__xludf.DUMMYFUNCTION("""COMPUTED_VALUE"""),0.0)</f>
        <v>0</v>
      </c>
      <c r="EY12" s="180">
        <f>IFERROR(__xludf.DUMMYFUNCTION("""COMPUTED_VALUE"""),45839.0)</f>
        <v>45839</v>
      </c>
      <c r="EZ12" s="179">
        <f>IFERROR(__xludf.DUMMYFUNCTION("""COMPUTED_VALUE"""),0.0625)</f>
        <v>0.0625</v>
      </c>
      <c r="FA12" s="180">
        <f>IFERROR(__xludf.DUMMYFUNCTION("""COMPUTED_VALUE"""),45725.0)</f>
        <v>45725</v>
      </c>
      <c r="FB12" s="179">
        <f>IFERROR(__xludf.DUMMYFUNCTION("""COMPUTED_VALUE"""),0.16666666666666666)</f>
        <v>0.1666666667</v>
      </c>
      <c r="FC12" s="180">
        <f>IFERROR(__xludf.DUMMYFUNCTION("""COMPUTED_VALUE"""),45901.0)</f>
        <v>45901</v>
      </c>
      <c r="FD12" s="179">
        <f>IFERROR(__xludf.DUMMYFUNCTION("""COMPUTED_VALUE"""),0.0625)</f>
        <v>0.0625</v>
      </c>
      <c r="FE12" s="180">
        <f>IFERROR(__xludf.DUMMYFUNCTION("""COMPUTED_VALUE"""),45689.0)</f>
        <v>45689</v>
      </c>
      <c r="FF12" s="179">
        <f>IFERROR(__xludf.DUMMYFUNCTION("""COMPUTED_VALUE"""),0.25)</f>
        <v>0.25</v>
      </c>
      <c r="FG12" s="182">
        <f>IFERROR(__xludf.DUMMYFUNCTION("""COMPUTED_VALUE"""),45725.0)</f>
        <v>45725</v>
      </c>
      <c r="FH12" s="179">
        <f>IFERROR(__xludf.DUMMYFUNCTION("""COMPUTED_VALUE"""),0.25)</f>
        <v>0.25</v>
      </c>
      <c r="FI12" s="180">
        <f>IFERROR(__xludf.DUMMYFUNCTION("""COMPUTED_VALUE"""),45749.0)</f>
        <v>45749</v>
      </c>
      <c r="FJ12" s="179">
        <f>IFERROR(__xludf.DUMMYFUNCTION("""COMPUTED_VALUE"""),0.25)</f>
        <v>0.25</v>
      </c>
      <c r="FK12" s="180">
        <f>IFERROR(__xludf.DUMMYFUNCTION("""COMPUTED_VALUE"""),45785.0)</f>
        <v>45785</v>
      </c>
      <c r="FL12" s="179">
        <f>IFERROR(__xludf.DUMMYFUNCTION("""COMPUTED_VALUE"""),0.25)</f>
        <v>0.25</v>
      </c>
      <c r="FM12" s="180">
        <f>IFERROR(__xludf.DUMMYFUNCTION("""COMPUTED_VALUE"""),45690.0)</f>
        <v>45690</v>
      </c>
      <c r="FN12" s="179">
        <f>IFERROR(__xludf.DUMMYFUNCTION("""COMPUTED_VALUE"""),0.25)</f>
        <v>0.25</v>
      </c>
      <c r="FO12" s="180">
        <f>IFERROR(__xludf.DUMMYFUNCTION("""COMPUTED_VALUE"""),45749.0)</f>
        <v>45749</v>
      </c>
      <c r="FP12" s="179">
        <f>IFERROR(__xludf.DUMMYFUNCTION("""COMPUTED_VALUE"""),0.25)</f>
        <v>0.25</v>
      </c>
      <c r="FQ12" s="180">
        <f>IFERROR(__xludf.DUMMYFUNCTION("""COMPUTED_VALUE"""),45658.0)</f>
        <v>45658</v>
      </c>
      <c r="FR12" s="179">
        <f>IFERROR(__xludf.DUMMYFUNCTION("""COMPUTED_VALUE"""),0.0)</f>
        <v>0</v>
      </c>
      <c r="FS12" s="180">
        <f>IFERROR(__xludf.DUMMYFUNCTION("""COMPUTED_VALUE"""),45779.0)</f>
        <v>45779</v>
      </c>
      <c r="FT12" s="179">
        <f>IFERROR(__xludf.DUMMYFUNCTION("""COMPUTED_VALUE"""),0.25)</f>
        <v>0.25</v>
      </c>
      <c r="FU12" s="180">
        <f>IFERROR(__xludf.DUMMYFUNCTION("""COMPUTED_VALUE"""),45840.0)</f>
        <v>45840</v>
      </c>
      <c r="FV12" s="179">
        <f>IFERROR(__xludf.DUMMYFUNCTION("""COMPUTED_VALUE"""),0.25)</f>
        <v>0.25</v>
      </c>
      <c r="FW12" s="180">
        <f>IFERROR(__xludf.DUMMYFUNCTION("""COMPUTED_VALUE"""),45658.0)</f>
        <v>45658</v>
      </c>
      <c r="FX12" s="179">
        <f>IFERROR(__xludf.DUMMYFUNCTION("""COMPUTED_VALUE"""),0.0)</f>
        <v>0</v>
      </c>
      <c r="FY12" s="180">
        <f>IFERROR(__xludf.DUMMYFUNCTION("""COMPUTED_VALUE"""),45848.0)</f>
        <v>45848</v>
      </c>
      <c r="FZ12" s="179">
        <f>IFERROR(__xludf.DUMMYFUNCTION("""COMPUTED_VALUE"""),0.5)</f>
        <v>0.5</v>
      </c>
      <c r="GA12" s="182">
        <f>IFERROR(__xludf.DUMMYFUNCTION("""COMPUTED_VALUE"""),45658.0)</f>
        <v>45658</v>
      </c>
      <c r="GB12" s="179">
        <f>IFERROR(__xludf.DUMMYFUNCTION("""COMPUTED_VALUE"""),0.0)</f>
        <v>0</v>
      </c>
      <c r="GC12" s="180">
        <f>IFERROR(__xludf.DUMMYFUNCTION("""COMPUTED_VALUE"""),45935.0)</f>
        <v>45935</v>
      </c>
      <c r="GD12" s="179">
        <f>IFERROR(__xludf.DUMMYFUNCTION("""COMPUTED_VALUE"""),0.25)</f>
        <v>0.25</v>
      </c>
      <c r="GE12" s="180">
        <f>IFERROR(__xludf.DUMMYFUNCTION("""COMPUTED_VALUE"""),45935.0)</f>
        <v>45935</v>
      </c>
      <c r="GF12" s="179">
        <f>IFERROR(__xludf.DUMMYFUNCTION("""COMPUTED_VALUE"""),0.16666666666666666)</f>
        <v>0.1666666667</v>
      </c>
      <c r="GG12" s="180">
        <f>IFERROR(__xludf.DUMMYFUNCTION("""COMPUTED_VALUE"""),45939.0)</f>
        <v>45939</v>
      </c>
      <c r="GH12" s="179">
        <f>IFERROR(__xludf.DUMMYFUNCTION("""COMPUTED_VALUE"""),0.25)</f>
        <v>0.25</v>
      </c>
      <c r="GI12" s="180">
        <f>IFERROR(__xludf.DUMMYFUNCTION("""COMPUTED_VALUE"""),45658.0)</f>
        <v>45658</v>
      </c>
      <c r="GJ12" s="179">
        <f>IFERROR(__xludf.DUMMYFUNCTION("""COMPUTED_VALUE"""),0.0)</f>
        <v>0</v>
      </c>
      <c r="GK12" s="180">
        <f>IFERROR(__xludf.DUMMYFUNCTION("""COMPUTED_VALUE"""),45658.0)</f>
        <v>45658</v>
      </c>
      <c r="GL12" s="179">
        <f>IFERROR(__xludf.DUMMYFUNCTION("""COMPUTED_VALUE"""),0.0)</f>
        <v>0</v>
      </c>
      <c r="GM12" s="180">
        <f>IFERROR(__xludf.DUMMYFUNCTION("""COMPUTED_VALUE"""),45940.0)</f>
        <v>45940</v>
      </c>
      <c r="GN12" s="179">
        <f>IFERROR(__xludf.DUMMYFUNCTION("""COMPUTED_VALUE"""),0.5)</f>
        <v>0.5</v>
      </c>
      <c r="GO12" s="180">
        <f>IFERROR(__xludf.DUMMYFUNCTION("""COMPUTED_VALUE"""),45749.0)</f>
        <v>45749</v>
      </c>
      <c r="GP12" s="179">
        <f>IFERROR(__xludf.DUMMYFUNCTION("""COMPUTED_VALUE"""),0.25)</f>
        <v>0.25</v>
      </c>
      <c r="GQ12" s="180">
        <f>IFERROR(__xludf.DUMMYFUNCTION("""COMPUTED_VALUE"""),45719.0)</f>
        <v>45719</v>
      </c>
      <c r="GR12" s="179">
        <f>IFERROR(__xludf.DUMMYFUNCTION("""COMPUTED_VALUE"""),0.25)</f>
        <v>0.25</v>
      </c>
      <c r="GS12" s="180">
        <f>IFERROR(__xludf.DUMMYFUNCTION("""COMPUTED_VALUE"""),45751.0)</f>
        <v>45751</v>
      </c>
      <c r="GT12" s="179">
        <f>IFERROR(__xludf.DUMMYFUNCTION("""COMPUTED_VALUE"""),0.25)</f>
        <v>0.25</v>
      </c>
    </row>
    <row r="13" ht="31.5" customHeight="1">
      <c r="B13" s="183"/>
      <c r="C13" s="178">
        <f>IFERROR(__xludf.DUMMYFUNCTION("""COMPUTED_VALUE"""),45783.0)</f>
        <v>45783</v>
      </c>
      <c r="D13" s="179">
        <f>IFERROR(__xludf.DUMMYFUNCTION("""COMPUTED_VALUE"""),0.1)</f>
        <v>0.1</v>
      </c>
      <c r="E13" s="180">
        <f>IFERROR(__xludf.DUMMYFUNCTION("""COMPUTED_VALUE"""),45938.0)</f>
        <v>45938</v>
      </c>
      <c r="F13" s="179">
        <f>IFERROR(__xludf.DUMMYFUNCTION("""COMPUTED_VALUE"""),0.25)</f>
        <v>0.25</v>
      </c>
      <c r="G13" s="180">
        <f>IFERROR(__xludf.DUMMYFUNCTION("""COMPUTED_VALUE"""),45874.0)</f>
        <v>45874</v>
      </c>
      <c r="H13" s="179">
        <f>IFERROR(__xludf.DUMMYFUNCTION("""COMPUTED_VALUE"""),0.16666666666666666)</f>
        <v>0.1666666667</v>
      </c>
      <c r="I13" s="180">
        <f>IFERROR(__xludf.DUMMYFUNCTION("""COMPUTED_VALUE"""),45748.0)</f>
        <v>45748</v>
      </c>
      <c r="J13" s="179">
        <f>IFERROR(__xludf.DUMMYFUNCTION("""COMPUTED_VALUE"""),0.0)</f>
        <v>0</v>
      </c>
      <c r="K13" s="180">
        <f>IFERROR(__xludf.DUMMYFUNCTION("""COMPUTED_VALUE"""),45814.0)</f>
        <v>45814</v>
      </c>
      <c r="L13" s="179">
        <f>IFERROR(__xludf.DUMMYFUNCTION("""COMPUTED_VALUE"""),0.16666666666666666)</f>
        <v>0.1666666667</v>
      </c>
      <c r="M13" s="180">
        <f>IFERROR(__xludf.DUMMYFUNCTION("""COMPUTED_VALUE"""),45783.0)</f>
        <v>45783</v>
      </c>
      <c r="N13" s="179">
        <f>IFERROR(__xludf.DUMMYFUNCTION("""COMPUTED_VALUE"""),0.16666666666666666)</f>
        <v>0.1666666667</v>
      </c>
      <c r="O13" s="180">
        <f>IFERROR(__xludf.DUMMYFUNCTION("""COMPUTED_VALUE"""),45934.0)</f>
        <v>45934</v>
      </c>
      <c r="P13" s="179">
        <f>IFERROR(__xludf.DUMMYFUNCTION("""COMPUTED_VALUE"""),0.25)</f>
        <v>0.25</v>
      </c>
      <c r="Q13" s="180">
        <f>IFERROR(__xludf.DUMMYFUNCTION("""COMPUTED_VALUE"""),45842.0)</f>
        <v>45842</v>
      </c>
      <c r="R13" s="179">
        <f>IFERROR(__xludf.DUMMYFUNCTION("""COMPUTED_VALUE"""),0.25)</f>
        <v>0.25</v>
      </c>
      <c r="S13" s="180">
        <f>IFERROR(__xludf.DUMMYFUNCTION("""COMPUTED_VALUE"""),45908.0)</f>
        <v>45908</v>
      </c>
      <c r="T13" s="179">
        <f>IFERROR(__xludf.DUMMYFUNCTION("""COMPUTED_VALUE"""),0.0625)</f>
        <v>0.0625</v>
      </c>
      <c r="U13" s="180">
        <f>IFERROR(__xludf.DUMMYFUNCTION("""COMPUTED_VALUE"""),45842.0)</f>
        <v>45842</v>
      </c>
      <c r="V13" s="181">
        <f>IFERROR(__xludf.DUMMYFUNCTION("""COMPUTED_VALUE"""),0.25)</f>
        <v>0.25</v>
      </c>
      <c r="W13" s="178">
        <f>IFERROR(__xludf.DUMMYFUNCTION("""COMPUTED_VALUE"""),45780.0)</f>
        <v>45780</v>
      </c>
      <c r="X13" s="179">
        <f>IFERROR(__xludf.DUMMYFUNCTION("""COMPUTED_VALUE"""),0.1)</f>
        <v>0.1</v>
      </c>
      <c r="Y13" s="180">
        <f>IFERROR(__xludf.DUMMYFUNCTION("""COMPUTED_VALUE"""),45724.0)</f>
        <v>45724</v>
      </c>
      <c r="Z13" s="179">
        <f>IFERROR(__xludf.DUMMYFUNCTION("""COMPUTED_VALUE"""),0.25)</f>
        <v>0.25</v>
      </c>
      <c r="AA13" s="180">
        <f>IFERROR(__xludf.DUMMYFUNCTION("""COMPUTED_VALUE"""),45724.0)</f>
        <v>45724</v>
      </c>
      <c r="AB13" s="179">
        <f>IFERROR(__xludf.DUMMYFUNCTION("""COMPUTED_VALUE"""),0.0625)</f>
        <v>0.0625</v>
      </c>
      <c r="AC13" s="180">
        <f>IFERROR(__xludf.DUMMYFUNCTION("""COMPUTED_VALUE"""),45697.0)</f>
        <v>45697</v>
      </c>
      <c r="AD13" s="179">
        <f>IFERROR(__xludf.DUMMYFUNCTION("""COMPUTED_VALUE"""),0.25)</f>
        <v>0.25</v>
      </c>
      <c r="AE13" s="180">
        <f>IFERROR(__xludf.DUMMYFUNCTION("""COMPUTED_VALUE"""),45843.0)</f>
        <v>45843</v>
      </c>
      <c r="AF13" s="179">
        <f>IFERROR(__xludf.DUMMYFUNCTION("""COMPUTED_VALUE"""),0.25)</f>
        <v>0.25</v>
      </c>
      <c r="AG13" s="180">
        <f>IFERROR(__xludf.DUMMYFUNCTION("""COMPUTED_VALUE"""),45780.0)</f>
        <v>45780</v>
      </c>
      <c r="AH13" s="179">
        <f>IFERROR(__xludf.DUMMYFUNCTION("""COMPUTED_VALUE"""),0.16666666666666666)</f>
        <v>0.1666666667</v>
      </c>
      <c r="AI13" s="180">
        <f>IFERROR(__xludf.DUMMYFUNCTION("""COMPUTED_VALUE"""),45813.0)</f>
        <v>45813</v>
      </c>
      <c r="AJ13" s="179">
        <f>IFERROR(__xludf.DUMMYFUNCTION("""COMPUTED_VALUE"""),0.25)</f>
        <v>0.25</v>
      </c>
      <c r="AK13" s="180">
        <f>IFERROR(__xludf.DUMMYFUNCTION("""COMPUTED_VALUE"""),45847.0)</f>
        <v>45847</v>
      </c>
      <c r="AL13" s="179">
        <f>IFERROR(__xludf.DUMMYFUNCTION("""COMPUTED_VALUE"""),0.25)</f>
        <v>0.25</v>
      </c>
      <c r="AM13" s="180">
        <f>IFERROR(__xludf.DUMMYFUNCTION("""COMPUTED_VALUE"""),45658.0)</f>
        <v>45658</v>
      </c>
      <c r="AN13" s="179">
        <f>IFERROR(__xludf.DUMMYFUNCTION("""COMPUTED_VALUE"""),0.0)</f>
        <v>0</v>
      </c>
      <c r="AO13" s="180">
        <f>IFERROR(__xludf.DUMMYFUNCTION("""COMPUTED_VALUE"""),45780.0)</f>
        <v>45780</v>
      </c>
      <c r="AP13" s="181">
        <f>IFERROR(__xludf.DUMMYFUNCTION("""COMPUTED_VALUE"""),0.25)</f>
        <v>0.25</v>
      </c>
      <c r="AQ13" s="178">
        <f>IFERROR(__xludf.DUMMYFUNCTION("""COMPUTED_VALUE"""),45779.0)</f>
        <v>45779</v>
      </c>
      <c r="AR13" s="179">
        <f>IFERROR(__xludf.DUMMYFUNCTION("""COMPUTED_VALUE"""),0.1)</f>
        <v>0.1</v>
      </c>
      <c r="AS13" s="180">
        <f>IFERROR(__xludf.DUMMYFUNCTION("""COMPUTED_VALUE"""),45692.0)</f>
        <v>45692</v>
      </c>
      <c r="AT13" s="179">
        <f>IFERROR(__xludf.DUMMYFUNCTION("""COMPUTED_VALUE"""),0.21428571428571427)</f>
        <v>0.2142857143</v>
      </c>
      <c r="AU13" s="180">
        <f>IFERROR(__xludf.DUMMYFUNCTION("""COMPUTED_VALUE"""),45720.0)</f>
        <v>45720</v>
      </c>
      <c r="AV13" s="179">
        <f>IFERROR(__xludf.DUMMYFUNCTION("""COMPUTED_VALUE"""),0.25)</f>
        <v>0.25</v>
      </c>
      <c r="AW13" s="180">
        <f>IFERROR(__xludf.DUMMYFUNCTION("""COMPUTED_VALUE"""),45910.0)</f>
        <v>45910</v>
      </c>
      <c r="AX13" s="179">
        <f>IFERROR(__xludf.DUMMYFUNCTION("""COMPUTED_VALUE"""),0.16666666666666666)</f>
        <v>0.1666666667</v>
      </c>
      <c r="AY13" s="180">
        <f>IFERROR(__xludf.DUMMYFUNCTION("""COMPUTED_VALUE"""),45810.0)</f>
        <v>45810</v>
      </c>
      <c r="AZ13" s="179">
        <f>IFERROR(__xludf.DUMMYFUNCTION("""COMPUTED_VALUE"""),0.16666666666666666)</f>
        <v>0.1666666667</v>
      </c>
      <c r="BA13" s="180">
        <f>IFERROR(__xludf.DUMMYFUNCTION("""COMPUTED_VALUE"""),45779.0)</f>
        <v>45779</v>
      </c>
      <c r="BB13" s="179">
        <f>IFERROR(__xludf.DUMMYFUNCTION("""COMPUTED_VALUE"""),0.16666666666666666)</f>
        <v>0.1666666667</v>
      </c>
      <c r="BC13" s="180">
        <f>IFERROR(__xludf.DUMMYFUNCTION("""COMPUTED_VALUE"""),45720.0)</f>
        <v>45720</v>
      </c>
      <c r="BD13" s="179">
        <f>IFERROR(__xludf.DUMMYFUNCTION("""COMPUTED_VALUE"""),0.375)</f>
        <v>0.375</v>
      </c>
      <c r="BE13" s="180">
        <f>IFERROR(__xludf.DUMMYFUNCTION("""COMPUTED_VALUE"""),45689.0)</f>
        <v>45689</v>
      </c>
      <c r="BF13" s="179">
        <f>IFERROR(__xludf.DUMMYFUNCTION("""COMPUTED_VALUE"""),0.0)</f>
        <v>0</v>
      </c>
      <c r="BG13" s="180">
        <f>IFERROR(__xludf.DUMMYFUNCTION("""COMPUTED_VALUE"""),45904.0)</f>
        <v>45904</v>
      </c>
      <c r="BH13" s="179">
        <f>IFERROR(__xludf.DUMMYFUNCTION("""COMPUTED_VALUE"""),0.0625)</f>
        <v>0.0625</v>
      </c>
      <c r="BI13" s="180">
        <f>IFERROR(__xludf.DUMMYFUNCTION("""COMPUTED_VALUE"""),45720.0)</f>
        <v>45720</v>
      </c>
      <c r="BJ13" s="179">
        <f>IFERROR(__xludf.DUMMYFUNCTION("""COMPUTED_VALUE"""),0.3333333333333333)</f>
        <v>0.3333333333</v>
      </c>
      <c r="BK13" s="182">
        <f>IFERROR(__xludf.DUMMYFUNCTION("""COMPUTED_VALUE"""),45844.0)</f>
        <v>45844</v>
      </c>
      <c r="BL13" s="179">
        <f>IFERROR(__xludf.DUMMYFUNCTION("""COMPUTED_VALUE"""),0.25)</f>
        <v>0.25</v>
      </c>
      <c r="BM13" s="180">
        <f>IFERROR(__xludf.DUMMYFUNCTION("""COMPUTED_VALUE"""),45933.0)</f>
        <v>45933</v>
      </c>
      <c r="BN13" s="179">
        <f>IFERROR(__xludf.DUMMYFUNCTION("""COMPUTED_VALUE"""),0.5)</f>
        <v>0.5</v>
      </c>
      <c r="BO13" s="180">
        <f>IFERROR(__xludf.DUMMYFUNCTION("""COMPUTED_VALUE"""),45933.0)</f>
        <v>45933</v>
      </c>
      <c r="BP13" s="179">
        <f>IFERROR(__xludf.DUMMYFUNCTION("""COMPUTED_VALUE"""),0.3333333333333333)</f>
        <v>0.3333333333</v>
      </c>
      <c r="BQ13" s="180">
        <f>IFERROR(__xludf.DUMMYFUNCTION("""COMPUTED_VALUE"""),45940.0)</f>
        <v>45940</v>
      </c>
      <c r="BR13" s="179">
        <f>IFERROR(__xludf.DUMMYFUNCTION("""COMPUTED_VALUE"""),0.25)</f>
        <v>0.25</v>
      </c>
      <c r="BS13" s="180">
        <f>IFERROR(__xludf.DUMMYFUNCTION("""COMPUTED_VALUE"""),45689.0)</f>
        <v>45689</v>
      </c>
      <c r="BT13" s="179">
        <f>IFERROR(__xludf.DUMMYFUNCTION("""COMPUTED_VALUE"""),0.0)</f>
        <v>0</v>
      </c>
      <c r="BU13" s="180">
        <f>IFERROR(__xludf.DUMMYFUNCTION("""COMPUTED_VALUE"""),45658.0)</f>
        <v>45658</v>
      </c>
      <c r="BV13" s="179">
        <f>IFERROR(__xludf.DUMMYFUNCTION("""COMPUTED_VALUE"""),0.0)</f>
        <v>0</v>
      </c>
      <c r="BW13" s="180">
        <f>IFERROR(__xludf.DUMMYFUNCTION("""COMPUTED_VALUE"""),45904.0)</f>
        <v>45904</v>
      </c>
      <c r="BX13" s="179">
        <f>IFERROR(__xludf.DUMMYFUNCTION("""COMPUTED_VALUE"""),0.25)</f>
        <v>0.25</v>
      </c>
      <c r="BY13" s="180">
        <f>IFERROR(__xludf.DUMMYFUNCTION("""COMPUTED_VALUE"""),45940.0)</f>
        <v>45940</v>
      </c>
      <c r="BZ13" s="179">
        <f>IFERROR(__xludf.DUMMYFUNCTION("""COMPUTED_VALUE"""),0.16666666666666666)</f>
        <v>0.1666666667</v>
      </c>
      <c r="CA13" s="180">
        <f>IFERROR(__xludf.DUMMYFUNCTION("""COMPUTED_VALUE"""),45842.0)</f>
        <v>45842</v>
      </c>
      <c r="CB13" s="179">
        <f>IFERROR(__xludf.DUMMYFUNCTION("""COMPUTED_VALUE"""),0.25)</f>
        <v>0.25</v>
      </c>
      <c r="CC13" s="180">
        <f>IFERROR(__xludf.DUMMYFUNCTION("""COMPUTED_VALUE"""),45693.0)</f>
        <v>45693</v>
      </c>
      <c r="CD13" s="179">
        <f>IFERROR(__xludf.DUMMYFUNCTION("""COMPUTED_VALUE"""),0.25)</f>
        <v>0.25</v>
      </c>
      <c r="CE13" s="182">
        <f>IFERROR(__xludf.DUMMYFUNCTION("""COMPUTED_VALUE"""),45689.0)</f>
        <v>45689</v>
      </c>
      <c r="CF13" s="179">
        <f>IFERROR(__xludf.DUMMYFUNCTION("""COMPUTED_VALUE"""),0.0)</f>
        <v>0</v>
      </c>
      <c r="CG13" s="180">
        <f>IFERROR(__xludf.DUMMYFUNCTION("""COMPUTED_VALUE"""),45753.0)</f>
        <v>45753</v>
      </c>
      <c r="CH13" s="179">
        <f>IFERROR(__xludf.DUMMYFUNCTION("""COMPUTED_VALUE"""),0.25)</f>
        <v>0.25</v>
      </c>
      <c r="CI13" s="180">
        <f>IFERROR(__xludf.DUMMYFUNCTION("""COMPUTED_VALUE"""),45697.0)</f>
        <v>45697</v>
      </c>
      <c r="CJ13" s="179">
        <f>IFERROR(__xludf.DUMMYFUNCTION("""COMPUTED_VALUE"""),0.25)</f>
        <v>0.25</v>
      </c>
      <c r="CK13" s="180">
        <f>IFERROR(__xludf.DUMMYFUNCTION("""COMPUTED_VALUE"""),45848.0)</f>
        <v>45848</v>
      </c>
      <c r="CL13" s="179">
        <f>IFERROR(__xludf.DUMMYFUNCTION("""COMPUTED_VALUE"""),0.1)</f>
        <v>0.1</v>
      </c>
      <c r="CM13" s="180">
        <f>IFERROR(__xludf.DUMMYFUNCTION("""COMPUTED_VALUE"""),45840.0)</f>
        <v>45840</v>
      </c>
      <c r="CN13" s="179">
        <f>IFERROR(__xludf.DUMMYFUNCTION("""COMPUTED_VALUE"""),0.25)</f>
        <v>0.25</v>
      </c>
      <c r="CO13" s="180">
        <f>IFERROR(__xludf.DUMMYFUNCTION("""COMPUTED_VALUE"""),45902.0)</f>
        <v>45902</v>
      </c>
      <c r="CP13" s="179">
        <f>IFERROR(__xludf.DUMMYFUNCTION("""COMPUTED_VALUE"""),0.25)</f>
        <v>0.25</v>
      </c>
      <c r="CQ13" s="180">
        <f>IFERROR(__xludf.DUMMYFUNCTION("""COMPUTED_VALUE"""),45870.0)</f>
        <v>45870</v>
      </c>
      <c r="CR13" s="179">
        <f>IFERROR(__xludf.DUMMYFUNCTION("""COMPUTED_VALUE"""),0.25)</f>
        <v>0.25</v>
      </c>
      <c r="CS13" s="180">
        <f>IFERROR(__xludf.DUMMYFUNCTION("""COMPUTED_VALUE"""),45748.0)</f>
        <v>45748</v>
      </c>
      <c r="CT13" s="179">
        <f>IFERROR(__xludf.DUMMYFUNCTION("""COMPUTED_VALUE"""),0.25)</f>
        <v>0.25</v>
      </c>
      <c r="CU13" s="180">
        <f>IFERROR(__xludf.DUMMYFUNCTION("""COMPUTED_VALUE"""),45689.0)</f>
        <v>45689</v>
      </c>
      <c r="CV13" s="179">
        <f>IFERROR(__xludf.DUMMYFUNCTION("""COMPUTED_VALUE"""),0.0)</f>
        <v>0</v>
      </c>
      <c r="CW13" s="180">
        <f>IFERROR(__xludf.DUMMYFUNCTION("""COMPUTED_VALUE"""),45751.0)</f>
        <v>45751</v>
      </c>
      <c r="CX13" s="179">
        <f>IFERROR(__xludf.DUMMYFUNCTION("""COMPUTED_VALUE"""),0.25)</f>
        <v>0.25</v>
      </c>
      <c r="CY13" s="182">
        <f>IFERROR(__xludf.DUMMYFUNCTION("""COMPUTED_VALUE"""),45722.0)</f>
        <v>45722</v>
      </c>
      <c r="CZ13" s="179">
        <f>IFERROR(__xludf.DUMMYFUNCTION("""COMPUTED_VALUE"""),0.25)</f>
        <v>0.25</v>
      </c>
      <c r="DA13" s="180">
        <f>IFERROR(__xludf.DUMMYFUNCTION("""COMPUTED_VALUE"""),45839.0)</f>
        <v>45839</v>
      </c>
      <c r="DB13" s="179">
        <f>IFERROR(__xludf.DUMMYFUNCTION("""COMPUTED_VALUE"""),0.16666666666666666)</f>
        <v>0.1666666667</v>
      </c>
      <c r="DC13" s="180">
        <f>IFERROR(__xludf.DUMMYFUNCTION("""COMPUTED_VALUE"""),45870.0)</f>
        <v>45870</v>
      </c>
      <c r="DD13" s="179">
        <f>IFERROR(__xludf.DUMMYFUNCTION("""COMPUTED_VALUE"""),0.16666666666666666)</f>
        <v>0.1666666667</v>
      </c>
      <c r="DE13" s="180">
        <f>IFERROR(__xludf.DUMMYFUNCTION("""COMPUTED_VALUE"""),45814.0)</f>
        <v>45814</v>
      </c>
      <c r="DF13" s="179">
        <f>IFERROR(__xludf.DUMMYFUNCTION("""COMPUTED_VALUE"""),0.25)</f>
        <v>0.25</v>
      </c>
      <c r="DG13" s="180">
        <f>IFERROR(__xludf.DUMMYFUNCTION("""COMPUTED_VALUE"""),45931.0)</f>
        <v>45931</v>
      </c>
      <c r="DH13" s="179">
        <f>IFERROR(__xludf.DUMMYFUNCTION("""COMPUTED_VALUE"""),0.25)</f>
        <v>0.25</v>
      </c>
      <c r="DI13" s="180">
        <f>IFERROR(__xludf.DUMMYFUNCTION("""COMPUTED_VALUE"""),45778.0)</f>
        <v>45778</v>
      </c>
      <c r="DJ13" s="179">
        <f>IFERROR(__xludf.DUMMYFUNCTION("""COMPUTED_VALUE"""),0.16666666666666666)</f>
        <v>0.1666666667</v>
      </c>
      <c r="DK13" s="180">
        <f>IFERROR(__xludf.DUMMYFUNCTION("""COMPUTED_VALUE"""),45931.0)</f>
        <v>45931</v>
      </c>
      <c r="DL13" s="179">
        <f>IFERROR(__xludf.DUMMYFUNCTION("""COMPUTED_VALUE"""),0.25)</f>
        <v>0.25</v>
      </c>
      <c r="DM13" s="180">
        <f>IFERROR(__xludf.DUMMYFUNCTION("""COMPUTED_VALUE"""),45842.0)</f>
        <v>45842</v>
      </c>
      <c r="DN13" s="179">
        <f>IFERROR(__xludf.DUMMYFUNCTION("""COMPUTED_VALUE"""),0.25)</f>
        <v>0.25</v>
      </c>
      <c r="DO13" s="180">
        <f>IFERROR(__xludf.DUMMYFUNCTION("""COMPUTED_VALUE"""),45842.0)</f>
        <v>45842</v>
      </c>
      <c r="DP13" s="179">
        <f>IFERROR(__xludf.DUMMYFUNCTION("""COMPUTED_VALUE"""),0.25)</f>
        <v>0.25</v>
      </c>
      <c r="DQ13" s="180">
        <f>IFERROR(__xludf.DUMMYFUNCTION("""COMPUTED_VALUE"""),45778.0)</f>
        <v>45778</v>
      </c>
      <c r="DR13" s="179">
        <f>IFERROR(__xludf.DUMMYFUNCTION("""COMPUTED_VALUE"""),0.25)</f>
        <v>0.25</v>
      </c>
      <c r="DS13" s="182">
        <f>IFERROR(__xludf.DUMMYFUNCTION("""COMPUTED_VALUE"""),45658.0)</f>
        <v>45658</v>
      </c>
      <c r="DT13" s="179">
        <f>IFERROR(__xludf.DUMMYFUNCTION("""COMPUTED_VALUE"""),0.0)</f>
        <v>0</v>
      </c>
      <c r="DU13" s="180">
        <f>IFERROR(__xludf.DUMMYFUNCTION("""COMPUTED_VALUE"""),45936.0)</f>
        <v>45936</v>
      </c>
      <c r="DV13" s="179">
        <f>IFERROR(__xludf.DUMMYFUNCTION("""COMPUTED_VALUE"""),0.25)</f>
        <v>0.25</v>
      </c>
      <c r="DW13" s="180">
        <f>IFERROR(__xludf.DUMMYFUNCTION("""COMPUTED_VALUE"""),45722.0)</f>
        <v>45722</v>
      </c>
      <c r="DX13" s="179">
        <f>IFERROR(__xludf.DUMMYFUNCTION("""COMPUTED_VALUE"""),0.0625)</f>
        <v>0.0625</v>
      </c>
      <c r="DY13" s="180">
        <f>IFERROR(__xludf.DUMMYFUNCTION("""COMPUTED_VALUE"""),45658.0)</f>
        <v>45658</v>
      </c>
      <c r="DZ13" s="179">
        <f>IFERROR(__xludf.DUMMYFUNCTION("""COMPUTED_VALUE"""),0.0)</f>
        <v>0</v>
      </c>
      <c r="EA13" s="180">
        <f>IFERROR(__xludf.DUMMYFUNCTION("""COMPUTED_VALUE"""),45689.0)</f>
        <v>45689</v>
      </c>
      <c r="EB13" s="179">
        <f>IFERROR(__xludf.DUMMYFUNCTION("""COMPUTED_VALUE"""),0.0)</f>
        <v>0</v>
      </c>
      <c r="EC13" s="180">
        <f>IFERROR(__xludf.DUMMYFUNCTION("""COMPUTED_VALUE"""),45658.0)</f>
        <v>45658</v>
      </c>
      <c r="ED13" s="179">
        <f>IFERROR(__xludf.DUMMYFUNCTION("""COMPUTED_VALUE"""),0.0)</f>
        <v>0</v>
      </c>
      <c r="EE13" s="180">
        <f>IFERROR(__xludf.DUMMYFUNCTION("""COMPUTED_VALUE"""),45665.0)</f>
        <v>45665</v>
      </c>
      <c r="EF13" s="179">
        <f>IFERROR(__xludf.DUMMYFUNCTION("""COMPUTED_VALUE"""),0.25)</f>
        <v>0.25</v>
      </c>
      <c r="EG13" s="180">
        <f>IFERROR(__xludf.DUMMYFUNCTION("""COMPUTED_VALUE"""),45658.0)</f>
        <v>45658</v>
      </c>
      <c r="EH13" s="179">
        <f>IFERROR(__xludf.DUMMYFUNCTION("""COMPUTED_VALUE"""),0.0)</f>
        <v>0</v>
      </c>
      <c r="EI13" s="180">
        <f>IFERROR(__xludf.DUMMYFUNCTION("""COMPUTED_VALUE"""),45658.0)</f>
        <v>45658</v>
      </c>
      <c r="EJ13" s="179">
        <f>IFERROR(__xludf.DUMMYFUNCTION("""COMPUTED_VALUE"""),0.0)</f>
        <v>0</v>
      </c>
      <c r="EK13" s="180">
        <f>IFERROR(__xludf.DUMMYFUNCTION("""COMPUTED_VALUE"""),45936.0)</f>
        <v>45936</v>
      </c>
      <c r="EL13" s="179">
        <f>IFERROR(__xludf.DUMMYFUNCTION("""COMPUTED_VALUE"""),0.07142857142857142)</f>
        <v>0.07142857143</v>
      </c>
      <c r="EM13" s="182">
        <f>IFERROR(__xludf.DUMMYFUNCTION("""COMPUTED_VALUE"""),45815.0)</f>
        <v>45815</v>
      </c>
      <c r="EN13" s="179">
        <f>IFERROR(__xludf.DUMMYFUNCTION("""COMPUTED_VALUE"""),0.1)</f>
        <v>0.1</v>
      </c>
      <c r="EO13" s="180">
        <f>IFERROR(__xludf.DUMMYFUNCTION("""COMPUTED_VALUE"""),45874.0)</f>
        <v>45874</v>
      </c>
      <c r="EP13" s="179">
        <f>IFERROR(__xludf.DUMMYFUNCTION("""COMPUTED_VALUE"""),0.25)</f>
        <v>0.25</v>
      </c>
      <c r="EQ13" s="180">
        <f>IFERROR(__xludf.DUMMYFUNCTION("""COMPUTED_VALUE"""),45665.0)</f>
        <v>45665</v>
      </c>
      <c r="ER13" s="179">
        <f>IFERROR(__xludf.DUMMYFUNCTION("""COMPUTED_VALUE"""),0.25)</f>
        <v>0.25</v>
      </c>
      <c r="ES13" s="180">
        <f>IFERROR(__xludf.DUMMYFUNCTION("""COMPUTED_VALUE"""),45689.0)</f>
        <v>45689</v>
      </c>
      <c r="ET13" s="179">
        <f>IFERROR(__xludf.DUMMYFUNCTION("""COMPUTED_VALUE"""),0.0)</f>
        <v>0</v>
      </c>
      <c r="EU13" s="180">
        <f>IFERROR(__xludf.DUMMYFUNCTION("""COMPUTED_VALUE"""),45658.0)</f>
        <v>45658</v>
      </c>
      <c r="EV13" s="179">
        <f>IFERROR(__xludf.DUMMYFUNCTION("""COMPUTED_VALUE"""),0.0)</f>
        <v>0</v>
      </c>
      <c r="EW13" s="180">
        <f>IFERROR(__xludf.DUMMYFUNCTION("""COMPUTED_VALUE"""),45689.0)</f>
        <v>45689</v>
      </c>
      <c r="EX13" s="179">
        <f>IFERROR(__xludf.DUMMYFUNCTION("""COMPUTED_VALUE"""),0.0)</f>
        <v>0</v>
      </c>
      <c r="EY13" s="180">
        <f>IFERROR(__xludf.DUMMYFUNCTION("""COMPUTED_VALUE"""),45658.0)</f>
        <v>45658</v>
      </c>
      <c r="EZ13" s="179">
        <f>IFERROR(__xludf.DUMMYFUNCTION("""COMPUTED_VALUE"""),0.0)</f>
        <v>0</v>
      </c>
      <c r="FA13" s="180">
        <f>IFERROR(__xludf.DUMMYFUNCTION("""COMPUTED_VALUE"""),45658.0)</f>
        <v>45658</v>
      </c>
      <c r="FB13" s="179">
        <f>IFERROR(__xludf.DUMMYFUNCTION("""COMPUTED_VALUE"""),0.0)</f>
        <v>0</v>
      </c>
      <c r="FC13" s="180">
        <f>IFERROR(__xludf.DUMMYFUNCTION("""COMPUTED_VALUE"""),45658.0)</f>
        <v>45658</v>
      </c>
      <c r="FD13" s="179">
        <f>IFERROR(__xludf.DUMMYFUNCTION("""COMPUTED_VALUE"""),0.0)</f>
        <v>0</v>
      </c>
      <c r="FE13" s="180">
        <f>IFERROR(__xludf.DUMMYFUNCTION("""COMPUTED_VALUE"""),45839.0)</f>
        <v>45839</v>
      </c>
      <c r="FF13" s="179">
        <f>IFERROR(__xludf.DUMMYFUNCTION("""COMPUTED_VALUE"""),0.25)</f>
        <v>0.25</v>
      </c>
      <c r="FG13" s="182">
        <f>IFERROR(__xludf.DUMMYFUNCTION("""COMPUTED_VALUE"""),45782.0)</f>
        <v>45782</v>
      </c>
      <c r="FH13" s="179">
        <f>IFERROR(__xludf.DUMMYFUNCTION("""COMPUTED_VALUE"""),0.1)</f>
        <v>0.1</v>
      </c>
      <c r="FI13" s="180">
        <f>IFERROR(__xludf.DUMMYFUNCTION("""COMPUTED_VALUE"""),45721.0)</f>
        <v>45721</v>
      </c>
      <c r="FJ13" s="179">
        <f>IFERROR(__xludf.DUMMYFUNCTION("""COMPUTED_VALUE"""),0.25)</f>
        <v>0.25</v>
      </c>
      <c r="FK13" s="180">
        <f>IFERROR(__xludf.DUMMYFUNCTION("""COMPUTED_VALUE"""),45666.0)</f>
        <v>45666</v>
      </c>
      <c r="FL13" s="179">
        <f>IFERROR(__xludf.DUMMYFUNCTION("""COMPUTED_VALUE"""),0.25)</f>
        <v>0.25</v>
      </c>
      <c r="FM13" s="180">
        <f>IFERROR(__xludf.DUMMYFUNCTION("""COMPUTED_VALUE"""),45779.0)</f>
        <v>45779</v>
      </c>
      <c r="FN13" s="179">
        <f>IFERROR(__xludf.DUMMYFUNCTION("""COMPUTED_VALUE"""),0.25)</f>
        <v>0.25</v>
      </c>
      <c r="FO13" s="180">
        <f>IFERROR(__xludf.DUMMYFUNCTION("""COMPUTED_VALUE"""),45840.0)</f>
        <v>45840</v>
      </c>
      <c r="FP13" s="179">
        <f>IFERROR(__xludf.DUMMYFUNCTION("""COMPUTED_VALUE"""),0.25)</f>
        <v>0.25</v>
      </c>
      <c r="FQ13" s="180">
        <f>IFERROR(__xludf.DUMMYFUNCTION("""COMPUTED_VALUE"""),45689.0)</f>
        <v>45689</v>
      </c>
      <c r="FR13" s="179">
        <f>IFERROR(__xludf.DUMMYFUNCTION("""COMPUTED_VALUE"""),0.0)</f>
        <v>0</v>
      </c>
      <c r="FS13" s="180">
        <f>IFERROR(__xludf.DUMMYFUNCTION("""COMPUTED_VALUE"""),45871.0)</f>
        <v>45871</v>
      </c>
      <c r="FT13" s="179">
        <f>IFERROR(__xludf.DUMMYFUNCTION("""COMPUTED_VALUE"""),0.25)</f>
        <v>0.25</v>
      </c>
      <c r="FU13" s="180">
        <f>IFERROR(__xludf.DUMMYFUNCTION("""COMPUTED_VALUE"""),45932.0)</f>
        <v>45932</v>
      </c>
      <c r="FV13" s="179">
        <f>IFERROR(__xludf.DUMMYFUNCTION("""COMPUTED_VALUE"""),0.16666666666666666)</f>
        <v>0.1666666667</v>
      </c>
      <c r="FW13" s="180">
        <f>IFERROR(__xludf.DUMMYFUNCTION("""COMPUTED_VALUE"""),45689.0)</f>
        <v>45689</v>
      </c>
      <c r="FX13" s="179">
        <f>IFERROR(__xludf.DUMMYFUNCTION("""COMPUTED_VALUE"""),0.0)</f>
        <v>0</v>
      </c>
      <c r="FY13" s="180">
        <f>IFERROR(__xludf.DUMMYFUNCTION("""COMPUTED_VALUE"""),45721.0)</f>
        <v>45721</v>
      </c>
      <c r="FZ13" s="179">
        <f>IFERROR(__xludf.DUMMYFUNCTION("""COMPUTED_VALUE"""),0.3333333333333333)</f>
        <v>0.3333333333</v>
      </c>
      <c r="GA13" s="182">
        <f>IFERROR(__xludf.DUMMYFUNCTION("""COMPUTED_VALUE"""),45689.0)</f>
        <v>45689</v>
      </c>
      <c r="GB13" s="179">
        <f>IFERROR(__xludf.DUMMYFUNCTION("""COMPUTED_VALUE"""),0.0)</f>
        <v>0</v>
      </c>
      <c r="GC13" s="180">
        <f>IFERROR(__xludf.DUMMYFUNCTION("""COMPUTED_VALUE"""),45725.0)</f>
        <v>45725</v>
      </c>
      <c r="GD13" s="179">
        <f>IFERROR(__xludf.DUMMYFUNCTION("""COMPUTED_VALUE"""),0.25)</f>
        <v>0.25</v>
      </c>
      <c r="GE13" s="180">
        <f>IFERROR(__xludf.DUMMYFUNCTION("""COMPUTED_VALUE"""),45843.0)</f>
        <v>45843</v>
      </c>
      <c r="GF13" s="179">
        <f>IFERROR(__xludf.DUMMYFUNCTION("""COMPUTED_VALUE"""),0.125)</f>
        <v>0.125</v>
      </c>
      <c r="GG13" s="180">
        <f>IFERROR(__xludf.DUMMYFUNCTION("""COMPUTED_VALUE"""),45749.0)</f>
        <v>45749</v>
      </c>
      <c r="GH13" s="179">
        <f>IFERROR(__xludf.DUMMYFUNCTION("""COMPUTED_VALUE"""),0.0625)</f>
        <v>0.0625</v>
      </c>
      <c r="GI13" s="180">
        <f>IFERROR(__xludf.DUMMYFUNCTION("""COMPUTED_VALUE"""),45689.0)</f>
        <v>45689</v>
      </c>
      <c r="GJ13" s="179">
        <f>IFERROR(__xludf.DUMMYFUNCTION("""COMPUTED_VALUE"""),0.0)</f>
        <v>0</v>
      </c>
      <c r="GK13" s="180">
        <f>IFERROR(__xludf.DUMMYFUNCTION("""COMPUTED_VALUE"""),45689.0)</f>
        <v>45689</v>
      </c>
      <c r="GL13" s="179">
        <f>IFERROR(__xludf.DUMMYFUNCTION("""COMPUTED_VALUE"""),0.0)</f>
        <v>0</v>
      </c>
      <c r="GM13" s="180">
        <f>IFERROR(__xludf.DUMMYFUNCTION("""COMPUTED_VALUE"""),45693.0)</f>
        <v>45693</v>
      </c>
      <c r="GN13" s="179">
        <f>IFERROR(__xludf.DUMMYFUNCTION("""COMPUTED_VALUE"""),0.16666666666666666)</f>
        <v>0.1666666667</v>
      </c>
      <c r="GO13" s="180">
        <f>IFERROR(__xludf.DUMMYFUNCTION("""COMPUTED_VALUE"""),45658.0)</f>
        <v>45658</v>
      </c>
      <c r="GP13" s="179">
        <f>IFERROR(__xludf.DUMMYFUNCTION("""COMPUTED_VALUE"""),0.0)</f>
        <v>0</v>
      </c>
      <c r="GQ13" s="180">
        <f>IFERROR(__xludf.DUMMYFUNCTION("""COMPUTED_VALUE"""),45841.0)</f>
        <v>45841</v>
      </c>
      <c r="GR13" s="179">
        <f>IFERROR(__xludf.DUMMYFUNCTION("""COMPUTED_VALUE"""),0.25)</f>
        <v>0.25</v>
      </c>
      <c r="GS13" s="180">
        <f>IFERROR(__xludf.DUMMYFUNCTION("""COMPUTED_VALUE"""),45752.0)</f>
        <v>45752</v>
      </c>
      <c r="GT13" s="179">
        <f>IFERROR(__xludf.DUMMYFUNCTION("""COMPUTED_VALUE"""),0.25)</f>
        <v>0.25</v>
      </c>
    </row>
    <row r="14" ht="31.5" customHeight="1">
      <c r="B14" s="183"/>
      <c r="C14" s="178">
        <f>IFERROR(__xludf.DUMMYFUNCTION("""COMPUTED_VALUE"""),45814.0)</f>
        <v>45814</v>
      </c>
      <c r="D14" s="179">
        <f>IFERROR(__xludf.DUMMYFUNCTION("""COMPUTED_VALUE"""),0.1)</f>
        <v>0.1</v>
      </c>
      <c r="E14" s="180">
        <f>IFERROR(__xludf.DUMMYFUNCTION("""COMPUTED_VALUE"""),45696.0)</f>
        <v>45696</v>
      </c>
      <c r="F14" s="179">
        <f>IFERROR(__xludf.DUMMYFUNCTION("""COMPUTED_VALUE"""),0.07142857142857142)</f>
        <v>0.07142857143</v>
      </c>
      <c r="G14" s="180">
        <f>IFERROR(__xludf.DUMMYFUNCTION("""COMPUTED_VALUE"""),45938.0)</f>
        <v>45938</v>
      </c>
      <c r="H14" s="179">
        <f>IFERROR(__xludf.DUMMYFUNCTION("""COMPUTED_VALUE"""),0.16666666666666666)</f>
        <v>0.1666666667</v>
      </c>
      <c r="I14" s="180">
        <f>IFERROR(__xludf.DUMMYFUNCTION("""COMPUTED_VALUE"""),45659.0)</f>
        <v>45659</v>
      </c>
      <c r="J14" s="179">
        <f>IFERROR(__xludf.DUMMYFUNCTION("""COMPUTED_VALUE"""),0.0)</f>
        <v>0</v>
      </c>
      <c r="K14" s="180">
        <f>IFERROR(__xludf.DUMMYFUNCTION("""COMPUTED_VALUE"""),45696.0)</f>
        <v>45696</v>
      </c>
      <c r="L14" s="179">
        <f>IFERROR(__xludf.DUMMYFUNCTION("""COMPUTED_VALUE"""),0.16666666666666666)</f>
        <v>0.1666666667</v>
      </c>
      <c r="M14" s="180">
        <f>IFERROR(__xludf.DUMMYFUNCTION("""COMPUTED_VALUE"""),45663.0)</f>
        <v>45663</v>
      </c>
      <c r="N14" s="179">
        <f>IFERROR(__xludf.DUMMYFUNCTION("""COMPUTED_VALUE"""),0.1)</f>
        <v>0.1</v>
      </c>
      <c r="O14" s="180">
        <f>IFERROR(__xludf.DUMMYFUNCTION("""COMPUTED_VALUE"""),45663.0)</f>
        <v>45663</v>
      </c>
      <c r="P14" s="179">
        <f>IFERROR(__xludf.DUMMYFUNCTION("""COMPUTED_VALUE"""),0.25)</f>
        <v>0.25</v>
      </c>
      <c r="Q14" s="180">
        <f>IFERROR(__xludf.DUMMYFUNCTION("""COMPUTED_VALUE"""),45843.0)</f>
        <v>45843</v>
      </c>
      <c r="R14" s="179">
        <f>IFERROR(__xludf.DUMMYFUNCTION("""COMPUTED_VALUE"""),0.25)</f>
        <v>0.25</v>
      </c>
      <c r="S14" s="180">
        <f>IFERROR(__xludf.DUMMYFUNCTION("""COMPUTED_VALUE"""),45901.0)</f>
        <v>45901</v>
      </c>
      <c r="T14" s="179">
        <f>IFERROR(__xludf.DUMMYFUNCTION("""COMPUTED_VALUE"""),0.0)</f>
        <v>0</v>
      </c>
      <c r="U14" s="180">
        <f>IFERROR(__xludf.DUMMYFUNCTION("""COMPUTED_VALUE"""),45843.0)</f>
        <v>45843</v>
      </c>
      <c r="V14" s="181">
        <f>IFERROR(__xludf.DUMMYFUNCTION("""COMPUTED_VALUE"""),0.25)</f>
        <v>0.25</v>
      </c>
      <c r="W14" s="178">
        <f>IFERROR(__xludf.DUMMYFUNCTION("""COMPUTED_VALUE"""),45811.0)</f>
        <v>45811</v>
      </c>
      <c r="X14" s="179">
        <f>IFERROR(__xludf.DUMMYFUNCTION("""COMPUTED_VALUE"""),0.1)</f>
        <v>0.1</v>
      </c>
      <c r="Y14" s="180">
        <f>IFERROR(__xludf.DUMMYFUNCTION("""COMPUTED_VALUE"""),45756.0)</f>
        <v>45756</v>
      </c>
      <c r="Z14" s="179">
        <f>IFERROR(__xludf.DUMMYFUNCTION("""COMPUTED_VALUE"""),0.25)</f>
        <v>0.25</v>
      </c>
      <c r="AA14" s="180">
        <f>IFERROR(__xludf.DUMMYFUNCTION("""COMPUTED_VALUE"""),45658.0)</f>
        <v>45658</v>
      </c>
      <c r="AB14" s="179">
        <f>IFERROR(__xludf.DUMMYFUNCTION("""COMPUTED_VALUE"""),0.0)</f>
        <v>0</v>
      </c>
      <c r="AC14" s="180">
        <f>IFERROR(__xludf.DUMMYFUNCTION("""COMPUTED_VALUE"""),45786.0)</f>
        <v>45786</v>
      </c>
      <c r="AD14" s="179">
        <f>IFERROR(__xludf.DUMMYFUNCTION("""COMPUTED_VALUE"""),0.25)</f>
        <v>0.25</v>
      </c>
      <c r="AE14" s="180">
        <f>IFERROR(__xludf.DUMMYFUNCTION("""COMPUTED_VALUE"""),45756.0)</f>
        <v>45756</v>
      </c>
      <c r="AF14" s="179">
        <f>IFERROR(__xludf.DUMMYFUNCTION("""COMPUTED_VALUE"""),0.25)</f>
        <v>0.25</v>
      </c>
      <c r="AG14" s="180">
        <f>IFERROR(__xludf.DUMMYFUNCTION("""COMPUTED_VALUE"""),45660.0)</f>
        <v>45660</v>
      </c>
      <c r="AH14" s="179">
        <f>IFERROR(__xludf.DUMMYFUNCTION("""COMPUTED_VALUE"""),0.1)</f>
        <v>0.1</v>
      </c>
      <c r="AI14" s="180">
        <f>IFERROR(__xludf.DUMMYFUNCTION("""COMPUTED_VALUE"""),45786.0)</f>
        <v>45786</v>
      </c>
      <c r="AJ14" s="179">
        <f>IFERROR(__xludf.DUMMYFUNCTION("""COMPUTED_VALUE"""),0.25)</f>
        <v>0.25</v>
      </c>
      <c r="AK14" s="180">
        <f>IFERROR(__xludf.DUMMYFUNCTION("""COMPUTED_VALUE"""),45878.0)</f>
        <v>45878</v>
      </c>
      <c r="AL14" s="179">
        <f>IFERROR(__xludf.DUMMYFUNCTION("""COMPUTED_VALUE"""),0.0625)</f>
        <v>0.0625</v>
      </c>
      <c r="AM14" s="180">
        <f>IFERROR(__xludf.DUMMYFUNCTION("""COMPUTED_VALUE"""),45689.0)</f>
        <v>45689</v>
      </c>
      <c r="AN14" s="179">
        <f>IFERROR(__xludf.DUMMYFUNCTION("""COMPUTED_VALUE"""),0.0)</f>
        <v>0</v>
      </c>
      <c r="AO14" s="180">
        <f>IFERROR(__xludf.DUMMYFUNCTION("""COMPUTED_VALUE"""),45811.0)</f>
        <v>45811</v>
      </c>
      <c r="AP14" s="181">
        <f>IFERROR(__xludf.DUMMYFUNCTION("""COMPUTED_VALUE"""),0.25)</f>
        <v>0.25</v>
      </c>
      <c r="AQ14" s="178">
        <f>IFERROR(__xludf.DUMMYFUNCTION("""COMPUTED_VALUE"""),45810.0)</f>
        <v>45810</v>
      </c>
      <c r="AR14" s="179">
        <f>IFERROR(__xludf.DUMMYFUNCTION("""COMPUTED_VALUE"""),0.1)</f>
        <v>0.1</v>
      </c>
      <c r="AS14" s="180">
        <f>IFERROR(__xludf.DUMMYFUNCTION("""COMPUTED_VALUE"""),45658.0)</f>
        <v>45658</v>
      </c>
      <c r="AT14" s="179">
        <f>IFERROR(__xludf.DUMMYFUNCTION("""COMPUTED_VALUE"""),0.0)</f>
        <v>0</v>
      </c>
      <c r="AU14" s="180">
        <f>IFERROR(__xludf.DUMMYFUNCTION("""COMPUTED_VALUE"""),45910.0)</f>
        <v>45910</v>
      </c>
      <c r="AV14" s="179">
        <f>IFERROR(__xludf.DUMMYFUNCTION("""COMPUTED_VALUE"""),0.25)</f>
        <v>0.25</v>
      </c>
      <c r="AW14" s="180">
        <f>IFERROR(__xludf.DUMMYFUNCTION("""COMPUTED_VALUE"""),45720.0)</f>
        <v>45720</v>
      </c>
      <c r="AX14" s="179">
        <f>IFERROR(__xludf.DUMMYFUNCTION("""COMPUTED_VALUE"""),0.125)</f>
        <v>0.125</v>
      </c>
      <c r="AY14" s="180">
        <f>IFERROR(__xludf.DUMMYFUNCTION("""COMPUTED_VALUE"""),45692.0)</f>
        <v>45692</v>
      </c>
      <c r="AZ14" s="179">
        <f>IFERROR(__xludf.DUMMYFUNCTION("""COMPUTED_VALUE"""),0.16666666666666666)</f>
        <v>0.1666666667</v>
      </c>
      <c r="BA14" s="180">
        <f>IFERROR(__xludf.DUMMYFUNCTION("""COMPUTED_VALUE"""),45659.0)</f>
        <v>45659</v>
      </c>
      <c r="BB14" s="179">
        <f>IFERROR(__xludf.DUMMYFUNCTION("""COMPUTED_VALUE"""),0.1)</f>
        <v>0.1</v>
      </c>
      <c r="BC14" s="180">
        <f>IFERROR(__xludf.DUMMYFUNCTION("""COMPUTED_VALUE"""),45904.0)</f>
        <v>45904</v>
      </c>
      <c r="BD14" s="179">
        <f>IFERROR(__xludf.DUMMYFUNCTION("""COMPUTED_VALUE"""),0.25)</f>
        <v>0.25</v>
      </c>
      <c r="BE14" s="180">
        <f>IFERROR(__xludf.DUMMYFUNCTION("""COMPUTED_VALUE"""),45717.0)</f>
        <v>45717</v>
      </c>
      <c r="BF14" s="179">
        <f>IFERROR(__xludf.DUMMYFUNCTION("""COMPUTED_VALUE"""),0.0)</f>
        <v>0</v>
      </c>
      <c r="BG14" s="180">
        <f>IFERROR(__xludf.DUMMYFUNCTION("""COMPUTED_VALUE"""),45910.0)</f>
        <v>45910</v>
      </c>
      <c r="BH14" s="179">
        <f>IFERROR(__xludf.DUMMYFUNCTION("""COMPUTED_VALUE"""),0.0625)</f>
        <v>0.0625</v>
      </c>
      <c r="BI14" s="180">
        <f>IFERROR(__xludf.DUMMYFUNCTION("""COMPUTED_VALUE"""),45659.0)</f>
        <v>45659</v>
      </c>
      <c r="BJ14" s="179">
        <f>IFERROR(__xludf.DUMMYFUNCTION("""COMPUTED_VALUE"""),0.25)</f>
        <v>0.25</v>
      </c>
      <c r="BK14" s="182">
        <f>IFERROR(__xludf.DUMMYFUNCTION("""COMPUTED_VALUE"""),45663.0)</f>
        <v>45663</v>
      </c>
      <c r="BL14" s="179">
        <f>IFERROR(__xludf.DUMMYFUNCTION("""COMPUTED_VALUE"""),0.05555555555555555)</f>
        <v>0.05555555556</v>
      </c>
      <c r="BM14" s="180">
        <f>IFERROR(__xludf.DUMMYFUNCTION("""COMPUTED_VALUE"""),45934.0)</f>
        <v>45934</v>
      </c>
      <c r="BN14" s="179">
        <f>IFERROR(__xludf.DUMMYFUNCTION("""COMPUTED_VALUE"""),0.5)</f>
        <v>0.5</v>
      </c>
      <c r="BO14" s="180">
        <f>IFERROR(__xludf.DUMMYFUNCTION("""COMPUTED_VALUE"""),45719.0)</f>
        <v>45719</v>
      </c>
      <c r="BP14" s="179">
        <f>IFERROR(__xludf.DUMMYFUNCTION("""COMPUTED_VALUE"""),0.25)</f>
        <v>0.25</v>
      </c>
      <c r="BQ14" s="180">
        <f>IFERROR(__xludf.DUMMYFUNCTION("""COMPUTED_VALUE"""),45658.0)</f>
        <v>45658</v>
      </c>
      <c r="BR14" s="179">
        <f>IFERROR(__xludf.DUMMYFUNCTION("""COMPUTED_VALUE"""),0.0)</f>
        <v>0</v>
      </c>
      <c r="BS14" s="180">
        <f>IFERROR(__xludf.DUMMYFUNCTION("""COMPUTED_VALUE"""),45717.0)</f>
        <v>45717</v>
      </c>
      <c r="BT14" s="179">
        <f>IFERROR(__xludf.DUMMYFUNCTION("""COMPUTED_VALUE"""),0.0)</f>
        <v>0</v>
      </c>
      <c r="BU14" s="180">
        <f>IFERROR(__xludf.DUMMYFUNCTION("""COMPUTED_VALUE"""),45689.0)</f>
        <v>45689</v>
      </c>
      <c r="BV14" s="179">
        <f>IFERROR(__xludf.DUMMYFUNCTION("""COMPUTED_VALUE"""),0.0)</f>
        <v>0</v>
      </c>
      <c r="BW14" s="180">
        <f>IFERROR(__xludf.DUMMYFUNCTION("""COMPUTED_VALUE"""),45875.0)</f>
        <v>45875</v>
      </c>
      <c r="BX14" s="179">
        <f>IFERROR(__xludf.DUMMYFUNCTION("""COMPUTED_VALUE"""),0.25)</f>
        <v>0.25</v>
      </c>
      <c r="BY14" s="180">
        <f>IFERROR(__xludf.DUMMYFUNCTION("""COMPUTED_VALUE"""),45658.0)</f>
        <v>45658</v>
      </c>
      <c r="BZ14" s="179">
        <f>IFERROR(__xludf.DUMMYFUNCTION("""COMPUTED_VALUE"""),0.0)</f>
        <v>0</v>
      </c>
      <c r="CA14" s="180">
        <f>IFERROR(__xludf.DUMMYFUNCTION("""COMPUTED_VALUE"""),45660.0)</f>
        <v>45660</v>
      </c>
      <c r="CB14" s="179">
        <f>IFERROR(__xludf.DUMMYFUNCTION("""COMPUTED_VALUE"""),0.1)</f>
        <v>0.1</v>
      </c>
      <c r="CC14" s="180">
        <f>IFERROR(__xludf.DUMMYFUNCTION("""COMPUTED_VALUE"""),45753.0)</f>
        <v>45753</v>
      </c>
      <c r="CD14" s="179">
        <f>IFERROR(__xludf.DUMMYFUNCTION("""COMPUTED_VALUE"""),0.25)</f>
        <v>0.25</v>
      </c>
      <c r="CE14" s="182">
        <f>IFERROR(__xludf.DUMMYFUNCTION("""COMPUTED_VALUE"""),45717.0)</f>
        <v>45717</v>
      </c>
      <c r="CF14" s="179">
        <f>IFERROR(__xludf.DUMMYFUNCTION("""COMPUTED_VALUE"""),0.0)</f>
        <v>0</v>
      </c>
      <c r="CG14" s="180">
        <f>IFERROR(__xludf.DUMMYFUNCTION("""COMPUTED_VALUE"""),45939.0)</f>
        <v>45939</v>
      </c>
      <c r="CH14" s="179">
        <f>IFERROR(__xludf.DUMMYFUNCTION("""COMPUTED_VALUE"""),0.25)</f>
        <v>0.25</v>
      </c>
      <c r="CI14" s="180">
        <f>IFERROR(__xludf.DUMMYFUNCTION("""COMPUTED_VALUE"""),45934.0)</f>
        <v>45934</v>
      </c>
      <c r="CJ14" s="179">
        <f>IFERROR(__xludf.DUMMYFUNCTION("""COMPUTED_VALUE"""),0.16666666666666666)</f>
        <v>0.1666666667</v>
      </c>
      <c r="CK14" s="180">
        <f>IFERROR(__xludf.DUMMYFUNCTION("""COMPUTED_VALUE"""),45753.0)</f>
        <v>45753</v>
      </c>
      <c r="CL14" s="179">
        <f>IFERROR(__xludf.DUMMYFUNCTION("""COMPUTED_VALUE"""),0.0625)</f>
        <v>0.0625</v>
      </c>
      <c r="CM14" s="180">
        <f>IFERROR(__xludf.DUMMYFUNCTION("""COMPUTED_VALUE"""),45690.0)</f>
        <v>45690</v>
      </c>
      <c r="CN14" s="179">
        <f>IFERROR(__xludf.DUMMYFUNCTION("""COMPUTED_VALUE"""),0.16666666666666666)</f>
        <v>0.1666666667</v>
      </c>
      <c r="CO14" s="180">
        <f>IFERROR(__xludf.DUMMYFUNCTION("""COMPUTED_VALUE"""),45939.0)</f>
        <v>45939</v>
      </c>
      <c r="CP14" s="179">
        <f>IFERROR(__xludf.DUMMYFUNCTION("""COMPUTED_VALUE"""),0.25)</f>
        <v>0.25</v>
      </c>
      <c r="CQ14" s="180">
        <f>IFERROR(__xludf.DUMMYFUNCTION("""COMPUTED_VALUE"""),45931.0)</f>
        <v>45931</v>
      </c>
      <c r="CR14" s="179">
        <f>IFERROR(__xludf.DUMMYFUNCTION("""COMPUTED_VALUE"""),0.25)</f>
        <v>0.25</v>
      </c>
      <c r="CS14" s="180">
        <f>IFERROR(__xludf.DUMMYFUNCTION("""COMPUTED_VALUE"""),45696.0)</f>
        <v>45696</v>
      </c>
      <c r="CT14" s="179">
        <f>IFERROR(__xludf.DUMMYFUNCTION("""COMPUTED_VALUE"""),0.25)</f>
        <v>0.25</v>
      </c>
      <c r="CU14" s="180">
        <f>IFERROR(__xludf.DUMMYFUNCTION("""COMPUTED_VALUE"""),45717.0)</f>
        <v>45717</v>
      </c>
      <c r="CV14" s="179">
        <f>IFERROR(__xludf.DUMMYFUNCTION("""COMPUTED_VALUE"""),0.0)</f>
        <v>0</v>
      </c>
      <c r="CW14" s="180">
        <f>IFERROR(__xludf.DUMMYFUNCTION("""COMPUTED_VALUE"""),45666.0)</f>
        <v>45666</v>
      </c>
      <c r="CX14" s="179">
        <f>IFERROR(__xludf.DUMMYFUNCTION("""COMPUTED_VALUE"""),0.25)</f>
        <v>0.25</v>
      </c>
      <c r="CY14" s="182">
        <f>IFERROR(__xludf.DUMMYFUNCTION("""COMPUTED_VALUE"""),45778.0)</f>
        <v>45778</v>
      </c>
      <c r="CZ14" s="179">
        <f>IFERROR(__xludf.DUMMYFUNCTION("""COMPUTED_VALUE"""),0.1)</f>
        <v>0.1</v>
      </c>
      <c r="DA14" s="180">
        <f>IFERROR(__xludf.DUMMYFUNCTION("""COMPUTED_VALUE"""),45842.0)</f>
        <v>45842</v>
      </c>
      <c r="DB14" s="179">
        <f>IFERROR(__xludf.DUMMYFUNCTION("""COMPUTED_VALUE"""),0.16666666666666666)</f>
        <v>0.1666666667</v>
      </c>
      <c r="DC14" s="180">
        <f>IFERROR(__xludf.DUMMYFUNCTION("""COMPUTED_VALUE"""),45937.0)</f>
        <v>45937</v>
      </c>
      <c r="DD14" s="179">
        <f>IFERROR(__xludf.DUMMYFUNCTION("""COMPUTED_VALUE"""),0.16666666666666666)</f>
        <v>0.1666666667</v>
      </c>
      <c r="DE14" s="180">
        <f>IFERROR(__xludf.DUMMYFUNCTION("""COMPUTED_VALUE"""),45839.0)</f>
        <v>45839</v>
      </c>
      <c r="DF14" s="179">
        <f>IFERROR(__xludf.DUMMYFUNCTION("""COMPUTED_VALUE"""),0.1)</f>
        <v>0.1</v>
      </c>
      <c r="DG14" s="180">
        <f>IFERROR(__xludf.DUMMYFUNCTION("""COMPUTED_VALUE"""),45809.0)</f>
        <v>45809</v>
      </c>
      <c r="DH14" s="179">
        <f>IFERROR(__xludf.DUMMYFUNCTION("""COMPUTED_VALUE"""),0.16666666666666666)</f>
        <v>0.1666666667</v>
      </c>
      <c r="DI14" s="180">
        <f>IFERROR(__xludf.DUMMYFUNCTION("""COMPUTED_VALUE"""),45658.0)</f>
        <v>45658</v>
      </c>
      <c r="DJ14" s="179">
        <f>IFERROR(__xludf.DUMMYFUNCTION("""COMPUTED_VALUE"""),0.1)</f>
        <v>0.1</v>
      </c>
      <c r="DK14" s="180">
        <f>IFERROR(__xludf.DUMMYFUNCTION("""COMPUTED_VALUE"""),45839.0)</f>
        <v>45839</v>
      </c>
      <c r="DL14" s="179">
        <f>IFERROR(__xludf.DUMMYFUNCTION("""COMPUTED_VALUE"""),0.0625)</f>
        <v>0.0625</v>
      </c>
      <c r="DM14" s="180">
        <f>IFERROR(__xludf.DUMMYFUNCTION("""COMPUTED_VALUE"""),45843.0)</f>
        <v>45843</v>
      </c>
      <c r="DN14" s="179">
        <f>IFERROR(__xludf.DUMMYFUNCTION("""COMPUTED_VALUE"""),0.25)</f>
        <v>0.25</v>
      </c>
      <c r="DO14" s="180">
        <f>IFERROR(__xludf.DUMMYFUNCTION("""COMPUTED_VALUE"""),45658.0)</f>
        <v>45658</v>
      </c>
      <c r="DP14" s="179">
        <f>IFERROR(__xludf.DUMMYFUNCTION("""COMPUTED_VALUE"""),0.0)</f>
        <v>0</v>
      </c>
      <c r="DQ14" s="180">
        <f>IFERROR(__xludf.DUMMYFUNCTION("""COMPUTED_VALUE"""),45809.0)</f>
        <v>45809</v>
      </c>
      <c r="DR14" s="179">
        <f>IFERROR(__xludf.DUMMYFUNCTION("""COMPUTED_VALUE"""),0.25)</f>
        <v>0.25</v>
      </c>
      <c r="DS14" s="182">
        <f>IFERROR(__xludf.DUMMYFUNCTION("""COMPUTED_VALUE"""),45689.0)</f>
        <v>45689</v>
      </c>
      <c r="DT14" s="179">
        <f>IFERROR(__xludf.DUMMYFUNCTION("""COMPUTED_VALUE"""),0.0)</f>
        <v>0</v>
      </c>
      <c r="DU14" s="180">
        <f>IFERROR(__xludf.DUMMYFUNCTION("""COMPUTED_VALUE"""),45658.0)</f>
        <v>45658</v>
      </c>
      <c r="DV14" s="179">
        <f>IFERROR(__xludf.DUMMYFUNCTION("""COMPUTED_VALUE"""),0.0)</f>
        <v>0</v>
      </c>
      <c r="DW14" s="180">
        <f>IFERROR(__xludf.DUMMYFUNCTION("""COMPUTED_VALUE"""),45658.0)</f>
        <v>45658</v>
      </c>
      <c r="DX14" s="179">
        <f>IFERROR(__xludf.DUMMYFUNCTION("""COMPUTED_VALUE"""),0.0)</f>
        <v>0</v>
      </c>
      <c r="DY14" s="180">
        <f>IFERROR(__xludf.DUMMYFUNCTION("""COMPUTED_VALUE"""),45689.0)</f>
        <v>45689</v>
      </c>
      <c r="DZ14" s="179">
        <f>IFERROR(__xludf.DUMMYFUNCTION("""COMPUTED_VALUE"""),0.0)</f>
        <v>0</v>
      </c>
      <c r="EA14" s="180">
        <f>IFERROR(__xludf.DUMMYFUNCTION("""COMPUTED_VALUE"""),45717.0)</f>
        <v>45717</v>
      </c>
      <c r="EB14" s="179">
        <f>IFERROR(__xludf.DUMMYFUNCTION("""COMPUTED_VALUE"""),0.0)</f>
        <v>0</v>
      </c>
      <c r="EC14" s="180">
        <f>IFERROR(__xludf.DUMMYFUNCTION("""COMPUTED_VALUE"""),45689.0)</f>
        <v>45689</v>
      </c>
      <c r="ED14" s="179">
        <f>IFERROR(__xludf.DUMMYFUNCTION("""COMPUTED_VALUE"""),0.0)</f>
        <v>0</v>
      </c>
      <c r="EE14" s="180">
        <f>IFERROR(__xludf.DUMMYFUNCTION("""COMPUTED_VALUE"""),45938.0)</f>
        <v>45938</v>
      </c>
      <c r="EF14" s="179">
        <f>IFERROR(__xludf.DUMMYFUNCTION("""COMPUTED_VALUE"""),0.25)</f>
        <v>0.25</v>
      </c>
      <c r="EG14" s="180">
        <f>IFERROR(__xludf.DUMMYFUNCTION("""COMPUTED_VALUE"""),45689.0)</f>
        <v>45689</v>
      </c>
      <c r="EH14" s="179">
        <f>IFERROR(__xludf.DUMMYFUNCTION("""COMPUTED_VALUE"""),0.0)</f>
        <v>0</v>
      </c>
      <c r="EI14" s="180">
        <f>IFERROR(__xludf.DUMMYFUNCTION("""COMPUTED_VALUE"""),45689.0)</f>
        <v>45689</v>
      </c>
      <c r="EJ14" s="179">
        <f>IFERROR(__xludf.DUMMYFUNCTION("""COMPUTED_VALUE"""),0.0)</f>
        <v>0</v>
      </c>
      <c r="EK14" s="180">
        <f>IFERROR(__xludf.DUMMYFUNCTION("""COMPUTED_VALUE"""),45938.0)</f>
        <v>45938</v>
      </c>
      <c r="EL14" s="179">
        <f>IFERROR(__xludf.DUMMYFUNCTION("""COMPUTED_VALUE"""),0.07142857142857142)</f>
        <v>0.07142857143</v>
      </c>
      <c r="EM14" s="182">
        <f>IFERROR(__xludf.DUMMYFUNCTION("""COMPUTED_VALUE"""),45907.0)</f>
        <v>45907</v>
      </c>
      <c r="EN14" s="179">
        <f>IFERROR(__xludf.DUMMYFUNCTION("""COMPUTED_VALUE"""),0.1)</f>
        <v>0.1</v>
      </c>
      <c r="EO14" s="180">
        <f>IFERROR(__xludf.DUMMYFUNCTION("""COMPUTED_VALUE"""),45778.0)</f>
        <v>45778</v>
      </c>
      <c r="EP14" s="179">
        <f>IFERROR(__xludf.DUMMYFUNCTION("""COMPUTED_VALUE"""),0.16666666666666666)</f>
        <v>0.1666666667</v>
      </c>
      <c r="EQ14" s="180">
        <f>IFERROR(__xludf.DUMMYFUNCTION("""COMPUTED_VALUE"""),45932.0)</f>
        <v>45932</v>
      </c>
      <c r="ER14" s="179">
        <f>IFERROR(__xludf.DUMMYFUNCTION("""COMPUTED_VALUE"""),0.16666666666666666)</f>
        <v>0.1666666667</v>
      </c>
      <c r="ES14" s="180">
        <f>IFERROR(__xludf.DUMMYFUNCTION("""COMPUTED_VALUE"""),45717.0)</f>
        <v>45717</v>
      </c>
      <c r="ET14" s="179">
        <f>IFERROR(__xludf.DUMMYFUNCTION("""COMPUTED_VALUE"""),0.0)</f>
        <v>0</v>
      </c>
      <c r="EU14" s="180">
        <f>IFERROR(__xludf.DUMMYFUNCTION("""COMPUTED_VALUE"""),45689.0)</f>
        <v>45689</v>
      </c>
      <c r="EV14" s="179">
        <f>IFERROR(__xludf.DUMMYFUNCTION("""COMPUTED_VALUE"""),0.0)</f>
        <v>0</v>
      </c>
      <c r="EW14" s="180">
        <f>IFERROR(__xludf.DUMMYFUNCTION("""COMPUTED_VALUE"""),45717.0)</f>
        <v>45717</v>
      </c>
      <c r="EX14" s="179">
        <f>IFERROR(__xludf.DUMMYFUNCTION("""COMPUTED_VALUE"""),0.0)</f>
        <v>0</v>
      </c>
      <c r="EY14" s="180">
        <f>IFERROR(__xludf.DUMMYFUNCTION("""COMPUTED_VALUE"""),45689.0)</f>
        <v>45689</v>
      </c>
      <c r="EZ14" s="179">
        <f>IFERROR(__xludf.DUMMYFUNCTION("""COMPUTED_VALUE"""),0.0)</f>
        <v>0</v>
      </c>
      <c r="FA14" s="180">
        <f>IFERROR(__xludf.DUMMYFUNCTION("""COMPUTED_VALUE"""),45689.0)</f>
        <v>45689</v>
      </c>
      <c r="FB14" s="179">
        <f>IFERROR(__xludf.DUMMYFUNCTION("""COMPUTED_VALUE"""),0.0)</f>
        <v>0</v>
      </c>
      <c r="FC14" s="180">
        <f>IFERROR(__xludf.DUMMYFUNCTION("""COMPUTED_VALUE"""),45689.0)</f>
        <v>45689</v>
      </c>
      <c r="FD14" s="179">
        <f>IFERROR(__xludf.DUMMYFUNCTION("""COMPUTED_VALUE"""),0.0)</f>
        <v>0</v>
      </c>
      <c r="FE14" s="180">
        <f>IFERROR(__xludf.DUMMYFUNCTION("""COMPUTED_VALUE"""),45754.0)</f>
        <v>45754</v>
      </c>
      <c r="FF14" s="179">
        <f>IFERROR(__xludf.DUMMYFUNCTION("""COMPUTED_VALUE"""),0.25)</f>
        <v>0.25</v>
      </c>
      <c r="FG14" s="182">
        <f>IFERROR(__xludf.DUMMYFUNCTION("""COMPUTED_VALUE"""),45813.0)</f>
        <v>45813</v>
      </c>
      <c r="FH14" s="179">
        <f>IFERROR(__xludf.DUMMYFUNCTION("""COMPUTED_VALUE"""),0.1)</f>
        <v>0.1</v>
      </c>
      <c r="FI14" s="180">
        <f>IFERROR(__xludf.DUMMYFUNCTION("""COMPUTED_VALUE"""),45935.0)</f>
        <v>45935</v>
      </c>
      <c r="FJ14" s="179">
        <f>IFERROR(__xludf.DUMMYFUNCTION("""COMPUTED_VALUE"""),0.25)</f>
        <v>0.25</v>
      </c>
      <c r="FK14" s="180">
        <f>IFERROR(__xludf.DUMMYFUNCTION("""COMPUTED_VALUE"""),45698.0)</f>
        <v>45698</v>
      </c>
      <c r="FL14" s="179">
        <f>IFERROR(__xludf.DUMMYFUNCTION("""COMPUTED_VALUE"""),0.25)</f>
        <v>0.25</v>
      </c>
      <c r="FM14" s="180">
        <f>IFERROR(__xludf.DUMMYFUNCTION("""COMPUTED_VALUE"""),45871.0)</f>
        <v>45871</v>
      </c>
      <c r="FN14" s="179">
        <f>IFERROR(__xludf.DUMMYFUNCTION("""COMPUTED_VALUE"""),0.25)</f>
        <v>0.25</v>
      </c>
      <c r="FO14" s="180">
        <f>IFERROR(__xludf.DUMMYFUNCTION("""COMPUTED_VALUE"""),45690.0)</f>
        <v>45690</v>
      </c>
      <c r="FP14" s="179">
        <f>IFERROR(__xludf.DUMMYFUNCTION("""COMPUTED_VALUE"""),0.16666666666666666)</f>
        <v>0.1666666667</v>
      </c>
      <c r="FQ14" s="180">
        <f>IFERROR(__xludf.DUMMYFUNCTION("""COMPUTED_VALUE"""),45717.0)</f>
        <v>45717</v>
      </c>
      <c r="FR14" s="179">
        <f>IFERROR(__xludf.DUMMYFUNCTION("""COMPUTED_VALUE"""),0.0)</f>
        <v>0</v>
      </c>
      <c r="FS14" s="180">
        <f>IFERROR(__xludf.DUMMYFUNCTION("""COMPUTED_VALUE"""),45932.0)</f>
        <v>45932</v>
      </c>
      <c r="FT14" s="179">
        <f>IFERROR(__xludf.DUMMYFUNCTION("""COMPUTED_VALUE"""),0.25)</f>
        <v>0.25</v>
      </c>
      <c r="FU14" s="180">
        <f>IFERROR(__xludf.DUMMYFUNCTION("""COMPUTED_VALUE"""),45871.0)</f>
        <v>45871</v>
      </c>
      <c r="FV14" s="179">
        <f>IFERROR(__xludf.DUMMYFUNCTION("""COMPUTED_VALUE"""),0.0625)</f>
        <v>0.0625</v>
      </c>
      <c r="FW14" s="180">
        <f>IFERROR(__xludf.DUMMYFUNCTION("""COMPUTED_VALUE"""),45717.0)</f>
        <v>45717</v>
      </c>
      <c r="FX14" s="179">
        <f>IFERROR(__xludf.DUMMYFUNCTION("""COMPUTED_VALUE"""),0.0)</f>
        <v>0</v>
      </c>
      <c r="FY14" s="180">
        <f>IFERROR(__xludf.DUMMYFUNCTION("""COMPUTED_VALUE"""),45693.0)</f>
        <v>45693</v>
      </c>
      <c r="FZ14" s="179">
        <f>IFERROR(__xludf.DUMMYFUNCTION("""COMPUTED_VALUE"""),0.25)</f>
        <v>0.25</v>
      </c>
      <c r="GA14" s="182">
        <f>IFERROR(__xludf.DUMMYFUNCTION("""COMPUTED_VALUE"""),45717.0)</f>
        <v>45717</v>
      </c>
      <c r="GB14" s="179">
        <f>IFERROR(__xludf.DUMMYFUNCTION("""COMPUTED_VALUE"""),0.0)</f>
        <v>0</v>
      </c>
      <c r="GC14" s="180">
        <f>IFERROR(__xludf.DUMMYFUNCTION("""COMPUTED_VALUE"""),45843.0)</f>
        <v>45843</v>
      </c>
      <c r="GD14" s="179">
        <f>IFERROR(__xludf.DUMMYFUNCTION("""COMPUTED_VALUE"""),0.16666666666666666)</f>
        <v>0.1666666667</v>
      </c>
      <c r="GE14" s="180">
        <f>IFERROR(__xludf.DUMMYFUNCTION("""COMPUTED_VALUE"""),45725.0)</f>
        <v>45725</v>
      </c>
      <c r="GF14" s="179">
        <f>IFERROR(__xludf.DUMMYFUNCTION("""COMPUTED_VALUE"""),0.0625)</f>
        <v>0.0625</v>
      </c>
      <c r="GG14" s="180">
        <f>IFERROR(__xludf.DUMMYFUNCTION("""COMPUTED_VALUE"""),45752.0)</f>
        <v>45752</v>
      </c>
      <c r="GH14" s="179">
        <f>IFERROR(__xludf.DUMMYFUNCTION("""COMPUTED_VALUE"""),0.0625)</f>
        <v>0.0625</v>
      </c>
      <c r="GI14" s="180">
        <f>IFERROR(__xludf.DUMMYFUNCTION("""COMPUTED_VALUE"""),45717.0)</f>
        <v>45717</v>
      </c>
      <c r="GJ14" s="179">
        <f>IFERROR(__xludf.DUMMYFUNCTION("""COMPUTED_VALUE"""),0.0)</f>
        <v>0</v>
      </c>
      <c r="GK14" s="180">
        <f>IFERROR(__xludf.DUMMYFUNCTION("""COMPUTED_VALUE"""),45717.0)</f>
        <v>45717</v>
      </c>
      <c r="GL14" s="179">
        <f>IFERROR(__xludf.DUMMYFUNCTION("""COMPUTED_VALUE"""),0.0)</f>
        <v>0</v>
      </c>
      <c r="GM14" s="180">
        <f>IFERROR(__xludf.DUMMYFUNCTION("""COMPUTED_VALUE"""),45697.0)</f>
        <v>45697</v>
      </c>
      <c r="GN14" s="179">
        <f>IFERROR(__xludf.DUMMYFUNCTION("""COMPUTED_VALUE"""),0.16666666666666666)</f>
        <v>0.1666666667</v>
      </c>
      <c r="GO14" s="180">
        <f>IFERROR(__xludf.DUMMYFUNCTION("""COMPUTED_VALUE"""),45689.0)</f>
        <v>45689</v>
      </c>
      <c r="GP14" s="179">
        <f>IFERROR(__xludf.DUMMYFUNCTION("""COMPUTED_VALUE"""),0.0)</f>
        <v>0</v>
      </c>
      <c r="GQ14" s="180">
        <f>IFERROR(__xludf.DUMMYFUNCTION("""COMPUTED_VALUE"""),45720.0)</f>
        <v>45720</v>
      </c>
      <c r="GR14" s="179">
        <f>IFERROR(__xludf.DUMMYFUNCTION("""COMPUTED_VALUE"""),0.25)</f>
        <v>0.25</v>
      </c>
      <c r="GS14" s="180">
        <f>IFERROR(__xludf.DUMMYFUNCTION("""COMPUTED_VALUE"""),45843.0)</f>
        <v>45843</v>
      </c>
      <c r="GT14" s="179">
        <f>IFERROR(__xludf.DUMMYFUNCTION("""COMPUTED_VALUE"""),0.25)</f>
        <v>0.25</v>
      </c>
    </row>
    <row r="15" ht="31.5" customHeight="1">
      <c r="B15" s="183"/>
      <c r="C15" s="178">
        <f>IFERROR(__xludf.DUMMYFUNCTION("""COMPUTED_VALUE"""),45663.0)</f>
        <v>45663</v>
      </c>
      <c r="D15" s="179">
        <f>IFERROR(__xludf.DUMMYFUNCTION("""COMPUTED_VALUE"""),0.05555555555555555)</f>
        <v>0.05555555556</v>
      </c>
      <c r="E15" s="180">
        <f>IFERROR(__xludf.DUMMYFUNCTION("""COMPUTED_VALUE"""),45689.0)</f>
        <v>45689</v>
      </c>
      <c r="F15" s="179">
        <f>IFERROR(__xludf.DUMMYFUNCTION("""COMPUTED_VALUE"""),0.0)</f>
        <v>0</v>
      </c>
      <c r="G15" s="180">
        <f>IFERROR(__xludf.DUMMYFUNCTION("""COMPUTED_VALUE"""),45717.0)</f>
        <v>45717</v>
      </c>
      <c r="H15" s="179">
        <f>IFERROR(__xludf.DUMMYFUNCTION("""COMPUTED_VALUE"""),0.0)</f>
        <v>0</v>
      </c>
      <c r="I15" s="180">
        <f>IFERROR(__xludf.DUMMYFUNCTION("""COMPUTED_VALUE"""),45690.0)</f>
        <v>45690</v>
      </c>
      <c r="J15" s="179">
        <f>IFERROR(__xludf.DUMMYFUNCTION("""COMPUTED_VALUE"""),0.0)</f>
        <v>0</v>
      </c>
      <c r="K15" s="180">
        <f>IFERROR(__xludf.DUMMYFUNCTION("""COMPUTED_VALUE"""),45874.0)</f>
        <v>45874</v>
      </c>
      <c r="L15" s="179">
        <f>IFERROR(__xludf.DUMMYFUNCTION("""COMPUTED_VALUE"""),0.1)</f>
        <v>0.1</v>
      </c>
      <c r="M15" s="180">
        <f>IFERROR(__xludf.DUMMYFUNCTION("""COMPUTED_VALUE"""),45814.0)</f>
        <v>45814</v>
      </c>
      <c r="N15" s="179">
        <f>IFERROR(__xludf.DUMMYFUNCTION("""COMPUTED_VALUE"""),0.0625)</f>
        <v>0.0625</v>
      </c>
      <c r="O15" s="180">
        <f>IFERROR(__xludf.DUMMYFUNCTION("""COMPUTED_VALUE"""),45783.0)</f>
        <v>45783</v>
      </c>
      <c r="P15" s="179">
        <f>IFERROR(__xludf.DUMMYFUNCTION("""COMPUTED_VALUE"""),0.25)</f>
        <v>0.25</v>
      </c>
      <c r="Q15" s="180">
        <f>IFERROR(__xludf.DUMMYFUNCTION("""COMPUTED_VALUE"""),45694.0)</f>
        <v>45694</v>
      </c>
      <c r="R15" s="179">
        <f>IFERROR(__xludf.DUMMYFUNCTION("""COMPUTED_VALUE"""),0.25)</f>
        <v>0.25</v>
      </c>
      <c r="S15" s="180">
        <f>IFERROR(__xludf.DUMMYFUNCTION("""COMPUTED_VALUE"""),45659.0)</f>
        <v>45659</v>
      </c>
      <c r="T15" s="179">
        <f>IFERROR(__xludf.DUMMYFUNCTION("""COMPUTED_VALUE"""),0.0)</f>
        <v>0</v>
      </c>
      <c r="U15" s="180">
        <f>IFERROR(__xludf.DUMMYFUNCTION("""COMPUTED_VALUE"""),45663.0)</f>
        <v>45663</v>
      </c>
      <c r="V15" s="181">
        <f>IFERROR(__xludf.DUMMYFUNCTION("""COMPUTED_VALUE"""),0.25)</f>
        <v>0.25</v>
      </c>
      <c r="W15" s="178">
        <f>IFERROR(__xludf.DUMMYFUNCTION("""COMPUTED_VALUE"""),45813.0)</f>
        <v>45813</v>
      </c>
      <c r="X15" s="179">
        <f>IFERROR(__xludf.DUMMYFUNCTION("""COMPUTED_VALUE"""),0.1)</f>
        <v>0.1</v>
      </c>
      <c r="Y15" s="180">
        <f>IFERROR(__xludf.DUMMYFUNCTION("""COMPUTED_VALUE"""),45782.0)</f>
        <v>45782</v>
      </c>
      <c r="Z15" s="179">
        <f>IFERROR(__xludf.DUMMYFUNCTION("""COMPUTED_VALUE"""),0.16666666666666666)</f>
        <v>0.1666666667</v>
      </c>
      <c r="AA15" s="180">
        <f>IFERROR(__xludf.DUMMYFUNCTION("""COMPUTED_VALUE"""),45689.0)</f>
        <v>45689</v>
      </c>
      <c r="AB15" s="179">
        <f>IFERROR(__xludf.DUMMYFUNCTION("""COMPUTED_VALUE"""),0.0)</f>
        <v>0</v>
      </c>
      <c r="AC15" s="180">
        <f>IFERROR(__xludf.DUMMYFUNCTION("""COMPUTED_VALUE"""),45879.0)</f>
        <v>45879</v>
      </c>
      <c r="AD15" s="179">
        <f>IFERROR(__xludf.DUMMYFUNCTION("""COMPUTED_VALUE"""),0.25)</f>
        <v>0.25</v>
      </c>
      <c r="AE15" s="180">
        <f>IFERROR(__xludf.DUMMYFUNCTION("""COMPUTED_VALUE"""),45847.0)</f>
        <v>45847</v>
      </c>
      <c r="AF15" s="179">
        <f>IFERROR(__xludf.DUMMYFUNCTION("""COMPUTED_VALUE"""),0.25)</f>
        <v>0.25</v>
      </c>
      <c r="AG15" s="180">
        <f>IFERROR(__xludf.DUMMYFUNCTION("""COMPUTED_VALUE"""),45811.0)</f>
        <v>45811</v>
      </c>
      <c r="AH15" s="179">
        <f>IFERROR(__xludf.DUMMYFUNCTION("""COMPUTED_VALUE"""),0.0625)</f>
        <v>0.0625</v>
      </c>
      <c r="AI15" s="180">
        <f>IFERROR(__xludf.DUMMYFUNCTION("""COMPUTED_VALUE"""),45878.0)</f>
        <v>45878</v>
      </c>
      <c r="AJ15" s="179">
        <f>IFERROR(__xludf.DUMMYFUNCTION("""COMPUTED_VALUE"""),0.25)</f>
        <v>0.25</v>
      </c>
      <c r="AK15" s="180">
        <f>IFERROR(__xludf.DUMMYFUNCTION("""COMPUTED_VALUE"""),45658.0)</f>
        <v>45658</v>
      </c>
      <c r="AL15" s="179">
        <f>IFERROR(__xludf.DUMMYFUNCTION("""COMPUTED_VALUE"""),0.0)</f>
        <v>0</v>
      </c>
      <c r="AM15" s="180">
        <f>IFERROR(__xludf.DUMMYFUNCTION("""COMPUTED_VALUE"""),45717.0)</f>
        <v>45717</v>
      </c>
      <c r="AN15" s="179">
        <f>IFERROR(__xludf.DUMMYFUNCTION("""COMPUTED_VALUE"""),0.0)</f>
        <v>0</v>
      </c>
      <c r="AO15" s="180">
        <f>IFERROR(__xludf.DUMMYFUNCTION("""COMPUTED_VALUE"""),45843.0)</f>
        <v>45843</v>
      </c>
      <c r="AP15" s="181">
        <f>IFERROR(__xludf.DUMMYFUNCTION("""COMPUTED_VALUE"""),0.25)</f>
        <v>0.25</v>
      </c>
      <c r="AQ15" s="178">
        <f>IFERROR(__xludf.DUMMYFUNCTION("""COMPUTED_VALUE"""),45659.0)</f>
        <v>45659</v>
      </c>
      <c r="AR15" s="179">
        <f>IFERROR(__xludf.DUMMYFUNCTION("""COMPUTED_VALUE"""),0.05555555555555555)</f>
        <v>0.05555555556</v>
      </c>
      <c r="AS15" s="180">
        <f>IFERROR(__xludf.DUMMYFUNCTION("""COMPUTED_VALUE"""),45689.0)</f>
        <v>45689</v>
      </c>
      <c r="AT15" s="179">
        <f>IFERROR(__xludf.DUMMYFUNCTION("""COMPUTED_VALUE"""),0.0)</f>
        <v>0</v>
      </c>
      <c r="AU15" s="180">
        <f>IFERROR(__xludf.DUMMYFUNCTION("""COMPUTED_VALUE"""),45658.0)</f>
        <v>45658</v>
      </c>
      <c r="AV15" s="179">
        <f>IFERROR(__xludf.DUMMYFUNCTION("""COMPUTED_VALUE"""),0.0)</f>
        <v>0</v>
      </c>
      <c r="AW15" s="180">
        <f>IFERROR(__xludf.DUMMYFUNCTION("""COMPUTED_VALUE"""),45658.0)</f>
        <v>45658</v>
      </c>
      <c r="AX15" s="179">
        <f>IFERROR(__xludf.DUMMYFUNCTION("""COMPUTED_VALUE"""),0.0)</f>
        <v>0</v>
      </c>
      <c r="AY15" s="180">
        <f>IFERROR(__xludf.DUMMYFUNCTION("""COMPUTED_VALUE"""),45659.0)</f>
        <v>45659</v>
      </c>
      <c r="AZ15" s="179">
        <f>IFERROR(__xludf.DUMMYFUNCTION("""COMPUTED_VALUE"""),0.1)</f>
        <v>0.1</v>
      </c>
      <c r="BA15" s="180">
        <f>IFERROR(__xludf.DUMMYFUNCTION("""COMPUTED_VALUE"""),45810.0)</f>
        <v>45810</v>
      </c>
      <c r="BB15" s="179">
        <f>IFERROR(__xludf.DUMMYFUNCTION("""COMPUTED_VALUE"""),0.0625)</f>
        <v>0.0625</v>
      </c>
      <c r="BC15" s="180">
        <f>IFERROR(__xludf.DUMMYFUNCTION("""COMPUTED_VALUE"""),45910.0)</f>
        <v>45910</v>
      </c>
      <c r="BD15" s="179">
        <f>IFERROR(__xludf.DUMMYFUNCTION("""COMPUTED_VALUE"""),0.25)</f>
        <v>0.25</v>
      </c>
      <c r="BE15" s="180">
        <f>IFERROR(__xludf.DUMMYFUNCTION("""COMPUTED_VALUE"""),45748.0)</f>
        <v>45748</v>
      </c>
      <c r="BF15" s="179">
        <f>IFERROR(__xludf.DUMMYFUNCTION("""COMPUTED_VALUE"""),0.0)</f>
        <v>0</v>
      </c>
      <c r="BG15" s="180">
        <f>IFERROR(__xludf.DUMMYFUNCTION("""COMPUTED_VALUE"""),45658.0)</f>
        <v>45658</v>
      </c>
      <c r="BH15" s="179">
        <f>IFERROR(__xludf.DUMMYFUNCTION("""COMPUTED_VALUE"""),0.0)</f>
        <v>0</v>
      </c>
      <c r="BI15" s="180">
        <f>IFERROR(__xludf.DUMMYFUNCTION("""COMPUTED_VALUE"""),45779.0)</f>
        <v>45779</v>
      </c>
      <c r="BJ15" s="179">
        <f>IFERROR(__xludf.DUMMYFUNCTION("""COMPUTED_VALUE"""),0.25)</f>
        <v>0.25</v>
      </c>
      <c r="BK15" s="182">
        <f>IFERROR(__xludf.DUMMYFUNCTION("""COMPUTED_VALUE"""),45658.0)</f>
        <v>45658</v>
      </c>
      <c r="BL15" s="179">
        <f>IFERROR(__xludf.DUMMYFUNCTION("""COMPUTED_VALUE"""),0.0)</f>
        <v>0</v>
      </c>
      <c r="BM15" s="180">
        <f>IFERROR(__xludf.DUMMYFUNCTION("""COMPUTED_VALUE"""),45750.0)</f>
        <v>45750</v>
      </c>
      <c r="BN15" s="179">
        <f>IFERROR(__xludf.DUMMYFUNCTION("""COMPUTED_VALUE"""),0.25)</f>
        <v>0.25</v>
      </c>
      <c r="BO15" s="180">
        <f>IFERROR(__xludf.DUMMYFUNCTION("""COMPUTED_VALUE"""),45903.0)</f>
        <v>45903</v>
      </c>
      <c r="BP15" s="179">
        <f>IFERROR(__xludf.DUMMYFUNCTION("""COMPUTED_VALUE"""),0.25)</f>
        <v>0.25</v>
      </c>
      <c r="BQ15" s="180">
        <f>IFERROR(__xludf.DUMMYFUNCTION("""COMPUTED_VALUE"""),45689.0)</f>
        <v>45689</v>
      </c>
      <c r="BR15" s="179">
        <f>IFERROR(__xludf.DUMMYFUNCTION("""COMPUTED_VALUE"""),0.0)</f>
        <v>0</v>
      </c>
      <c r="BS15" s="180">
        <f>IFERROR(__xludf.DUMMYFUNCTION("""COMPUTED_VALUE"""),45748.0)</f>
        <v>45748</v>
      </c>
      <c r="BT15" s="179">
        <f>IFERROR(__xludf.DUMMYFUNCTION("""COMPUTED_VALUE"""),0.0)</f>
        <v>0</v>
      </c>
      <c r="BU15" s="180">
        <f>IFERROR(__xludf.DUMMYFUNCTION("""COMPUTED_VALUE"""),45717.0)</f>
        <v>45717</v>
      </c>
      <c r="BV15" s="179">
        <f>IFERROR(__xludf.DUMMYFUNCTION("""COMPUTED_VALUE"""),0.0)</f>
        <v>0</v>
      </c>
      <c r="BW15" s="180">
        <f>IFERROR(__xludf.DUMMYFUNCTION("""COMPUTED_VALUE"""),45906.0)</f>
        <v>45906</v>
      </c>
      <c r="BX15" s="179">
        <f>IFERROR(__xludf.DUMMYFUNCTION("""COMPUTED_VALUE"""),0.25)</f>
        <v>0.25</v>
      </c>
      <c r="BY15" s="180">
        <f>IFERROR(__xludf.DUMMYFUNCTION("""COMPUTED_VALUE"""),45689.0)</f>
        <v>45689</v>
      </c>
      <c r="BZ15" s="179">
        <f>IFERROR(__xludf.DUMMYFUNCTION("""COMPUTED_VALUE"""),0.0)</f>
        <v>0</v>
      </c>
      <c r="CA15" s="180">
        <f>IFERROR(__xludf.DUMMYFUNCTION("""COMPUTED_VALUE"""),45903.0)</f>
        <v>45903</v>
      </c>
      <c r="CB15" s="179">
        <f>IFERROR(__xludf.DUMMYFUNCTION("""COMPUTED_VALUE"""),0.0625)</f>
        <v>0.0625</v>
      </c>
      <c r="CC15" s="180">
        <f>IFERROR(__xludf.DUMMYFUNCTION("""COMPUTED_VALUE"""),45721.0)</f>
        <v>45721</v>
      </c>
      <c r="CD15" s="179">
        <f>IFERROR(__xludf.DUMMYFUNCTION("""COMPUTED_VALUE"""),0.16666666666666666)</f>
        <v>0.1666666667</v>
      </c>
      <c r="CE15" s="182">
        <f>IFERROR(__xludf.DUMMYFUNCTION("""COMPUTED_VALUE"""),45748.0)</f>
        <v>45748</v>
      </c>
      <c r="CF15" s="179">
        <f>IFERROR(__xludf.DUMMYFUNCTION("""COMPUTED_VALUE"""),0.0)</f>
        <v>0</v>
      </c>
      <c r="CG15" s="180">
        <f>IFERROR(__xludf.DUMMYFUNCTION("""COMPUTED_VALUE"""),45847.0)</f>
        <v>45847</v>
      </c>
      <c r="CH15" s="179">
        <f>IFERROR(__xludf.DUMMYFUNCTION("""COMPUTED_VALUE"""),0.16666666666666666)</f>
        <v>0.1666666667</v>
      </c>
      <c r="CI15" s="180">
        <f>IFERROR(__xludf.DUMMYFUNCTION("""COMPUTED_VALUE"""),45847.0)</f>
        <v>45847</v>
      </c>
      <c r="CJ15" s="179">
        <f>IFERROR(__xludf.DUMMYFUNCTION("""COMPUTED_VALUE"""),0.125)</f>
        <v>0.125</v>
      </c>
      <c r="CK15" s="180">
        <f>IFERROR(__xludf.DUMMYFUNCTION("""COMPUTED_VALUE"""),45757.0)</f>
        <v>45757</v>
      </c>
      <c r="CL15" s="179">
        <f>IFERROR(__xludf.DUMMYFUNCTION("""COMPUTED_VALUE"""),0.0625)</f>
        <v>0.0625</v>
      </c>
      <c r="CM15" s="180">
        <f>IFERROR(__xludf.DUMMYFUNCTION("""COMPUTED_VALUE"""),45666.0)</f>
        <v>45666</v>
      </c>
      <c r="CN15" s="179">
        <f>IFERROR(__xludf.DUMMYFUNCTION("""COMPUTED_VALUE"""),0.1)</f>
        <v>0.1</v>
      </c>
      <c r="CO15" s="180">
        <f>IFERROR(__xludf.DUMMYFUNCTION("""COMPUTED_VALUE"""),45659.0)</f>
        <v>45659</v>
      </c>
      <c r="CP15" s="179">
        <f>IFERROR(__xludf.DUMMYFUNCTION("""COMPUTED_VALUE"""),0.1)</f>
        <v>0.1</v>
      </c>
      <c r="CQ15" s="180">
        <f>IFERROR(__xludf.DUMMYFUNCTION("""COMPUTED_VALUE"""),45779.0)</f>
        <v>45779</v>
      </c>
      <c r="CR15" s="179">
        <f>IFERROR(__xludf.DUMMYFUNCTION("""COMPUTED_VALUE"""),0.25)</f>
        <v>0.25</v>
      </c>
      <c r="CS15" s="180">
        <f>IFERROR(__xludf.DUMMYFUNCTION("""COMPUTED_VALUE"""),45717.0)</f>
        <v>45717</v>
      </c>
      <c r="CT15" s="179">
        <f>IFERROR(__xludf.DUMMYFUNCTION("""COMPUTED_VALUE"""),0.16666666666666666)</f>
        <v>0.1666666667</v>
      </c>
      <c r="CU15" s="180">
        <f>IFERROR(__xludf.DUMMYFUNCTION("""COMPUTED_VALUE"""),45748.0)</f>
        <v>45748</v>
      </c>
      <c r="CV15" s="179">
        <f>IFERROR(__xludf.DUMMYFUNCTION("""COMPUTED_VALUE"""),0.0)</f>
        <v>0</v>
      </c>
      <c r="CW15" s="180">
        <f>IFERROR(__xludf.DUMMYFUNCTION("""COMPUTED_VALUE"""),45697.0)</f>
        <v>45697</v>
      </c>
      <c r="CX15" s="179">
        <f>IFERROR(__xludf.DUMMYFUNCTION("""COMPUTED_VALUE"""),0.25)</f>
        <v>0.25</v>
      </c>
      <c r="CY15" s="182">
        <f>IFERROR(__xludf.DUMMYFUNCTION("""COMPUTED_VALUE"""),45809.0)</f>
        <v>45809</v>
      </c>
      <c r="CZ15" s="179">
        <f>IFERROR(__xludf.DUMMYFUNCTION("""COMPUTED_VALUE"""),0.1)</f>
        <v>0.1</v>
      </c>
      <c r="DA15" s="180">
        <f>IFERROR(__xludf.DUMMYFUNCTION("""COMPUTED_VALUE"""),45658.0)</f>
        <v>45658</v>
      </c>
      <c r="DB15" s="179">
        <f>IFERROR(__xludf.DUMMYFUNCTION("""COMPUTED_VALUE"""),0.0)</f>
        <v>0</v>
      </c>
      <c r="DC15" s="180">
        <f>IFERROR(__xludf.DUMMYFUNCTION("""COMPUTED_VALUE"""),45845.0)</f>
        <v>45845</v>
      </c>
      <c r="DD15" s="179">
        <f>IFERROR(__xludf.DUMMYFUNCTION("""COMPUTED_VALUE"""),0.125)</f>
        <v>0.125</v>
      </c>
      <c r="DE15" s="180">
        <f>IFERROR(__xludf.DUMMYFUNCTION("""COMPUTED_VALUE"""),45752.0)</f>
        <v>45752</v>
      </c>
      <c r="DF15" s="179">
        <f>IFERROR(__xludf.DUMMYFUNCTION("""COMPUTED_VALUE"""),0.0625)</f>
        <v>0.0625</v>
      </c>
      <c r="DG15" s="180">
        <f>IFERROR(__xludf.DUMMYFUNCTION("""COMPUTED_VALUE"""),45658.0)</f>
        <v>45658</v>
      </c>
      <c r="DH15" s="179">
        <f>IFERROR(__xludf.DUMMYFUNCTION("""COMPUTED_VALUE"""),0.1)</f>
        <v>0.1</v>
      </c>
      <c r="DI15" s="180">
        <f>IFERROR(__xludf.DUMMYFUNCTION("""COMPUTED_VALUE"""),45809.0)</f>
        <v>45809</v>
      </c>
      <c r="DJ15" s="179">
        <f>IFERROR(__xludf.DUMMYFUNCTION("""COMPUTED_VALUE"""),0.0625)</f>
        <v>0.0625</v>
      </c>
      <c r="DK15" s="180">
        <f>IFERROR(__xludf.DUMMYFUNCTION("""COMPUTED_VALUE"""),45842.0)</f>
        <v>45842</v>
      </c>
      <c r="DL15" s="179">
        <f>IFERROR(__xludf.DUMMYFUNCTION("""COMPUTED_VALUE"""),0.0625)</f>
        <v>0.0625</v>
      </c>
      <c r="DM15" s="180">
        <f>IFERROR(__xludf.DUMMYFUNCTION("""COMPUTED_VALUE"""),45870.0)</f>
        <v>45870</v>
      </c>
      <c r="DN15" s="179">
        <f>IFERROR(__xludf.DUMMYFUNCTION("""COMPUTED_VALUE"""),0.1875)</f>
        <v>0.1875</v>
      </c>
      <c r="DO15" s="180">
        <f>IFERROR(__xludf.DUMMYFUNCTION("""COMPUTED_VALUE"""),45689.0)</f>
        <v>45689</v>
      </c>
      <c r="DP15" s="179">
        <f>IFERROR(__xludf.DUMMYFUNCTION("""COMPUTED_VALUE"""),0.0)</f>
        <v>0</v>
      </c>
      <c r="DQ15" s="180">
        <f>IFERROR(__xludf.DUMMYFUNCTION("""COMPUTED_VALUE"""),45842.0)</f>
        <v>45842</v>
      </c>
      <c r="DR15" s="179">
        <f>IFERROR(__xludf.DUMMYFUNCTION("""COMPUTED_VALUE"""),0.25)</f>
        <v>0.25</v>
      </c>
      <c r="DS15" s="182">
        <f>IFERROR(__xludf.DUMMYFUNCTION("""COMPUTED_VALUE"""),45717.0)</f>
        <v>45717</v>
      </c>
      <c r="DT15" s="179">
        <f>IFERROR(__xludf.DUMMYFUNCTION("""COMPUTED_VALUE"""),0.0)</f>
        <v>0</v>
      </c>
      <c r="DU15" s="180">
        <f>IFERROR(__xludf.DUMMYFUNCTION("""COMPUTED_VALUE"""),45689.0)</f>
        <v>45689</v>
      </c>
      <c r="DV15" s="179">
        <f>IFERROR(__xludf.DUMMYFUNCTION("""COMPUTED_VALUE"""),0.0)</f>
        <v>0</v>
      </c>
      <c r="DW15" s="180">
        <f>IFERROR(__xludf.DUMMYFUNCTION("""COMPUTED_VALUE"""),45689.0)</f>
        <v>45689</v>
      </c>
      <c r="DX15" s="179">
        <f>IFERROR(__xludf.DUMMYFUNCTION("""COMPUTED_VALUE"""),0.0)</f>
        <v>0</v>
      </c>
      <c r="DY15" s="180">
        <f>IFERROR(__xludf.DUMMYFUNCTION("""COMPUTED_VALUE"""),45717.0)</f>
        <v>45717</v>
      </c>
      <c r="DZ15" s="179">
        <f>IFERROR(__xludf.DUMMYFUNCTION("""COMPUTED_VALUE"""),0.0)</f>
        <v>0</v>
      </c>
      <c r="EA15" s="180">
        <f>IFERROR(__xludf.DUMMYFUNCTION("""COMPUTED_VALUE"""),45748.0)</f>
        <v>45748</v>
      </c>
      <c r="EB15" s="179">
        <f>IFERROR(__xludf.DUMMYFUNCTION("""COMPUTED_VALUE"""),0.0)</f>
        <v>0</v>
      </c>
      <c r="EC15" s="180">
        <f>IFERROR(__xludf.DUMMYFUNCTION("""COMPUTED_VALUE"""),45717.0)</f>
        <v>45717</v>
      </c>
      <c r="ED15" s="179">
        <f>IFERROR(__xludf.DUMMYFUNCTION("""COMPUTED_VALUE"""),0.0)</f>
        <v>0</v>
      </c>
      <c r="EE15" s="180">
        <f>IFERROR(__xludf.DUMMYFUNCTION("""COMPUTED_VALUE"""),45722.0)</f>
        <v>45722</v>
      </c>
      <c r="EF15" s="179">
        <f>IFERROR(__xludf.DUMMYFUNCTION("""COMPUTED_VALUE"""),0.125)</f>
        <v>0.125</v>
      </c>
      <c r="EG15" s="180">
        <f>IFERROR(__xludf.DUMMYFUNCTION("""COMPUTED_VALUE"""),45717.0)</f>
        <v>45717</v>
      </c>
      <c r="EH15" s="179">
        <f>IFERROR(__xludf.DUMMYFUNCTION("""COMPUTED_VALUE"""),0.0)</f>
        <v>0</v>
      </c>
      <c r="EI15" s="180">
        <f>IFERROR(__xludf.DUMMYFUNCTION("""COMPUTED_VALUE"""),45717.0)</f>
        <v>45717</v>
      </c>
      <c r="EJ15" s="179">
        <f>IFERROR(__xludf.DUMMYFUNCTION("""COMPUTED_VALUE"""),0.0)</f>
        <v>0</v>
      </c>
      <c r="EK15" s="180">
        <f>IFERROR(__xludf.DUMMYFUNCTION("""COMPUTED_VALUE"""),45658.0)</f>
        <v>45658</v>
      </c>
      <c r="EL15" s="179">
        <f>IFERROR(__xludf.DUMMYFUNCTION("""COMPUTED_VALUE"""),0.0)</f>
        <v>0</v>
      </c>
      <c r="EM15" s="182">
        <f>IFERROR(__xludf.DUMMYFUNCTION("""COMPUTED_VALUE"""),45664.0)</f>
        <v>45664</v>
      </c>
      <c r="EN15" s="179">
        <f>IFERROR(__xludf.DUMMYFUNCTION("""COMPUTED_VALUE"""),0.05555555555555555)</f>
        <v>0.05555555556</v>
      </c>
      <c r="EO15" s="180">
        <f>IFERROR(__xludf.DUMMYFUNCTION("""COMPUTED_VALUE"""),45689.0)</f>
        <v>45689</v>
      </c>
      <c r="EP15" s="179">
        <f>IFERROR(__xludf.DUMMYFUNCTION("""COMPUTED_VALUE"""),0.07142857142857142)</f>
        <v>0.07142857143</v>
      </c>
      <c r="EQ15" s="180">
        <f>IFERROR(__xludf.DUMMYFUNCTION("""COMPUTED_VALUE"""),45840.0)</f>
        <v>45840</v>
      </c>
      <c r="ER15" s="179">
        <f>IFERROR(__xludf.DUMMYFUNCTION("""COMPUTED_VALUE"""),0.125)</f>
        <v>0.125</v>
      </c>
      <c r="ES15" s="180">
        <f>IFERROR(__xludf.DUMMYFUNCTION("""COMPUTED_VALUE"""),45748.0)</f>
        <v>45748</v>
      </c>
      <c r="ET15" s="179">
        <f>IFERROR(__xludf.DUMMYFUNCTION("""COMPUTED_VALUE"""),0.0)</f>
        <v>0</v>
      </c>
      <c r="EU15" s="180">
        <f>IFERROR(__xludf.DUMMYFUNCTION("""COMPUTED_VALUE"""),45717.0)</f>
        <v>45717</v>
      </c>
      <c r="EV15" s="179">
        <f>IFERROR(__xludf.DUMMYFUNCTION("""COMPUTED_VALUE"""),0.0)</f>
        <v>0</v>
      </c>
      <c r="EW15" s="180">
        <f>IFERROR(__xludf.DUMMYFUNCTION("""COMPUTED_VALUE"""),45748.0)</f>
        <v>45748</v>
      </c>
      <c r="EX15" s="179">
        <f>IFERROR(__xludf.DUMMYFUNCTION("""COMPUTED_VALUE"""),0.0)</f>
        <v>0</v>
      </c>
      <c r="EY15" s="180">
        <f>IFERROR(__xludf.DUMMYFUNCTION("""COMPUTED_VALUE"""),45717.0)</f>
        <v>45717</v>
      </c>
      <c r="EZ15" s="179">
        <f>IFERROR(__xludf.DUMMYFUNCTION("""COMPUTED_VALUE"""),0.0)</f>
        <v>0</v>
      </c>
      <c r="FA15" s="180">
        <f>IFERROR(__xludf.DUMMYFUNCTION("""COMPUTED_VALUE"""),45717.0)</f>
        <v>45717</v>
      </c>
      <c r="FB15" s="179">
        <f>IFERROR(__xludf.DUMMYFUNCTION("""COMPUTED_VALUE"""),0.0)</f>
        <v>0</v>
      </c>
      <c r="FC15" s="180">
        <f>IFERROR(__xludf.DUMMYFUNCTION("""COMPUTED_VALUE"""),45717.0)</f>
        <v>45717</v>
      </c>
      <c r="FD15" s="179">
        <f>IFERROR(__xludf.DUMMYFUNCTION("""COMPUTED_VALUE"""),0.0)</f>
        <v>0</v>
      </c>
      <c r="FE15" s="180">
        <f>IFERROR(__xludf.DUMMYFUNCTION("""COMPUTED_VALUE"""),45845.0)</f>
        <v>45845</v>
      </c>
      <c r="FF15" s="179">
        <f>IFERROR(__xludf.DUMMYFUNCTION("""COMPUTED_VALUE"""),0.25)</f>
        <v>0.25</v>
      </c>
      <c r="FG15" s="182">
        <f>IFERROR(__xludf.DUMMYFUNCTION("""COMPUTED_VALUE"""),45662.0)</f>
        <v>45662</v>
      </c>
      <c r="FH15" s="179">
        <f>IFERROR(__xludf.DUMMYFUNCTION("""COMPUTED_VALUE"""),0.05555555555555555)</f>
        <v>0.05555555556</v>
      </c>
      <c r="FI15" s="180">
        <f>IFERROR(__xludf.DUMMYFUNCTION("""COMPUTED_VALUE"""),45779.0)</f>
        <v>45779</v>
      </c>
      <c r="FJ15" s="179">
        <f>IFERROR(__xludf.DUMMYFUNCTION("""COMPUTED_VALUE"""),0.16666666666666666)</f>
        <v>0.1666666667</v>
      </c>
      <c r="FK15" s="180">
        <f>IFERROR(__xludf.DUMMYFUNCTION("""COMPUTED_VALUE"""),45877.0)</f>
        <v>45877</v>
      </c>
      <c r="FL15" s="179">
        <f>IFERROR(__xludf.DUMMYFUNCTION("""COMPUTED_VALUE"""),0.16666666666666666)</f>
        <v>0.1666666667</v>
      </c>
      <c r="FM15" s="180">
        <f>IFERROR(__xludf.DUMMYFUNCTION("""COMPUTED_VALUE"""),45932.0)</f>
        <v>45932</v>
      </c>
      <c r="FN15" s="179">
        <f>IFERROR(__xludf.DUMMYFUNCTION("""COMPUTED_VALUE"""),0.25)</f>
        <v>0.25</v>
      </c>
      <c r="FO15" s="180">
        <f>IFERROR(__xludf.DUMMYFUNCTION("""COMPUTED_VALUE"""),45779.0)</f>
        <v>45779</v>
      </c>
      <c r="FP15" s="179">
        <f>IFERROR(__xludf.DUMMYFUNCTION("""COMPUTED_VALUE"""),0.05555555555555555)</f>
        <v>0.05555555556</v>
      </c>
      <c r="FQ15" s="180">
        <f>IFERROR(__xludf.DUMMYFUNCTION("""COMPUTED_VALUE"""),45748.0)</f>
        <v>45748</v>
      </c>
      <c r="FR15" s="179">
        <f>IFERROR(__xludf.DUMMYFUNCTION("""COMPUTED_VALUE"""),0.0)</f>
        <v>0</v>
      </c>
      <c r="FS15" s="180">
        <f>IFERROR(__xludf.DUMMYFUNCTION("""COMPUTED_VALUE"""),45935.0)</f>
        <v>45935</v>
      </c>
      <c r="FT15" s="179">
        <f>IFERROR(__xludf.DUMMYFUNCTION("""COMPUTED_VALUE"""),0.25)</f>
        <v>0.25</v>
      </c>
      <c r="FU15" s="180">
        <f>IFERROR(__xludf.DUMMYFUNCTION("""COMPUTED_VALUE"""),45658.0)</f>
        <v>45658</v>
      </c>
      <c r="FV15" s="179">
        <f>IFERROR(__xludf.DUMMYFUNCTION("""COMPUTED_VALUE"""),0.0)</f>
        <v>0</v>
      </c>
      <c r="FW15" s="180">
        <f>IFERROR(__xludf.DUMMYFUNCTION("""COMPUTED_VALUE"""),45748.0)</f>
        <v>45748</v>
      </c>
      <c r="FX15" s="179">
        <f>IFERROR(__xludf.DUMMYFUNCTION("""COMPUTED_VALUE"""),0.0)</f>
        <v>0</v>
      </c>
      <c r="FY15" s="180">
        <f>IFERROR(__xludf.DUMMYFUNCTION("""COMPUTED_VALUE"""),45813.0)</f>
        <v>45813</v>
      </c>
      <c r="FZ15" s="179">
        <f>IFERROR(__xludf.DUMMYFUNCTION("""COMPUTED_VALUE"""),0.25)</f>
        <v>0.25</v>
      </c>
      <c r="GA15" s="182">
        <f>IFERROR(__xludf.DUMMYFUNCTION("""COMPUTED_VALUE"""),45748.0)</f>
        <v>45748</v>
      </c>
      <c r="GB15" s="179">
        <f>IFERROR(__xludf.DUMMYFUNCTION("""COMPUTED_VALUE"""),0.0)</f>
        <v>0</v>
      </c>
      <c r="GC15" s="180">
        <f>IFERROR(__xludf.DUMMYFUNCTION("""COMPUTED_VALUE"""),45658.0)</f>
        <v>45658</v>
      </c>
      <c r="GD15" s="179">
        <f>IFERROR(__xludf.DUMMYFUNCTION("""COMPUTED_VALUE"""),0.0)</f>
        <v>0</v>
      </c>
      <c r="GE15" s="180">
        <f>IFERROR(__xludf.DUMMYFUNCTION("""COMPUTED_VALUE"""),45658.0)</f>
        <v>45658</v>
      </c>
      <c r="GF15" s="179">
        <f>IFERROR(__xludf.DUMMYFUNCTION("""COMPUTED_VALUE"""),0.0)</f>
        <v>0</v>
      </c>
      <c r="GG15" s="180">
        <f>IFERROR(__xludf.DUMMYFUNCTION("""COMPUTED_VALUE"""),45658.0)</f>
        <v>45658</v>
      </c>
      <c r="GH15" s="179">
        <f>IFERROR(__xludf.DUMMYFUNCTION("""COMPUTED_VALUE"""),0.0)</f>
        <v>0</v>
      </c>
      <c r="GI15" s="180">
        <f>IFERROR(__xludf.DUMMYFUNCTION("""COMPUTED_VALUE"""),45748.0)</f>
        <v>45748</v>
      </c>
      <c r="GJ15" s="179">
        <f>IFERROR(__xludf.DUMMYFUNCTION("""COMPUTED_VALUE"""),0.0)</f>
        <v>0</v>
      </c>
      <c r="GK15" s="180">
        <f>IFERROR(__xludf.DUMMYFUNCTION("""COMPUTED_VALUE"""),45748.0)</f>
        <v>45748</v>
      </c>
      <c r="GL15" s="179">
        <f>IFERROR(__xludf.DUMMYFUNCTION("""COMPUTED_VALUE"""),0.0)</f>
        <v>0</v>
      </c>
      <c r="GM15" s="180">
        <f>IFERROR(__xludf.DUMMYFUNCTION("""COMPUTED_VALUE"""),45721.0)</f>
        <v>45721</v>
      </c>
      <c r="GN15" s="179">
        <f>IFERROR(__xludf.DUMMYFUNCTION("""COMPUTED_VALUE"""),0.125)</f>
        <v>0.125</v>
      </c>
      <c r="GO15" s="180">
        <f>IFERROR(__xludf.DUMMYFUNCTION("""COMPUTED_VALUE"""),45717.0)</f>
        <v>45717</v>
      </c>
      <c r="GP15" s="179">
        <f>IFERROR(__xludf.DUMMYFUNCTION("""COMPUTED_VALUE"""),0.0)</f>
        <v>0</v>
      </c>
      <c r="GQ15" s="180">
        <f>IFERROR(__xludf.DUMMYFUNCTION("""COMPUTED_VALUE"""),45750.0)</f>
        <v>45750</v>
      </c>
      <c r="GR15" s="179">
        <f>IFERROR(__xludf.DUMMYFUNCTION("""COMPUTED_VALUE"""),0.16666666666666666)</f>
        <v>0.1666666667</v>
      </c>
      <c r="GS15" s="180">
        <f>IFERROR(__xludf.DUMMYFUNCTION("""COMPUTED_VALUE"""),45873.0)</f>
        <v>45873</v>
      </c>
      <c r="GT15" s="179">
        <f>IFERROR(__xludf.DUMMYFUNCTION("""COMPUTED_VALUE"""),0.16666666666666666)</f>
        <v>0.1666666667</v>
      </c>
    </row>
    <row r="16" ht="31.5" customHeight="1">
      <c r="B16" s="183"/>
      <c r="C16" s="178">
        <f>IFERROR(__xludf.DUMMYFUNCTION("""COMPUTED_VALUE"""),45658.0)</f>
        <v>45658</v>
      </c>
      <c r="D16" s="179">
        <f>IFERROR(__xludf.DUMMYFUNCTION("""COMPUTED_VALUE"""),0.0)</f>
        <v>0</v>
      </c>
      <c r="E16" s="180">
        <f>IFERROR(__xludf.DUMMYFUNCTION("""COMPUTED_VALUE"""),45659.0)</f>
        <v>45659</v>
      </c>
      <c r="F16" s="179">
        <f>IFERROR(__xludf.DUMMYFUNCTION("""COMPUTED_VALUE"""),0.0)</f>
        <v>0</v>
      </c>
      <c r="G16" s="180">
        <f>IFERROR(__xludf.DUMMYFUNCTION("""COMPUTED_VALUE"""),45659.0)</f>
        <v>45659</v>
      </c>
      <c r="H16" s="179">
        <f>IFERROR(__xludf.DUMMYFUNCTION("""COMPUTED_VALUE"""),0.0)</f>
        <v>0</v>
      </c>
      <c r="I16" s="180">
        <f>IFERROR(__xludf.DUMMYFUNCTION("""COMPUTED_VALUE"""),45718.0)</f>
        <v>45718</v>
      </c>
      <c r="J16" s="179">
        <f>IFERROR(__xludf.DUMMYFUNCTION("""COMPUTED_VALUE"""),0.0)</f>
        <v>0</v>
      </c>
      <c r="K16" s="180">
        <f>IFERROR(__xludf.DUMMYFUNCTION("""COMPUTED_VALUE"""),45663.0)</f>
        <v>45663</v>
      </c>
      <c r="L16" s="179">
        <f>IFERROR(__xludf.DUMMYFUNCTION("""COMPUTED_VALUE"""),0.1)</f>
        <v>0.1</v>
      </c>
      <c r="M16" s="180">
        <f>IFERROR(__xludf.DUMMYFUNCTION("""COMPUTED_VALUE"""),45809.0)</f>
        <v>45809</v>
      </c>
      <c r="N16" s="179">
        <f>IFERROR(__xludf.DUMMYFUNCTION("""COMPUTED_VALUE"""),0.0)</f>
        <v>0</v>
      </c>
      <c r="O16" s="180">
        <f>IFERROR(__xludf.DUMMYFUNCTION("""COMPUTED_VALUE"""),45938.0)</f>
        <v>45938</v>
      </c>
      <c r="P16" s="179">
        <f>IFERROR(__xludf.DUMMYFUNCTION("""COMPUTED_VALUE"""),0.25)</f>
        <v>0.25</v>
      </c>
      <c r="Q16" s="180">
        <f>IFERROR(__xludf.DUMMYFUNCTION("""COMPUTED_VALUE"""),45875.0)</f>
        <v>45875</v>
      </c>
      <c r="R16" s="179">
        <f>IFERROR(__xludf.DUMMYFUNCTION("""COMPUTED_VALUE"""),0.1875)</f>
        <v>0.1875</v>
      </c>
      <c r="S16" s="180">
        <f>IFERROR(__xludf.DUMMYFUNCTION("""COMPUTED_VALUE"""),45690.0)</f>
        <v>45690</v>
      </c>
      <c r="T16" s="179">
        <f>IFERROR(__xludf.DUMMYFUNCTION("""COMPUTED_VALUE"""),0.0)</f>
        <v>0</v>
      </c>
      <c r="U16" s="180">
        <f>IFERROR(__xludf.DUMMYFUNCTION("""COMPUTED_VALUE"""),45783.0)</f>
        <v>45783</v>
      </c>
      <c r="V16" s="181">
        <f>IFERROR(__xludf.DUMMYFUNCTION("""COMPUTED_VALUE"""),0.25)</f>
        <v>0.25</v>
      </c>
      <c r="W16" s="178">
        <f>IFERROR(__xludf.DUMMYFUNCTION("""COMPUTED_VALUE"""),45660.0)</f>
        <v>45660</v>
      </c>
      <c r="X16" s="179">
        <f>IFERROR(__xludf.DUMMYFUNCTION("""COMPUTED_VALUE"""),0.05555555555555555)</f>
        <v>0.05555555556</v>
      </c>
      <c r="Y16" s="180">
        <f>IFERROR(__xludf.DUMMYFUNCTION("""COMPUTED_VALUE"""),45786.0)</f>
        <v>45786</v>
      </c>
      <c r="Z16" s="179">
        <f>IFERROR(__xludf.DUMMYFUNCTION("""COMPUTED_VALUE"""),0.16666666666666666)</f>
        <v>0.1666666667</v>
      </c>
      <c r="AA16" s="180">
        <f>IFERROR(__xludf.DUMMYFUNCTION("""COMPUTED_VALUE"""),45717.0)</f>
        <v>45717</v>
      </c>
      <c r="AB16" s="179">
        <f>IFERROR(__xludf.DUMMYFUNCTION("""COMPUTED_VALUE"""),0.0)</f>
        <v>0</v>
      </c>
      <c r="AC16" s="180">
        <f>IFERROR(__xludf.DUMMYFUNCTION("""COMPUTED_VALUE"""),45940.0)</f>
        <v>45940</v>
      </c>
      <c r="AD16" s="179">
        <f>IFERROR(__xludf.DUMMYFUNCTION("""COMPUTED_VALUE"""),0.25)</f>
        <v>0.25</v>
      </c>
      <c r="AE16" s="180">
        <f>IFERROR(__xludf.DUMMYFUNCTION("""COMPUTED_VALUE"""),45811.0)</f>
        <v>45811</v>
      </c>
      <c r="AF16" s="179">
        <f>IFERROR(__xludf.DUMMYFUNCTION("""COMPUTED_VALUE"""),0.16666666666666666)</f>
        <v>0.1666666667</v>
      </c>
      <c r="AG16" s="180">
        <f>IFERROR(__xludf.DUMMYFUNCTION("""COMPUTED_VALUE"""),45813.0)</f>
        <v>45813</v>
      </c>
      <c r="AH16" s="179">
        <f>IFERROR(__xludf.DUMMYFUNCTION("""COMPUTED_VALUE"""),0.0625)</f>
        <v>0.0625</v>
      </c>
      <c r="AI16" s="180">
        <f>IFERROR(__xludf.DUMMYFUNCTION("""COMPUTED_VALUE"""),45756.0)</f>
        <v>45756</v>
      </c>
      <c r="AJ16" s="179">
        <f>IFERROR(__xludf.DUMMYFUNCTION("""COMPUTED_VALUE"""),0.2)</f>
        <v>0.2</v>
      </c>
      <c r="AK16" s="180">
        <f>IFERROR(__xludf.DUMMYFUNCTION("""COMPUTED_VALUE"""),45689.0)</f>
        <v>45689</v>
      </c>
      <c r="AL16" s="179">
        <f>IFERROR(__xludf.DUMMYFUNCTION("""COMPUTED_VALUE"""),0.0)</f>
        <v>0</v>
      </c>
      <c r="AM16" s="180">
        <f>IFERROR(__xludf.DUMMYFUNCTION("""COMPUTED_VALUE"""),45748.0)</f>
        <v>45748</v>
      </c>
      <c r="AN16" s="179">
        <f>IFERROR(__xludf.DUMMYFUNCTION("""COMPUTED_VALUE"""),0.0)</f>
        <v>0</v>
      </c>
      <c r="AO16" s="180">
        <f>IFERROR(__xludf.DUMMYFUNCTION("""COMPUTED_VALUE"""),45697.0)</f>
        <v>45697</v>
      </c>
      <c r="AP16" s="181">
        <f>IFERROR(__xludf.DUMMYFUNCTION("""COMPUTED_VALUE"""),0.25)</f>
        <v>0.25</v>
      </c>
      <c r="AQ16" s="178">
        <f>IFERROR(__xludf.DUMMYFUNCTION("""COMPUTED_VALUE"""),45658.0)</f>
        <v>45658</v>
      </c>
      <c r="AR16" s="179">
        <f>IFERROR(__xludf.DUMMYFUNCTION("""COMPUTED_VALUE"""),0.0)</f>
        <v>0</v>
      </c>
      <c r="AS16" s="180">
        <f>IFERROR(__xludf.DUMMYFUNCTION("""COMPUTED_VALUE"""),45717.0)</f>
        <v>45717</v>
      </c>
      <c r="AT16" s="179">
        <f>IFERROR(__xludf.DUMMYFUNCTION("""COMPUTED_VALUE"""),0.0)</f>
        <v>0</v>
      </c>
      <c r="AU16" s="180">
        <f>IFERROR(__xludf.DUMMYFUNCTION("""COMPUTED_VALUE"""),45689.0)</f>
        <v>45689</v>
      </c>
      <c r="AV16" s="179">
        <f>IFERROR(__xludf.DUMMYFUNCTION("""COMPUTED_VALUE"""),0.0)</f>
        <v>0</v>
      </c>
      <c r="AW16" s="180">
        <f>IFERROR(__xludf.DUMMYFUNCTION("""COMPUTED_VALUE"""),45689.0)</f>
        <v>45689</v>
      </c>
      <c r="AX16" s="179">
        <f>IFERROR(__xludf.DUMMYFUNCTION("""COMPUTED_VALUE"""),0.0)</f>
        <v>0</v>
      </c>
      <c r="AY16" s="180">
        <f>IFERROR(__xludf.DUMMYFUNCTION("""COMPUTED_VALUE"""),45779.0)</f>
        <v>45779</v>
      </c>
      <c r="AZ16" s="179">
        <f>IFERROR(__xludf.DUMMYFUNCTION("""COMPUTED_VALUE"""),0.05555555555555555)</f>
        <v>0.05555555556</v>
      </c>
      <c r="BA16" s="180">
        <f>IFERROR(__xludf.DUMMYFUNCTION("""COMPUTED_VALUE"""),45658.0)</f>
        <v>45658</v>
      </c>
      <c r="BB16" s="179">
        <f>IFERROR(__xludf.DUMMYFUNCTION("""COMPUTED_VALUE"""),0.0)</f>
        <v>0</v>
      </c>
      <c r="BC16" s="180">
        <f>IFERROR(__xludf.DUMMYFUNCTION("""COMPUTED_VALUE"""),45658.0)</f>
        <v>45658</v>
      </c>
      <c r="BD16" s="179">
        <f>IFERROR(__xludf.DUMMYFUNCTION("""COMPUTED_VALUE"""),0.0)</f>
        <v>0</v>
      </c>
      <c r="BE16" s="180">
        <f>IFERROR(__xludf.DUMMYFUNCTION("""COMPUTED_VALUE"""),45778.0)</f>
        <v>45778</v>
      </c>
      <c r="BF16" s="179">
        <f>IFERROR(__xludf.DUMMYFUNCTION("""COMPUTED_VALUE"""),0.0)</f>
        <v>0</v>
      </c>
      <c r="BG16" s="180">
        <f>IFERROR(__xludf.DUMMYFUNCTION("""COMPUTED_VALUE"""),45689.0)</f>
        <v>45689</v>
      </c>
      <c r="BH16" s="179">
        <f>IFERROR(__xludf.DUMMYFUNCTION("""COMPUTED_VALUE"""),0.0)</f>
        <v>0</v>
      </c>
      <c r="BI16" s="180">
        <f>IFERROR(__xludf.DUMMYFUNCTION("""COMPUTED_VALUE"""),45810.0)</f>
        <v>45810</v>
      </c>
      <c r="BJ16" s="179">
        <f>IFERROR(__xludf.DUMMYFUNCTION("""COMPUTED_VALUE"""),0.25)</f>
        <v>0.25</v>
      </c>
      <c r="BK16" s="182">
        <f>IFERROR(__xludf.DUMMYFUNCTION("""COMPUTED_VALUE"""),45689.0)</f>
        <v>45689</v>
      </c>
      <c r="BL16" s="179">
        <f>IFERROR(__xludf.DUMMYFUNCTION("""COMPUTED_VALUE"""),0.0)</f>
        <v>0</v>
      </c>
      <c r="BM16" s="180">
        <f>IFERROR(__xludf.DUMMYFUNCTION("""COMPUTED_VALUE"""),45691.0)</f>
        <v>45691</v>
      </c>
      <c r="BN16" s="179">
        <f>IFERROR(__xludf.DUMMYFUNCTION("""COMPUTED_VALUE"""),0.21428571428571427)</f>
        <v>0.2142857143</v>
      </c>
      <c r="BO16" s="180">
        <f>IFERROR(__xludf.DUMMYFUNCTION("""COMPUTED_VALUE"""),45661.0)</f>
        <v>45661</v>
      </c>
      <c r="BP16" s="179">
        <f>IFERROR(__xludf.DUMMYFUNCTION("""COMPUTED_VALUE"""),0.25)</f>
        <v>0.25</v>
      </c>
      <c r="BQ16" s="180">
        <f>IFERROR(__xludf.DUMMYFUNCTION("""COMPUTED_VALUE"""),45717.0)</f>
        <v>45717</v>
      </c>
      <c r="BR16" s="179">
        <f>IFERROR(__xludf.DUMMYFUNCTION("""COMPUTED_VALUE"""),0.0)</f>
        <v>0</v>
      </c>
      <c r="BS16" s="180">
        <f>IFERROR(__xludf.DUMMYFUNCTION("""COMPUTED_VALUE"""),45778.0)</f>
        <v>45778</v>
      </c>
      <c r="BT16" s="179">
        <f>IFERROR(__xludf.DUMMYFUNCTION("""COMPUTED_VALUE"""),0.0)</f>
        <v>0</v>
      </c>
      <c r="BU16" s="180">
        <f>IFERROR(__xludf.DUMMYFUNCTION("""COMPUTED_VALUE"""),45748.0)</f>
        <v>45748</v>
      </c>
      <c r="BV16" s="179">
        <f>IFERROR(__xludf.DUMMYFUNCTION("""COMPUTED_VALUE"""),0.0)</f>
        <v>0</v>
      </c>
      <c r="BW16" s="180">
        <f>IFERROR(__xludf.DUMMYFUNCTION("""COMPUTED_VALUE"""),45936.0)</f>
        <v>45936</v>
      </c>
      <c r="BX16" s="179">
        <f>IFERROR(__xludf.DUMMYFUNCTION("""COMPUTED_VALUE"""),0.25)</f>
        <v>0.25</v>
      </c>
      <c r="BY16" s="180">
        <f>IFERROR(__xludf.DUMMYFUNCTION("""COMPUTED_VALUE"""),45717.0)</f>
        <v>45717</v>
      </c>
      <c r="BZ16" s="179">
        <f>IFERROR(__xludf.DUMMYFUNCTION("""COMPUTED_VALUE"""),0.0)</f>
        <v>0</v>
      </c>
      <c r="CA16" s="180">
        <f>IFERROR(__xludf.DUMMYFUNCTION("""COMPUTED_VALUE"""),45658.0)</f>
        <v>45658</v>
      </c>
      <c r="CB16" s="179">
        <f>IFERROR(__xludf.DUMMYFUNCTION("""COMPUTED_VALUE"""),0.0)</f>
        <v>0</v>
      </c>
      <c r="CC16" s="180">
        <f>IFERROR(__xludf.DUMMYFUNCTION("""COMPUTED_VALUE"""),45658.0)</f>
        <v>45658</v>
      </c>
      <c r="CD16" s="179">
        <f>IFERROR(__xludf.DUMMYFUNCTION("""COMPUTED_VALUE"""),0.0)</f>
        <v>0</v>
      </c>
      <c r="CE16" s="182">
        <f>IFERROR(__xludf.DUMMYFUNCTION("""COMPUTED_VALUE"""),45778.0)</f>
        <v>45778</v>
      </c>
      <c r="CF16" s="179">
        <f>IFERROR(__xludf.DUMMYFUNCTION("""COMPUTED_VALUE"""),0.0)</f>
        <v>0</v>
      </c>
      <c r="CG16" s="180">
        <f>IFERROR(__xludf.DUMMYFUNCTION("""COMPUTED_VALUE"""),45848.0)</f>
        <v>45848</v>
      </c>
      <c r="CH16" s="179">
        <f>IFERROR(__xludf.DUMMYFUNCTION("""COMPUTED_VALUE"""),0.16666666666666666)</f>
        <v>0.1666666667</v>
      </c>
      <c r="CI16" s="180">
        <f>IFERROR(__xludf.DUMMYFUNCTION("""COMPUTED_VALUE"""),45848.0)</f>
        <v>45848</v>
      </c>
      <c r="CJ16" s="179">
        <f>IFERROR(__xludf.DUMMYFUNCTION("""COMPUTED_VALUE"""),0.125)</f>
        <v>0.125</v>
      </c>
      <c r="CK16" s="180">
        <f>IFERROR(__xludf.DUMMYFUNCTION("""COMPUTED_VALUE"""),45658.0)</f>
        <v>45658</v>
      </c>
      <c r="CL16" s="179">
        <f>IFERROR(__xludf.DUMMYFUNCTION("""COMPUTED_VALUE"""),0.0)</f>
        <v>0</v>
      </c>
      <c r="CM16" s="180">
        <f>IFERROR(__xludf.DUMMYFUNCTION("""COMPUTED_VALUE"""),45779.0)</f>
        <v>45779</v>
      </c>
      <c r="CN16" s="179">
        <f>IFERROR(__xludf.DUMMYFUNCTION("""COMPUTED_VALUE"""),0.05555555555555555)</f>
        <v>0.05555555556</v>
      </c>
      <c r="CO16" s="180">
        <f>IFERROR(__xludf.DUMMYFUNCTION("""COMPUTED_VALUE"""),45666.0)</f>
        <v>45666</v>
      </c>
      <c r="CP16" s="179">
        <f>IFERROR(__xludf.DUMMYFUNCTION("""COMPUTED_VALUE"""),0.1)</f>
        <v>0.1</v>
      </c>
      <c r="CQ16" s="180">
        <f>IFERROR(__xludf.DUMMYFUNCTION("""COMPUTED_VALUE"""),45932.0)</f>
        <v>45932</v>
      </c>
      <c r="CR16" s="179">
        <f>IFERROR(__xludf.DUMMYFUNCTION("""COMPUTED_VALUE"""),0.25)</f>
        <v>0.25</v>
      </c>
      <c r="CS16" s="180">
        <f>IFERROR(__xludf.DUMMYFUNCTION("""COMPUTED_VALUE"""),45939.0)</f>
        <v>45939</v>
      </c>
      <c r="CT16" s="179">
        <f>IFERROR(__xludf.DUMMYFUNCTION("""COMPUTED_VALUE"""),0.16666666666666666)</f>
        <v>0.1666666667</v>
      </c>
      <c r="CU16" s="180">
        <f>IFERROR(__xludf.DUMMYFUNCTION("""COMPUTED_VALUE"""),45778.0)</f>
        <v>45778</v>
      </c>
      <c r="CV16" s="179">
        <f>IFERROR(__xludf.DUMMYFUNCTION("""COMPUTED_VALUE"""),0.0)</f>
        <v>0</v>
      </c>
      <c r="CW16" s="180">
        <f>IFERROR(__xludf.DUMMYFUNCTION("""COMPUTED_VALUE"""),45847.0)</f>
        <v>45847</v>
      </c>
      <c r="CX16" s="179">
        <f>IFERROR(__xludf.DUMMYFUNCTION("""COMPUTED_VALUE"""),0.25)</f>
        <v>0.25</v>
      </c>
      <c r="CY16" s="182">
        <f>IFERROR(__xludf.DUMMYFUNCTION("""COMPUTED_VALUE"""),45658.0)</f>
        <v>45658</v>
      </c>
      <c r="CZ16" s="179">
        <f>IFERROR(__xludf.DUMMYFUNCTION("""COMPUTED_VALUE"""),0.05555555555555555)</f>
        <v>0.05555555556</v>
      </c>
      <c r="DA16" s="180">
        <f>IFERROR(__xludf.DUMMYFUNCTION("""COMPUTED_VALUE"""),45689.0)</f>
        <v>45689</v>
      </c>
      <c r="DB16" s="179">
        <f>IFERROR(__xludf.DUMMYFUNCTION("""COMPUTED_VALUE"""),0.0)</f>
        <v>0</v>
      </c>
      <c r="DC16" s="180">
        <f>IFERROR(__xludf.DUMMYFUNCTION("""COMPUTED_VALUE"""),45723.0)</f>
        <v>45723</v>
      </c>
      <c r="DD16" s="179">
        <f>IFERROR(__xludf.DUMMYFUNCTION("""COMPUTED_VALUE"""),0.0625)</f>
        <v>0.0625</v>
      </c>
      <c r="DE16" s="180">
        <f>IFERROR(__xludf.DUMMYFUNCTION("""COMPUTED_VALUE"""),45658.0)</f>
        <v>45658</v>
      </c>
      <c r="DF16" s="179">
        <f>IFERROR(__xludf.DUMMYFUNCTION("""COMPUTED_VALUE"""),0.0)</f>
        <v>0</v>
      </c>
      <c r="DG16" s="180">
        <f>IFERROR(__xludf.DUMMYFUNCTION("""COMPUTED_VALUE"""),45870.0)</f>
        <v>45870</v>
      </c>
      <c r="DH16" s="179">
        <f>IFERROR(__xludf.DUMMYFUNCTION("""COMPUTED_VALUE"""),0.1)</f>
        <v>0.1</v>
      </c>
      <c r="DI16" s="180">
        <f>IFERROR(__xludf.DUMMYFUNCTION("""COMPUTED_VALUE"""),45689.0)</f>
        <v>45689</v>
      </c>
      <c r="DJ16" s="179">
        <f>IFERROR(__xludf.DUMMYFUNCTION("""COMPUTED_VALUE"""),0.0)</f>
        <v>0</v>
      </c>
      <c r="DK16" s="180">
        <f>IFERROR(__xludf.DUMMYFUNCTION("""COMPUTED_VALUE"""),45843.0)</f>
        <v>45843</v>
      </c>
      <c r="DL16" s="179">
        <f>IFERROR(__xludf.DUMMYFUNCTION("""COMPUTED_VALUE"""),0.0625)</f>
        <v>0.0625</v>
      </c>
      <c r="DM16" s="180">
        <f>IFERROR(__xludf.DUMMYFUNCTION("""COMPUTED_VALUE"""),45658.0)</f>
        <v>45658</v>
      </c>
      <c r="DN16" s="179">
        <f>IFERROR(__xludf.DUMMYFUNCTION("""COMPUTED_VALUE"""),0.0)</f>
        <v>0</v>
      </c>
      <c r="DO16" s="180">
        <f>IFERROR(__xludf.DUMMYFUNCTION("""COMPUTED_VALUE"""),45717.0)</f>
        <v>45717</v>
      </c>
      <c r="DP16" s="179">
        <f>IFERROR(__xludf.DUMMYFUNCTION("""COMPUTED_VALUE"""),0.0)</f>
        <v>0</v>
      </c>
      <c r="DQ16" s="180">
        <f>IFERROR(__xludf.DUMMYFUNCTION("""COMPUTED_VALUE"""),45843.0)</f>
        <v>45843</v>
      </c>
      <c r="DR16" s="179">
        <f>IFERROR(__xludf.DUMMYFUNCTION("""COMPUTED_VALUE"""),0.25)</f>
        <v>0.25</v>
      </c>
      <c r="DS16" s="182">
        <f>IFERROR(__xludf.DUMMYFUNCTION("""COMPUTED_VALUE"""),45748.0)</f>
        <v>45748</v>
      </c>
      <c r="DT16" s="179">
        <f>IFERROR(__xludf.DUMMYFUNCTION("""COMPUTED_VALUE"""),0.0)</f>
        <v>0</v>
      </c>
      <c r="DU16" s="180">
        <f>IFERROR(__xludf.DUMMYFUNCTION("""COMPUTED_VALUE"""),45717.0)</f>
        <v>45717</v>
      </c>
      <c r="DV16" s="179">
        <f>IFERROR(__xludf.DUMMYFUNCTION("""COMPUTED_VALUE"""),0.0)</f>
        <v>0</v>
      </c>
      <c r="DW16" s="180">
        <f>IFERROR(__xludf.DUMMYFUNCTION("""COMPUTED_VALUE"""),45717.0)</f>
        <v>45717</v>
      </c>
      <c r="DX16" s="179">
        <f>IFERROR(__xludf.DUMMYFUNCTION("""COMPUTED_VALUE"""),0.0)</f>
        <v>0</v>
      </c>
      <c r="DY16" s="180">
        <f>IFERROR(__xludf.DUMMYFUNCTION("""COMPUTED_VALUE"""),45748.0)</f>
        <v>45748</v>
      </c>
      <c r="DZ16" s="179">
        <f>IFERROR(__xludf.DUMMYFUNCTION("""COMPUTED_VALUE"""),0.0)</f>
        <v>0</v>
      </c>
      <c r="EA16" s="180">
        <f>IFERROR(__xludf.DUMMYFUNCTION("""COMPUTED_VALUE"""),45778.0)</f>
        <v>45778</v>
      </c>
      <c r="EB16" s="179">
        <f>IFERROR(__xludf.DUMMYFUNCTION("""COMPUTED_VALUE"""),0.0)</f>
        <v>0</v>
      </c>
      <c r="EC16" s="180">
        <f>IFERROR(__xludf.DUMMYFUNCTION("""COMPUTED_VALUE"""),45748.0)</f>
        <v>45748</v>
      </c>
      <c r="ED16" s="179">
        <f>IFERROR(__xludf.DUMMYFUNCTION("""COMPUTED_VALUE"""),0.0)</f>
        <v>0</v>
      </c>
      <c r="EE16" s="180">
        <f>IFERROR(__xludf.DUMMYFUNCTION("""COMPUTED_VALUE"""),45658.0)</f>
        <v>45658</v>
      </c>
      <c r="EF16" s="179">
        <f>IFERROR(__xludf.DUMMYFUNCTION("""COMPUTED_VALUE"""),0.0)</f>
        <v>0</v>
      </c>
      <c r="EG16" s="180">
        <f>IFERROR(__xludf.DUMMYFUNCTION("""COMPUTED_VALUE"""),45748.0)</f>
        <v>45748</v>
      </c>
      <c r="EH16" s="179">
        <f>IFERROR(__xludf.DUMMYFUNCTION("""COMPUTED_VALUE"""),0.0)</f>
        <v>0</v>
      </c>
      <c r="EI16" s="180">
        <f>IFERROR(__xludf.DUMMYFUNCTION("""COMPUTED_VALUE"""),45748.0)</f>
        <v>45748</v>
      </c>
      <c r="EJ16" s="179">
        <f>IFERROR(__xludf.DUMMYFUNCTION("""COMPUTED_VALUE"""),0.0)</f>
        <v>0</v>
      </c>
      <c r="EK16" s="180">
        <f>IFERROR(__xludf.DUMMYFUNCTION("""COMPUTED_VALUE"""),45689.0)</f>
        <v>45689</v>
      </c>
      <c r="EL16" s="179">
        <f>IFERROR(__xludf.DUMMYFUNCTION("""COMPUTED_VALUE"""),0.0)</f>
        <v>0</v>
      </c>
      <c r="EM16" s="182">
        <f>IFERROR(__xludf.DUMMYFUNCTION("""COMPUTED_VALUE"""),45658.0)</f>
        <v>45658</v>
      </c>
      <c r="EN16" s="179">
        <f>IFERROR(__xludf.DUMMYFUNCTION("""COMPUTED_VALUE"""),0.0)</f>
        <v>0</v>
      </c>
      <c r="EO16" s="180">
        <f>IFERROR(__xludf.DUMMYFUNCTION("""COMPUTED_VALUE"""),45658.0)</f>
        <v>45658</v>
      </c>
      <c r="EP16" s="179">
        <f>IFERROR(__xludf.DUMMYFUNCTION("""COMPUTED_VALUE"""),0.0)</f>
        <v>0</v>
      </c>
      <c r="EQ16" s="180">
        <f>IFERROR(__xludf.DUMMYFUNCTION("""COMPUTED_VALUE"""),45718.0)</f>
        <v>45718</v>
      </c>
      <c r="ER16" s="179">
        <f>IFERROR(__xludf.DUMMYFUNCTION("""COMPUTED_VALUE"""),0.0625)</f>
        <v>0.0625</v>
      </c>
      <c r="ES16" s="180">
        <f>IFERROR(__xludf.DUMMYFUNCTION("""COMPUTED_VALUE"""),45778.0)</f>
        <v>45778</v>
      </c>
      <c r="ET16" s="179">
        <f>IFERROR(__xludf.DUMMYFUNCTION("""COMPUTED_VALUE"""),0.0)</f>
        <v>0</v>
      </c>
      <c r="EU16" s="180">
        <f>IFERROR(__xludf.DUMMYFUNCTION("""COMPUTED_VALUE"""),45748.0)</f>
        <v>45748</v>
      </c>
      <c r="EV16" s="179">
        <f>IFERROR(__xludf.DUMMYFUNCTION("""COMPUTED_VALUE"""),0.0)</f>
        <v>0</v>
      </c>
      <c r="EW16" s="180">
        <f>IFERROR(__xludf.DUMMYFUNCTION("""COMPUTED_VALUE"""),45778.0)</f>
        <v>45778</v>
      </c>
      <c r="EX16" s="179">
        <f>IFERROR(__xludf.DUMMYFUNCTION("""COMPUTED_VALUE"""),0.0)</f>
        <v>0</v>
      </c>
      <c r="EY16" s="180">
        <f>IFERROR(__xludf.DUMMYFUNCTION("""COMPUTED_VALUE"""),45748.0)</f>
        <v>45748</v>
      </c>
      <c r="EZ16" s="179">
        <f>IFERROR(__xludf.DUMMYFUNCTION("""COMPUTED_VALUE"""),0.0)</f>
        <v>0</v>
      </c>
      <c r="FA16" s="180">
        <f>IFERROR(__xludf.DUMMYFUNCTION("""COMPUTED_VALUE"""),45748.0)</f>
        <v>45748</v>
      </c>
      <c r="FB16" s="179">
        <f>IFERROR(__xludf.DUMMYFUNCTION("""COMPUTED_VALUE"""),0.0)</f>
        <v>0</v>
      </c>
      <c r="FC16" s="180">
        <f>IFERROR(__xludf.DUMMYFUNCTION("""COMPUTED_VALUE"""),45748.0)</f>
        <v>45748</v>
      </c>
      <c r="FD16" s="179">
        <f>IFERROR(__xludf.DUMMYFUNCTION("""COMPUTED_VALUE"""),0.0)</f>
        <v>0</v>
      </c>
      <c r="FE16" s="180">
        <f>IFERROR(__xludf.DUMMYFUNCTION("""COMPUTED_VALUE"""),45717.0)</f>
        <v>45717</v>
      </c>
      <c r="FF16" s="179">
        <f>IFERROR(__xludf.DUMMYFUNCTION("""COMPUTED_VALUE"""),0.16666666666666666)</f>
        <v>0.1666666667</v>
      </c>
      <c r="FG16" s="182">
        <f>IFERROR(__xludf.DUMMYFUNCTION("""COMPUTED_VALUE"""),45658.0)</f>
        <v>45658</v>
      </c>
      <c r="FH16" s="179">
        <f>IFERROR(__xludf.DUMMYFUNCTION("""COMPUTED_VALUE"""),0.0)</f>
        <v>0</v>
      </c>
      <c r="FI16" s="180">
        <f>IFERROR(__xludf.DUMMYFUNCTION("""COMPUTED_VALUE"""),45840.0)</f>
        <v>45840</v>
      </c>
      <c r="FJ16" s="179">
        <f>IFERROR(__xludf.DUMMYFUNCTION("""COMPUTED_VALUE"""),0.16666666666666666)</f>
        <v>0.1666666667</v>
      </c>
      <c r="FK16" s="180">
        <f>IFERROR(__xludf.DUMMYFUNCTION("""COMPUTED_VALUE"""),45940.0)</f>
        <v>45940</v>
      </c>
      <c r="FL16" s="179">
        <f>IFERROR(__xludf.DUMMYFUNCTION("""COMPUTED_VALUE"""),0.16666666666666666)</f>
        <v>0.1666666667</v>
      </c>
      <c r="FM16" s="180">
        <f>IFERROR(__xludf.DUMMYFUNCTION("""COMPUTED_VALUE"""),45840.0)</f>
        <v>45840</v>
      </c>
      <c r="FN16" s="179">
        <f>IFERROR(__xludf.DUMMYFUNCTION("""COMPUTED_VALUE"""),0.2)</f>
        <v>0.2</v>
      </c>
      <c r="FO16" s="180">
        <f>IFERROR(__xludf.DUMMYFUNCTION("""COMPUTED_VALUE"""),45658.0)</f>
        <v>45658</v>
      </c>
      <c r="FP16" s="179">
        <f>IFERROR(__xludf.DUMMYFUNCTION("""COMPUTED_VALUE"""),0.0)</f>
        <v>0</v>
      </c>
      <c r="FQ16" s="180">
        <f>IFERROR(__xludf.DUMMYFUNCTION("""COMPUTED_VALUE"""),45778.0)</f>
        <v>45778</v>
      </c>
      <c r="FR16" s="179">
        <f>IFERROR(__xludf.DUMMYFUNCTION("""COMPUTED_VALUE"""),0.0)</f>
        <v>0</v>
      </c>
      <c r="FS16" s="180">
        <f>IFERROR(__xludf.DUMMYFUNCTION("""COMPUTED_VALUE"""),45690.0)</f>
        <v>45690</v>
      </c>
      <c r="FT16" s="179">
        <f>IFERROR(__xludf.DUMMYFUNCTION("""COMPUTED_VALUE"""),0.16666666666666666)</f>
        <v>0.1666666667</v>
      </c>
      <c r="FU16" s="180">
        <f>IFERROR(__xludf.DUMMYFUNCTION("""COMPUTED_VALUE"""),45689.0)</f>
        <v>45689</v>
      </c>
      <c r="FV16" s="179">
        <f>IFERROR(__xludf.DUMMYFUNCTION("""COMPUTED_VALUE"""),0.0)</f>
        <v>0</v>
      </c>
      <c r="FW16" s="180">
        <f>IFERROR(__xludf.DUMMYFUNCTION("""COMPUTED_VALUE"""),45778.0)</f>
        <v>45778</v>
      </c>
      <c r="FX16" s="179">
        <f>IFERROR(__xludf.DUMMYFUNCTION("""COMPUTED_VALUE"""),0.0)</f>
        <v>0</v>
      </c>
      <c r="FY16" s="180">
        <f>IFERROR(__xludf.DUMMYFUNCTION("""COMPUTED_VALUE"""),45757.0)</f>
        <v>45757</v>
      </c>
      <c r="FZ16" s="179">
        <f>IFERROR(__xludf.DUMMYFUNCTION("""COMPUTED_VALUE"""),0.25)</f>
        <v>0.25</v>
      </c>
      <c r="GA16" s="182">
        <f>IFERROR(__xludf.DUMMYFUNCTION("""COMPUTED_VALUE"""),45778.0)</f>
        <v>45778</v>
      </c>
      <c r="GB16" s="179">
        <f>IFERROR(__xludf.DUMMYFUNCTION("""COMPUTED_VALUE"""),0.0)</f>
        <v>0</v>
      </c>
      <c r="GC16" s="180">
        <f>IFERROR(__xludf.DUMMYFUNCTION("""COMPUTED_VALUE"""),45689.0)</f>
        <v>45689</v>
      </c>
      <c r="GD16" s="179">
        <f>IFERROR(__xludf.DUMMYFUNCTION("""COMPUTED_VALUE"""),0.0)</f>
        <v>0</v>
      </c>
      <c r="GE16" s="180">
        <f>IFERROR(__xludf.DUMMYFUNCTION("""COMPUTED_VALUE"""),45689.0)</f>
        <v>45689</v>
      </c>
      <c r="GF16" s="179">
        <f>IFERROR(__xludf.DUMMYFUNCTION("""COMPUTED_VALUE"""),0.0)</f>
        <v>0</v>
      </c>
      <c r="GG16" s="180">
        <f>IFERROR(__xludf.DUMMYFUNCTION("""COMPUTED_VALUE"""),45689.0)</f>
        <v>45689</v>
      </c>
      <c r="GH16" s="179">
        <f>IFERROR(__xludf.DUMMYFUNCTION("""COMPUTED_VALUE"""),0.0)</f>
        <v>0</v>
      </c>
      <c r="GI16" s="180">
        <f>IFERROR(__xludf.DUMMYFUNCTION("""COMPUTED_VALUE"""),45778.0)</f>
        <v>45778</v>
      </c>
      <c r="GJ16" s="179">
        <f>IFERROR(__xludf.DUMMYFUNCTION("""COMPUTED_VALUE"""),0.0)</f>
        <v>0</v>
      </c>
      <c r="GK16" s="180">
        <f>IFERROR(__xludf.DUMMYFUNCTION("""COMPUTED_VALUE"""),45778.0)</f>
        <v>45778</v>
      </c>
      <c r="GL16" s="179">
        <f>IFERROR(__xludf.DUMMYFUNCTION("""COMPUTED_VALUE"""),0.0)</f>
        <v>0</v>
      </c>
      <c r="GM16" s="180">
        <f>IFERROR(__xludf.DUMMYFUNCTION("""COMPUTED_VALUE"""),45749.0)</f>
        <v>45749</v>
      </c>
      <c r="GN16" s="179">
        <f>IFERROR(__xludf.DUMMYFUNCTION("""COMPUTED_VALUE"""),0.1)</f>
        <v>0.1</v>
      </c>
      <c r="GO16" s="180">
        <f>IFERROR(__xludf.DUMMYFUNCTION("""COMPUTED_VALUE"""),45748.0)</f>
        <v>45748</v>
      </c>
      <c r="GP16" s="179">
        <f>IFERROR(__xludf.DUMMYFUNCTION("""COMPUTED_VALUE"""),0.0)</f>
        <v>0</v>
      </c>
      <c r="GQ16" s="180">
        <f>IFERROR(__xludf.DUMMYFUNCTION("""COMPUTED_VALUE"""),45903.0)</f>
        <v>45903</v>
      </c>
      <c r="GR16" s="179">
        <f>IFERROR(__xludf.DUMMYFUNCTION("""COMPUTED_VALUE"""),0.0625)</f>
        <v>0.0625</v>
      </c>
      <c r="GS16" s="180">
        <f>IFERROR(__xludf.DUMMYFUNCTION("""COMPUTED_VALUE"""),45725.0)</f>
        <v>45725</v>
      </c>
      <c r="GT16" s="179">
        <f>IFERROR(__xludf.DUMMYFUNCTION("""COMPUTED_VALUE"""),0.16666666666666666)</f>
        <v>0.1666666667</v>
      </c>
    </row>
    <row r="17" ht="31.5" customHeight="1">
      <c r="B17" s="183"/>
      <c r="C17" s="178">
        <f>IFERROR(__xludf.DUMMYFUNCTION("""COMPUTED_VALUE"""),45659.0)</f>
        <v>45659</v>
      </c>
      <c r="D17" s="179">
        <f>IFERROR(__xludf.DUMMYFUNCTION("""COMPUTED_VALUE"""),0.0)</f>
        <v>0</v>
      </c>
      <c r="E17" s="180">
        <f>IFERROR(__xludf.DUMMYFUNCTION("""COMPUTED_VALUE"""),45690.0)</f>
        <v>45690</v>
      </c>
      <c r="F17" s="179">
        <f>IFERROR(__xludf.DUMMYFUNCTION("""COMPUTED_VALUE"""),0.0)</f>
        <v>0</v>
      </c>
      <c r="G17" s="180">
        <f>IFERROR(__xludf.DUMMYFUNCTION("""COMPUTED_VALUE"""),45690.0)</f>
        <v>45690</v>
      </c>
      <c r="H17" s="179">
        <f>IFERROR(__xludf.DUMMYFUNCTION("""COMPUTED_VALUE"""),0.0)</f>
        <v>0</v>
      </c>
      <c r="I17" s="180">
        <f>IFERROR(__xludf.DUMMYFUNCTION("""COMPUTED_VALUE"""),45749.0)</f>
        <v>45749</v>
      </c>
      <c r="J17" s="179">
        <f>IFERROR(__xludf.DUMMYFUNCTION("""COMPUTED_VALUE"""),0.0)</f>
        <v>0</v>
      </c>
      <c r="K17" s="180">
        <f>IFERROR(__xludf.DUMMYFUNCTION("""COMPUTED_VALUE"""),45783.0)</f>
        <v>45783</v>
      </c>
      <c r="L17" s="179">
        <f>IFERROR(__xludf.DUMMYFUNCTION("""COMPUTED_VALUE"""),0.05555555555555555)</f>
        <v>0.05555555556</v>
      </c>
      <c r="M17" s="180">
        <f>IFERROR(__xludf.DUMMYFUNCTION("""COMPUTED_VALUE"""),45659.0)</f>
        <v>45659</v>
      </c>
      <c r="N17" s="179">
        <f>IFERROR(__xludf.DUMMYFUNCTION("""COMPUTED_VALUE"""),0.0)</f>
        <v>0</v>
      </c>
      <c r="O17" s="180">
        <f>IFERROR(__xludf.DUMMYFUNCTION("""COMPUTED_VALUE"""),45694.0)</f>
        <v>45694</v>
      </c>
      <c r="P17" s="179">
        <f>IFERROR(__xludf.DUMMYFUNCTION("""COMPUTED_VALUE"""),0.16666666666666666)</f>
        <v>0.1666666667</v>
      </c>
      <c r="Q17" s="180">
        <f>IFERROR(__xludf.DUMMYFUNCTION("""COMPUTED_VALUE"""),45722.0)</f>
        <v>45722</v>
      </c>
      <c r="R17" s="179">
        <f>IFERROR(__xludf.DUMMYFUNCTION("""COMPUTED_VALUE"""),0.16666666666666666)</f>
        <v>0.1666666667</v>
      </c>
      <c r="S17" s="180">
        <f>IFERROR(__xludf.DUMMYFUNCTION("""COMPUTED_VALUE"""),45718.0)</f>
        <v>45718</v>
      </c>
      <c r="T17" s="179">
        <f>IFERROR(__xludf.DUMMYFUNCTION("""COMPUTED_VALUE"""),0.0)</f>
        <v>0</v>
      </c>
      <c r="U17" s="180">
        <f>IFERROR(__xludf.DUMMYFUNCTION("""COMPUTED_VALUE"""),45814.0)</f>
        <v>45814</v>
      </c>
      <c r="V17" s="181">
        <f>IFERROR(__xludf.DUMMYFUNCTION("""COMPUTED_VALUE"""),0.25)</f>
        <v>0.25</v>
      </c>
      <c r="W17" s="178">
        <f>IFERROR(__xludf.DUMMYFUNCTION("""COMPUTED_VALUE"""),45658.0)</f>
        <v>45658</v>
      </c>
      <c r="X17" s="179">
        <f>IFERROR(__xludf.DUMMYFUNCTION("""COMPUTED_VALUE"""),0.0)</f>
        <v>0</v>
      </c>
      <c r="Y17" s="180">
        <f>IFERROR(__xludf.DUMMYFUNCTION("""COMPUTED_VALUE"""),45847.0)</f>
        <v>45847</v>
      </c>
      <c r="Z17" s="179">
        <f>IFERROR(__xludf.DUMMYFUNCTION("""COMPUTED_VALUE"""),0.16666666666666666)</f>
        <v>0.1666666667</v>
      </c>
      <c r="AA17" s="180">
        <f>IFERROR(__xludf.DUMMYFUNCTION("""COMPUTED_VALUE"""),45748.0)</f>
        <v>45748</v>
      </c>
      <c r="AB17" s="179">
        <f>IFERROR(__xludf.DUMMYFUNCTION("""COMPUTED_VALUE"""),0.0)</f>
        <v>0</v>
      </c>
      <c r="AC17" s="180">
        <f>IFERROR(__xludf.DUMMYFUNCTION("""COMPUTED_VALUE"""),45843.0)</f>
        <v>45843</v>
      </c>
      <c r="AD17" s="179">
        <f>IFERROR(__xludf.DUMMYFUNCTION("""COMPUTED_VALUE"""),0.1)</f>
        <v>0.1</v>
      </c>
      <c r="AE17" s="180">
        <f>IFERROR(__xludf.DUMMYFUNCTION("""COMPUTED_VALUE"""),45697.0)</f>
        <v>45697</v>
      </c>
      <c r="AF17" s="179">
        <f>IFERROR(__xludf.DUMMYFUNCTION("""COMPUTED_VALUE"""),0.16666666666666666)</f>
        <v>0.1666666667</v>
      </c>
      <c r="AG17" s="180">
        <f>IFERROR(__xludf.DUMMYFUNCTION("""COMPUTED_VALUE"""),45658.0)</f>
        <v>45658</v>
      </c>
      <c r="AH17" s="179">
        <f>IFERROR(__xludf.DUMMYFUNCTION("""COMPUTED_VALUE"""),0.0)</f>
        <v>0</v>
      </c>
      <c r="AI17" s="180">
        <f>IFERROR(__xludf.DUMMYFUNCTION("""COMPUTED_VALUE"""),45697.0)</f>
        <v>45697</v>
      </c>
      <c r="AJ17" s="179">
        <f>IFERROR(__xludf.DUMMYFUNCTION("""COMPUTED_VALUE"""),0.16666666666666666)</f>
        <v>0.1666666667</v>
      </c>
      <c r="AK17" s="180">
        <f>IFERROR(__xludf.DUMMYFUNCTION("""COMPUTED_VALUE"""),45717.0)</f>
        <v>45717</v>
      </c>
      <c r="AL17" s="179">
        <f>IFERROR(__xludf.DUMMYFUNCTION("""COMPUTED_VALUE"""),0.0)</f>
        <v>0</v>
      </c>
      <c r="AM17" s="180">
        <f>IFERROR(__xludf.DUMMYFUNCTION("""COMPUTED_VALUE"""),45778.0)</f>
        <v>45778</v>
      </c>
      <c r="AN17" s="179">
        <f>IFERROR(__xludf.DUMMYFUNCTION("""COMPUTED_VALUE"""),0.0)</f>
        <v>0</v>
      </c>
      <c r="AO17" s="180">
        <f>IFERROR(__xludf.DUMMYFUNCTION("""COMPUTED_VALUE"""),45847.0)</f>
        <v>45847</v>
      </c>
      <c r="AP17" s="181">
        <f>IFERROR(__xludf.DUMMYFUNCTION("""COMPUTED_VALUE"""),0.25)</f>
        <v>0.25</v>
      </c>
      <c r="AQ17" s="178">
        <f>IFERROR(__xludf.DUMMYFUNCTION("""COMPUTED_VALUE"""),45689.0)</f>
        <v>45689</v>
      </c>
      <c r="AR17" s="179">
        <f>IFERROR(__xludf.DUMMYFUNCTION("""COMPUTED_VALUE"""),0.0)</f>
        <v>0</v>
      </c>
      <c r="AS17" s="180">
        <f>IFERROR(__xludf.DUMMYFUNCTION("""COMPUTED_VALUE"""),45748.0)</f>
        <v>45748</v>
      </c>
      <c r="AT17" s="179">
        <f>IFERROR(__xludf.DUMMYFUNCTION("""COMPUTED_VALUE"""),0.0)</f>
        <v>0</v>
      </c>
      <c r="AU17" s="180">
        <f>IFERROR(__xludf.DUMMYFUNCTION("""COMPUTED_VALUE"""),45717.0)</f>
        <v>45717</v>
      </c>
      <c r="AV17" s="179">
        <f>IFERROR(__xludf.DUMMYFUNCTION("""COMPUTED_VALUE"""),0.0)</f>
        <v>0</v>
      </c>
      <c r="AW17" s="180">
        <f>IFERROR(__xludf.DUMMYFUNCTION("""COMPUTED_VALUE"""),45717.0)</f>
        <v>45717</v>
      </c>
      <c r="AX17" s="179">
        <f>IFERROR(__xludf.DUMMYFUNCTION("""COMPUTED_VALUE"""),0.0)</f>
        <v>0</v>
      </c>
      <c r="AY17" s="180">
        <f>IFERROR(__xludf.DUMMYFUNCTION("""COMPUTED_VALUE"""),45658.0)</f>
        <v>45658</v>
      </c>
      <c r="AZ17" s="179">
        <f>IFERROR(__xludf.DUMMYFUNCTION("""COMPUTED_VALUE"""),0.0)</f>
        <v>0</v>
      </c>
      <c r="BA17" s="180">
        <f>IFERROR(__xludf.DUMMYFUNCTION("""COMPUTED_VALUE"""),45689.0)</f>
        <v>45689</v>
      </c>
      <c r="BB17" s="179">
        <f>IFERROR(__xludf.DUMMYFUNCTION("""COMPUTED_VALUE"""),0.0)</f>
        <v>0</v>
      </c>
      <c r="BC17" s="180">
        <f>IFERROR(__xludf.DUMMYFUNCTION("""COMPUTED_VALUE"""),45689.0)</f>
        <v>45689</v>
      </c>
      <c r="BD17" s="179">
        <f>IFERROR(__xludf.DUMMYFUNCTION("""COMPUTED_VALUE"""),0.0)</f>
        <v>0</v>
      </c>
      <c r="BE17" s="180">
        <f>IFERROR(__xludf.DUMMYFUNCTION("""COMPUTED_VALUE"""),45809.0)</f>
        <v>45809</v>
      </c>
      <c r="BF17" s="179">
        <f>IFERROR(__xludf.DUMMYFUNCTION("""COMPUTED_VALUE"""),0.0)</f>
        <v>0</v>
      </c>
      <c r="BG17" s="180">
        <f>IFERROR(__xludf.DUMMYFUNCTION("""COMPUTED_VALUE"""),45717.0)</f>
        <v>45717</v>
      </c>
      <c r="BH17" s="179">
        <f>IFERROR(__xludf.DUMMYFUNCTION("""COMPUTED_VALUE"""),0.0)</f>
        <v>0</v>
      </c>
      <c r="BI17" s="180">
        <f>IFERROR(__xludf.DUMMYFUNCTION("""COMPUTED_VALUE"""),45932.0)</f>
        <v>45932</v>
      </c>
      <c r="BJ17" s="179">
        <f>IFERROR(__xludf.DUMMYFUNCTION("""COMPUTED_VALUE"""),0.07142857142857142)</f>
        <v>0.07142857143</v>
      </c>
      <c r="BK17" s="182">
        <f>IFERROR(__xludf.DUMMYFUNCTION("""COMPUTED_VALUE"""),45717.0)</f>
        <v>45717</v>
      </c>
      <c r="BL17" s="179">
        <f>IFERROR(__xludf.DUMMYFUNCTION("""COMPUTED_VALUE"""),0.0)</f>
        <v>0</v>
      </c>
      <c r="BM17" s="180">
        <f>IFERROR(__xludf.DUMMYFUNCTION("""COMPUTED_VALUE"""),45780.0)</f>
        <v>45780</v>
      </c>
      <c r="BN17" s="179">
        <f>IFERROR(__xludf.DUMMYFUNCTION("""COMPUTED_VALUE"""),0.16666666666666666)</f>
        <v>0.1666666667</v>
      </c>
      <c r="BO17" s="180">
        <f>IFERROR(__xludf.DUMMYFUNCTION("""COMPUTED_VALUE"""),45910.0)</f>
        <v>45910</v>
      </c>
      <c r="BP17" s="179">
        <f>IFERROR(__xludf.DUMMYFUNCTION("""COMPUTED_VALUE"""),0.25)</f>
        <v>0.25</v>
      </c>
      <c r="BQ17" s="180">
        <f>IFERROR(__xludf.DUMMYFUNCTION("""COMPUTED_VALUE"""),45748.0)</f>
        <v>45748</v>
      </c>
      <c r="BR17" s="179">
        <f>IFERROR(__xludf.DUMMYFUNCTION("""COMPUTED_VALUE"""),0.0)</f>
        <v>0</v>
      </c>
      <c r="BS17" s="180">
        <f>IFERROR(__xludf.DUMMYFUNCTION("""COMPUTED_VALUE"""),45809.0)</f>
        <v>45809</v>
      </c>
      <c r="BT17" s="179">
        <f>IFERROR(__xludf.DUMMYFUNCTION("""COMPUTED_VALUE"""),0.0)</f>
        <v>0</v>
      </c>
      <c r="BU17" s="180">
        <f>IFERROR(__xludf.DUMMYFUNCTION("""COMPUTED_VALUE"""),45778.0)</f>
        <v>45778</v>
      </c>
      <c r="BV17" s="179">
        <f>IFERROR(__xludf.DUMMYFUNCTION("""COMPUTED_VALUE"""),0.0)</f>
        <v>0</v>
      </c>
      <c r="BW17" s="180">
        <f>IFERROR(__xludf.DUMMYFUNCTION("""COMPUTED_VALUE"""),45694.0)</f>
        <v>45694</v>
      </c>
      <c r="BX17" s="179">
        <f>IFERROR(__xludf.DUMMYFUNCTION("""COMPUTED_VALUE"""),0.16666666666666666)</f>
        <v>0.1666666667</v>
      </c>
      <c r="BY17" s="180">
        <f>IFERROR(__xludf.DUMMYFUNCTION("""COMPUTED_VALUE"""),45748.0)</f>
        <v>45748</v>
      </c>
      <c r="BZ17" s="179">
        <f>IFERROR(__xludf.DUMMYFUNCTION("""COMPUTED_VALUE"""),0.0)</f>
        <v>0</v>
      </c>
      <c r="CA17" s="180">
        <f>IFERROR(__xludf.DUMMYFUNCTION("""COMPUTED_VALUE"""),45689.0)</f>
        <v>45689</v>
      </c>
      <c r="CB17" s="179">
        <f>IFERROR(__xludf.DUMMYFUNCTION("""COMPUTED_VALUE"""),0.0)</f>
        <v>0</v>
      </c>
      <c r="CC17" s="180">
        <f>IFERROR(__xludf.DUMMYFUNCTION("""COMPUTED_VALUE"""),45689.0)</f>
        <v>45689</v>
      </c>
      <c r="CD17" s="179">
        <f>IFERROR(__xludf.DUMMYFUNCTION("""COMPUTED_VALUE"""),0.0)</f>
        <v>0</v>
      </c>
      <c r="CE17" s="182">
        <f>IFERROR(__xludf.DUMMYFUNCTION("""COMPUTED_VALUE"""),45809.0)</f>
        <v>45809</v>
      </c>
      <c r="CF17" s="179">
        <f>IFERROR(__xludf.DUMMYFUNCTION("""COMPUTED_VALUE"""),0.0)</f>
        <v>0</v>
      </c>
      <c r="CG17" s="180">
        <f>IFERROR(__xludf.DUMMYFUNCTION("""COMPUTED_VALUE"""),45697.0)</f>
        <v>45697</v>
      </c>
      <c r="CH17" s="179">
        <f>IFERROR(__xludf.DUMMYFUNCTION("""COMPUTED_VALUE"""),0.07142857142857142)</f>
        <v>0.07142857143</v>
      </c>
      <c r="CI17" s="180">
        <f>IFERROR(__xludf.DUMMYFUNCTION("""COMPUTED_VALUE"""),45658.0)</f>
        <v>45658</v>
      </c>
      <c r="CJ17" s="179">
        <f>IFERROR(__xludf.DUMMYFUNCTION("""COMPUTED_VALUE"""),0.0)</f>
        <v>0</v>
      </c>
      <c r="CK17" s="180">
        <f>IFERROR(__xludf.DUMMYFUNCTION("""COMPUTED_VALUE"""),45689.0)</f>
        <v>45689</v>
      </c>
      <c r="CL17" s="179">
        <f>IFERROR(__xludf.DUMMYFUNCTION("""COMPUTED_VALUE"""),0.0)</f>
        <v>0</v>
      </c>
      <c r="CM17" s="180">
        <f>IFERROR(__xludf.DUMMYFUNCTION("""COMPUTED_VALUE"""),45658.0)</f>
        <v>45658</v>
      </c>
      <c r="CN17" s="179">
        <f>IFERROR(__xludf.DUMMYFUNCTION("""COMPUTED_VALUE"""),0.0)</f>
        <v>0</v>
      </c>
      <c r="CO17" s="180">
        <f>IFERROR(__xludf.DUMMYFUNCTION("""COMPUTED_VALUE"""),45810.0)</f>
        <v>45810</v>
      </c>
      <c r="CP17" s="179">
        <f>IFERROR(__xludf.DUMMYFUNCTION("""COMPUTED_VALUE"""),0.0625)</f>
        <v>0.0625</v>
      </c>
      <c r="CQ17" s="180">
        <f>IFERROR(__xludf.DUMMYFUNCTION("""COMPUTED_VALUE"""),45875.0)</f>
        <v>45875</v>
      </c>
      <c r="CR17" s="179">
        <f>IFERROR(__xludf.DUMMYFUNCTION("""COMPUTED_VALUE"""),0.25)</f>
        <v>0.25</v>
      </c>
      <c r="CS17" s="180">
        <f>IFERROR(__xludf.DUMMYFUNCTION("""COMPUTED_VALUE"""),45778.0)</f>
        <v>45778</v>
      </c>
      <c r="CT17" s="179">
        <f>IFERROR(__xludf.DUMMYFUNCTION("""COMPUTED_VALUE"""),0.1)</f>
        <v>0.1</v>
      </c>
      <c r="CU17" s="180">
        <f>IFERROR(__xludf.DUMMYFUNCTION("""COMPUTED_VALUE"""),45809.0)</f>
        <v>45809</v>
      </c>
      <c r="CV17" s="179">
        <f>IFERROR(__xludf.DUMMYFUNCTION("""COMPUTED_VALUE"""),0.0)</f>
        <v>0</v>
      </c>
      <c r="CW17" s="180">
        <f>IFERROR(__xludf.DUMMYFUNCTION("""COMPUTED_VALUE"""),45698.0)</f>
        <v>45698</v>
      </c>
      <c r="CX17" s="179">
        <f>IFERROR(__xludf.DUMMYFUNCTION("""COMPUTED_VALUE"""),0.25)</f>
        <v>0.25</v>
      </c>
      <c r="CY17" s="182">
        <f>IFERROR(__xludf.DUMMYFUNCTION("""COMPUTED_VALUE"""),45661.0)</f>
        <v>45661</v>
      </c>
      <c r="CZ17" s="179">
        <f>IFERROR(__xludf.DUMMYFUNCTION("""COMPUTED_VALUE"""),0.05555555555555555)</f>
        <v>0.05555555556</v>
      </c>
      <c r="DA17" s="180">
        <f>IFERROR(__xludf.DUMMYFUNCTION("""COMPUTED_VALUE"""),45717.0)</f>
        <v>45717</v>
      </c>
      <c r="DB17" s="179">
        <f>IFERROR(__xludf.DUMMYFUNCTION("""COMPUTED_VALUE"""),0.0)</f>
        <v>0</v>
      </c>
      <c r="DC17" s="180">
        <f>IFERROR(__xludf.DUMMYFUNCTION("""COMPUTED_VALUE"""),45658.0)</f>
        <v>45658</v>
      </c>
      <c r="DD17" s="179">
        <f>IFERROR(__xludf.DUMMYFUNCTION("""COMPUTED_VALUE"""),0.0)</f>
        <v>0</v>
      </c>
      <c r="DE17" s="180">
        <f>IFERROR(__xludf.DUMMYFUNCTION("""COMPUTED_VALUE"""),45689.0)</f>
        <v>45689</v>
      </c>
      <c r="DF17" s="179">
        <f>IFERROR(__xludf.DUMMYFUNCTION("""COMPUTED_VALUE"""),0.0)</f>
        <v>0</v>
      </c>
      <c r="DG17" s="180">
        <f>IFERROR(__xludf.DUMMYFUNCTION("""COMPUTED_VALUE"""),45778.0)</f>
        <v>45778</v>
      </c>
      <c r="DH17" s="179">
        <f>IFERROR(__xludf.DUMMYFUNCTION("""COMPUTED_VALUE"""),0.05555555555555555)</f>
        <v>0.05555555556</v>
      </c>
      <c r="DI17" s="180">
        <f>IFERROR(__xludf.DUMMYFUNCTION("""COMPUTED_VALUE"""),45717.0)</f>
        <v>45717</v>
      </c>
      <c r="DJ17" s="179">
        <f>IFERROR(__xludf.DUMMYFUNCTION("""COMPUTED_VALUE"""),0.0)</f>
        <v>0</v>
      </c>
      <c r="DK17" s="180">
        <f>IFERROR(__xludf.DUMMYFUNCTION("""COMPUTED_VALUE"""),45658.0)</f>
        <v>45658</v>
      </c>
      <c r="DL17" s="179">
        <f>IFERROR(__xludf.DUMMYFUNCTION("""COMPUTED_VALUE"""),0.0)</f>
        <v>0</v>
      </c>
      <c r="DM17" s="180">
        <f>IFERROR(__xludf.DUMMYFUNCTION("""COMPUTED_VALUE"""),45689.0)</f>
        <v>45689</v>
      </c>
      <c r="DN17" s="179">
        <f>IFERROR(__xludf.DUMMYFUNCTION("""COMPUTED_VALUE"""),0.0)</f>
        <v>0</v>
      </c>
      <c r="DO17" s="180">
        <f>IFERROR(__xludf.DUMMYFUNCTION("""COMPUTED_VALUE"""),45748.0)</f>
        <v>45748</v>
      </c>
      <c r="DP17" s="179">
        <f>IFERROR(__xludf.DUMMYFUNCTION("""COMPUTED_VALUE"""),0.0)</f>
        <v>0</v>
      </c>
      <c r="DQ17" s="180">
        <f>IFERROR(__xludf.DUMMYFUNCTION("""COMPUTED_VALUE"""),45695.0)</f>
        <v>45695</v>
      </c>
      <c r="DR17" s="179">
        <f>IFERROR(__xludf.DUMMYFUNCTION("""COMPUTED_VALUE"""),0.25)</f>
        <v>0.25</v>
      </c>
      <c r="DS17" s="182">
        <f>IFERROR(__xludf.DUMMYFUNCTION("""COMPUTED_VALUE"""),45778.0)</f>
        <v>45778</v>
      </c>
      <c r="DT17" s="179">
        <f>IFERROR(__xludf.DUMMYFUNCTION("""COMPUTED_VALUE"""),0.0)</f>
        <v>0</v>
      </c>
      <c r="DU17" s="180">
        <f>IFERROR(__xludf.DUMMYFUNCTION("""COMPUTED_VALUE"""),45748.0)</f>
        <v>45748</v>
      </c>
      <c r="DV17" s="179">
        <f>IFERROR(__xludf.DUMMYFUNCTION("""COMPUTED_VALUE"""),0.0)</f>
        <v>0</v>
      </c>
      <c r="DW17" s="180">
        <f>IFERROR(__xludf.DUMMYFUNCTION("""COMPUTED_VALUE"""),45748.0)</f>
        <v>45748</v>
      </c>
      <c r="DX17" s="179">
        <f>IFERROR(__xludf.DUMMYFUNCTION("""COMPUTED_VALUE"""),0.0)</f>
        <v>0</v>
      </c>
      <c r="DY17" s="180">
        <f>IFERROR(__xludf.DUMMYFUNCTION("""COMPUTED_VALUE"""),45778.0)</f>
        <v>45778</v>
      </c>
      <c r="DZ17" s="179">
        <f>IFERROR(__xludf.DUMMYFUNCTION("""COMPUTED_VALUE"""),0.0)</f>
        <v>0</v>
      </c>
      <c r="EA17" s="180">
        <f>IFERROR(__xludf.DUMMYFUNCTION("""COMPUTED_VALUE"""),45809.0)</f>
        <v>45809</v>
      </c>
      <c r="EB17" s="179">
        <f>IFERROR(__xludf.DUMMYFUNCTION("""COMPUTED_VALUE"""),0.0)</f>
        <v>0</v>
      </c>
      <c r="EC17" s="180">
        <f>IFERROR(__xludf.DUMMYFUNCTION("""COMPUTED_VALUE"""),45778.0)</f>
        <v>45778</v>
      </c>
      <c r="ED17" s="179">
        <f>IFERROR(__xludf.DUMMYFUNCTION("""COMPUTED_VALUE"""),0.0)</f>
        <v>0</v>
      </c>
      <c r="EE17" s="180">
        <f>IFERROR(__xludf.DUMMYFUNCTION("""COMPUTED_VALUE"""),45689.0)</f>
        <v>45689</v>
      </c>
      <c r="EF17" s="179">
        <f>IFERROR(__xludf.DUMMYFUNCTION("""COMPUTED_VALUE"""),0.0)</f>
        <v>0</v>
      </c>
      <c r="EG17" s="180">
        <f>IFERROR(__xludf.DUMMYFUNCTION("""COMPUTED_VALUE"""),45778.0)</f>
        <v>45778</v>
      </c>
      <c r="EH17" s="179">
        <f>IFERROR(__xludf.DUMMYFUNCTION("""COMPUTED_VALUE"""),0.0)</f>
        <v>0</v>
      </c>
      <c r="EI17" s="180">
        <f>IFERROR(__xludf.DUMMYFUNCTION("""COMPUTED_VALUE"""),45778.0)</f>
        <v>45778</v>
      </c>
      <c r="EJ17" s="179">
        <f>IFERROR(__xludf.DUMMYFUNCTION("""COMPUTED_VALUE"""),0.0)</f>
        <v>0</v>
      </c>
      <c r="EK17" s="180">
        <f>IFERROR(__xludf.DUMMYFUNCTION("""COMPUTED_VALUE"""),45717.0)</f>
        <v>45717</v>
      </c>
      <c r="EL17" s="179">
        <f>IFERROR(__xludf.DUMMYFUNCTION("""COMPUTED_VALUE"""),0.0)</f>
        <v>0</v>
      </c>
      <c r="EM17" s="182">
        <f>IFERROR(__xludf.DUMMYFUNCTION("""COMPUTED_VALUE"""),45689.0)</f>
        <v>45689</v>
      </c>
      <c r="EN17" s="179">
        <f>IFERROR(__xludf.DUMMYFUNCTION("""COMPUTED_VALUE"""),0.0)</f>
        <v>0</v>
      </c>
      <c r="EO17" s="180">
        <f>IFERROR(__xludf.DUMMYFUNCTION("""COMPUTED_VALUE"""),45748.0)</f>
        <v>45748</v>
      </c>
      <c r="EP17" s="179">
        <f>IFERROR(__xludf.DUMMYFUNCTION("""COMPUTED_VALUE"""),0.0)</f>
        <v>0</v>
      </c>
      <c r="EQ17" s="180">
        <f>IFERROR(__xludf.DUMMYFUNCTION("""COMPUTED_VALUE"""),45725.0)</f>
        <v>45725</v>
      </c>
      <c r="ER17" s="179">
        <f>IFERROR(__xludf.DUMMYFUNCTION("""COMPUTED_VALUE"""),0.0625)</f>
        <v>0.0625</v>
      </c>
      <c r="ES17" s="180">
        <f>IFERROR(__xludf.DUMMYFUNCTION("""COMPUTED_VALUE"""),45809.0)</f>
        <v>45809</v>
      </c>
      <c r="ET17" s="179">
        <f>IFERROR(__xludf.DUMMYFUNCTION("""COMPUTED_VALUE"""),0.0)</f>
        <v>0</v>
      </c>
      <c r="EU17" s="180">
        <f>IFERROR(__xludf.DUMMYFUNCTION("""COMPUTED_VALUE"""),45778.0)</f>
        <v>45778</v>
      </c>
      <c r="EV17" s="179">
        <f>IFERROR(__xludf.DUMMYFUNCTION("""COMPUTED_VALUE"""),0.0)</f>
        <v>0</v>
      </c>
      <c r="EW17" s="180">
        <f>IFERROR(__xludf.DUMMYFUNCTION("""COMPUTED_VALUE"""),45809.0)</f>
        <v>45809</v>
      </c>
      <c r="EX17" s="179">
        <f>IFERROR(__xludf.DUMMYFUNCTION("""COMPUTED_VALUE"""),0.0)</f>
        <v>0</v>
      </c>
      <c r="EY17" s="180">
        <f>IFERROR(__xludf.DUMMYFUNCTION("""COMPUTED_VALUE"""),45778.0)</f>
        <v>45778</v>
      </c>
      <c r="EZ17" s="179">
        <f>IFERROR(__xludf.DUMMYFUNCTION("""COMPUTED_VALUE"""),0.0)</f>
        <v>0</v>
      </c>
      <c r="FA17" s="180">
        <f>IFERROR(__xludf.DUMMYFUNCTION("""COMPUTED_VALUE"""),45778.0)</f>
        <v>45778</v>
      </c>
      <c r="FB17" s="179">
        <f>IFERROR(__xludf.DUMMYFUNCTION("""COMPUTED_VALUE"""),0.0)</f>
        <v>0</v>
      </c>
      <c r="FC17" s="180">
        <f>IFERROR(__xludf.DUMMYFUNCTION("""COMPUTED_VALUE"""),45778.0)</f>
        <v>45778</v>
      </c>
      <c r="FD17" s="179">
        <f>IFERROR(__xludf.DUMMYFUNCTION("""COMPUTED_VALUE"""),0.0)</f>
        <v>0</v>
      </c>
      <c r="FE17" s="180">
        <f>IFERROR(__xludf.DUMMYFUNCTION("""COMPUTED_VALUE"""),45876.0)</f>
        <v>45876</v>
      </c>
      <c r="FF17" s="179">
        <f>IFERROR(__xludf.DUMMYFUNCTION("""COMPUTED_VALUE"""),0.16666666666666666)</f>
        <v>0.1666666667</v>
      </c>
      <c r="FG17" s="182">
        <f>IFERROR(__xludf.DUMMYFUNCTION("""COMPUTED_VALUE"""),45689.0)</f>
        <v>45689</v>
      </c>
      <c r="FH17" s="179">
        <f>IFERROR(__xludf.DUMMYFUNCTION("""COMPUTED_VALUE"""),0.0)</f>
        <v>0</v>
      </c>
      <c r="FI17" s="180">
        <f>IFERROR(__xludf.DUMMYFUNCTION("""COMPUTED_VALUE"""),45848.0)</f>
        <v>45848</v>
      </c>
      <c r="FJ17" s="179">
        <f>IFERROR(__xludf.DUMMYFUNCTION("""COMPUTED_VALUE"""),0.16666666666666666)</f>
        <v>0.1666666667</v>
      </c>
      <c r="FK17" s="180">
        <f>IFERROR(__xludf.DUMMYFUNCTION("""COMPUTED_VALUE"""),45843.0)</f>
        <v>45843</v>
      </c>
      <c r="FL17" s="179">
        <f>IFERROR(__xludf.DUMMYFUNCTION("""COMPUTED_VALUE"""),0.125)</f>
        <v>0.125</v>
      </c>
      <c r="FM17" s="180">
        <f>IFERROR(__xludf.DUMMYFUNCTION("""COMPUTED_VALUE"""),45749.0)</f>
        <v>45749</v>
      </c>
      <c r="FN17" s="179">
        <f>IFERROR(__xludf.DUMMYFUNCTION("""COMPUTED_VALUE"""),0.0625)</f>
        <v>0.0625</v>
      </c>
      <c r="FO17" s="180">
        <f>IFERROR(__xludf.DUMMYFUNCTION("""COMPUTED_VALUE"""),45689.0)</f>
        <v>45689</v>
      </c>
      <c r="FP17" s="179">
        <f>IFERROR(__xludf.DUMMYFUNCTION("""COMPUTED_VALUE"""),0.0)</f>
        <v>0</v>
      </c>
      <c r="FQ17" s="180">
        <f>IFERROR(__xludf.DUMMYFUNCTION("""COMPUTED_VALUE"""),45809.0)</f>
        <v>45809</v>
      </c>
      <c r="FR17" s="179">
        <f>IFERROR(__xludf.DUMMYFUNCTION("""COMPUTED_VALUE"""),0.0)</f>
        <v>0</v>
      </c>
      <c r="FS17" s="180">
        <f>IFERROR(__xludf.DUMMYFUNCTION("""COMPUTED_VALUE"""),45693.0)</f>
        <v>45693</v>
      </c>
      <c r="FT17" s="179">
        <f>IFERROR(__xludf.DUMMYFUNCTION("""COMPUTED_VALUE"""),0.16666666666666666)</f>
        <v>0.1666666667</v>
      </c>
      <c r="FU17" s="180">
        <f>IFERROR(__xludf.DUMMYFUNCTION("""COMPUTED_VALUE"""),45717.0)</f>
        <v>45717</v>
      </c>
      <c r="FV17" s="179">
        <f>IFERROR(__xludf.DUMMYFUNCTION("""COMPUTED_VALUE"""),0.0)</f>
        <v>0</v>
      </c>
      <c r="FW17" s="180">
        <f>IFERROR(__xludf.DUMMYFUNCTION("""COMPUTED_VALUE"""),45809.0)</f>
        <v>45809</v>
      </c>
      <c r="FX17" s="179">
        <f>IFERROR(__xludf.DUMMYFUNCTION("""COMPUTED_VALUE"""),0.0)</f>
        <v>0</v>
      </c>
      <c r="FY17" s="180">
        <f>IFERROR(__xludf.DUMMYFUNCTION("""COMPUTED_VALUE"""),45874.0)</f>
        <v>45874</v>
      </c>
      <c r="FZ17" s="179">
        <f>IFERROR(__xludf.DUMMYFUNCTION("""COMPUTED_VALUE"""),0.16666666666666666)</f>
        <v>0.1666666667</v>
      </c>
      <c r="GA17" s="182">
        <f>IFERROR(__xludf.DUMMYFUNCTION("""COMPUTED_VALUE"""),45809.0)</f>
        <v>45809</v>
      </c>
      <c r="GB17" s="179">
        <f>IFERROR(__xludf.DUMMYFUNCTION("""COMPUTED_VALUE"""),0.0)</f>
        <v>0</v>
      </c>
      <c r="GC17" s="180">
        <f>IFERROR(__xludf.DUMMYFUNCTION("""COMPUTED_VALUE"""),45717.0)</f>
        <v>45717</v>
      </c>
      <c r="GD17" s="179">
        <f>IFERROR(__xludf.DUMMYFUNCTION("""COMPUTED_VALUE"""),0.0)</f>
        <v>0</v>
      </c>
      <c r="GE17" s="180">
        <f>IFERROR(__xludf.DUMMYFUNCTION("""COMPUTED_VALUE"""),45717.0)</f>
        <v>45717</v>
      </c>
      <c r="GF17" s="179">
        <f>IFERROR(__xludf.DUMMYFUNCTION("""COMPUTED_VALUE"""),0.0)</f>
        <v>0</v>
      </c>
      <c r="GG17" s="180">
        <f>IFERROR(__xludf.DUMMYFUNCTION("""COMPUTED_VALUE"""),45717.0)</f>
        <v>45717</v>
      </c>
      <c r="GH17" s="179">
        <f>IFERROR(__xludf.DUMMYFUNCTION("""COMPUTED_VALUE"""),0.0)</f>
        <v>0</v>
      </c>
      <c r="GI17" s="180">
        <f>IFERROR(__xludf.DUMMYFUNCTION("""COMPUTED_VALUE"""),45809.0)</f>
        <v>45809</v>
      </c>
      <c r="GJ17" s="179">
        <f>IFERROR(__xludf.DUMMYFUNCTION("""COMPUTED_VALUE"""),0.0)</f>
        <v>0</v>
      </c>
      <c r="GK17" s="180">
        <f>IFERROR(__xludf.DUMMYFUNCTION("""COMPUTED_VALUE"""),45809.0)</f>
        <v>45809</v>
      </c>
      <c r="GL17" s="179">
        <f>IFERROR(__xludf.DUMMYFUNCTION("""COMPUTED_VALUE"""),0.0)</f>
        <v>0</v>
      </c>
      <c r="GM17" s="180">
        <f>IFERROR(__xludf.DUMMYFUNCTION("""COMPUTED_VALUE"""),45752.0)</f>
        <v>45752</v>
      </c>
      <c r="GN17" s="179">
        <f>IFERROR(__xludf.DUMMYFUNCTION("""COMPUTED_VALUE"""),0.1)</f>
        <v>0.1</v>
      </c>
      <c r="GO17" s="180">
        <f>IFERROR(__xludf.DUMMYFUNCTION("""COMPUTED_VALUE"""),45778.0)</f>
        <v>45778</v>
      </c>
      <c r="GP17" s="179">
        <f>IFERROR(__xludf.DUMMYFUNCTION("""COMPUTED_VALUE"""),0.0)</f>
        <v>0</v>
      </c>
      <c r="GQ17" s="180">
        <f>IFERROR(__xludf.DUMMYFUNCTION("""COMPUTED_VALUE"""),45658.0)</f>
        <v>45658</v>
      </c>
      <c r="GR17" s="179">
        <f>IFERROR(__xludf.DUMMYFUNCTION("""COMPUTED_VALUE"""),0.0)</f>
        <v>0</v>
      </c>
      <c r="GS17" s="180">
        <f>IFERROR(__xludf.DUMMYFUNCTION("""COMPUTED_VALUE"""),45935.0)</f>
        <v>45935</v>
      </c>
      <c r="GT17" s="179">
        <f>IFERROR(__xludf.DUMMYFUNCTION("""COMPUTED_VALUE"""),0.14285714285714285)</f>
        <v>0.1428571429</v>
      </c>
    </row>
    <row r="18" ht="31.5" customHeight="1">
      <c r="B18" s="183"/>
      <c r="C18" s="178">
        <f>IFERROR(__xludf.DUMMYFUNCTION("""COMPUTED_VALUE"""),45690.0)</f>
        <v>45690</v>
      </c>
      <c r="D18" s="179">
        <f>IFERROR(__xludf.DUMMYFUNCTION("""COMPUTED_VALUE"""),0.0)</f>
        <v>0</v>
      </c>
      <c r="E18" s="180">
        <f>IFERROR(__xludf.DUMMYFUNCTION("""COMPUTED_VALUE"""),45718.0)</f>
        <v>45718</v>
      </c>
      <c r="F18" s="179">
        <f>IFERROR(__xludf.DUMMYFUNCTION("""COMPUTED_VALUE"""),0.0)</f>
        <v>0</v>
      </c>
      <c r="G18" s="180">
        <f>IFERROR(__xludf.DUMMYFUNCTION("""COMPUTED_VALUE"""),45718.0)</f>
        <v>45718</v>
      </c>
      <c r="H18" s="179">
        <f>IFERROR(__xludf.DUMMYFUNCTION("""COMPUTED_VALUE"""),0.0)</f>
        <v>0</v>
      </c>
      <c r="I18" s="180">
        <f>IFERROR(__xludf.DUMMYFUNCTION("""COMPUTED_VALUE"""),45779.0)</f>
        <v>45779</v>
      </c>
      <c r="J18" s="179">
        <f>IFERROR(__xludf.DUMMYFUNCTION("""COMPUTED_VALUE"""),0.0)</f>
        <v>0</v>
      </c>
      <c r="K18" s="180">
        <f>IFERROR(__xludf.DUMMYFUNCTION("""COMPUTED_VALUE"""),45778.0)</f>
        <v>45778</v>
      </c>
      <c r="L18" s="179">
        <f>IFERROR(__xludf.DUMMYFUNCTION("""COMPUTED_VALUE"""),0.0)</f>
        <v>0</v>
      </c>
      <c r="M18" s="180">
        <f>IFERROR(__xludf.DUMMYFUNCTION("""COMPUTED_VALUE"""),45690.0)</f>
        <v>45690</v>
      </c>
      <c r="N18" s="179">
        <f>IFERROR(__xludf.DUMMYFUNCTION("""COMPUTED_VALUE"""),0.0)</f>
        <v>0</v>
      </c>
      <c r="O18" s="180">
        <f>IFERROR(__xludf.DUMMYFUNCTION("""COMPUTED_VALUE"""),45844.0)</f>
        <v>45844</v>
      </c>
      <c r="P18" s="179">
        <f>IFERROR(__xludf.DUMMYFUNCTION("""COMPUTED_VALUE"""),0.125)</f>
        <v>0.125</v>
      </c>
      <c r="Q18" s="180">
        <f>IFERROR(__xludf.DUMMYFUNCTION("""COMPUTED_VALUE"""),45936.0)</f>
        <v>45936</v>
      </c>
      <c r="R18" s="179">
        <f>IFERROR(__xludf.DUMMYFUNCTION("""COMPUTED_VALUE"""),0.16666666666666666)</f>
        <v>0.1666666667</v>
      </c>
      <c r="S18" s="180">
        <f>IFERROR(__xludf.DUMMYFUNCTION("""COMPUTED_VALUE"""),45749.0)</f>
        <v>45749</v>
      </c>
      <c r="T18" s="179">
        <f>IFERROR(__xludf.DUMMYFUNCTION("""COMPUTED_VALUE"""),0.0)</f>
        <v>0</v>
      </c>
      <c r="U18" s="180">
        <f>IFERROR(__xludf.DUMMYFUNCTION("""COMPUTED_VALUE"""),45844.0)</f>
        <v>45844</v>
      </c>
      <c r="V18" s="181">
        <f>IFERROR(__xludf.DUMMYFUNCTION("""COMPUTED_VALUE"""),0.25)</f>
        <v>0.25</v>
      </c>
      <c r="W18" s="178">
        <f>IFERROR(__xludf.DUMMYFUNCTION("""COMPUTED_VALUE"""),45689.0)</f>
        <v>45689</v>
      </c>
      <c r="X18" s="179">
        <f>IFERROR(__xludf.DUMMYFUNCTION("""COMPUTED_VALUE"""),0.0)</f>
        <v>0</v>
      </c>
      <c r="Y18" s="180">
        <f>IFERROR(__xludf.DUMMYFUNCTION("""COMPUTED_VALUE"""),45697.0)</f>
        <v>45697</v>
      </c>
      <c r="Z18" s="179">
        <f>IFERROR(__xludf.DUMMYFUNCTION("""COMPUTED_VALUE"""),0.07142857142857142)</f>
        <v>0.07142857143</v>
      </c>
      <c r="AA18" s="180">
        <f>IFERROR(__xludf.DUMMYFUNCTION("""COMPUTED_VALUE"""),45778.0)</f>
        <v>45778</v>
      </c>
      <c r="AB18" s="179">
        <f>IFERROR(__xludf.DUMMYFUNCTION("""COMPUTED_VALUE"""),0.0)</f>
        <v>0</v>
      </c>
      <c r="AC18" s="180">
        <f>IFERROR(__xludf.DUMMYFUNCTION("""COMPUTED_VALUE"""),45847.0)</f>
        <v>45847</v>
      </c>
      <c r="AD18" s="179">
        <f>IFERROR(__xludf.DUMMYFUNCTION("""COMPUTED_VALUE"""),0.1)</f>
        <v>0.1</v>
      </c>
      <c r="AE18" s="180">
        <f>IFERROR(__xludf.DUMMYFUNCTION("""COMPUTED_VALUE"""),45660.0)</f>
        <v>45660</v>
      </c>
      <c r="AF18" s="179">
        <f>IFERROR(__xludf.DUMMYFUNCTION("""COMPUTED_VALUE"""),0.1)</f>
        <v>0.1</v>
      </c>
      <c r="AG18" s="180">
        <f>IFERROR(__xludf.DUMMYFUNCTION("""COMPUTED_VALUE"""),45689.0)</f>
        <v>45689</v>
      </c>
      <c r="AH18" s="179">
        <f>IFERROR(__xludf.DUMMYFUNCTION("""COMPUTED_VALUE"""),0.0)</f>
        <v>0</v>
      </c>
      <c r="AI18" s="180">
        <f>IFERROR(__xludf.DUMMYFUNCTION("""COMPUTED_VALUE"""),45843.0)</f>
        <v>45843</v>
      </c>
      <c r="AJ18" s="179">
        <f>IFERROR(__xludf.DUMMYFUNCTION("""COMPUTED_VALUE"""),0.125)</f>
        <v>0.125</v>
      </c>
      <c r="AK18" s="180">
        <f>IFERROR(__xludf.DUMMYFUNCTION("""COMPUTED_VALUE"""),45748.0)</f>
        <v>45748</v>
      </c>
      <c r="AL18" s="179">
        <f>IFERROR(__xludf.DUMMYFUNCTION("""COMPUTED_VALUE"""),0.0)</f>
        <v>0</v>
      </c>
      <c r="AM18" s="180">
        <f>IFERROR(__xludf.DUMMYFUNCTION("""COMPUTED_VALUE"""),45809.0)</f>
        <v>45809</v>
      </c>
      <c r="AN18" s="179">
        <f>IFERROR(__xludf.DUMMYFUNCTION("""COMPUTED_VALUE"""),0.0)</f>
        <v>0</v>
      </c>
      <c r="AO18" s="180">
        <f>IFERROR(__xludf.DUMMYFUNCTION("""COMPUTED_VALUE"""),45724.0)</f>
        <v>45724</v>
      </c>
      <c r="AP18" s="181">
        <f>IFERROR(__xludf.DUMMYFUNCTION("""COMPUTED_VALUE"""),0.16666666666666666)</f>
        <v>0.1666666667</v>
      </c>
      <c r="AQ18" s="178">
        <f>IFERROR(__xludf.DUMMYFUNCTION("""COMPUTED_VALUE"""),45717.0)</f>
        <v>45717</v>
      </c>
      <c r="AR18" s="179">
        <f>IFERROR(__xludf.DUMMYFUNCTION("""COMPUTED_VALUE"""),0.0)</f>
        <v>0</v>
      </c>
      <c r="AS18" s="180">
        <f>IFERROR(__xludf.DUMMYFUNCTION("""COMPUTED_VALUE"""),45778.0)</f>
        <v>45778</v>
      </c>
      <c r="AT18" s="179">
        <f>IFERROR(__xludf.DUMMYFUNCTION("""COMPUTED_VALUE"""),0.0)</f>
        <v>0</v>
      </c>
      <c r="AU18" s="180">
        <f>IFERROR(__xludf.DUMMYFUNCTION("""COMPUTED_VALUE"""),45748.0)</f>
        <v>45748</v>
      </c>
      <c r="AV18" s="179">
        <f>IFERROR(__xludf.DUMMYFUNCTION("""COMPUTED_VALUE"""),0.0)</f>
        <v>0</v>
      </c>
      <c r="AW18" s="180">
        <f>IFERROR(__xludf.DUMMYFUNCTION("""COMPUTED_VALUE"""),45748.0)</f>
        <v>45748</v>
      </c>
      <c r="AX18" s="179">
        <f>IFERROR(__xludf.DUMMYFUNCTION("""COMPUTED_VALUE"""),0.0)</f>
        <v>0</v>
      </c>
      <c r="AY18" s="180">
        <f>IFERROR(__xludf.DUMMYFUNCTION("""COMPUTED_VALUE"""),45689.0)</f>
        <v>45689</v>
      </c>
      <c r="AZ18" s="179">
        <f>IFERROR(__xludf.DUMMYFUNCTION("""COMPUTED_VALUE"""),0.0)</f>
        <v>0</v>
      </c>
      <c r="BA18" s="180">
        <f>IFERROR(__xludf.DUMMYFUNCTION("""COMPUTED_VALUE"""),45717.0)</f>
        <v>45717</v>
      </c>
      <c r="BB18" s="179">
        <f>IFERROR(__xludf.DUMMYFUNCTION("""COMPUTED_VALUE"""),0.0)</f>
        <v>0</v>
      </c>
      <c r="BC18" s="180">
        <f>IFERROR(__xludf.DUMMYFUNCTION("""COMPUTED_VALUE"""),45717.0)</f>
        <v>45717</v>
      </c>
      <c r="BD18" s="179">
        <f>IFERROR(__xludf.DUMMYFUNCTION("""COMPUTED_VALUE"""),0.0)</f>
        <v>0</v>
      </c>
      <c r="BE18" s="180">
        <f>IFERROR(__xludf.DUMMYFUNCTION("""COMPUTED_VALUE"""),45839.0)</f>
        <v>45839</v>
      </c>
      <c r="BF18" s="179">
        <f>IFERROR(__xludf.DUMMYFUNCTION("""COMPUTED_VALUE"""),0.0)</f>
        <v>0</v>
      </c>
      <c r="BG18" s="180">
        <f>IFERROR(__xludf.DUMMYFUNCTION("""COMPUTED_VALUE"""),45748.0)</f>
        <v>45748</v>
      </c>
      <c r="BH18" s="179">
        <f>IFERROR(__xludf.DUMMYFUNCTION("""COMPUTED_VALUE"""),0.0)</f>
        <v>0</v>
      </c>
      <c r="BI18" s="180">
        <f>IFERROR(__xludf.DUMMYFUNCTION("""COMPUTED_VALUE"""),45658.0)</f>
        <v>45658</v>
      </c>
      <c r="BJ18" s="179">
        <f>IFERROR(__xludf.DUMMYFUNCTION("""COMPUTED_VALUE"""),0.0)</f>
        <v>0</v>
      </c>
      <c r="BK18" s="182">
        <f>IFERROR(__xludf.DUMMYFUNCTION("""COMPUTED_VALUE"""),45748.0)</f>
        <v>45748</v>
      </c>
      <c r="BL18" s="179">
        <f>IFERROR(__xludf.DUMMYFUNCTION("""COMPUTED_VALUE"""),0.0)</f>
        <v>0</v>
      </c>
      <c r="BM18" s="180">
        <f>IFERROR(__xludf.DUMMYFUNCTION("""COMPUTED_VALUE"""),45658.0)</f>
        <v>45658</v>
      </c>
      <c r="BN18" s="179">
        <f>IFERROR(__xludf.DUMMYFUNCTION("""COMPUTED_VALUE"""),0.0)</f>
        <v>0</v>
      </c>
      <c r="BO18" s="180">
        <f>IFERROR(__xludf.DUMMYFUNCTION("""COMPUTED_VALUE"""),45750.0)</f>
        <v>45750</v>
      </c>
      <c r="BP18" s="179">
        <f>IFERROR(__xludf.DUMMYFUNCTION("""COMPUTED_VALUE"""),0.125)</f>
        <v>0.125</v>
      </c>
      <c r="BQ18" s="180">
        <f>IFERROR(__xludf.DUMMYFUNCTION("""COMPUTED_VALUE"""),45778.0)</f>
        <v>45778</v>
      </c>
      <c r="BR18" s="179">
        <f>IFERROR(__xludf.DUMMYFUNCTION("""COMPUTED_VALUE"""),0.0)</f>
        <v>0</v>
      </c>
      <c r="BS18" s="180">
        <f>IFERROR(__xludf.DUMMYFUNCTION("""COMPUTED_VALUE"""),45839.0)</f>
        <v>45839</v>
      </c>
      <c r="BT18" s="179">
        <f>IFERROR(__xludf.DUMMYFUNCTION("""COMPUTED_VALUE"""),0.0)</f>
        <v>0</v>
      </c>
      <c r="BU18" s="180">
        <f>IFERROR(__xludf.DUMMYFUNCTION("""COMPUTED_VALUE"""),45809.0)</f>
        <v>45809</v>
      </c>
      <c r="BV18" s="179">
        <f>IFERROR(__xludf.DUMMYFUNCTION("""COMPUTED_VALUE"""),0.0)</f>
        <v>0</v>
      </c>
      <c r="BW18" s="180">
        <f>IFERROR(__xludf.DUMMYFUNCTION("""COMPUTED_VALUE"""),45843.0)</f>
        <v>45843</v>
      </c>
      <c r="BX18" s="179">
        <f>IFERROR(__xludf.DUMMYFUNCTION("""COMPUTED_VALUE"""),0.0625)</f>
        <v>0.0625</v>
      </c>
      <c r="BY18" s="180">
        <f>IFERROR(__xludf.DUMMYFUNCTION("""COMPUTED_VALUE"""),45778.0)</f>
        <v>45778</v>
      </c>
      <c r="BZ18" s="179">
        <f>IFERROR(__xludf.DUMMYFUNCTION("""COMPUTED_VALUE"""),0.0)</f>
        <v>0</v>
      </c>
      <c r="CA18" s="180">
        <f>IFERROR(__xludf.DUMMYFUNCTION("""COMPUTED_VALUE"""),45717.0)</f>
        <v>45717</v>
      </c>
      <c r="CB18" s="179">
        <f>IFERROR(__xludf.DUMMYFUNCTION("""COMPUTED_VALUE"""),0.0)</f>
        <v>0</v>
      </c>
      <c r="CC18" s="180">
        <f>IFERROR(__xludf.DUMMYFUNCTION("""COMPUTED_VALUE"""),45717.0)</f>
        <v>45717</v>
      </c>
      <c r="CD18" s="179">
        <f>IFERROR(__xludf.DUMMYFUNCTION("""COMPUTED_VALUE"""),0.0)</f>
        <v>0</v>
      </c>
      <c r="CE18" s="182">
        <f>IFERROR(__xludf.DUMMYFUNCTION("""COMPUTED_VALUE"""),45839.0)</f>
        <v>45839</v>
      </c>
      <c r="CF18" s="179">
        <f>IFERROR(__xludf.DUMMYFUNCTION("""COMPUTED_VALUE"""),0.0)</f>
        <v>0</v>
      </c>
      <c r="CG18" s="180">
        <f>IFERROR(__xludf.DUMMYFUNCTION("""COMPUTED_VALUE"""),45658.0)</f>
        <v>45658</v>
      </c>
      <c r="CH18" s="179">
        <f>IFERROR(__xludf.DUMMYFUNCTION("""COMPUTED_VALUE"""),0.0)</f>
        <v>0</v>
      </c>
      <c r="CI18" s="180">
        <f>IFERROR(__xludf.DUMMYFUNCTION("""COMPUTED_VALUE"""),45689.0)</f>
        <v>45689</v>
      </c>
      <c r="CJ18" s="179">
        <f>IFERROR(__xludf.DUMMYFUNCTION("""COMPUTED_VALUE"""),0.0)</f>
        <v>0</v>
      </c>
      <c r="CK18" s="180">
        <f>IFERROR(__xludf.DUMMYFUNCTION("""COMPUTED_VALUE"""),45717.0)</f>
        <v>45717</v>
      </c>
      <c r="CL18" s="179">
        <f>IFERROR(__xludf.DUMMYFUNCTION("""COMPUTED_VALUE"""),0.0)</f>
        <v>0</v>
      </c>
      <c r="CM18" s="180">
        <f>IFERROR(__xludf.DUMMYFUNCTION("""COMPUTED_VALUE"""),45689.0)</f>
        <v>45689</v>
      </c>
      <c r="CN18" s="179">
        <f>IFERROR(__xludf.DUMMYFUNCTION("""COMPUTED_VALUE"""),0.0)</f>
        <v>0</v>
      </c>
      <c r="CO18" s="180">
        <f>IFERROR(__xludf.DUMMYFUNCTION("""COMPUTED_VALUE"""),45658.0)</f>
        <v>45658</v>
      </c>
      <c r="CP18" s="179">
        <f>IFERROR(__xludf.DUMMYFUNCTION("""COMPUTED_VALUE"""),0.0)</f>
        <v>0</v>
      </c>
      <c r="CQ18" s="180">
        <f>IFERROR(__xludf.DUMMYFUNCTION("""COMPUTED_VALUE"""),45936.0)</f>
        <v>45936</v>
      </c>
      <c r="CR18" s="179">
        <f>IFERROR(__xludf.DUMMYFUNCTION("""COMPUTED_VALUE"""),0.25)</f>
        <v>0.25</v>
      </c>
      <c r="CS18" s="180">
        <f>IFERROR(__xludf.DUMMYFUNCTION("""COMPUTED_VALUE"""),45658.0)</f>
        <v>45658</v>
      </c>
      <c r="CT18" s="179">
        <f>IFERROR(__xludf.DUMMYFUNCTION("""COMPUTED_VALUE"""),0.0)</f>
        <v>0</v>
      </c>
      <c r="CU18" s="180">
        <f>IFERROR(__xludf.DUMMYFUNCTION("""COMPUTED_VALUE"""),45839.0)</f>
        <v>45839</v>
      </c>
      <c r="CV18" s="179">
        <f>IFERROR(__xludf.DUMMYFUNCTION("""COMPUTED_VALUE"""),0.0)</f>
        <v>0</v>
      </c>
      <c r="CW18" s="180">
        <f>IFERROR(__xludf.DUMMYFUNCTION("""COMPUTED_VALUE"""),45873.0)</f>
        <v>45873</v>
      </c>
      <c r="CX18" s="179">
        <f>IFERROR(__xludf.DUMMYFUNCTION("""COMPUTED_VALUE"""),0.16666666666666666)</f>
        <v>0.1666666667</v>
      </c>
      <c r="CY18" s="182">
        <f>IFERROR(__xludf.DUMMYFUNCTION("""COMPUTED_VALUE"""),45689.0)</f>
        <v>45689</v>
      </c>
      <c r="CZ18" s="179">
        <f>IFERROR(__xludf.DUMMYFUNCTION("""COMPUTED_VALUE"""),0.0)</f>
        <v>0</v>
      </c>
      <c r="DA18" s="180">
        <f>IFERROR(__xludf.DUMMYFUNCTION("""COMPUTED_VALUE"""),45748.0)</f>
        <v>45748</v>
      </c>
      <c r="DB18" s="179">
        <f>IFERROR(__xludf.DUMMYFUNCTION("""COMPUTED_VALUE"""),0.0)</f>
        <v>0</v>
      </c>
      <c r="DC18" s="180">
        <f>IFERROR(__xludf.DUMMYFUNCTION("""COMPUTED_VALUE"""),45689.0)</f>
        <v>45689</v>
      </c>
      <c r="DD18" s="179">
        <f>IFERROR(__xludf.DUMMYFUNCTION("""COMPUTED_VALUE"""),0.0)</f>
        <v>0</v>
      </c>
      <c r="DE18" s="180">
        <f>IFERROR(__xludf.DUMMYFUNCTION("""COMPUTED_VALUE"""),45717.0)</f>
        <v>45717</v>
      </c>
      <c r="DF18" s="179">
        <f>IFERROR(__xludf.DUMMYFUNCTION("""COMPUTED_VALUE"""),0.0)</f>
        <v>0</v>
      </c>
      <c r="DG18" s="180">
        <f>IFERROR(__xludf.DUMMYFUNCTION("""COMPUTED_VALUE"""),45689.0)</f>
        <v>45689</v>
      </c>
      <c r="DH18" s="179">
        <f>IFERROR(__xludf.DUMMYFUNCTION("""COMPUTED_VALUE"""),0.0)</f>
        <v>0</v>
      </c>
      <c r="DI18" s="180">
        <f>IFERROR(__xludf.DUMMYFUNCTION("""COMPUTED_VALUE"""),45748.0)</f>
        <v>45748</v>
      </c>
      <c r="DJ18" s="179">
        <f>IFERROR(__xludf.DUMMYFUNCTION("""COMPUTED_VALUE"""),0.0)</f>
        <v>0</v>
      </c>
      <c r="DK18" s="180">
        <f>IFERROR(__xludf.DUMMYFUNCTION("""COMPUTED_VALUE"""),45689.0)</f>
        <v>45689</v>
      </c>
      <c r="DL18" s="179">
        <f>IFERROR(__xludf.DUMMYFUNCTION("""COMPUTED_VALUE"""),0.0)</f>
        <v>0</v>
      </c>
      <c r="DM18" s="180">
        <f>IFERROR(__xludf.DUMMYFUNCTION("""COMPUTED_VALUE"""),45717.0)</f>
        <v>45717</v>
      </c>
      <c r="DN18" s="179">
        <f>IFERROR(__xludf.DUMMYFUNCTION("""COMPUTED_VALUE"""),0.0)</f>
        <v>0</v>
      </c>
      <c r="DO18" s="180">
        <f>IFERROR(__xludf.DUMMYFUNCTION("""COMPUTED_VALUE"""),45778.0)</f>
        <v>45778</v>
      </c>
      <c r="DP18" s="179">
        <f>IFERROR(__xludf.DUMMYFUNCTION("""COMPUTED_VALUE"""),0.0)</f>
        <v>0</v>
      </c>
      <c r="DQ18" s="180">
        <f>IFERROR(__xludf.DUMMYFUNCTION("""COMPUTED_VALUE"""),45845.0)</f>
        <v>45845</v>
      </c>
      <c r="DR18" s="179">
        <f>IFERROR(__xludf.DUMMYFUNCTION("""COMPUTED_VALUE"""),0.25)</f>
        <v>0.25</v>
      </c>
      <c r="DS18" s="182">
        <f>IFERROR(__xludf.DUMMYFUNCTION("""COMPUTED_VALUE"""),45809.0)</f>
        <v>45809</v>
      </c>
      <c r="DT18" s="179">
        <f>IFERROR(__xludf.DUMMYFUNCTION("""COMPUTED_VALUE"""),0.0)</f>
        <v>0</v>
      </c>
      <c r="DU18" s="180">
        <f>IFERROR(__xludf.DUMMYFUNCTION("""COMPUTED_VALUE"""),45778.0)</f>
        <v>45778</v>
      </c>
      <c r="DV18" s="179">
        <f>IFERROR(__xludf.DUMMYFUNCTION("""COMPUTED_VALUE"""),0.0)</f>
        <v>0</v>
      </c>
      <c r="DW18" s="180">
        <f>IFERROR(__xludf.DUMMYFUNCTION("""COMPUTED_VALUE"""),45778.0)</f>
        <v>45778</v>
      </c>
      <c r="DX18" s="179">
        <f>IFERROR(__xludf.DUMMYFUNCTION("""COMPUTED_VALUE"""),0.0)</f>
        <v>0</v>
      </c>
      <c r="DY18" s="180">
        <f>IFERROR(__xludf.DUMMYFUNCTION("""COMPUTED_VALUE"""),45809.0)</f>
        <v>45809</v>
      </c>
      <c r="DZ18" s="179">
        <f>IFERROR(__xludf.DUMMYFUNCTION("""COMPUTED_VALUE"""),0.0)</f>
        <v>0</v>
      </c>
      <c r="EA18" s="180">
        <f>IFERROR(__xludf.DUMMYFUNCTION("""COMPUTED_VALUE"""),45839.0)</f>
        <v>45839</v>
      </c>
      <c r="EB18" s="179">
        <f>IFERROR(__xludf.DUMMYFUNCTION("""COMPUTED_VALUE"""),0.0)</f>
        <v>0</v>
      </c>
      <c r="EC18" s="180">
        <f>IFERROR(__xludf.DUMMYFUNCTION("""COMPUTED_VALUE"""),45809.0)</f>
        <v>45809</v>
      </c>
      <c r="ED18" s="179">
        <f>IFERROR(__xludf.DUMMYFUNCTION("""COMPUTED_VALUE"""),0.0)</f>
        <v>0</v>
      </c>
      <c r="EE18" s="180">
        <f>IFERROR(__xludf.DUMMYFUNCTION("""COMPUTED_VALUE"""),45717.0)</f>
        <v>45717</v>
      </c>
      <c r="EF18" s="179">
        <f>IFERROR(__xludf.DUMMYFUNCTION("""COMPUTED_VALUE"""),0.0)</f>
        <v>0</v>
      </c>
      <c r="EG18" s="180">
        <f>IFERROR(__xludf.DUMMYFUNCTION("""COMPUTED_VALUE"""),45809.0)</f>
        <v>45809</v>
      </c>
      <c r="EH18" s="179">
        <f>IFERROR(__xludf.DUMMYFUNCTION("""COMPUTED_VALUE"""),0.0)</f>
        <v>0</v>
      </c>
      <c r="EI18" s="180">
        <f>IFERROR(__xludf.DUMMYFUNCTION("""COMPUTED_VALUE"""),45809.0)</f>
        <v>45809</v>
      </c>
      <c r="EJ18" s="179">
        <f>IFERROR(__xludf.DUMMYFUNCTION("""COMPUTED_VALUE"""),0.0)</f>
        <v>0</v>
      </c>
      <c r="EK18" s="180">
        <f>IFERROR(__xludf.DUMMYFUNCTION("""COMPUTED_VALUE"""),45748.0)</f>
        <v>45748</v>
      </c>
      <c r="EL18" s="179">
        <f>IFERROR(__xludf.DUMMYFUNCTION("""COMPUTED_VALUE"""),0.0)</f>
        <v>0</v>
      </c>
      <c r="EM18" s="182">
        <f>IFERROR(__xludf.DUMMYFUNCTION("""COMPUTED_VALUE"""),45717.0)</f>
        <v>45717</v>
      </c>
      <c r="EN18" s="179">
        <f>IFERROR(__xludf.DUMMYFUNCTION("""COMPUTED_VALUE"""),0.0)</f>
        <v>0</v>
      </c>
      <c r="EO18" s="180">
        <f>IFERROR(__xludf.DUMMYFUNCTION("""COMPUTED_VALUE"""),45809.0)</f>
        <v>45809</v>
      </c>
      <c r="EP18" s="179">
        <f>IFERROR(__xludf.DUMMYFUNCTION("""COMPUTED_VALUE"""),0.0)</f>
        <v>0</v>
      </c>
      <c r="EQ18" s="180">
        <f>IFERROR(__xludf.DUMMYFUNCTION("""COMPUTED_VALUE"""),45658.0)</f>
        <v>45658</v>
      </c>
      <c r="ER18" s="179">
        <f>IFERROR(__xludf.DUMMYFUNCTION("""COMPUTED_VALUE"""),0.0)</f>
        <v>0</v>
      </c>
      <c r="ES18" s="180">
        <f>IFERROR(__xludf.DUMMYFUNCTION("""COMPUTED_VALUE"""),45839.0)</f>
        <v>45839</v>
      </c>
      <c r="ET18" s="179">
        <f>IFERROR(__xludf.DUMMYFUNCTION("""COMPUTED_VALUE"""),0.0)</f>
        <v>0</v>
      </c>
      <c r="EU18" s="180">
        <f>IFERROR(__xludf.DUMMYFUNCTION("""COMPUTED_VALUE"""),45809.0)</f>
        <v>45809</v>
      </c>
      <c r="EV18" s="179">
        <f>IFERROR(__xludf.DUMMYFUNCTION("""COMPUTED_VALUE"""),0.0)</f>
        <v>0</v>
      </c>
      <c r="EW18" s="180">
        <f>IFERROR(__xludf.DUMMYFUNCTION("""COMPUTED_VALUE"""),45839.0)</f>
        <v>45839</v>
      </c>
      <c r="EX18" s="179">
        <f>IFERROR(__xludf.DUMMYFUNCTION("""COMPUTED_VALUE"""),0.0)</f>
        <v>0</v>
      </c>
      <c r="EY18" s="180">
        <f>IFERROR(__xludf.DUMMYFUNCTION("""COMPUTED_VALUE"""),45809.0)</f>
        <v>45809</v>
      </c>
      <c r="EZ18" s="179">
        <f>IFERROR(__xludf.DUMMYFUNCTION("""COMPUTED_VALUE"""),0.0)</f>
        <v>0</v>
      </c>
      <c r="FA18" s="180">
        <f>IFERROR(__xludf.DUMMYFUNCTION("""COMPUTED_VALUE"""),45809.0)</f>
        <v>45809</v>
      </c>
      <c r="FB18" s="179">
        <f>IFERROR(__xludf.DUMMYFUNCTION("""COMPUTED_VALUE"""),0.0)</f>
        <v>0</v>
      </c>
      <c r="FC18" s="180">
        <f>IFERROR(__xludf.DUMMYFUNCTION("""COMPUTED_VALUE"""),45809.0)</f>
        <v>45809</v>
      </c>
      <c r="FD18" s="179">
        <f>IFERROR(__xludf.DUMMYFUNCTION("""COMPUTED_VALUE"""),0.0)</f>
        <v>0</v>
      </c>
      <c r="FE18" s="180">
        <f>IFERROR(__xludf.DUMMYFUNCTION("""COMPUTED_VALUE"""),45931.0)</f>
        <v>45931</v>
      </c>
      <c r="FF18" s="179">
        <f>IFERROR(__xludf.DUMMYFUNCTION("""COMPUTED_VALUE"""),0.07142857142857142)</f>
        <v>0.07142857143</v>
      </c>
      <c r="FG18" s="182">
        <f>IFERROR(__xludf.DUMMYFUNCTION("""COMPUTED_VALUE"""),45717.0)</f>
        <v>45717</v>
      </c>
      <c r="FH18" s="179">
        <f>IFERROR(__xludf.DUMMYFUNCTION("""COMPUTED_VALUE"""),0.0)</f>
        <v>0</v>
      </c>
      <c r="FI18" s="180">
        <f>IFERROR(__xludf.DUMMYFUNCTION("""COMPUTED_VALUE"""),45690.0)</f>
        <v>45690</v>
      </c>
      <c r="FJ18" s="179">
        <f>IFERROR(__xludf.DUMMYFUNCTION("""COMPUTED_VALUE"""),0.07142857142857142)</f>
        <v>0.07142857143</v>
      </c>
      <c r="FK18" s="180">
        <f>IFERROR(__xludf.DUMMYFUNCTION("""COMPUTED_VALUE"""),45724.0)</f>
        <v>45724</v>
      </c>
      <c r="FL18" s="179">
        <f>IFERROR(__xludf.DUMMYFUNCTION("""COMPUTED_VALUE"""),0.0625)</f>
        <v>0.0625</v>
      </c>
      <c r="FM18" s="180">
        <f>IFERROR(__xludf.DUMMYFUNCTION("""COMPUTED_VALUE"""),45658.0)</f>
        <v>45658</v>
      </c>
      <c r="FN18" s="179">
        <f>IFERROR(__xludf.DUMMYFUNCTION("""COMPUTED_VALUE"""),0.0)</f>
        <v>0</v>
      </c>
      <c r="FO18" s="180">
        <f>IFERROR(__xludf.DUMMYFUNCTION("""COMPUTED_VALUE"""),45717.0)</f>
        <v>45717</v>
      </c>
      <c r="FP18" s="179">
        <f>IFERROR(__xludf.DUMMYFUNCTION("""COMPUTED_VALUE"""),0.0)</f>
        <v>0</v>
      </c>
      <c r="FQ18" s="180">
        <f>IFERROR(__xludf.DUMMYFUNCTION("""COMPUTED_VALUE"""),45839.0)</f>
        <v>45839</v>
      </c>
      <c r="FR18" s="179">
        <f>IFERROR(__xludf.DUMMYFUNCTION("""COMPUTED_VALUE"""),0.0)</f>
        <v>0</v>
      </c>
      <c r="FS18" s="180">
        <f>IFERROR(__xludf.DUMMYFUNCTION("""COMPUTED_VALUE"""),45840.0)</f>
        <v>45840</v>
      </c>
      <c r="FT18" s="179">
        <f>IFERROR(__xludf.DUMMYFUNCTION("""COMPUTED_VALUE"""),0.125)</f>
        <v>0.125</v>
      </c>
      <c r="FU18" s="180">
        <f>IFERROR(__xludf.DUMMYFUNCTION("""COMPUTED_VALUE"""),45748.0)</f>
        <v>45748</v>
      </c>
      <c r="FV18" s="179">
        <f>IFERROR(__xludf.DUMMYFUNCTION("""COMPUTED_VALUE"""),0.0)</f>
        <v>0</v>
      </c>
      <c r="FW18" s="180">
        <f>IFERROR(__xludf.DUMMYFUNCTION("""COMPUTED_VALUE"""),45839.0)</f>
        <v>45839</v>
      </c>
      <c r="FX18" s="179">
        <f>IFERROR(__xludf.DUMMYFUNCTION("""COMPUTED_VALUE"""),0.0)</f>
        <v>0</v>
      </c>
      <c r="FY18" s="180">
        <f>IFERROR(__xludf.DUMMYFUNCTION("""COMPUTED_VALUE"""),45935.0)</f>
        <v>45935</v>
      </c>
      <c r="FZ18" s="179">
        <f>IFERROR(__xludf.DUMMYFUNCTION("""COMPUTED_VALUE"""),0.14285714285714285)</f>
        <v>0.1428571429</v>
      </c>
      <c r="GA18" s="182">
        <f>IFERROR(__xludf.DUMMYFUNCTION("""COMPUTED_VALUE"""),45839.0)</f>
        <v>45839</v>
      </c>
      <c r="GB18" s="179">
        <f>IFERROR(__xludf.DUMMYFUNCTION("""COMPUTED_VALUE"""),0.0)</f>
        <v>0</v>
      </c>
      <c r="GC18" s="180">
        <f>IFERROR(__xludf.DUMMYFUNCTION("""COMPUTED_VALUE"""),45748.0)</f>
        <v>45748</v>
      </c>
      <c r="GD18" s="179">
        <f>IFERROR(__xludf.DUMMYFUNCTION("""COMPUTED_VALUE"""),0.0)</f>
        <v>0</v>
      </c>
      <c r="GE18" s="180">
        <f>IFERROR(__xludf.DUMMYFUNCTION("""COMPUTED_VALUE"""),45748.0)</f>
        <v>45748</v>
      </c>
      <c r="GF18" s="179">
        <f>IFERROR(__xludf.DUMMYFUNCTION("""COMPUTED_VALUE"""),0.0)</f>
        <v>0</v>
      </c>
      <c r="GG18" s="180">
        <f>IFERROR(__xludf.DUMMYFUNCTION("""COMPUTED_VALUE"""),45748.0)</f>
        <v>45748</v>
      </c>
      <c r="GH18" s="179">
        <f>IFERROR(__xludf.DUMMYFUNCTION("""COMPUTED_VALUE"""),0.0)</f>
        <v>0</v>
      </c>
      <c r="GI18" s="180">
        <f>IFERROR(__xludf.DUMMYFUNCTION("""COMPUTED_VALUE"""),45839.0)</f>
        <v>45839</v>
      </c>
      <c r="GJ18" s="179">
        <f>IFERROR(__xludf.DUMMYFUNCTION("""COMPUTED_VALUE"""),0.0)</f>
        <v>0</v>
      </c>
      <c r="GK18" s="180">
        <f>IFERROR(__xludf.DUMMYFUNCTION("""COMPUTED_VALUE"""),45839.0)</f>
        <v>45839</v>
      </c>
      <c r="GL18" s="179">
        <f>IFERROR(__xludf.DUMMYFUNCTION("""COMPUTED_VALUE"""),0.0)</f>
        <v>0</v>
      </c>
      <c r="GM18" s="180">
        <f>IFERROR(__xludf.DUMMYFUNCTION("""COMPUTED_VALUE"""),45847.0)</f>
        <v>45847</v>
      </c>
      <c r="GN18" s="179">
        <f>IFERROR(__xludf.DUMMYFUNCTION("""COMPUTED_VALUE"""),0.0625)</f>
        <v>0.0625</v>
      </c>
      <c r="GO18" s="180">
        <f>IFERROR(__xludf.DUMMYFUNCTION("""COMPUTED_VALUE"""),45809.0)</f>
        <v>45809</v>
      </c>
      <c r="GP18" s="179">
        <f>IFERROR(__xludf.DUMMYFUNCTION("""COMPUTED_VALUE"""),0.0)</f>
        <v>0</v>
      </c>
      <c r="GQ18" s="180">
        <f>IFERROR(__xludf.DUMMYFUNCTION("""COMPUTED_VALUE"""),45689.0)</f>
        <v>45689</v>
      </c>
      <c r="GR18" s="179">
        <f>IFERROR(__xludf.DUMMYFUNCTION("""COMPUTED_VALUE"""),0.0)</f>
        <v>0</v>
      </c>
      <c r="GS18" s="180">
        <f>IFERROR(__xludf.DUMMYFUNCTION("""COMPUTED_VALUE"""),45939.0)</f>
        <v>45939</v>
      </c>
      <c r="GT18" s="179">
        <f>IFERROR(__xludf.DUMMYFUNCTION("""COMPUTED_VALUE"""),0.07142857142857142)</f>
        <v>0.07142857143</v>
      </c>
    </row>
    <row r="19" ht="31.5" customHeight="1">
      <c r="B19" s="183"/>
      <c r="C19" s="178">
        <f>IFERROR(__xludf.DUMMYFUNCTION("""COMPUTED_VALUE"""),45718.0)</f>
        <v>45718</v>
      </c>
      <c r="D19" s="179">
        <f>IFERROR(__xludf.DUMMYFUNCTION("""COMPUTED_VALUE"""),0.0)</f>
        <v>0</v>
      </c>
      <c r="E19" s="180">
        <f>IFERROR(__xludf.DUMMYFUNCTION("""COMPUTED_VALUE"""),45749.0)</f>
        <v>45749</v>
      </c>
      <c r="F19" s="179">
        <f>IFERROR(__xludf.DUMMYFUNCTION("""COMPUTED_VALUE"""),0.0)</f>
        <v>0</v>
      </c>
      <c r="G19" s="180">
        <f>IFERROR(__xludf.DUMMYFUNCTION("""COMPUTED_VALUE"""),45749.0)</f>
        <v>45749</v>
      </c>
      <c r="H19" s="179">
        <f>IFERROR(__xludf.DUMMYFUNCTION("""COMPUTED_VALUE"""),0.0)</f>
        <v>0</v>
      </c>
      <c r="I19" s="180">
        <f>IFERROR(__xludf.DUMMYFUNCTION("""COMPUTED_VALUE"""),45810.0)</f>
        <v>45810</v>
      </c>
      <c r="J19" s="179">
        <f>IFERROR(__xludf.DUMMYFUNCTION("""COMPUTED_VALUE"""),0.0)</f>
        <v>0</v>
      </c>
      <c r="K19" s="180">
        <f>IFERROR(__xludf.DUMMYFUNCTION("""COMPUTED_VALUE"""),45659.0)</f>
        <v>45659</v>
      </c>
      <c r="L19" s="179">
        <f>IFERROR(__xludf.DUMMYFUNCTION("""COMPUTED_VALUE"""),0.0)</f>
        <v>0</v>
      </c>
      <c r="M19" s="180">
        <f>IFERROR(__xludf.DUMMYFUNCTION("""COMPUTED_VALUE"""),45718.0)</f>
        <v>45718</v>
      </c>
      <c r="N19" s="179">
        <f>IFERROR(__xludf.DUMMYFUNCTION("""COMPUTED_VALUE"""),0.0)</f>
        <v>0</v>
      </c>
      <c r="O19" s="180">
        <f>IFERROR(__xludf.DUMMYFUNCTION("""COMPUTED_VALUE"""),45753.0)</f>
        <v>45753</v>
      </c>
      <c r="P19" s="179">
        <f>IFERROR(__xludf.DUMMYFUNCTION("""COMPUTED_VALUE"""),0.1)</f>
        <v>0.1</v>
      </c>
      <c r="Q19" s="180">
        <f>IFERROR(__xludf.DUMMYFUNCTION("""COMPUTED_VALUE"""),45783.0)</f>
        <v>45783</v>
      </c>
      <c r="R19" s="179">
        <f>IFERROR(__xludf.DUMMYFUNCTION("""COMPUTED_VALUE"""),0.1)</f>
        <v>0.1</v>
      </c>
      <c r="S19" s="180">
        <f>IFERROR(__xludf.DUMMYFUNCTION("""COMPUTED_VALUE"""),45779.0)</f>
        <v>45779</v>
      </c>
      <c r="T19" s="179">
        <f>IFERROR(__xludf.DUMMYFUNCTION("""COMPUTED_VALUE"""),0.0)</f>
        <v>0</v>
      </c>
      <c r="U19" s="180">
        <f>IFERROR(__xludf.DUMMYFUNCTION("""COMPUTED_VALUE"""),45936.0)</f>
        <v>45936</v>
      </c>
      <c r="V19" s="181">
        <f>IFERROR(__xludf.DUMMYFUNCTION("""COMPUTED_VALUE"""),0.14285714285714285)</f>
        <v>0.1428571429</v>
      </c>
      <c r="W19" s="178">
        <f>IFERROR(__xludf.DUMMYFUNCTION("""COMPUTED_VALUE"""),45717.0)</f>
        <v>45717</v>
      </c>
      <c r="X19" s="179">
        <f>IFERROR(__xludf.DUMMYFUNCTION("""COMPUTED_VALUE"""),0.0)</f>
        <v>0</v>
      </c>
      <c r="Y19" s="180">
        <f>IFERROR(__xludf.DUMMYFUNCTION("""COMPUTED_VALUE"""),45658.0)</f>
        <v>45658</v>
      </c>
      <c r="Z19" s="179">
        <f>IFERROR(__xludf.DUMMYFUNCTION("""COMPUTED_VALUE"""),0.0)</f>
        <v>0</v>
      </c>
      <c r="AA19" s="180">
        <f>IFERROR(__xludf.DUMMYFUNCTION("""COMPUTED_VALUE"""),45809.0)</f>
        <v>45809</v>
      </c>
      <c r="AB19" s="179">
        <f>IFERROR(__xludf.DUMMYFUNCTION("""COMPUTED_VALUE"""),0.0)</f>
        <v>0</v>
      </c>
      <c r="AC19" s="180">
        <f>IFERROR(__xludf.DUMMYFUNCTION("""COMPUTED_VALUE"""),45756.0)</f>
        <v>45756</v>
      </c>
      <c r="AD19" s="179">
        <f>IFERROR(__xludf.DUMMYFUNCTION("""COMPUTED_VALUE"""),0.0625)</f>
        <v>0.0625</v>
      </c>
      <c r="AE19" s="180">
        <f>IFERROR(__xludf.DUMMYFUNCTION("""COMPUTED_VALUE"""),45780.0)</f>
        <v>45780</v>
      </c>
      <c r="AF19" s="179">
        <f>IFERROR(__xludf.DUMMYFUNCTION("""COMPUTED_VALUE"""),0.05555555555555555)</f>
        <v>0.05555555556</v>
      </c>
      <c r="AG19" s="180">
        <f>IFERROR(__xludf.DUMMYFUNCTION("""COMPUTED_VALUE"""),45717.0)</f>
        <v>45717</v>
      </c>
      <c r="AH19" s="179">
        <f>IFERROR(__xludf.DUMMYFUNCTION("""COMPUTED_VALUE"""),0.0)</f>
        <v>0</v>
      </c>
      <c r="AI19" s="180">
        <f>IFERROR(__xludf.DUMMYFUNCTION("""COMPUTED_VALUE"""),45724.0)</f>
        <v>45724</v>
      </c>
      <c r="AJ19" s="179">
        <f>IFERROR(__xludf.DUMMYFUNCTION("""COMPUTED_VALUE"""),0.125)</f>
        <v>0.125</v>
      </c>
      <c r="AK19" s="180">
        <f>IFERROR(__xludf.DUMMYFUNCTION("""COMPUTED_VALUE"""),45778.0)</f>
        <v>45778</v>
      </c>
      <c r="AL19" s="179">
        <f>IFERROR(__xludf.DUMMYFUNCTION("""COMPUTED_VALUE"""),0.0)</f>
        <v>0</v>
      </c>
      <c r="AM19" s="180">
        <f>IFERROR(__xludf.DUMMYFUNCTION("""COMPUTED_VALUE"""),45839.0)</f>
        <v>45839</v>
      </c>
      <c r="AN19" s="179">
        <f>IFERROR(__xludf.DUMMYFUNCTION("""COMPUTED_VALUE"""),0.0)</f>
        <v>0</v>
      </c>
      <c r="AO19" s="180">
        <f>IFERROR(__xludf.DUMMYFUNCTION("""COMPUTED_VALUE"""),45878.0)</f>
        <v>45878</v>
      </c>
      <c r="AP19" s="181">
        <f>IFERROR(__xludf.DUMMYFUNCTION("""COMPUTED_VALUE"""),0.16666666666666666)</f>
        <v>0.1666666667</v>
      </c>
      <c r="AQ19" s="178">
        <f>IFERROR(__xludf.DUMMYFUNCTION("""COMPUTED_VALUE"""),45748.0)</f>
        <v>45748</v>
      </c>
      <c r="AR19" s="179">
        <f>IFERROR(__xludf.DUMMYFUNCTION("""COMPUTED_VALUE"""),0.0)</f>
        <v>0</v>
      </c>
      <c r="AS19" s="180">
        <f>IFERROR(__xludf.DUMMYFUNCTION("""COMPUTED_VALUE"""),45809.0)</f>
        <v>45809</v>
      </c>
      <c r="AT19" s="179">
        <f>IFERROR(__xludf.DUMMYFUNCTION("""COMPUTED_VALUE"""),0.0)</f>
        <v>0</v>
      </c>
      <c r="AU19" s="180">
        <f>IFERROR(__xludf.DUMMYFUNCTION("""COMPUTED_VALUE"""),45778.0)</f>
        <v>45778</v>
      </c>
      <c r="AV19" s="179">
        <f>IFERROR(__xludf.DUMMYFUNCTION("""COMPUTED_VALUE"""),0.0)</f>
        <v>0</v>
      </c>
      <c r="AW19" s="180">
        <f>IFERROR(__xludf.DUMMYFUNCTION("""COMPUTED_VALUE"""),45778.0)</f>
        <v>45778</v>
      </c>
      <c r="AX19" s="179">
        <f>IFERROR(__xludf.DUMMYFUNCTION("""COMPUTED_VALUE"""),0.0)</f>
        <v>0</v>
      </c>
      <c r="AY19" s="180">
        <f>IFERROR(__xludf.DUMMYFUNCTION("""COMPUTED_VALUE"""),45717.0)</f>
        <v>45717</v>
      </c>
      <c r="AZ19" s="179">
        <f>IFERROR(__xludf.DUMMYFUNCTION("""COMPUTED_VALUE"""),0.0)</f>
        <v>0</v>
      </c>
      <c r="BA19" s="180">
        <f>IFERROR(__xludf.DUMMYFUNCTION("""COMPUTED_VALUE"""),45748.0)</f>
        <v>45748</v>
      </c>
      <c r="BB19" s="179">
        <f>IFERROR(__xludf.DUMMYFUNCTION("""COMPUTED_VALUE"""),0.0)</f>
        <v>0</v>
      </c>
      <c r="BC19" s="180">
        <f>IFERROR(__xludf.DUMMYFUNCTION("""COMPUTED_VALUE"""),45748.0)</f>
        <v>45748</v>
      </c>
      <c r="BD19" s="179">
        <f>IFERROR(__xludf.DUMMYFUNCTION("""COMPUTED_VALUE"""),0.0)</f>
        <v>0</v>
      </c>
      <c r="BE19" s="180">
        <f>IFERROR(__xludf.DUMMYFUNCTION("""COMPUTED_VALUE"""),45870.0)</f>
        <v>45870</v>
      </c>
      <c r="BF19" s="179">
        <f>IFERROR(__xludf.DUMMYFUNCTION("""COMPUTED_VALUE"""),0.0)</f>
        <v>0</v>
      </c>
      <c r="BG19" s="180">
        <f>IFERROR(__xludf.DUMMYFUNCTION("""COMPUTED_VALUE"""),45778.0)</f>
        <v>45778</v>
      </c>
      <c r="BH19" s="179">
        <f>IFERROR(__xludf.DUMMYFUNCTION("""COMPUTED_VALUE"""),0.0)</f>
        <v>0</v>
      </c>
      <c r="BI19" s="180">
        <f>IFERROR(__xludf.DUMMYFUNCTION("""COMPUTED_VALUE"""),45689.0)</f>
        <v>45689</v>
      </c>
      <c r="BJ19" s="179">
        <f>IFERROR(__xludf.DUMMYFUNCTION("""COMPUTED_VALUE"""),0.0)</f>
        <v>0</v>
      </c>
      <c r="BK19" s="182">
        <f>IFERROR(__xludf.DUMMYFUNCTION("""COMPUTED_VALUE"""),45778.0)</f>
        <v>45778</v>
      </c>
      <c r="BL19" s="179">
        <f>IFERROR(__xludf.DUMMYFUNCTION("""COMPUTED_VALUE"""),0.0)</f>
        <v>0</v>
      </c>
      <c r="BM19" s="180">
        <f>IFERROR(__xludf.DUMMYFUNCTION("""COMPUTED_VALUE"""),45689.0)</f>
        <v>45689</v>
      </c>
      <c r="BN19" s="179">
        <f>IFERROR(__xludf.DUMMYFUNCTION("""COMPUTED_VALUE"""),0.0)</f>
        <v>0</v>
      </c>
      <c r="BO19" s="180">
        <f>IFERROR(__xludf.DUMMYFUNCTION("""COMPUTED_VALUE"""),45658.0)</f>
        <v>45658</v>
      </c>
      <c r="BP19" s="179">
        <f>IFERROR(__xludf.DUMMYFUNCTION("""COMPUTED_VALUE"""),0.0)</f>
        <v>0</v>
      </c>
      <c r="BQ19" s="180">
        <f>IFERROR(__xludf.DUMMYFUNCTION("""COMPUTED_VALUE"""),45809.0)</f>
        <v>45809</v>
      </c>
      <c r="BR19" s="179">
        <f>IFERROR(__xludf.DUMMYFUNCTION("""COMPUTED_VALUE"""),0.0)</f>
        <v>0</v>
      </c>
      <c r="BS19" s="180">
        <f>IFERROR(__xludf.DUMMYFUNCTION("""COMPUTED_VALUE"""),45870.0)</f>
        <v>45870</v>
      </c>
      <c r="BT19" s="179">
        <f>IFERROR(__xludf.DUMMYFUNCTION("""COMPUTED_VALUE"""),0.0)</f>
        <v>0</v>
      </c>
      <c r="BU19" s="180">
        <f>IFERROR(__xludf.DUMMYFUNCTION("""COMPUTED_VALUE"""),45839.0)</f>
        <v>45839</v>
      </c>
      <c r="BV19" s="179">
        <f>IFERROR(__xludf.DUMMYFUNCTION("""COMPUTED_VALUE"""),0.0)</f>
        <v>0</v>
      </c>
      <c r="BW19" s="180">
        <f>IFERROR(__xludf.DUMMYFUNCTION("""COMPUTED_VALUE"""),45844.0)</f>
        <v>45844</v>
      </c>
      <c r="BX19" s="179">
        <f>IFERROR(__xludf.DUMMYFUNCTION("""COMPUTED_VALUE"""),0.0625)</f>
        <v>0.0625</v>
      </c>
      <c r="BY19" s="180">
        <f>IFERROR(__xludf.DUMMYFUNCTION("""COMPUTED_VALUE"""),45809.0)</f>
        <v>45809</v>
      </c>
      <c r="BZ19" s="179">
        <f>IFERROR(__xludf.DUMMYFUNCTION("""COMPUTED_VALUE"""),0.0)</f>
        <v>0</v>
      </c>
      <c r="CA19" s="180">
        <f>IFERROR(__xludf.DUMMYFUNCTION("""COMPUTED_VALUE"""),45748.0)</f>
        <v>45748</v>
      </c>
      <c r="CB19" s="179">
        <f>IFERROR(__xludf.DUMMYFUNCTION("""COMPUTED_VALUE"""),0.0)</f>
        <v>0</v>
      </c>
      <c r="CC19" s="180">
        <f>IFERROR(__xludf.DUMMYFUNCTION("""COMPUTED_VALUE"""),45748.0)</f>
        <v>45748</v>
      </c>
      <c r="CD19" s="179">
        <f>IFERROR(__xludf.DUMMYFUNCTION("""COMPUTED_VALUE"""),0.0)</f>
        <v>0</v>
      </c>
      <c r="CE19" s="182">
        <f>IFERROR(__xludf.DUMMYFUNCTION("""COMPUTED_VALUE"""),45870.0)</f>
        <v>45870</v>
      </c>
      <c r="CF19" s="179">
        <f>IFERROR(__xludf.DUMMYFUNCTION("""COMPUTED_VALUE"""),0.0)</f>
        <v>0</v>
      </c>
      <c r="CG19" s="180">
        <f>IFERROR(__xludf.DUMMYFUNCTION("""COMPUTED_VALUE"""),45689.0)</f>
        <v>45689</v>
      </c>
      <c r="CH19" s="179">
        <f>IFERROR(__xludf.DUMMYFUNCTION("""COMPUTED_VALUE"""),0.0)</f>
        <v>0</v>
      </c>
      <c r="CI19" s="180">
        <f>IFERROR(__xludf.DUMMYFUNCTION("""COMPUTED_VALUE"""),45717.0)</f>
        <v>45717</v>
      </c>
      <c r="CJ19" s="179">
        <f>IFERROR(__xludf.DUMMYFUNCTION("""COMPUTED_VALUE"""),0.0)</f>
        <v>0</v>
      </c>
      <c r="CK19" s="180">
        <f>IFERROR(__xludf.DUMMYFUNCTION("""COMPUTED_VALUE"""),45748.0)</f>
        <v>45748</v>
      </c>
      <c r="CL19" s="179">
        <f>IFERROR(__xludf.DUMMYFUNCTION("""COMPUTED_VALUE"""),0.0)</f>
        <v>0</v>
      </c>
      <c r="CM19" s="180">
        <f>IFERROR(__xludf.DUMMYFUNCTION("""COMPUTED_VALUE"""),45717.0)</f>
        <v>45717</v>
      </c>
      <c r="CN19" s="179">
        <f>IFERROR(__xludf.DUMMYFUNCTION("""COMPUTED_VALUE"""),0.0)</f>
        <v>0</v>
      </c>
      <c r="CO19" s="180">
        <f>IFERROR(__xludf.DUMMYFUNCTION("""COMPUTED_VALUE"""),45689.0)</f>
        <v>45689</v>
      </c>
      <c r="CP19" s="179">
        <f>IFERROR(__xludf.DUMMYFUNCTION("""COMPUTED_VALUE"""),0.0)</f>
        <v>0</v>
      </c>
      <c r="CQ19" s="180">
        <f>IFERROR(__xludf.DUMMYFUNCTION("""COMPUTED_VALUE"""),45940.0)</f>
        <v>45940</v>
      </c>
      <c r="CR19" s="179">
        <f>IFERROR(__xludf.DUMMYFUNCTION("""COMPUTED_VALUE"""),0.25)</f>
        <v>0.25</v>
      </c>
      <c r="CS19" s="180">
        <f>IFERROR(__xludf.DUMMYFUNCTION("""COMPUTED_VALUE"""),45809.0)</f>
        <v>45809</v>
      </c>
      <c r="CT19" s="179">
        <f>IFERROR(__xludf.DUMMYFUNCTION("""COMPUTED_VALUE"""),0.0)</f>
        <v>0</v>
      </c>
      <c r="CU19" s="180">
        <f>IFERROR(__xludf.DUMMYFUNCTION("""COMPUTED_VALUE"""),45870.0)</f>
        <v>45870</v>
      </c>
      <c r="CV19" s="179">
        <f>IFERROR(__xludf.DUMMYFUNCTION("""COMPUTED_VALUE"""),0.0)</f>
        <v>0</v>
      </c>
      <c r="CW19" s="180">
        <f>IFERROR(__xludf.DUMMYFUNCTION("""COMPUTED_VALUE"""),45726.0)</f>
        <v>45726</v>
      </c>
      <c r="CX19" s="179">
        <f>IFERROR(__xludf.DUMMYFUNCTION("""COMPUTED_VALUE"""),0.16666666666666666)</f>
        <v>0.1666666667</v>
      </c>
      <c r="CY19" s="182">
        <f>IFERROR(__xludf.DUMMYFUNCTION("""COMPUTED_VALUE"""),45717.0)</f>
        <v>45717</v>
      </c>
      <c r="CZ19" s="179">
        <f>IFERROR(__xludf.DUMMYFUNCTION("""COMPUTED_VALUE"""),0.0)</f>
        <v>0</v>
      </c>
      <c r="DA19" s="180">
        <f>IFERROR(__xludf.DUMMYFUNCTION("""COMPUTED_VALUE"""),45778.0)</f>
        <v>45778</v>
      </c>
      <c r="DB19" s="179">
        <f>IFERROR(__xludf.DUMMYFUNCTION("""COMPUTED_VALUE"""),0.0)</f>
        <v>0</v>
      </c>
      <c r="DC19" s="180">
        <f>IFERROR(__xludf.DUMMYFUNCTION("""COMPUTED_VALUE"""),45717.0)</f>
        <v>45717</v>
      </c>
      <c r="DD19" s="179">
        <f>IFERROR(__xludf.DUMMYFUNCTION("""COMPUTED_VALUE"""),0.0)</f>
        <v>0</v>
      </c>
      <c r="DE19" s="180">
        <f>IFERROR(__xludf.DUMMYFUNCTION("""COMPUTED_VALUE"""),45748.0)</f>
        <v>45748</v>
      </c>
      <c r="DF19" s="179">
        <f>IFERROR(__xludf.DUMMYFUNCTION("""COMPUTED_VALUE"""),0.0)</f>
        <v>0</v>
      </c>
      <c r="DG19" s="180">
        <f>IFERROR(__xludf.DUMMYFUNCTION("""COMPUTED_VALUE"""),45717.0)</f>
        <v>45717</v>
      </c>
      <c r="DH19" s="179">
        <f>IFERROR(__xludf.DUMMYFUNCTION("""COMPUTED_VALUE"""),0.0)</f>
        <v>0</v>
      </c>
      <c r="DI19" s="180">
        <f>IFERROR(__xludf.DUMMYFUNCTION("""COMPUTED_VALUE"""),45839.0)</f>
        <v>45839</v>
      </c>
      <c r="DJ19" s="179">
        <f>IFERROR(__xludf.DUMMYFUNCTION("""COMPUTED_VALUE"""),0.0)</f>
        <v>0</v>
      </c>
      <c r="DK19" s="180">
        <f>IFERROR(__xludf.DUMMYFUNCTION("""COMPUTED_VALUE"""),45717.0)</f>
        <v>45717</v>
      </c>
      <c r="DL19" s="179">
        <f>IFERROR(__xludf.DUMMYFUNCTION("""COMPUTED_VALUE"""),0.0)</f>
        <v>0</v>
      </c>
      <c r="DM19" s="180">
        <f>IFERROR(__xludf.DUMMYFUNCTION("""COMPUTED_VALUE"""),45748.0)</f>
        <v>45748</v>
      </c>
      <c r="DN19" s="179">
        <f>IFERROR(__xludf.DUMMYFUNCTION("""COMPUTED_VALUE"""),0.0)</f>
        <v>0</v>
      </c>
      <c r="DO19" s="180">
        <f>IFERROR(__xludf.DUMMYFUNCTION("""COMPUTED_VALUE"""),45809.0)</f>
        <v>45809</v>
      </c>
      <c r="DP19" s="179">
        <f>IFERROR(__xludf.DUMMYFUNCTION("""COMPUTED_VALUE"""),0.0)</f>
        <v>0</v>
      </c>
      <c r="DQ19" s="180">
        <f>IFERROR(__xludf.DUMMYFUNCTION("""COMPUTED_VALUE"""),45870.0)</f>
        <v>45870</v>
      </c>
      <c r="DR19" s="179">
        <f>IFERROR(__xludf.DUMMYFUNCTION("""COMPUTED_VALUE"""),0.16666666666666666)</f>
        <v>0.1666666667</v>
      </c>
      <c r="DS19" s="182">
        <f>IFERROR(__xludf.DUMMYFUNCTION("""COMPUTED_VALUE"""),45839.0)</f>
        <v>45839</v>
      </c>
      <c r="DT19" s="179">
        <f>IFERROR(__xludf.DUMMYFUNCTION("""COMPUTED_VALUE"""),0.0)</f>
        <v>0</v>
      </c>
      <c r="DU19" s="180">
        <f>IFERROR(__xludf.DUMMYFUNCTION("""COMPUTED_VALUE"""),45809.0)</f>
        <v>45809</v>
      </c>
      <c r="DV19" s="179">
        <f>IFERROR(__xludf.DUMMYFUNCTION("""COMPUTED_VALUE"""),0.0)</f>
        <v>0</v>
      </c>
      <c r="DW19" s="180">
        <f>IFERROR(__xludf.DUMMYFUNCTION("""COMPUTED_VALUE"""),45809.0)</f>
        <v>45809</v>
      </c>
      <c r="DX19" s="179">
        <f>IFERROR(__xludf.DUMMYFUNCTION("""COMPUTED_VALUE"""),0.0)</f>
        <v>0</v>
      </c>
      <c r="DY19" s="180">
        <f>IFERROR(__xludf.DUMMYFUNCTION("""COMPUTED_VALUE"""),45839.0)</f>
        <v>45839</v>
      </c>
      <c r="DZ19" s="179">
        <f>IFERROR(__xludf.DUMMYFUNCTION("""COMPUTED_VALUE"""),0.0)</f>
        <v>0</v>
      </c>
      <c r="EA19" s="180">
        <f>IFERROR(__xludf.DUMMYFUNCTION("""COMPUTED_VALUE"""),45870.0)</f>
        <v>45870</v>
      </c>
      <c r="EB19" s="179">
        <f>IFERROR(__xludf.DUMMYFUNCTION("""COMPUTED_VALUE"""),0.0)</f>
        <v>0</v>
      </c>
      <c r="EC19" s="180">
        <f>IFERROR(__xludf.DUMMYFUNCTION("""COMPUTED_VALUE"""),45839.0)</f>
        <v>45839</v>
      </c>
      <c r="ED19" s="179">
        <f>IFERROR(__xludf.DUMMYFUNCTION("""COMPUTED_VALUE"""),0.0)</f>
        <v>0</v>
      </c>
      <c r="EE19" s="180">
        <f>IFERROR(__xludf.DUMMYFUNCTION("""COMPUTED_VALUE"""),45748.0)</f>
        <v>45748</v>
      </c>
      <c r="EF19" s="179">
        <f>IFERROR(__xludf.DUMMYFUNCTION("""COMPUTED_VALUE"""),0.0)</f>
        <v>0</v>
      </c>
      <c r="EG19" s="180">
        <f>IFERROR(__xludf.DUMMYFUNCTION("""COMPUTED_VALUE"""),45839.0)</f>
        <v>45839</v>
      </c>
      <c r="EH19" s="179">
        <f>IFERROR(__xludf.DUMMYFUNCTION("""COMPUTED_VALUE"""),0.0)</f>
        <v>0</v>
      </c>
      <c r="EI19" s="180">
        <f>IFERROR(__xludf.DUMMYFUNCTION("""COMPUTED_VALUE"""),45839.0)</f>
        <v>45839</v>
      </c>
      <c r="EJ19" s="179">
        <f>IFERROR(__xludf.DUMMYFUNCTION("""COMPUTED_VALUE"""),0.0)</f>
        <v>0</v>
      </c>
      <c r="EK19" s="180">
        <f>IFERROR(__xludf.DUMMYFUNCTION("""COMPUTED_VALUE"""),45778.0)</f>
        <v>45778</v>
      </c>
      <c r="EL19" s="179">
        <f>IFERROR(__xludf.DUMMYFUNCTION("""COMPUTED_VALUE"""),0.0)</f>
        <v>0</v>
      </c>
      <c r="EM19" s="182">
        <f>IFERROR(__xludf.DUMMYFUNCTION("""COMPUTED_VALUE"""),45748.0)</f>
        <v>45748</v>
      </c>
      <c r="EN19" s="179">
        <f>IFERROR(__xludf.DUMMYFUNCTION("""COMPUTED_VALUE"""),0.0)</f>
        <v>0</v>
      </c>
      <c r="EO19" s="180">
        <f>IFERROR(__xludf.DUMMYFUNCTION("""COMPUTED_VALUE"""),45839.0)</f>
        <v>45839</v>
      </c>
      <c r="EP19" s="179">
        <f>IFERROR(__xludf.DUMMYFUNCTION("""COMPUTED_VALUE"""),0.0)</f>
        <v>0</v>
      </c>
      <c r="EQ19" s="180">
        <f>IFERROR(__xludf.DUMMYFUNCTION("""COMPUTED_VALUE"""),45689.0)</f>
        <v>45689</v>
      </c>
      <c r="ER19" s="179">
        <f>IFERROR(__xludf.DUMMYFUNCTION("""COMPUTED_VALUE"""),0.0)</f>
        <v>0</v>
      </c>
      <c r="ES19" s="180">
        <f>IFERROR(__xludf.DUMMYFUNCTION("""COMPUTED_VALUE"""),45870.0)</f>
        <v>45870</v>
      </c>
      <c r="ET19" s="179">
        <f>IFERROR(__xludf.DUMMYFUNCTION("""COMPUTED_VALUE"""),0.0)</f>
        <v>0</v>
      </c>
      <c r="EU19" s="180">
        <f>IFERROR(__xludf.DUMMYFUNCTION("""COMPUTED_VALUE"""),45839.0)</f>
        <v>45839</v>
      </c>
      <c r="EV19" s="179">
        <f>IFERROR(__xludf.DUMMYFUNCTION("""COMPUTED_VALUE"""),0.0)</f>
        <v>0</v>
      </c>
      <c r="EW19" s="180">
        <f>IFERROR(__xludf.DUMMYFUNCTION("""COMPUTED_VALUE"""),45870.0)</f>
        <v>45870</v>
      </c>
      <c r="EX19" s="179">
        <f>IFERROR(__xludf.DUMMYFUNCTION("""COMPUTED_VALUE"""),0.0)</f>
        <v>0</v>
      </c>
      <c r="EY19" s="180">
        <f>IFERROR(__xludf.DUMMYFUNCTION("""COMPUTED_VALUE"""),45870.0)</f>
        <v>45870</v>
      </c>
      <c r="EZ19" s="179">
        <f>IFERROR(__xludf.DUMMYFUNCTION("""COMPUTED_VALUE"""),0.0)</f>
        <v>0</v>
      </c>
      <c r="FA19" s="180">
        <f>IFERROR(__xludf.DUMMYFUNCTION("""COMPUTED_VALUE"""),45839.0)</f>
        <v>45839</v>
      </c>
      <c r="FB19" s="179">
        <f>IFERROR(__xludf.DUMMYFUNCTION("""COMPUTED_VALUE"""),0.0)</f>
        <v>0</v>
      </c>
      <c r="FC19" s="180">
        <f>IFERROR(__xludf.DUMMYFUNCTION("""COMPUTED_VALUE"""),45839.0)</f>
        <v>45839</v>
      </c>
      <c r="FD19" s="179">
        <f>IFERROR(__xludf.DUMMYFUNCTION("""COMPUTED_VALUE"""),0.0)</f>
        <v>0</v>
      </c>
      <c r="FE19" s="180">
        <f>IFERROR(__xludf.DUMMYFUNCTION("""COMPUTED_VALUE"""),45937.0)</f>
        <v>45937</v>
      </c>
      <c r="FF19" s="179">
        <f>IFERROR(__xludf.DUMMYFUNCTION("""COMPUTED_VALUE"""),0.07142857142857142)</f>
        <v>0.07142857143</v>
      </c>
      <c r="FG19" s="182">
        <f>IFERROR(__xludf.DUMMYFUNCTION("""COMPUTED_VALUE"""),45748.0)</f>
        <v>45748</v>
      </c>
      <c r="FH19" s="179">
        <f>IFERROR(__xludf.DUMMYFUNCTION("""COMPUTED_VALUE"""),0.0)</f>
        <v>0</v>
      </c>
      <c r="FI19" s="180">
        <f>IFERROR(__xludf.DUMMYFUNCTION("""COMPUTED_VALUE"""),45693.0)</f>
        <v>45693</v>
      </c>
      <c r="FJ19" s="179">
        <f>IFERROR(__xludf.DUMMYFUNCTION("""COMPUTED_VALUE"""),0.07142857142857142)</f>
        <v>0.07142857143</v>
      </c>
      <c r="FK19" s="180">
        <f>IFERROR(__xludf.DUMMYFUNCTION("""COMPUTED_VALUE"""),45726.0)</f>
        <v>45726</v>
      </c>
      <c r="FL19" s="179">
        <f>IFERROR(__xludf.DUMMYFUNCTION("""COMPUTED_VALUE"""),0.0625)</f>
        <v>0.0625</v>
      </c>
      <c r="FM19" s="180">
        <f>IFERROR(__xludf.DUMMYFUNCTION("""COMPUTED_VALUE"""),45689.0)</f>
        <v>45689</v>
      </c>
      <c r="FN19" s="179">
        <f>IFERROR(__xludf.DUMMYFUNCTION("""COMPUTED_VALUE"""),0.0)</f>
        <v>0</v>
      </c>
      <c r="FO19" s="180">
        <f>IFERROR(__xludf.DUMMYFUNCTION("""COMPUTED_VALUE"""),45748.0)</f>
        <v>45748</v>
      </c>
      <c r="FP19" s="179">
        <f>IFERROR(__xludf.DUMMYFUNCTION("""COMPUTED_VALUE"""),0.0)</f>
        <v>0</v>
      </c>
      <c r="FQ19" s="180">
        <f>IFERROR(__xludf.DUMMYFUNCTION("""COMPUTED_VALUE"""),45870.0)</f>
        <v>45870</v>
      </c>
      <c r="FR19" s="179">
        <f>IFERROR(__xludf.DUMMYFUNCTION("""COMPUTED_VALUE"""),0.0)</f>
        <v>0</v>
      </c>
      <c r="FS19" s="180">
        <f>IFERROR(__xludf.DUMMYFUNCTION("""COMPUTED_VALUE"""),45721.0)</f>
        <v>45721</v>
      </c>
      <c r="FT19" s="179">
        <f>IFERROR(__xludf.DUMMYFUNCTION("""COMPUTED_VALUE"""),0.125)</f>
        <v>0.125</v>
      </c>
      <c r="FU19" s="180">
        <f>IFERROR(__xludf.DUMMYFUNCTION("""COMPUTED_VALUE"""),45778.0)</f>
        <v>45778</v>
      </c>
      <c r="FV19" s="179">
        <f>IFERROR(__xludf.DUMMYFUNCTION("""COMPUTED_VALUE"""),0.0)</f>
        <v>0</v>
      </c>
      <c r="FW19" s="180">
        <f>IFERROR(__xludf.DUMMYFUNCTION("""COMPUTED_VALUE"""),45870.0)</f>
        <v>45870</v>
      </c>
      <c r="FX19" s="179">
        <f>IFERROR(__xludf.DUMMYFUNCTION("""COMPUTED_VALUE"""),0.0)</f>
        <v>0</v>
      </c>
      <c r="FY19" s="180">
        <f>IFERROR(__xludf.DUMMYFUNCTION("""COMPUTED_VALUE"""),45940.0)</f>
        <v>45940</v>
      </c>
      <c r="FZ19" s="179">
        <f>IFERROR(__xludf.DUMMYFUNCTION("""COMPUTED_VALUE"""),0.07142857142857142)</f>
        <v>0.07142857143</v>
      </c>
      <c r="GA19" s="182">
        <f>IFERROR(__xludf.DUMMYFUNCTION("""COMPUTED_VALUE"""),45870.0)</f>
        <v>45870</v>
      </c>
      <c r="GB19" s="179">
        <f>IFERROR(__xludf.DUMMYFUNCTION("""COMPUTED_VALUE"""),0.0)</f>
        <v>0</v>
      </c>
      <c r="GC19" s="180">
        <f>IFERROR(__xludf.DUMMYFUNCTION("""COMPUTED_VALUE"""),45778.0)</f>
        <v>45778</v>
      </c>
      <c r="GD19" s="179">
        <f>IFERROR(__xludf.DUMMYFUNCTION("""COMPUTED_VALUE"""),0.0)</f>
        <v>0</v>
      </c>
      <c r="GE19" s="180">
        <f>IFERROR(__xludf.DUMMYFUNCTION("""COMPUTED_VALUE"""),45778.0)</f>
        <v>45778</v>
      </c>
      <c r="GF19" s="179">
        <f>IFERROR(__xludf.DUMMYFUNCTION("""COMPUTED_VALUE"""),0.0)</f>
        <v>0</v>
      </c>
      <c r="GG19" s="180">
        <f>IFERROR(__xludf.DUMMYFUNCTION("""COMPUTED_VALUE"""),45778.0)</f>
        <v>45778</v>
      </c>
      <c r="GH19" s="179">
        <f>IFERROR(__xludf.DUMMYFUNCTION("""COMPUTED_VALUE"""),0.0)</f>
        <v>0</v>
      </c>
      <c r="GI19" s="180">
        <f>IFERROR(__xludf.DUMMYFUNCTION("""COMPUTED_VALUE"""),45870.0)</f>
        <v>45870</v>
      </c>
      <c r="GJ19" s="179">
        <f>IFERROR(__xludf.DUMMYFUNCTION("""COMPUTED_VALUE"""),0.0)</f>
        <v>0</v>
      </c>
      <c r="GK19" s="180">
        <f>IFERROR(__xludf.DUMMYFUNCTION("""COMPUTED_VALUE"""),45870.0)</f>
        <v>45870</v>
      </c>
      <c r="GL19" s="179">
        <f>IFERROR(__xludf.DUMMYFUNCTION("""COMPUTED_VALUE"""),0.0)</f>
        <v>0</v>
      </c>
      <c r="GM19" s="180">
        <f>IFERROR(__xludf.DUMMYFUNCTION("""COMPUTED_VALUE"""),45658.0)</f>
        <v>45658</v>
      </c>
      <c r="GN19" s="179">
        <f>IFERROR(__xludf.DUMMYFUNCTION("""COMPUTED_VALUE"""),0.0)</f>
        <v>0</v>
      </c>
      <c r="GO19" s="180">
        <f>IFERROR(__xludf.DUMMYFUNCTION("""COMPUTED_VALUE"""),45839.0)</f>
        <v>45839</v>
      </c>
      <c r="GP19" s="179">
        <f>IFERROR(__xludf.DUMMYFUNCTION("""COMPUTED_VALUE"""),0.0)</f>
        <v>0</v>
      </c>
      <c r="GQ19" s="180">
        <f>IFERROR(__xludf.DUMMYFUNCTION("""COMPUTED_VALUE"""),45717.0)</f>
        <v>45717</v>
      </c>
      <c r="GR19" s="179">
        <f>IFERROR(__xludf.DUMMYFUNCTION("""COMPUTED_VALUE"""),0.0)</f>
        <v>0</v>
      </c>
      <c r="GS19" s="180">
        <f>IFERROR(__xludf.DUMMYFUNCTION("""COMPUTED_VALUE"""),45658.0)</f>
        <v>45658</v>
      </c>
      <c r="GT19" s="179">
        <f>IFERROR(__xludf.DUMMYFUNCTION("""COMPUTED_VALUE"""),0.0)</f>
        <v>0</v>
      </c>
    </row>
    <row r="20" ht="31.5" customHeight="1">
      <c r="B20" s="183"/>
      <c r="C20" s="178">
        <f>IFERROR(__xludf.DUMMYFUNCTION("""COMPUTED_VALUE"""),45749.0)</f>
        <v>45749</v>
      </c>
      <c r="D20" s="179">
        <f>IFERROR(__xludf.DUMMYFUNCTION("""COMPUTED_VALUE"""),0.0)</f>
        <v>0</v>
      </c>
      <c r="E20" s="180">
        <f>IFERROR(__xludf.DUMMYFUNCTION("""COMPUTED_VALUE"""),45779.0)</f>
        <v>45779</v>
      </c>
      <c r="F20" s="179">
        <f>IFERROR(__xludf.DUMMYFUNCTION("""COMPUTED_VALUE"""),0.0)</f>
        <v>0</v>
      </c>
      <c r="G20" s="180">
        <f>IFERROR(__xludf.DUMMYFUNCTION("""COMPUTED_VALUE"""),45779.0)</f>
        <v>45779</v>
      </c>
      <c r="H20" s="179">
        <f>IFERROR(__xludf.DUMMYFUNCTION("""COMPUTED_VALUE"""),0.0)</f>
        <v>0</v>
      </c>
      <c r="I20" s="180">
        <f>IFERROR(__xludf.DUMMYFUNCTION("""COMPUTED_VALUE"""),45840.0)</f>
        <v>45840</v>
      </c>
      <c r="J20" s="179">
        <f>IFERROR(__xludf.DUMMYFUNCTION("""COMPUTED_VALUE"""),0.0)</f>
        <v>0</v>
      </c>
      <c r="K20" s="180">
        <f>IFERROR(__xludf.DUMMYFUNCTION("""COMPUTED_VALUE"""),45690.0)</f>
        <v>45690</v>
      </c>
      <c r="L20" s="179">
        <f>IFERROR(__xludf.DUMMYFUNCTION("""COMPUTED_VALUE"""),0.0)</f>
        <v>0</v>
      </c>
      <c r="M20" s="180">
        <f>IFERROR(__xludf.DUMMYFUNCTION("""COMPUTED_VALUE"""),45749.0)</f>
        <v>45749</v>
      </c>
      <c r="N20" s="179">
        <f>IFERROR(__xludf.DUMMYFUNCTION("""COMPUTED_VALUE"""),0.0)</f>
        <v>0</v>
      </c>
      <c r="O20" s="180">
        <f>IFERROR(__xludf.DUMMYFUNCTION("""COMPUTED_VALUE"""),45846.0)</f>
        <v>45846</v>
      </c>
      <c r="P20" s="179">
        <f>IFERROR(__xludf.DUMMYFUNCTION("""COMPUTED_VALUE"""),0.0625)</f>
        <v>0.0625</v>
      </c>
      <c r="Q20" s="180">
        <f>IFERROR(__xludf.DUMMYFUNCTION("""COMPUTED_VALUE"""),45870.0)</f>
        <v>45870</v>
      </c>
      <c r="R20" s="179">
        <f>IFERROR(__xludf.DUMMYFUNCTION("""COMPUTED_VALUE"""),0.0)</f>
        <v>0</v>
      </c>
      <c r="S20" s="180">
        <f>IFERROR(__xludf.DUMMYFUNCTION("""COMPUTED_VALUE"""),45810.0)</f>
        <v>45810</v>
      </c>
      <c r="T20" s="179">
        <f>IFERROR(__xludf.DUMMYFUNCTION("""COMPUTED_VALUE"""),0.0)</f>
        <v>0</v>
      </c>
      <c r="U20" s="180">
        <f>IFERROR(__xludf.DUMMYFUNCTION("""COMPUTED_VALUE"""),45938.0)</f>
        <v>45938</v>
      </c>
      <c r="V20" s="181">
        <f>IFERROR(__xludf.DUMMYFUNCTION("""COMPUTED_VALUE"""),0.07142857142857142)</f>
        <v>0.07142857143</v>
      </c>
      <c r="W20" s="178">
        <f>IFERROR(__xludf.DUMMYFUNCTION("""COMPUTED_VALUE"""),45748.0)</f>
        <v>45748</v>
      </c>
      <c r="X20" s="179">
        <f>IFERROR(__xludf.DUMMYFUNCTION("""COMPUTED_VALUE"""),0.0)</f>
        <v>0</v>
      </c>
      <c r="Y20" s="180">
        <f>IFERROR(__xludf.DUMMYFUNCTION("""COMPUTED_VALUE"""),45689.0)</f>
        <v>45689</v>
      </c>
      <c r="Z20" s="179">
        <f>IFERROR(__xludf.DUMMYFUNCTION("""COMPUTED_VALUE"""),0.0)</f>
        <v>0</v>
      </c>
      <c r="AA20" s="180">
        <f>IFERROR(__xludf.DUMMYFUNCTION("""COMPUTED_VALUE"""),45839.0)</f>
        <v>45839</v>
      </c>
      <c r="AB20" s="179">
        <f>IFERROR(__xludf.DUMMYFUNCTION("""COMPUTED_VALUE"""),0.0)</f>
        <v>0</v>
      </c>
      <c r="AC20" s="180">
        <f>IFERROR(__xludf.DUMMYFUNCTION("""COMPUTED_VALUE"""),45757.0)</f>
        <v>45757</v>
      </c>
      <c r="AD20" s="179">
        <f>IFERROR(__xludf.DUMMYFUNCTION("""COMPUTED_VALUE"""),0.0625)</f>
        <v>0.0625</v>
      </c>
      <c r="AE20" s="180">
        <f>IFERROR(__xludf.DUMMYFUNCTION("""COMPUTED_VALUE"""),45782.0)</f>
        <v>45782</v>
      </c>
      <c r="AF20" s="179">
        <f>IFERROR(__xludf.DUMMYFUNCTION("""COMPUTED_VALUE"""),0.05555555555555555)</f>
        <v>0.05555555556</v>
      </c>
      <c r="AG20" s="180">
        <f>IFERROR(__xludf.DUMMYFUNCTION("""COMPUTED_VALUE"""),45748.0)</f>
        <v>45748</v>
      </c>
      <c r="AH20" s="179">
        <f>IFERROR(__xludf.DUMMYFUNCTION("""COMPUTED_VALUE"""),0.0)</f>
        <v>0</v>
      </c>
      <c r="AI20" s="180">
        <f>IFERROR(__xludf.DUMMYFUNCTION("""COMPUTED_VALUE"""),45847.0)</f>
        <v>45847</v>
      </c>
      <c r="AJ20" s="179">
        <f>IFERROR(__xludf.DUMMYFUNCTION("""COMPUTED_VALUE"""),0.125)</f>
        <v>0.125</v>
      </c>
      <c r="AK20" s="180">
        <f>IFERROR(__xludf.DUMMYFUNCTION("""COMPUTED_VALUE"""),45809.0)</f>
        <v>45809</v>
      </c>
      <c r="AL20" s="179">
        <f>IFERROR(__xludf.DUMMYFUNCTION("""COMPUTED_VALUE"""),0.0)</f>
        <v>0</v>
      </c>
      <c r="AM20" s="180">
        <f>IFERROR(__xludf.DUMMYFUNCTION("""COMPUTED_VALUE"""),45870.0)</f>
        <v>45870</v>
      </c>
      <c r="AN20" s="179">
        <f>IFERROR(__xludf.DUMMYFUNCTION("""COMPUTED_VALUE"""),0.0)</f>
        <v>0</v>
      </c>
      <c r="AO20" s="180">
        <f>IFERROR(__xludf.DUMMYFUNCTION("""COMPUTED_VALUE"""),45933.0)</f>
        <v>45933</v>
      </c>
      <c r="AP20" s="181">
        <f>IFERROR(__xludf.DUMMYFUNCTION("""COMPUTED_VALUE"""),0.07142857142857142)</f>
        <v>0.07142857143</v>
      </c>
      <c r="AQ20" s="178">
        <f>IFERROR(__xludf.DUMMYFUNCTION("""COMPUTED_VALUE"""),45778.0)</f>
        <v>45778</v>
      </c>
      <c r="AR20" s="179">
        <f>IFERROR(__xludf.DUMMYFUNCTION("""COMPUTED_VALUE"""),0.0)</f>
        <v>0</v>
      </c>
      <c r="AS20" s="180">
        <f>IFERROR(__xludf.DUMMYFUNCTION("""COMPUTED_VALUE"""),45839.0)</f>
        <v>45839</v>
      </c>
      <c r="AT20" s="179">
        <f>IFERROR(__xludf.DUMMYFUNCTION("""COMPUTED_VALUE"""),0.0)</f>
        <v>0</v>
      </c>
      <c r="AU20" s="180">
        <f>IFERROR(__xludf.DUMMYFUNCTION("""COMPUTED_VALUE"""),45809.0)</f>
        <v>45809</v>
      </c>
      <c r="AV20" s="179">
        <f>IFERROR(__xludf.DUMMYFUNCTION("""COMPUTED_VALUE"""),0.0)</f>
        <v>0</v>
      </c>
      <c r="AW20" s="180">
        <f>IFERROR(__xludf.DUMMYFUNCTION("""COMPUTED_VALUE"""),45809.0)</f>
        <v>45809</v>
      </c>
      <c r="AX20" s="179">
        <f>IFERROR(__xludf.DUMMYFUNCTION("""COMPUTED_VALUE"""),0.0)</f>
        <v>0</v>
      </c>
      <c r="AY20" s="180">
        <f>IFERROR(__xludf.DUMMYFUNCTION("""COMPUTED_VALUE"""),45748.0)</f>
        <v>45748</v>
      </c>
      <c r="AZ20" s="179">
        <f>IFERROR(__xludf.DUMMYFUNCTION("""COMPUTED_VALUE"""),0.0)</f>
        <v>0</v>
      </c>
      <c r="BA20" s="180">
        <f>IFERROR(__xludf.DUMMYFUNCTION("""COMPUTED_VALUE"""),45778.0)</f>
        <v>45778</v>
      </c>
      <c r="BB20" s="179">
        <f>IFERROR(__xludf.DUMMYFUNCTION("""COMPUTED_VALUE"""),0.0)</f>
        <v>0</v>
      </c>
      <c r="BC20" s="180">
        <f>IFERROR(__xludf.DUMMYFUNCTION("""COMPUTED_VALUE"""),45778.0)</f>
        <v>45778</v>
      </c>
      <c r="BD20" s="179">
        <f>IFERROR(__xludf.DUMMYFUNCTION("""COMPUTED_VALUE"""),0.0)</f>
        <v>0</v>
      </c>
      <c r="BE20" s="180">
        <f>IFERROR(__xludf.DUMMYFUNCTION("""COMPUTED_VALUE"""),45901.0)</f>
        <v>45901</v>
      </c>
      <c r="BF20" s="179">
        <f>IFERROR(__xludf.DUMMYFUNCTION("""COMPUTED_VALUE"""),0.0)</f>
        <v>0</v>
      </c>
      <c r="BG20" s="180">
        <f>IFERROR(__xludf.DUMMYFUNCTION("""COMPUTED_VALUE"""),45809.0)</f>
        <v>45809</v>
      </c>
      <c r="BH20" s="179">
        <f>IFERROR(__xludf.DUMMYFUNCTION("""COMPUTED_VALUE"""),0.0)</f>
        <v>0</v>
      </c>
      <c r="BI20" s="180">
        <f>IFERROR(__xludf.DUMMYFUNCTION("""COMPUTED_VALUE"""),45717.0)</f>
        <v>45717</v>
      </c>
      <c r="BJ20" s="179">
        <f>IFERROR(__xludf.DUMMYFUNCTION("""COMPUTED_VALUE"""),0.0)</f>
        <v>0</v>
      </c>
      <c r="BK20" s="182">
        <f>IFERROR(__xludf.DUMMYFUNCTION("""COMPUTED_VALUE"""),45809.0)</f>
        <v>45809</v>
      </c>
      <c r="BL20" s="179">
        <f>IFERROR(__xludf.DUMMYFUNCTION("""COMPUTED_VALUE"""),0.0)</f>
        <v>0</v>
      </c>
      <c r="BM20" s="180">
        <f>IFERROR(__xludf.DUMMYFUNCTION("""COMPUTED_VALUE"""),45717.0)</f>
        <v>45717</v>
      </c>
      <c r="BN20" s="179">
        <f>IFERROR(__xludf.DUMMYFUNCTION("""COMPUTED_VALUE"""),0.0)</f>
        <v>0</v>
      </c>
      <c r="BO20" s="180">
        <f>IFERROR(__xludf.DUMMYFUNCTION("""COMPUTED_VALUE"""),45689.0)</f>
        <v>45689</v>
      </c>
      <c r="BP20" s="179">
        <f>IFERROR(__xludf.DUMMYFUNCTION("""COMPUTED_VALUE"""),0.0)</f>
        <v>0</v>
      </c>
      <c r="BQ20" s="180">
        <f>IFERROR(__xludf.DUMMYFUNCTION("""COMPUTED_VALUE"""),45839.0)</f>
        <v>45839</v>
      </c>
      <c r="BR20" s="179">
        <f>IFERROR(__xludf.DUMMYFUNCTION("""COMPUTED_VALUE"""),0.0)</f>
        <v>0</v>
      </c>
      <c r="BS20" s="180">
        <f>IFERROR(__xludf.DUMMYFUNCTION("""COMPUTED_VALUE"""),45901.0)</f>
        <v>45901</v>
      </c>
      <c r="BT20" s="179">
        <f>IFERROR(__xludf.DUMMYFUNCTION("""COMPUTED_VALUE"""),0.0)</f>
        <v>0</v>
      </c>
      <c r="BU20" s="180">
        <f>IFERROR(__xludf.DUMMYFUNCTION("""COMPUTED_VALUE"""),45870.0)</f>
        <v>45870</v>
      </c>
      <c r="BV20" s="179">
        <f>IFERROR(__xludf.DUMMYFUNCTION("""COMPUTED_VALUE"""),0.0)</f>
        <v>0</v>
      </c>
      <c r="BW20" s="180">
        <f>IFERROR(__xludf.DUMMYFUNCTION("""COMPUTED_VALUE"""),45658.0)</f>
        <v>45658</v>
      </c>
      <c r="BX20" s="179">
        <f>IFERROR(__xludf.DUMMYFUNCTION("""COMPUTED_VALUE"""),0.0)</f>
        <v>0</v>
      </c>
      <c r="BY20" s="180">
        <f>IFERROR(__xludf.DUMMYFUNCTION("""COMPUTED_VALUE"""),45839.0)</f>
        <v>45839</v>
      </c>
      <c r="BZ20" s="179">
        <f>IFERROR(__xludf.DUMMYFUNCTION("""COMPUTED_VALUE"""),0.0)</f>
        <v>0</v>
      </c>
      <c r="CA20" s="180">
        <f>IFERROR(__xludf.DUMMYFUNCTION("""COMPUTED_VALUE"""),45778.0)</f>
        <v>45778</v>
      </c>
      <c r="CB20" s="179">
        <f>IFERROR(__xludf.DUMMYFUNCTION("""COMPUTED_VALUE"""),0.0)</f>
        <v>0</v>
      </c>
      <c r="CC20" s="180">
        <f>IFERROR(__xludf.DUMMYFUNCTION("""COMPUTED_VALUE"""),45778.0)</f>
        <v>45778</v>
      </c>
      <c r="CD20" s="179">
        <f>IFERROR(__xludf.DUMMYFUNCTION("""COMPUTED_VALUE"""),0.0)</f>
        <v>0</v>
      </c>
      <c r="CE20" s="182">
        <f>IFERROR(__xludf.DUMMYFUNCTION("""COMPUTED_VALUE"""),45901.0)</f>
        <v>45901</v>
      </c>
      <c r="CF20" s="179">
        <f>IFERROR(__xludf.DUMMYFUNCTION("""COMPUTED_VALUE"""),0.0)</f>
        <v>0</v>
      </c>
      <c r="CG20" s="180">
        <f>IFERROR(__xludf.DUMMYFUNCTION("""COMPUTED_VALUE"""),45717.0)</f>
        <v>45717</v>
      </c>
      <c r="CH20" s="179">
        <f>IFERROR(__xludf.DUMMYFUNCTION("""COMPUTED_VALUE"""),0.0)</f>
        <v>0</v>
      </c>
      <c r="CI20" s="180">
        <f>IFERROR(__xludf.DUMMYFUNCTION("""COMPUTED_VALUE"""),45748.0)</f>
        <v>45748</v>
      </c>
      <c r="CJ20" s="179">
        <f>IFERROR(__xludf.DUMMYFUNCTION("""COMPUTED_VALUE"""),0.0)</f>
        <v>0</v>
      </c>
      <c r="CK20" s="180">
        <f>IFERROR(__xludf.DUMMYFUNCTION("""COMPUTED_VALUE"""),45778.0)</f>
        <v>45778</v>
      </c>
      <c r="CL20" s="179">
        <f>IFERROR(__xludf.DUMMYFUNCTION("""COMPUTED_VALUE"""),0.0)</f>
        <v>0</v>
      </c>
      <c r="CM20" s="180">
        <f>IFERROR(__xludf.DUMMYFUNCTION("""COMPUTED_VALUE"""),45748.0)</f>
        <v>45748</v>
      </c>
      <c r="CN20" s="179">
        <f>IFERROR(__xludf.DUMMYFUNCTION("""COMPUTED_VALUE"""),0.0)</f>
        <v>0</v>
      </c>
      <c r="CO20" s="180">
        <f>IFERROR(__xludf.DUMMYFUNCTION("""COMPUTED_VALUE"""),45717.0)</f>
        <v>45717</v>
      </c>
      <c r="CP20" s="179">
        <f>IFERROR(__xludf.DUMMYFUNCTION("""COMPUTED_VALUE"""),0.0)</f>
        <v>0</v>
      </c>
      <c r="CQ20" s="180">
        <f>IFERROR(__xludf.DUMMYFUNCTION("""COMPUTED_VALUE"""),45698.0)</f>
        <v>45698</v>
      </c>
      <c r="CR20" s="179">
        <f>IFERROR(__xludf.DUMMYFUNCTION("""COMPUTED_VALUE"""),0.16666666666666666)</f>
        <v>0.1666666667</v>
      </c>
      <c r="CS20" s="180">
        <f>IFERROR(__xludf.DUMMYFUNCTION("""COMPUTED_VALUE"""),45839.0)</f>
        <v>45839</v>
      </c>
      <c r="CT20" s="179">
        <f>IFERROR(__xludf.DUMMYFUNCTION("""COMPUTED_VALUE"""),0.0)</f>
        <v>0</v>
      </c>
      <c r="CU20" s="180">
        <f>IFERROR(__xludf.DUMMYFUNCTION("""COMPUTED_VALUE"""),45901.0)</f>
        <v>45901</v>
      </c>
      <c r="CV20" s="179">
        <f>IFERROR(__xludf.DUMMYFUNCTION("""COMPUTED_VALUE"""),0.0)</f>
        <v>0</v>
      </c>
      <c r="CW20" s="180">
        <f>IFERROR(__xludf.DUMMYFUNCTION("""COMPUTED_VALUE"""),45939.0)</f>
        <v>45939</v>
      </c>
      <c r="CX20" s="179">
        <f>IFERROR(__xludf.DUMMYFUNCTION("""COMPUTED_VALUE"""),0.14285714285714285)</f>
        <v>0.1428571429</v>
      </c>
      <c r="CY20" s="182">
        <f>IFERROR(__xludf.DUMMYFUNCTION("""COMPUTED_VALUE"""),45748.0)</f>
        <v>45748</v>
      </c>
      <c r="CZ20" s="179">
        <f>IFERROR(__xludf.DUMMYFUNCTION("""COMPUTED_VALUE"""),0.0)</f>
        <v>0</v>
      </c>
      <c r="DA20" s="180">
        <f>IFERROR(__xludf.DUMMYFUNCTION("""COMPUTED_VALUE"""),45809.0)</f>
        <v>45809</v>
      </c>
      <c r="DB20" s="179">
        <f>IFERROR(__xludf.DUMMYFUNCTION("""COMPUTED_VALUE"""),0.0)</f>
        <v>0</v>
      </c>
      <c r="DC20" s="180">
        <f>IFERROR(__xludf.DUMMYFUNCTION("""COMPUTED_VALUE"""),45748.0)</f>
        <v>45748</v>
      </c>
      <c r="DD20" s="179">
        <f>IFERROR(__xludf.DUMMYFUNCTION("""COMPUTED_VALUE"""),0.0)</f>
        <v>0</v>
      </c>
      <c r="DE20" s="180">
        <f>IFERROR(__xludf.DUMMYFUNCTION("""COMPUTED_VALUE"""),45778.0)</f>
        <v>45778</v>
      </c>
      <c r="DF20" s="179">
        <f>IFERROR(__xludf.DUMMYFUNCTION("""COMPUTED_VALUE"""),0.0)</f>
        <v>0</v>
      </c>
      <c r="DG20" s="180">
        <f>IFERROR(__xludf.DUMMYFUNCTION("""COMPUTED_VALUE"""),45748.0)</f>
        <v>45748</v>
      </c>
      <c r="DH20" s="179">
        <f>IFERROR(__xludf.DUMMYFUNCTION("""COMPUTED_VALUE"""),0.0)</f>
        <v>0</v>
      </c>
      <c r="DI20" s="180">
        <f>IFERROR(__xludf.DUMMYFUNCTION("""COMPUTED_VALUE"""),45870.0)</f>
        <v>45870</v>
      </c>
      <c r="DJ20" s="179">
        <f>IFERROR(__xludf.DUMMYFUNCTION("""COMPUTED_VALUE"""),0.0)</f>
        <v>0</v>
      </c>
      <c r="DK20" s="180">
        <f>IFERROR(__xludf.DUMMYFUNCTION("""COMPUTED_VALUE"""),45748.0)</f>
        <v>45748</v>
      </c>
      <c r="DL20" s="179">
        <f>IFERROR(__xludf.DUMMYFUNCTION("""COMPUTED_VALUE"""),0.0)</f>
        <v>0</v>
      </c>
      <c r="DM20" s="180">
        <f>IFERROR(__xludf.DUMMYFUNCTION("""COMPUTED_VALUE"""),45778.0)</f>
        <v>45778</v>
      </c>
      <c r="DN20" s="179">
        <f>IFERROR(__xludf.DUMMYFUNCTION("""COMPUTED_VALUE"""),0.0)</f>
        <v>0</v>
      </c>
      <c r="DO20" s="180">
        <f>IFERROR(__xludf.DUMMYFUNCTION("""COMPUTED_VALUE"""),45839.0)</f>
        <v>45839</v>
      </c>
      <c r="DP20" s="179">
        <f>IFERROR(__xludf.DUMMYFUNCTION("""COMPUTED_VALUE"""),0.0)</f>
        <v>0</v>
      </c>
      <c r="DQ20" s="180">
        <f>IFERROR(__xludf.DUMMYFUNCTION("""COMPUTED_VALUE"""),45723.0)</f>
        <v>45723</v>
      </c>
      <c r="DR20" s="179">
        <f>IFERROR(__xludf.DUMMYFUNCTION("""COMPUTED_VALUE"""),0.16666666666666666)</f>
        <v>0.1666666667</v>
      </c>
      <c r="DS20" s="182">
        <f>IFERROR(__xludf.DUMMYFUNCTION("""COMPUTED_VALUE"""),45870.0)</f>
        <v>45870</v>
      </c>
      <c r="DT20" s="179">
        <f>IFERROR(__xludf.DUMMYFUNCTION("""COMPUTED_VALUE"""),0.0)</f>
        <v>0</v>
      </c>
      <c r="DU20" s="180">
        <f>IFERROR(__xludf.DUMMYFUNCTION("""COMPUTED_VALUE"""),45839.0)</f>
        <v>45839</v>
      </c>
      <c r="DV20" s="179">
        <f>IFERROR(__xludf.DUMMYFUNCTION("""COMPUTED_VALUE"""),0.0)</f>
        <v>0</v>
      </c>
      <c r="DW20" s="180">
        <f>IFERROR(__xludf.DUMMYFUNCTION("""COMPUTED_VALUE"""),45839.0)</f>
        <v>45839</v>
      </c>
      <c r="DX20" s="179">
        <f>IFERROR(__xludf.DUMMYFUNCTION("""COMPUTED_VALUE"""),0.0)</f>
        <v>0</v>
      </c>
      <c r="DY20" s="180">
        <f>IFERROR(__xludf.DUMMYFUNCTION("""COMPUTED_VALUE"""),45870.0)</f>
        <v>45870</v>
      </c>
      <c r="DZ20" s="179">
        <f>IFERROR(__xludf.DUMMYFUNCTION("""COMPUTED_VALUE"""),0.0)</f>
        <v>0</v>
      </c>
      <c r="EA20" s="180">
        <f>IFERROR(__xludf.DUMMYFUNCTION("""COMPUTED_VALUE"""),45901.0)</f>
        <v>45901</v>
      </c>
      <c r="EB20" s="179">
        <f>IFERROR(__xludf.DUMMYFUNCTION("""COMPUTED_VALUE"""),0.0)</f>
        <v>0</v>
      </c>
      <c r="EC20" s="180">
        <f>IFERROR(__xludf.DUMMYFUNCTION("""COMPUTED_VALUE"""),45870.0)</f>
        <v>45870</v>
      </c>
      <c r="ED20" s="179">
        <f>IFERROR(__xludf.DUMMYFUNCTION("""COMPUTED_VALUE"""),0.0)</f>
        <v>0</v>
      </c>
      <c r="EE20" s="180">
        <f>IFERROR(__xludf.DUMMYFUNCTION("""COMPUTED_VALUE"""),45778.0)</f>
        <v>45778</v>
      </c>
      <c r="EF20" s="179">
        <f>IFERROR(__xludf.DUMMYFUNCTION("""COMPUTED_VALUE"""),0.0)</f>
        <v>0</v>
      </c>
      <c r="EG20" s="180">
        <f>IFERROR(__xludf.DUMMYFUNCTION("""COMPUTED_VALUE"""),45870.0)</f>
        <v>45870</v>
      </c>
      <c r="EH20" s="179">
        <f>IFERROR(__xludf.DUMMYFUNCTION("""COMPUTED_VALUE"""),0.0)</f>
        <v>0</v>
      </c>
      <c r="EI20" s="180">
        <f>IFERROR(__xludf.DUMMYFUNCTION("""COMPUTED_VALUE"""),45870.0)</f>
        <v>45870</v>
      </c>
      <c r="EJ20" s="179">
        <f>IFERROR(__xludf.DUMMYFUNCTION("""COMPUTED_VALUE"""),0.0)</f>
        <v>0</v>
      </c>
      <c r="EK20" s="180">
        <f>IFERROR(__xludf.DUMMYFUNCTION("""COMPUTED_VALUE"""),45809.0)</f>
        <v>45809</v>
      </c>
      <c r="EL20" s="179">
        <f>IFERROR(__xludf.DUMMYFUNCTION("""COMPUTED_VALUE"""),0.0)</f>
        <v>0</v>
      </c>
      <c r="EM20" s="182">
        <f>IFERROR(__xludf.DUMMYFUNCTION("""COMPUTED_VALUE"""),45778.0)</f>
        <v>45778</v>
      </c>
      <c r="EN20" s="179">
        <f>IFERROR(__xludf.DUMMYFUNCTION("""COMPUTED_VALUE"""),0.0)</f>
        <v>0</v>
      </c>
      <c r="EO20" s="180">
        <f>IFERROR(__xludf.DUMMYFUNCTION("""COMPUTED_VALUE"""),45870.0)</f>
        <v>45870</v>
      </c>
      <c r="EP20" s="179">
        <f>IFERROR(__xludf.DUMMYFUNCTION("""COMPUTED_VALUE"""),0.0)</f>
        <v>0</v>
      </c>
      <c r="EQ20" s="180">
        <f>IFERROR(__xludf.DUMMYFUNCTION("""COMPUTED_VALUE"""),45717.0)</f>
        <v>45717</v>
      </c>
      <c r="ER20" s="179">
        <f>IFERROR(__xludf.DUMMYFUNCTION("""COMPUTED_VALUE"""),0.0)</f>
        <v>0</v>
      </c>
      <c r="ES20" s="180">
        <f>IFERROR(__xludf.DUMMYFUNCTION("""COMPUTED_VALUE"""),45901.0)</f>
        <v>45901</v>
      </c>
      <c r="ET20" s="179">
        <f>IFERROR(__xludf.DUMMYFUNCTION("""COMPUTED_VALUE"""),0.0)</f>
        <v>0</v>
      </c>
      <c r="EU20" s="180">
        <f>IFERROR(__xludf.DUMMYFUNCTION("""COMPUTED_VALUE"""),45870.0)</f>
        <v>45870</v>
      </c>
      <c r="EV20" s="179">
        <f>IFERROR(__xludf.DUMMYFUNCTION("""COMPUTED_VALUE"""),0.0)</f>
        <v>0</v>
      </c>
      <c r="EW20" s="180">
        <f>IFERROR(__xludf.DUMMYFUNCTION("""COMPUTED_VALUE"""),45901.0)</f>
        <v>45901</v>
      </c>
      <c r="EX20" s="179">
        <f>IFERROR(__xludf.DUMMYFUNCTION("""COMPUTED_VALUE"""),0.0)</f>
        <v>0</v>
      </c>
      <c r="EY20" s="180">
        <f>IFERROR(__xludf.DUMMYFUNCTION("""COMPUTED_VALUE"""),45901.0)</f>
        <v>45901</v>
      </c>
      <c r="EZ20" s="179">
        <f>IFERROR(__xludf.DUMMYFUNCTION("""COMPUTED_VALUE"""),0.0)</f>
        <v>0</v>
      </c>
      <c r="FA20" s="180">
        <f>IFERROR(__xludf.DUMMYFUNCTION("""COMPUTED_VALUE"""),45870.0)</f>
        <v>45870</v>
      </c>
      <c r="FB20" s="179">
        <f>IFERROR(__xludf.DUMMYFUNCTION("""COMPUTED_VALUE"""),0.0)</f>
        <v>0</v>
      </c>
      <c r="FC20" s="180">
        <f>IFERROR(__xludf.DUMMYFUNCTION("""COMPUTED_VALUE"""),45870.0)</f>
        <v>45870</v>
      </c>
      <c r="FD20" s="179">
        <f>IFERROR(__xludf.DUMMYFUNCTION("""COMPUTED_VALUE"""),0.0)</f>
        <v>0</v>
      </c>
      <c r="FE20" s="180">
        <f>IFERROR(__xludf.DUMMYFUNCTION("""COMPUTED_VALUE"""),45658.0)</f>
        <v>45658</v>
      </c>
      <c r="FF20" s="179">
        <f>IFERROR(__xludf.DUMMYFUNCTION("""COMPUTED_VALUE"""),0.0)</f>
        <v>0</v>
      </c>
      <c r="FG20" s="182">
        <f>IFERROR(__xludf.DUMMYFUNCTION("""COMPUTED_VALUE"""),45778.0)</f>
        <v>45778</v>
      </c>
      <c r="FH20" s="179">
        <f>IFERROR(__xludf.DUMMYFUNCTION("""COMPUTED_VALUE"""),0.0)</f>
        <v>0</v>
      </c>
      <c r="FI20" s="180">
        <f>IFERROR(__xludf.DUMMYFUNCTION("""COMPUTED_VALUE"""),45658.0)</f>
        <v>45658</v>
      </c>
      <c r="FJ20" s="179">
        <f>IFERROR(__xludf.DUMMYFUNCTION("""COMPUTED_VALUE"""),0.0)</f>
        <v>0</v>
      </c>
      <c r="FK20" s="180">
        <f>IFERROR(__xludf.DUMMYFUNCTION("""COMPUTED_VALUE"""),45658.0)</f>
        <v>45658</v>
      </c>
      <c r="FL20" s="179">
        <f>IFERROR(__xludf.DUMMYFUNCTION("""COMPUTED_VALUE"""),0.0)</f>
        <v>0</v>
      </c>
      <c r="FM20" s="180">
        <f>IFERROR(__xludf.DUMMYFUNCTION("""COMPUTED_VALUE"""),45717.0)</f>
        <v>45717</v>
      </c>
      <c r="FN20" s="179">
        <f>IFERROR(__xludf.DUMMYFUNCTION("""COMPUTED_VALUE"""),0.0)</f>
        <v>0</v>
      </c>
      <c r="FO20" s="180">
        <f>IFERROR(__xludf.DUMMYFUNCTION("""COMPUTED_VALUE"""),45778.0)</f>
        <v>45778</v>
      </c>
      <c r="FP20" s="179">
        <f>IFERROR(__xludf.DUMMYFUNCTION("""COMPUTED_VALUE"""),0.0)</f>
        <v>0</v>
      </c>
      <c r="FQ20" s="180">
        <f>IFERROR(__xludf.DUMMYFUNCTION("""COMPUTED_VALUE"""),45901.0)</f>
        <v>45901</v>
      </c>
      <c r="FR20" s="179">
        <f>IFERROR(__xludf.DUMMYFUNCTION("""COMPUTED_VALUE"""),0.0)</f>
        <v>0</v>
      </c>
      <c r="FS20" s="180">
        <f>IFERROR(__xludf.DUMMYFUNCTION("""COMPUTED_VALUE"""),45749.0)</f>
        <v>45749</v>
      </c>
      <c r="FT20" s="179">
        <f>IFERROR(__xludf.DUMMYFUNCTION("""COMPUTED_VALUE"""),0.1)</f>
        <v>0.1</v>
      </c>
      <c r="FU20" s="180">
        <f>IFERROR(__xludf.DUMMYFUNCTION("""COMPUTED_VALUE"""),45809.0)</f>
        <v>45809</v>
      </c>
      <c r="FV20" s="179">
        <f>IFERROR(__xludf.DUMMYFUNCTION("""COMPUTED_VALUE"""),0.0)</f>
        <v>0</v>
      </c>
      <c r="FW20" s="180">
        <f>IFERROR(__xludf.DUMMYFUNCTION("""COMPUTED_VALUE"""),45901.0)</f>
        <v>45901</v>
      </c>
      <c r="FX20" s="179">
        <f>IFERROR(__xludf.DUMMYFUNCTION("""COMPUTED_VALUE"""),0.0)</f>
        <v>0</v>
      </c>
      <c r="FY20" s="180">
        <f>IFERROR(__xludf.DUMMYFUNCTION("""COMPUTED_VALUE"""),45658.0)</f>
        <v>45658</v>
      </c>
      <c r="FZ20" s="179">
        <f>IFERROR(__xludf.DUMMYFUNCTION("""COMPUTED_VALUE"""),0.0)</f>
        <v>0</v>
      </c>
      <c r="GA20" s="182">
        <f>IFERROR(__xludf.DUMMYFUNCTION("""COMPUTED_VALUE"""),45901.0)</f>
        <v>45901</v>
      </c>
      <c r="GB20" s="179">
        <f>IFERROR(__xludf.DUMMYFUNCTION("""COMPUTED_VALUE"""),0.0)</f>
        <v>0</v>
      </c>
      <c r="GC20" s="180">
        <f>IFERROR(__xludf.DUMMYFUNCTION("""COMPUTED_VALUE"""),45809.0)</f>
        <v>45809</v>
      </c>
      <c r="GD20" s="179">
        <f>IFERROR(__xludf.DUMMYFUNCTION("""COMPUTED_VALUE"""),0.0)</f>
        <v>0</v>
      </c>
      <c r="GE20" s="180">
        <f>IFERROR(__xludf.DUMMYFUNCTION("""COMPUTED_VALUE"""),45809.0)</f>
        <v>45809</v>
      </c>
      <c r="GF20" s="179">
        <f>IFERROR(__xludf.DUMMYFUNCTION("""COMPUTED_VALUE"""),0.0)</f>
        <v>0</v>
      </c>
      <c r="GG20" s="180">
        <f>IFERROR(__xludf.DUMMYFUNCTION("""COMPUTED_VALUE"""),45809.0)</f>
        <v>45809</v>
      </c>
      <c r="GH20" s="179">
        <f>IFERROR(__xludf.DUMMYFUNCTION("""COMPUTED_VALUE"""),0.0)</f>
        <v>0</v>
      </c>
      <c r="GI20" s="180">
        <f>IFERROR(__xludf.DUMMYFUNCTION("""COMPUTED_VALUE"""),45901.0)</f>
        <v>45901</v>
      </c>
      <c r="GJ20" s="179">
        <f>IFERROR(__xludf.DUMMYFUNCTION("""COMPUTED_VALUE"""),0.0)</f>
        <v>0</v>
      </c>
      <c r="GK20" s="180">
        <f>IFERROR(__xludf.DUMMYFUNCTION("""COMPUTED_VALUE"""),45901.0)</f>
        <v>45901</v>
      </c>
      <c r="GL20" s="179">
        <f>IFERROR(__xludf.DUMMYFUNCTION("""COMPUTED_VALUE"""),0.0)</f>
        <v>0</v>
      </c>
      <c r="GM20" s="180">
        <f>IFERROR(__xludf.DUMMYFUNCTION("""COMPUTED_VALUE"""),45689.0)</f>
        <v>45689</v>
      </c>
      <c r="GN20" s="179">
        <f>IFERROR(__xludf.DUMMYFUNCTION("""COMPUTED_VALUE"""),0.0)</f>
        <v>0</v>
      </c>
      <c r="GO20" s="180">
        <f>IFERROR(__xludf.DUMMYFUNCTION("""COMPUTED_VALUE"""),45870.0)</f>
        <v>45870</v>
      </c>
      <c r="GP20" s="179">
        <f>IFERROR(__xludf.DUMMYFUNCTION("""COMPUTED_VALUE"""),0.0)</f>
        <v>0</v>
      </c>
      <c r="GQ20" s="180">
        <f>IFERROR(__xludf.DUMMYFUNCTION("""COMPUTED_VALUE"""),45748.0)</f>
        <v>45748</v>
      </c>
      <c r="GR20" s="179">
        <f>IFERROR(__xludf.DUMMYFUNCTION("""COMPUTED_VALUE"""),0.0)</f>
        <v>0</v>
      </c>
      <c r="GS20" s="180">
        <f>IFERROR(__xludf.DUMMYFUNCTION("""COMPUTED_VALUE"""),45689.0)</f>
        <v>45689</v>
      </c>
      <c r="GT20" s="179">
        <f>IFERROR(__xludf.DUMMYFUNCTION("""COMPUTED_VALUE"""),0.0)</f>
        <v>0</v>
      </c>
    </row>
    <row r="21" ht="31.5" customHeight="1">
      <c r="B21" s="183"/>
      <c r="C21" s="178">
        <f>IFERROR(__xludf.DUMMYFUNCTION("""COMPUTED_VALUE"""),45779.0)</f>
        <v>45779</v>
      </c>
      <c r="D21" s="179">
        <f>IFERROR(__xludf.DUMMYFUNCTION("""COMPUTED_VALUE"""),0.0)</f>
        <v>0</v>
      </c>
      <c r="E21" s="180">
        <f>IFERROR(__xludf.DUMMYFUNCTION("""COMPUTED_VALUE"""),45810.0)</f>
        <v>45810</v>
      </c>
      <c r="F21" s="179">
        <f>IFERROR(__xludf.DUMMYFUNCTION("""COMPUTED_VALUE"""),0.0)</f>
        <v>0</v>
      </c>
      <c r="G21" s="180">
        <f>IFERROR(__xludf.DUMMYFUNCTION("""COMPUTED_VALUE"""),45810.0)</f>
        <v>45810</v>
      </c>
      <c r="H21" s="179">
        <f>IFERROR(__xludf.DUMMYFUNCTION("""COMPUTED_VALUE"""),0.0)</f>
        <v>0</v>
      </c>
      <c r="I21" s="180">
        <f>IFERROR(__xludf.DUMMYFUNCTION("""COMPUTED_VALUE"""),45871.0)</f>
        <v>45871</v>
      </c>
      <c r="J21" s="179">
        <f>IFERROR(__xludf.DUMMYFUNCTION("""COMPUTED_VALUE"""),0.0)</f>
        <v>0</v>
      </c>
      <c r="K21" s="180">
        <f>IFERROR(__xludf.DUMMYFUNCTION("""COMPUTED_VALUE"""),45718.0)</f>
        <v>45718</v>
      </c>
      <c r="L21" s="179">
        <f>IFERROR(__xludf.DUMMYFUNCTION("""COMPUTED_VALUE"""),0.0)</f>
        <v>0</v>
      </c>
      <c r="M21" s="180">
        <f>IFERROR(__xludf.DUMMYFUNCTION("""COMPUTED_VALUE"""),45779.0)</f>
        <v>45779</v>
      </c>
      <c r="N21" s="179">
        <f>IFERROR(__xludf.DUMMYFUNCTION("""COMPUTED_VALUE"""),0.0)</f>
        <v>0</v>
      </c>
      <c r="O21" s="180">
        <f>IFERROR(__xludf.DUMMYFUNCTION("""COMPUTED_VALUE"""),45839.0)</f>
        <v>45839</v>
      </c>
      <c r="P21" s="179">
        <f>IFERROR(__xludf.DUMMYFUNCTION("""COMPUTED_VALUE"""),0.0)</f>
        <v>0</v>
      </c>
      <c r="Q21" s="180">
        <f>IFERROR(__xludf.DUMMYFUNCTION("""COMPUTED_VALUE"""),45659.0)</f>
        <v>45659</v>
      </c>
      <c r="R21" s="179">
        <f>IFERROR(__xludf.DUMMYFUNCTION("""COMPUTED_VALUE"""),0.0)</f>
        <v>0</v>
      </c>
      <c r="S21" s="180">
        <f>IFERROR(__xludf.DUMMYFUNCTION("""COMPUTED_VALUE"""),45840.0)</f>
        <v>45840</v>
      </c>
      <c r="T21" s="179">
        <f>IFERROR(__xludf.DUMMYFUNCTION("""COMPUTED_VALUE"""),0.0)</f>
        <v>0</v>
      </c>
      <c r="U21" s="180">
        <f>IFERROR(__xludf.DUMMYFUNCTION("""COMPUTED_VALUE"""),45931.0)</f>
        <v>45931</v>
      </c>
      <c r="V21" s="181">
        <f>IFERROR(__xludf.DUMMYFUNCTION("""COMPUTED_VALUE"""),0.0)</f>
        <v>0</v>
      </c>
      <c r="W21" s="178">
        <f>IFERROR(__xludf.DUMMYFUNCTION("""COMPUTED_VALUE"""),45778.0)</f>
        <v>45778</v>
      </c>
      <c r="X21" s="179">
        <f>IFERROR(__xludf.DUMMYFUNCTION("""COMPUTED_VALUE"""),0.0)</f>
        <v>0</v>
      </c>
      <c r="Y21" s="180">
        <f>IFERROR(__xludf.DUMMYFUNCTION("""COMPUTED_VALUE"""),45717.0)</f>
        <v>45717</v>
      </c>
      <c r="Z21" s="179">
        <f>IFERROR(__xludf.DUMMYFUNCTION("""COMPUTED_VALUE"""),0.0)</f>
        <v>0</v>
      </c>
      <c r="AA21" s="180">
        <f>IFERROR(__xludf.DUMMYFUNCTION("""COMPUTED_VALUE"""),45870.0)</f>
        <v>45870</v>
      </c>
      <c r="AB21" s="179">
        <f>IFERROR(__xludf.DUMMYFUNCTION("""COMPUTED_VALUE"""),0.0)</f>
        <v>0</v>
      </c>
      <c r="AC21" s="180">
        <f>IFERROR(__xludf.DUMMYFUNCTION("""COMPUTED_VALUE"""),45658.0)</f>
        <v>45658</v>
      </c>
      <c r="AD21" s="179">
        <f>IFERROR(__xludf.DUMMYFUNCTION("""COMPUTED_VALUE"""),0.0)</f>
        <v>0</v>
      </c>
      <c r="AE21" s="180">
        <f>IFERROR(__xludf.DUMMYFUNCTION("""COMPUTED_VALUE"""),45786.0)</f>
        <v>45786</v>
      </c>
      <c r="AF21" s="179">
        <f>IFERROR(__xludf.DUMMYFUNCTION("""COMPUTED_VALUE"""),0.05555555555555555)</f>
        <v>0.05555555556</v>
      </c>
      <c r="AG21" s="180">
        <f>IFERROR(__xludf.DUMMYFUNCTION("""COMPUTED_VALUE"""),45778.0)</f>
        <v>45778</v>
      </c>
      <c r="AH21" s="179">
        <f>IFERROR(__xludf.DUMMYFUNCTION("""COMPUTED_VALUE"""),0.0)</f>
        <v>0</v>
      </c>
      <c r="AI21" s="180">
        <f>IFERROR(__xludf.DUMMYFUNCTION("""COMPUTED_VALUE"""),45658.0)</f>
        <v>45658</v>
      </c>
      <c r="AJ21" s="179">
        <f>IFERROR(__xludf.DUMMYFUNCTION("""COMPUTED_VALUE"""),0.0)</f>
        <v>0</v>
      </c>
      <c r="AK21" s="180">
        <f>IFERROR(__xludf.DUMMYFUNCTION("""COMPUTED_VALUE"""),45839.0)</f>
        <v>45839</v>
      </c>
      <c r="AL21" s="179">
        <f>IFERROR(__xludf.DUMMYFUNCTION("""COMPUTED_VALUE"""),0.0)</f>
        <v>0</v>
      </c>
      <c r="AM21" s="180">
        <f>IFERROR(__xludf.DUMMYFUNCTION("""COMPUTED_VALUE"""),45901.0)</f>
        <v>45901</v>
      </c>
      <c r="AN21" s="179">
        <f>IFERROR(__xludf.DUMMYFUNCTION("""COMPUTED_VALUE"""),0.0)</f>
        <v>0</v>
      </c>
      <c r="AO21" s="180">
        <f>IFERROR(__xludf.DUMMYFUNCTION("""COMPUTED_VALUE"""),45658.0)</f>
        <v>45658</v>
      </c>
      <c r="AP21" s="181">
        <f>IFERROR(__xludf.DUMMYFUNCTION("""COMPUTED_VALUE"""),0.0)</f>
        <v>0</v>
      </c>
      <c r="AQ21" s="178">
        <f>IFERROR(__xludf.DUMMYFUNCTION("""COMPUTED_VALUE"""),45809.0)</f>
        <v>45809</v>
      </c>
      <c r="AR21" s="179">
        <f>IFERROR(__xludf.DUMMYFUNCTION("""COMPUTED_VALUE"""),0.0)</f>
        <v>0</v>
      </c>
      <c r="AS21" s="180">
        <f>IFERROR(__xludf.DUMMYFUNCTION("""COMPUTED_VALUE"""),45870.0)</f>
        <v>45870</v>
      </c>
      <c r="AT21" s="179">
        <f>IFERROR(__xludf.DUMMYFUNCTION("""COMPUTED_VALUE"""),0.0)</f>
        <v>0</v>
      </c>
      <c r="AU21" s="180">
        <f>IFERROR(__xludf.DUMMYFUNCTION("""COMPUTED_VALUE"""),45839.0)</f>
        <v>45839</v>
      </c>
      <c r="AV21" s="179">
        <f>IFERROR(__xludf.DUMMYFUNCTION("""COMPUTED_VALUE"""),0.0)</f>
        <v>0</v>
      </c>
      <c r="AW21" s="180">
        <f>IFERROR(__xludf.DUMMYFUNCTION("""COMPUTED_VALUE"""),45839.0)</f>
        <v>45839</v>
      </c>
      <c r="AX21" s="179">
        <f>IFERROR(__xludf.DUMMYFUNCTION("""COMPUTED_VALUE"""),0.0)</f>
        <v>0</v>
      </c>
      <c r="AY21" s="180">
        <f>IFERROR(__xludf.DUMMYFUNCTION("""COMPUTED_VALUE"""),45778.0)</f>
        <v>45778</v>
      </c>
      <c r="AZ21" s="179">
        <f>IFERROR(__xludf.DUMMYFUNCTION("""COMPUTED_VALUE"""),0.0)</f>
        <v>0</v>
      </c>
      <c r="BA21" s="180">
        <f>IFERROR(__xludf.DUMMYFUNCTION("""COMPUTED_VALUE"""),45809.0)</f>
        <v>45809</v>
      </c>
      <c r="BB21" s="179">
        <f>IFERROR(__xludf.DUMMYFUNCTION("""COMPUTED_VALUE"""),0.0)</f>
        <v>0</v>
      </c>
      <c r="BC21" s="180">
        <f>IFERROR(__xludf.DUMMYFUNCTION("""COMPUTED_VALUE"""),45809.0)</f>
        <v>45809</v>
      </c>
      <c r="BD21" s="179">
        <f>IFERROR(__xludf.DUMMYFUNCTION("""COMPUTED_VALUE"""),0.0)</f>
        <v>0</v>
      </c>
      <c r="BE21" s="180">
        <f>IFERROR(__xludf.DUMMYFUNCTION("""COMPUTED_VALUE"""),45931.0)</f>
        <v>45931</v>
      </c>
      <c r="BF21" s="179">
        <f>IFERROR(__xludf.DUMMYFUNCTION("""COMPUTED_VALUE"""),0.0)</f>
        <v>0</v>
      </c>
      <c r="BG21" s="180">
        <f>IFERROR(__xludf.DUMMYFUNCTION("""COMPUTED_VALUE"""),45839.0)</f>
        <v>45839</v>
      </c>
      <c r="BH21" s="179">
        <f>IFERROR(__xludf.DUMMYFUNCTION("""COMPUTED_VALUE"""),0.0)</f>
        <v>0</v>
      </c>
      <c r="BI21" s="180">
        <f>IFERROR(__xludf.DUMMYFUNCTION("""COMPUTED_VALUE"""),45748.0)</f>
        <v>45748</v>
      </c>
      <c r="BJ21" s="179">
        <f>IFERROR(__xludf.DUMMYFUNCTION("""COMPUTED_VALUE"""),0.0)</f>
        <v>0</v>
      </c>
      <c r="BK21" s="182">
        <f>IFERROR(__xludf.DUMMYFUNCTION("""COMPUTED_VALUE"""),45870.0)</f>
        <v>45870</v>
      </c>
      <c r="BL21" s="179">
        <f>IFERROR(__xludf.DUMMYFUNCTION("""COMPUTED_VALUE"""),0.0)</f>
        <v>0</v>
      </c>
      <c r="BM21" s="180">
        <f>IFERROR(__xludf.DUMMYFUNCTION("""COMPUTED_VALUE"""),45748.0)</f>
        <v>45748</v>
      </c>
      <c r="BN21" s="179">
        <f>IFERROR(__xludf.DUMMYFUNCTION("""COMPUTED_VALUE"""),0.0)</f>
        <v>0</v>
      </c>
      <c r="BO21" s="180">
        <f>IFERROR(__xludf.DUMMYFUNCTION("""COMPUTED_VALUE"""),45717.0)</f>
        <v>45717</v>
      </c>
      <c r="BP21" s="179">
        <f>IFERROR(__xludf.DUMMYFUNCTION("""COMPUTED_VALUE"""),0.0)</f>
        <v>0</v>
      </c>
      <c r="BQ21" s="180">
        <f>IFERROR(__xludf.DUMMYFUNCTION("""COMPUTED_VALUE"""),45870.0)</f>
        <v>45870</v>
      </c>
      <c r="BR21" s="179">
        <f>IFERROR(__xludf.DUMMYFUNCTION("""COMPUTED_VALUE"""),0.0)</f>
        <v>0</v>
      </c>
      <c r="BS21" s="180">
        <f>IFERROR(__xludf.DUMMYFUNCTION("""COMPUTED_VALUE"""),45931.0)</f>
        <v>45931</v>
      </c>
      <c r="BT21" s="179">
        <f>IFERROR(__xludf.DUMMYFUNCTION("""COMPUTED_VALUE"""),0.0)</f>
        <v>0</v>
      </c>
      <c r="BU21" s="180">
        <f>IFERROR(__xludf.DUMMYFUNCTION("""COMPUTED_VALUE"""),45901.0)</f>
        <v>45901</v>
      </c>
      <c r="BV21" s="179">
        <f>IFERROR(__xludf.DUMMYFUNCTION("""COMPUTED_VALUE"""),0.0)</f>
        <v>0</v>
      </c>
      <c r="BW21" s="180">
        <f>IFERROR(__xludf.DUMMYFUNCTION("""COMPUTED_VALUE"""),45689.0)</f>
        <v>45689</v>
      </c>
      <c r="BX21" s="179">
        <f>IFERROR(__xludf.DUMMYFUNCTION("""COMPUTED_VALUE"""),0.0)</f>
        <v>0</v>
      </c>
      <c r="BY21" s="180">
        <f>IFERROR(__xludf.DUMMYFUNCTION("""COMPUTED_VALUE"""),45870.0)</f>
        <v>45870</v>
      </c>
      <c r="BZ21" s="179">
        <f>IFERROR(__xludf.DUMMYFUNCTION("""COMPUTED_VALUE"""),0.0)</f>
        <v>0</v>
      </c>
      <c r="CA21" s="180">
        <f>IFERROR(__xludf.DUMMYFUNCTION("""COMPUTED_VALUE"""),45809.0)</f>
        <v>45809</v>
      </c>
      <c r="CB21" s="179">
        <f>IFERROR(__xludf.DUMMYFUNCTION("""COMPUTED_VALUE"""),0.0)</f>
        <v>0</v>
      </c>
      <c r="CC21" s="180">
        <f>IFERROR(__xludf.DUMMYFUNCTION("""COMPUTED_VALUE"""),45809.0)</f>
        <v>45809</v>
      </c>
      <c r="CD21" s="179">
        <f>IFERROR(__xludf.DUMMYFUNCTION("""COMPUTED_VALUE"""),0.0)</f>
        <v>0</v>
      </c>
      <c r="CE21" s="182">
        <f>IFERROR(__xludf.DUMMYFUNCTION("""COMPUTED_VALUE"""),45931.0)</f>
        <v>45931</v>
      </c>
      <c r="CF21" s="179">
        <f>IFERROR(__xludf.DUMMYFUNCTION("""COMPUTED_VALUE"""),0.0)</f>
        <v>0</v>
      </c>
      <c r="CG21" s="180">
        <f>IFERROR(__xludf.DUMMYFUNCTION("""COMPUTED_VALUE"""),45748.0)</f>
        <v>45748</v>
      </c>
      <c r="CH21" s="179">
        <f>IFERROR(__xludf.DUMMYFUNCTION("""COMPUTED_VALUE"""),0.0)</f>
        <v>0</v>
      </c>
      <c r="CI21" s="180">
        <f>IFERROR(__xludf.DUMMYFUNCTION("""COMPUTED_VALUE"""),45778.0)</f>
        <v>45778</v>
      </c>
      <c r="CJ21" s="179">
        <f>IFERROR(__xludf.DUMMYFUNCTION("""COMPUTED_VALUE"""),0.0)</f>
        <v>0</v>
      </c>
      <c r="CK21" s="180">
        <f>IFERROR(__xludf.DUMMYFUNCTION("""COMPUTED_VALUE"""),45809.0)</f>
        <v>45809</v>
      </c>
      <c r="CL21" s="179">
        <f>IFERROR(__xludf.DUMMYFUNCTION("""COMPUTED_VALUE"""),0.0)</f>
        <v>0</v>
      </c>
      <c r="CM21" s="180">
        <f>IFERROR(__xludf.DUMMYFUNCTION("""COMPUTED_VALUE"""),45778.0)</f>
        <v>45778</v>
      </c>
      <c r="CN21" s="179">
        <f>IFERROR(__xludf.DUMMYFUNCTION("""COMPUTED_VALUE"""),0.0)</f>
        <v>0</v>
      </c>
      <c r="CO21" s="180">
        <f>IFERROR(__xludf.DUMMYFUNCTION("""COMPUTED_VALUE"""),45748.0)</f>
        <v>45748</v>
      </c>
      <c r="CP21" s="179">
        <f>IFERROR(__xludf.DUMMYFUNCTION("""COMPUTED_VALUE"""),0.0)</f>
        <v>0</v>
      </c>
      <c r="CQ21" s="180">
        <f>IFERROR(__xludf.DUMMYFUNCTION("""COMPUTED_VALUE"""),45718.0)</f>
        <v>45718</v>
      </c>
      <c r="CR21" s="179">
        <f>IFERROR(__xludf.DUMMYFUNCTION("""COMPUTED_VALUE"""),0.125)</f>
        <v>0.125</v>
      </c>
      <c r="CS21" s="180">
        <f>IFERROR(__xludf.DUMMYFUNCTION("""COMPUTED_VALUE"""),45870.0)</f>
        <v>45870</v>
      </c>
      <c r="CT21" s="179">
        <f>IFERROR(__xludf.DUMMYFUNCTION("""COMPUTED_VALUE"""),0.0)</f>
        <v>0</v>
      </c>
      <c r="CU21" s="180">
        <f>IFERROR(__xludf.DUMMYFUNCTION("""COMPUTED_VALUE"""),45931.0)</f>
        <v>45931</v>
      </c>
      <c r="CV21" s="179">
        <f>IFERROR(__xludf.DUMMYFUNCTION("""COMPUTED_VALUE"""),0.0)</f>
        <v>0</v>
      </c>
      <c r="CW21" s="180">
        <f>IFERROR(__xludf.DUMMYFUNCTION("""COMPUTED_VALUE"""),45940.0)</f>
        <v>45940</v>
      </c>
      <c r="CX21" s="179">
        <f>IFERROR(__xludf.DUMMYFUNCTION("""COMPUTED_VALUE"""),0.14285714285714285)</f>
        <v>0.1428571429</v>
      </c>
      <c r="CY21" s="182">
        <f>IFERROR(__xludf.DUMMYFUNCTION("""COMPUTED_VALUE"""),45870.0)</f>
        <v>45870</v>
      </c>
      <c r="CZ21" s="179">
        <f>IFERROR(__xludf.DUMMYFUNCTION("""COMPUTED_VALUE"""),0.0)</f>
        <v>0</v>
      </c>
      <c r="DA21" s="180">
        <f>IFERROR(__xludf.DUMMYFUNCTION("""COMPUTED_VALUE"""),45901.0)</f>
        <v>45901</v>
      </c>
      <c r="DB21" s="179">
        <f>IFERROR(__xludf.DUMMYFUNCTION("""COMPUTED_VALUE"""),0.0)</f>
        <v>0</v>
      </c>
      <c r="DC21" s="180">
        <f>IFERROR(__xludf.DUMMYFUNCTION("""COMPUTED_VALUE"""),45778.0)</f>
        <v>45778</v>
      </c>
      <c r="DD21" s="179">
        <f>IFERROR(__xludf.DUMMYFUNCTION("""COMPUTED_VALUE"""),0.0)</f>
        <v>0</v>
      </c>
      <c r="DE21" s="180">
        <f>IFERROR(__xludf.DUMMYFUNCTION("""COMPUTED_VALUE"""),45809.0)</f>
        <v>45809</v>
      </c>
      <c r="DF21" s="179">
        <f>IFERROR(__xludf.DUMMYFUNCTION("""COMPUTED_VALUE"""),0.0)</f>
        <v>0</v>
      </c>
      <c r="DG21" s="180">
        <f>IFERROR(__xludf.DUMMYFUNCTION("""COMPUTED_VALUE"""),45901.0)</f>
        <v>45901</v>
      </c>
      <c r="DH21" s="179">
        <f>IFERROR(__xludf.DUMMYFUNCTION("""COMPUTED_VALUE"""),0.0)</f>
        <v>0</v>
      </c>
      <c r="DI21" s="180">
        <f>IFERROR(__xludf.DUMMYFUNCTION("""COMPUTED_VALUE"""),45901.0)</f>
        <v>45901</v>
      </c>
      <c r="DJ21" s="179">
        <f>IFERROR(__xludf.DUMMYFUNCTION("""COMPUTED_VALUE"""),0.0)</f>
        <v>0</v>
      </c>
      <c r="DK21" s="180">
        <f>IFERROR(__xludf.DUMMYFUNCTION("""COMPUTED_VALUE"""),45778.0)</f>
        <v>45778</v>
      </c>
      <c r="DL21" s="179">
        <f>IFERROR(__xludf.DUMMYFUNCTION("""COMPUTED_VALUE"""),0.0)</f>
        <v>0</v>
      </c>
      <c r="DM21" s="180">
        <f>IFERROR(__xludf.DUMMYFUNCTION("""COMPUTED_VALUE"""),45809.0)</f>
        <v>45809</v>
      </c>
      <c r="DN21" s="179">
        <f>IFERROR(__xludf.DUMMYFUNCTION("""COMPUTED_VALUE"""),0.0)</f>
        <v>0</v>
      </c>
      <c r="DO21" s="180">
        <f>IFERROR(__xludf.DUMMYFUNCTION("""COMPUTED_VALUE"""),45870.0)</f>
        <v>45870</v>
      </c>
      <c r="DP21" s="179">
        <f>IFERROR(__xludf.DUMMYFUNCTION("""COMPUTED_VALUE"""),0.0)</f>
        <v>0</v>
      </c>
      <c r="DQ21" s="180">
        <f>IFERROR(__xludf.DUMMYFUNCTION("""COMPUTED_VALUE"""),45931.0)</f>
        <v>45931</v>
      </c>
      <c r="DR21" s="179">
        <f>IFERROR(__xludf.DUMMYFUNCTION("""COMPUTED_VALUE"""),0.07142857142857142)</f>
        <v>0.07142857143</v>
      </c>
      <c r="DS21" s="182">
        <f>IFERROR(__xludf.DUMMYFUNCTION("""COMPUTED_VALUE"""),45901.0)</f>
        <v>45901</v>
      </c>
      <c r="DT21" s="179">
        <f>IFERROR(__xludf.DUMMYFUNCTION("""COMPUTED_VALUE"""),0.0)</f>
        <v>0</v>
      </c>
      <c r="DU21" s="180">
        <f>IFERROR(__xludf.DUMMYFUNCTION("""COMPUTED_VALUE"""),45870.0)</f>
        <v>45870</v>
      </c>
      <c r="DV21" s="179">
        <f>IFERROR(__xludf.DUMMYFUNCTION("""COMPUTED_VALUE"""),0.0)</f>
        <v>0</v>
      </c>
      <c r="DW21" s="180">
        <f>IFERROR(__xludf.DUMMYFUNCTION("""COMPUTED_VALUE"""),45870.0)</f>
        <v>45870</v>
      </c>
      <c r="DX21" s="179">
        <f>IFERROR(__xludf.DUMMYFUNCTION("""COMPUTED_VALUE"""),0.0)</f>
        <v>0</v>
      </c>
      <c r="DY21" s="180">
        <f>IFERROR(__xludf.DUMMYFUNCTION("""COMPUTED_VALUE"""),45901.0)</f>
        <v>45901</v>
      </c>
      <c r="DZ21" s="179">
        <f>IFERROR(__xludf.DUMMYFUNCTION("""COMPUTED_VALUE"""),0.0)</f>
        <v>0</v>
      </c>
      <c r="EA21" s="180">
        <f>IFERROR(__xludf.DUMMYFUNCTION("""COMPUTED_VALUE"""),45931.0)</f>
        <v>45931</v>
      </c>
      <c r="EB21" s="179">
        <f>IFERROR(__xludf.DUMMYFUNCTION("""COMPUTED_VALUE"""),0.0)</f>
        <v>0</v>
      </c>
      <c r="EC21" s="180">
        <f>IFERROR(__xludf.DUMMYFUNCTION("""COMPUTED_VALUE"""),45901.0)</f>
        <v>45901</v>
      </c>
      <c r="ED21" s="179">
        <f>IFERROR(__xludf.DUMMYFUNCTION("""COMPUTED_VALUE"""),0.0)</f>
        <v>0</v>
      </c>
      <c r="EE21" s="180">
        <f>IFERROR(__xludf.DUMMYFUNCTION("""COMPUTED_VALUE"""),45809.0)</f>
        <v>45809</v>
      </c>
      <c r="EF21" s="179">
        <f>IFERROR(__xludf.DUMMYFUNCTION("""COMPUTED_VALUE"""),0.0)</f>
        <v>0</v>
      </c>
      <c r="EG21" s="180">
        <f>IFERROR(__xludf.DUMMYFUNCTION("""COMPUTED_VALUE"""),45901.0)</f>
        <v>45901</v>
      </c>
      <c r="EH21" s="179">
        <f>IFERROR(__xludf.DUMMYFUNCTION("""COMPUTED_VALUE"""),0.0)</f>
        <v>0</v>
      </c>
      <c r="EI21" s="180">
        <f>IFERROR(__xludf.DUMMYFUNCTION("""COMPUTED_VALUE"""),45901.0)</f>
        <v>45901</v>
      </c>
      <c r="EJ21" s="179">
        <f>IFERROR(__xludf.DUMMYFUNCTION("""COMPUTED_VALUE"""),0.0)</f>
        <v>0</v>
      </c>
      <c r="EK21" s="180">
        <f>IFERROR(__xludf.DUMMYFUNCTION("""COMPUTED_VALUE"""),45839.0)</f>
        <v>45839</v>
      </c>
      <c r="EL21" s="179">
        <f>IFERROR(__xludf.DUMMYFUNCTION("""COMPUTED_VALUE"""),0.0)</f>
        <v>0</v>
      </c>
      <c r="EM21" s="182">
        <f>IFERROR(__xludf.DUMMYFUNCTION("""COMPUTED_VALUE"""),45809.0)</f>
        <v>45809</v>
      </c>
      <c r="EN21" s="179">
        <f>IFERROR(__xludf.DUMMYFUNCTION("""COMPUTED_VALUE"""),0.0)</f>
        <v>0</v>
      </c>
      <c r="EO21" s="180">
        <f>IFERROR(__xludf.DUMMYFUNCTION("""COMPUTED_VALUE"""),45901.0)</f>
        <v>45901</v>
      </c>
      <c r="EP21" s="179">
        <f>IFERROR(__xludf.DUMMYFUNCTION("""COMPUTED_VALUE"""),0.0)</f>
        <v>0</v>
      </c>
      <c r="EQ21" s="180">
        <f>IFERROR(__xludf.DUMMYFUNCTION("""COMPUTED_VALUE"""),45748.0)</f>
        <v>45748</v>
      </c>
      <c r="ER21" s="179">
        <f>IFERROR(__xludf.DUMMYFUNCTION("""COMPUTED_VALUE"""),0.0)</f>
        <v>0</v>
      </c>
      <c r="ES21" s="180">
        <f>IFERROR(__xludf.DUMMYFUNCTION("""COMPUTED_VALUE"""),45931.0)</f>
        <v>45931</v>
      </c>
      <c r="ET21" s="179">
        <f>IFERROR(__xludf.DUMMYFUNCTION("""COMPUTED_VALUE"""),0.0)</f>
        <v>0</v>
      </c>
      <c r="EU21" s="180">
        <f>IFERROR(__xludf.DUMMYFUNCTION("""COMPUTED_VALUE"""),45901.0)</f>
        <v>45901</v>
      </c>
      <c r="EV21" s="179">
        <f>IFERROR(__xludf.DUMMYFUNCTION("""COMPUTED_VALUE"""),0.0)</f>
        <v>0</v>
      </c>
      <c r="EW21" s="180">
        <f>IFERROR(__xludf.DUMMYFUNCTION("""COMPUTED_VALUE"""),45931.0)</f>
        <v>45931</v>
      </c>
      <c r="EX21" s="179">
        <f>IFERROR(__xludf.DUMMYFUNCTION("""COMPUTED_VALUE"""),0.0)</f>
        <v>0</v>
      </c>
      <c r="EY21" s="180">
        <f>IFERROR(__xludf.DUMMYFUNCTION("""COMPUTED_VALUE"""),45931.0)</f>
        <v>45931</v>
      </c>
      <c r="EZ21" s="179">
        <f>IFERROR(__xludf.DUMMYFUNCTION("""COMPUTED_VALUE"""),0.0)</f>
        <v>0</v>
      </c>
      <c r="FA21" s="180">
        <f>IFERROR(__xludf.DUMMYFUNCTION("""COMPUTED_VALUE"""),45901.0)</f>
        <v>45901</v>
      </c>
      <c r="FB21" s="179">
        <f>IFERROR(__xludf.DUMMYFUNCTION("""COMPUTED_VALUE"""),0.0)</f>
        <v>0</v>
      </c>
      <c r="FC21" s="180">
        <f>IFERROR(__xludf.DUMMYFUNCTION("""COMPUTED_VALUE"""),45931.0)</f>
        <v>45931</v>
      </c>
      <c r="FD21" s="179">
        <f>IFERROR(__xludf.DUMMYFUNCTION("""COMPUTED_VALUE"""),0.0)</f>
        <v>0</v>
      </c>
      <c r="FE21" s="180">
        <f>IFERROR(__xludf.DUMMYFUNCTION("""COMPUTED_VALUE"""),45748.0)</f>
        <v>45748</v>
      </c>
      <c r="FF21" s="179">
        <f>IFERROR(__xludf.DUMMYFUNCTION("""COMPUTED_VALUE"""),0.0)</f>
        <v>0</v>
      </c>
      <c r="FG21" s="182">
        <f>IFERROR(__xludf.DUMMYFUNCTION("""COMPUTED_VALUE"""),45809.0)</f>
        <v>45809</v>
      </c>
      <c r="FH21" s="179">
        <f>IFERROR(__xludf.DUMMYFUNCTION("""COMPUTED_VALUE"""),0.0)</f>
        <v>0</v>
      </c>
      <c r="FI21" s="180">
        <f>IFERROR(__xludf.DUMMYFUNCTION("""COMPUTED_VALUE"""),45689.0)</f>
        <v>45689</v>
      </c>
      <c r="FJ21" s="179">
        <f>IFERROR(__xludf.DUMMYFUNCTION("""COMPUTED_VALUE"""),0.0)</f>
        <v>0</v>
      </c>
      <c r="FK21" s="180">
        <f>IFERROR(__xludf.DUMMYFUNCTION("""COMPUTED_VALUE"""),45689.0)</f>
        <v>45689</v>
      </c>
      <c r="FL21" s="179">
        <f>IFERROR(__xludf.DUMMYFUNCTION("""COMPUTED_VALUE"""),0.0)</f>
        <v>0</v>
      </c>
      <c r="FM21" s="180">
        <f>IFERROR(__xludf.DUMMYFUNCTION("""COMPUTED_VALUE"""),45748.0)</f>
        <v>45748</v>
      </c>
      <c r="FN21" s="179">
        <f>IFERROR(__xludf.DUMMYFUNCTION("""COMPUTED_VALUE"""),0.0)</f>
        <v>0</v>
      </c>
      <c r="FO21" s="180">
        <f>IFERROR(__xludf.DUMMYFUNCTION("""COMPUTED_VALUE"""),45809.0)</f>
        <v>45809</v>
      </c>
      <c r="FP21" s="179">
        <f>IFERROR(__xludf.DUMMYFUNCTION("""COMPUTED_VALUE"""),0.0)</f>
        <v>0</v>
      </c>
      <c r="FQ21" s="180">
        <f>IFERROR(__xludf.DUMMYFUNCTION("""COMPUTED_VALUE"""),45931.0)</f>
        <v>45931</v>
      </c>
      <c r="FR21" s="179">
        <f>IFERROR(__xludf.DUMMYFUNCTION("""COMPUTED_VALUE"""),0.0)</f>
        <v>0</v>
      </c>
      <c r="FS21" s="180">
        <f>IFERROR(__xludf.DUMMYFUNCTION("""COMPUTED_VALUE"""),45848.0)</f>
        <v>45848</v>
      </c>
      <c r="FT21" s="179">
        <f>IFERROR(__xludf.DUMMYFUNCTION("""COMPUTED_VALUE"""),0.0625)</f>
        <v>0.0625</v>
      </c>
      <c r="FU21" s="180">
        <f>IFERROR(__xludf.DUMMYFUNCTION("""COMPUTED_VALUE"""),45839.0)</f>
        <v>45839</v>
      </c>
      <c r="FV21" s="179">
        <f>IFERROR(__xludf.DUMMYFUNCTION("""COMPUTED_VALUE"""),0.0)</f>
        <v>0</v>
      </c>
      <c r="FW21" s="180">
        <f>IFERROR(__xludf.DUMMYFUNCTION("""COMPUTED_VALUE"""),45931.0)</f>
        <v>45931</v>
      </c>
      <c r="FX21" s="179">
        <f>IFERROR(__xludf.DUMMYFUNCTION("""COMPUTED_VALUE"""),0.0)</f>
        <v>0</v>
      </c>
      <c r="FY21" s="180">
        <f>IFERROR(__xludf.DUMMYFUNCTION("""COMPUTED_VALUE"""),45689.0)</f>
        <v>45689</v>
      </c>
      <c r="FZ21" s="179">
        <f>IFERROR(__xludf.DUMMYFUNCTION("""COMPUTED_VALUE"""),0.0)</f>
        <v>0</v>
      </c>
      <c r="GA21" s="182">
        <f>IFERROR(__xludf.DUMMYFUNCTION("""COMPUTED_VALUE"""),45931.0)</f>
        <v>45931</v>
      </c>
      <c r="GB21" s="179">
        <f>IFERROR(__xludf.DUMMYFUNCTION("""COMPUTED_VALUE"""),0.0)</f>
        <v>0</v>
      </c>
      <c r="GC21" s="180">
        <f>IFERROR(__xludf.DUMMYFUNCTION("""COMPUTED_VALUE"""),45839.0)</f>
        <v>45839</v>
      </c>
      <c r="GD21" s="179">
        <f>IFERROR(__xludf.DUMMYFUNCTION("""COMPUTED_VALUE"""),0.0)</f>
        <v>0</v>
      </c>
      <c r="GE21" s="180">
        <f>IFERROR(__xludf.DUMMYFUNCTION("""COMPUTED_VALUE"""),45839.0)</f>
        <v>45839</v>
      </c>
      <c r="GF21" s="179">
        <f>IFERROR(__xludf.DUMMYFUNCTION("""COMPUTED_VALUE"""),0.0)</f>
        <v>0</v>
      </c>
      <c r="GG21" s="180">
        <f>IFERROR(__xludf.DUMMYFUNCTION("""COMPUTED_VALUE"""),45839.0)</f>
        <v>45839</v>
      </c>
      <c r="GH21" s="179">
        <f>IFERROR(__xludf.DUMMYFUNCTION("""COMPUTED_VALUE"""),0.0)</f>
        <v>0</v>
      </c>
      <c r="GI21" s="180">
        <f>IFERROR(__xludf.DUMMYFUNCTION("""COMPUTED_VALUE"""),45931.0)</f>
        <v>45931</v>
      </c>
      <c r="GJ21" s="179">
        <f>IFERROR(__xludf.DUMMYFUNCTION("""COMPUTED_VALUE"""),0.0)</f>
        <v>0</v>
      </c>
      <c r="GK21" s="180">
        <f>IFERROR(__xludf.DUMMYFUNCTION("""COMPUTED_VALUE"""),45931.0)</f>
        <v>45931</v>
      </c>
      <c r="GL21" s="179">
        <f>IFERROR(__xludf.DUMMYFUNCTION("""COMPUTED_VALUE"""),0.0)</f>
        <v>0</v>
      </c>
      <c r="GM21" s="180">
        <f>IFERROR(__xludf.DUMMYFUNCTION("""COMPUTED_VALUE"""),45717.0)</f>
        <v>45717</v>
      </c>
      <c r="GN21" s="179">
        <f>IFERROR(__xludf.DUMMYFUNCTION("""COMPUTED_VALUE"""),0.0)</f>
        <v>0</v>
      </c>
      <c r="GO21" s="180">
        <f>IFERROR(__xludf.DUMMYFUNCTION("""COMPUTED_VALUE"""),45901.0)</f>
        <v>45901</v>
      </c>
      <c r="GP21" s="179">
        <f>IFERROR(__xludf.DUMMYFUNCTION("""COMPUTED_VALUE"""),0.0)</f>
        <v>0</v>
      </c>
      <c r="GQ21" s="180">
        <f>IFERROR(__xludf.DUMMYFUNCTION("""COMPUTED_VALUE"""),45778.0)</f>
        <v>45778</v>
      </c>
      <c r="GR21" s="179">
        <f>IFERROR(__xludf.DUMMYFUNCTION("""COMPUTED_VALUE"""),0.0)</f>
        <v>0</v>
      </c>
      <c r="GS21" s="180">
        <f>IFERROR(__xludf.DUMMYFUNCTION("""COMPUTED_VALUE"""),45717.0)</f>
        <v>45717</v>
      </c>
      <c r="GT21" s="179">
        <f>IFERROR(__xludf.DUMMYFUNCTION("""COMPUTED_VALUE"""),0.0)</f>
        <v>0</v>
      </c>
    </row>
    <row r="22" ht="31.5" customHeight="1">
      <c r="B22" s="183"/>
      <c r="C22" s="178">
        <f>IFERROR(__xludf.DUMMYFUNCTION("""COMPUTED_VALUE"""),45810.0)</f>
        <v>45810</v>
      </c>
      <c r="D22" s="179">
        <f>IFERROR(__xludf.DUMMYFUNCTION("""COMPUTED_VALUE"""),0.0)</f>
        <v>0</v>
      </c>
      <c r="E22" s="180">
        <f>IFERROR(__xludf.DUMMYFUNCTION("""COMPUTED_VALUE"""),45840.0)</f>
        <v>45840</v>
      </c>
      <c r="F22" s="179">
        <f>IFERROR(__xludf.DUMMYFUNCTION("""COMPUTED_VALUE"""),0.0)</f>
        <v>0</v>
      </c>
      <c r="G22" s="180">
        <f>IFERROR(__xludf.DUMMYFUNCTION("""COMPUTED_VALUE"""),45840.0)</f>
        <v>45840</v>
      </c>
      <c r="H22" s="179">
        <f>IFERROR(__xludf.DUMMYFUNCTION("""COMPUTED_VALUE"""),0.0)</f>
        <v>0</v>
      </c>
      <c r="I22" s="180">
        <f>IFERROR(__xludf.DUMMYFUNCTION("""COMPUTED_VALUE"""),45902.0)</f>
        <v>45902</v>
      </c>
      <c r="J22" s="179">
        <f>IFERROR(__xludf.DUMMYFUNCTION("""COMPUTED_VALUE"""),0.0)</f>
        <v>0</v>
      </c>
      <c r="K22" s="180">
        <f>IFERROR(__xludf.DUMMYFUNCTION("""COMPUTED_VALUE"""),45749.0)</f>
        <v>45749</v>
      </c>
      <c r="L22" s="179">
        <f>IFERROR(__xludf.DUMMYFUNCTION("""COMPUTED_VALUE"""),0.0)</f>
        <v>0</v>
      </c>
      <c r="M22" s="180">
        <f>IFERROR(__xludf.DUMMYFUNCTION("""COMPUTED_VALUE"""),45810.0)</f>
        <v>45810</v>
      </c>
      <c r="N22" s="179">
        <f>IFERROR(__xludf.DUMMYFUNCTION("""COMPUTED_VALUE"""),0.0)</f>
        <v>0</v>
      </c>
      <c r="O22" s="180">
        <f>IFERROR(__xludf.DUMMYFUNCTION("""COMPUTED_VALUE"""),45659.0)</f>
        <v>45659</v>
      </c>
      <c r="P22" s="179">
        <f>IFERROR(__xludf.DUMMYFUNCTION("""COMPUTED_VALUE"""),0.0)</f>
        <v>0</v>
      </c>
      <c r="Q22" s="180">
        <f>IFERROR(__xludf.DUMMYFUNCTION("""COMPUTED_VALUE"""),45690.0)</f>
        <v>45690</v>
      </c>
      <c r="R22" s="179">
        <f>IFERROR(__xludf.DUMMYFUNCTION("""COMPUTED_VALUE"""),0.0)</f>
        <v>0</v>
      </c>
      <c r="S22" s="180">
        <f>IFERROR(__xludf.DUMMYFUNCTION("""COMPUTED_VALUE"""),45871.0)</f>
        <v>45871</v>
      </c>
      <c r="T22" s="179">
        <f>IFERROR(__xludf.DUMMYFUNCTION("""COMPUTED_VALUE"""),0.0)</f>
        <v>0</v>
      </c>
      <c r="U22" s="180">
        <f>IFERROR(__xludf.DUMMYFUNCTION("""COMPUTED_VALUE"""),45659.0)</f>
        <v>45659</v>
      </c>
      <c r="V22" s="181">
        <f>IFERROR(__xludf.DUMMYFUNCTION("""COMPUTED_VALUE"""),0.0)</f>
        <v>0</v>
      </c>
      <c r="W22" s="178">
        <f>IFERROR(__xludf.DUMMYFUNCTION("""COMPUTED_VALUE"""),45809.0)</f>
        <v>45809</v>
      </c>
      <c r="X22" s="179">
        <f>IFERROR(__xludf.DUMMYFUNCTION("""COMPUTED_VALUE"""),0.0)</f>
        <v>0</v>
      </c>
      <c r="Y22" s="180">
        <f>IFERROR(__xludf.DUMMYFUNCTION("""COMPUTED_VALUE"""),45748.0)</f>
        <v>45748</v>
      </c>
      <c r="Z22" s="179">
        <f>IFERROR(__xludf.DUMMYFUNCTION("""COMPUTED_VALUE"""),0.0)</f>
        <v>0</v>
      </c>
      <c r="AA22" s="180">
        <f>IFERROR(__xludf.DUMMYFUNCTION("""COMPUTED_VALUE"""),45901.0)</f>
        <v>45901</v>
      </c>
      <c r="AB22" s="179">
        <f>IFERROR(__xludf.DUMMYFUNCTION("""COMPUTED_VALUE"""),0.0)</f>
        <v>0</v>
      </c>
      <c r="AC22" s="180">
        <f>IFERROR(__xludf.DUMMYFUNCTION("""COMPUTED_VALUE"""),45689.0)</f>
        <v>45689</v>
      </c>
      <c r="AD22" s="179">
        <f>IFERROR(__xludf.DUMMYFUNCTION("""COMPUTED_VALUE"""),0.0)</f>
        <v>0</v>
      </c>
      <c r="AE22" s="180">
        <f>IFERROR(__xludf.DUMMYFUNCTION("""COMPUTED_VALUE"""),45658.0)</f>
        <v>45658</v>
      </c>
      <c r="AF22" s="179">
        <f>IFERROR(__xludf.DUMMYFUNCTION("""COMPUTED_VALUE"""),0.0)</f>
        <v>0</v>
      </c>
      <c r="AG22" s="180">
        <f>IFERROR(__xludf.DUMMYFUNCTION("""COMPUTED_VALUE"""),45809.0)</f>
        <v>45809</v>
      </c>
      <c r="AH22" s="179">
        <f>IFERROR(__xludf.DUMMYFUNCTION("""COMPUTED_VALUE"""),0.0)</f>
        <v>0</v>
      </c>
      <c r="AI22" s="180">
        <f>IFERROR(__xludf.DUMMYFUNCTION("""COMPUTED_VALUE"""),45689.0)</f>
        <v>45689</v>
      </c>
      <c r="AJ22" s="179">
        <f>IFERROR(__xludf.DUMMYFUNCTION("""COMPUTED_VALUE"""),0.0)</f>
        <v>0</v>
      </c>
      <c r="AK22" s="180">
        <f>IFERROR(__xludf.DUMMYFUNCTION("""COMPUTED_VALUE"""),45870.0)</f>
        <v>45870</v>
      </c>
      <c r="AL22" s="179">
        <f>IFERROR(__xludf.DUMMYFUNCTION("""COMPUTED_VALUE"""),0.0)</f>
        <v>0</v>
      </c>
      <c r="AM22" s="180">
        <f>IFERROR(__xludf.DUMMYFUNCTION("""COMPUTED_VALUE"""),45931.0)</f>
        <v>45931</v>
      </c>
      <c r="AN22" s="179">
        <f>IFERROR(__xludf.DUMMYFUNCTION("""COMPUTED_VALUE"""),0.0)</f>
        <v>0</v>
      </c>
      <c r="AO22" s="180">
        <f>IFERROR(__xludf.DUMMYFUNCTION("""COMPUTED_VALUE"""),45689.0)</f>
        <v>45689</v>
      </c>
      <c r="AP22" s="181">
        <f>IFERROR(__xludf.DUMMYFUNCTION("""COMPUTED_VALUE"""),0.0)</f>
        <v>0</v>
      </c>
      <c r="AQ22" s="178">
        <f>IFERROR(__xludf.DUMMYFUNCTION("""COMPUTED_VALUE"""),45839.0)</f>
        <v>45839</v>
      </c>
      <c r="AR22" s="179">
        <f>IFERROR(__xludf.DUMMYFUNCTION("""COMPUTED_VALUE"""),0.0)</f>
        <v>0</v>
      </c>
      <c r="AS22" s="180">
        <f>IFERROR(__xludf.DUMMYFUNCTION("""COMPUTED_VALUE"""),45901.0)</f>
        <v>45901</v>
      </c>
      <c r="AT22" s="179">
        <f>IFERROR(__xludf.DUMMYFUNCTION("""COMPUTED_VALUE"""),0.0)</f>
        <v>0</v>
      </c>
      <c r="AU22" s="180">
        <f>IFERROR(__xludf.DUMMYFUNCTION("""COMPUTED_VALUE"""),45870.0)</f>
        <v>45870</v>
      </c>
      <c r="AV22" s="179">
        <f>IFERROR(__xludf.DUMMYFUNCTION("""COMPUTED_VALUE"""),0.0)</f>
        <v>0</v>
      </c>
      <c r="AW22" s="180">
        <f>IFERROR(__xludf.DUMMYFUNCTION("""COMPUTED_VALUE"""),45870.0)</f>
        <v>45870</v>
      </c>
      <c r="AX22" s="179">
        <f>IFERROR(__xludf.DUMMYFUNCTION("""COMPUTED_VALUE"""),0.0)</f>
        <v>0</v>
      </c>
      <c r="AY22" s="180">
        <f>IFERROR(__xludf.DUMMYFUNCTION("""COMPUTED_VALUE"""),45809.0)</f>
        <v>45809</v>
      </c>
      <c r="AZ22" s="179">
        <f>IFERROR(__xludf.DUMMYFUNCTION("""COMPUTED_VALUE"""),0.0)</f>
        <v>0</v>
      </c>
      <c r="BA22" s="180">
        <f>IFERROR(__xludf.DUMMYFUNCTION("""COMPUTED_VALUE"""),45839.0)</f>
        <v>45839</v>
      </c>
      <c r="BB22" s="179">
        <f>IFERROR(__xludf.DUMMYFUNCTION("""COMPUTED_VALUE"""),0.0)</f>
        <v>0</v>
      </c>
      <c r="BC22" s="180">
        <f>IFERROR(__xludf.DUMMYFUNCTION("""COMPUTED_VALUE"""),45839.0)</f>
        <v>45839</v>
      </c>
      <c r="BD22" s="179">
        <f>IFERROR(__xludf.DUMMYFUNCTION("""COMPUTED_VALUE"""),0.0)</f>
        <v>0</v>
      </c>
      <c r="BE22" s="180">
        <f>IFERROR(__xludf.DUMMYFUNCTION("""COMPUTED_VALUE"""),45659.0)</f>
        <v>45659</v>
      </c>
      <c r="BF22" s="179">
        <f>IFERROR(__xludf.DUMMYFUNCTION("""COMPUTED_VALUE"""),0.0)</f>
        <v>0</v>
      </c>
      <c r="BG22" s="180">
        <f>IFERROR(__xludf.DUMMYFUNCTION("""COMPUTED_VALUE"""),45870.0)</f>
        <v>45870</v>
      </c>
      <c r="BH22" s="179">
        <f>IFERROR(__xludf.DUMMYFUNCTION("""COMPUTED_VALUE"""),0.0)</f>
        <v>0</v>
      </c>
      <c r="BI22" s="180">
        <f>IFERROR(__xludf.DUMMYFUNCTION("""COMPUTED_VALUE"""),45778.0)</f>
        <v>45778</v>
      </c>
      <c r="BJ22" s="179">
        <f>IFERROR(__xludf.DUMMYFUNCTION("""COMPUTED_VALUE"""),0.0)</f>
        <v>0</v>
      </c>
      <c r="BK22" s="182">
        <f>IFERROR(__xludf.DUMMYFUNCTION("""COMPUTED_VALUE"""),45901.0)</f>
        <v>45901</v>
      </c>
      <c r="BL22" s="179">
        <f>IFERROR(__xludf.DUMMYFUNCTION("""COMPUTED_VALUE"""),0.0)</f>
        <v>0</v>
      </c>
      <c r="BM22" s="180">
        <f>IFERROR(__xludf.DUMMYFUNCTION("""COMPUTED_VALUE"""),45778.0)</f>
        <v>45778</v>
      </c>
      <c r="BN22" s="179">
        <f>IFERROR(__xludf.DUMMYFUNCTION("""COMPUTED_VALUE"""),0.0)</f>
        <v>0</v>
      </c>
      <c r="BO22" s="180">
        <f>IFERROR(__xludf.DUMMYFUNCTION("""COMPUTED_VALUE"""),45748.0)</f>
        <v>45748</v>
      </c>
      <c r="BP22" s="179">
        <f>IFERROR(__xludf.DUMMYFUNCTION("""COMPUTED_VALUE"""),0.0)</f>
        <v>0</v>
      </c>
      <c r="BQ22" s="180">
        <f>IFERROR(__xludf.DUMMYFUNCTION("""COMPUTED_VALUE"""),45901.0)</f>
        <v>45901</v>
      </c>
      <c r="BR22" s="179">
        <f>IFERROR(__xludf.DUMMYFUNCTION("""COMPUTED_VALUE"""),0.0)</f>
        <v>0</v>
      </c>
      <c r="BS22" s="180">
        <f>IFERROR(__xludf.DUMMYFUNCTION("""COMPUTED_VALUE"""),45659.0)</f>
        <v>45659</v>
      </c>
      <c r="BT22" s="179">
        <f>IFERROR(__xludf.DUMMYFUNCTION("""COMPUTED_VALUE"""),0.0)</f>
        <v>0</v>
      </c>
      <c r="BU22" s="180">
        <f>IFERROR(__xludf.DUMMYFUNCTION("""COMPUTED_VALUE"""),45931.0)</f>
        <v>45931</v>
      </c>
      <c r="BV22" s="179">
        <f>IFERROR(__xludf.DUMMYFUNCTION("""COMPUTED_VALUE"""),0.0)</f>
        <v>0</v>
      </c>
      <c r="BW22" s="180">
        <f>IFERROR(__xludf.DUMMYFUNCTION("""COMPUTED_VALUE"""),45717.0)</f>
        <v>45717</v>
      </c>
      <c r="BX22" s="179">
        <f>IFERROR(__xludf.DUMMYFUNCTION("""COMPUTED_VALUE"""),0.0)</f>
        <v>0</v>
      </c>
      <c r="BY22" s="180">
        <f>IFERROR(__xludf.DUMMYFUNCTION("""COMPUTED_VALUE"""),45901.0)</f>
        <v>45901</v>
      </c>
      <c r="BZ22" s="179">
        <f>IFERROR(__xludf.DUMMYFUNCTION("""COMPUTED_VALUE"""),0.0)</f>
        <v>0</v>
      </c>
      <c r="CA22" s="180">
        <f>IFERROR(__xludf.DUMMYFUNCTION("""COMPUTED_VALUE"""),45839.0)</f>
        <v>45839</v>
      </c>
      <c r="CB22" s="179">
        <f>IFERROR(__xludf.DUMMYFUNCTION("""COMPUTED_VALUE"""),0.0)</f>
        <v>0</v>
      </c>
      <c r="CC22" s="180">
        <f>IFERROR(__xludf.DUMMYFUNCTION("""COMPUTED_VALUE"""),45870.0)</f>
        <v>45870</v>
      </c>
      <c r="CD22" s="179">
        <f>IFERROR(__xludf.DUMMYFUNCTION("""COMPUTED_VALUE"""),0.0)</f>
        <v>0</v>
      </c>
      <c r="CE22" s="182">
        <f>IFERROR(__xludf.DUMMYFUNCTION("""COMPUTED_VALUE"""),45659.0)</f>
        <v>45659</v>
      </c>
      <c r="CF22" s="179">
        <f>IFERROR(__xludf.DUMMYFUNCTION("""COMPUTED_VALUE"""),0.0)</f>
        <v>0</v>
      </c>
      <c r="CG22" s="180">
        <f>IFERROR(__xludf.DUMMYFUNCTION("""COMPUTED_VALUE"""),45778.0)</f>
        <v>45778</v>
      </c>
      <c r="CH22" s="179">
        <f>IFERROR(__xludf.DUMMYFUNCTION("""COMPUTED_VALUE"""),0.0)</f>
        <v>0</v>
      </c>
      <c r="CI22" s="180">
        <f>IFERROR(__xludf.DUMMYFUNCTION("""COMPUTED_VALUE"""),45809.0)</f>
        <v>45809</v>
      </c>
      <c r="CJ22" s="179">
        <f>IFERROR(__xludf.DUMMYFUNCTION("""COMPUTED_VALUE"""),0.0)</f>
        <v>0</v>
      </c>
      <c r="CK22" s="180">
        <f>IFERROR(__xludf.DUMMYFUNCTION("""COMPUTED_VALUE"""),45839.0)</f>
        <v>45839</v>
      </c>
      <c r="CL22" s="179">
        <f>IFERROR(__xludf.DUMMYFUNCTION("""COMPUTED_VALUE"""),0.0)</f>
        <v>0</v>
      </c>
      <c r="CM22" s="180">
        <f>IFERROR(__xludf.DUMMYFUNCTION("""COMPUTED_VALUE"""),45809.0)</f>
        <v>45809</v>
      </c>
      <c r="CN22" s="179">
        <f>IFERROR(__xludf.DUMMYFUNCTION("""COMPUTED_VALUE"""),0.0)</f>
        <v>0</v>
      </c>
      <c r="CO22" s="180">
        <f>IFERROR(__xludf.DUMMYFUNCTION("""COMPUTED_VALUE"""),45778.0)</f>
        <v>45778</v>
      </c>
      <c r="CP22" s="179">
        <f>IFERROR(__xludf.DUMMYFUNCTION("""COMPUTED_VALUE"""),0.0)</f>
        <v>0</v>
      </c>
      <c r="CQ22" s="180">
        <f>IFERROR(__xludf.DUMMYFUNCTION("""COMPUTED_VALUE"""),45840.0)</f>
        <v>45840</v>
      </c>
      <c r="CR22" s="179">
        <f>IFERROR(__xludf.DUMMYFUNCTION("""COMPUTED_VALUE"""),0.125)</f>
        <v>0.125</v>
      </c>
      <c r="CS22" s="180">
        <f>IFERROR(__xludf.DUMMYFUNCTION("""COMPUTED_VALUE"""),45901.0)</f>
        <v>45901</v>
      </c>
      <c r="CT22" s="179">
        <f>IFERROR(__xludf.DUMMYFUNCTION("""COMPUTED_VALUE"""),0.0)</f>
        <v>0</v>
      </c>
      <c r="CU22" s="180">
        <f>IFERROR(__xludf.DUMMYFUNCTION("""COMPUTED_VALUE"""),45659.0)</f>
        <v>45659</v>
      </c>
      <c r="CV22" s="179">
        <f>IFERROR(__xludf.DUMMYFUNCTION("""COMPUTED_VALUE"""),0.0)</f>
        <v>0</v>
      </c>
      <c r="CW22" s="180">
        <f>IFERROR(__xludf.DUMMYFUNCTION("""COMPUTED_VALUE"""),45658.0)</f>
        <v>45658</v>
      </c>
      <c r="CX22" s="179">
        <f>IFERROR(__xludf.DUMMYFUNCTION("""COMPUTED_VALUE"""),0.0)</f>
        <v>0</v>
      </c>
      <c r="CY22" s="182">
        <f>IFERROR(__xludf.DUMMYFUNCTION("""COMPUTED_VALUE"""),45901.0)</f>
        <v>45901</v>
      </c>
      <c r="CZ22" s="179">
        <f>IFERROR(__xludf.DUMMYFUNCTION("""COMPUTED_VALUE"""),0.0)</f>
        <v>0</v>
      </c>
      <c r="DA22" s="180">
        <f>IFERROR(__xludf.DUMMYFUNCTION("""COMPUTED_VALUE"""),45931.0)</f>
        <v>45931</v>
      </c>
      <c r="DB22" s="179">
        <f>IFERROR(__xludf.DUMMYFUNCTION("""COMPUTED_VALUE"""),0.0)</f>
        <v>0</v>
      </c>
      <c r="DC22" s="180">
        <f>IFERROR(__xludf.DUMMYFUNCTION("""COMPUTED_VALUE"""),45809.0)</f>
        <v>45809</v>
      </c>
      <c r="DD22" s="179">
        <f>IFERROR(__xludf.DUMMYFUNCTION("""COMPUTED_VALUE"""),0.0)</f>
        <v>0</v>
      </c>
      <c r="DE22" s="180">
        <f>IFERROR(__xludf.DUMMYFUNCTION("""COMPUTED_VALUE"""),45870.0)</f>
        <v>45870</v>
      </c>
      <c r="DF22" s="179">
        <f>IFERROR(__xludf.DUMMYFUNCTION("""COMPUTED_VALUE"""),0.0)</f>
        <v>0</v>
      </c>
      <c r="DG22" s="180">
        <f>IFERROR(__xludf.DUMMYFUNCTION("""COMPUTED_VALUE"""),45659.0)</f>
        <v>45659</v>
      </c>
      <c r="DH22" s="179">
        <f>IFERROR(__xludf.DUMMYFUNCTION("""COMPUTED_VALUE"""),0.0)</f>
        <v>0</v>
      </c>
      <c r="DI22" s="180">
        <f>IFERROR(__xludf.DUMMYFUNCTION("""COMPUTED_VALUE"""),45659.0)</f>
        <v>45659</v>
      </c>
      <c r="DJ22" s="179">
        <f>IFERROR(__xludf.DUMMYFUNCTION("""COMPUTED_VALUE"""),0.0)</f>
        <v>0</v>
      </c>
      <c r="DK22" s="180">
        <f>IFERROR(__xludf.DUMMYFUNCTION("""COMPUTED_VALUE"""),45809.0)</f>
        <v>45809</v>
      </c>
      <c r="DL22" s="179">
        <f>IFERROR(__xludf.DUMMYFUNCTION("""COMPUTED_VALUE"""),0.0)</f>
        <v>0</v>
      </c>
      <c r="DM22" s="180">
        <f>IFERROR(__xludf.DUMMYFUNCTION("""COMPUTED_VALUE"""),45839.0)</f>
        <v>45839</v>
      </c>
      <c r="DN22" s="179">
        <f>IFERROR(__xludf.DUMMYFUNCTION("""COMPUTED_VALUE"""),0.0)</f>
        <v>0</v>
      </c>
      <c r="DO22" s="180">
        <f>IFERROR(__xludf.DUMMYFUNCTION("""COMPUTED_VALUE"""),45901.0)</f>
        <v>45901</v>
      </c>
      <c r="DP22" s="179">
        <f>IFERROR(__xludf.DUMMYFUNCTION("""COMPUTED_VALUE"""),0.0)</f>
        <v>0</v>
      </c>
      <c r="DQ22" s="180">
        <f>IFERROR(__xludf.DUMMYFUNCTION("""COMPUTED_VALUE"""),45937.0)</f>
        <v>45937</v>
      </c>
      <c r="DR22" s="179">
        <f>IFERROR(__xludf.DUMMYFUNCTION("""COMPUTED_VALUE"""),0.07142857142857142)</f>
        <v>0.07142857143</v>
      </c>
      <c r="DS22" s="182">
        <f>IFERROR(__xludf.DUMMYFUNCTION("""COMPUTED_VALUE"""),45931.0)</f>
        <v>45931</v>
      </c>
      <c r="DT22" s="179">
        <f>IFERROR(__xludf.DUMMYFUNCTION("""COMPUTED_VALUE"""),0.0)</f>
        <v>0</v>
      </c>
      <c r="DU22" s="180">
        <f>IFERROR(__xludf.DUMMYFUNCTION("""COMPUTED_VALUE"""),45901.0)</f>
        <v>45901</v>
      </c>
      <c r="DV22" s="179">
        <f>IFERROR(__xludf.DUMMYFUNCTION("""COMPUTED_VALUE"""),0.0)</f>
        <v>0</v>
      </c>
      <c r="DW22" s="180">
        <f>IFERROR(__xludf.DUMMYFUNCTION("""COMPUTED_VALUE"""),45901.0)</f>
        <v>45901</v>
      </c>
      <c r="DX22" s="179">
        <f>IFERROR(__xludf.DUMMYFUNCTION("""COMPUTED_VALUE"""),0.0)</f>
        <v>0</v>
      </c>
      <c r="DY22" s="180">
        <f>IFERROR(__xludf.DUMMYFUNCTION("""COMPUTED_VALUE"""),45931.0)</f>
        <v>45931</v>
      </c>
      <c r="DZ22" s="179">
        <f>IFERROR(__xludf.DUMMYFUNCTION("""COMPUTED_VALUE"""),0.0)</f>
        <v>0</v>
      </c>
      <c r="EA22" s="180">
        <f>IFERROR(__xludf.DUMMYFUNCTION("""COMPUTED_VALUE"""),45659.0)</f>
        <v>45659</v>
      </c>
      <c r="EB22" s="179">
        <f>IFERROR(__xludf.DUMMYFUNCTION("""COMPUTED_VALUE"""),0.0)</f>
        <v>0</v>
      </c>
      <c r="EC22" s="180">
        <f>IFERROR(__xludf.DUMMYFUNCTION("""COMPUTED_VALUE"""),45931.0)</f>
        <v>45931</v>
      </c>
      <c r="ED22" s="179">
        <f>IFERROR(__xludf.DUMMYFUNCTION("""COMPUTED_VALUE"""),0.0)</f>
        <v>0</v>
      </c>
      <c r="EE22" s="180">
        <f>IFERROR(__xludf.DUMMYFUNCTION("""COMPUTED_VALUE"""),45839.0)</f>
        <v>45839</v>
      </c>
      <c r="EF22" s="179">
        <f>IFERROR(__xludf.DUMMYFUNCTION("""COMPUTED_VALUE"""),0.0)</f>
        <v>0</v>
      </c>
      <c r="EG22" s="180">
        <f>IFERROR(__xludf.DUMMYFUNCTION("""COMPUTED_VALUE"""),45931.0)</f>
        <v>45931</v>
      </c>
      <c r="EH22" s="179">
        <f>IFERROR(__xludf.DUMMYFUNCTION("""COMPUTED_VALUE"""),0.0)</f>
        <v>0</v>
      </c>
      <c r="EI22" s="180">
        <f>IFERROR(__xludf.DUMMYFUNCTION("""COMPUTED_VALUE"""),45931.0)</f>
        <v>45931</v>
      </c>
      <c r="EJ22" s="179">
        <f>IFERROR(__xludf.DUMMYFUNCTION("""COMPUTED_VALUE"""),0.0)</f>
        <v>0</v>
      </c>
      <c r="EK22" s="180">
        <f>IFERROR(__xludf.DUMMYFUNCTION("""COMPUTED_VALUE"""),45870.0)</f>
        <v>45870</v>
      </c>
      <c r="EL22" s="179">
        <f>IFERROR(__xludf.DUMMYFUNCTION("""COMPUTED_VALUE"""),0.0)</f>
        <v>0</v>
      </c>
      <c r="EM22" s="182">
        <f>IFERROR(__xludf.DUMMYFUNCTION("""COMPUTED_VALUE"""),45839.0)</f>
        <v>45839</v>
      </c>
      <c r="EN22" s="179">
        <f>IFERROR(__xludf.DUMMYFUNCTION("""COMPUTED_VALUE"""),0.0)</f>
        <v>0</v>
      </c>
      <c r="EO22" s="180">
        <f>IFERROR(__xludf.DUMMYFUNCTION("""COMPUTED_VALUE"""),45931.0)</f>
        <v>45931</v>
      </c>
      <c r="EP22" s="179">
        <f>IFERROR(__xludf.DUMMYFUNCTION("""COMPUTED_VALUE"""),0.0)</f>
        <v>0</v>
      </c>
      <c r="EQ22" s="180">
        <f>IFERROR(__xludf.DUMMYFUNCTION("""COMPUTED_VALUE"""),45778.0)</f>
        <v>45778</v>
      </c>
      <c r="ER22" s="179">
        <f>IFERROR(__xludf.DUMMYFUNCTION("""COMPUTED_VALUE"""),0.0)</f>
        <v>0</v>
      </c>
      <c r="ES22" s="180">
        <f>IFERROR(__xludf.DUMMYFUNCTION("""COMPUTED_VALUE"""),45659.0)</f>
        <v>45659</v>
      </c>
      <c r="ET22" s="179">
        <f>IFERROR(__xludf.DUMMYFUNCTION("""COMPUTED_VALUE"""),0.0)</f>
        <v>0</v>
      </c>
      <c r="EU22" s="180">
        <f>IFERROR(__xludf.DUMMYFUNCTION("""COMPUTED_VALUE"""),45931.0)</f>
        <v>45931</v>
      </c>
      <c r="EV22" s="179">
        <f>IFERROR(__xludf.DUMMYFUNCTION("""COMPUTED_VALUE"""),0.0)</f>
        <v>0</v>
      </c>
      <c r="EW22" s="180">
        <f>IFERROR(__xludf.DUMMYFUNCTION("""COMPUTED_VALUE"""),45659.0)</f>
        <v>45659</v>
      </c>
      <c r="EX22" s="179">
        <f>IFERROR(__xludf.DUMMYFUNCTION("""COMPUTED_VALUE"""),0.0)</f>
        <v>0</v>
      </c>
      <c r="EY22" s="180">
        <f>IFERROR(__xludf.DUMMYFUNCTION("""COMPUTED_VALUE"""),45659.0)</f>
        <v>45659</v>
      </c>
      <c r="EZ22" s="179">
        <f>IFERROR(__xludf.DUMMYFUNCTION("""COMPUTED_VALUE"""),0.0)</f>
        <v>0</v>
      </c>
      <c r="FA22" s="180">
        <f>IFERROR(__xludf.DUMMYFUNCTION("""COMPUTED_VALUE"""),45931.0)</f>
        <v>45931</v>
      </c>
      <c r="FB22" s="179">
        <f>IFERROR(__xludf.DUMMYFUNCTION("""COMPUTED_VALUE"""),0.0)</f>
        <v>0</v>
      </c>
      <c r="FC22" s="180">
        <f>IFERROR(__xludf.DUMMYFUNCTION("""COMPUTED_VALUE"""),45659.0)</f>
        <v>45659</v>
      </c>
      <c r="FD22" s="179">
        <f>IFERROR(__xludf.DUMMYFUNCTION("""COMPUTED_VALUE"""),0.0)</f>
        <v>0</v>
      </c>
      <c r="FE22" s="180">
        <f>IFERROR(__xludf.DUMMYFUNCTION("""COMPUTED_VALUE"""),45778.0)</f>
        <v>45778</v>
      </c>
      <c r="FF22" s="179">
        <f>IFERROR(__xludf.DUMMYFUNCTION("""COMPUTED_VALUE"""),0.0)</f>
        <v>0</v>
      </c>
      <c r="FG22" s="182">
        <f>IFERROR(__xludf.DUMMYFUNCTION("""COMPUTED_VALUE"""),45839.0)</f>
        <v>45839</v>
      </c>
      <c r="FH22" s="179">
        <f>IFERROR(__xludf.DUMMYFUNCTION("""COMPUTED_VALUE"""),0.0)</f>
        <v>0</v>
      </c>
      <c r="FI22" s="180">
        <f>IFERROR(__xludf.DUMMYFUNCTION("""COMPUTED_VALUE"""),45717.0)</f>
        <v>45717</v>
      </c>
      <c r="FJ22" s="179">
        <f>IFERROR(__xludf.DUMMYFUNCTION("""COMPUTED_VALUE"""),0.0)</f>
        <v>0</v>
      </c>
      <c r="FK22" s="180">
        <f>IFERROR(__xludf.DUMMYFUNCTION("""COMPUTED_VALUE"""),45717.0)</f>
        <v>45717</v>
      </c>
      <c r="FL22" s="179">
        <f>IFERROR(__xludf.DUMMYFUNCTION("""COMPUTED_VALUE"""),0.0)</f>
        <v>0</v>
      </c>
      <c r="FM22" s="180">
        <f>IFERROR(__xludf.DUMMYFUNCTION("""COMPUTED_VALUE"""),45778.0)</f>
        <v>45778</v>
      </c>
      <c r="FN22" s="179">
        <f>IFERROR(__xludf.DUMMYFUNCTION("""COMPUTED_VALUE"""),0.0)</f>
        <v>0</v>
      </c>
      <c r="FO22" s="180">
        <f>IFERROR(__xludf.DUMMYFUNCTION("""COMPUTED_VALUE"""),45839.0)</f>
        <v>45839</v>
      </c>
      <c r="FP22" s="179">
        <f>IFERROR(__xludf.DUMMYFUNCTION("""COMPUTED_VALUE"""),0.0)</f>
        <v>0</v>
      </c>
      <c r="FQ22" s="180">
        <f>IFERROR(__xludf.DUMMYFUNCTION("""COMPUTED_VALUE"""),45659.0)</f>
        <v>45659</v>
      </c>
      <c r="FR22" s="179">
        <f>IFERROR(__xludf.DUMMYFUNCTION("""COMPUTED_VALUE"""),0.0)</f>
        <v>0</v>
      </c>
      <c r="FS22" s="180">
        <f>IFERROR(__xludf.DUMMYFUNCTION("""COMPUTED_VALUE"""),45658.0)</f>
        <v>45658</v>
      </c>
      <c r="FT22" s="179">
        <f>IFERROR(__xludf.DUMMYFUNCTION("""COMPUTED_VALUE"""),0.0)</f>
        <v>0</v>
      </c>
      <c r="FU22" s="180">
        <f>IFERROR(__xludf.DUMMYFUNCTION("""COMPUTED_VALUE"""),45870.0)</f>
        <v>45870</v>
      </c>
      <c r="FV22" s="179">
        <f>IFERROR(__xludf.DUMMYFUNCTION("""COMPUTED_VALUE"""),0.0)</f>
        <v>0</v>
      </c>
      <c r="FW22" s="180">
        <f>IFERROR(__xludf.DUMMYFUNCTION("""COMPUTED_VALUE"""),45659.0)</f>
        <v>45659</v>
      </c>
      <c r="FX22" s="179">
        <f>IFERROR(__xludf.DUMMYFUNCTION("""COMPUTED_VALUE"""),0.0)</f>
        <v>0</v>
      </c>
      <c r="FY22" s="180">
        <f>IFERROR(__xludf.DUMMYFUNCTION("""COMPUTED_VALUE"""),45717.0)</f>
        <v>45717</v>
      </c>
      <c r="FZ22" s="179">
        <f>IFERROR(__xludf.DUMMYFUNCTION("""COMPUTED_VALUE"""),0.0)</f>
        <v>0</v>
      </c>
      <c r="GA22" s="182">
        <f>IFERROR(__xludf.DUMMYFUNCTION("""COMPUTED_VALUE"""),45659.0)</f>
        <v>45659</v>
      </c>
      <c r="GB22" s="179">
        <f>IFERROR(__xludf.DUMMYFUNCTION("""COMPUTED_VALUE"""),0.0)</f>
        <v>0</v>
      </c>
      <c r="GC22" s="180">
        <f>IFERROR(__xludf.DUMMYFUNCTION("""COMPUTED_VALUE"""),45870.0)</f>
        <v>45870</v>
      </c>
      <c r="GD22" s="179">
        <f>IFERROR(__xludf.DUMMYFUNCTION("""COMPUTED_VALUE"""),0.0)</f>
        <v>0</v>
      </c>
      <c r="GE22" s="180">
        <f>IFERROR(__xludf.DUMMYFUNCTION("""COMPUTED_VALUE"""),45870.0)</f>
        <v>45870</v>
      </c>
      <c r="GF22" s="179">
        <f>IFERROR(__xludf.DUMMYFUNCTION("""COMPUTED_VALUE"""),0.0)</f>
        <v>0</v>
      </c>
      <c r="GG22" s="180">
        <f>IFERROR(__xludf.DUMMYFUNCTION("""COMPUTED_VALUE"""),45870.0)</f>
        <v>45870</v>
      </c>
      <c r="GH22" s="179">
        <f>IFERROR(__xludf.DUMMYFUNCTION("""COMPUTED_VALUE"""),0.0)</f>
        <v>0</v>
      </c>
      <c r="GI22" s="180">
        <f>IFERROR(__xludf.DUMMYFUNCTION("""COMPUTED_VALUE"""),45659.0)</f>
        <v>45659</v>
      </c>
      <c r="GJ22" s="179">
        <f>IFERROR(__xludf.DUMMYFUNCTION("""COMPUTED_VALUE"""),0.0)</f>
        <v>0</v>
      </c>
      <c r="GK22" s="180">
        <f>IFERROR(__xludf.DUMMYFUNCTION("""COMPUTED_VALUE"""),45659.0)</f>
        <v>45659</v>
      </c>
      <c r="GL22" s="179">
        <f>IFERROR(__xludf.DUMMYFUNCTION("""COMPUTED_VALUE"""),0.0)</f>
        <v>0</v>
      </c>
      <c r="GM22" s="180">
        <f>IFERROR(__xludf.DUMMYFUNCTION("""COMPUTED_VALUE"""),45748.0)</f>
        <v>45748</v>
      </c>
      <c r="GN22" s="179">
        <f>IFERROR(__xludf.DUMMYFUNCTION("""COMPUTED_VALUE"""),0.0)</f>
        <v>0</v>
      </c>
      <c r="GO22" s="180">
        <f>IFERROR(__xludf.DUMMYFUNCTION("""COMPUTED_VALUE"""),45931.0)</f>
        <v>45931</v>
      </c>
      <c r="GP22" s="179">
        <f>IFERROR(__xludf.DUMMYFUNCTION("""COMPUTED_VALUE"""),0.0)</f>
        <v>0</v>
      </c>
      <c r="GQ22" s="180">
        <f>IFERROR(__xludf.DUMMYFUNCTION("""COMPUTED_VALUE"""),45809.0)</f>
        <v>45809</v>
      </c>
      <c r="GR22" s="179">
        <f>IFERROR(__xludf.DUMMYFUNCTION("""COMPUTED_VALUE"""),0.0)</f>
        <v>0</v>
      </c>
      <c r="GS22" s="180">
        <f>IFERROR(__xludf.DUMMYFUNCTION("""COMPUTED_VALUE"""),45748.0)</f>
        <v>45748</v>
      </c>
      <c r="GT22" s="179">
        <f>IFERROR(__xludf.DUMMYFUNCTION("""COMPUTED_VALUE"""),0.0)</f>
        <v>0</v>
      </c>
    </row>
    <row r="23" ht="31.5" customHeight="1">
      <c r="B23" s="183"/>
      <c r="C23" s="178">
        <f>IFERROR(__xludf.DUMMYFUNCTION("""COMPUTED_VALUE"""),45840.0)</f>
        <v>45840</v>
      </c>
      <c r="D23" s="179">
        <f>IFERROR(__xludf.DUMMYFUNCTION("""COMPUTED_VALUE"""),0.0)</f>
        <v>0</v>
      </c>
      <c r="E23" s="180">
        <f>IFERROR(__xludf.DUMMYFUNCTION("""COMPUTED_VALUE"""),45871.0)</f>
        <v>45871</v>
      </c>
      <c r="F23" s="179">
        <f>IFERROR(__xludf.DUMMYFUNCTION("""COMPUTED_VALUE"""),0.0)</f>
        <v>0</v>
      </c>
      <c r="G23" s="180">
        <f>IFERROR(__xludf.DUMMYFUNCTION("""COMPUTED_VALUE"""),45871.0)</f>
        <v>45871</v>
      </c>
      <c r="H23" s="179">
        <f>IFERROR(__xludf.DUMMYFUNCTION("""COMPUTED_VALUE"""),0.0)</f>
        <v>0</v>
      </c>
      <c r="I23" s="180">
        <f>IFERROR(__xludf.DUMMYFUNCTION("""COMPUTED_VALUE"""),45932.0)</f>
        <v>45932</v>
      </c>
      <c r="J23" s="179">
        <f>IFERROR(__xludf.DUMMYFUNCTION("""COMPUTED_VALUE"""),0.0)</f>
        <v>0</v>
      </c>
      <c r="K23" s="180">
        <f>IFERROR(__xludf.DUMMYFUNCTION("""COMPUTED_VALUE"""),45779.0)</f>
        <v>45779</v>
      </c>
      <c r="L23" s="179">
        <f>IFERROR(__xludf.DUMMYFUNCTION("""COMPUTED_VALUE"""),0.0)</f>
        <v>0</v>
      </c>
      <c r="M23" s="180">
        <f>IFERROR(__xludf.DUMMYFUNCTION("""COMPUTED_VALUE"""),45840.0)</f>
        <v>45840</v>
      </c>
      <c r="N23" s="179">
        <f>IFERROR(__xludf.DUMMYFUNCTION("""COMPUTED_VALUE"""),0.0)</f>
        <v>0</v>
      </c>
      <c r="O23" s="180">
        <f>IFERROR(__xludf.DUMMYFUNCTION("""COMPUTED_VALUE"""),45690.0)</f>
        <v>45690</v>
      </c>
      <c r="P23" s="179">
        <f>IFERROR(__xludf.DUMMYFUNCTION("""COMPUTED_VALUE"""),0.0)</f>
        <v>0</v>
      </c>
      <c r="Q23" s="180">
        <f>IFERROR(__xludf.DUMMYFUNCTION("""COMPUTED_VALUE"""),45718.0)</f>
        <v>45718</v>
      </c>
      <c r="R23" s="179">
        <f>IFERROR(__xludf.DUMMYFUNCTION("""COMPUTED_VALUE"""),0.0)</f>
        <v>0</v>
      </c>
      <c r="S23" s="180">
        <f>IFERROR(__xludf.DUMMYFUNCTION("""COMPUTED_VALUE"""),45902.0)</f>
        <v>45902</v>
      </c>
      <c r="T23" s="179">
        <f>IFERROR(__xludf.DUMMYFUNCTION("""COMPUTED_VALUE"""),0.0)</f>
        <v>0</v>
      </c>
      <c r="U23" s="180">
        <f>IFERROR(__xludf.DUMMYFUNCTION("""COMPUTED_VALUE"""),45690.0)</f>
        <v>45690</v>
      </c>
      <c r="V23" s="181">
        <f>IFERROR(__xludf.DUMMYFUNCTION("""COMPUTED_VALUE"""),0.0)</f>
        <v>0</v>
      </c>
      <c r="W23" s="178">
        <f>IFERROR(__xludf.DUMMYFUNCTION("""COMPUTED_VALUE"""),45839.0)</f>
        <v>45839</v>
      </c>
      <c r="X23" s="179">
        <f>IFERROR(__xludf.DUMMYFUNCTION("""COMPUTED_VALUE"""),0.0)</f>
        <v>0</v>
      </c>
      <c r="Y23" s="180">
        <f>IFERROR(__xludf.DUMMYFUNCTION("""COMPUTED_VALUE"""),45778.0)</f>
        <v>45778</v>
      </c>
      <c r="Z23" s="179">
        <f>IFERROR(__xludf.DUMMYFUNCTION("""COMPUTED_VALUE"""),0.0)</f>
        <v>0</v>
      </c>
      <c r="AA23" s="180">
        <f>IFERROR(__xludf.DUMMYFUNCTION("""COMPUTED_VALUE"""),45931.0)</f>
        <v>45931</v>
      </c>
      <c r="AB23" s="179">
        <f>IFERROR(__xludf.DUMMYFUNCTION("""COMPUTED_VALUE"""),0.0)</f>
        <v>0</v>
      </c>
      <c r="AC23" s="180">
        <f>IFERROR(__xludf.DUMMYFUNCTION("""COMPUTED_VALUE"""),45717.0)</f>
        <v>45717</v>
      </c>
      <c r="AD23" s="179">
        <f>IFERROR(__xludf.DUMMYFUNCTION("""COMPUTED_VALUE"""),0.0)</f>
        <v>0</v>
      </c>
      <c r="AE23" s="180">
        <f>IFERROR(__xludf.DUMMYFUNCTION("""COMPUTED_VALUE"""),45689.0)</f>
        <v>45689</v>
      </c>
      <c r="AF23" s="179">
        <f>IFERROR(__xludf.DUMMYFUNCTION("""COMPUTED_VALUE"""),0.0)</f>
        <v>0</v>
      </c>
      <c r="AG23" s="180">
        <f>IFERROR(__xludf.DUMMYFUNCTION("""COMPUTED_VALUE"""),45839.0)</f>
        <v>45839</v>
      </c>
      <c r="AH23" s="179">
        <f>IFERROR(__xludf.DUMMYFUNCTION("""COMPUTED_VALUE"""),0.0)</f>
        <v>0</v>
      </c>
      <c r="AI23" s="180">
        <f>IFERROR(__xludf.DUMMYFUNCTION("""COMPUTED_VALUE"""),45717.0)</f>
        <v>45717</v>
      </c>
      <c r="AJ23" s="179">
        <f>IFERROR(__xludf.DUMMYFUNCTION("""COMPUTED_VALUE"""),0.0)</f>
        <v>0</v>
      </c>
      <c r="AK23" s="180">
        <f>IFERROR(__xludf.DUMMYFUNCTION("""COMPUTED_VALUE"""),45901.0)</f>
        <v>45901</v>
      </c>
      <c r="AL23" s="179">
        <f>IFERROR(__xludf.DUMMYFUNCTION("""COMPUTED_VALUE"""),0.0)</f>
        <v>0</v>
      </c>
      <c r="AM23" s="180">
        <f>IFERROR(__xludf.DUMMYFUNCTION("""COMPUTED_VALUE"""),45902.0)</f>
        <v>45902</v>
      </c>
      <c r="AN23" s="179">
        <f>IFERROR(__xludf.DUMMYFUNCTION("""COMPUTED_VALUE"""),0.0)</f>
        <v>0</v>
      </c>
      <c r="AO23" s="180">
        <f>IFERROR(__xludf.DUMMYFUNCTION("""COMPUTED_VALUE"""),45717.0)</f>
        <v>45717</v>
      </c>
      <c r="AP23" s="181">
        <f>IFERROR(__xludf.DUMMYFUNCTION("""COMPUTED_VALUE"""),0.0)</f>
        <v>0</v>
      </c>
      <c r="AQ23" s="178">
        <f>IFERROR(__xludf.DUMMYFUNCTION("""COMPUTED_VALUE"""),45870.0)</f>
        <v>45870</v>
      </c>
      <c r="AR23" s="179">
        <f>IFERROR(__xludf.DUMMYFUNCTION("""COMPUTED_VALUE"""),0.0)</f>
        <v>0</v>
      </c>
      <c r="AS23" s="180">
        <f>IFERROR(__xludf.DUMMYFUNCTION("""COMPUTED_VALUE"""),45931.0)</f>
        <v>45931</v>
      </c>
      <c r="AT23" s="179">
        <f>IFERROR(__xludf.DUMMYFUNCTION("""COMPUTED_VALUE"""),0.0)</f>
        <v>0</v>
      </c>
      <c r="AU23" s="180">
        <f>IFERROR(__xludf.DUMMYFUNCTION("""COMPUTED_VALUE"""),45901.0)</f>
        <v>45901</v>
      </c>
      <c r="AV23" s="179">
        <f>IFERROR(__xludf.DUMMYFUNCTION("""COMPUTED_VALUE"""),0.0)</f>
        <v>0</v>
      </c>
      <c r="AW23" s="180">
        <f>IFERROR(__xludf.DUMMYFUNCTION("""COMPUTED_VALUE"""),45901.0)</f>
        <v>45901</v>
      </c>
      <c r="AX23" s="179">
        <f>IFERROR(__xludf.DUMMYFUNCTION("""COMPUTED_VALUE"""),0.0)</f>
        <v>0</v>
      </c>
      <c r="AY23" s="180">
        <f>IFERROR(__xludf.DUMMYFUNCTION("""COMPUTED_VALUE"""),45839.0)</f>
        <v>45839</v>
      </c>
      <c r="AZ23" s="179">
        <f>IFERROR(__xludf.DUMMYFUNCTION("""COMPUTED_VALUE"""),0.0)</f>
        <v>0</v>
      </c>
      <c r="BA23" s="180">
        <f>IFERROR(__xludf.DUMMYFUNCTION("""COMPUTED_VALUE"""),45870.0)</f>
        <v>45870</v>
      </c>
      <c r="BB23" s="179">
        <f>IFERROR(__xludf.DUMMYFUNCTION("""COMPUTED_VALUE"""),0.0)</f>
        <v>0</v>
      </c>
      <c r="BC23" s="180">
        <f>IFERROR(__xludf.DUMMYFUNCTION("""COMPUTED_VALUE"""),45870.0)</f>
        <v>45870</v>
      </c>
      <c r="BD23" s="179">
        <f>IFERROR(__xludf.DUMMYFUNCTION("""COMPUTED_VALUE"""),0.0)</f>
        <v>0</v>
      </c>
      <c r="BE23" s="180">
        <f>IFERROR(__xludf.DUMMYFUNCTION("""COMPUTED_VALUE"""),45690.0)</f>
        <v>45690</v>
      </c>
      <c r="BF23" s="179">
        <f>IFERROR(__xludf.DUMMYFUNCTION("""COMPUTED_VALUE"""),0.0)</f>
        <v>0</v>
      </c>
      <c r="BG23" s="180">
        <f>IFERROR(__xludf.DUMMYFUNCTION("""COMPUTED_VALUE"""),45901.0)</f>
        <v>45901</v>
      </c>
      <c r="BH23" s="179">
        <f>IFERROR(__xludf.DUMMYFUNCTION("""COMPUTED_VALUE"""),0.0)</f>
        <v>0</v>
      </c>
      <c r="BI23" s="180">
        <f>IFERROR(__xludf.DUMMYFUNCTION("""COMPUTED_VALUE"""),45809.0)</f>
        <v>45809</v>
      </c>
      <c r="BJ23" s="179">
        <f>IFERROR(__xludf.DUMMYFUNCTION("""COMPUTED_VALUE"""),0.0)</f>
        <v>0</v>
      </c>
      <c r="BK23" s="182">
        <f>IFERROR(__xludf.DUMMYFUNCTION("""COMPUTED_VALUE"""),45931.0)</f>
        <v>45931</v>
      </c>
      <c r="BL23" s="179">
        <f>IFERROR(__xludf.DUMMYFUNCTION("""COMPUTED_VALUE"""),0.0)</f>
        <v>0</v>
      </c>
      <c r="BM23" s="180">
        <f>IFERROR(__xludf.DUMMYFUNCTION("""COMPUTED_VALUE"""),45809.0)</f>
        <v>45809</v>
      </c>
      <c r="BN23" s="179">
        <f>IFERROR(__xludf.DUMMYFUNCTION("""COMPUTED_VALUE"""),0.0)</f>
        <v>0</v>
      </c>
      <c r="BO23" s="180">
        <f>IFERROR(__xludf.DUMMYFUNCTION("""COMPUTED_VALUE"""),45778.0)</f>
        <v>45778</v>
      </c>
      <c r="BP23" s="179">
        <f>IFERROR(__xludf.DUMMYFUNCTION("""COMPUTED_VALUE"""),0.0)</f>
        <v>0</v>
      </c>
      <c r="BQ23" s="180">
        <f>IFERROR(__xludf.DUMMYFUNCTION("""COMPUTED_VALUE"""),45931.0)</f>
        <v>45931</v>
      </c>
      <c r="BR23" s="179">
        <f>IFERROR(__xludf.DUMMYFUNCTION("""COMPUTED_VALUE"""),0.0)</f>
        <v>0</v>
      </c>
      <c r="BS23" s="180">
        <f>IFERROR(__xludf.DUMMYFUNCTION("""COMPUTED_VALUE"""),45690.0)</f>
        <v>45690</v>
      </c>
      <c r="BT23" s="179">
        <f>IFERROR(__xludf.DUMMYFUNCTION("""COMPUTED_VALUE"""),0.0)</f>
        <v>0</v>
      </c>
      <c r="BU23" s="180">
        <f>IFERROR(__xludf.DUMMYFUNCTION("""COMPUTED_VALUE"""),45659.0)</f>
        <v>45659</v>
      </c>
      <c r="BV23" s="179">
        <f>IFERROR(__xludf.DUMMYFUNCTION("""COMPUTED_VALUE"""),0.0)</f>
        <v>0</v>
      </c>
      <c r="BW23" s="180">
        <f>IFERROR(__xludf.DUMMYFUNCTION("""COMPUTED_VALUE"""),45748.0)</f>
        <v>45748</v>
      </c>
      <c r="BX23" s="179">
        <f>IFERROR(__xludf.DUMMYFUNCTION("""COMPUTED_VALUE"""),0.0)</f>
        <v>0</v>
      </c>
      <c r="BY23" s="180">
        <f>IFERROR(__xludf.DUMMYFUNCTION("""COMPUTED_VALUE"""),45931.0)</f>
        <v>45931</v>
      </c>
      <c r="BZ23" s="179">
        <f>IFERROR(__xludf.DUMMYFUNCTION("""COMPUTED_VALUE"""),0.0)</f>
        <v>0</v>
      </c>
      <c r="CA23" s="180">
        <f>IFERROR(__xludf.DUMMYFUNCTION("""COMPUTED_VALUE"""),45870.0)</f>
        <v>45870</v>
      </c>
      <c r="CB23" s="179">
        <f>IFERROR(__xludf.DUMMYFUNCTION("""COMPUTED_VALUE"""),0.0)</f>
        <v>0</v>
      </c>
      <c r="CC23" s="180">
        <f>IFERROR(__xludf.DUMMYFUNCTION("""COMPUTED_VALUE"""),45901.0)</f>
        <v>45901</v>
      </c>
      <c r="CD23" s="179">
        <f>IFERROR(__xludf.DUMMYFUNCTION("""COMPUTED_VALUE"""),0.0)</f>
        <v>0</v>
      </c>
      <c r="CE23" s="182">
        <f>IFERROR(__xludf.DUMMYFUNCTION("""COMPUTED_VALUE"""),45690.0)</f>
        <v>45690</v>
      </c>
      <c r="CF23" s="179">
        <f>IFERROR(__xludf.DUMMYFUNCTION("""COMPUTED_VALUE"""),0.0)</f>
        <v>0</v>
      </c>
      <c r="CG23" s="180">
        <f>IFERROR(__xludf.DUMMYFUNCTION("""COMPUTED_VALUE"""),45809.0)</f>
        <v>45809</v>
      </c>
      <c r="CH23" s="179">
        <f>IFERROR(__xludf.DUMMYFUNCTION("""COMPUTED_VALUE"""),0.0)</f>
        <v>0</v>
      </c>
      <c r="CI23" s="180">
        <f>IFERROR(__xludf.DUMMYFUNCTION("""COMPUTED_VALUE"""),45839.0)</f>
        <v>45839</v>
      </c>
      <c r="CJ23" s="179">
        <f>IFERROR(__xludf.DUMMYFUNCTION("""COMPUTED_VALUE"""),0.0)</f>
        <v>0</v>
      </c>
      <c r="CK23" s="180">
        <f>IFERROR(__xludf.DUMMYFUNCTION("""COMPUTED_VALUE"""),45870.0)</f>
        <v>45870</v>
      </c>
      <c r="CL23" s="179">
        <f>IFERROR(__xludf.DUMMYFUNCTION("""COMPUTED_VALUE"""),0.0)</f>
        <v>0</v>
      </c>
      <c r="CM23" s="180">
        <f>IFERROR(__xludf.DUMMYFUNCTION("""COMPUTED_VALUE"""),45839.0)</f>
        <v>45839</v>
      </c>
      <c r="CN23" s="179">
        <f>IFERROR(__xludf.DUMMYFUNCTION("""COMPUTED_VALUE"""),0.0)</f>
        <v>0</v>
      </c>
      <c r="CO23" s="180">
        <f>IFERROR(__xludf.DUMMYFUNCTION("""COMPUTED_VALUE"""),45809.0)</f>
        <v>45809</v>
      </c>
      <c r="CP23" s="179">
        <f>IFERROR(__xludf.DUMMYFUNCTION("""COMPUTED_VALUE"""),0.0)</f>
        <v>0</v>
      </c>
      <c r="CQ23" s="180">
        <f>IFERROR(__xludf.DUMMYFUNCTION("""COMPUTED_VALUE"""),45725.0)</f>
        <v>45725</v>
      </c>
      <c r="CR23" s="179">
        <f>IFERROR(__xludf.DUMMYFUNCTION("""COMPUTED_VALUE"""),0.125)</f>
        <v>0.125</v>
      </c>
      <c r="CS23" s="180">
        <f>IFERROR(__xludf.DUMMYFUNCTION("""COMPUTED_VALUE"""),45931.0)</f>
        <v>45931</v>
      </c>
      <c r="CT23" s="179">
        <f>IFERROR(__xludf.DUMMYFUNCTION("""COMPUTED_VALUE"""),0.0)</f>
        <v>0</v>
      </c>
      <c r="CU23" s="180">
        <f>IFERROR(__xludf.DUMMYFUNCTION("""COMPUTED_VALUE"""),45690.0)</f>
        <v>45690</v>
      </c>
      <c r="CV23" s="179">
        <f>IFERROR(__xludf.DUMMYFUNCTION("""COMPUTED_VALUE"""),0.0)</f>
        <v>0</v>
      </c>
      <c r="CW23" s="180">
        <f>IFERROR(__xludf.DUMMYFUNCTION("""COMPUTED_VALUE"""),45689.0)</f>
        <v>45689</v>
      </c>
      <c r="CX23" s="179">
        <f>IFERROR(__xludf.DUMMYFUNCTION("""COMPUTED_VALUE"""),0.0)</f>
        <v>0</v>
      </c>
      <c r="CY23" s="182">
        <f>IFERROR(__xludf.DUMMYFUNCTION("""COMPUTED_VALUE"""),45659.0)</f>
        <v>45659</v>
      </c>
      <c r="CZ23" s="179">
        <f>IFERROR(__xludf.DUMMYFUNCTION("""COMPUTED_VALUE"""),0.0)</f>
        <v>0</v>
      </c>
      <c r="DA23" s="180">
        <f>IFERROR(__xludf.DUMMYFUNCTION("""COMPUTED_VALUE"""),45659.0)</f>
        <v>45659</v>
      </c>
      <c r="DB23" s="179">
        <f>IFERROR(__xludf.DUMMYFUNCTION("""COMPUTED_VALUE"""),0.0)</f>
        <v>0</v>
      </c>
      <c r="DC23" s="180">
        <f>IFERROR(__xludf.DUMMYFUNCTION("""COMPUTED_VALUE"""),45839.0)</f>
        <v>45839</v>
      </c>
      <c r="DD23" s="179">
        <f>IFERROR(__xludf.DUMMYFUNCTION("""COMPUTED_VALUE"""),0.0)</f>
        <v>0</v>
      </c>
      <c r="DE23" s="180">
        <f>IFERROR(__xludf.DUMMYFUNCTION("""COMPUTED_VALUE"""),45901.0)</f>
        <v>45901</v>
      </c>
      <c r="DF23" s="179">
        <f>IFERROR(__xludf.DUMMYFUNCTION("""COMPUTED_VALUE"""),0.0)</f>
        <v>0</v>
      </c>
      <c r="DG23" s="180">
        <f>IFERROR(__xludf.DUMMYFUNCTION("""COMPUTED_VALUE"""),45690.0)</f>
        <v>45690</v>
      </c>
      <c r="DH23" s="179">
        <f>IFERROR(__xludf.DUMMYFUNCTION("""COMPUTED_VALUE"""),0.0)</f>
        <v>0</v>
      </c>
      <c r="DI23" s="180">
        <f>IFERROR(__xludf.DUMMYFUNCTION("""COMPUTED_VALUE"""),45690.0)</f>
        <v>45690</v>
      </c>
      <c r="DJ23" s="179">
        <f>IFERROR(__xludf.DUMMYFUNCTION("""COMPUTED_VALUE"""),0.0)</f>
        <v>0</v>
      </c>
      <c r="DK23" s="180">
        <f>IFERROR(__xludf.DUMMYFUNCTION("""COMPUTED_VALUE"""),45901.0)</f>
        <v>45901</v>
      </c>
      <c r="DL23" s="179">
        <f>IFERROR(__xludf.DUMMYFUNCTION("""COMPUTED_VALUE"""),0.0)</f>
        <v>0</v>
      </c>
      <c r="DM23" s="180">
        <f>IFERROR(__xludf.DUMMYFUNCTION("""COMPUTED_VALUE"""),45901.0)</f>
        <v>45901</v>
      </c>
      <c r="DN23" s="179">
        <f>IFERROR(__xludf.DUMMYFUNCTION("""COMPUTED_VALUE"""),0.0)</f>
        <v>0</v>
      </c>
      <c r="DO23" s="180">
        <f>IFERROR(__xludf.DUMMYFUNCTION("""COMPUTED_VALUE"""),45931.0)</f>
        <v>45931</v>
      </c>
      <c r="DP23" s="179">
        <f>IFERROR(__xludf.DUMMYFUNCTION("""COMPUTED_VALUE"""),0.0)</f>
        <v>0</v>
      </c>
      <c r="DQ23" s="180">
        <f>IFERROR(__xludf.DUMMYFUNCTION("""COMPUTED_VALUE"""),45689.0)</f>
        <v>45689</v>
      </c>
      <c r="DR23" s="179">
        <f>IFERROR(__xludf.DUMMYFUNCTION("""COMPUTED_VALUE"""),0.0)</f>
        <v>0</v>
      </c>
      <c r="DS23" s="182">
        <f>IFERROR(__xludf.DUMMYFUNCTION("""COMPUTED_VALUE"""),45659.0)</f>
        <v>45659</v>
      </c>
      <c r="DT23" s="179">
        <f>IFERROR(__xludf.DUMMYFUNCTION("""COMPUTED_VALUE"""),0.0)</f>
        <v>0</v>
      </c>
      <c r="DU23" s="180">
        <f>IFERROR(__xludf.DUMMYFUNCTION("""COMPUTED_VALUE"""),45931.0)</f>
        <v>45931</v>
      </c>
      <c r="DV23" s="179">
        <f>IFERROR(__xludf.DUMMYFUNCTION("""COMPUTED_VALUE"""),0.0)</f>
        <v>0</v>
      </c>
      <c r="DW23" s="180">
        <f>IFERROR(__xludf.DUMMYFUNCTION("""COMPUTED_VALUE"""),45931.0)</f>
        <v>45931</v>
      </c>
      <c r="DX23" s="179">
        <f>IFERROR(__xludf.DUMMYFUNCTION("""COMPUTED_VALUE"""),0.0)</f>
        <v>0</v>
      </c>
      <c r="DY23" s="180">
        <f>IFERROR(__xludf.DUMMYFUNCTION("""COMPUTED_VALUE"""),45659.0)</f>
        <v>45659</v>
      </c>
      <c r="DZ23" s="179">
        <f>IFERROR(__xludf.DUMMYFUNCTION("""COMPUTED_VALUE"""),0.0)</f>
        <v>0</v>
      </c>
      <c r="EA23" s="180">
        <f>IFERROR(__xludf.DUMMYFUNCTION("""COMPUTED_VALUE"""),45690.0)</f>
        <v>45690</v>
      </c>
      <c r="EB23" s="179">
        <f>IFERROR(__xludf.DUMMYFUNCTION("""COMPUTED_VALUE"""),0.0)</f>
        <v>0</v>
      </c>
      <c r="EC23" s="180">
        <f>IFERROR(__xludf.DUMMYFUNCTION("""COMPUTED_VALUE"""),45659.0)</f>
        <v>45659</v>
      </c>
      <c r="ED23" s="179">
        <f>IFERROR(__xludf.DUMMYFUNCTION("""COMPUTED_VALUE"""),0.0)</f>
        <v>0</v>
      </c>
      <c r="EE23" s="180">
        <f>IFERROR(__xludf.DUMMYFUNCTION("""COMPUTED_VALUE"""),45870.0)</f>
        <v>45870</v>
      </c>
      <c r="EF23" s="179">
        <f>IFERROR(__xludf.DUMMYFUNCTION("""COMPUTED_VALUE"""),0.0)</f>
        <v>0</v>
      </c>
      <c r="EG23" s="180">
        <f>IFERROR(__xludf.DUMMYFUNCTION("""COMPUTED_VALUE"""),45659.0)</f>
        <v>45659</v>
      </c>
      <c r="EH23" s="179">
        <f>IFERROR(__xludf.DUMMYFUNCTION("""COMPUTED_VALUE"""),0.0)</f>
        <v>0</v>
      </c>
      <c r="EI23" s="180">
        <f>IFERROR(__xludf.DUMMYFUNCTION("""COMPUTED_VALUE"""),45659.0)</f>
        <v>45659</v>
      </c>
      <c r="EJ23" s="179">
        <f>IFERROR(__xludf.DUMMYFUNCTION("""COMPUTED_VALUE"""),0.0)</f>
        <v>0</v>
      </c>
      <c r="EK23" s="180">
        <f>IFERROR(__xludf.DUMMYFUNCTION("""COMPUTED_VALUE"""),45901.0)</f>
        <v>45901</v>
      </c>
      <c r="EL23" s="179">
        <f>IFERROR(__xludf.DUMMYFUNCTION("""COMPUTED_VALUE"""),0.0)</f>
        <v>0</v>
      </c>
      <c r="EM23" s="182">
        <f>IFERROR(__xludf.DUMMYFUNCTION("""COMPUTED_VALUE"""),45870.0)</f>
        <v>45870</v>
      </c>
      <c r="EN23" s="179">
        <f>IFERROR(__xludf.DUMMYFUNCTION("""COMPUTED_VALUE"""),0.0)</f>
        <v>0</v>
      </c>
      <c r="EO23" s="180">
        <f>IFERROR(__xludf.DUMMYFUNCTION("""COMPUTED_VALUE"""),45659.0)</f>
        <v>45659</v>
      </c>
      <c r="EP23" s="179">
        <f>IFERROR(__xludf.DUMMYFUNCTION("""COMPUTED_VALUE"""),0.0)</f>
        <v>0</v>
      </c>
      <c r="EQ23" s="180">
        <f>IFERROR(__xludf.DUMMYFUNCTION("""COMPUTED_VALUE"""),45809.0)</f>
        <v>45809</v>
      </c>
      <c r="ER23" s="179">
        <f>IFERROR(__xludf.DUMMYFUNCTION("""COMPUTED_VALUE"""),0.0)</f>
        <v>0</v>
      </c>
      <c r="ES23" s="180">
        <f>IFERROR(__xludf.DUMMYFUNCTION("""COMPUTED_VALUE"""),45690.0)</f>
        <v>45690</v>
      </c>
      <c r="ET23" s="179">
        <f>IFERROR(__xludf.DUMMYFUNCTION("""COMPUTED_VALUE"""),0.0)</f>
        <v>0</v>
      </c>
      <c r="EU23" s="180">
        <f>IFERROR(__xludf.DUMMYFUNCTION("""COMPUTED_VALUE"""),45659.0)</f>
        <v>45659</v>
      </c>
      <c r="EV23" s="179">
        <f>IFERROR(__xludf.DUMMYFUNCTION("""COMPUTED_VALUE"""),0.0)</f>
        <v>0</v>
      </c>
      <c r="EW23" s="180">
        <f>IFERROR(__xludf.DUMMYFUNCTION("""COMPUTED_VALUE"""),45690.0)</f>
        <v>45690</v>
      </c>
      <c r="EX23" s="179">
        <f>IFERROR(__xludf.DUMMYFUNCTION("""COMPUTED_VALUE"""),0.0)</f>
        <v>0</v>
      </c>
      <c r="EY23" s="180">
        <f>IFERROR(__xludf.DUMMYFUNCTION("""COMPUTED_VALUE"""),45690.0)</f>
        <v>45690</v>
      </c>
      <c r="EZ23" s="179">
        <f>IFERROR(__xludf.DUMMYFUNCTION("""COMPUTED_VALUE"""),0.0)</f>
        <v>0</v>
      </c>
      <c r="FA23" s="180">
        <f>IFERROR(__xludf.DUMMYFUNCTION("""COMPUTED_VALUE"""),45659.0)</f>
        <v>45659</v>
      </c>
      <c r="FB23" s="179">
        <f>IFERROR(__xludf.DUMMYFUNCTION("""COMPUTED_VALUE"""),0.0)</f>
        <v>0</v>
      </c>
      <c r="FC23" s="180">
        <f>IFERROR(__xludf.DUMMYFUNCTION("""COMPUTED_VALUE"""),45690.0)</f>
        <v>45690</v>
      </c>
      <c r="FD23" s="179">
        <f>IFERROR(__xludf.DUMMYFUNCTION("""COMPUTED_VALUE"""),0.0)</f>
        <v>0</v>
      </c>
      <c r="FE23" s="180">
        <f>IFERROR(__xludf.DUMMYFUNCTION("""COMPUTED_VALUE"""),45809.0)</f>
        <v>45809</v>
      </c>
      <c r="FF23" s="179">
        <f>IFERROR(__xludf.DUMMYFUNCTION("""COMPUTED_VALUE"""),0.0)</f>
        <v>0</v>
      </c>
      <c r="FG23" s="182">
        <f>IFERROR(__xludf.DUMMYFUNCTION("""COMPUTED_VALUE"""),45870.0)</f>
        <v>45870</v>
      </c>
      <c r="FH23" s="179">
        <f>IFERROR(__xludf.DUMMYFUNCTION("""COMPUTED_VALUE"""),0.0)</f>
        <v>0</v>
      </c>
      <c r="FI23" s="180">
        <f>IFERROR(__xludf.DUMMYFUNCTION("""COMPUTED_VALUE"""),45748.0)</f>
        <v>45748</v>
      </c>
      <c r="FJ23" s="179">
        <f>IFERROR(__xludf.DUMMYFUNCTION("""COMPUTED_VALUE"""),0.0)</f>
        <v>0</v>
      </c>
      <c r="FK23" s="180">
        <f>IFERROR(__xludf.DUMMYFUNCTION("""COMPUTED_VALUE"""),45748.0)</f>
        <v>45748</v>
      </c>
      <c r="FL23" s="179">
        <f>IFERROR(__xludf.DUMMYFUNCTION("""COMPUTED_VALUE"""),0.0)</f>
        <v>0</v>
      </c>
      <c r="FM23" s="180">
        <f>IFERROR(__xludf.DUMMYFUNCTION("""COMPUTED_VALUE"""),45809.0)</f>
        <v>45809</v>
      </c>
      <c r="FN23" s="179">
        <f>IFERROR(__xludf.DUMMYFUNCTION("""COMPUTED_VALUE"""),0.0)</f>
        <v>0</v>
      </c>
      <c r="FO23" s="180">
        <f>IFERROR(__xludf.DUMMYFUNCTION("""COMPUTED_VALUE"""),45870.0)</f>
        <v>45870</v>
      </c>
      <c r="FP23" s="179">
        <f>IFERROR(__xludf.DUMMYFUNCTION("""COMPUTED_VALUE"""),0.0)</f>
        <v>0</v>
      </c>
      <c r="FQ23" s="180">
        <f>IFERROR(__xludf.DUMMYFUNCTION("""COMPUTED_VALUE"""),45690.0)</f>
        <v>45690</v>
      </c>
      <c r="FR23" s="179">
        <f>IFERROR(__xludf.DUMMYFUNCTION("""COMPUTED_VALUE"""),0.0)</f>
        <v>0</v>
      </c>
      <c r="FS23" s="180">
        <f>IFERROR(__xludf.DUMMYFUNCTION("""COMPUTED_VALUE"""),45689.0)</f>
        <v>45689</v>
      </c>
      <c r="FT23" s="179">
        <f>IFERROR(__xludf.DUMMYFUNCTION("""COMPUTED_VALUE"""),0.0)</f>
        <v>0</v>
      </c>
      <c r="FU23" s="180">
        <f>IFERROR(__xludf.DUMMYFUNCTION("""COMPUTED_VALUE"""),45901.0)</f>
        <v>45901</v>
      </c>
      <c r="FV23" s="179">
        <f>IFERROR(__xludf.DUMMYFUNCTION("""COMPUTED_VALUE"""),0.0)</f>
        <v>0</v>
      </c>
      <c r="FW23" s="180">
        <f>IFERROR(__xludf.DUMMYFUNCTION("""COMPUTED_VALUE"""),45690.0)</f>
        <v>45690</v>
      </c>
      <c r="FX23" s="179">
        <f>IFERROR(__xludf.DUMMYFUNCTION("""COMPUTED_VALUE"""),0.0)</f>
        <v>0</v>
      </c>
      <c r="FY23" s="180">
        <f>IFERROR(__xludf.DUMMYFUNCTION("""COMPUTED_VALUE"""),45748.0)</f>
        <v>45748</v>
      </c>
      <c r="FZ23" s="179">
        <f>IFERROR(__xludf.DUMMYFUNCTION("""COMPUTED_VALUE"""),0.0)</f>
        <v>0</v>
      </c>
      <c r="GA23" s="182">
        <f>IFERROR(__xludf.DUMMYFUNCTION("""COMPUTED_VALUE"""),45690.0)</f>
        <v>45690</v>
      </c>
      <c r="GB23" s="179">
        <f>IFERROR(__xludf.DUMMYFUNCTION("""COMPUTED_VALUE"""),0.0)</f>
        <v>0</v>
      </c>
      <c r="GC23" s="180">
        <f>IFERROR(__xludf.DUMMYFUNCTION("""COMPUTED_VALUE"""),45901.0)</f>
        <v>45901</v>
      </c>
      <c r="GD23" s="179">
        <f>IFERROR(__xludf.DUMMYFUNCTION("""COMPUTED_VALUE"""),0.0)</f>
        <v>0</v>
      </c>
      <c r="GE23" s="180">
        <f>IFERROR(__xludf.DUMMYFUNCTION("""COMPUTED_VALUE"""),45901.0)</f>
        <v>45901</v>
      </c>
      <c r="GF23" s="179">
        <f>IFERROR(__xludf.DUMMYFUNCTION("""COMPUTED_VALUE"""),0.0)</f>
        <v>0</v>
      </c>
      <c r="GG23" s="180">
        <f>IFERROR(__xludf.DUMMYFUNCTION("""COMPUTED_VALUE"""),45901.0)</f>
        <v>45901</v>
      </c>
      <c r="GH23" s="179">
        <f>IFERROR(__xludf.DUMMYFUNCTION("""COMPUTED_VALUE"""),0.0)</f>
        <v>0</v>
      </c>
      <c r="GI23" s="180">
        <f>IFERROR(__xludf.DUMMYFUNCTION("""COMPUTED_VALUE"""),45690.0)</f>
        <v>45690</v>
      </c>
      <c r="GJ23" s="179">
        <f>IFERROR(__xludf.DUMMYFUNCTION("""COMPUTED_VALUE"""),0.0)</f>
        <v>0</v>
      </c>
      <c r="GK23" s="180">
        <f>IFERROR(__xludf.DUMMYFUNCTION("""COMPUTED_VALUE"""),45690.0)</f>
        <v>45690</v>
      </c>
      <c r="GL23" s="179">
        <f>IFERROR(__xludf.DUMMYFUNCTION("""COMPUTED_VALUE"""),0.0)</f>
        <v>0</v>
      </c>
      <c r="GM23" s="180">
        <f>IFERROR(__xludf.DUMMYFUNCTION("""COMPUTED_VALUE"""),45778.0)</f>
        <v>45778</v>
      </c>
      <c r="GN23" s="179">
        <f>IFERROR(__xludf.DUMMYFUNCTION("""COMPUTED_VALUE"""),0.0)</f>
        <v>0</v>
      </c>
      <c r="GO23" s="180">
        <f>IFERROR(__xludf.DUMMYFUNCTION("""COMPUTED_VALUE"""),45659.0)</f>
        <v>45659</v>
      </c>
      <c r="GP23" s="179">
        <f>IFERROR(__xludf.DUMMYFUNCTION("""COMPUTED_VALUE"""),0.0)</f>
        <v>0</v>
      </c>
      <c r="GQ23" s="180">
        <f>IFERROR(__xludf.DUMMYFUNCTION("""COMPUTED_VALUE"""),45839.0)</f>
        <v>45839</v>
      </c>
      <c r="GR23" s="179">
        <f>IFERROR(__xludf.DUMMYFUNCTION("""COMPUTED_VALUE"""),0.0)</f>
        <v>0</v>
      </c>
      <c r="GS23" s="180">
        <f>IFERROR(__xludf.DUMMYFUNCTION("""COMPUTED_VALUE"""),45778.0)</f>
        <v>45778</v>
      </c>
      <c r="GT23" s="179">
        <f>IFERROR(__xludf.DUMMYFUNCTION("""COMPUTED_VALUE"""),0.0)</f>
        <v>0</v>
      </c>
    </row>
    <row r="24" ht="31.5" customHeight="1">
      <c r="B24" s="183"/>
      <c r="C24" s="178">
        <f>IFERROR(__xludf.DUMMYFUNCTION("""COMPUTED_VALUE"""),45871.0)</f>
        <v>45871</v>
      </c>
      <c r="D24" s="179">
        <f>IFERROR(__xludf.DUMMYFUNCTION("""COMPUTED_VALUE"""),0.0)</f>
        <v>0</v>
      </c>
      <c r="E24" s="180">
        <f>IFERROR(__xludf.DUMMYFUNCTION("""COMPUTED_VALUE"""),45902.0)</f>
        <v>45902</v>
      </c>
      <c r="F24" s="179">
        <f>IFERROR(__xludf.DUMMYFUNCTION("""COMPUTED_VALUE"""),0.0)</f>
        <v>0</v>
      </c>
      <c r="G24" s="180">
        <f>IFERROR(__xludf.DUMMYFUNCTION("""COMPUTED_VALUE"""),45902.0)</f>
        <v>45902</v>
      </c>
      <c r="H24" s="179">
        <f>IFERROR(__xludf.DUMMYFUNCTION("""COMPUTED_VALUE"""),0.0)</f>
        <v>0</v>
      </c>
      <c r="I24" s="180">
        <f>IFERROR(__xludf.DUMMYFUNCTION("""COMPUTED_VALUE"""),45660.0)</f>
        <v>45660</v>
      </c>
      <c r="J24" s="179">
        <f>IFERROR(__xludf.DUMMYFUNCTION("""COMPUTED_VALUE"""),0.0)</f>
        <v>0</v>
      </c>
      <c r="K24" s="180">
        <f>IFERROR(__xludf.DUMMYFUNCTION("""COMPUTED_VALUE"""),45810.0)</f>
        <v>45810</v>
      </c>
      <c r="L24" s="179">
        <f>IFERROR(__xludf.DUMMYFUNCTION("""COMPUTED_VALUE"""),0.0)</f>
        <v>0</v>
      </c>
      <c r="M24" s="180">
        <f>IFERROR(__xludf.DUMMYFUNCTION("""COMPUTED_VALUE"""),45871.0)</f>
        <v>45871</v>
      </c>
      <c r="N24" s="179">
        <f>IFERROR(__xludf.DUMMYFUNCTION("""COMPUTED_VALUE"""),0.0)</f>
        <v>0</v>
      </c>
      <c r="O24" s="180">
        <f>IFERROR(__xludf.DUMMYFUNCTION("""COMPUTED_VALUE"""),45718.0)</f>
        <v>45718</v>
      </c>
      <c r="P24" s="179">
        <f>IFERROR(__xludf.DUMMYFUNCTION("""COMPUTED_VALUE"""),0.0)</f>
        <v>0</v>
      </c>
      <c r="Q24" s="180">
        <f>IFERROR(__xludf.DUMMYFUNCTION("""COMPUTED_VALUE"""),45749.0)</f>
        <v>45749</v>
      </c>
      <c r="R24" s="179">
        <f>IFERROR(__xludf.DUMMYFUNCTION("""COMPUTED_VALUE"""),0.0)</f>
        <v>0</v>
      </c>
      <c r="S24" s="180">
        <f>IFERROR(__xludf.DUMMYFUNCTION("""COMPUTED_VALUE"""),45932.0)</f>
        <v>45932</v>
      </c>
      <c r="T24" s="179">
        <f>IFERROR(__xludf.DUMMYFUNCTION("""COMPUTED_VALUE"""),0.0)</f>
        <v>0</v>
      </c>
      <c r="U24" s="180">
        <f>IFERROR(__xludf.DUMMYFUNCTION("""COMPUTED_VALUE"""),45718.0)</f>
        <v>45718</v>
      </c>
      <c r="V24" s="181">
        <f>IFERROR(__xludf.DUMMYFUNCTION("""COMPUTED_VALUE"""),0.0)</f>
        <v>0</v>
      </c>
      <c r="W24" s="178">
        <f>IFERROR(__xludf.DUMMYFUNCTION("""COMPUTED_VALUE"""),45870.0)</f>
        <v>45870</v>
      </c>
      <c r="X24" s="179">
        <f>IFERROR(__xludf.DUMMYFUNCTION("""COMPUTED_VALUE"""),0.0)</f>
        <v>0</v>
      </c>
      <c r="Y24" s="180">
        <f>IFERROR(__xludf.DUMMYFUNCTION("""COMPUTED_VALUE"""),45809.0)</f>
        <v>45809</v>
      </c>
      <c r="Z24" s="179">
        <f>IFERROR(__xludf.DUMMYFUNCTION("""COMPUTED_VALUE"""),0.0)</f>
        <v>0</v>
      </c>
      <c r="AA24" s="180">
        <f>IFERROR(__xludf.DUMMYFUNCTION("""COMPUTED_VALUE"""),45718.0)</f>
        <v>45718</v>
      </c>
      <c r="AB24" s="179">
        <f>IFERROR(__xludf.DUMMYFUNCTION("""COMPUTED_VALUE"""),0.0)</f>
        <v>0</v>
      </c>
      <c r="AC24" s="180">
        <f>IFERROR(__xludf.DUMMYFUNCTION("""COMPUTED_VALUE"""),45748.0)</f>
        <v>45748</v>
      </c>
      <c r="AD24" s="179">
        <f>IFERROR(__xludf.DUMMYFUNCTION("""COMPUTED_VALUE"""),0.0)</f>
        <v>0</v>
      </c>
      <c r="AE24" s="180">
        <f>IFERROR(__xludf.DUMMYFUNCTION("""COMPUTED_VALUE"""),45717.0)</f>
        <v>45717</v>
      </c>
      <c r="AF24" s="179">
        <f>IFERROR(__xludf.DUMMYFUNCTION("""COMPUTED_VALUE"""),0.0)</f>
        <v>0</v>
      </c>
      <c r="AG24" s="180">
        <f>IFERROR(__xludf.DUMMYFUNCTION("""COMPUTED_VALUE"""),45870.0)</f>
        <v>45870</v>
      </c>
      <c r="AH24" s="179">
        <f>IFERROR(__xludf.DUMMYFUNCTION("""COMPUTED_VALUE"""),0.0)</f>
        <v>0</v>
      </c>
      <c r="AI24" s="180">
        <f>IFERROR(__xludf.DUMMYFUNCTION("""COMPUTED_VALUE"""),45748.0)</f>
        <v>45748</v>
      </c>
      <c r="AJ24" s="179">
        <f>IFERROR(__xludf.DUMMYFUNCTION("""COMPUTED_VALUE"""),0.0)</f>
        <v>0</v>
      </c>
      <c r="AK24" s="180">
        <f>IFERROR(__xludf.DUMMYFUNCTION("""COMPUTED_VALUE"""),45931.0)</f>
        <v>45931</v>
      </c>
      <c r="AL24" s="179">
        <f>IFERROR(__xludf.DUMMYFUNCTION("""COMPUTED_VALUE"""),0.0)</f>
        <v>0</v>
      </c>
      <c r="AM24" s="180">
        <f>IFERROR(__xludf.DUMMYFUNCTION("""COMPUTED_VALUE"""),45660.0)</f>
        <v>45660</v>
      </c>
      <c r="AN24" s="179">
        <f>IFERROR(__xludf.DUMMYFUNCTION("""COMPUTED_VALUE"""),0.0)</f>
        <v>0</v>
      </c>
      <c r="AO24" s="180">
        <f>IFERROR(__xludf.DUMMYFUNCTION("""COMPUTED_VALUE"""),45748.0)</f>
        <v>45748</v>
      </c>
      <c r="AP24" s="181">
        <f>IFERROR(__xludf.DUMMYFUNCTION("""COMPUTED_VALUE"""),0.0)</f>
        <v>0</v>
      </c>
      <c r="AQ24" s="178">
        <f>IFERROR(__xludf.DUMMYFUNCTION("""COMPUTED_VALUE"""),45901.0)</f>
        <v>45901</v>
      </c>
      <c r="AR24" s="179">
        <f>IFERROR(__xludf.DUMMYFUNCTION("""COMPUTED_VALUE"""),0.0)</f>
        <v>0</v>
      </c>
      <c r="AS24" s="180">
        <f>IFERROR(__xludf.DUMMYFUNCTION("""COMPUTED_VALUE"""),45659.0)</f>
        <v>45659</v>
      </c>
      <c r="AT24" s="179">
        <f>IFERROR(__xludf.DUMMYFUNCTION("""COMPUTED_VALUE"""),0.0)</f>
        <v>0</v>
      </c>
      <c r="AU24" s="180">
        <f>IFERROR(__xludf.DUMMYFUNCTION("""COMPUTED_VALUE"""),45931.0)</f>
        <v>45931</v>
      </c>
      <c r="AV24" s="179">
        <f>IFERROR(__xludf.DUMMYFUNCTION("""COMPUTED_VALUE"""),0.0)</f>
        <v>0</v>
      </c>
      <c r="AW24" s="180">
        <f>IFERROR(__xludf.DUMMYFUNCTION("""COMPUTED_VALUE"""),45931.0)</f>
        <v>45931</v>
      </c>
      <c r="AX24" s="179">
        <f>IFERROR(__xludf.DUMMYFUNCTION("""COMPUTED_VALUE"""),0.0)</f>
        <v>0</v>
      </c>
      <c r="AY24" s="180">
        <f>IFERROR(__xludf.DUMMYFUNCTION("""COMPUTED_VALUE"""),45870.0)</f>
        <v>45870</v>
      </c>
      <c r="AZ24" s="179">
        <f>IFERROR(__xludf.DUMMYFUNCTION("""COMPUTED_VALUE"""),0.0)</f>
        <v>0</v>
      </c>
      <c r="BA24" s="180">
        <f>IFERROR(__xludf.DUMMYFUNCTION("""COMPUTED_VALUE"""),45901.0)</f>
        <v>45901</v>
      </c>
      <c r="BB24" s="179">
        <f>IFERROR(__xludf.DUMMYFUNCTION("""COMPUTED_VALUE"""),0.0)</f>
        <v>0</v>
      </c>
      <c r="BC24" s="180">
        <f>IFERROR(__xludf.DUMMYFUNCTION("""COMPUTED_VALUE"""),45901.0)</f>
        <v>45901</v>
      </c>
      <c r="BD24" s="179">
        <f>IFERROR(__xludf.DUMMYFUNCTION("""COMPUTED_VALUE"""),0.0)</f>
        <v>0</v>
      </c>
      <c r="BE24" s="180">
        <f>IFERROR(__xludf.DUMMYFUNCTION("""COMPUTED_VALUE"""),45718.0)</f>
        <v>45718</v>
      </c>
      <c r="BF24" s="179">
        <f>IFERROR(__xludf.DUMMYFUNCTION("""COMPUTED_VALUE"""),0.0)</f>
        <v>0</v>
      </c>
      <c r="BG24" s="180">
        <f>IFERROR(__xludf.DUMMYFUNCTION("""COMPUTED_VALUE"""),45931.0)</f>
        <v>45931</v>
      </c>
      <c r="BH24" s="179">
        <f>IFERROR(__xludf.DUMMYFUNCTION("""COMPUTED_VALUE"""),0.0)</f>
        <v>0</v>
      </c>
      <c r="BI24" s="180">
        <f>IFERROR(__xludf.DUMMYFUNCTION("""COMPUTED_VALUE"""),45839.0)</f>
        <v>45839</v>
      </c>
      <c r="BJ24" s="179">
        <f>IFERROR(__xludf.DUMMYFUNCTION("""COMPUTED_VALUE"""),0.0)</f>
        <v>0</v>
      </c>
      <c r="BK24" s="182">
        <f>IFERROR(__xludf.DUMMYFUNCTION("""COMPUTED_VALUE"""),45659.0)</f>
        <v>45659</v>
      </c>
      <c r="BL24" s="179">
        <f>IFERROR(__xludf.DUMMYFUNCTION("""COMPUTED_VALUE"""),0.0)</f>
        <v>0</v>
      </c>
      <c r="BM24" s="180">
        <f>IFERROR(__xludf.DUMMYFUNCTION("""COMPUTED_VALUE"""),45839.0)</f>
        <v>45839</v>
      </c>
      <c r="BN24" s="179">
        <f>IFERROR(__xludf.DUMMYFUNCTION("""COMPUTED_VALUE"""),0.0)</f>
        <v>0</v>
      </c>
      <c r="BO24" s="180">
        <f>IFERROR(__xludf.DUMMYFUNCTION("""COMPUTED_VALUE"""),45809.0)</f>
        <v>45809</v>
      </c>
      <c r="BP24" s="179">
        <f>IFERROR(__xludf.DUMMYFUNCTION("""COMPUTED_VALUE"""),0.0)</f>
        <v>0</v>
      </c>
      <c r="BQ24" s="180">
        <f>IFERROR(__xludf.DUMMYFUNCTION("""COMPUTED_VALUE"""),45659.0)</f>
        <v>45659</v>
      </c>
      <c r="BR24" s="179">
        <f>IFERROR(__xludf.DUMMYFUNCTION("""COMPUTED_VALUE"""),0.0)</f>
        <v>0</v>
      </c>
      <c r="BS24" s="180">
        <f>IFERROR(__xludf.DUMMYFUNCTION("""COMPUTED_VALUE"""),45718.0)</f>
        <v>45718</v>
      </c>
      <c r="BT24" s="179">
        <f>IFERROR(__xludf.DUMMYFUNCTION("""COMPUTED_VALUE"""),0.0)</f>
        <v>0</v>
      </c>
      <c r="BU24" s="180">
        <f>IFERROR(__xludf.DUMMYFUNCTION("""COMPUTED_VALUE"""),45690.0)</f>
        <v>45690</v>
      </c>
      <c r="BV24" s="179">
        <f>IFERROR(__xludf.DUMMYFUNCTION("""COMPUTED_VALUE"""),0.0)</f>
        <v>0</v>
      </c>
      <c r="BW24" s="180">
        <f>IFERROR(__xludf.DUMMYFUNCTION("""COMPUTED_VALUE"""),45778.0)</f>
        <v>45778</v>
      </c>
      <c r="BX24" s="179">
        <f>IFERROR(__xludf.DUMMYFUNCTION("""COMPUTED_VALUE"""),0.0)</f>
        <v>0</v>
      </c>
      <c r="BY24" s="180">
        <f>IFERROR(__xludf.DUMMYFUNCTION("""COMPUTED_VALUE"""),45659.0)</f>
        <v>45659</v>
      </c>
      <c r="BZ24" s="179">
        <f>IFERROR(__xludf.DUMMYFUNCTION("""COMPUTED_VALUE"""),0.0)</f>
        <v>0</v>
      </c>
      <c r="CA24" s="180">
        <f>IFERROR(__xludf.DUMMYFUNCTION("""COMPUTED_VALUE"""),45901.0)</f>
        <v>45901</v>
      </c>
      <c r="CB24" s="179">
        <f>IFERROR(__xludf.DUMMYFUNCTION("""COMPUTED_VALUE"""),0.0)</f>
        <v>0</v>
      </c>
      <c r="CC24" s="180">
        <f>IFERROR(__xludf.DUMMYFUNCTION("""COMPUTED_VALUE"""),45931.0)</f>
        <v>45931</v>
      </c>
      <c r="CD24" s="179">
        <f>IFERROR(__xludf.DUMMYFUNCTION("""COMPUTED_VALUE"""),0.0)</f>
        <v>0</v>
      </c>
      <c r="CE24" s="182">
        <f>IFERROR(__xludf.DUMMYFUNCTION("""COMPUTED_VALUE"""),45718.0)</f>
        <v>45718</v>
      </c>
      <c r="CF24" s="179">
        <f>IFERROR(__xludf.DUMMYFUNCTION("""COMPUTED_VALUE"""),0.0)</f>
        <v>0</v>
      </c>
      <c r="CG24" s="180">
        <f>IFERROR(__xludf.DUMMYFUNCTION("""COMPUTED_VALUE"""),45839.0)</f>
        <v>45839</v>
      </c>
      <c r="CH24" s="179">
        <f>IFERROR(__xludf.DUMMYFUNCTION("""COMPUTED_VALUE"""),0.0)</f>
        <v>0</v>
      </c>
      <c r="CI24" s="180">
        <f>IFERROR(__xludf.DUMMYFUNCTION("""COMPUTED_VALUE"""),45870.0)</f>
        <v>45870</v>
      </c>
      <c r="CJ24" s="179">
        <f>IFERROR(__xludf.DUMMYFUNCTION("""COMPUTED_VALUE"""),0.0)</f>
        <v>0</v>
      </c>
      <c r="CK24" s="180">
        <f>IFERROR(__xludf.DUMMYFUNCTION("""COMPUTED_VALUE"""),45901.0)</f>
        <v>45901</v>
      </c>
      <c r="CL24" s="179">
        <f>IFERROR(__xludf.DUMMYFUNCTION("""COMPUTED_VALUE"""),0.0)</f>
        <v>0</v>
      </c>
      <c r="CM24" s="180">
        <f>IFERROR(__xludf.DUMMYFUNCTION("""COMPUTED_VALUE"""),45870.0)</f>
        <v>45870</v>
      </c>
      <c r="CN24" s="179">
        <f>IFERROR(__xludf.DUMMYFUNCTION("""COMPUTED_VALUE"""),0.0)</f>
        <v>0</v>
      </c>
      <c r="CO24" s="180">
        <f>IFERROR(__xludf.DUMMYFUNCTION("""COMPUTED_VALUE"""),45839.0)</f>
        <v>45839</v>
      </c>
      <c r="CP24" s="179">
        <f>IFERROR(__xludf.DUMMYFUNCTION("""COMPUTED_VALUE"""),0.0)</f>
        <v>0</v>
      </c>
      <c r="CQ24" s="180">
        <f>IFERROR(__xludf.DUMMYFUNCTION("""COMPUTED_VALUE"""),45726.0)</f>
        <v>45726</v>
      </c>
      <c r="CR24" s="179">
        <f>IFERROR(__xludf.DUMMYFUNCTION("""COMPUTED_VALUE"""),0.125)</f>
        <v>0.125</v>
      </c>
      <c r="CS24" s="180">
        <f>IFERROR(__xludf.DUMMYFUNCTION("""COMPUTED_VALUE"""),45659.0)</f>
        <v>45659</v>
      </c>
      <c r="CT24" s="179">
        <f>IFERROR(__xludf.DUMMYFUNCTION("""COMPUTED_VALUE"""),0.0)</f>
        <v>0</v>
      </c>
      <c r="CU24" s="180">
        <f>IFERROR(__xludf.DUMMYFUNCTION("""COMPUTED_VALUE"""),45718.0)</f>
        <v>45718</v>
      </c>
      <c r="CV24" s="179">
        <f>IFERROR(__xludf.DUMMYFUNCTION("""COMPUTED_VALUE"""),0.0)</f>
        <v>0</v>
      </c>
      <c r="CW24" s="180">
        <f>IFERROR(__xludf.DUMMYFUNCTION("""COMPUTED_VALUE"""),45717.0)</f>
        <v>45717</v>
      </c>
      <c r="CX24" s="179">
        <f>IFERROR(__xludf.DUMMYFUNCTION("""COMPUTED_VALUE"""),0.0)</f>
        <v>0</v>
      </c>
      <c r="CY24" s="182">
        <f>IFERROR(__xludf.DUMMYFUNCTION("""COMPUTED_VALUE"""),45690.0)</f>
        <v>45690</v>
      </c>
      <c r="CZ24" s="179">
        <f>IFERROR(__xludf.DUMMYFUNCTION("""COMPUTED_VALUE"""),0.0)</f>
        <v>0</v>
      </c>
      <c r="DA24" s="180">
        <f>IFERROR(__xludf.DUMMYFUNCTION("""COMPUTED_VALUE"""),45690.0)</f>
        <v>45690</v>
      </c>
      <c r="DB24" s="179">
        <f>IFERROR(__xludf.DUMMYFUNCTION("""COMPUTED_VALUE"""),0.0)</f>
        <v>0</v>
      </c>
      <c r="DC24" s="180">
        <f>IFERROR(__xludf.DUMMYFUNCTION("""COMPUTED_VALUE"""),45901.0)</f>
        <v>45901</v>
      </c>
      <c r="DD24" s="179">
        <f>IFERROR(__xludf.DUMMYFUNCTION("""COMPUTED_VALUE"""),0.0)</f>
        <v>0</v>
      </c>
      <c r="DE24" s="180">
        <f>IFERROR(__xludf.DUMMYFUNCTION("""COMPUTED_VALUE"""),45931.0)</f>
        <v>45931</v>
      </c>
      <c r="DF24" s="179">
        <f>IFERROR(__xludf.DUMMYFUNCTION("""COMPUTED_VALUE"""),0.0)</f>
        <v>0</v>
      </c>
      <c r="DG24" s="180">
        <f>IFERROR(__xludf.DUMMYFUNCTION("""COMPUTED_VALUE"""),45718.0)</f>
        <v>45718</v>
      </c>
      <c r="DH24" s="179">
        <f>IFERROR(__xludf.DUMMYFUNCTION("""COMPUTED_VALUE"""),0.0)</f>
        <v>0</v>
      </c>
      <c r="DI24" s="180">
        <f>IFERROR(__xludf.DUMMYFUNCTION("""COMPUTED_VALUE"""),45718.0)</f>
        <v>45718</v>
      </c>
      <c r="DJ24" s="179">
        <f>IFERROR(__xludf.DUMMYFUNCTION("""COMPUTED_VALUE"""),0.0)</f>
        <v>0</v>
      </c>
      <c r="DK24" s="180">
        <f>IFERROR(__xludf.DUMMYFUNCTION("""COMPUTED_VALUE"""),45659.0)</f>
        <v>45659</v>
      </c>
      <c r="DL24" s="179">
        <f>IFERROR(__xludf.DUMMYFUNCTION("""COMPUTED_VALUE"""),0.0)</f>
        <v>0</v>
      </c>
      <c r="DM24" s="180">
        <f>IFERROR(__xludf.DUMMYFUNCTION("""COMPUTED_VALUE"""),45659.0)</f>
        <v>45659</v>
      </c>
      <c r="DN24" s="179">
        <f>IFERROR(__xludf.DUMMYFUNCTION("""COMPUTED_VALUE"""),0.0)</f>
        <v>0</v>
      </c>
      <c r="DO24" s="180">
        <f>IFERROR(__xludf.DUMMYFUNCTION("""COMPUTED_VALUE"""),45659.0)</f>
        <v>45659</v>
      </c>
      <c r="DP24" s="179">
        <f>IFERROR(__xludf.DUMMYFUNCTION("""COMPUTED_VALUE"""),0.0)</f>
        <v>0</v>
      </c>
      <c r="DQ24" s="180">
        <f>IFERROR(__xludf.DUMMYFUNCTION("""COMPUTED_VALUE"""),45717.0)</f>
        <v>45717</v>
      </c>
      <c r="DR24" s="179">
        <f>IFERROR(__xludf.DUMMYFUNCTION("""COMPUTED_VALUE"""),0.0)</f>
        <v>0</v>
      </c>
      <c r="DS24" s="182">
        <f>IFERROR(__xludf.DUMMYFUNCTION("""COMPUTED_VALUE"""),45690.0)</f>
        <v>45690</v>
      </c>
      <c r="DT24" s="179">
        <f>IFERROR(__xludf.DUMMYFUNCTION("""COMPUTED_VALUE"""),0.0)</f>
        <v>0</v>
      </c>
      <c r="DU24" s="180">
        <f>IFERROR(__xludf.DUMMYFUNCTION("""COMPUTED_VALUE"""),45659.0)</f>
        <v>45659</v>
      </c>
      <c r="DV24" s="179">
        <f>IFERROR(__xludf.DUMMYFUNCTION("""COMPUTED_VALUE"""),0.0)</f>
        <v>0</v>
      </c>
      <c r="DW24" s="180">
        <f>IFERROR(__xludf.DUMMYFUNCTION("""COMPUTED_VALUE"""),45659.0)</f>
        <v>45659</v>
      </c>
      <c r="DX24" s="179">
        <f>IFERROR(__xludf.DUMMYFUNCTION("""COMPUTED_VALUE"""),0.0)</f>
        <v>0</v>
      </c>
      <c r="DY24" s="180">
        <f>IFERROR(__xludf.DUMMYFUNCTION("""COMPUTED_VALUE"""),45690.0)</f>
        <v>45690</v>
      </c>
      <c r="DZ24" s="179">
        <f>IFERROR(__xludf.DUMMYFUNCTION("""COMPUTED_VALUE"""),0.0)</f>
        <v>0</v>
      </c>
      <c r="EA24" s="180">
        <f>IFERROR(__xludf.DUMMYFUNCTION("""COMPUTED_VALUE"""),45718.0)</f>
        <v>45718</v>
      </c>
      <c r="EB24" s="179">
        <f>IFERROR(__xludf.DUMMYFUNCTION("""COMPUTED_VALUE"""),0.0)</f>
        <v>0</v>
      </c>
      <c r="EC24" s="180">
        <f>IFERROR(__xludf.DUMMYFUNCTION("""COMPUTED_VALUE"""),45690.0)</f>
        <v>45690</v>
      </c>
      <c r="ED24" s="179">
        <f>IFERROR(__xludf.DUMMYFUNCTION("""COMPUTED_VALUE"""),0.0)</f>
        <v>0</v>
      </c>
      <c r="EE24" s="180">
        <f>IFERROR(__xludf.DUMMYFUNCTION("""COMPUTED_VALUE"""),45901.0)</f>
        <v>45901</v>
      </c>
      <c r="EF24" s="179">
        <f>IFERROR(__xludf.DUMMYFUNCTION("""COMPUTED_VALUE"""),0.0)</f>
        <v>0</v>
      </c>
      <c r="EG24" s="180">
        <f>IFERROR(__xludf.DUMMYFUNCTION("""COMPUTED_VALUE"""),45690.0)</f>
        <v>45690</v>
      </c>
      <c r="EH24" s="179">
        <f>IFERROR(__xludf.DUMMYFUNCTION("""COMPUTED_VALUE"""),0.0)</f>
        <v>0</v>
      </c>
      <c r="EI24" s="180">
        <f>IFERROR(__xludf.DUMMYFUNCTION("""COMPUTED_VALUE"""),45690.0)</f>
        <v>45690</v>
      </c>
      <c r="EJ24" s="179">
        <f>IFERROR(__xludf.DUMMYFUNCTION("""COMPUTED_VALUE"""),0.0)</f>
        <v>0</v>
      </c>
      <c r="EK24" s="180">
        <f>IFERROR(__xludf.DUMMYFUNCTION("""COMPUTED_VALUE"""),45931.0)</f>
        <v>45931</v>
      </c>
      <c r="EL24" s="179">
        <f>IFERROR(__xludf.DUMMYFUNCTION("""COMPUTED_VALUE"""),0.0)</f>
        <v>0</v>
      </c>
      <c r="EM24" s="182">
        <f>IFERROR(__xludf.DUMMYFUNCTION("""COMPUTED_VALUE"""),45901.0)</f>
        <v>45901</v>
      </c>
      <c r="EN24" s="179">
        <f>IFERROR(__xludf.DUMMYFUNCTION("""COMPUTED_VALUE"""),0.0)</f>
        <v>0</v>
      </c>
      <c r="EO24" s="180">
        <f>IFERROR(__xludf.DUMMYFUNCTION("""COMPUTED_VALUE"""),45690.0)</f>
        <v>45690</v>
      </c>
      <c r="EP24" s="179">
        <f>IFERROR(__xludf.DUMMYFUNCTION("""COMPUTED_VALUE"""),0.0)</f>
        <v>0</v>
      </c>
      <c r="EQ24" s="180">
        <f>IFERROR(__xludf.DUMMYFUNCTION("""COMPUTED_VALUE"""),45839.0)</f>
        <v>45839</v>
      </c>
      <c r="ER24" s="179">
        <f>IFERROR(__xludf.DUMMYFUNCTION("""COMPUTED_VALUE"""),0.0)</f>
        <v>0</v>
      </c>
      <c r="ES24" s="180">
        <f>IFERROR(__xludf.DUMMYFUNCTION("""COMPUTED_VALUE"""),45718.0)</f>
        <v>45718</v>
      </c>
      <c r="ET24" s="179">
        <f>IFERROR(__xludf.DUMMYFUNCTION("""COMPUTED_VALUE"""),0.0)</f>
        <v>0</v>
      </c>
      <c r="EU24" s="180">
        <f>IFERROR(__xludf.DUMMYFUNCTION("""COMPUTED_VALUE"""),45690.0)</f>
        <v>45690</v>
      </c>
      <c r="EV24" s="179">
        <f>IFERROR(__xludf.DUMMYFUNCTION("""COMPUTED_VALUE"""),0.0)</f>
        <v>0</v>
      </c>
      <c r="EW24" s="180">
        <f>IFERROR(__xludf.DUMMYFUNCTION("""COMPUTED_VALUE"""),45718.0)</f>
        <v>45718</v>
      </c>
      <c r="EX24" s="179">
        <f>IFERROR(__xludf.DUMMYFUNCTION("""COMPUTED_VALUE"""),0.0)</f>
        <v>0</v>
      </c>
      <c r="EY24" s="180">
        <f>IFERROR(__xludf.DUMMYFUNCTION("""COMPUTED_VALUE"""),45718.0)</f>
        <v>45718</v>
      </c>
      <c r="EZ24" s="179">
        <f>IFERROR(__xludf.DUMMYFUNCTION("""COMPUTED_VALUE"""),0.0)</f>
        <v>0</v>
      </c>
      <c r="FA24" s="180">
        <f>IFERROR(__xludf.DUMMYFUNCTION("""COMPUTED_VALUE"""),45690.0)</f>
        <v>45690</v>
      </c>
      <c r="FB24" s="179">
        <f>IFERROR(__xludf.DUMMYFUNCTION("""COMPUTED_VALUE"""),0.0)</f>
        <v>0</v>
      </c>
      <c r="FC24" s="180">
        <f>IFERROR(__xludf.DUMMYFUNCTION("""COMPUTED_VALUE"""),45718.0)</f>
        <v>45718</v>
      </c>
      <c r="FD24" s="179">
        <f>IFERROR(__xludf.DUMMYFUNCTION("""COMPUTED_VALUE"""),0.0)</f>
        <v>0</v>
      </c>
      <c r="FE24" s="180">
        <f>IFERROR(__xludf.DUMMYFUNCTION("""COMPUTED_VALUE"""),45870.0)</f>
        <v>45870</v>
      </c>
      <c r="FF24" s="179">
        <f>IFERROR(__xludf.DUMMYFUNCTION("""COMPUTED_VALUE"""),0.0)</f>
        <v>0</v>
      </c>
      <c r="FG24" s="182">
        <f>IFERROR(__xludf.DUMMYFUNCTION("""COMPUTED_VALUE"""),45901.0)</f>
        <v>45901</v>
      </c>
      <c r="FH24" s="179">
        <f>IFERROR(__xludf.DUMMYFUNCTION("""COMPUTED_VALUE"""),0.0)</f>
        <v>0</v>
      </c>
      <c r="FI24" s="180">
        <f>IFERROR(__xludf.DUMMYFUNCTION("""COMPUTED_VALUE"""),45778.0)</f>
        <v>45778</v>
      </c>
      <c r="FJ24" s="179">
        <f>IFERROR(__xludf.DUMMYFUNCTION("""COMPUTED_VALUE"""),0.0)</f>
        <v>0</v>
      </c>
      <c r="FK24" s="180">
        <f>IFERROR(__xludf.DUMMYFUNCTION("""COMPUTED_VALUE"""),45778.0)</f>
        <v>45778</v>
      </c>
      <c r="FL24" s="179">
        <f>IFERROR(__xludf.DUMMYFUNCTION("""COMPUTED_VALUE"""),0.0)</f>
        <v>0</v>
      </c>
      <c r="FM24" s="180">
        <f>IFERROR(__xludf.DUMMYFUNCTION("""COMPUTED_VALUE"""),45839.0)</f>
        <v>45839</v>
      </c>
      <c r="FN24" s="179">
        <f>IFERROR(__xludf.DUMMYFUNCTION("""COMPUTED_VALUE"""),0.0)</f>
        <v>0</v>
      </c>
      <c r="FO24" s="180">
        <f>IFERROR(__xludf.DUMMYFUNCTION("""COMPUTED_VALUE"""),45901.0)</f>
        <v>45901</v>
      </c>
      <c r="FP24" s="179">
        <f>IFERROR(__xludf.DUMMYFUNCTION("""COMPUTED_VALUE"""),0.0)</f>
        <v>0</v>
      </c>
      <c r="FQ24" s="180">
        <f>IFERROR(__xludf.DUMMYFUNCTION("""COMPUTED_VALUE"""),45718.0)</f>
        <v>45718</v>
      </c>
      <c r="FR24" s="179">
        <f>IFERROR(__xludf.DUMMYFUNCTION("""COMPUTED_VALUE"""),0.0)</f>
        <v>0</v>
      </c>
      <c r="FS24" s="180">
        <f>IFERROR(__xludf.DUMMYFUNCTION("""COMPUTED_VALUE"""),45717.0)</f>
        <v>45717</v>
      </c>
      <c r="FT24" s="179">
        <f>IFERROR(__xludf.DUMMYFUNCTION("""COMPUTED_VALUE"""),0.0)</f>
        <v>0</v>
      </c>
      <c r="FU24" s="180">
        <f>IFERROR(__xludf.DUMMYFUNCTION("""COMPUTED_VALUE"""),45931.0)</f>
        <v>45931</v>
      </c>
      <c r="FV24" s="179">
        <f>IFERROR(__xludf.DUMMYFUNCTION("""COMPUTED_VALUE"""),0.0)</f>
        <v>0</v>
      </c>
      <c r="FW24" s="180">
        <f>IFERROR(__xludf.DUMMYFUNCTION("""COMPUTED_VALUE"""),45718.0)</f>
        <v>45718</v>
      </c>
      <c r="FX24" s="179">
        <f>IFERROR(__xludf.DUMMYFUNCTION("""COMPUTED_VALUE"""),0.0)</f>
        <v>0</v>
      </c>
      <c r="FY24" s="180">
        <f>IFERROR(__xludf.DUMMYFUNCTION("""COMPUTED_VALUE"""),45778.0)</f>
        <v>45778</v>
      </c>
      <c r="FZ24" s="179">
        <f>IFERROR(__xludf.DUMMYFUNCTION("""COMPUTED_VALUE"""),0.0)</f>
        <v>0</v>
      </c>
      <c r="GA24" s="182">
        <f>IFERROR(__xludf.DUMMYFUNCTION("""COMPUTED_VALUE"""),45718.0)</f>
        <v>45718</v>
      </c>
      <c r="GB24" s="179">
        <f>IFERROR(__xludf.DUMMYFUNCTION("""COMPUTED_VALUE"""),0.0)</f>
        <v>0</v>
      </c>
      <c r="GC24" s="180">
        <f>IFERROR(__xludf.DUMMYFUNCTION("""COMPUTED_VALUE"""),45931.0)</f>
        <v>45931</v>
      </c>
      <c r="GD24" s="179">
        <f>IFERROR(__xludf.DUMMYFUNCTION("""COMPUTED_VALUE"""),0.0)</f>
        <v>0</v>
      </c>
      <c r="GE24" s="180">
        <f>IFERROR(__xludf.DUMMYFUNCTION("""COMPUTED_VALUE"""),45931.0)</f>
        <v>45931</v>
      </c>
      <c r="GF24" s="179">
        <f>IFERROR(__xludf.DUMMYFUNCTION("""COMPUTED_VALUE"""),0.0)</f>
        <v>0</v>
      </c>
      <c r="GG24" s="180">
        <f>IFERROR(__xludf.DUMMYFUNCTION("""COMPUTED_VALUE"""),45931.0)</f>
        <v>45931</v>
      </c>
      <c r="GH24" s="179">
        <f>IFERROR(__xludf.DUMMYFUNCTION("""COMPUTED_VALUE"""),0.0)</f>
        <v>0</v>
      </c>
      <c r="GI24" s="180">
        <f>IFERROR(__xludf.DUMMYFUNCTION("""COMPUTED_VALUE"""),45718.0)</f>
        <v>45718</v>
      </c>
      <c r="GJ24" s="179">
        <f>IFERROR(__xludf.DUMMYFUNCTION("""COMPUTED_VALUE"""),0.0)</f>
        <v>0</v>
      </c>
      <c r="GK24" s="180">
        <f>IFERROR(__xludf.DUMMYFUNCTION("""COMPUTED_VALUE"""),45718.0)</f>
        <v>45718</v>
      </c>
      <c r="GL24" s="179">
        <f>IFERROR(__xludf.DUMMYFUNCTION("""COMPUTED_VALUE"""),0.0)</f>
        <v>0</v>
      </c>
      <c r="GM24" s="180">
        <f>IFERROR(__xludf.DUMMYFUNCTION("""COMPUTED_VALUE"""),45809.0)</f>
        <v>45809</v>
      </c>
      <c r="GN24" s="179">
        <f>IFERROR(__xludf.DUMMYFUNCTION("""COMPUTED_VALUE"""),0.0)</f>
        <v>0</v>
      </c>
      <c r="GO24" s="180">
        <f>IFERROR(__xludf.DUMMYFUNCTION("""COMPUTED_VALUE"""),45690.0)</f>
        <v>45690</v>
      </c>
      <c r="GP24" s="179">
        <f>IFERROR(__xludf.DUMMYFUNCTION("""COMPUTED_VALUE"""),0.0)</f>
        <v>0</v>
      </c>
      <c r="GQ24" s="180">
        <f>IFERROR(__xludf.DUMMYFUNCTION("""COMPUTED_VALUE"""),45870.0)</f>
        <v>45870</v>
      </c>
      <c r="GR24" s="179">
        <f>IFERROR(__xludf.DUMMYFUNCTION("""COMPUTED_VALUE"""),0.0)</f>
        <v>0</v>
      </c>
      <c r="GS24" s="180">
        <f>IFERROR(__xludf.DUMMYFUNCTION("""COMPUTED_VALUE"""),45809.0)</f>
        <v>45809</v>
      </c>
      <c r="GT24" s="179">
        <f>IFERROR(__xludf.DUMMYFUNCTION("""COMPUTED_VALUE"""),0.0)</f>
        <v>0</v>
      </c>
    </row>
    <row r="25" ht="31.5" customHeight="1">
      <c r="B25" s="183"/>
      <c r="C25" s="178">
        <f>IFERROR(__xludf.DUMMYFUNCTION("""COMPUTED_VALUE"""),45902.0)</f>
        <v>45902</v>
      </c>
      <c r="D25" s="179">
        <f>IFERROR(__xludf.DUMMYFUNCTION("""COMPUTED_VALUE"""),0.0)</f>
        <v>0</v>
      </c>
      <c r="E25" s="180">
        <f>IFERROR(__xludf.DUMMYFUNCTION("""COMPUTED_VALUE"""),45932.0)</f>
        <v>45932</v>
      </c>
      <c r="F25" s="179">
        <f>IFERROR(__xludf.DUMMYFUNCTION("""COMPUTED_VALUE"""),0.0)</f>
        <v>0</v>
      </c>
      <c r="G25" s="180">
        <f>IFERROR(__xludf.DUMMYFUNCTION("""COMPUTED_VALUE"""),45932.0)</f>
        <v>45932</v>
      </c>
      <c r="H25" s="179">
        <f>IFERROR(__xludf.DUMMYFUNCTION("""COMPUTED_VALUE"""),0.0)</f>
        <v>0</v>
      </c>
      <c r="I25" s="180">
        <f>IFERROR(__xludf.DUMMYFUNCTION("""COMPUTED_VALUE"""),45691.0)</f>
        <v>45691</v>
      </c>
      <c r="J25" s="179">
        <f>IFERROR(__xludf.DUMMYFUNCTION("""COMPUTED_VALUE"""),0.0)</f>
        <v>0</v>
      </c>
      <c r="K25" s="180">
        <f>IFERROR(__xludf.DUMMYFUNCTION("""COMPUTED_VALUE"""),45840.0)</f>
        <v>45840</v>
      </c>
      <c r="L25" s="179">
        <f>IFERROR(__xludf.DUMMYFUNCTION("""COMPUTED_VALUE"""),0.0)</f>
        <v>0</v>
      </c>
      <c r="M25" s="180">
        <f>IFERROR(__xludf.DUMMYFUNCTION("""COMPUTED_VALUE"""),45902.0)</f>
        <v>45902</v>
      </c>
      <c r="N25" s="179">
        <f>IFERROR(__xludf.DUMMYFUNCTION("""COMPUTED_VALUE"""),0.0)</f>
        <v>0</v>
      </c>
      <c r="O25" s="180">
        <f>IFERROR(__xludf.DUMMYFUNCTION("""COMPUTED_VALUE"""),45749.0)</f>
        <v>45749</v>
      </c>
      <c r="P25" s="179">
        <f>IFERROR(__xludf.DUMMYFUNCTION("""COMPUTED_VALUE"""),0.0)</f>
        <v>0</v>
      </c>
      <c r="Q25" s="180">
        <f>IFERROR(__xludf.DUMMYFUNCTION("""COMPUTED_VALUE"""),45779.0)</f>
        <v>45779</v>
      </c>
      <c r="R25" s="179">
        <f>IFERROR(__xludf.DUMMYFUNCTION("""COMPUTED_VALUE"""),0.0)</f>
        <v>0</v>
      </c>
      <c r="S25" s="180">
        <f>IFERROR(__xludf.DUMMYFUNCTION("""COMPUTED_VALUE"""),45660.0)</f>
        <v>45660</v>
      </c>
      <c r="T25" s="179">
        <f>IFERROR(__xludf.DUMMYFUNCTION("""COMPUTED_VALUE"""),0.0)</f>
        <v>0</v>
      </c>
      <c r="U25" s="180">
        <f>IFERROR(__xludf.DUMMYFUNCTION("""COMPUTED_VALUE"""),45749.0)</f>
        <v>45749</v>
      </c>
      <c r="V25" s="181">
        <f>IFERROR(__xludf.DUMMYFUNCTION("""COMPUTED_VALUE"""),0.0)</f>
        <v>0</v>
      </c>
      <c r="W25" s="178">
        <f>IFERROR(__xludf.DUMMYFUNCTION("""COMPUTED_VALUE"""),45901.0)</f>
        <v>45901</v>
      </c>
      <c r="X25" s="179">
        <f>IFERROR(__xludf.DUMMYFUNCTION("""COMPUTED_VALUE"""),0.0)</f>
        <v>0</v>
      </c>
      <c r="Y25" s="180">
        <f>IFERROR(__xludf.DUMMYFUNCTION("""COMPUTED_VALUE"""),45839.0)</f>
        <v>45839</v>
      </c>
      <c r="Z25" s="179">
        <f>IFERROR(__xludf.DUMMYFUNCTION("""COMPUTED_VALUE"""),0.0)</f>
        <v>0</v>
      </c>
      <c r="AA25" s="180">
        <f>IFERROR(__xludf.DUMMYFUNCTION("""COMPUTED_VALUE"""),45660.0)</f>
        <v>45660</v>
      </c>
      <c r="AB25" s="179">
        <f>IFERROR(__xludf.DUMMYFUNCTION("""COMPUTED_VALUE"""),0.0)</f>
        <v>0</v>
      </c>
      <c r="AC25" s="180">
        <f>IFERROR(__xludf.DUMMYFUNCTION("""COMPUTED_VALUE"""),45778.0)</f>
        <v>45778</v>
      </c>
      <c r="AD25" s="179">
        <f>IFERROR(__xludf.DUMMYFUNCTION("""COMPUTED_VALUE"""),0.0)</f>
        <v>0</v>
      </c>
      <c r="AE25" s="180">
        <f>IFERROR(__xludf.DUMMYFUNCTION("""COMPUTED_VALUE"""),45748.0)</f>
        <v>45748</v>
      </c>
      <c r="AF25" s="179">
        <f>IFERROR(__xludf.DUMMYFUNCTION("""COMPUTED_VALUE"""),0.0)</f>
        <v>0</v>
      </c>
      <c r="AG25" s="180">
        <f>IFERROR(__xludf.DUMMYFUNCTION("""COMPUTED_VALUE"""),45901.0)</f>
        <v>45901</v>
      </c>
      <c r="AH25" s="179">
        <f>IFERROR(__xludf.DUMMYFUNCTION("""COMPUTED_VALUE"""),0.0)</f>
        <v>0</v>
      </c>
      <c r="AI25" s="180">
        <f>IFERROR(__xludf.DUMMYFUNCTION("""COMPUTED_VALUE"""),45778.0)</f>
        <v>45778</v>
      </c>
      <c r="AJ25" s="179">
        <f>IFERROR(__xludf.DUMMYFUNCTION("""COMPUTED_VALUE"""),0.0)</f>
        <v>0</v>
      </c>
      <c r="AK25" s="180">
        <f>IFERROR(__xludf.DUMMYFUNCTION("""COMPUTED_VALUE"""),45871.0)</f>
        <v>45871</v>
      </c>
      <c r="AL25" s="179">
        <f>IFERROR(__xludf.DUMMYFUNCTION("""COMPUTED_VALUE"""),0.0)</f>
        <v>0</v>
      </c>
      <c r="AM25" s="180">
        <f>IFERROR(__xludf.DUMMYFUNCTION("""COMPUTED_VALUE"""),45691.0)</f>
        <v>45691</v>
      </c>
      <c r="AN25" s="179">
        <f>IFERROR(__xludf.DUMMYFUNCTION("""COMPUTED_VALUE"""),0.0)</f>
        <v>0</v>
      </c>
      <c r="AO25" s="180">
        <f>IFERROR(__xludf.DUMMYFUNCTION("""COMPUTED_VALUE"""),45778.0)</f>
        <v>45778</v>
      </c>
      <c r="AP25" s="181">
        <f>IFERROR(__xludf.DUMMYFUNCTION("""COMPUTED_VALUE"""),0.0)</f>
        <v>0</v>
      </c>
      <c r="AQ25" s="178">
        <f>IFERROR(__xludf.DUMMYFUNCTION("""COMPUTED_VALUE"""),45931.0)</f>
        <v>45931</v>
      </c>
      <c r="AR25" s="179">
        <f>IFERROR(__xludf.DUMMYFUNCTION("""COMPUTED_VALUE"""),0.0)</f>
        <v>0</v>
      </c>
      <c r="AS25" s="180">
        <f>IFERROR(__xludf.DUMMYFUNCTION("""COMPUTED_VALUE"""),45690.0)</f>
        <v>45690</v>
      </c>
      <c r="AT25" s="179">
        <f>IFERROR(__xludf.DUMMYFUNCTION("""COMPUTED_VALUE"""),0.0)</f>
        <v>0</v>
      </c>
      <c r="AU25" s="180">
        <f>IFERROR(__xludf.DUMMYFUNCTION("""COMPUTED_VALUE"""),45659.0)</f>
        <v>45659</v>
      </c>
      <c r="AV25" s="179">
        <f>IFERROR(__xludf.DUMMYFUNCTION("""COMPUTED_VALUE"""),0.0)</f>
        <v>0</v>
      </c>
      <c r="AW25" s="180">
        <f>IFERROR(__xludf.DUMMYFUNCTION("""COMPUTED_VALUE"""),45659.0)</f>
        <v>45659</v>
      </c>
      <c r="AX25" s="179">
        <f>IFERROR(__xludf.DUMMYFUNCTION("""COMPUTED_VALUE"""),0.0)</f>
        <v>0</v>
      </c>
      <c r="AY25" s="180">
        <f>IFERROR(__xludf.DUMMYFUNCTION("""COMPUTED_VALUE"""),45901.0)</f>
        <v>45901</v>
      </c>
      <c r="AZ25" s="179">
        <f>IFERROR(__xludf.DUMMYFUNCTION("""COMPUTED_VALUE"""),0.0)</f>
        <v>0</v>
      </c>
      <c r="BA25" s="180">
        <f>IFERROR(__xludf.DUMMYFUNCTION("""COMPUTED_VALUE"""),45931.0)</f>
        <v>45931</v>
      </c>
      <c r="BB25" s="179">
        <f>IFERROR(__xludf.DUMMYFUNCTION("""COMPUTED_VALUE"""),0.0)</f>
        <v>0</v>
      </c>
      <c r="BC25" s="180">
        <f>IFERROR(__xludf.DUMMYFUNCTION("""COMPUTED_VALUE"""),45931.0)</f>
        <v>45931</v>
      </c>
      <c r="BD25" s="179">
        <f>IFERROR(__xludf.DUMMYFUNCTION("""COMPUTED_VALUE"""),0.0)</f>
        <v>0</v>
      </c>
      <c r="BE25" s="180">
        <f>IFERROR(__xludf.DUMMYFUNCTION("""COMPUTED_VALUE"""),45749.0)</f>
        <v>45749</v>
      </c>
      <c r="BF25" s="179">
        <f>IFERROR(__xludf.DUMMYFUNCTION("""COMPUTED_VALUE"""),0.0)</f>
        <v>0</v>
      </c>
      <c r="BG25" s="180">
        <f>IFERROR(__xludf.DUMMYFUNCTION("""COMPUTED_VALUE"""),45659.0)</f>
        <v>45659</v>
      </c>
      <c r="BH25" s="179">
        <f>IFERROR(__xludf.DUMMYFUNCTION("""COMPUTED_VALUE"""),0.0)</f>
        <v>0</v>
      </c>
      <c r="BI25" s="180">
        <f>IFERROR(__xludf.DUMMYFUNCTION("""COMPUTED_VALUE"""),45870.0)</f>
        <v>45870</v>
      </c>
      <c r="BJ25" s="179">
        <f>IFERROR(__xludf.DUMMYFUNCTION("""COMPUTED_VALUE"""),0.0)</f>
        <v>0</v>
      </c>
      <c r="BK25" s="182">
        <f>IFERROR(__xludf.DUMMYFUNCTION("""COMPUTED_VALUE"""),45690.0)</f>
        <v>45690</v>
      </c>
      <c r="BL25" s="179">
        <f>IFERROR(__xludf.DUMMYFUNCTION("""COMPUTED_VALUE"""),0.0)</f>
        <v>0</v>
      </c>
      <c r="BM25" s="180">
        <f>IFERROR(__xludf.DUMMYFUNCTION("""COMPUTED_VALUE"""),45870.0)</f>
        <v>45870</v>
      </c>
      <c r="BN25" s="179">
        <f>IFERROR(__xludf.DUMMYFUNCTION("""COMPUTED_VALUE"""),0.0)</f>
        <v>0</v>
      </c>
      <c r="BO25" s="180">
        <f>IFERROR(__xludf.DUMMYFUNCTION("""COMPUTED_VALUE"""),45839.0)</f>
        <v>45839</v>
      </c>
      <c r="BP25" s="179">
        <f>IFERROR(__xludf.DUMMYFUNCTION("""COMPUTED_VALUE"""),0.0)</f>
        <v>0</v>
      </c>
      <c r="BQ25" s="180">
        <f>IFERROR(__xludf.DUMMYFUNCTION("""COMPUTED_VALUE"""),45690.0)</f>
        <v>45690</v>
      </c>
      <c r="BR25" s="179">
        <f>IFERROR(__xludf.DUMMYFUNCTION("""COMPUTED_VALUE"""),0.0)</f>
        <v>0</v>
      </c>
      <c r="BS25" s="180">
        <f>IFERROR(__xludf.DUMMYFUNCTION("""COMPUTED_VALUE"""),45749.0)</f>
        <v>45749</v>
      </c>
      <c r="BT25" s="179">
        <f>IFERROR(__xludf.DUMMYFUNCTION("""COMPUTED_VALUE"""),0.0)</f>
        <v>0</v>
      </c>
      <c r="BU25" s="180">
        <f>IFERROR(__xludf.DUMMYFUNCTION("""COMPUTED_VALUE"""),45718.0)</f>
        <v>45718</v>
      </c>
      <c r="BV25" s="179">
        <f>IFERROR(__xludf.DUMMYFUNCTION("""COMPUTED_VALUE"""),0.0)</f>
        <v>0</v>
      </c>
      <c r="BW25" s="180">
        <f>IFERROR(__xludf.DUMMYFUNCTION("""COMPUTED_VALUE"""),45809.0)</f>
        <v>45809</v>
      </c>
      <c r="BX25" s="179">
        <f>IFERROR(__xludf.DUMMYFUNCTION("""COMPUTED_VALUE"""),0.0)</f>
        <v>0</v>
      </c>
      <c r="BY25" s="180">
        <f>IFERROR(__xludf.DUMMYFUNCTION("""COMPUTED_VALUE"""),45690.0)</f>
        <v>45690</v>
      </c>
      <c r="BZ25" s="179">
        <f>IFERROR(__xludf.DUMMYFUNCTION("""COMPUTED_VALUE"""),0.0)</f>
        <v>0</v>
      </c>
      <c r="CA25" s="180">
        <f>IFERROR(__xludf.DUMMYFUNCTION("""COMPUTED_VALUE"""),45931.0)</f>
        <v>45931</v>
      </c>
      <c r="CB25" s="179">
        <f>IFERROR(__xludf.DUMMYFUNCTION("""COMPUTED_VALUE"""),0.0)</f>
        <v>0</v>
      </c>
      <c r="CC25" s="180">
        <f>IFERROR(__xludf.DUMMYFUNCTION("""COMPUTED_VALUE"""),45659.0)</f>
        <v>45659</v>
      </c>
      <c r="CD25" s="179">
        <f>IFERROR(__xludf.DUMMYFUNCTION("""COMPUTED_VALUE"""),0.0)</f>
        <v>0</v>
      </c>
      <c r="CE25" s="182">
        <f>IFERROR(__xludf.DUMMYFUNCTION("""COMPUTED_VALUE"""),45749.0)</f>
        <v>45749</v>
      </c>
      <c r="CF25" s="179">
        <f>IFERROR(__xludf.DUMMYFUNCTION("""COMPUTED_VALUE"""),0.0)</f>
        <v>0</v>
      </c>
      <c r="CG25" s="180">
        <f>IFERROR(__xludf.DUMMYFUNCTION("""COMPUTED_VALUE"""),45870.0)</f>
        <v>45870</v>
      </c>
      <c r="CH25" s="179">
        <f>IFERROR(__xludf.DUMMYFUNCTION("""COMPUTED_VALUE"""),0.0)</f>
        <v>0</v>
      </c>
      <c r="CI25" s="180">
        <f>IFERROR(__xludf.DUMMYFUNCTION("""COMPUTED_VALUE"""),45901.0)</f>
        <v>45901</v>
      </c>
      <c r="CJ25" s="179">
        <f>IFERROR(__xludf.DUMMYFUNCTION("""COMPUTED_VALUE"""),0.0)</f>
        <v>0</v>
      </c>
      <c r="CK25" s="180">
        <f>IFERROR(__xludf.DUMMYFUNCTION("""COMPUTED_VALUE"""),45931.0)</f>
        <v>45931</v>
      </c>
      <c r="CL25" s="179">
        <f>IFERROR(__xludf.DUMMYFUNCTION("""COMPUTED_VALUE"""),0.0)</f>
        <v>0</v>
      </c>
      <c r="CM25" s="180">
        <f>IFERROR(__xludf.DUMMYFUNCTION("""COMPUTED_VALUE"""),45901.0)</f>
        <v>45901</v>
      </c>
      <c r="CN25" s="179">
        <f>IFERROR(__xludf.DUMMYFUNCTION("""COMPUTED_VALUE"""),0.0)</f>
        <v>0</v>
      </c>
      <c r="CO25" s="180">
        <f>IFERROR(__xludf.DUMMYFUNCTION("""COMPUTED_VALUE"""),45870.0)</f>
        <v>45870</v>
      </c>
      <c r="CP25" s="179">
        <f>IFERROR(__xludf.DUMMYFUNCTION("""COMPUTED_VALUE"""),0.0)</f>
        <v>0</v>
      </c>
      <c r="CQ25" s="180">
        <f>IFERROR(__xludf.DUMMYFUNCTION("""COMPUTED_VALUE"""),45749.0)</f>
        <v>45749</v>
      </c>
      <c r="CR25" s="179">
        <f>IFERROR(__xludf.DUMMYFUNCTION("""COMPUTED_VALUE"""),0.1)</f>
        <v>0.1</v>
      </c>
      <c r="CS25" s="180">
        <f>IFERROR(__xludf.DUMMYFUNCTION("""COMPUTED_VALUE"""),45690.0)</f>
        <v>45690</v>
      </c>
      <c r="CT25" s="179">
        <f>IFERROR(__xludf.DUMMYFUNCTION("""COMPUTED_VALUE"""),0.0)</f>
        <v>0</v>
      </c>
      <c r="CU25" s="180">
        <f>IFERROR(__xludf.DUMMYFUNCTION("""COMPUTED_VALUE"""),45749.0)</f>
        <v>45749</v>
      </c>
      <c r="CV25" s="179">
        <f>IFERROR(__xludf.DUMMYFUNCTION("""COMPUTED_VALUE"""),0.0)</f>
        <v>0</v>
      </c>
      <c r="CW25" s="180">
        <f>IFERROR(__xludf.DUMMYFUNCTION("""COMPUTED_VALUE"""),45748.0)</f>
        <v>45748</v>
      </c>
      <c r="CX25" s="179">
        <f>IFERROR(__xludf.DUMMYFUNCTION("""COMPUTED_VALUE"""),0.0)</f>
        <v>0</v>
      </c>
      <c r="CY25" s="182">
        <f>IFERROR(__xludf.DUMMYFUNCTION("""COMPUTED_VALUE"""),45718.0)</f>
        <v>45718</v>
      </c>
      <c r="CZ25" s="179">
        <f>IFERROR(__xludf.DUMMYFUNCTION("""COMPUTED_VALUE"""),0.0)</f>
        <v>0</v>
      </c>
      <c r="DA25" s="180">
        <f>IFERROR(__xludf.DUMMYFUNCTION("""COMPUTED_VALUE"""),45718.0)</f>
        <v>45718</v>
      </c>
      <c r="DB25" s="179">
        <f>IFERROR(__xludf.DUMMYFUNCTION("""COMPUTED_VALUE"""),0.0)</f>
        <v>0</v>
      </c>
      <c r="DC25" s="180">
        <f>IFERROR(__xludf.DUMMYFUNCTION("""COMPUTED_VALUE"""),45931.0)</f>
        <v>45931</v>
      </c>
      <c r="DD25" s="179">
        <f>IFERROR(__xludf.DUMMYFUNCTION("""COMPUTED_VALUE"""),0.0)</f>
        <v>0</v>
      </c>
      <c r="DE25" s="180">
        <f>IFERROR(__xludf.DUMMYFUNCTION("""COMPUTED_VALUE"""),45659.0)</f>
        <v>45659</v>
      </c>
      <c r="DF25" s="179">
        <f>IFERROR(__xludf.DUMMYFUNCTION("""COMPUTED_VALUE"""),0.0)</f>
        <v>0</v>
      </c>
      <c r="DG25" s="180">
        <f>IFERROR(__xludf.DUMMYFUNCTION("""COMPUTED_VALUE"""),45749.0)</f>
        <v>45749</v>
      </c>
      <c r="DH25" s="179">
        <f>IFERROR(__xludf.DUMMYFUNCTION("""COMPUTED_VALUE"""),0.0)</f>
        <v>0</v>
      </c>
      <c r="DI25" s="180">
        <f>IFERROR(__xludf.DUMMYFUNCTION("""COMPUTED_VALUE"""),45749.0)</f>
        <v>45749</v>
      </c>
      <c r="DJ25" s="179">
        <f>IFERROR(__xludf.DUMMYFUNCTION("""COMPUTED_VALUE"""),0.0)</f>
        <v>0</v>
      </c>
      <c r="DK25" s="180">
        <f>IFERROR(__xludf.DUMMYFUNCTION("""COMPUTED_VALUE"""),45690.0)</f>
        <v>45690</v>
      </c>
      <c r="DL25" s="179">
        <f>IFERROR(__xludf.DUMMYFUNCTION("""COMPUTED_VALUE"""),0.0)</f>
        <v>0</v>
      </c>
      <c r="DM25" s="180">
        <f>IFERROR(__xludf.DUMMYFUNCTION("""COMPUTED_VALUE"""),45690.0)</f>
        <v>45690</v>
      </c>
      <c r="DN25" s="179">
        <f>IFERROR(__xludf.DUMMYFUNCTION("""COMPUTED_VALUE"""),0.0)</f>
        <v>0</v>
      </c>
      <c r="DO25" s="180">
        <f>IFERROR(__xludf.DUMMYFUNCTION("""COMPUTED_VALUE"""),45690.0)</f>
        <v>45690</v>
      </c>
      <c r="DP25" s="179">
        <f>IFERROR(__xludf.DUMMYFUNCTION("""COMPUTED_VALUE"""),0.0)</f>
        <v>0</v>
      </c>
      <c r="DQ25" s="180">
        <f>IFERROR(__xludf.DUMMYFUNCTION("""COMPUTED_VALUE"""),45748.0)</f>
        <v>45748</v>
      </c>
      <c r="DR25" s="179">
        <f>IFERROR(__xludf.DUMMYFUNCTION("""COMPUTED_VALUE"""),0.0)</f>
        <v>0</v>
      </c>
      <c r="DS25" s="182">
        <f>IFERROR(__xludf.DUMMYFUNCTION("""COMPUTED_VALUE"""),45718.0)</f>
        <v>45718</v>
      </c>
      <c r="DT25" s="179">
        <f>IFERROR(__xludf.DUMMYFUNCTION("""COMPUTED_VALUE"""),0.0)</f>
        <v>0</v>
      </c>
      <c r="DU25" s="180">
        <f>IFERROR(__xludf.DUMMYFUNCTION("""COMPUTED_VALUE"""),45690.0)</f>
        <v>45690</v>
      </c>
      <c r="DV25" s="179">
        <f>IFERROR(__xludf.DUMMYFUNCTION("""COMPUTED_VALUE"""),0.0)</f>
        <v>0</v>
      </c>
      <c r="DW25" s="180">
        <f>IFERROR(__xludf.DUMMYFUNCTION("""COMPUTED_VALUE"""),45690.0)</f>
        <v>45690</v>
      </c>
      <c r="DX25" s="179">
        <f>IFERROR(__xludf.DUMMYFUNCTION("""COMPUTED_VALUE"""),0.0)</f>
        <v>0</v>
      </c>
      <c r="DY25" s="180">
        <f>IFERROR(__xludf.DUMMYFUNCTION("""COMPUTED_VALUE"""),45718.0)</f>
        <v>45718</v>
      </c>
      <c r="DZ25" s="179">
        <f>IFERROR(__xludf.DUMMYFUNCTION("""COMPUTED_VALUE"""),0.0)</f>
        <v>0</v>
      </c>
      <c r="EA25" s="180">
        <f>IFERROR(__xludf.DUMMYFUNCTION("""COMPUTED_VALUE"""),45749.0)</f>
        <v>45749</v>
      </c>
      <c r="EB25" s="179">
        <f>IFERROR(__xludf.DUMMYFUNCTION("""COMPUTED_VALUE"""),0.0)</f>
        <v>0</v>
      </c>
      <c r="EC25" s="180">
        <f>IFERROR(__xludf.DUMMYFUNCTION("""COMPUTED_VALUE"""),45718.0)</f>
        <v>45718</v>
      </c>
      <c r="ED25" s="179">
        <f>IFERROR(__xludf.DUMMYFUNCTION("""COMPUTED_VALUE"""),0.0)</f>
        <v>0</v>
      </c>
      <c r="EE25" s="180">
        <f>IFERROR(__xludf.DUMMYFUNCTION("""COMPUTED_VALUE"""),45931.0)</f>
        <v>45931</v>
      </c>
      <c r="EF25" s="179">
        <f>IFERROR(__xludf.DUMMYFUNCTION("""COMPUTED_VALUE"""),0.0)</f>
        <v>0</v>
      </c>
      <c r="EG25" s="180">
        <f>IFERROR(__xludf.DUMMYFUNCTION("""COMPUTED_VALUE"""),45718.0)</f>
        <v>45718</v>
      </c>
      <c r="EH25" s="179">
        <f>IFERROR(__xludf.DUMMYFUNCTION("""COMPUTED_VALUE"""),0.0)</f>
        <v>0</v>
      </c>
      <c r="EI25" s="180">
        <f>IFERROR(__xludf.DUMMYFUNCTION("""COMPUTED_VALUE"""),45718.0)</f>
        <v>45718</v>
      </c>
      <c r="EJ25" s="179">
        <f>IFERROR(__xludf.DUMMYFUNCTION("""COMPUTED_VALUE"""),0.0)</f>
        <v>0</v>
      </c>
      <c r="EK25" s="180">
        <f>IFERROR(__xludf.DUMMYFUNCTION("""COMPUTED_VALUE"""),45659.0)</f>
        <v>45659</v>
      </c>
      <c r="EL25" s="179">
        <f>IFERROR(__xludf.DUMMYFUNCTION("""COMPUTED_VALUE"""),0.0)</f>
        <v>0</v>
      </c>
      <c r="EM25" s="182">
        <f>IFERROR(__xludf.DUMMYFUNCTION("""COMPUTED_VALUE"""),45931.0)</f>
        <v>45931</v>
      </c>
      <c r="EN25" s="179">
        <f>IFERROR(__xludf.DUMMYFUNCTION("""COMPUTED_VALUE"""),0.0)</f>
        <v>0</v>
      </c>
      <c r="EO25" s="180">
        <f>IFERROR(__xludf.DUMMYFUNCTION("""COMPUTED_VALUE"""),45718.0)</f>
        <v>45718</v>
      </c>
      <c r="EP25" s="179">
        <f>IFERROR(__xludf.DUMMYFUNCTION("""COMPUTED_VALUE"""),0.0)</f>
        <v>0</v>
      </c>
      <c r="EQ25" s="180">
        <f>IFERROR(__xludf.DUMMYFUNCTION("""COMPUTED_VALUE"""),45870.0)</f>
        <v>45870</v>
      </c>
      <c r="ER25" s="179">
        <f>IFERROR(__xludf.DUMMYFUNCTION("""COMPUTED_VALUE"""),0.0)</f>
        <v>0</v>
      </c>
      <c r="ES25" s="180">
        <f>IFERROR(__xludf.DUMMYFUNCTION("""COMPUTED_VALUE"""),45749.0)</f>
        <v>45749</v>
      </c>
      <c r="ET25" s="179">
        <f>IFERROR(__xludf.DUMMYFUNCTION("""COMPUTED_VALUE"""),0.0)</f>
        <v>0</v>
      </c>
      <c r="EU25" s="180">
        <f>IFERROR(__xludf.DUMMYFUNCTION("""COMPUTED_VALUE"""),45718.0)</f>
        <v>45718</v>
      </c>
      <c r="EV25" s="179">
        <f>IFERROR(__xludf.DUMMYFUNCTION("""COMPUTED_VALUE"""),0.0)</f>
        <v>0</v>
      </c>
      <c r="EW25" s="180">
        <f>IFERROR(__xludf.DUMMYFUNCTION("""COMPUTED_VALUE"""),45749.0)</f>
        <v>45749</v>
      </c>
      <c r="EX25" s="179">
        <f>IFERROR(__xludf.DUMMYFUNCTION("""COMPUTED_VALUE"""),0.0)</f>
        <v>0</v>
      </c>
      <c r="EY25" s="180">
        <f>IFERROR(__xludf.DUMMYFUNCTION("""COMPUTED_VALUE"""),45749.0)</f>
        <v>45749</v>
      </c>
      <c r="EZ25" s="179">
        <f>IFERROR(__xludf.DUMMYFUNCTION("""COMPUTED_VALUE"""),0.0)</f>
        <v>0</v>
      </c>
      <c r="FA25" s="180">
        <f>IFERROR(__xludf.DUMMYFUNCTION("""COMPUTED_VALUE"""),45718.0)</f>
        <v>45718</v>
      </c>
      <c r="FB25" s="179">
        <f>IFERROR(__xludf.DUMMYFUNCTION("""COMPUTED_VALUE"""),0.0)</f>
        <v>0</v>
      </c>
      <c r="FC25" s="180">
        <f>IFERROR(__xludf.DUMMYFUNCTION("""COMPUTED_VALUE"""),45749.0)</f>
        <v>45749</v>
      </c>
      <c r="FD25" s="179">
        <f>IFERROR(__xludf.DUMMYFUNCTION("""COMPUTED_VALUE"""),0.0)</f>
        <v>0</v>
      </c>
      <c r="FE25" s="180">
        <f>IFERROR(__xludf.DUMMYFUNCTION("""COMPUTED_VALUE"""),45901.0)</f>
        <v>45901</v>
      </c>
      <c r="FF25" s="179">
        <f>IFERROR(__xludf.DUMMYFUNCTION("""COMPUTED_VALUE"""),0.0)</f>
        <v>0</v>
      </c>
      <c r="FG25" s="182">
        <f>IFERROR(__xludf.DUMMYFUNCTION("""COMPUTED_VALUE"""),45931.0)</f>
        <v>45931</v>
      </c>
      <c r="FH25" s="179">
        <f>IFERROR(__xludf.DUMMYFUNCTION("""COMPUTED_VALUE"""),0.0)</f>
        <v>0</v>
      </c>
      <c r="FI25" s="180">
        <f>IFERROR(__xludf.DUMMYFUNCTION("""COMPUTED_VALUE"""),45809.0)</f>
        <v>45809</v>
      </c>
      <c r="FJ25" s="179">
        <f>IFERROR(__xludf.DUMMYFUNCTION("""COMPUTED_VALUE"""),0.0)</f>
        <v>0</v>
      </c>
      <c r="FK25" s="180">
        <f>IFERROR(__xludf.DUMMYFUNCTION("""COMPUTED_VALUE"""),45809.0)</f>
        <v>45809</v>
      </c>
      <c r="FL25" s="179">
        <f>IFERROR(__xludf.DUMMYFUNCTION("""COMPUTED_VALUE"""),0.0)</f>
        <v>0</v>
      </c>
      <c r="FM25" s="180">
        <f>IFERROR(__xludf.DUMMYFUNCTION("""COMPUTED_VALUE"""),45870.0)</f>
        <v>45870</v>
      </c>
      <c r="FN25" s="179">
        <f>IFERROR(__xludf.DUMMYFUNCTION("""COMPUTED_VALUE"""),0.0)</f>
        <v>0</v>
      </c>
      <c r="FO25" s="180">
        <f>IFERROR(__xludf.DUMMYFUNCTION("""COMPUTED_VALUE"""),45931.0)</f>
        <v>45931</v>
      </c>
      <c r="FP25" s="179">
        <f>IFERROR(__xludf.DUMMYFUNCTION("""COMPUTED_VALUE"""),0.0)</f>
        <v>0</v>
      </c>
      <c r="FQ25" s="180">
        <f>IFERROR(__xludf.DUMMYFUNCTION("""COMPUTED_VALUE"""),45749.0)</f>
        <v>45749</v>
      </c>
      <c r="FR25" s="179">
        <f>IFERROR(__xludf.DUMMYFUNCTION("""COMPUTED_VALUE"""),0.0)</f>
        <v>0</v>
      </c>
      <c r="FS25" s="180">
        <f>IFERROR(__xludf.DUMMYFUNCTION("""COMPUTED_VALUE"""),45748.0)</f>
        <v>45748</v>
      </c>
      <c r="FT25" s="179">
        <f>IFERROR(__xludf.DUMMYFUNCTION("""COMPUTED_VALUE"""),0.0)</f>
        <v>0</v>
      </c>
      <c r="FU25" s="180">
        <f>IFERROR(__xludf.DUMMYFUNCTION("""COMPUTED_VALUE"""),45659.0)</f>
        <v>45659</v>
      </c>
      <c r="FV25" s="179">
        <f>IFERROR(__xludf.DUMMYFUNCTION("""COMPUTED_VALUE"""),0.0)</f>
        <v>0</v>
      </c>
      <c r="FW25" s="180">
        <f>IFERROR(__xludf.DUMMYFUNCTION("""COMPUTED_VALUE"""),45749.0)</f>
        <v>45749</v>
      </c>
      <c r="FX25" s="179">
        <f>IFERROR(__xludf.DUMMYFUNCTION("""COMPUTED_VALUE"""),0.0)</f>
        <v>0</v>
      </c>
      <c r="FY25" s="180">
        <f>IFERROR(__xludf.DUMMYFUNCTION("""COMPUTED_VALUE"""),45809.0)</f>
        <v>45809</v>
      </c>
      <c r="FZ25" s="179">
        <f>IFERROR(__xludf.DUMMYFUNCTION("""COMPUTED_VALUE"""),0.0)</f>
        <v>0</v>
      </c>
      <c r="GA25" s="182">
        <f>IFERROR(__xludf.DUMMYFUNCTION("""COMPUTED_VALUE"""),45749.0)</f>
        <v>45749</v>
      </c>
      <c r="GB25" s="179">
        <f>IFERROR(__xludf.DUMMYFUNCTION("""COMPUTED_VALUE"""),0.0)</f>
        <v>0</v>
      </c>
      <c r="GC25" s="180">
        <f>IFERROR(__xludf.DUMMYFUNCTION("""COMPUTED_VALUE"""),45659.0)</f>
        <v>45659</v>
      </c>
      <c r="GD25" s="179">
        <f>IFERROR(__xludf.DUMMYFUNCTION("""COMPUTED_VALUE"""),0.0)</f>
        <v>0</v>
      </c>
      <c r="GE25" s="180">
        <f>IFERROR(__xludf.DUMMYFUNCTION("""COMPUTED_VALUE"""),45659.0)</f>
        <v>45659</v>
      </c>
      <c r="GF25" s="179">
        <f>IFERROR(__xludf.DUMMYFUNCTION("""COMPUTED_VALUE"""),0.0)</f>
        <v>0</v>
      </c>
      <c r="GG25" s="180">
        <f>IFERROR(__xludf.DUMMYFUNCTION("""COMPUTED_VALUE"""),45659.0)</f>
        <v>45659</v>
      </c>
      <c r="GH25" s="179">
        <f>IFERROR(__xludf.DUMMYFUNCTION("""COMPUTED_VALUE"""),0.0)</f>
        <v>0</v>
      </c>
      <c r="GI25" s="180">
        <f>IFERROR(__xludf.DUMMYFUNCTION("""COMPUTED_VALUE"""),45749.0)</f>
        <v>45749</v>
      </c>
      <c r="GJ25" s="179">
        <f>IFERROR(__xludf.DUMMYFUNCTION("""COMPUTED_VALUE"""),0.0)</f>
        <v>0</v>
      </c>
      <c r="GK25" s="180">
        <f>IFERROR(__xludf.DUMMYFUNCTION("""COMPUTED_VALUE"""),45749.0)</f>
        <v>45749</v>
      </c>
      <c r="GL25" s="179">
        <f>IFERROR(__xludf.DUMMYFUNCTION("""COMPUTED_VALUE"""),0.0)</f>
        <v>0</v>
      </c>
      <c r="GM25" s="180">
        <f>IFERROR(__xludf.DUMMYFUNCTION("""COMPUTED_VALUE"""),45839.0)</f>
        <v>45839</v>
      </c>
      <c r="GN25" s="179">
        <f>IFERROR(__xludf.DUMMYFUNCTION("""COMPUTED_VALUE"""),0.0)</f>
        <v>0</v>
      </c>
      <c r="GO25" s="180">
        <f>IFERROR(__xludf.DUMMYFUNCTION("""COMPUTED_VALUE"""),45718.0)</f>
        <v>45718</v>
      </c>
      <c r="GP25" s="179">
        <f>IFERROR(__xludf.DUMMYFUNCTION("""COMPUTED_VALUE"""),0.0)</f>
        <v>0</v>
      </c>
      <c r="GQ25" s="180">
        <f>IFERROR(__xludf.DUMMYFUNCTION("""COMPUTED_VALUE"""),45901.0)</f>
        <v>45901</v>
      </c>
      <c r="GR25" s="179">
        <f>IFERROR(__xludf.DUMMYFUNCTION("""COMPUTED_VALUE"""),0.0)</f>
        <v>0</v>
      </c>
      <c r="GS25" s="180">
        <f>IFERROR(__xludf.DUMMYFUNCTION("""COMPUTED_VALUE"""),45839.0)</f>
        <v>45839</v>
      </c>
      <c r="GT25" s="179">
        <f>IFERROR(__xludf.DUMMYFUNCTION("""COMPUTED_VALUE"""),0.0)</f>
        <v>0</v>
      </c>
    </row>
    <row r="26" ht="31.5" customHeight="1">
      <c r="B26" s="183"/>
      <c r="C26" s="178">
        <f>IFERROR(__xludf.DUMMYFUNCTION("""COMPUTED_VALUE"""),45932.0)</f>
        <v>45932</v>
      </c>
      <c r="D26" s="179">
        <f>IFERROR(__xludf.DUMMYFUNCTION("""COMPUTED_VALUE"""),0.0)</f>
        <v>0</v>
      </c>
      <c r="E26" s="180">
        <f>IFERROR(__xludf.DUMMYFUNCTION("""COMPUTED_VALUE"""),45660.0)</f>
        <v>45660</v>
      </c>
      <c r="F26" s="179">
        <f>IFERROR(__xludf.DUMMYFUNCTION("""COMPUTED_VALUE"""),0.0)</f>
        <v>0</v>
      </c>
      <c r="G26" s="180">
        <f>IFERROR(__xludf.DUMMYFUNCTION("""COMPUTED_VALUE"""),45660.0)</f>
        <v>45660</v>
      </c>
      <c r="H26" s="179">
        <f>IFERROR(__xludf.DUMMYFUNCTION("""COMPUTED_VALUE"""),0.0)</f>
        <v>0</v>
      </c>
      <c r="I26" s="180">
        <f>IFERROR(__xludf.DUMMYFUNCTION("""COMPUTED_VALUE"""),45719.0)</f>
        <v>45719</v>
      </c>
      <c r="J26" s="179">
        <f>IFERROR(__xludf.DUMMYFUNCTION("""COMPUTED_VALUE"""),0.0)</f>
        <v>0</v>
      </c>
      <c r="K26" s="180">
        <f>IFERROR(__xludf.DUMMYFUNCTION("""COMPUTED_VALUE"""),45871.0)</f>
        <v>45871</v>
      </c>
      <c r="L26" s="179">
        <f>IFERROR(__xludf.DUMMYFUNCTION("""COMPUTED_VALUE"""),0.0)</f>
        <v>0</v>
      </c>
      <c r="M26" s="180">
        <f>IFERROR(__xludf.DUMMYFUNCTION("""COMPUTED_VALUE"""),45932.0)</f>
        <v>45932</v>
      </c>
      <c r="N26" s="179">
        <f>IFERROR(__xludf.DUMMYFUNCTION("""COMPUTED_VALUE"""),0.0)</f>
        <v>0</v>
      </c>
      <c r="O26" s="180">
        <f>IFERROR(__xludf.DUMMYFUNCTION("""COMPUTED_VALUE"""),45779.0)</f>
        <v>45779</v>
      </c>
      <c r="P26" s="179">
        <f>IFERROR(__xludf.DUMMYFUNCTION("""COMPUTED_VALUE"""),0.0)</f>
        <v>0</v>
      </c>
      <c r="Q26" s="180">
        <f>IFERROR(__xludf.DUMMYFUNCTION("""COMPUTED_VALUE"""),45810.0)</f>
        <v>45810</v>
      </c>
      <c r="R26" s="179">
        <f>IFERROR(__xludf.DUMMYFUNCTION("""COMPUTED_VALUE"""),0.0)</f>
        <v>0</v>
      </c>
      <c r="S26" s="180">
        <f>IFERROR(__xludf.DUMMYFUNCTION("""COMPUTED_VALUE"""),45691.0)</f>
        <v>45691</v>
      </c>
      <c r="T26" s="179">
        <f>IFERROR(__xludf.DUMMYFUNCTION("""COMPUTED_VALUE"""),0.0)</f>
        <v>0</v>
      </c>
      <c r="U26" s="180">
        <f>IFERROR(__xludf.DUMMYFUNCTION("""COMPUTED_VALUE"""),45779.0)</f>
        <v>45779</v>
      </c>
      <c r="V26" s="181">
        <f>IFERROR(__xludf.DUMMYFUNCTION("""COMPUTED_VALUE"""),0.0)</f>
        <v>0</v>
      </c>
      <c r="W26" s="178">
        <f>IFERROR(__xludf.DUMMYFUNCTION("""COMPUTED_VALUE"""),45931.0)</f>
        <v>45931</v>
      </c>
      <c r="X26" s="179">
        <f>IFERROR(__xludf.DUMMYFUNCTION("""COMPUTED_VALUE"""),0.0)</f>
        <v>0</v>
      </c>
      <c r="Y26" s="180">
        <f>IFERROR(__xludf.DUMMYFUNCTION("""COMPUTED_VALUE"""),45870.0)</f>
        <v>45870</v>
      </c>
      <c r="Z26" s="179">
        <f>IFERROR(__xludf.DUMMYFUNCTION("""COMPUTED_VALUE"""),0.0)</f>
        <v>0</v>
      </c>
      <c r="AA26" s="180">
        <f>IFERROR(__xludf.DUMMYFUNCTION("""COMPUTED_VALUE"""),45691.0)</f>
        <v>45691</v>
      </c>
      <c r="AB26" s="179">
        <f>IFERROR(__xludf.DUMMYFUNCTION("""COMPUTED_VALUE"""),0.0)</f>
        <v>0</v>
      </c>
      <c r="AC26" s="180">
        <f>IFERROR(__xludf.DUMMYFUNCTION("""COMPUTED_VALUE"""),45809.0)</f>
        <v>45809</v>
      </c>
      <c r="AD26" s="179">
        <f>IFERROR(__xludf.DUMMYFUNCTION("""COMPUTED_VALUE"""),0.0)</f>
        <v>0</v>
      </c>
      <c r="AE26" s="180">
        <f>IFERROR(__xludf.DUMMYFUNCTION("""COMPUTED_VALUE"""),45778.0)</f>
        <v>45778</v>
      </c>
      <c r="AF26" s="179">
        <f>IFERROR(__xludf.DUMMYFUNCTION("""COMPUTED_VALUE"""),0.0)</f>
        <v>0</v>
      </c>
      <c r="AG26" s="180">
        <f>IFERROR(__xludf.DUMMYFUNCTION("""COMPUTED_VALUE"""),45931.0)</f>
        <v>45931</v>
      </c>
      <c r="AH26" s="179">
        <f>IFERROR(__xludf.DUMMYFUNCTION("""COMPUTED_VALUE"""),0.0)</f>
        <v>0</v>
      </c>
      <c r="AI26" s="180">
        <f>IFERROR(__xludf.DUMMYFUNCTION("""COMPUTED_VALUE"""),45809.0)</f>
        <v>45809</v>
      </c>
      <c r="AJ26" s="179">
        <f>IFERROR(__xludf.DUMMYFUNCTION("""COMPUTED_VALUE"""),0.0)</f>
        <v>0</v>
      </c>
      <c r="AK26" s="180">
        <f>IFERROR(__xludf.DUMMYFUNCTION("""COMPUTED_VALUE"""),45660.0)</f>
        <v>45660</v>
      </c>
      <c r="AL26" s="179">
        <f>IFERROR(__xludf.DUMMYFUNCTION("""COMPUTED_VALUE"""),0.0)</f>
        <v>0</v>
      </c>
      <c r="AM26" s="180">
        <f>IFERROR(__xludf.DUMMYFUNCTION("""COMPUTED_VALUE"""),45719.0)</f>
        <v>45719</v>
      </c>
      <c r="AN26" s="179">
        <f>IFERROR(__xludf.DUMMYFUNCTION("""COMPUTED_VALUE"""),0.0)</f>
        <v>0</v>
      </c>
      <c r="AO26" s="180">
        <f>IFERROR(__xludf.DUMMYFUNCTION("""COMPUTED_VALUE"""),45809.0)</f>
        <v>45809</v>
      </c>
      <c r="AP26" s="181">
        <f>IFERROR(__xludf.DUMMYFUNCTION("""COMPUTED_VALUE"""),0.0)</f>
        <v>0</v>
      </c>
      <c r="AQ26" s="178">
        <f>IFERROR(__xludf.DUMMYFUNCTION("""COMPUTED_VALUE"""),45690.0)</f>
        <v>45690</v>
      </c>
      <c r="AR26" s="179">
        <f>IFERROR(__xludf.DUMMYFUNCTION("""COMPUTED_VALUE"""),0.0)</f>
        <v>0</v>
      </c>
      <c r="AS26" s="180">
        <f>IFERROR(__xludf.DUMMYFUNCTION("""COMPUTED_VALUE"""),45718.0)</f>
        <v>45718</v>
      </c>
      <c r="AT26" s="179">
        <f>IFERROR(__xludf.DUMMYFUNCTION("""COMPUTED_VALUE"""),0.0)</f>
        <v>0</v>
      </c>
      <c r="AU26" s="180">
        <f>IFERROR(__xludf.DUMMYFUNCTION("""COMPUTED_VALUE"""),45690.0)</f>
        <v>45690</v>
      </c>
      <c r="AV26" s="179">
        <f>IFERROR(__xludf.DUMMYFUNCTION("""COMPUTED_VALUE"""),0.0)</f>
        <v>0</v>
      </c>
      <c r="AW26" s="180">
        <f>IFERROR(__xludf.DUMMYFUNCTION("""COMPUTED_VALUE"""),45690.0)</f>
        <v>45690</v>
      </c>
      <c r="AX26" s="179">
        <f>IFERROR(__xludf.DUMMYFUNCTION("""COMPUTED_VALUE"""),0.0)</f>
        <v>0</v>
      </c>
      <c r="AY26" s="180">
        <f>IFERROR(__xludf.DUMMYFUNCTION("""COMPUTED_VALUE"""),45931.0)</f>
        <v>45931</v>
      </c>
      <c r="AZ26" s="179">
        <f>IFERROR(__xludf.DUMMYFUNCTION("""COMPUTED_VALUE"""),0.0)</f>
        <v>0</v>
      </c>
      <c r="BA26" s="180">
        <f>IFERROR(__xludf.DUMMYFUNCTION("""COMPUTED_VALUE"""),45690.0)</f>
        <v>45690</v>
      </c>
      <c r="BB26" s="179">
        <f>IFERROR(__xludf.DUMMYFUNCTION("""COMPUTED_VALUE"""),0.0)</f>
        <v>0</v>
      </c>
      <c r="BC26" s="180">
        <f>IFERROR(__xludf.DUMMYFUNCTION("""COMPUTED_VALUE"""),45659.0)</f>
        <v>45659</v>
      </c>
      <c r="BD26" s="179">
        <f>IFERROR(__xludf.DUMMYFUNCTION("""COMPUTED_VALUE"""),0.0)</f>
        <v>0</v>
      </c>
      <c r="BE26" s="180">
        <f>IFERROR(__xludf.DUMMYFUNCTION("""COMPUTED_VALUE"""),45779.0)</f>
        <v>45779</v>
      </c>
      <c r="BF26" s="179">
        <f>IFERROR(__xludf.DUMMYFUNCTION("""COMPUTED_VALUE"""),0.0)</f>
        <v>0</v>
      </c>
      <c r="BG26" s="180">
        <f>IFERROR(__xludf.DUMMYFUNCTION("""COMPUTED_VALUE"""),45690.0)</f>
        <v>45690</v>
      </c>
      <c r="BH26" s="179">
        <f>IFERROR(__xludf.DUMMYFUNCTION("""COMPUTED_VALUE"""),0.0)</f>
        <v>0</v>
      </c>
      <c r="BI26" s="180">
        <f>IFERROR(__xludf.DUMMYFUNCTION("""COMPUTED_VALUE"""),45901.0)</f>
        <v>45901</v>
      </c>
      <c r="BJ26" s="179">
        <f>IFERROR(__xludf.DUMMYFUNCTION("""COMPUTED_VALUE"""),0.0)</f>
        <v>0</v>
      </c>
      <c r="BK26" s="182">
        <f>IFERROR(__xludf.DUMMYFUNCTION("""COMPUTED_VALUE"""),45718.0)</f>
        <v>45718</v>
      </c>
      <c r="BL26" s="179">
        <f>IFERROR(__xludf.DUMMYFUNCTION("""COMPUTED_VALUE"""),0.0)</f>
        <v>0</v>
      </c>
      <c r="BM26" s="180">
        <f>IFERROR(__xludf.DUMMYFUNCTION("""COMPUTED_VALUE"""),45901.0)</f>
        <v>45901</v>
      </c>
      <c r="BN26" s="179">
        <f>IFERROR(__xludf.DUMMYFUNCTION("""COMPUTED_VALUE"""),0.0)</f>
        <v>0</v>
      </c>
      <c r="BO26" s="180">
        <f>IFERROR(__xludf.DUMMYFUNCTION("""COMPUTED_VALUE"""),45870.0)</f>
        <v>45870</v>
      </c>
      <c r="BP26" s="179">
        <f>IFERROR(__xludf.DUMMYFUNCTION("""COMPUTED_VALUE"""),0.0)</f>
        <v>0</v>
      </c>
      <c r="BQ26" s="180">
        <f>IFERROR(__xludf.DUMMYFUNCTION("""COMPUTED_VALUE"""),45718.0)</f>
        <v>45718</v>
      </c>
      <c r="BR26" s="179">
        <f>IFERROR(__xludf.DUMMYFUNCTION("""COMPUTED_VALUE"""),0.0)</f>
        <v>0</v>
      </c>
      <c r="BS26" s="180">
        <f>IFERROR(__xludf.DUMMYFUNCTION("""COMPUTED_VALUE"""),45779.0)</f>
        <v>45779</v>
      </c>
      <c r="BT26" s="179">
        <f>IFERROR(__xludf.DUMMYFUNCTION("""COMPUTED_VALUE"""),0.0)</f>
        <v>0</v>
      </c>
      <c r="BU26" s="180">
        <f>IFERROR(__xludf.DUMMYFUNCTION("""COMPUTED_VALUE"""),45749.0)</f>
        <v>45749</v>
      </c>
      <c r="BV26" s="179">
        <f>IFERROR(__xludf.DUMMYFUNCTION("""COMPUTED_VALUE"""),0.0)</f>
        <v>0</v>
      </c>
      <c r="BW26" s="180">
        <f>IFERROR(__xludf.DUMMYFUNCTION("""COMPUTED_VALUE"""),45839.0)</f>
        <v>45839</v>
      </c>
      <c r="BX26" s="179">
        <f>IFERROR(__xludf.DUMMYFUNCTION("""COMPUTED_VALUE"""),0.0)</f>
        <v>0</v>
      </c>
      <c r="BY26" s="180">
        <f>IFERROR(__xludf.DUMMYFUNCTION("""COMPUTED_VALUE"""),45718.0)</f>
        <v>45718</v>
      </c>
      <c r="BZ26" s="179">
        <f>IFERROR(__xludf.DUMMYFUNCTION("""COMPUTED_VALUE"""),0.0)</f>
        <v>0</v>
      </c>
      <c r="CA26" s="180">
        <f>IFERROR(__xludf.DUMMYFUNCTION("""COMPUTED_VALUE"""),45659.0)</f>
        <v>45659</v>
      </c>
      <c r="CB26" s="179">
        <f>IFERROR(__xludf.DUMMYFUNCTION("""COMPUTED_VALUE"""),0.0)</f>
        <v>0</v>
      </c>
      <c r="CC26" s="180">
        <f>IFERROR(__xludf.DUMMYFUNCTION("""COMPUTED_VALUE"""),45690.0)</f>
        <v>45690</v>
      </c>
      <c r="CD26" s="179">
        <f>IFERROR(__xludf.DUMMYFUNCTION("""COMPUTED_VALUE"""),0.0)</f>
        <v>0</v>
      </c>
      <c r="CE26" s="182">
        <f>IFERROR(__xludf.DUMMYFUNCTION("""COMPUTED_VALUE"""),45779.0)</f>
        <v>45779</v>
      </c>
      <c r="CF26" s="179">
        <f>IFERROR(__xludf.DUMMYFUNCTION("""COMPUTED_VALUE"""),0.0)</f>
        <v>0</v>
      </c>
      <c r="CG26" s="180">
        <f>IFERROR(__xludf.DUMMYFUNCTION("""COMPUTED_VALUE"""),45901.0)</f>
        <v>45901</v>
      </c>
      <c r="CH26" s="179">
        <f>IFERROR(__xludf.DUMMYFUNCTION("""COMPUTED_VALUE"""),0.0)</f>
        <v>0</v>
      </c>
      <c r="CI26" s="180">
        <f>IFERROR(__xludf.DUMMYFUNCTION("""COMPUTED_VALUE"""),45931.0)</f>
        <v>45931</v>
      </c>
      <c r="CJ26" s="179">
        <f>IFERROR(__xludf.DUMMYFUNCTION("""COMPUTED_VALUE"""),0.0)</f>
        <v>0</v>
      </c>
      <c r="CK26" s="180">
        <f>IFERROR(__xludf.DUMMYFUNCTION("""COMPUTED_VALUE"""),45659.0)</f>
        <v>45659</v>
      </c>
      <c r="CL26" s="179">
        <f>IFERROR(__xludf.DUMMYFUNCTION("""COMPUTED_VALUE"""),0.0)</f>
        <v>0</v>
      </c>
      <c r="CM26" s="180">
        <f>IFERROR(__xludf.DUMMYFUNCTION("""COMPUTED_VALUE"""),45931.0)</f>
        <v>45931</v>
      </c>
      <c r="CN26" s="179">
        <f>IFERROR(__xludf.DUMMYFUNCTION("""COMPUTED_VALUE"""),0.0)</f>
        <v>0</v>
      </c>
      <c r="CO26" s="180">
        <f>IFERROR(__xludf.DUMMYFUNCTION("""COMPUTED_VALUE"""),45901.0)</f>
        <v>45901</v>
      </c>
      <c r="CP26" s="179">
        <f>IFERROR(__xludf.DUMMYFUNCTION("""COMPUTED_VALUE"""),0.0)</f>
        <v>0</v>
      </c>
      <c r="CQ26" s="180">
        <f>IFERROR(__xludf.DUMMYFUNCTION("""COMPUTED_VALUE"""),45842.0)</f>
        <v>45842</v>
      </c>
      <c r="CR26" s="179">
        <f>IFERROR(__xludf.DUMMYFUNCTION("""COMPUTED_VALUE"""),0.0625)</f>
        <v>0.0625</v>
      </c>
      <c r="CS26" s="180">
        <f>IFERROR(__xludf.DUMMYFUNCTION("""COMPUTED_VALUE"""),45718.0)</f>
        <v>45718</v>
      </c>
      <c r="CT26" s="179">
        <f>IFERROR(__xludf.DUMMYFUNCTION("""COMPUTED_VALUE"""),0.0)</f>
        <v>0</v>
      </c>
      <c r="CU26" s="180">
        <f>IFERROR(__xludf.DUMMYFUNCTION("""COMPUTED_VALUE"""),45779.0)</f>
        <v>45779</v>
      </c>
      <c r="CV26" s="179">
        <f>IFERROR(__xludf.DUMMYFUNCTION("""COMPUTED_VALUE"""),0.0)</f>
        <v>0</v>
      </c>
      <c r="CW26" s="180">
        <f>IFERROR(__xludf.DUMMYFUNCTION("""COMPUTED_VALUE"""),45778.0)</f>
        <v>45778</v>
      </c>
      <c r="CX26" s="179">
        <f>IFERROR(__xludf.DUMMYFUNCTION("""COMPUTED_VALUE"""),0.0)</f>
        <v>0</v>
      </c>
      <c r="CY26" s="182">
        <f>IFERROR(__xludf.DUMMYFUNCTION("""COMPUTED_VALUE"""),45749.0)</f>
        <v>45749</v>
      </c>
      <c r="CZ26" s="179">
        <f>IFERROR(__xludf.DUMMYFUNCTION("""COMPUTED_VALUE"""),0.0)</f>
        <v>0</v>
      </c>
      <c r="DA26" s="180">
        <f>IFERROR(__xludf.DUMMYFUNCTION("""COMPUTED_VALUE"""),45749.0)</f>
        <v>45749</v>
      </c>
      <c r="DB26" s="179">
        <f>IFERROR(__xludf.DUMMYFUNCTION("""COMPUTED_VALUE"""),0.0)</f>
        <v>0</v>
      </c>
      <c r="DC26" s="180">
        <f>IFERROR(__xludf.DUMMYFUNCTION("""COMPUTED_VALUE"""),45659.0)</f>
        <v>45659</v>
      </c>
      <c r="DD26" s="179">
        <f>IFERROR(__xludf.DUMMYFUNCTION("""COMPUTED_VALUE"""),0.0)</f>
        <v>0</v>
      </c>
      <c r="DE26" s="180">
        <f>IFERROR(__xludf.DUMMYFUNCTION("""COMPUTED_VALUE"""),45690.0)</f>
        <v>45690</v>
      </c>
      <c r="DF26" s="179">
        <f>IFERROR(__xludf.DUMMYFUNCTION("""COMPUTED_VALUE"""),0.0)</f>
        <v>0</v>
      </c>
      <c r="DG26" s="180">
        <f>IFERROR(__xludf.DUMMYFUNCTION("""COMPUTED_VALUE"""),45779.0)</f>
        <v>45779</v>
      </c>
      <c r="DH26" s="179">
        <f>IFERROR(__xludf.DUMMYFUNCTION("""COMPUTED_VALUE"""),0.0)</f>
        <v>0</v>
      </c>
      <c r="DI26" s="180">
        <f>IFERROR(__xludf.DUMMYFUNCTION("""COMPUTED_VALUE"""),45779.0)</f>
        <v>45779</v>
      </c>
      <c r="DJ26" s="179">
        <f>IFERROR(__xludf.DUMMYFUNCTION("""COMPUTED_VALUE"""),0.0)</f>
        <v>0</v>
      </c>
      <c r="DK26" s="180">
        <f>IFERROR(__xludf.DUMMYFUNCTION("""COMPUTED_VALUE"""),45718.0)</f>
        <v>45718</v>
      </c>
      <c r="DL26" s="179">
        <f>IFERROR(__xludf.DUMMYFUNCTION("""COMPUTED_VALUE"""),0.0)</f>
        <v>0</v>
      </c>
      <c r="DM26" s="180">
        <f>IFERROR(__xludf.DUMMYFUNCTION("""COMPUTED_VALUE"""),45718.0)</f>
        <v>45718</v>
      </c>
      <c r="DN26" s="179">
        <f>IFERROR(__xludf.DUMMYFUNCTION("""COMPUTED_VALUE"""),0.0)</f>
        <v>0</v>
      </c>
      <c r="DO26" s="180">
        <f>IFERROR(__xludf.DUMMYFUNCTION("""COMPUTED_VALUE"""),45718.0)</f>
        <v>45718</v>
      </c>
      <c r="DP26" s="179">
        <f>IFERROR(__xludf.DUMMYFUNCTION("""COMPUTED_VALUE"""),0.0)</f>
        <v>0</v>
      </c>
      <c r="DQ26" s="180">
        <f>IFERROR(__xludf.DUMMYFUNCTION("""COMPUTED_VALUE"""),45839.0)</f>
        <v>45839</v>
      </c>
      <c r="DR26" s="179">
        <f>IFERROR(__xludf.DUMMYFUNCTION("""COMPUTED_VALUE"""),0.0)</f>
        <v>0</v>
      </c>
      <c r="DS26" s="182">
        <f>IFERROR(__xludf.DUMMYFUNCTION("""COMPUTED_VALUE"""),45749.0)</f>
        <v>45749</v>
      </c>
      <c r="DT26" s="179">
        <f>IFERROR(__xludf.DUMMYFUNCTION("""COMPUTED_VALUE"""),0.0)</f>
        <v>0</v>
      </c>
      <c r="DU26" s="180">
        <f>IFERROR(__xludf.DUMMYFUNCTION("""COMPUTED_VALUE"""),45718.0)</f>
        <v>45718</v>
      </c>
      <c r="DV26" s="179">
        <f>IFERROR(__xludf.DUMMYFUNCTION("""COMPUTED_VALUE"""),0.0)</f>
        <v>0</v>
      </c>
      <c r="DW26" s="180">
        <f>IFERROR(__xludf.DUMMYFUNCTION("""COMPUTED_VALUE"""),45718.0)</f>
        <v>45718</v>
      </c>
      <c r="DX26" s="179">
        <f>IFERROR(__xludf.DUMMYFUNCTION("""COMPUTED_VALUE"""),0.0)</f>
        <v>0</v>
      </c>
      <c r="DY26" s="180">
        <f>IFERROR(__xludf.DUMMYFUNCTION("""COMPUTED_VALUE"""),45749.0)</f>
        <v>45749</v>
      </c>
      <c r="DZ26" s="179">
        <f>IFERROR(__xludf.DUMMYFUNCTION("""COMPUTED_VALUE"""),0.0)</f>
        <v>0</v>
      </c>
      <c r="EA26" s="180">
        <f>IFERROR(__xludf.DUMMYFUNCTION("""COMPUTED_VALUE"""),45779.0)</f>
        <v>45779</v>
      </c>
      <c r="EB26" s="179">
        <f>IFERROR(__xludf.DUMMYFUNCTION("""COMPUTED_VALUE"""),0.0)</f>
        <v>0</v>
      </c>
      <c r="EC26" s="180">
        <f>IFERROR(__xludf.DUMMYFUNCTION("""COMPUTED_VALUE"""),45749.0)</f>
        <v>45749</v>
      </c>
      <c r="ED26" s="179">
        <f>IFERROR(__xludf.DUMMYFUNCTION("""COMPUTED_VALUE"""),0.0)</f>
        <v>0</v>
      </c>
      <c r="EE26" s="180">
        <f>IFERROR(__xludf.DUMMYFUNCTION("""COMPUTED_VALUE"""),45659.0)</f>
        <v>45659</v>
      </c>
      <c r="EF26" s="179">
        <f>IFERROR(__xludf.DUMMYFUNCTION("""COMPUTED_VALUE"""),0.0)</f>
        <v>0</v>
      </c>
      <c r="EG26" s="180">
        <f>IFERROR(__xludf.DUMMYFUNCTION("""COMPUTED_VALUE"""),45749.0)</f>
        <v>45749</v>
      </c>
      <c r="EH26" s="179">
        <f>IFERROR(__xludf.DUMMYFUNCTION("""COMPUTED_VALUE"""),0.0)</f>
        <v>0</v>
      </c>
      <c r="EI26" s="180">
        <f>IFERROR(__xludf.DUMMYFUNCTION("""COMPUTED_VALUE"""),45749.0)</f>
        <v>45749</v>
      </c>
      <c r="EJ26" s="179">
        <f>IFERROR(__xludf.DUMMYFUNCTION("""COMPUTED_VALUE"""),0.0)</f>
        <v>0</v>
      </c>
      <c r="EK26" s="180">
        <f>IFERROR(__xludf.DUMMYFUNCTION("""COMPUTED_VALUE"""),45690.0)</f>
        <v>45690</v>
      </c>
      <c r="EL26" s="179">
        <f>IFERROR(__xludf.DUMMYFUNCTION("""COMPUTED_VALUE"""),0.0)</f>
        <v>0</v>
      </c>
      <c r="EM26" s="182">
        <f>IFERROR(__xludf.DUMMYFUNCTION("""COMPUTED_VALUE"""),45659.0)</f>
        <v>45659</v>
      </c>
      <c r="EN26" s="179">
        <f>IFERROR(__xludf.DUMMYFUNCTION("""COMPUTED_VALUE"""),0.0)</f>
        <v>0</v>
      </c>
      <c r="EO26" s="180">
        <f>IFERROR(__xludf.DUMMYFUNCTION("""COMPUTED_VALUE"""),45749.0)</f>
        <v>45749</v>
      </c>
      <c r="EP26" s="179">
        <f>IFERROR(__xludf.DUMMYFUNCTION("""COMPUTED_VALUE"""),0.0)</f>
        <v>0</v>
      </c>
      <c r="EQ26" s="180">
        <f>IFERROR(__xludf.DUMMYFUNCTION("""COMPUTED_VALUE"""),45931.0)</f>
        <v>45931</v>
      </c>
      <c r="ER26" s="179">
        <f>IFERROR(__xludf.DUMMYFUNCTION("""COMPUTED_VALUE"""),0.0)</f>
        <v>0</v>
      </c>
      <c r="ES26" s="180">
        <f>IFERROR(__xludf.DUMMYFUNCTION("""COMPUTED_VALUE"""),45779.0)</f>
        <v>45779</v>
      </c>
      <c r="ET26" s="179">
        <f>IFERROR(__xludf.DUMMYFUNCTION("""COMPUTED_VALUE"""),0.0)</f>
        <v>0</v>
      </c>
      <c r="EU26" s="180">
        <f>IFERROR(__xludf.DUMMYFUNCTION("""COMPUTED_VALUE"""),45749.0)</f>
        <v>45749</v>
      </c>
      <c r="EV26" s="179">
        <f>IFERROR(__xludf.DUMMYFUNCTION("""COMPUTED_VALUE"""),0.0)</f>
        <v>0</v>
      </c>
      <c r="EW26" s="180">
        <f>IFERROR(__xludf.DUMMYFUNCTION("""COMPUTED_VALUE"""),45779.0)</f>
        <v>45779</v>
      </c>
      <c r="EX26" s="179">
        <f>IFERROR(__xludf.DUMMYFUNCTION("""COMPUTED_VALUE"""),0.0)</f>
        <v>0</v>
      </c>
      <c r="EY26" s="180">
        <f>IFERROR(__xludf.DUMMYFUNCTION("""COMPUTED_VALUE"""),45779.0)</f>
        <v>45779</v>
      </c>
      <c r="EZ26" s="179">
        <f>IFERROR(__xludf.DUMMYFUNCTION("""COMPUTED_VALUE"""),0.0)</f>
        <v>0</v>
      </c>
      <c r="FA26" s="180">
        <f>IFERROR(__xludf.DUMMYFUNCTION("""COMPUTED_VALUE"""),45749.0)</f>
        <v>45749</v>
      </c>
      <c r="FB26" s="179">
        <f>IFERROR(__xludf.DUMMYFUNCTION("""COMPUTED_VALUE"""),0.0)</f>
        <v>0</v>
      </c>
      <c r="FC26" s="180">
        <f>IFERROR(__xludf.DUMMYFUNCTION("""COMPUTED_VALUE"""),45779.0)</f>
        <v>45779</v>
      </c>
      <c r="FD26" s="179">
        <f>IFERROR(__xludf.DUMMYFUNCTION("""COMPUTED_VALUE"""),0.0)</f>
        <v>0</v>
      </c>
      <c r="FE26" s="180">
        <f>IFERROR(__xludf.DUMMYFUNCTION("""COMPUTED_VALUE"""),45659.0)</f>
        <v>45659</v>
      </c>
      <c r="FF26" s="179">
        <f>IFERROR(__xludf.DUMMYFUNCTION("""COMPUTED_VALUE"""),0.0)</f>
        <v>0</v>
      </c>
      <c r="FG26" s="182">
        <f>IFERROR(__xludf.DUMMYFUNCTION("""COMPUTED_VALUE"""),45659.0)</f>
        <v>45659</v>
      </c>
      <c r="FH26" s="179">
        <f>IFERROR(__xludf.DUMMYFUNCTION("""COMPUTED_VALUE"""),0.0)</f>
        <v>0</v>
      </c>
      <c r="FI26" s="180">
        <f>IFERROR(__xludf.DUMMYFUNCTION("""COMPUTED_VALUE"""),45839.0)</f>
        <v>45839</v>
      </c>
      <c r="FJ26" s="179">
        <f>IFERROR(__xludf.DUMMYFUNCTION("""COMPUTED_VALUE"""),0.0)</f>
        <v>0</v>
      </c>
      <c r="FK26" s="180">
        <f>IFERROR(__xludf.DUMMYFUNCTION("""COMPUTED_VALUE"""),45839.0)</f>
        <v>45839</v>
      </c>
      <c r="FL26" s="179">
        <f>IFERROR(__xludf.DUMMYFUNCTION("""COMPUTED_VALUE"""),0.0)</f>
        <v>0</v>
      </c>
      <c r="FM26" s="180">
        <f>IFERROR(__xludf.DUMMYFUNCTION("""COMPUTED_VALUE"""),45901.0)</f>
        <v>45901</v>
      </c>
      <c r="FN26" s="179">
        <f>IFERROR(__xludf.DUMMYFUNCTION("""COMPUTED_VALUE"""),0.0)</f>
        <v>0</v>
      </c>
      <c r="FO26" s="180">
        <f>IFERROR(__xludf.DUMMYFUNCTION("""COMPUTED_VALUE"""),45659.0)</f>
        <v>45659</v>
      </c>
      <c r="FP26" s="179">
        <f>IFERROR(__xludf.DUMMYFUNCTION("""COMPUTED_VALUE"""),0.0)</f>
        <v>0</v>
      </c>
      <c r="FQ26" s="180">
        <f>IFERROR(__xludf.DUMMYFUNCTION("""COMPUTED_VALUE"""),45779.0)</f>
        <v>45779</v>
      </c>
      <c r="FR26" s="179">
        <f>IFERROR(__xludf.DUMMYFUNCTION("""COMPUTED_VALUE"""),0.0)</f>
        <v>0</v>
      </c>
      <c r="FS26" s="180">
        <f>IFERROR(__xludf.DUMMYFUNCTION("""COMPUTED_VALUE"""),45778.0)</f>
        <v>45778</v>
      </c>
      <c r="FT26" s="179">
        <f>IFERROR(__xludf.DUMMYFUNCTION("""COMPUTED_VALUE"""),0.0)</f>
        <v>0</v>
      </c>
      <c r="FU26" s="180">
        <f>IFERROR(__xludf.DUMMYFUNCTION("""COMPUTED_VALUE"""),45690.0)</f>
        <v>45690</v>
      </c>
      <c r="FV26" s="179">
        <f>IFERROR(__xludf.DUMMYFUNCTION("""COMPUTED_VALUE"""),0.0)</f>
        <v>0</v>
      </c>
      <c r="FW26" s="180">
        <f>IFERROR(__xludf.DUMMYFUNCTION("""COMPUTED_VALUE"""),45779.0)</f>
        <v>45779</v>
      </c>
      <c r="FX26" s="179">
        <f>IFERROR(__xludf.DUMMYFUNCTION("""COMPUTED_VALUE"""),0.0)</f>
        <v>0</v>
      </c>
      <c r="FY26" s="180">
        <f>IFERROR(__xludf.DUMMYFUNCTION("""COMPUTED_VALUE"""),45839.0)</f>
        <v>45839</v>
      </c>
      <c r="FZ26" s="179">
        <f>IFERROR(__xludf.DUMMYFUNCTION("""COMPUTED_VALUE"""),0.0)</f>
        <v>0</v>
      </c>
      <c r="GA26" s="182">
        <f>IFERROR(__xludf.DUMMYFUNCTION("""COMPUTED_VALUE"""),45779.0)</f>
        <v>45779</v>
      </c>
      <c r="GB26" s="179">
        <f>IFERROR(__xludf.DUMMYFUNCTION("""COMPUTED_VALUE"""),0.0)</f>
        <v>0</v>
      </c>
      <c r="GC26" s="180">
        <f>IFERROR(__xludf.DUMMYFUNCTION("""COMPUTED_VALUE"""),45690.0)</f>
        <v>45690</v>
      </c>
      <c r="GD26" s="179">
        <f>IFERROR(__xludf.DUMMYFUNCTION("""COMPUTED_VALUE"""),0.0)</f>
        <v>0</v>
      </c>
      <c r="GE26" s="180">
        <f>IFERROR(__xludf.DUMMYFUNCTION("""COMPUTED_VALUE"""),45690.0)</f>
        <v>45690</v>
      </c>
      <c r="GF26" s="179">
        <f>IFERROR(__xludf.DUMMYFUNCTION("""COMPUTED_VALUE"""),0.0)</f>
        <v>0</v>
      </c>
      <c r="GG26" s="180">
        <f>IFERROR(__xludf.DUMMYFUNCTION("""COMPUTED_VALUE"""),45690.0)</f>
        <v>45690</v>
      </c>
      <c r="GH26" s="179">
        <f>IFERROR(__xludf.DUMMYFUNCTION("""COMPUTED_VALUE"""),0.0)</f>
        <v>0</v>
      </c>
      <c r="GI26" s="180">
        <f>IFERROR(__xludf.DUMMYFUNCTION("""COMPUTED_VALUE"""),45779.0)</f>
        <v>45779</v>
      </c>
      <c r="GJ26" s="179">
        <f>IFERROR(__xludf.DUMMYFUNCTION("""COMPUTED_VALUE"""),0.0)</f>
        <v>0</v>
      </c>
      <c r="GK26" s="180">
        <f>IFERROR(__xludf.DUMMYFUNCTION("""COMPUTED_VALUE"""),45779.0)</f>
        <v>45779</v>
      </c>
      <c r="GL26" s="179">
        <f>IFERROR(__xludf.DUMMYFUNCTION("""COMPUTED_VALUE"""),0.0)</f>
        <v>0</v>
      </c>
      <c r="GM26" s="180">
        <f>IFERROR(__xludf.DUMMYFUNCTION("""COMPUTED_VALUE"""),45870.0)</f>
        <v>45870</v>
      </c>
      <c r="GN26" s="179">
        <f>IFERROR(__xludf.DUMMYFUNCTION("""COMPUTED_VALUE"""),0.0)</f>
        <v>0</v>
      </c>
      <c r="GO26" s="180">
        <f>IFERROR(__xludf.DUMMYFUNCTION("""COMPUTED_VALUE"""),45779.0)</f>
        <v>45779</v>
      </c>
      <c r="GP26" s="179">
        <f>IFERROR(__xludf.DUMMYFUNCTION("""COMPUTED_VALUE"""),0.0)</f>
        <v>0</v>
      </c>
      <c r="GQ26" s="180">
        <f>IFERROR(__xludf.DUMMYFUNCTION("""COMPUTED_VALUE"""),45931.0)</f>
        <v>45931</v>
      </c>
      <c r="GR26" s="179">
        <f>IFERROR(__xludf.DUMMYFUNCTION("""COMPUTED_VALUE"""),0.0)</f>
        <v>0</v>
      </c>
      <c r="GS26" s="180">
        <f>IFERROR(__xludf.DUMMYFUNCTION("""COMPUTED_VALUE"""),45870.0)</f>
        <v>45870</v>
      </c>
      <c r="GT26" s="179">
        <f>IFERROR(__xludf.DUMMYFUNCTION("""COMPUTED_VALUE"""),0.0)</f>
        <v>0</v>
      </c>
    </row>
    <row r="27" ht="31.5" customHeight="1">
      <c r="B27" s="183"/>
      <c r="C27" s="178">
        <f>IFERROR(__xludf.DUMMYFUNCTION("""COMPUTED_VALUE"""),45660.0)</f>
        <v>45660</v>
      </c>
      <c r="D27" s="179">
        <f>IFERROR(__xludf.DUMMYFUNCTION("""COMPUTED_VALUE"""),0.0)</f>
        <v>0</v>
      </c>
      <c r="E27" s="180">
        <f>IFERROR(__xludf.DUMMYFUNCTION("""COMPUTED_VALUE"""),45691.0)</f>
        <v>45691</v>
      </c>
      <c r="F27" s="179">
        <f>IFERROR(__xludf.DUMMYFUNCTION("""COMPUTED_VALUE"""),0.0)</f>
        <v>0</v>
      </c>
      <c r="G27" s="180">
        <f>IFERROR(__xludf.DUMMYFUNCTION("""COMPUTED_VALUE"""),45691.0)</f>
        <v>45691</v>
      </c>
      <c r="H27" s="179">
        <f>IFERROR(__xludf.DUMMYFUNCTION("""COMPUTED_VALUE"""),0.0)</f>
        <v>0</v>
      </c>
      <c r="I27" s="180">
        <f>IFERROR(__xludf.DUMMYFUNCTION("""COMPUTED_VALUE"""),45750.0)</f>
        <v>45750</v>
      </c>
      <c r="J27" s="179">
        <f>IFERROR(__xludf.DUMMYFUNCTION("""COMPUTED_VALUE"""),0.0)</f>
        <v>0</v>
      </c>
      <c r="K27" s="180">
        <f>IFERROR(__xludf.DUMMYFUNCTION("""COMPUTED_VALUE"""),45902.0)</f>
        <v>45902</v>
      </c>
      <c r="L27" s="179">
        <f>IFERROR(__xludf.DUMMYFUNCTION("""COMPUTED_VALUE"""),0.0)</f>
        <v>0</v>
      </c>
      <c r="M27" s="180">
        <f>IFERROR(__xludf.DUMMYFUNCTION("""COMPUTED_VALUE"""),45660.0)</f>
        <v>45660</v>
      </c>
      <c r="N27" s="179">
        <f>IFERROR(__xludf.DUMMYFUNCTION("""COMPUTED_VALUE"""),0.0)</f>
        <v>0</v>
      </c>
      <c r="O27" s="180">
        <f>IFERROR(__xludf.DUMMYFUNCTION("""COMPUTED_VALUE"""),45810.0)</f>
        <v>45810</v>
      </c>
      <c r="P27" s="179">
        <f>IFERROR(__xludf.DUMMYFUNCTION("""COMPUTED_VALUE"""),0.0)</f>
        <v>0</v>
      </c>
      <c r="Q27" s="180">
        <f>IFERROR(__xludf.DUMMYFUNCTION("""COMPUTED_VALUE"""),45840.0)</f>
        <v>45840</v>
      </c>
      <c r="R27" s="179">
        <f>IFERROR(__xludf.DUMMYFUNCTION("""COMPUTED_VALUE"""),0.0)</f>
        <v>0</v>
      </c>
      <c r="S27" s="180">
        <f>IFERROR(__xludf.DUMMYFUNCTION("""COMPUTED_VALUE"""),45719.0)</f>
        <v>45719</v>
      </c>
      <c r="T27" s="179">
        <f>IFERROR(__xludf.DUMMYFUNCTION("""COMPUTED_VALUE"""),0.0)</f>
        <v>0</v>
      </c>
      <c r="U27" s="180">
        <f>IFERROR(__xludf.DUMMYFUNCTION("""COMPUTED_VALUE"""),45810.0)</f>
        <v>45810</v>
      </c>
      <c r="V27" s="181">
        <f>IFERROR(__xludf.DUMMYFUNCTION("""COMPUTED_VALUE"""),0.0)</f>
        <v>0</v>
      </c>
      <c r="W27" s="178">
        <f>IFERROR(__xludf.DUMMYFUNCTION("""COMPUTED_VALUE"""),45659.0)</f>
        <v>45659</v>
      </c>
      <c r="X27" s="179">
        <f>IFERROR(__xludf.DUMMYFUNCTION("""COMPUTED_VALUE"""),0.0)</f>
        <v>0</v>
      </c>
      <c r="Y27" s="180">
        <f>IFERROR(__xludf.DUMMYFUNCTION("""COMPUTED_VALUE"""),45901.0)</f>
        <v>45901</v>
      </c>
      <c r="Z27" s="179">
        <f>IFERROR(__xludf.DUMMYFUNCTION("""COMPUTED_VALUE"""),0.0)</f>
        <v>0</v>
      </c>
      <c r="AA27" s="180">
        <f>IFERROR(__xludf.DUMMYFUNCTION("""COMPUTED_VALUE"""),45719.0)</f>
        <v>45719</v>
      </c>
      <c r="AB27" s="179">
        <f>IFERROR(__xludf.DUMMYFUNCTION("""COMPUTED_VALUE"""),0.0)</f>
        <v>0</v>
      </c>
      <c r="AC27" s="180">
        <f>IFERROR(__xludf.DUMMYFUNCTION("""COMPUTED_VALUE"""),45839.0)</f>
        <v>45839</v>
      </c>
      <c r="AD27" s="179">
        <f>IFERROR(__xludf.DUMMYFUNCTION("""COMPUTED_VALUE"""),0.0)</f>
        <v>0</v>
      </c>
      <c r="AE27" s="180">
        <f>IFERROR(__xludf.DUMMYFUNCTION("""COMPUTED_VALUE"""),45809.0)</f>
        <v>45809</v>
      </c>
      <c r="AF27" s="179">
        <f>IFERROR(__xludf.DUMMYFUNCTION("""COMPUTED_VALUE"""),0.0)</f>
        <v>0</v>
      </c>
      <c r="AG27" s="180">
        <f>IFERROR(__xludf.DUMMYFUNCTION("""COMPUTED_VALUE"""),45810.0)</f>
        <v>45810</v>
      </c>
      <c r="AH27" s="179">
        <f>IFERROR(__xludf.DUMMYFUNCTION("""COMPUTED_VALUE"""),0.0)</f>
        <v>0</v>
      </c>
      <c r="AI27" s="180">
        <f>IFERROR(__xludf.DUMMYFUNCTION("""COMPUTED_VALUE"""),45839.0)</f>
        <v>45839</v>
      </c>
      <c r="AJ27" s="179">
        <f>IFERROR(__xludf.DUMMYFUNCTION("""COMPUTED_VALUE"""),0.0)</f>
        <v>0</v>
      </c>
      <c r="AK27" s="180">
        <f>IFERROR(__xludf.DUMMYFUNCTION("""COMPUTED_VALUE"""),45691.0)</f>
        <v>45691</v>
      </c>
      <c r="AL27" s="179">
        <f>IFERROR(__xludf.DUMMYFUNCTION("""COMPUTED_VALUE"""),0.0)</f>
        <v>0</v>
      </c>
      <c r="AM27" s="180">
        <f>IFERROR(__xludf.DUMMYFUNCTION("""COMPUTED_VALUE"""),45750.0)</f>
        <v>45750</v>
      </c>
      <c r="AN27" s="179">
        <f>IFERROR(__xludf.DUMMYFUNCTION("""COMPUTED_VALUE"""),0.0)</f>
        <v>0</v>
      </c>
      <c r="AO27" s="180">
        <f>IFERROR(__xludf.DUMMYFUNCTION("""COMPUTED_VALUE"""),45839.0)</f>
        <v>45839</v>
      </c>
      <c r="AP27" s="181">
        <f>IFERROR(__xludf.DUMMYFUNCTION("""COMPUTED_VALUE"""),0.0)</f>
        <v>0</v>
      </c>
      <c r="AQ27" s="178">
        <f>IFERROR(__xludf.DUMMYFUNCTION("""COMPUTED_VALUE"""),45718.0)</f>
        <v>45718</v>
      </c>
      <c r="AR27" s="179">
        <f>IFERROR(__xludf.DUMMYFUNCTION("""COMPUTED_VALUE"""),0.0)</f>
        <v>0</v>
      </c>
      <c r="AS27" s="180">
        <f>IFERROR(__xludf.DUMMYFUNCTION("""COMPUTED_VALUE"""),45749.0)</f>
        <v>45749</v>
      </c>
      <c r="AT27" s="179">
        <f>IFERROR(__xludf.DUMMYFUNCTION("""COMPUTED_VALUE"""),0.0)</f>
        <v>0</v>
      </c>
      <c r="AU27" s="180">
        <f>IFERROR(__xludf.DUMMYFUNCTION("""COMPUTED_VALUE"""),45718.0)</f>
        <v>45718</v>
      </c>
      <c r="AV27" s="179">
        <f>IFERROR(__xludf.DUMMYFUNCTION("""COMPUTED_VALUE"""),0.0)</f>
        <v>0</v>
      </c>
      <c r="AW27" s="180">
        <f>IFERROR(__xludf.DUMMYFUNCTION("""COMPUTED_VALUE"""),45718.0)</f>
        <v>45718</v>
      </c>
      <c r="AX27" s="179">
        <f>IFERROR(__xludf.DUMMYFUNCTION("""COMPUTED_VALUE"""),0.0)</f>
        <v>0</v>
      </c>
      <c r="AY27" s="180">
        <f>IFERROR(__xludf.DUMMYFUNCTION("""COMPUTED_VALUE"""),45690.0)</f>
        <v>45690</v>
      </c>
      <c r="AZ27" s="179">
        <f>IFERROR(__xludf.DUMMYFUNCTION("""COMPUTED_VALUE"""),0.0)</f>
        <v>0</v>
      </c>
      <c r="BA27" s="180">
        <f>IFERROR(__xludf.DUMMYFUNCTION("""COMPUTED_VALUE"""),45718.0)</f>
        <v>45718</v>
      </c>
      <c r="BB27" s="179">
        <f>IFERROR(__xludf.DUMMYFUNCTION("""COMPUTED_VALUE"""),0.0)</f>
        <v>0</v>
      </c>
      <c r="BC27" s="180">
        <f>IFERROR(__xludf.DUMMYFUNCTION("""COMPUTED_VALUE"""),45690.0)</f>
        <v>45690</v>
      </c>
      <c r="BD27" s="179">
        <f>IFERROR(__xludf.DUMMYFUNCTION("""COMPUTED_VALUE"""),0.0)</f>
        <v>0</v>
      </c>
      <c r="BE27" s="180">
        <f>IFERROR(__xludf.DUMMYFUNCTION("""COMPUTED_VALUE"""),45810.0)</f>
        <v>45810</v>
      </c>
      <c r="BF27" s="179">
        <f>IFERROR(__xludf.DUMMYFUNCTION("""COMPUTED_VALUE"""),0.0)</f>
        <v>0</v>
      </c>
      <c r="BG27" s="180">
        <f>IFERROR(__xludf.DUMMYFUNCTION("""COMPUTED_VALUE"""),45718.0)</f>
        <v>45718</v>
      </c>
      <c r="BH27" s="179">
        <f>IFERROR(__xludf.DUMMYFUNCTION("""COMPUTED_VALUE"""),0.0)</f>
        <v>0</v>
      </c>
      <c r="BI27" s="180">
        <f>IFERROR(__xludf.DUMMYFUNCTION("""COMPUTED_VALUE"""),45931.0)</f>
        <v>45931</v>
      </c>
      <c r="BJ27" s="179">
        <f>IFERROR(__xludf.DUMMYFUNCTION("""COMPUTED_VALUE"""),0.0)</f>
        <v>0</v>
      </c>
      <c r="BK27" s="182">
        <f>IFERROR(__xludf.DUMMYFUNCTION("""COMPUTED_VALUE"""),45749.0)</f>
        <v>45749</v>
      </c>
      <c r="BL27" s="179">
        <f>IFERROR(__xludf.DUMMYFUNCTION("""COMPUTED_VALUE"""),0.0)</f>
        <v>0</v>
      </c>
      <c r="BM27" s="180">
        <f>IFERROR(__xludf.DUMMYFUNCTION("""COMPUTED_VALUE"""),45931.0)</f>
        <v>45931</v>
      </c>
      <c r="BN27" s="179">
        <f>IFERROR(__xludf.DUMMYFUNCTION("""COMPUTED_VALUE"""),0.0)</f>
        <v>0</v>
      </c>
      <c r="BO27" s="180">
        <f>IFERROR(__xludf.DUMMYFUNCTION("""COMPUTED_VALUE"""),45901.0)</f>
        <v>45901</v>
      </c>
      <c r="BP27" s="179">
        <f>IFERROR(__xludf.DUMMYFUNCTION("""COMPUTED_VALUE"""),0.0)</f>
        <v>0</v>
      </c>
      <c r="BQ27" s="180">
        <f>IFERROR(__xludf.DUMMYFUNCTION("""COMPUTED_VALUE"""),45749.0)</f>
        <v>45749</v>
      </c>
      <c r="BR27" s="179">
        <f>IFERROR(__xludf.DUMMYFUNCTION("""COMPUTED_VALUE"""),0.0)</f>
        <v>0</v>
      </c>
      <c r="BS27" s="180">
        <f>IFERROR(__xludf.DUMMYFUNCTION("""COMPUTED_VALUE"""),45810.0)</f>
        <v>45810</v>
      </c>
      <c r="BT27" s="179">
        <f>IFERROR(__xludf.DUMMYFUNCTION("""COMPUTED_VALUE"""),0.0)</f>
        <v>0</v>
      </c>
      <c r="BU27" s="180">
        <f>IFERROR(__xludf.DUMMYFUNCTION("""COMPUTED_VALUE"""),45779.0)</f>
        <v>45779</v>
      </c>
      <c r="BV27" s="179">
        <f>IFERROR(__xludf.DUMMYFUNCTION("""COMPUTED_VALUE"""),0.0)</f>
        <v>0</v>
      </c>
      <c r="BW27" s="180">
        <f>IFERROR(__xludf.DUMMYFUNCTION("""COMPUTED_VALUE"""),45901.0)</f>
        <v>45901</v>
      </c>
      <c r="BX27" s="179">
        <f>IFERROR(__xludf.DUMMYFUNCTION("""COMPUTED_VALUE"""),0.0)</f>
        <v>0</v>
      </c>
      <c r="BY27" s="180">
        <f>IFERROR(__xludf.DUMMYFUNCTION("""COMPUTED_VALUE"""),45749.0)</f>
        <v>45749</v>
      </c>
      <c r="BZ27" s="179">
        <f>IFERROR(__xludf.DUMMYFUNCTION("""COMPUTED_VALUE"""),0.0)</f>
        <v>0</v>
      </c>
      <c r="CA27" s="180">
        <f>IFERROR(__xludf.DUMMYFUNCTION("""COMPUTED_VALUE"""),45690.0)</f>
        <v>45690</v>
      </c>
      <c r="CB27" s="179">
        <f>IFERROR(__xludf.DUMMYFUNCTION("""COMPUTED_VALUE"""),0.0)</f>
        <v>0</v>
      </c>
      <c r="CC27" s="180">
        <f>IFERROR(__xludf.DUMMYFUNCTION("""COMPUTED_VALUE"""),45718.0)</f>
        <v>45718</v>
      </c>
      <c r="CD27" s="179">
        <f>IFERROR(__xludf.DUMMYFUNCTION("""COMPUTED_VALUE"""),0.0)</f>
        <v>0</v>
      </c>
      <c r="CE27" s="182">
        <f>IFERROR(__xludf.DUMMYFUNCTION("""COMPUTED_VALUE"""),45810.0)</f>
        <v>45810</v>
      </c>
      <c r="CF27" s="179">
        <f>IFERROR(__xludf.DUMMYFUNCTION("""COMPUTED_VALUE"""),0.0)</f>
        <v>0</v>
      </c>
      <c r="CG27" s="180">
        <f>IFERROR(__xludf.DUMMYFUNCTION("""COMPUTED_VALUE"""),45931.0)</f>
        <v>45931</v>
      </c>
      <c r="CH27" s="179">
        <f>IFERROR(__xludf.DUMMYFUNCTION("""COMPUTED_VALUE"""),0.0)</f>
        <v>0</v>
      </c>
      <c r="CI27" s="180">
        <f>IFERROR(__xludf.DUMMYFUNCTION("""COMPUTED_VALUE"""),45659.0)</f>
        <v>45659</v>
      </c>
      <c r="CJ27" s="179">
        <f>IFERROR(__xludf.DUMMYFUNCTION("""COMPUTED_VALUE"""),0.0)</f>
        <v>0</v>
      </c>
      <c r="CK27" s="180">
        <f>IFERROR(__xludf.DUMMYFUNCTION("""COMPUTED_VALUE"""),45690.0)</f>
        <v>45690</v>
      </c>
      <c r="CL27" s="179">
        <f>IFERROR(__xludf.DUMMYFUNCTION("""COMPUTED_VALUE"""),0.0)</f>
        <v>0</v>
      </c>
      <c r="CM27" s="180">
        <f>IFERROR(__xludf.DUMMYFUNCTION("""COMPUTED_VALUE"""),45659.0)</f>
        <v>45659</v>
      </c>
      <c r="CN27" s="179">
        <f>IFERROR(__xludf.DUMMYFUNCTION("""COMPUTED_VALUE"""),0.0)</f>
        <v>0</v>
      </c>
      <c r="CO27" s="180">
        <f>IFERROR(__xludf.DUMMYFUNCTION("""COMPUTED_VALUE"""),45931.0)</f>
        <v>45931</v>
      </c>
      <c r="CP27" s="179">
        <f>IFERROR(__xludf.DUMMYFUNCTION("""COMPUTED_VALUE"""),0.0)</f>
        <v>0</v>
      </c>
      <c r="CQ27" s="180">
        <f>IFERROR(__xludf.DUMMYFUNCTION("""COMPUTED_VALUE"""),45844.0)</f>
        <v>45844</v>
      </c>
      <c r="CR27" s="179">
        <f>IFERROR(__xludf.DUMMYFUNCTION("""COMPUTED_VALUE"""),0.0625)</f>
        <v>0.0625</v>
      </c>
      <c r="CS27" s="180">
        <f>IFERROR(__xludf.DUMMYFUNCTION("""COMPUTED_VALUE"""),45749.0)</f>
        <v>45749</v>
      </c>
      <c r="CT27" s="179">
        <f>IFERROR(__xludf.DUMMYFUNCTION("""COMPUTED_VALUE"""),0.0)</f>
        <v>0</v>
      </c>
      <c r="CU27" s="180">
        <f>IFERROR(__xludf.DUMMYFUNCTION("""COMPUTED_VALUE"""),45810.0)</f>
        <v>45810</v>
      </c>
      <c r="CV27" s="179">
        <f>IFERROR(__xludf.DUMMYFUNCTION("""COMPUTED_VALUE"""),0.0)</f>
        <v>0</v>
      </c>
      <c r="CW27" s="180">
        <f>IFERROR(__xludf.DUMMYFUNCTION("""COMPUTED_VALUE"""),45809.0)</f>
        <v>45809</v>
      </c>
      <c r="CX27" s="179">
        <f>IFERROR(__xludf.DUMMYFUNCTION("""COMPUTED_VALUE"""),0.0)</f>
        <v>0</v>
      </c>
      <c r="CY27" s="182">
        <f>IFERROR(__xludf.DUMMYFUNCTION("""COMPUTED_VALUE"""),45779.0)</f>
        <v>45779</v>
      </c>
      <c r="CZ27" s="179">
        <f>IFERROR(__xludf.DUMMYFUNCTION("""COMPUTED_VALUE"""),0.0)</f>
        <v>0</v>
      </c>
      <c r="DA27" s="180">
        <f>IFERROR(__xludf.DUMMYFUNCTION("""COMPUTED_VALUE"""),45779.0)</f>
        <v>45779</v>
      </c>
      <c r="DB27" s="179">
        <f>IFERROR(__xludf.DUMMYFUNCTION("""COMPUTED_VALUE"""),0.0)</f>
        <v>0</v>
      </c>
      <c r="DC27" s="180">
        <f>IFERROR(__xludf.DUMMYFUNCTION("""COMPUTED_VALUE"""),45690.0)</f>
        <v>45690</v>
      </c>
      <c r="DD27" s="179">
        <f>IFERROR(__xludf.DUMMYFUNCTION("""COMPUTED_VALUE"""),0.0)</f>
        <v>0</v>
      </c>
      <c r="DE27" s="180">
        <f>IFERROR(__xludf.DUMMYFUNCTION("""COMPUTED_VALUE"""),45718.0)</f>
        <v>45718</v>
      </c>
      <c r="DF27" s="179">
        <f>IFERROR(__xludf.DUMMYFUNCTION("""COMPUTED_VALUE"""),0.0)</f>
        <v>0</v>
      </c>
      <c r="DG27" s="180">
        <f>IFERROR(__xludf.DUMMYFUNCTION("""COMPUTED_VALUE"""),45810.0)</f>
        <v>45810</v>
      </c>
      <c r="DH27" s="179">
        <f>IFERROR(__xludf.DUMMYFUNCTION("""COMPUTED_VALUE"""),0.0)</f>
        <v>0</v>
      </c>
      <c r="DI27" s="180">
        <f>IFERROR(__xludf.DUMMYFUNCTION("""COMPUTED_VALUE"""),45810.0)</f>
        <v>45810</v>
      </c>
      <c r="DJ27" s="179">
        <f>IFERROR(__xludf.DUMMYFUNCTION("""COMPUTED_VALUE"""),0.0)</f>
        <v>0</v>
      </c>
      <c r="DK27" s="180">
        <f>IFERROR(__xludf.DUMMYFUNCTION("""COMPUTED_VALUE"""),45749.0)</f>
        <v>45749</v>
      </c>
      <c r="DL27" s="179">
        <f>IFERROR(__xludf.DUMMYFUNCTION("""COMPUTED_VALUE"""),0.0)</f>
        <v>0</v>
      </c>
      <c r="DM27" s="180">
        <f>IFERROR(__xludf.DUMMYFUNCTION("""COMPUTED_VALUE"""),45749.0)</f>
        <v>45749</v>
      </c>
      <c r="DN27" s="179">
        <f>IFERROR(__xludf.DUMMYFUNCTION("""COMPUTED_VALUE"""),0.0)</f>
        <v>0</v>
      </c>
      <c r="DO27" s="180">
        <f>IFERROR(__xludf.DUMMYFUNCTION("""COMPUTED_VALUE"""),45749.0)</f>
        <v>45749</v>
      </c>
      <c r="DP27" s="179">
        <f>IFERROR(__xludf.DUMMYFUNCTION("""COMPUTED_VALUE"""),0.0)</f>
        <v>0</v>
      </c>
      <c r="DQ27" s="180">
        <f>IFERROR(__xludf.DUMMYFUNCTION("""COMPUTED_VALUE"""),45901.0)</f>
        <v>45901</v>
      </c>
      <c r="DR27" s="179">
        <f>IFERROR(__xludf.DUMMYFUNCTION("""COMPUTED_VALUE"""),0.0)</f>
        <v>0</v>
      </c>
      <c r="DS27" s="182">
        <f>IFERROR(__xludf.DUMMYFUNCTION("""COMPUTED_VALUE"""),45779.0)</f>
        <v>45779</v>
      </c>
      <c r="DT27" s="179">
        <f>IFERROR(__xludf.DUMMYFUNCTION("""COMPUTED_VALUE"""),0.0)</f>
        <v>0</v>
      </c>
      <c r="DU27" s="180">
        <f>IFERROR(__xludf.DUMMYFUNCTION("""COMPUTED_VALUE"""),45749.0)</f>
        <v>45749</v>
      </c>
      <c r="DV27" s="179">
        <f>IFERROR(__xludf.DUMMYFUNCTION("""COMPUTED_VALUE"""),0.0)</f>
        <v>0</v>
      </c>
      <c r="DW27" s="180">
        <f>IFERROR(__xludf.DUMMYFUNCTION("""COMPUTED_VALUE"""),45749.0)</f>
        <v>45749</v>
      </c>
      <c r="DX27" s="179">
        <f>IFERROR(__xludf.DUMMYFUNCTION("""COMPUTED_VALUE"""),0.0)</f>
        <v>0</v>
      </c>
      <c r="DY27" s="180">
        <f>IFERROR(__xludf.DUMMYFUNCTION("""COMPUTED_VALUE"""),45779.0)</f>
        <v>45779</v>
      </c>
      <c r="DZ27" s="179">
        <f>IFERROR(__xludf.DUMMYFUNCTION("""COMPUTED_VALUE"""),0.0)</f>
        <v>0</v>
      </c>
      <c r="EA27" s="180">
        <f>IFERROR(__xludf.DUMMYFUNCTION("""COMPUTED_VALUE"""),45810.0)</f>
        <v>45810</v>
      </c>
      <c r="EB27" s="179">
        <f>IFERROR(__xludf.DUMMYFUNCTION("""COMPUTED_VALUE"""),0.0)</f>
        <v>0</v>
      </c>
      <c r="EC27" s="180">
        <f>IFERROR(__xludf.DUMMYFUNCTION("""COMPUTED_VALUE"""),45779.0)</f>
        <v>45779</v>
      </c>
      <c r="ED27" s="179">
        <f>IFERROR(__xludf.DUMMYFUNCTION("""COMPUTED_VALUE"""),0.0)</f>
        <v>0</v>
      </c>
      <c r="EE27" s="180">
        <f>IFERROR(__xludf.DUMMYFUNCTION("""COMPUTED_VALUE"""),45690.0)</f>
        <v>45690</v>
      </c>
      <c r="EF27" s="179">
        <f>IFERROR(__xludf.DUMMYFUNCTION("""COMPUTED_VALUE"""),0.0)</f>
        <v>0</v>
      </c>
      <c r="EG27" s="180">
        <f>IFERROR(__xludf.DUMMYFUNCTION("""COMPUTED_VALUE"""),45779.0)</f>
        <v>45779</v>
      </c>
      <c r="EH27" s="179">
        <f>IFERROR(__xludf.DUMMYFUNCTION("""COMPUTED_VALUE"""),0.0)</f>
        <v>0</v>
      </c>
      <c r="EI27" s="180">
        <f>IFERROR(__xludf.DUMMYFUNCTION("""COMPUTED_VALUE"""),45779.0)</f>
        <v>45779</v>
      </c>
      <c r="EJ27" s="179">
        <f>IFERROR(__xludf.DUMMYFUNCTION("""COMPUTED_VALUE"""),0.0)</f>
        <v>0</v>
      </c>
      <c r="EK27" s="180">
        <f>IFERROR(__xludf.DUMMYFUNCTION("""COMPUTED_VALUE"""),45718.0)</f>
        <v>45718</v>
      </c>
      <c r="EL27" s="179">
        <f>IFERROR(__xludf.DUMMYFUNCTION("""COMPUTED_VALUE"""),0.0)</f>
        <v>0</v>
      </c>
      <c r="EM27" s="182">
        <f>IFERROR(__xludf.DUMMYFUNCTION("""COMPUTED_VALUE"""),45690.0)</f>
        <v>45690</v>
      </c>
      <c r="EN27" s="179">
        <f>IFERROR(__xludf.DUMMYFUNCTION("""COMPUTED_VALUE"""),0.0)</f>
        <v>0</v>
      </c>
      <c r="EO27" s="180">
        <f>IFERROR(__xludf.DUMMYFUNCTION("""COMPUTED_VALUE"""),45779.0)</f>
        <v>45779</v>
      </c>
      <c r="EP27" s="179">
        <f>IFERROR(__xludf.DUMMYFUNCTION("""COMPUTED_VALUE"""),0.0)</f>
        <v>0</v>
      </c>
      <c r="EQ27" s="180">
        <f>IFERROR(__xludf.DUMMYFUNCTION("""COMPUTED_VALUE"""),45659.0)</f>
        <v>45659</v>
      </c>
      <c r="ER27" s="179">
        <f>IFERROR(__xludf.DUMMYFUNCTION("""COMPUTED_VALUE"""),0.0)</f>
        <v>0</v>
      </c>
      <c r="ES27" s="180">
        <f>IFERROR(__xludf.DUMMYFUNCTION("""COMPUTED_VALUE"""),45810.0)</f>
        <v>45810</v>
      </c>
      <c r="ET27" s="179">
        <f>IFERROR(__xludf.DUMMYFUNCTION("""COMPUTED_VALUE"""),0.0)</f>
        <v>0</v>
      </c>
      <c r="EU27" s="180">
        <f>IFERROR(__xludf.DUMMYFUNCTION("""COMPUTED_VALUE"""),45779.0)</f>
        <v>45779</v>
      </c>
      <c r="EV27" s="179">
        <f>IFERROR(__xludf.DUMMYFUNCTION("""COMPUTED_VALUE"""),0.0)</f>
        <v>0</v>
      </c>
      <c r="EW27" s="180">
        <f>IFERROR(__xludf.DUMMYFUNCTION("""COMPUTED_VALUE"""),45810.0)</f>
        <v>45810</v>
      </c>
      <c r="EX27" s="179">
        <f>IFERROR(__xludf.DUMMYFUNCTION("""COMPUTED_VALUE"""),0.0)</f>
        <v>0</v>
      </c>
      <c r="EY27" s="180">
        <f>IFERROR(__xludf.DUMMYFUNCTION("""COMPUTED_VALUE"""),45810.0)</f>
        <v>45810</v>
      </c>
      <c r="EZ27" s="179">
        <f>IFERROR(__xludf.DUMMYFUNCTION("""COMPUTED_VALUE"""),0.0)</f>
        <v>0</v>
      </c>
      <c r="FA27" s="180">
        <f>IFERROR(__xludf.DUMMYFUNCTION("""COMPUTED_VALUE"""),45779.0)</f>
        <v>45779</v>
      </c>
      <c r="FB27" s="179">
        <f>IFERROR(__xludf.DUMMYFUNCTION("""COMPUTED_VALUE"""),0.0)</f>
        <v>0</v>
      </c>
      <c r="FC27" s="180">
        <f>IFERROR(__xludf.DUMMYFUNCTION("""COMPUTED_VALUE"""),45810.0)</f>
        <v>45810</v>
      </c>
      <c r="FD27" s="179">
        <f>IFERROR(__xludf.DUMMYFUNCTION("""COMPUTED_VALUE"""),0.0)</f>
        <v>0</v>
      </c>
      <c r="FE27" s="180">
        <f>IFERROR(__xludf.DUMMYFUNCTION("""COMPUTED_VALUE"""),45690.0)</f>
        <v>45690</v>
      </c>
      <c r="FF27" s="179">
        <f>IFERROR(__xludf.DUMMYFUNCTION("""COMPUTED_VALUE"""),0.0)</f>
        <v>0</v>
      </c>
      <c r="FG27" s="182">
        <f>IFERROR(__xludf.DUMMYFUNCTION("""COMPUTED_VALUE"""),45690.0)</f>
        <v>45690</v>
      </c>
      <c r="FH27" s="179">
        <f>IFERROR(__xludf.DUMMYFUNCTION("""COMPUTED_VALUE"""),0.0)</f>
        <v>0</v>
      </c>
      <c r="FI27" s="180">
        <f>IFERROR(__xludf.DUMMYFUNCTION("""COMPUTED_VALUE"""),45870.0)</f>
        <v>45870</v>
      </c>
      <c r="FJ27" s="179">
        <f>IFERROR(__xludf.DUMMYFUNCTION("""COMPUTED_VALUE"""),0.0)</f>
        <v>0</v>
      </c>
      <c r="FK27" s="180">
        <f>IFERROR(__xludf.DUMMYFUNCTION("""COMPUTED_VALUE"""),45870.0)</f>
        <v>45870</v>
      </c>
      <c r="FL27" s="179">
        <f>IFERROR(__xludf.DUMMYFUNCTION("""COMPUTED_VALUE"""),0.0)</f>
        <v>0</v>
      </c>
      <c r="FM27" s="180">
        <f>IFERROR(__xludf.DUMMYFUNCTION("""COMPUTED_VALUE"""),45931.0)</f>
        <v>45931</v>
      </c>
      <c r="FN27" s="179">
        <f>IFERROR(__xludf.DUMMYFUNCTION("""COMPUTED_VALUE"""),0.0)</f>
        <v>0</v>
      </c>
      <c r="FO27" s="180">
        <f>IFERROR(__xludf.DUMMYFUNCTION("""COMPUTED_VALUE"""),45718.0)</f>
        <v>45718</v>
      </c>
      <c r="FP27" s="179">
        <f>IFERROR(__xludf.DUMMYFUNCTION("""COMPUTED_VALUE"""),0.0)</f>
        <v>0</v>
      </c>
      <c r="FQ27" s="180">
        <f>IFERROR(__xludf.DUMMYFUNCTION("""COMPUTED_VALUE"""),45810.0)</f>
        <v>45810</v>
      </c>
      <c r="FR27" s="179">
        <f>IFERROR(__xludf.DUMMYFUNCTION("""COMPUTED_VALUE"""),0.0)</f>
        <v>0</v>
      </c>
      <c r="FS27" s="180">
        <f>IFERROR(__xludf.DUMMYFUNCTION("""COMPUTED_VALUE"""),45809.0)</f>
        <v>45809</v>
      </c>
      <c r="FT27" s="179">
        <f>IFERROR(__xludf.DUMMYFUNCTION("""COMPUTED_VALUE"""),0.0)</f>
        <v>0</v>
      </c>
      <c r="FU27" s="180">
        <f>IFERROR(__xludf.DUMMYFUNCTION("""COMPUTED_VALUE"""),45718.0)</f>
        <v>45718</v>
      </c>
      <c r="FV27" s="179">
        <f>IFERROR(__xludf.DUMMYFUNCTION("""COMPUTED_VALUE"""),0.0)</f>
        <v>0</v>
      </c>
      <c r="FW27" s="180">
        <f>IFERROR(__xludf.DUMMYFUNCTION("""COMPUTED_VALUE"""),45810.0)</f>
        <v>45810</v>
      </c>
      <c r="FX27" s="179">
        <f>IFERROR(__xludf.DUMMYFUNCTION("""COMPUTED_VALUE"""),0.0)</f>
        <v>0</v>
      </c>
      <c r="FY27" s="180">
        <f>IFERROR(__xludf.DUMMYFUNCTION("""COMPUTED_VALUE"""),45870.0)</f>
        <v>45870</v>
      </c>
      <c r="FZ27" s="179">
        <f>IFERROR(__xludf.DUMMYFUNCTION("""COMPUTED_VALUE"""),0.0)</f>
        <v>0</v>
      </c>
      <c r="GA27" s="182">
        <f>IFERROR(__xludf.DUMMYFUNCTION("""COMPUTED_VALUE"""),45810.0)</f>
        <v>45810</v>
      </c>
      <c r="GB27" s="179">
        <f>IFERROR(__xludf.DUMMYFUNCTION("""COMPUTED_VALUE"""),0.0)</f>
        <v>0</v>
      </c>
      <c r="GC27" s="180">
        <f>IFERROR(__xludf.DUMMYFUNCTION("""COMPUTED_VALUE"""),45718.0)</f>
        <v>45718</v>
      </c>
      <c r="GD27" s="179">
        <f>IFERROR(__xludf.DUMMYFUNCTION("""COMPUTED_VALUE"""),0.0)</f>
        <v>0</v>
      </c>
      <c r="GE27" s="180">
        <f>IFERROR(__xludf.DUMMYFUNCTION("""COMPUTED_VALUE"""),45718.0)</f>
        <v>45718</v>
      </c>
      <c r="GF27" s="179">
        <f>IFERROR(__xludf.DUMMYFUNCTION("""COMPUTED_VALUE"""),0.0)</f>
        <v>0</v>
      </c>
      <c r="GG27" s="180">
        <f>IFERROR(__xludf.DUMMYFUNCTION("""COMPUTED_VALUE"""),45718.0)</f>
        <v>45718</v>
      </c>
      <c r="GH27" s="179">
        <f>IFERROR(__xludf.DUMMYFUNCTION("""COMPUTED_VALUE"""),0.0)</f>
        <v>0</v>
      </c>
      <c r="GI27" s="180">
        <f>IFERROR(__xludf.DUMMYFUNCTION("""COMPUTED_VALUE"""),45810.0)</f>
        <v>45810</v>
      </c>
      <c r="GJ27" s="179">
        <f>IFERROR(__xludf.DUMMYFUNCTION("""COMPUTED_VALUE"""),0.0)</f>
        <v>0</v>
      </c>
      <c r="GK27" s="180">
        <f>IFERROR(__xludf.DUMMYFUNCTION("""COMPUTED_VALUE"""),45810.0)</f>
        <v>45810</v>
      </c>
      <c r="GL27" s="179">
        <f>IFERROR(__xludf.DUMMYFUNCTION("""COMPUTED_VALUE"""),0.0)</f>
        <v>0</v>
      </c>
      <c r="GM27" s="180">
        <f>IFERROR(__xludf.DUMMYFUNCTION("""COMPUTED_VALUE"""),45901.0)</f>
        <v>45901</v>
      </c>
      <c r="GN27" s="179">
        <f>IFERROR(__xludf.DUMMYFUNCTION("""COMPUTED_VALUE"""),0.0)</f>
        <v>0</v>
      </c>
      <c r="GO27" s="180">
        <f>IFERROR(__xludf.DUMMYFUNCTION("""COMPUTED_VALUE"""),45810.0)</f>
        <v>45810</v>
      </c>
      <c r="GP27" s="179">
        <f>IFERROR(__xludf.DUMMYFUNCTION("""COMPUTED_VALUE"""),0.0)</f>
        <v>0</v>
      </c>
      <c r="GQ27" s="180">
        <f>IFERROR(__xludf.DUMMYFUNCTION("""COMPUTED_VALUE"""),45659.0)</f>
        <v>45659</v>
      </c>
      <c r="GR27" s="179">
        <f>IFERROR(__xludf.DUMMYFUNCTION("""COMPUTED_VALUE"""),0.0)</f>
        <v>0</v>
      </c>
      <c r="GS27" s="180">
        <f>IFERROR(__xludf.DUMMYFUNCTION("""COMPUTED_VALUE"""),45901.0)</f>
        <v>45901</v>
      </c>
      <c r="GT27" s="179">
        <f>IFERROR(__xludf.DUMMYFUNCTION("""COMPUTED_VALUE"""),0.0)</f>
        <v>0</v>
      </c>
    </row>
    <row r="28" ht="31.5" customHeight="1">
      <c r="B28" s="183"/>
      <c r="C28" s="178">
        <f>IFERROR(__xludf.DUMMYFUNCTION("""COMPUTED_VALUE"""),45691.0)</f>
        <v>45691</v>
      </c>
      <c r="D28" s="179">
        <f>IFERROR(__xludf.DUMMYFUNCTION("""COMPUTED_VALUE"""),0.0)</f>
        <v>0</v>
      </c>
      <c r="E28" s="180">
        <f>IFERROR(__xludf.DUMMYFUNCTION("""COMPUTED_VALUE"""),45719.0)</f>
        <v>45719</v>
      </c>
      <c r="F28" s="179">
        <f>IFERROR(__xludf.DUMMYFUNCTION("""COMPUTED_VALUE"""),0.0)</f>
        <v>0</v>
      </c>
      <c r="G28" s="180">
        <f>IFERROR(__xludf.DUMMYFUNCTION("""COMPUTED_VALUE"""),45719.0)</f>
        <v>45719</v>
      </c>
      <c r="H28" s="179">
        <f>IFERROR(__xludf.DUMMYFUNCTION("""COMPUTED_VALUE"""),0.0)</f>
        <v>0</v>
      </c>
      <c r="I28" s="180">
        <f>IFERROR(__xludf.DUMMYFUNCTION("""COMPUTED_VALUE"""),45780.0)</f>
        <v>45780</v>
      </c>
      <c r="J28" s="179">
        <f>IFERROR(__xludf.DUMMYFUNCTION("""COMPUTED_VALUE"""),0.0)</f>
        <v>0</v>
      </c>
      <c r="K28" s="180">
        <f>IFERROR(__xludf.DUMMYFUNCTION("""COMPUTED_VALUE"""),45932.0)</f>
        <v>45932</v>
      </c>
      <c r="L28" s="179">
        <f>IFERROR(__xludf.DUMMYFUNCTION("""COMPUTED_VALUE"""),0.0)</f>
        <v>0</v>
      </c>
      <c r="M28" s="180">
        <f>IFERROR(__xludf.DUMMYFUNCTION("""COMPUTED_VALUE"""),45691.0)</f>
        <v>45691</v>
      </c>
      <c r="N28" s="179">
        <f>IFERROR(__xludf.DUMMYFUNCTION("""COMPUTED_VALUE"""),0.0)</f>
        <v>0</v>
      </c>
      <c r="O28" s="180">
        <f>IFERROR(__xludf.DUMMYFUNCTION("""COMPUTED_VALUE"""),45840.0)</f>
        <v>45840</v>
      </c>
      <c r="P28" s="179">
        <f>IFERROR(__xludf.DUMMYFUNCTION("""COMPUTED_VALUE"""),0.0)</f>
        <v>0</v>
      </c>
      <c r="Q28" s="180">
        <f>IFERROR(__xludf.DUMMYFUNCTION("""COMPUTED_VALUE"""),45871.0)</f>
        <v>45871</v>
      </c>
      <c r="R28" s="179">
        <f>IFERROR(__xludf.DUMMYFUNCTION("""COMPUTED_VALUE"""),0.0)</f>
        <v>0</v>
      </c>
      <c r="S28" s="180">
        <f>IFERROR(__xludf.DUMMYFUNCTION("""COMPUTED_VALUE"""),45750.0)</f>
        <v>45750</v>
      </c>
      <c r="T28" s="179">
        <f>IFERROR(__xludf.DUMMYFUNCTION("""COMPUTED_VALUE"""),0.0)</f>
        <v>0</v>
      </c>
      <c r="U28" s="180">
        <f>IFERROR(__xludf.DUMMYFUNCTION("""COMPUTED_VALUE"""),45840.0)</f>
        <v>45840</v>
      </c>
      <c r="V28" s="181">
        <f>IFERROR(__xludf.DUMMYFUNCTION("""COMPUTED_VALUE"""),0.0)</f>
        <v>0</v>
      </c>
      <c r="W28" s="178">
        <f>IFERROR(__xludf.DUMMYFUNCTION("""COMPUTED_VALUE"""),45691.0)</f>
        <v>45691</v>
      </c>
      <c r="X28" s="179">
        <f>IFERROR(__xludf.DUMMYFUNCTION("""COMPUTED_VALUE"""),0.0)</f>
        <v>0</v>
      </c>
      <c r="Y28" s="180">
        <f>IFERROR(__xludf.DUMMYFUNCTION("""COMPUTED_VALUE"""),45931.0)</f>
        <v>45931</v>
      </c>
      <c r="Z28" s="179">
        <f>IFERROR(__xludf.DUMMYFUNCTION("""COMPUTED_VALUE"""),0.0)</f>
        <v>0</v>
      </c>
      <c r="AA28" s="180">
        <f>IFERROR(__xludf.DUMMYFUNCTION("""COMPUTED_VALUE"""),45750.0)</f>
        <v>45750</v>
      </c>
      <c r="AB28" s="179">
        <f>IFERROR(__xludf.DUMMYFUNCTION("""COMPUTED_VALUE"""),0.0)</f>
        <v>0</v>
      </c>
      <c r="AC28" s="180">
        <f>IFERROR(__xludf.DUMMYFUNCTION("""COMPUTED_VALUE"""),45870.0)</f>
        <v>45870</v>
      </c>
      <c r="AD28" s="179">
        <f>IFERROR(__xludf.DUMMYFUNCTION("""COMPUTED_VALUE"""),0.0)</f>
        <v>0</v>
      </c>
      <c r="AE28" s="180">
        <f>IFERROR(__xludf.DUMMYFUNCTION("""COMPUTED_VALUE"""),45839.0)</f>
        <v>45839</v>
      </c>
      <c r="AF28" s="179">
        <f>IFERROR(__xludf.DUMMYFUNCTION("""COMPUTED_VALUE"""),0.0)</f>
        <v>0</v>
      </c>
      <c r="AG28" s="180">
        <f>IFERROR(__xludf.DUMMYFUNCTION("""COMPUTED_VALUE"""),45691.0)</f>
        <v>45691</v>
      </c>
      <c r="AH28" s="179">
        <f>IFERROR(__xludf.DUMMYFUNCTION("""COMPUTED_VALUE"""),0.0)</f>
        <v>0</v>
      </c>
      <c r="AI28" s="180">
        <f>IFERROR(__xludf.DUMMYFUNCTION("""COMPUTED_VALUE"""),45870.0)</f>
        <v>45870</v>
      </c>
      <c r="AJ28" s="179">
        <f>IFERROR(__xludf.DUMMYFUNCTION("""COMPUTED_VALUE"""),0.0)</f>
        <v>0</v>
      </c>
      <c r="AK28" s="180">
        <f>IFERROR(__xludf.DUMMYFUNCTION("""COMPUTED_VALUE"""),45719.0)</f>
        <v>45719</v>
      </c>
      <c r="AL28" s="179">
        <f>IFERROR(__xludf.DUMMYFUNCTION("""COMPUTED_VALUE"""),0.0)</f>
        <v>0</v>
      </c>
      <c r="AM28" s="180">
        <f>IFERROR(__xludf.DUMMYFUNCTION("""COMPUTED_VALUE"""),45780.0)</f>
        <v>45780</v>
      </c>
      <c r="AN28" s="179">
        <f>IFERROR(__xludf.DUMMYFUNCTION("""COMPUTED_VALUE"""),0.0)</f>
        <v>0</v>
      </c>
      <c r="AO28" s="180">
        <f>IFERROR(__xludf.DUMMYFUNCTION("""COMPUTED_VALUE"""),45870.0)</f>
        <v>45870</v>
      </c>
      <c r="AP28" s="181">
        <f>IFERROR(__xludf.DUMMYFUNCTION("""COMPUTED_VALUE"""),0.0)</f>
        <v>0</v>
      </c>
      <c r="AQ28" s="178">
        <f>IFERROR(__xludf.DUMMYFUNCTION("""COMPUTED_VALUE"""),45749.0)</f>
        <v>45749</v>
      </c>
      <c r="AR28" s="179">
        <f>IFERROR(__xludf.DUMMYFUNCTION("""COMPUTED_VALUE"""),0.0)</f>
        <v>0</v>
      </c>
      <c r="AS28" s="180">
        <f>IFERROR(__xludf.DUMMYFUNCTION("""COMPUTED_VALUE"""),45779.0)</f>
        <v>45779</v>
      </c>
      <c r="AT28" s="179">
        <f>IFERROR(__xludf.DUMMYFUNCTION("""COMPUTED_VALUE"""),0.0)</f>
        <v>0</v>
      </c>
      <c r="AU28" s="180">
        <f>IFERROR(__xludf.DUMMYFUNCTION("""COMPUTED_VALUE"""),45749.0)</f>
        <v>45749</v>
      </c>
      <c r="AV28" s="179">
        <f>IFERROR(__xludf.DUMMYFUNCTION("""COMPUTED_VALUE"""),0.0)</f>
        <v>0</v>
      </c>
      <c r="AW28" s="180">
        <f>IFERROR(__xludf.DUMMYFUNCTION("""COMPUTED_VALUE"""),45749.0)</f>
        <v>45749</v>
      </c>
      <c r="AX28" s="179">
        <f>IFERROR(__xludf.DUMMYFUNCTION("""COMPUTED_VALUE"""),0.0)</f>
        <v>0</v>
      </c>
      <c r="AY28" s="180">
        <f>IFERROR(__xludf.DUMMYFUNCTION("""COMPUTED_VALUE"""),45718.0)</f>
        <v>45718</v>
      </c>
      <c r="AZ28" s="179">
        <f>IFERROR(__xludf.DUMMYFUNCTION("""COMPUTED_VALUE"""),0.0)</f>
        <v>0</v>
      </c>
      <c r="BA28" s="180">
        <f>IFERROR(__xludf.DUMMYFUNCTION("""COMPUTED_VALUE"""),45749.0)</f>
        <v>45749</v>
      </c>
      <c r="BB28" s="179">
        <f>IFERROR(__xludf.DUMMYFUNCTION("""COMPUTED_VALUE"""),0.0)</f>
        <v>0</v>
      </c>
      <c r="BC28" s="180">
        <f>IFERROR(__xludf.DUMMYFUNCTION("""COMPUTED_VALUE"""),45718.0)</f>
        <v>45718</v>
      </c>
      <c r="BD28" s="179">
        <f>IFERROR(__xludf.DUMMYFUNCTION("""COMPUTED_VALUE"""),0.0)</f>
        <v>0</v>
      </c>
      <c r="BE28" s="180">
        <f>IFERROR(__xludf.DUMMYFUNCTION("""COMPUTED_VALUE"""),45840.0)</f>
        <v>45840</v>
      </c>
      <c r="BF28" s="179">
        <f>IFERROR(__xludf.DUMMYFUNCTION("""COMPUTED_VALUE"""),0.0)</f>
        <v>0</v>
      </c>
      <c r="BG28" s="180">
        <f>IFERROR(__xludf.DUMMYFUNCTION("""COMPUTED_VALUE"""),45749.0)</f>
        <v>45749</v>
      </c>
      <c r="BH28" s="179">
        <f>IFERROR(__xludf.DUMMYFUNCTION("""COMPUTED_VALUE"""),0.0)</f>
        <v>0</v>
      </c>
      <c r="BI28" s="180">
        <f>IFERROR(__xludf.DUMMYFUNCTION("""COMPUTED_VALUE"""),45690.0)</f>
        <v>45690</v>
      </c>
      <c r="BJ28" s="179">
        <f>IFERROR(__xludf.DUMMYFUNCTION("""COMPUTED_VALUE"""),0.0)</f>
        <v>0</v>
      </c>
      <c r="BK28" s="182">
        <f>IFERROR(__xludf.DUMMYFUNCTION("""COMPUTED_VALUE"""),45779.0)</f>
        <v>45779</v>
      </c>
      <c r="BL28" s="179">
        <f>IFERROR(__xludf.DUMMYFUNCTION("""COMPUTED_VALUE"""),0.0)</f>
        <v>0</v>
      </c>
      <c r="BM28" s="180">
        <f>IFERROR(__xludf.DUMMYFUNCTION("""COMPUTED_VALUE"""),45659.0)</f>
        <v>45659</v>
      </c>
      <c r="BN28" s="179">
        <f>IFERROR(__xludf.DUMMYFUNCTION("""COMPUTED_VALUE"""),0.0)</f>
        <v>0</v>
      </c>
      <c r="BO28" s="180">
        <f>IFERROR(__xludf.DUMMYFUNCTION("""COMPUTED_VALUE"""),45931.0)</f>
        <v>45931</v>
      </c>
      <c r="BP28" s="179">
        <f>IFERROR(__xludf.DUMMYFUNCTION("""COMPUTED_VALUE"""),0.0)</f>
        <v>0</v>
      </c>
      <c r="BQ28" s="180">
        <f>IFERROR(__xludf.DUMMYFUNCTION("""COMPUTED_VALUE"""),45779.0)</f>
        <v>45779</v>
      </c>
      <c r="BR28" s="179">
        <f>IFERROR(__xludf.DUMMYFUNCTION("""COMPUTED_VALUE"""),0.0)</f>
        <v>0</v>
      </c>
      <c r="BS28" s="180">
        <f>IFERROR(__xludf.DUMMYFUNCTION("""COMPUTED_VALUE"""),45840.0)</f>
        <v>45840</v>
      </c>
      <c r="BT28" s="179">
        <f>IFERROR(__xludf.DUMMYFUNCTION("""COMPUTED_VALUE"""),0.0)</f>
        <v>0</v>
      </c>
      <c r="BU28" s="180">
        <f>IFERROR(__xludf.DUMMYFUNCTION("""COMPUTED_VALUE"""),45810.0)</f>
        <v>45810</v>
      </c>
      <c r="BV28" s="179">
        <f>IFERROR(__xludf.DUMMYFUNCTION("""COMPUTED_VALUE"""),0.0)</f>
        <v>0</v>
      </c>
      <c r="BW28" s="180">
        <f>IFERROR(__xludf.DUMMYFUNCTION("""COMPUTED_VALUE"""),45659.0)</f>
        <v>45659</v>
      </c>
      <c r="BX28" s="179">
        <f>IFERROR(__xludf.DUMMYFUNCTION("""COMPUTED_VALUE"""),0.0)</f>
        <v>0</v>
      </c>
      <c r="BY28" s="180">
        <f>IFERROR(__xludf.DUMMYFUNCTION("""COMPUTED_VALUE"""),45779.0)</f>
        <v>45779</v>
      </c>
      <c r="BZ28" s="179">
        <f>IFERROR(__xludf.DUMMYFUNCTION("""COMPUTED_VALUE"""),0.0)</f>
        <v>0</v>
      </c>
      <c r="CA28" s="180">
        <f>IFERROR(__xludf.DUMMYFUNCTION("""COMPUTED_VALUE"""),45718.0)</f>
        <v>45718</v>
      </c>
      <c r="CB28" s="179">
        <f>IFERROR(__xludf.DUMMYFUNCTION("""COMPUTED_VALUE"""),0.0)</f>
        <v>0</v>
      </c>
      <c r="CC28" s="180">
        <f>IFERROR(__xludf.DUMMYFUNCTION("""COMPUTED_VALUE"""),45749.0)</f>
        <v>45749</v>
      </c>
      <c r="CD28" s="179">
        <f>IFERROR(__xludf.DUMMYFUNCTION("""COMPUTED_VALUE"""),0.0)</f>
        <v>0</v>
      </c>
      <c r="CE28" s="182">
        <f>IFERROR(__xludf.DUMMYFUNCTION("""COMPUTED_VALUE"""),45840.0)</f>
        <v>45840</v>
      </c>
      <c r="CF28" s="179">
        <f>IFERROR(__xludf.DUMMYFUNCTION("""COMPUTED_VALUE"""),0.0)</f>
        <v>0</v>
      </c>
      <c r="CG28" s="180">
        <f>IFERROR(__xludf.DUMMYFUNCTION("""COMPUTED_VALUE"""),45659.0)</f>
        <v>45659</v>
      </c>
      <c r="CH28" s="179">
        <f>IFERROR(__xludf.DUMMYFUNCTION("""COMPUTED_VALUE"""),0.0)</f>
        <v>0</v>
      </c>
      <c r="CI28" s="180">
        <f>IFERROR(__xludf.DUMMYFUNCTION("""COMPUTED_VALUE"""),45690.0)</f>
        <v>45690</v>
      </c>
      <c r="CJ28" s="179">
        <f>IFERROR(__xludf.DUMMYFUNCTION("""COMPUTED_VALUE"""),0.0)</f>
        <v>0</v>
      </c>
      <c r="CK28" s="180">
        <f>IFERROR(__xludf.DUMMYFUNCTION("""COMPUTED_VALUE"""),45718.0)</f>
        <v>45718</v>
      </c>
      <c r="CL28" s="179">
        <f>IFERROR(__xludf.DUMMYFUNCTION("""COMPUTED_VALUE"""),0.0)</f>
        <v>0</v>
      </c>
      <c r="CM28" s="180">
        <f>IFERROR(__xludf.DUMMYFUNCTION("""COMPUTED_VALUE"""),45718.0)</f>
        <v>45718</v>
      </c>
      <c r="CN28" s="179">
        <f>IFERROR(__xludf.DUMMYFUNCTION("""COMPUTED_VALUE"""),0.0)</f>
        <v>0</v>
      </c>
      <c r="CO28" s="180">
        <f>IFERROR(__xludf.DUMMYFUNCTION("""COMPUTED_VALUE"""),45690.0)</f>
        <v>45690</v>
      </c>
      <c r="CP28" s="179">
        <f>IFERROR(__xludf.DUMMYFUNCTION("""COMPUTED_VALUE"""),0.0)</f>
        <v>0</v>
      </c>
      <c r="CQ28" s="180">
        <f>IFERROR(__xludf.DUMMYFUNCTION("""COMPUTED_VALUE"""),45658.0)</f>
        <v>45658</v>
      </c>
      <c r="CR28" s="179">
        <f>IFERROR(__xludf.DUMMYFUNCTION("""COMPUTED_VALUE"""),0.0)</f>
        <v>0</v>
      </c>
      <c r="CS28" s="180">
        <f>IFERROR(__xludf.DUMMYFUNCTION("""COMPUTED_VALUE"""),45779.0)</f>
        <v>45779</v>
      </c>
      <c r="CT28" s="179">
        <f>IFERROR(__xludf.DUMMYFUNCTION("""COMPUTED_VALUE"""),0.0)</f>
        <v>0</v>
      </c>
      <c r="CU28" s="180">
        <f>IFERROR(__xludf.DUMMYFUNCTION("""COMPUTED_VALUE"""),45840.0)</f>
        <v>45840</v>
      </c>
      <c r="CV28" s="179">
        <f>IFERROR(__xludf.DUMMYFUNCTION("""COMPUTED_VALUE"""),0.0)</f>
        <v>0</v>
      </c>
      <c r="CW28" s="180">
        <f>IFERROR(__xludf.DUMMYFUNCTION("""COMPUTED_VALUE"""),45839.0)</f>
        <v>45839</v>
      </c>
      <c r="CX28" s="179">
        <f>IFERROR(__xludf.DUMMYFUNCTION("""COMPUTED_VALUE"""),0.0)</f>
        <v>0</v>
      </c>
      <c r="CY28" s="182">
        <f>IFERROR(__xludf.DUMMYFUNCTION("""COMPUTED_VALUE"""),45810.0)</f>
        <v>45810</v>
      </c>
      <c r="CZ28" s="179">
        <f>IFERROR(__xludf.DUMMYFUNCTION("""COMPUTED_VALUE"""),0.0)</f>
        <v>0</v>
      </c>
      <c r="DA28" s="180">
        <f>IFERROR(__xludf.DUMMYFUNCTION("""COMPUTED_VALUE"""),45810.0)</f>
        <v>45810</v>
      </c>
      <c r="DB28" s="179">
        <f>IFERROR(__xludf.DUMMYFUNCTION("""COMPUTED_VALUE"""),0.0)</f>
        <v>0</v>
      </c>
      <c r="DC28" s="180">
        <f>IFERROR(__xludf.DUMMYFUNCTION("""COMPUTED_VALUE"""),45718.0)</f>
        <v>45718</v>
      </c>
      <c r="DD28" s="179">
        <f>IFERROR(__xludf.DUMMYFUNCTION("""COMPUTED_VALUE"""),0.0)</f>
        <v>0</v>
      </c>
      <c r="DE28" s="180">
        <f>IFERROR(__xludf.DUMMYFUNCTION("""COMPUTED_VALUE"""),45749.0)</f>
        <v>45749</v>
      </c>
      <c r="DF28" s="179">
        <f>IFERROR(__xludf.DUMMYFUNCTION("""COMPUTED_VALUE"""),0.0)</f>
        <v>0</v>
      </c>
      <c r="DG28" s="180">
        <f>IFERROR(__xludf.DUMMYFUNCTION("""COMPUTED_VALUE"""),45840.0)</f>
        <v>45840</v>
      </c>
      <c r="DH28" s="179">
        <f>IFERROR(__xludf.DUMMYFUNCTION("""COMPUTED_VALUE"""),0.0)</f>
        <v>0</v>
      </c>
      <c r="DI28" s="180">
        <f>IFERROR(__xludf.DUMMYFUNCTION("""COMPUTED_VALUE"""),45840.0)</f>
        <v>45840</v>
      </c>
      <c r="DJ28" s="179">
        <f>IFERROR(__xludf.DUMMYFUNCTION("""COMPUTED_VALUE"""),0.0)</f>
        <v>0</v>
      </c>
      <c r="DK28" s="180">
        <f>IFERROR(__xludf.DUMMYFUNCTION("""COMPUTED_VALUE"""),45779.0)</f>
        <v>45779</v>
      </c>
      <c r="DL28" s="179">
        <f>IFERROR(__xludf.DUMMYFUNCTION("""COMPUTED_VALUE"""),0.0)</f>
        <v>0</v>
      </c>
      <c r="DM28" s="180">
        <f>IFERROR(__xludf.DUMMYFUNCTION("""COMPUTED_VALUE"""),45779.0)</f>
        <v>45779</v>
      </c>
      <c r="DN28" s="179">
        <f>IFERROR(__xludf.DUMMYFUNCTION("""COMPUTED_VALUE"""),0.0)</f>
        <v>0</v>
      </c>
      <c r="DO28" s="180">
        <f>IFERROR(__xludf.DUMMYFUNCTION("""COMPUTED_VALUE"""),45779.0)</f>
        <v>45779</v>
      </c>
      <c r="DP28" s="179">
        <f>IFERROR(__xludf.DUMMYFUNCTION("""COMPUTED_VALUE"""),0.0)</f>
        <v>0</v>
      </c>
      <c r="DQ28" s="180">
        <f>IFERROR(__xludf.DUMMYFUNCTION("""COMPUTED_VALUE"""),45659.0)</f>
        <v>45659</v>
      </c>
      <c r="DR28" s="179">
        <f>IFERROR(__xludf.DUMMYFUNCTION("""COMPUTED_VALUE"""),0.0)</f>
        <v>0</v>
      </c>
      <c r="DS28" s="182">
        <f>IFERROR(__xludf.DUMMYFUNCTION("""COMPUTED_VALUE"""),45810.0)</f>
        <v>45810</v>
      </c>
      <c r="DT28" s="179">
        <f>IFERROR(__xludf.DUMMYFUNCTION("""COMPUTED_VALUE"""),0.0)</f>
        <v>0</v>
      </c>
      <c r="DU28" s="180">
        <f>IFERROR(__xludf.DUMMYFUNCTION("""COMPUTED_VALUE"""),45779.0)</f>
        <v>45779</v>
      </c>
      <c r="DV28" s="179">
        <f>IFERROR(__xludf.DUMMYFUNCTION("""COMPUTED_VALUE"""),0.0)</f>
        <v>0</v>
      </c>
      <c r="DW28" s="180">
        <f>IFERROR(__xludf.DUMMYFUNCTION("""COMPUTED_VALUE"""),45779.0)</f>
        <v>45779</v>
      </c>
      <c r="DX28" s="179">
        <f>IFERROR(__xludf.DUMMYFUNCTION("""COMPUTED_VALUE"""),0.0)</f>
        <v>0</v>
      </c>
      <c r="DY28" s="180">
        <f>IFERROR(__xludf.DUMMYFUNCTION("""COMPUTED_VALUE"""),45810.0)</f>
        <v>45810</v>
      </c>
      <c r="DZ28" s="179">
        <f>IFERROR(__xludf.DUMMYFUNCTION("""COMPUTED_VALUE"""),0.0)</f>
        <v>0</v>
      </c>
      <c r="EA28" s="180">
        <f>IFERROR(__xludf.DUMMYFUNCTION("""COMPUTED_VALUE"""),45840.0)</f>
        <v>45840</v>
      </c>
      <c r="EB28" s="179">
        <f>IFERROR(__xludf.DUMMYFUNCTION("""COMPUTED_VALUE"""),0.0)</f>
        <v>0</v>
      </c>
      <c r="EC28" s="180">
        <f>IFERROR(__xludf.DUMMYFUNCTION("""COMPUTED_VALUE"""),45810.0)</f>
        <v>45810</v>
      </c>
      <c r="ED28" s="179">
        <f>IFERROR(__xludf.DUMMYFUNCTION("""COMPUTED_VALUE"""),0.0)</f>
        <v>0</v>
      </c>
      <c r="EE28" s="180">
        <f>IFERROR(__xludf.DUMMYFUNCTION("""COMPUTED_VALUE"""),45718.0)</f>
        <v>45718</v>
      </c>
      <c r="EF28" s="179">
        <f>IFERROR(__xludf.DUMMYFUNCTION("""COMPUTED_VALUE"""),0.0)</f>
        <v>0</v>
      </c>
      <c r="EG28" s="180">
        <f>IFERROR(__xludf.DUMMYFUNCTION("""COMPUTED_VALUE"""),45810.0)</f>
        <v>45810</v>
      </c>
      <c r="EH28" s="179">
        <f>IFERROR(__xludf.DUMMYFUNCTION("""COMPUTED_VALUE"""),0.0)</f>
        <v>0</v>
      </c>
      <c r="EI28" s="180">
        <f>IFERROR(__xludf.DUMMYFUNCTION("""COMPUTED_VALUE"""),45810.0)</f>
        <v>45810</v>
      </c>
      <c r="EJ28" s="179">
        <f>IFERROR(__xludf.DUMMYFUNCTION("""COMPUTED_VALUE"""),0.0)</f>
        <v>0</v>
      </c>
      <c r="EK28" s="180">
        <f>IFERROR(__xludf.DUMMYFUNCTION("""COMPUTED_VALUE"""),45749.0)</f>
        <v>45749</v>
      </c>
      <c r="EL28" s="179">
        <f>IFERROR(__xludf.DUMMYFUNCTION("""COMPUTED_VALUE"""),0.0)</f>
        <v>0</v>
      </c>
      <c r="EM28" s="182">
        <f>IFERROR(__xludf.DUMMYFUNCTION("""COMPUTED_VALUE"""),45718.0)</f>
        <v>45718</v>
      </c>
      <c r="EN28" s="179">
        <f>IFERROR(__xludf.DUMMYFUNCTION("""COMPUTED_VALUE"""),0.0)</f>
        <v>0</v>
      </c>
      <c r="EO28" s="180">
        <f>IFERROR(__xludf.DUMMYFUNCTION("""COMPUTED_VALUE"""),45810.0)</f>
        <v>45810</v>
      </c>
      <c r="EP28" s="179">
        <f>IFERROR(__xludf.DUMMYFUNCTION("""COMPUTED_VALUE"""),0.0)</f>
        <v>0</v>
      </c>
      <c r="EQ28" s="180">
        <f>IFERROR(__xludf.DUMMYFUNCTION("""COMPUTED_VALUE"""),45749.0)</f>
        <v>45749</v>
      </c>
      <c r="ER28" s="179">
        <f>IFERROR(__xludf.DUMMYFUNCTION("""COMPUTED_VALUE"""),0.0)</f>
        <v>0</v>
      </c>
      <c r="ES28" s="180">
        <f>IFERROR(__xludf.DUMMYFUNCTION("""COMPUTED_VALUE"""),45840.0)</f>
        <v>45840</v>
      </c>
      <c r="ET28" s="179">
        <f>IFERROR(__xludf.DUMMYFUNCTION("""COMPUTED_VALUE"""),0.0)</f>
        <v>0</v>
      </c>
      <c r="EU28" s="180">
        <f>IFERROR(__xludf.DUMMYFUNCTION("""COMPUTED_VALUE"""),45810.0)</f>
        <v>45810</v>
      </c>
      <c r="EV28" s="179">
        <f>IFERROR(__xludf.DUMMYFUNCTION("""COMPUTED_VALUE"""),0.0)</f>
        <v>0</v>
      </c>
      <c r="EW28" s="180">
        <f>IFERROR(__xludf.DUMMYFUNCTION("""COMPUTED_VALUE"""),45840.0)</f>
        <v>45840</v>
      </c>
      <c r="EX28" s="179">
        <f>IFERROR(__xludf.DUMMYFUNCTION("""COMPUTED_VALUE"""),0.0)</f>
        <v>0</v>
      </c>
      <c r="EY28" s="180">
        <f>IFERROR(__xludf.DUMMYFUNCTION("""COMPUTED_VALUE"""),45840.0)</f>
        <v>45840</v>
      </c>
      <c r="EZ28" s="179">
        <f>IFERROR(__xludf.DUMMYFUNCTION("""COMPUTED_VALUE"""),0.0)</f>
        <v>0</v>
      </c>
      <c r="FA28" s="180">
        <f>IFERROR(__xludf.DUMMYFUNCTION("""COMPUTED_VALUE"""),45810.0)</f>
        <v>45810</v>
      </c>
      <c r="FB28" s="179">
        <f>IFERROR(__xludf.DUMMYFUNCTION("""COMPUTED_VALUE"""),0.0)</f>
        <v>0</v>
      </c>
      <c r="FC28" s="180">
        <f>IFERROR(__xludf.DUMMYFUNCTION("""COMPUTED_VALUE"""),45840.0)</f>
        <v>45840</v>
      </c>
      <c r="FD28" s="179">
        <f>IFERROR(__xludf.DUMMYFUNCTION("""COMPUTED_VALUE"""),0.0)</f>
        <v>0</v>
      </c>
      <c r="FE28" s="180">
        <f>IFERROR(__xludf.DUMMYFUNCTION("""COMPUTED_VALUE"""),45718.0)</f>
        <v>45718</v>
      </c>
      <c r="FF28" s="179">
        <f>IFERROR(__xludf.DUMMYFUNCTION("""COMPUTED_VALUE"""),0.0)</f>
        <v>0</v>
      </c>
      <c r="FG28" s="182">
        <f>IFERROR(__xludf.DUMMYFUNCTION("""COMPUTED_VALUE"""),45718.0)</f>
        <v>45718</v>
      </c>
      <c r="FH28" s="179">
        <f>IFERROR(__xludf.DUMMYFUNCTION("""COMPUTED_VALUE"""),0.0)</f>
        <v>0</v>
      </c>
      <c r="FI28" s="180">
        <f>IFERROR(__xludf.DUMMYFUNCTION("""COMPUTED_VALUE"""),45901.0)</f>
        <v>45901</v>
      </c>
      <c r="FJ28" s="179">
        <f>IFERROR(__xludf.DUMMYFUNCTION("""COMPUTED_VALUE"""),0.0)</f>
        <v>0</v>
      </c>
      <c r="FK28" s="180">
        <f>IFERROR(__xludf.DUMMYFUNCTION("""COMPUTED_VALUE"""),45901.0)</f>
        <v>45901</v>
      </c>
      <c r="FL28" s="179">
        <f>IFERROR(__xludf.DUMMYFUNCTION("""COMPUTED_VALUE"""),0.0)</f>
        <v>0</v>
      </c>
      <c r="FM28" s="180">
        <f>IFERROR(__xludf.DUMMYFUNCTION("""COMPUTED_VALUE"""),45659.0)</f>
        <v>45659</v>
      </c>
      <c r="FN28" s="179">
        <f>IFERROR(__xludf.DUMMYFUNCTION("""COMPUTED_VALUE"""),0.0)</f>
        <v>0</v>
      </c>
      <c r="FO28" s="180">
        <f>IFERROR(__xludf.DUMMYFUNCTION("""COMPUTED_VALUE"""),45810.0)</f>
        <v>45810</v>
      </c>
      <c r="FP28" s="179">
        <f>IFERROR(__xludf.DUMMYFUNCTION("""COMPUTED_VALUE"""),0.0)</f>
        <v>0</v>
      </c>
      <c r="FQ28" s="180">
        <f>IFERROR(__xludf.DUMMYFUNCTION("""COMPUTED_VALUE"""),45840.0)</f>
        <v>45840</v>
      </c>
      <c r="FR28" s="179">
        <f>IFERROR(__xludf.DUMMYFUNCTION("""COMPUTED_VALUE"""),0.0)</f>
        <v>0</v>
      </c>
      <c r="FS28" s="180">
        <f>IFERROR(__xludf.DUMMYFUNCTION("""COMPUTED_VALUE"""),45839.0)</f>
        <v>45839</v>
      </c>
      <c r="FT28" s="179">
        <f>IFERROR(__xludf.DUMMYFUNCTION("""COMPUTED_VALUE"""),0.0)</f>
        <v>0</v>
      </c>
      <c r="FU28" s="180">
        <f>IFERROR(__xludf.DUMMYFUNCTION("""COMPUTED_VALUE"""),45749.0)</f>
        <v>45749</v>
      </c>
      <c r="FV28" s="179">
        <f>IFERROR(__xludf.DUMMYFUNCTION("""COMPUTED_VALUE"""),0.0)</f>
        <v>0</v>
      </c>
      <c r="FW28" s="180">
        <f>IFERROR(__xludf.DUMMYFUNCTION("""COMPUTED_VALUE"""),45840.0)</f>
        <v>45840</v>
      </c>
      <c r="FX28" s="179">
        <f>IFERROR(__xludf.DUMMYFUNCTION("""COMPUTED_VALUE"""),0.0)</f>
        <v>0</v>
      </c>
      <c r="FY28" s="180">
        <f>IFERROR(__xludf.DUMMYFUNCTION("""COMPUTED_VALUE"""),45901.0)</f>
        <v>45901</v>
      </c>
      <c r="FZ28" s="179">
        <f>IFERROR(__xludf.DUMMYFUNCTION("""COMPUTED_VALUE"""),0.0)</f>
        <v>0</v>
      </c>
      <c r="GA28" s="182">
        <f>IFERROR(__xludf.DUMMYFUNCTION("""COMPUTED_VALUE"""),45840.0)</f>
        <v>45840</v>
      </c>
      <c r="GB28" s="179">
        <f>IFERROR(__xludf.DUMMYFUNCTION("""COMPUTED_VALUE"""),0.0)</f>
        <v>0</v>
      </c>
      <c r="GC28" s="180">
        <f>IFERROR(__xludf.DUMMYFUNCTION("""COMPUTED_VALUE"""),45749.0)</f>
        <v>45749</v>
      </c>
      <c r="GD28" s="179">
        <f>IFERROR(__xludf.DUMMYFUNCTION("""COMPUTED_VALUE"""),0.0)</f>
        <v>0</v>
      </c>
      <c r="GE28" s="180">
        <f>IFERROR(__xludf.DUMMYFUNCTION("""COMPUTED_VALUE"""),45749.0)</f>
        <v>45749</v>
      </c>
      <c r="GF28" s="179">
        <f>IFERROR(__xludf.DUMMYFUNCTION("""COMPUTED_VALUE"""),0.0)</f>
        <v>0</v>
      </c>
      <c r="GG28" s="180">
        <f>IFERROR(__xludf.DUMMYFUNCTION("""COMPUTED_VALUE"""),45779.0)</f>
        <v>45779</v>
      </c>
      <c r="GH28" s="179">
        <f>IFERROR(__xludf.DUMMYFUNCTION("""COMPUTED_VALUE"""),0.0)</f>
        <v>0</v>
      </c>
      <c r="GI28" s="180">
        <f>IFERROR(__xludf.DUMMYFUNCTION("""COMPUTED_VALUE"""),45840.0)</f>
        <v>45840</v>
      </c>
      <c r="GJ28" s="179">
        <f>IFERROR(__xludf.DUMMYFUNCTION("""COMPUTED_VALUE"""),0.0)</f>
        <v>0</v>
      </c>
      <c r="GK28" s="180">
        <f>IFERROR(__xludf.DUMMYFUNCTION("""COMPUTED_VALUE"""),45840.0)</f>
        <v>45840</v>
      </c>
      <c r="GL28" s="179">
        <f>IFERROR(__xludf.DUMMYFUNCTION("""COMPUTED_VALUE"""),0.0)</f>
        <v>0</v>
      </c>
      <c r="GM28" s="180">
        <f>IFERROR(__xludf.DUMMYFUNCTION("""COMPUTED_VALUE"""),45931.0)</f>
        <v>45931</v>
      </c>
      <c r="GN28" s="179">
        <f>IFERROR(__xludf.DUMMYFUNCTION("""COMPUTED_VALUE"""),0.0)</f>
        <v>0</v>
      </c>
      <c r="GO28" s="180">
        <f>IFERROR(__xludf.DUMMYFUNCTION("""COMPUTED_VALUE"""),45840.0)</f>
        <v>45840</v>
      </c>
      <c r="GP28" s="179">
        <f>IFERROR(__xludf.DUMMYFUNCTION("""COMPUTED_VALUE"""),0.0)</f>
        <v>0</v>
      </c>
      <c r="GQ28" s="180">
        <f>IFERROR(__xludf.DUMMYFUNCTION("""COMPUTED_VALUE"""),45690.0)</f>
        <v>45690</v>
      </c>
      <c r="GR28" s="179">
        <f>IFERROR(__xludf.DUMMYFUNCTION("""COMPUTED_VALUE"""),0.0)</f>
        <v>0</v>
      </c>
      <c r="GS28" s="180">
        <f>IFERROR(__xludf.DUMMYFUNCTION("""COMPUTED_VALUE"""),45931.0)</f>
        <v>45931</v>
      </c>
      <c r="GT28" s="179">
        <f>IFERROR(__xludf.DUMMYFUNCTION("""COMPUTED_VALUE"""),0.0)</f>
        <v>0</v>
      </c>
    </row>
    <row r="29" ht="31.5" customHeight="1">
      <c r="B29" s="183"/>
      <c r="C29" s="178">
        <f>IFERROR(__xludf.DUMMYFUNCTION("""COMPUTED_VALUE"""),45719.0)</f>
        <v>45719</v>
      </c>
      <c r="D29" s="179">
        <f>IFERROR(__xludf.DUMMYFUNCTION("""COMPUTED_VALUE"""),0.0)</f>
        <v>0</v>
      </c>
      <c r="E29" s="180">
        <f>IFERROR(__xludf.DUMMYFUNCTION("""COMPUTED_VALUE"""),45750.0)</f>
        <v>45750</v>
      </c>
      <c r="F29" s="179">
        <f>IFERROR(__xludf.DUMMYFUNCTION("""COMPUTED_VALUE"""),0.0)</f>
        <v>0</v>
      </c>
      <c r="G29" s="180">
        <f>IFERROR(__xludf.DUMMYFUNCTION("""COMPUTED_VALUE"""),45750.0)</f>
        <v>45750</v>
      </c>
      <c r="H29" s="179">
        <f>IFERROR(__xludf.DUMMYFUNCTION("""COMPUTED_VALUE"""),0.0)</f>
        <v>0</v>
      </c>
      <c r="I29" s="180">
        <f>IFERROR(__xludf.DUMMYFUNCTION("""COMPUTED_VALUE"""),45811.0)</f>
        <v>45811</v>
      </c>
      <c r="J29" s="179">
        <f>IFERROR(__xludf.DUMMYFUNCTION("""COMPUTED_VALUE"""),0.0)</f>
        <v>0</v>
      </c>
      <c r="K29" s="180">
        <f>IFERROR(__xludf.DUMMYFUNCTION("""COMPUTED_VALUE"""),45660.0)</f>
        <v>45660</v>
      </c>
      <c r="L29" s="179">
        <f>IFERROR(__xludf.DUMMYFUNCTION("""COMPUTED_VALUE"""),0.0)</f>
        <v>0</v>
      </c>
      <c r="M29" s="180">
        <f>IFERROR(__xludf.DUMMYFUNCTION("""COMPUTED_VALUE"""),45719.0)</f>
        <v>45719</v>
      </c>
      <c r="N29" s="179">
        <f>IFERROR(__xludf.DUMMYFUNCTION("""COMPUTED_VALUE"""),0.0)</f>
        <v>0</v>
      </c>
      <c r="O29" s="180">
        <f>IFERROR(__xludf.DUMMYFUNCTION("""COMPUTED_VALUE"""),45871.0)</f>
        <v>45871</v>
      </c>
      <c r="P29" s="179">
        <f>IFERROR(__xludf.DUMMYFUNCTION("""COMPUTED_VALUE"""),0.0)</f>
        <v>0</v>
      </c>
      <c r="Q29" s="180">
        <f>IFERROR(__xludf.DUMMYFUNCTION("""COMPUTED_VALUE"""),45902.0)</f>
        <v>45902</v>
      </c>
      <c r="R29" s="179">
        <f>IFERROR(__xludf.DUMMYFUNCTION("""COMPUTED_VALUE"""),0.0)</f>
        <v>0</v>
      </c>
      <c r="S29" s="180">
        <f>IFERROR(__xludf.DUMMYFUNCTION("""COMPUTED_VALUE"""),45780.0)</f>
        <v>45780</v>
      </c>
      <c r="T29" s="179">
        <f>IFERROR(__xludf.DUMMYFUNCTION("""COMPUTED_VALUE"""),0.0)</f>
        <v>0</v>
      </c>
      <c r="U29" s="180">
        <f>IFERROR(__xludf.DUMMYFUNCTION("""COMPUTED_VALUE"""),45871.0)</f>
        <v>45871</v>
      </c>
      <c r="V29" s="181">
        <f>IFERROR(__xludf.DUMMYFUNCTION("""COMPUTED_VALUE"""),0.0)</f>
        <v>0</v>
      </c>
      <c r="W29" s="178">
        <f>IFERROR(__xludf.DUMMYFUNCTION("""COMPUTED_VALUE"""),45719.0)</f>
        <v>45719</v>
      </c>
      <c r="X29" s="179">
        <f>IFERROR(__xludf.DUMMYFUNCTION("""COMPUTED_VALUE"""),0.0)</f>
        <v>0</v>
      </c>
      <c r="Y29" s="180">
        <f>IFERROR(__xludf.DUMMYFUNCTION("""COMPUTED_VALUE"""),45690.0)</f>
        <v>45690</v>
      </c>
      <c r="Z29" s="179">
        <f>IFERROR(__xludf.DUMMYFUNCTION("""COMPUTED_VALUE"""),0.0)</f>
        <v>0</v>
      </c>
      <c r="AA29" s="180">
        <f>IFERROR(__xludf.DUMMYFUNCTION("""COMPUTED_VALUE"""),45780.0)</f>
        <v>45780</v>
      </c>
      <c r="AB29" s="179">
        <f>IFERROR(__xludf.DUMMYFUNCTION("""COMPUTED_VALUE"""),0.0)</f>
        <v>0</v>
      </c>
      <c r="AC29" s="180">
        <f>IFERROR(__xludf.DUMMYFUNCTION("""COMPUTED_VALUE"""),45901.0)</f>
        <v>45901</v>
      </c>
      <c r="AD29" s="179">
        <f>IFERROR(__xludf.DUMMYFUNCTION("""COMPUTED_VALUE"""),0.0)</f>
        <v>0</v>
      </c>
      <c r="AE29" s="180">
        <f>IFERROR(__xludf.DUMMYFUNCTION("""COMPUTED_VALUE"""),45870.0)</f>
        <v>45870</v>
      </c>
      <c r="AF29" s="179">
        <f>IFERROR(__xludf.DUMMYFUNCTION("""COMPUTED_VALUE"""),0.0)</f>
        <v>0</v>
      </c>
      <c r="AG29" s="180">
        <f>IFERROR(__xludf.DUMMYFUNCTION("""COMPUTED_VALUE"""),45719.0)</f>
        <v>45719</v>
      </c>
      <c r="AH29" s="179">
        <f>IFERROR(__xludf.DUMMYFUNCTION("""COMPUTED_VALUE"""),0.0)</f>
        <v>0</v>
      </c>
      <c r="AI29" s="180">
        <f>IFERROR(__xludf.DUMMYFUNCTION("""COMPUTED_VALUE"""),45901.0)</f>
        <v>45901</v>
      </c>
      <c r="AJ29" s="179">
        <f>IFERROR(__xludf.DUMMYFUNCTION("""COMPUTED_VALUE"""),0.0)</f>
        <v>0</v>
      </c>
      <c r="AK29" s="180">
        <f>IFERROR(__xludf.DUMMYFUNCTION("""COMPUTED_VALUE"""),45750.0)</f>
        <v>45750</v>
      </c>
      <c r="AL29" s="179">
        <f>IFERROR(__xludf.DUMMYFUNCTION("""COMPUTED_VALUE"""),0.0)</f>
        <v>0</v>
      </c>
      <c r="AM29" s="180">
        <f>IFERROR(__xludf.DUMMYFUNCTION("""COMPUTED_VALUE"""),45811.0)</f>
        <v>45811</v>
      </c>
      <c r="AN29" s="179">
        <f>IFERROR(__xludf.DUMMYFUNCTION("""COMPUTED_VALUE"""),0.0)</f>
        <v>0</v>
      </c>
      <c r="AO29" s="180">
        <f>IFERROR(__xludf.DUMMYFUNCTION("""COMPUTED_VALUE"""),45901.0)</f>
        <v>45901</v>
      </c>
      <c r="AP29" s="181">
        <f>IFERROR(__xludf.DUMMYFUNCTION("""COMPUTED_VALUE"""),0.0)</f>
        <v>0</v>
      </c>
      <c r="AQ29" s="178">
        <f>IFERROR(__xludf.DUMMYFUNCTION("""COMPUTED_VALUE"""),45840.0)</f>
        <v>45840</v>
      </c>
      <c r="AR29" s="179">
        <f>IFERROR(__xludf.DUMMYFUNCTION("""COMPUTED_VALUE"""),0.0)</f>
        <v>0</v>
      </c>
      <c r="AS29" s="180">
        <f>IFERROR(__xludf.DUMMYFUNCTION("""COMPUTED_VALUE"""),45810.0)</f>
        <v>45810</v>
      </c>
      <c r="AT29" s="179">
        <f>IFERROR(__xludf.DUMMYFUNCTION("""COMPUTED_VALUE"""),0.0)</f>
        <v>0</v>
      </c>
      <c r="AU29" s="180">
        <f>IFERROR(__xludf.DUMMYFUNCTION("""COMPUTED_VALUE"""),45779.0)</f>
        <v>45779</v>
      </c>
      <c r="AV29" s="179">
        <f>IFERROR(__xludf.DUMMYFUNCTION("""COMPUTED_VALUE"""),0.0)</f>
        <v>0</v>
      </c>
      <c r="AW29" s="180">
        <f>IFERROR(__xludf.DUMMYFUNCTION("""COMPUTED_VALUE"""),45779.0)</f>
        <v>45779</v>
      </c>
      <c r="AX29" s="179">
        <f>IFERROR(__xludf.DUMMYFUNCTION("""COMPUTED_VALUE"""),0.0)</f>
        <v>0</v>
      </c>
      <c r="AY29" s="180">
        <f>IFERROR(__xludf.DUMMYFUNCTION("""COMPUTED_VALUE"""),45749.0)</f>
        <v>45749</v>
      </c>
      <c r="AZ29" s="179">
        <f>IFERROR(__xludf.DUMMYFUNCTION("""COMPUTED_VALUE"""),0.0)</f>
        <v>0</v>
      </c>
      <c r="BA29" s="180">
        <f>IFERROR(__xludf.DUMMYFUNCTION("""COMPUTED_VALUE"""),45840.0)</f>
        <v>45840</v>
      </c>
      <c r="BB29" s="179">
        <f>IFERROR(__xludf.DUMMYFUNCTION("""COMPUTED_VALUE"""),0.0)</f>
        <v>0</v>
      </c>
      <c r="BC29" s="180">
        <f>IFERROR(__xludf.DUMMYFUNCTION("""COMPUTED_VALUE"""),45749.0)</f>
        <v>45749</v>
      </c>
      <c r="BD29" s="179">
        <f>IFERROR(__xludf.DUMMYFUNCTION("""COMPUTED_VALUE"""),0.0)</f>
        <v>0</v>
      </c>
      <c r="BE29" s="180">
        <f>IFERROR(__xludf.DUMMYFUNCTION("""COMPUTED_VALUE"""),45871.0)</f>
        <v>45871</v>
      </c>
      <c r="BF29" s="179">
        <f>IFERROR(__xludf.DUMMYFUNCTION("""COMPUTED_VALUE"""),0.0)</f>
        <v>0</v>
      </c>
      <c r="BG29" s="180">
        <f>IFERROR(__xludf.DUMMYFUNCTION("""COMPUTED_VALUE"""),45779.0)</f>
        <v>45779</v>
      </c>
      <c r="BH29" s="179">
        <f>IFERROR(__xludf.DUMMYFUNCTION("""COMPUTED_VALUE"""),0.0)</f>
        <v>0</v>
      </c>
      <c r="BI29" s="180">
        <f>IFERROR(__xludf.DUMMYFUNCTION("""COMPUTED_VALUE"""),45718.0)</f>
        <v>45718</v>
      </c>
      <c r="BJ29" s="179">
        <f>IFERROR(__xludf.DUMMYFUNCTION("""COMPUTED_VALUE"""),0.0)</f>
        <v>0</v>
      </c>
      <c r="BK29" s="182">
        <f>IFERROR(__xludf.DUMMYFUNCTION("""COMPUTED_VALUE"""),45810.0)</f>
        <v>45810</v>
      </c>
      <c r="BL29" s="179">
        <f>IFERROR(__xludf.DUMMYFUNCTION("""COMPUTED_VALUE"""),0.0)</f>
        <v>0</v>
      </c>
      <c r="BM29" s="180">
        <f>IFERROR(__xludf.DUMMYFUNCTION("""COMPUTED_VALUE"""),45690.0)</f>
        <v>45690</v>
      </c>
      <c r="BN29" s="179">
        <f>IFERROR(__xludf.DUMMYFUNCTION("""COMPUTED_VALUE"""),0.0)</f>
        <v>0</v>
      </c>
      <c r="BO29" s="180">
        <f>IFERROR(__xludf.DUMMYFUNCTION("""COMPUTED_VALUE"""),45659.0)</f>
        <v>45659</v>
      </c>
      <c r="BP29" s="179">
        <f>IFERROR(__xludf.DUMMYFUNCTION("""COMPUTED_VALUE"""),0.0)</f>
        <v>0</v>
      </c>
      <c r="BQ29" s="180">
        <f>IFERROR(__xludf.DUMMYFUNCTION("""COMPUTED_VALUE"""),45810.0)</f>
        <v>45810</v>
      </c>
      <c r="BR29" s="179">
        <f>IFERROR(__xludf.DUMMYFUNCTION("""COMPUTED_VALUE"""),0.0)</f>
        <v>0</v>
      </c>
      <c r="BS29" s="180">
        <f>IFERROR(__xludf.DUMMYFUNCTION("""COMPUTED_VALUE"""),45871.0)</f>
        <v>45871</v>
      </c>
      <c r="BT29" s="179">
        <f>IFERROR(__xludf.DUMMYFUNCTION("""COMPUTED_VALUE"""),0.0)</f>
        <v>0</v>
      </c>
      <c r="BU29" s="180">
        <f>IFERROR(__xludf.DUMMYFUNCTION("""COMPUTED_VALUE"""),45840.0)</f>
        <v>45840</v>
      </c>
      <c r="BV29" s="179">
        <f>IFERROR(__xludf.DUMMYFUNCTION("""COMPUTED_VALUE"""),0.0)</f>
        <v>0</v>
      </c>
      <c r="BW29" s="180">
        <f>IFERROR(__xludf.DUMMYFUNCTION("""COMPUTED_VALUE"""),45690.0)</f>
        <v>45690</v>
      </c>
      <c r="BX29" s="179">
        <f>IFERROR(__xludf.DUMMYFUNCTION("""COMPUTED_VALUE"""),0.0)</f>
        <v>0</v>
      </c>
      <c r="BY29" s="180">
        <f>IFERROR(__xludf.DUMMYFUNCTION("""COMPUTED_VALUE"""),45810.0)</f>
        <v>45810</v>
      </c>
      <c r="BZ29" s="179">
        <f>IFERROR(__xludf.DUMMYFUNCTION("""COMPUTED_VALUE"""),0.0)</f>
        <v>0</v>
      </c>
      <c r="CA29" s="180">
        <f>IFERROR(__xludf.DUMMYFUNCTION("""COMPUTED_VALUE"""),45749.0)</f>
        <v>45749</v>
      </c>
      <c r="CB29" s="179">
        <f>IFERROR(__xludf.DUMMYFUNCTION("""COMPUTED_VALUE"""),0.0)</f>
        <v>0</v>
      </c>
      <c r="CC29" s="180">
        <f>IFERROR(__xludf.DUMMYFUNCTION("""COMPUTED_VALUE"""),45779.0)</f>
        <v>45779</v>
      </c>
      <c r="CD29" s="179">
        <f>IFERROR(__xludf.DUMMYFUNCTION("""COMPUTED_VALUE"""),0.0)</f>
        <v>0</v>
      </c>
      <c r="CE29" s="182">
        <f>IFERROR(__xludf.DUMMYFUNCTION("""COMPUTED_VALUE"""),45871.0)</f>
        <v>45871</v>
      </c>
      <c r="CF29" s="179">
        <f>IFERROR(__xludf.DUMMYFUNCTION("""COMPUTED_VALUE"""),0.0)</f>
        <v>0</v>
      </c>
      <c r="CG29" s="180">
        <f>IFERROR(__xludf.DUMMYFUNCTION("""COMPUTED_VALUE"""),45690.0)</f>
        <v>45690</v>
      </c>
      <c r="CH29" s="179">
        <f>IFERROR(__xludf.DUMMYFUNCTION("""COMPUTED_VALUE"""),0.0)</f>
        <v>0</v>
      </c>
      <c r="CI29" s="180">
        <f>IFERROR(__xludf.DUMMYFUNCTION("""COMPUTED_VALUE"""),45718.0)</f>
        <v>45718</v>
      </c>
      <c r="CJ29" s="179">
        <f>IFERROR(__xludf.DUMMYFUNCTION("""COMPUTED_VALUE"""),0.0)</f>
        <v>0</v>
      </c>
      <c r="CK29" s="180">
        <f>IFERROR(__xludf.DUMMYFUNCTION("""COMPUTED_VALUE"""),45749.0)</f>
        <v>45749</v>
      </c>
      <c r="CL29" s="179">
        <f>IFERROR(__xludf.DUMMYFUNCTION("""COMPUTED_VALUE"""),0.0)</f>
        <v>0</v>
      </c>
      <c r="CM29" s="180">
        <f>IFERROR(__xludf.DUMMYFUNCTION("""COMPUTED_VALUE"""),45810.0)</f>
        <v>45810</v>
      </c>
      <c r="CN29" s="179">
        <f>IFERROR(__xludf.DUMMYFUNCTION("""COMPUTED_VALUE"""),0.0)</f>
        <v>0</v>
      </c>
      <c r="CO29" s="180">
        <f>IFERROR(__xludf.DUMMYFUNCTION("""COMPUTED_VALUE"""),45718.0)</f>
        <v>45718</v>
      </c>
      <c r="CP29" s="179">
        <f>IFERROR(__xludf.DUMMYFUNCTION("""COMPUTED_VALUE"""),0.0)</f>
        <v>0</v>
      </c>
      <c r="CQ29" s="180">
        <f>IFERROR(__xludf.DUMMYFUNCTION("""COMPUTED_VALUE"""),45689.0)</f>
        <v>45689</v>
      </c>
      <c r="CR29" s="179">
        <f>IFERROR(__xludf.DUMMYFUNCTION("""COMPUTED_VALUE"""),0.0)</f>
        <v>0</v>
      </c>
      <c r="CS29" s="180">
        <f>IFERROR(__xludf.DUMMYFUNCTION("""COMPUTED_VALUE"""),45810.0)</f>
        <v>45810</v>
      </c>
      <c r="CT29" s="179">
        <f>IFERROR(__xludf.DUMMYFUNCTION("""COMPUTED_VALUE"""),0.0)</f>
        <v>0</v>
      </c>
      <c r="CU29" s="180">
        <f>IFERROR(__xludf.DUMMYFUNCTION("""COMPUTED_VALUE"""),45871.0)</f>
        <v>45871</v>
      </c>
      <c r="CV29" s="179">
        <f>IFERROR(__xludf.DUMMYFUNCTION("""COMPUTED_VALUE"""),0.0)</f>
        <v>0</v>
      </c>
      <c r="CW29" s="180">
        <f>IFERROR(__xludf.DUMMYFUNCTION("""COMPUTED_VALUE"""),45870.0)</f>
        <v>45870</v>
      </c>
      <c r="CX29" s="179">
        <f>IFERROR(__xludf.DUMMYFUNCTION("""COMPUTED_VALUE"""),0.0)</f>
        <v>0</v>
      </c>
      <c r="CY29" s="182">
        <f>IFERROR(__xludf.DUMMYFUNCTION("""COMPUTED_VALUE"""),45840.0)</f>
        <v>45840</v>
      </c>
      <c r="CZ29" s="179">
        <f>IFERROR(__xludf.DUMMYFUNCTION("""COMPUTED_VALUE"""),0.0)</f>
        <v>0</v>
      </c>
      <c r="DA29" s="180">
        <f>IFERROR(__xludf.DUMMYFUNCTION("""COMPUTED_VALUE"""),45840.0)</f>
        <v>45840</v>
      </c>
      <c r="DB29" s="179">
        <f>IFERROR(__xludf.DUMMYFUNCTION("""COMPUTED_VALUE"""),0.0)</f>
        <v>0</v>
      </c>
      <c r="DC29" s="180">
        <f>IFERROR(__xludf.DUMMYFUNCTION("""COMPUTED_VALUE"""),45749.0)</f>
        <v>45749</v>
      </c>
      <c r="DD29" s="179">
        <f>IFERROR(__xludf.DUMMYFUNCTION("""COMPUTED_VALUE"""),0.0)</f>
        <v>0</v>
      </c>
      <c r="DE29" s="180">
        <f>IFERROR(__xludf.DUMMYFUNCTION("""COMPUTED_VALUE"""),45779.0)</f>
        <v>45779</v>
      </c>
      <c r="DF29" s="179">
        <f>IFERROR(__xludf.DUMMYFUNCTION("""COMPUTED_VALUE"""),0.0)</f>
        <v>0</v>
      </c>
      <c r="DG29" s="180">
        <f>IFERROR(__xludf.DUMMYFUNCTION("""COMPUTED_VALUE"""),45871.0)</f>
        <v>45871</v>
      </c>
      <c r="DH29" s="179">
        <f>IFERROR(__xludf.DUMMYFUNCTION("""COMPUTED_VALUE"""),0.0)</f>
        <v>0</v>
      </c>
      <c r="DI29" s="180">
        <f>IFERROR(__xludf.DUMMYFUNCTION("""COMPUTED_VALUE"""),45871.0)</f>
        <v>45871</v>
      </c>
      <c r="DJ29" s="179">
        <f>IFERROR(__xludf.DUMMYFUNCTION("""COMPUTED_VALUE"""),0.0)</f>
        <v>0</v>
      </c>
      <c r="DK29" s="180">
        <f>IFERROR(__xludf.DUMMYFUNCTION("""COMPUTED_VALUE"""),45810.0)</f>
        <v>45810</v>
      </c>
      <c r="DL29" s="179">
        <f>IFERROR(__xludf.DUMMYFUNCTION("""COMPUTED_VALUE"""),0.0)</f>
        <v>0</v>
      </c>
      <c r="DM29" s="180">
        <f>IFERROR(__xludf.DUMMYFUNCTION("""COMPUTED_VALUE"""),45810.0)</f>
        <v>45810</v>
      </c>
      <c r="DN29" s="179">
        <f>IFERROR(__xludf.DUMMYFUNCTION("""COMPUTED_VALUE"""),0.0)</f>
        <v>0</v>
      </c>
      <c r="DO29" s="180">
        <f>IFERROR(__xludf.DUMMYFUNCTION("""COMPUTED_VALUE"""),45810.0)</f>
        <v>45810</v>
      </c>
      <c r="DP29" s="179">
        <f>IFERROR(__xludf.DUMMYFUNCTION("""COMPUTED_VALUE"""),0.0)</f>
        <v>0</v>
      </c>
      <c r="DQ29" s="180">
        <f>IFERROR(__xludf.DUMMYFUNCTION("""COMPUTED_VALUE"""),45690.0)</f>
        <v>45690</v>
      </c>
      <c r="DR29" s="179">
        <f>IFERROR(__xludf.DUMMYFUNCTION("""COMPUTED_VALUE"""),0.0)</f>
        <v>0</v>
      </c>
      <c r="DS29" s="182">
        <f>IFERROR(__xludf.DUMMYFUNCTION("""COMPUTED_VALUE"""),45840.0)</f>
        <v>45840</v>
      </c>
      <c r="DT29" s="179">
        <f>IFERROR(__xludf.DUMMYFUNCTION("""COMPUTED_VALUE"""),0.0)</f>
        <v>0</v>
      </c>
      <c r="DU29" s="180">
        <f>IFERROR(__xludf.DUMMYFUNCTION("""COMPUTED_VALUE"""),45810.0)</f>
        <v>45810</v>
      </c>
      <c r="DV29" s="179">
        <f>IFERROR(__xludf.DUMMYFUNCTION("""COMPUTED_VALUE"""),0.0)</f>
        <v>0</v>
      </c>
      <c r="DW29" s="180">
        <f>IFERROR(__xludf.DUMMYFUNCTION("""COMPUTED_VALUE"""),45810.0)</f>
        <v>45810</v>
      </c>
      <c r="DX29" s="179">
        <f>IFERROR(__xludf.DUMMYFUNCTION("""COMPUTED_VALUE"""),0.0)</f>
        <v>0</v>
      </c>
      <c r="DY29" s="180">
        <f>IFERROR(__xludf.DUMMYFUNCTION("""COMPUTED_VALUE"""),45840.0)</f>
        <v>45840</v>
      </c>
      <c r="DZ29" s="179">
        <f>IFERROR(__xludf.DUMMYFUNCTION("""COMPUTED_VALUE"""),0.0)</f>
        <v>0</v>
      </c>
      <c r="EA29" s="180">
        <f>IFERROR(__xludf.DUMMYFUNCTION("""COMPUTED_VALUE"""),45871.0)</f>
        <v>45871</v>
      </c>
      <c r="EB29" s="179">
        <f>IFERROR(__xludf.DUMMYFUNCTION("""COMPUTED_VALUE"""),0.0)</f>
        <v>0</v>
      </c>
      <c r="EC29" s="180">
        <f>IFERROR(__xludf.DUMMYFUNCTION("""COMPUTED_VALUE"""),45840.0)</f>
        <v>45840</v>
      </c>
      <c r="ED29" s="179">
        <f>IFERROR(__xludf.DUMMYFUNCTION("""COMPUTED_VALUE"""),0.0)</f>
        <v>0</v>
      </c>
      <c r="EE29" s="180">
        <f>IFERROR(__xludf.DUMMYFUNCTION("""COMPUTED_VALUE"""),45749.0)</f>
        <v>45749</v>
      </c>
      <c r="EF29" s="179">
        <f>IFERROR(__xludf.DUMMYFUNCTION("""COMPUTED_VALUE"""),0.0)</f>
        <v>0</v>
      </c>
      <c r="EG29" s="180">
        <f>IFERROR(__xludf.DUMMYFUNCTION("""COMPUTED_VALUE"""),45840.0)</f>
        <v>45840</v>
      </c>
      <c r="EH29" s="179">
        <f>IFERROR(__xludf.DUMMYFUNCTION("""COMPUTED_VALUE"""),0.0)</f>
        <v>0</v>
      </c>
      <c r="EI29" s="180">
        <f>IFERROR(__xludf.DUMMYFUNCTION("""COMPUTED_VALUE"""),45840.0)</f>
        <v>45840</v>
      </c>
      <c r="EJ29" s="179">
        <f>IFERROR(__xludf.DUMMYFUNCTION("""COMPUTED_VALUE"""),0.0)</f>
        <v>0</v>
      </c>
      <c r="EK29" s="180">
        <f>IFERROR(__xludf.DUMMYFUNCTION("""COMPUTED_VALUE"""),45779.0)</f>
        <v>45779</v>
      </c>
      <c r="EL29" s="179">
        <f>IFERROR(__xludf.DUMMYFUNCTION("""COMPUTED_VALUE"""),0.0)</f>
        <v>0</v>
      </c>
      <c r="EM29" s="182">
        <f>IFERROR(__xludf.DUMMYFUNCTION("""COMPUTED_VALUE"""),45749.0)</f>
        <v>45749</v>
      </c>
      <c r="EN29" s="179">
        <f>IFERROR(__xludf.DUMMYFUNCTION("""COMPUTED_VALUE"""),0.0)</f>
        <v>0</v>
      </c>
      <c r="EO29" s="180">
        <f>IFERROR(__xludf.DUMMYFUNCTION("""COMPUTED_VALUE"""),45840.0)</f>
        <v>45840</v>
      </c>
      <c r="EP29" s="179">
        <f>IFERROR(__xludf.DUMMYFUNCTION("""COMPUTED_VALUE"""),0.0)</f>
        <v>0</v>
      </c>
      <c r="EQ29" s="180">
        <f>IFERROR(__xludf.DUMMYFUNCTION("""COMPUTED_VALUE"""),45779.0)</f>
        <v>45779</v>
      </c>
      <c r="ER29" s="179">
        <f>IFERROR(__xludf.DUMMYFUNCTION("""COMPUTED_VALUE"""),0.0)</f>
        <v>0</v>
      </c>
      <c r="ES29" s="180">
        <f>IFERROR(__xludf.DUMMYFUNCTION("""COMPUTED_VALUE"""),45871.0)</f>
        <v>45871</v>
      </c>
      <c r="ET29" s="179">
        <f>IFERROR(__xludf.DUMMYFUNCTION("""COMPUTED_VALUE"""),0.0)</f>
        <v>0</v>
      </c>
      <c r="EU29" s="180">
        <f>IFERROR(__xludf.DUMMYFUNCTION("""COMPUTED_VALUE"""),45840.0)</f>
        <v>45840</v>
      </c>
      <c r="EV29" s="179">
        <f>IFERROR(__xludf.DUMMYFUNCTION("""COMPUTED_VALUE"""),0.0)</f>
        <v>0</v>
      </c>
      <c r="EW29" s="180">
        <f>IFERROR(__xludf.DUMMYFUNCTION("""COMPUTED_VALUE"""),45871.0)</f>
        <v>45871</v>
      </c>
      <c r="EX29" s="179">
        <f>IFERROR(__xludf.DUMMYFUNCTION("""COMPUTED_VALUE"""),0.0)</f>
        <v>0</v>
      </c>
      <c r="EY29" s="180">
        <f>IFERROR(__xludf.DUMMYFUNCTION("""COMPUTED_VALUE"""),45871.0)</f>
        <v>45871</v>
      </c>
      <c r="EZ29" s="179">
        <f>IFERROR(__xludf.DUMMYFUNCTION("""COMPUTED_VALUE"""),0.0)</f>
        <v>0</v>
      </c>
      <c r="FA29" s="180">
        <f>IFERROR(__xludf.DUMMYFUNCTION("""COMPUTED_VALUE"""),45840.0)</f>
        <v>45840</v>
      </c>
      <c r="FB29" s="179">
        <f>IFERROR(__xludf.DUMMYFUNCTION("""COMPUTED_VALUE"""),0.0)</f>
        <v>0</v>
      </c>
      <c r="FC29" s="180">
        <f>IFERROR(__xludf.DUMMYFUNCTION("""COMPUTED_VALUE"""),45871.0)</f>
        <v>45871</v>
      </c>
      <c r="FD29" s="179">
        <f>IFERROR(__xludf.DUMMYFUNCTION("""COMPUTED_VALUE"""),0.0)</f>
        <v>0</v>
      </c>
      <c r="FE29" s="180">
        <f>IFERROR(__xludf.DUMMYFUNCTION("""COMPUTED_VALUE"""),45749.0)</f>
        <v>45749</v>
      </c>
      <c r="FF29" s="179">
        <f>IFERROR(__xludf.DUMMYFUNCTION("""COMPUTED_VALUE"""),0.0)</f>
        <v>0</v>
      </c>
      <c r="FG29" s="182">
        <f>IFERROR(__xludf.DUMMYFUNCTION("""COMPUTED_VALUE"""),45749.0)</f>
        <v>45749</v>
      </c>
      <c r="FH29" s="179">
        <f>IFERROR(__xludf.DUMMYFUNCTION("""COMPUTED_VALUE"""),0.0)</f>
        <v>0</v>
      </c>
      <c r="FI29" s="180">
        <f>IFERROR(__xludf.DUMMYFUNCTION("""COMPUTED_VALUE"""),45931.0)</f>
        <v>45931</v>
      </c>
      <c r="FJ29" s="179">
        <f>IFERROR(__xludf.DUMMYFUNCTION("""COMPUTED_VALUE"""),0.0)</f>
        <v>0</v>
      </c>
      <c r="FK29" s="180">
        <f>IFERROR(__xludf.DUMMYFUNCTION("""COMPUTED_VALUE"""),45931.0)</f>
        <v>45931</v>
      </c>
      <c r="FL29" s="179">
        <f>IFERROR(__xludf.DUMMYFUNCTION("""COMPUTED_VALUE"""),0.0)</f>
        <v>0</v>
      </c>
      <c r="FM29" s="180">
        <f>IFERROR(__xludf.DUMMYFUNCTION("""COMPUTED_VALUE"""),45718.0)</f>
        <v>45718</v>
      </c>
      <c r="FN29" s="179">
        <f>IFERROR(__xludf.DUMMYFUNCTION("""COMPUTED_VALUE"""),0.0)</f>
        <v>0</v>
      </c>
      <c r="FO29" s="180">
        <f>IFERROR(__xludf.DUMMYFUNCTION("""COMPUTED_VALUE"""),45871.0)</f>
        <v>45871</v>
      </c>
      <c r="FP29" s="179">
        <f>IFERROR(__xludf.DUMMYFUNCTION("""COMPUTED_VALUE"""),0.0)</f>
        <v>0</v>
      </c>
      <c r="FQ29" s="180">
        <f>IFERROR(__xludf.DUMMYFUNCTION("""COMPUTED_VALUE"""),45871.0)</f>
        <v>45871</v>
      </c>
      <c r="FR29" s="179">
        <f>IFERROR(__xludf.DUMMYFUNCTION("""COMPUTED_VALUE"""),0.0)</f>
        <v>0</v>
      </c>
      <c r="FS29" s="180">
        <f>IFERROR(__xludf.DUMMYFUNCTION("""COMPUTED_VALUE"""),45870.0)</f>
        <v>45870</v>
      </c>
      <c r="FT29" s="179">
        <f>IFERROR(__xludf.DUMMYFUNCTION("""COMPUTED_VALUE"""),0.0)</f>
        <v>0</v>
      </c>
      <c r="FU29" s="180">
        <f>IFERROR(__xludf.DUMMYFUNCTION("""COMPUTED_VALUE"""),45779.0)</f>
        <v>45779</v>
      </c>
      <c r="FV29" s="179">
        <f>IFERROR(__xludf.DUMMYFUNCTION("""COMPUTED_VALUE"""),0.0)</f>
        <v>0</v>
      </c>
      <c r="FW29" s="180">
        <f>IFERROR(__xludf.DUMMYFUNCTION("""COMPUTED_VALUE"""),45871.0)</f>
        <v>45871</v>
      </c>
      <c r="FX29" s="179">
        <f>IFERROR(__xludf.DUMMYFUNCTION("""COMPUTED_VALUE"""),0.0)</f>
        <v>0</v>
      </c>
      <c r="FY29" s="180">
        <f>IFERROR(__xludf.DUMMYFUNCTION("""COMPUTED_VALUE"""),45931.0)</f>
        <v>45931</v>
      </c>
      <c r="FZ29" s="179">
        <f>IFERROR(__xludf.DUMMYFUNCTION("""COMPUTED_VALUE"""),0.0)</f>
        <v>0</v>
      </c>
      <c r="GA29" s="182">
        <f>IFERROR(__xludf.DUMMYFUNCTION("""COMPUTED_VALUE"""),45871.0)</f>
        <v>45871</v>
      </c>
      <c r="GB29" s="179">
        <f>IFERROR(__xludf.DUMMYFUNCTION("""COMPUTED_VALUE"""),0.0)</f>
        <v>0</v>
      </c>
      <c r="GC29" s="180">
        <f>IFERROR(__xludf.DUMMYFUNCTION("""COMPUTED_VALUE"""),45779.0)</f>
        <v>45779</v>
      </c>
      <c r="GD29" s="179">
        <f>IFERROR(__xludf.DUMMYFUNCTION("""COMPUTED_VALUE"""),0.0)</f>
        <v>0</v>
      </c>
      <c r="GE29" s="180">
        <f>IFERROR(__xludf.DUMMYFUNCTION("""COMPUTED_VALUE"""),45779.0)</f>
        <v>45779</v>
      </c>
      <c r="GF29" s="179">
        <f>IFERROR(__xludf.DUMMYFUNCTION("""COMPUTED_VALUE"""),0.0)</f>
        <v>0</v>
      </c>
      <c r="GG29" s="180">
        <f>IFERROR(__xludf.DUMMYFUNCTION("""COMPUTED_VALUE"""),45810.0)</f>
        <v>45810</v>
      </c>
      <c r="GH29" s="179">
        <f>IFERROR(__xludf.DUMMYFUNCTION("""COMPUTED_VALUE"""),0.0)</f>
        <v>0</v>
      </c>
      <c r="GI29" s="180">
        <f>IFERROR(__xludf.DUMMYFUNCTION("""COMPUTED_VALUE"""),45871.0)</f>
        <v>45871</v>
      </c>
      <c r="GJ29" s="179">
        <f>IFERROR(__xludf.DUMMYFUNCTION("""COMPUTED_VALUE"""),0.0)</f>
        <v>0</v>
      </c>
      <c r="GK29" s="180">
        <f>IFERROR(__xludf.DUMMYFUNCTION("""COMPUTED_VALUE"""),45871.0)</f>
        <v>45871</v>
      </c>
      <c r="GL29" s="179">
        <f>IFERROR(__xludf.DUMMYFUNCTION("""COMPUTED_VALUE"""),0.0)</f>
        <v>0</v>
      </c>
      <c r="GM29" s="180">
        <f>IFERROR(__xludf.DUMMYFUNCTION("""COMPUTED_VALUE"""),45659.0)</f>
        <v>45659</v>
      </c>
      <c r="GN29" s="179">
        <f>IFERROR(__xludf.DUMMYFUNCTION("""COMPUTED_VALUE"""),0.0)</f>
        <v>0</v>
      </c>
      <c r="GO29" s="180">
        <f>IFERROR(__xludf.DUMMYFUNCTION("""COMPUTED_VALUE"""),45871.0)</f>
        <v>45871</v>
      </c>
      <c r="GP29" s="179">
        <f>IFERROR(__xludf.DUMMYFUNCTION("""COMPUTED_VALUE"""),0.0)</f>
        <v>0</v>
      </c>
      <c r="GQ29" s="180">
        <f>IFERROR(__xludf.DUMMYFUNCTION("""COMPUTED_VALUE"""),45718.0)</f>
        <v>45718</v>
      </c>
      <c r="GR29" s="179">
        <f>IFERROR(__xludf.DUMMYFUNCTION("""COMPUTED_VALUE"""),0.0)</f>
        <v>0</v>
      </c>
      <c r="GS29" s="180">
        <f>IFERROR(__xludf.DUMMYFUNCTION("""COMPUTED_VALUE"""),45659.0)</f>
        <v>45659</v>
      </c>
      <c r="GT29" s="179">
        <f>IFERROR(__xludf.DUMMYFUNCTION("""COMPUTED_VALUE"""),0.0)</f>
        <v>0</v>
      </c>
    </row>
    <row r="30" ht="31.5" customHeight="1">
      <c r="B30" s="183"/>
      <c r="C30" s="178">
        <f>IFERROR(__xludf.DUMMYFUNCTION("""COMPUTED_VALUE"""),45750.0)</f>
        <v>45750</v>
      </c>
      <c r="D30" s="179">
        <f>IFERROR(__xludf.DUMMYFUNCTION("""COMPUTED_VALUE"""),0.0)</f>
        <v>0</v>
      </c>
      <c r="E30" s="180">
        <f>IFERROR(__xludf.DUMMYFUNCTION("""COMPUTED_VALUE"""),45780.0)</f>
        <v>45780</v>
      </c>
      <c r="F30" s="179">
        <f>IFERROR(__xludf.DUMMYFUNCTION("""COMPUTED_VALUE"""),0.0)</f>
        <v>0</v>
      </c>
      <c r="G30" s="180">
        <f>IFERROR(__xludf.DUMMYFUNCTION("""COMPUTED_VALUE"""),45780.0)</f>
        <v>45780</v>
      </c>
      <c r="H30" s="179">
        <f>IFERROR(__xludf.DUMMYFUNCTION("""COMPUTED_VALUE"""),0.0)</f>
        <v>0</v>
      </c>
      <c r="I30" s="180">
        <f>IFERROR(__xludf.DUMMYFUNCTION("""COMPUTED_VALUE"""),45841.0)</f>
        <v>45841</v>
      </c>
      <c r="J30" s="179">
        <f>IFERROR(__xludf.DUMMYFUNCTION("""COMPUTED_VALUE"""),0.0)</f>
        <v>0</v>
      </c>
      <c r="K30" s="180">
        <f>IFERROR(__xludf.DUMMYFUNCTION("""COMPUTED_VALUE"""),45691.0)</f>
        <v>45691</v>
      </c>
      <c r="L30" s="179">
        <f>IFERROR(__xludf.DUMMYFUNCTION("""COMPUTED_VALUE"""),0.0)</f>
        <v>0</v>
      </c>
      <c r="M30" s="180">
        <f>IFERROR(__xludf.DUMMYFUNCTION("""COMPUTED_VALUE"""),45750.0)</f>
        <v>45750</v>
      </c>
      <c r="N30" s="179">
        <f>IFERROR(__xludf.DUMMYFUNCTION("""COMPUTED_VALUE"""),0.0)</f>
        <v>0</v>
      </c>
      <c r="O30" s="180">
        <f>IFERROR(__xludf.DUMMYFUNCTION("""COMPUTED_VALUE"""),45902.0)</f>
        <v>45902</v>
      </c>
      <c r="P30" s="179">
        <f>IFERROR(__xludf.DUMMYFUNCTION("""COMPUTED_VALUE"""),0.0)</f>
        <v>0</v>
      </c>
      <c r="Q30" s="180">
        <f>IFERROR(__xludf.DUMMYFUNCTION("""COMPUTED_VALUE"""),45932.0)</f>
        <v>45932</v>
      </c>
      <c r="R30" s="179">
        <f>IFERROR(__xludf.DUMMYFUNCTION("""COMPUTED_VALUE"""),0.0)</f>
        <v>0</v>
      </c>
      <c r="S30" s="180">
        <f>IFERROR(__xludf.DUMMYFUNCTION("""COMPUTED_VALUE"""),45811.0)</f>
        <v>45811</v>
      </c>
      <c r="T30" s="179">
        <f>IFERROR(__xludf.DUMMYFUNCTION("""COMPUTED_VALUE"""),0.0)</f>
        <v>0</v>
      </c>
      <c r="U30" s="180">
        <f>IFERROR(__xludf.DUMMYFUNCTION("""COMPUTED_VALUE"""),45902.0)</f>
        <v>45902</v>
      </c>
      <c r="V30" s="181">
        <f>IFERROR(__xludf.DUMMYFUNCTION("""COMPUTED_VALUE"""),0.0)</f>
        <v>0</v>
      </c>
      <c r="W30" s="178">
        <f>IFERROR(__xludf.DUMMYFUNCTION("""COMPUTED_VALUE"""),45750.0)</f>
        <v>45750</v>
      </c>
      <c r="X30" s="179">
        <f>IFERROR(__xludf.DUMMYFUNCTION("""COMPUTED_VALUE"""),0.0)</f>
        <v>0</v>
      </c>
      <c r="Y30" s="180">
        <f>IFERROR(__xludf.DUMMYFUNCTION("""COMPUTED_VALUE"""),45660.0)</f>
        <v>45660</v>
      </c>
      <c r="Z30" s="179">
        <f>IFERROR(__xludf.DUMMYFUNCTION("""COMPUTED_VALUE"""),0.0)</f>
        <v>0</v>
      </c>
      <c r="AA30" s="180">
        <f>IFERROR(__xludf.DUMMYFUNCTION("""COMPUTED_VALUE"""),45811.0)</f>
        <v>45811</v>
      </c>
      <c r="AB30" s="179">
        <f>IFERROR(__xludf.DUMMYFUNCTION("""COMPUTED_VALUE"""),0.0)</f>
        <v>0</v>
      </c>
      <c r="AC30" s="180">
        <f>IFERROR(__xludf.DUMMYFUNCTION("""COMPUTED_VALUE"""),45931.0)</f>
        <v>45931</v>
      </c>
      <c r="AD30" s="179">
        <f>IFERROR(__xludf.DUMMYFUNCTION("""COMPUTED_VALUE"""),0.0)</f>
        <v>0</v>
      </c>
      <c r="AE30" s="180">
        <f>IFERROR(__xludf.DUMMYFUNCTION("""COMPUTED_VALUE"""),45901.0)</f>
        <v>45901</v>
      </c>
      <c r="AF30" s="179">
        <f>IFERROR(__xludf.DUMMYFUNCTION("""COMPUTED_VALUE"""),0.0)</f>
        <v>0</v>
      </c>
      <c r="AG30" s="180">
        <f>IFERROR(__xludf.DUMMYFUNCTION("""COMPUTED_VALUE"""),45750.0)</f>
        <v>45750</v>
      </c>
      <c r="AH30" s="179">
        <f>IFERROR(__xludf.DUMMYFUNCTION("""COMPUTED_VALUE"""),0.0)</f>
        <v>0</v>
      </c>
      <c r="AI30" s="180">
        <f>IFERROR(__xludf.DUMMYFUNCTION("""COMPUTED_VALUE"""),45931.0)</f>
        <v>45931</v>
      </c>
      <c r="AJ30" s="179">
        <f>IFERROR(__xludf.DUMMYFUNCTION("""COMPUTED_VALUE"""),0.0)</f>
        <v>0</v>
      </c>
      <c r="AK30" s="180">
        <f>IFERROR(__xludf.DUMMYFUNCTION("""COMPUTED_VALUE"""),45780.0)</f>
        <v>45780</v>
      </c>
      <c r="AL30" s="179">
        <f>IFERROR(__xludf.DUMMYFUNCTION("""COMPUTED_VALUE"""),0.0)</f>
        <v>0</v>
      </c>
      <c r="AM30" s="180">
        <f>IFERROR(__xludf.DUMMYFUNCTION("""COMPUTED_VALUE"""),45841.0)</f>
        <v>45841</v>
      </c>
      <c r="AN30" s="179">
        <f>IFERROR(__xludf.DUMMYFUNCTION("""COMPUTED_VALUE"""),0.0)</f>
        <v>0</v>
      </c>
      <c r="AO30" s="180">
        <f>IFERROR(__xludf.DUMMYFUNCTION("""COMPUTED_VALUE"""),45931.0)</f>
        <v>45931</v>
      </c>
      <c r="AP30" s="181">
        <f>IFERROR(__xludf.DUMMYFUNCTION("""COMPUTED_VALUE"""),0.0)</f>
        <v>0</v>
      </c>
      <c r="AQ30" s="178">
        <f>IFERROR(__xludf.DUMMYFUNCTION("""COMPUTED_VALUE"""),45871.0)</f>
        <v>45871</v>
      </c>
      <c r="AR30" s="179">
        <f>IFERROR(__xludf.DUMMYFUNCTION("""COMPUTED_VALUE"""),0.0)</f>
        <v>0</v>
      </c>
      <c r="AS30" s="180">
        <f>IFERROR(__xludf.DUMMYFUNCTION("""COMPUTED_VALUE"""),45840.0)</f>
        <v>45840</v>
      </c>
      <c r="AT30" s="179">
        <f>IFERROR(__xludf.DUMMYFUNCTION("""COMPUTED_VALUE"""),0.0)</f>
        <v>0</v>
      </c>
      <c r="AU30" s="180">
        <f>IFERROR(__xludf.DUMMYFUNCTION("""COMPUTED_VALUE"""),45810.0)</f>
        <v>45810</v>
      </c>
      <c r="AV30" s="179">
        <f>IFERROR(__xludf.DUMMYFUNCTION("""COMPUTED_VALUE"""),0.0)</f>
        <v>0</v>
      </c>
      <c r="AW30" s="180">
        <f>IFERROR(__xludf.DUMMYFUNCTION("""COMPUTED_VALUE"""),45810.0)</f>
        <v>45810</v>
      </c>
      <c r="AX30" s="179">
        <f>IFERROR(__xludf.DUMMYFUNCTION("""COMPUTED_VALUE"""),0.0)</f>
        <v>0</v>
      </c>
      <c r="AY30" s="180">
        <f>IFERROR(__xludf.DUMMYFUNCTION("""COMPUTED_VALUE"""),45840.0)</f>
        <v>45840</v>
      </c>
      <c r="AZ30" s="179">
        <f>IFERROR(__xludf.DUMMYFUNCTION("""COMPUTED_VALUE"""),0.0)</f>
        <v>0</v>
      </c>
      <c r="BA30" s="180">
        <f>IFERROR(__xludf.DUMMYFUNCTION("""COMPUTED_VALUE"""),45871.0)</f>
        <v>45871</v>
      </c>
      <c r="BB30" s="179">
        <f>IFERROR(__xludf.DUMMYFUNCTION("""COMPUTED_VALUE"""),0.0)</f>
        <v>0</v>
      </c>
      <c r="BC30" s="180">
        <f>IFERROR(__xludf.DUMMYFUNCTION("""COMPUTED_VALUE"""),45779.0)</f>
        <v>45779</v>
      </c>
      <c r="BD30" s="179">
        <f>IFERROR(__xludf.DUMMYFUNCTION("""COMPUTED_VALUE"""),0.0)</f>
        <v>0</v>
      </c>
      <c r="BE30" s="180">
        <f>IFERROR(__xludf.DUMMYFUNCTION("""COMPUTED_VALUE"""),45902.0)</f>
        <v>45902</v>
      </c>
      <c r="BF30" s="179">
        <f>IFERROR(__xludf.DUMMYFUNCTION("""COMPUTED_VALUE"""),0.0)</f>
        <v>0</v>
      </c>
      <c r="BG30" s="180">
        <f>IFERROR(__xludf.DUMMYFUNCTION("""COMPUTED_VALUE"""),45810.0)</f>
        <v>45810</v>
      </c>
      <c r="BH30" s="179">
        <f>IFERROR(__xludf.DUMMYFUNCTION("""COMPUTED_VALUE"""),0.0)</f>
        <v>0</v>
      </c>
      <c r="BI30" s="180">
        <f>IFERROR(__xludf.DUMMYFUNCTION("""COMPUTED_VALUE"""),45749.0)</f>
        <v>45749</v>
      </c>
      <c r="BJ30" s="179">
        <f>IFERROR(__xludf.DUMMYFUNCTION("""COMPUTED_VALUE"""),0.0)</f>
        <v>0</v>
      </c>
      <c r="BK30" s="182">
        <f>IFERROR(__xludf.DUMMYFUNCTION("""COMPUTED_VALUE"""),45840.0)</f>
        <v>45840</v>
      </c>
      <c r="BL30" s="179">
        <f>IFERROR(__xludf.DUMMYFUNCTION("""COMPUTED_VALUE"""),0.0)</f>
        <v>0</v>
      </c>
      <c r="BM30" s="180">
        <f>IFERROR(__xludf.DUMMYFUNCTION("""COMPUTED_VALUE"""),45718.0)</f>
        <v>45718</v>
      </c>
      <c r="BN30" s="179">
        <f>IFERROR(__xludf.DUMMYFUNCTION("""COMPUTED_VALUE"""),0.0)</f>
        <v>0</v>
      </c>
      <c r="BO30" s="180">
        <f>IFERROR(__xludf.DUMMYFUNCTION("""COMPUTED_VALUE"""),45690.0)</f>
        <v>45690</v>
      </c>
      <c r="BP30" s="179">
        <f>IFERROR(__xludf.DUMMYFUNCTION("""COMPUTED_VALUE"""),0.0)</f>
        <v>0</v>
      </c>
      <c r="BQ30" s="180">
        <f>IFERROR(__xludf.DUMMYFUNCTION("""COMPUTED_VALUE"""),45840.0)</f>
        <v>45840</v>
      </c>
      <c r="BR30" s="179">
        <f>IFERROR(__xludf.DUMMYFUNCTION("""COMPUTED_VALUE"""),0.0)</f>
        <v>0</v>
      </c>
      <c r="BS30" s="180">
        <f>IFERROR(__xludf.DUMMYFUNCTION("""COMPUTED_VALUE"""),45902.0)</f>
        <v>45902</v>
      </c>
      <c r="BT30" s="179">
        <f>IFERROR(__xludf.DUMMYFUNCTION("""COMPUTED_VALUE"""),0.0)</f>
        <v>0</v>
      </c>
      <c r="BU30" s="180">
        <f>IFERROR(__xludf.DUMMYFUNCTION("""COMPUTED_VALUE"""),45871.0)</f>
        <v>45871</v>
      </c>
      <c r="BV30" s="179">
        <f>IFERROR(__xludf.DUMMYFUNCTION("""COMPUTED_VALUE"""),0.0)</f>
        <v>0</v>
      </c>
      <c r="BW30" s="180">
        <f>IFERROR(__xludf.DUMMYFUNCTION("""COMPUTED_VALUE"""),45718.0)</f>
        <v>45718</v>
      </c>
      <c r="BX30" s="179">
        <f>IFERROR(__xludf.DUMMYFUNCTION("""COMPUTED_VALUE"""),0.0)</f>
        <v>0</v>
      </c>
      <c r="BY30" s="180">
        <f>IFERROR(__xludf.DUMMYFUNCTION("""COMPUTED_VALUE"""),45840.0)</f>
        <v>45840</v>
      </c>
      <c r="BZ30" s="179">
        <f>IFERROR(__xludf.DUMMYFUNCTION("""COMPUTED_VALUE"""),0.0)</f>
        <v>0</v>
      </c>
      <c r="CA30" s="180">
        <f>IFERROR(__xludf.DUMMYFUNCTION("""COMPUTED_VALUE"""),45779.0)</f>
        <v>45779</v>
      </c>
      <c r="CB30" s="179">
        <f>IFERROR(__xludf.DUMMYFUNCTION("""COMPUTED_VALUE"""),0.0)</f>
        <v>0</v>
      </c>
      <c r="CC30" s="180">
        <f>IFERROR(__xludf.DUMMYFUNCTION("""COMPUTED_VALUE"""),45810.0)</f>
        <v>45810</v>
      </c>
      <c r="CD30" s="179">
        <f>IFERROR(__xludf.DUMMYFUNCTION("""COMPUTED_VALUE"""),0.0)</f>
        <v>0</v>
      </c>
      <c r="CE30" s="182">
        <f>IFERROR(__xludf.DUMMYFUNCTION("""COMPUTED_VALUE"""),45902.0)</f>
        <v>45902</v>
      </c>
      <c r="CF30" s="179">
        <f>IFERROR(__xludf.DUMMYFUNCTION("""COMPUTED_VALUE"""),0.0)</f>
        <v>0</v>
      </c>
      <c r="CG30" s="180">
        <f>IFERROR(__xludf.DUMMYFUNCTION("""COMPUTED_VALUE"""),45718.0)</f>
        <v>45718</v>
      </c>
      <c r="CH30" s="179">
        <f>IFERROR(__xludf.DUMMYFUNCTION("""COMPUTED_VALUE"""),0.0)</f>
        <v>0</v>
      </c>
      <c r="CI30" s="180">
        <f>IFERROR(__xludf.DUMMYFUNCTION("""COMPUTED_VALUE"""),45749.0)</f>
        <v>45749</v>
      </c>
      <c r="CJ30" s="179">
        <f>IFERROR(__xludf.DUMMYFUNCTION("""COMPUTED_VALUE"""),0.0)</f>
        <v>0</v>
      </c>
      <c r="CK30" s="180">
        <f>IFERROR(__xludf.DUMMYFUNCTION("""COMPUTED_VALUE"""),45779.0)</f>
        <v>45779</v>
      </c>
      <c r="CL30" s="179">
        <f>IFERROR(__xludf.DUMMYFUNCTION("""COMPUTED_VALUE"""),0.0)</f>
        <v>0</v>
      </c>
      <c r="CM30" s="180">
        <f>IFERROR(__xludf.DUMMYFUNCTION("""COMPUTED_VALUE"""),45871.0)</f>
        <v>45871</v>
      </c>
      <c r="CN30" s="179">
        <f>IFERROR(__xludf.DUMMYFUNCTION("""COMPUTED_VALUE"""),0.0)</f>
        <v>0</v>
      </c>
      <c r="CO30" s="180">
        <f>IFERROR(__xludf.DUMMYFUNCTION("""COMPUTED_VALUE"""),45749.0)</f>
        <v>45749</v>
      </c>
      <c r="CP30" s="179">
        <f>IFERROR(__xludf.DUMMYFUNCTION("""COMPUTED_VALUE"""),0.0)</f>
        <v>0</v>
      </c>
      <c r="CQ30" s="180">
        <f>IFERROR(__xludf.DUMMYFUNCTION("""COMPUTED_VALUE"""),45717.0)</f>
        <v>45717</v>
      </c>
      <c r="CR30" s="179">
        <f>IFERROR(__xludf.DUMMYFUNCTION("""COMPUTED_VALUE"""),0.0)</f>
        <v>0</v>
      </c>
      <c r="CS30" s="180">
        <f>IFERROR(__xludf.DUMMYFUNCTION("""COMPUTED_VALUE"""),45840.0)</f>
        <v>45840</v>
      </c>
      <c r="CT30" s="179">
        <f>IFERROR(__xludf.DUMMYFUNCTION("""COMPUTED_VALUE"""),0.0)</f>
        <v>0</v>
      </c>
      <c r="CU30" s="180">
        <f>IFERROR(__xludf.DUMMYFUNCTION("""COMPUTED_VALUE"""),45902.0)</f>
        <v>45902</v>
      </c>
      <c r="CV30" s="179">
        <f>IFERROR(__xludf.DUMMYFUNCTION("""COMPUTED_VALUE"""),0.0)</f>
        <v>0</v>
      </c>
      <c r="CW30" s="180">
        <f>IFERROR(__xludf.DUMMYFUNCTION("""COMPUTED_VALUE"""),45901.0)</f>
        <v>45901</v>
      </c>
      <c r="CX30" s="179">
        <f>IFERROR(__xludf.DUMMYFUNCTION("""COMPUTED_VALUE"""),0.0)</f>
        <v>0</v>
      </c>
      <c r="CY30" s="182">
        <f>IFERROR(__xludf.DUMMYFUNCTION("""COMPUTED_VALUE"""),45871.0)</f>
        <v>45871</v>
      </c>
      <c r="CZ30" s="179">
        <f>IFERROR(__xludf.DUMMYFUNCTION("""COMPUTED_VALUE"""),0.0)</f>
        <v>0</v>
      </c>
      <c r="DA30" s="180">
        <f>IFERROR(__xludf.DUMMYFUNCTION("""COMPUTED_VALUE"""),45871.0)</f>
        <v>45871</v>
      </c>
      <c r="DB30" s="179">
        <f>IFERROR(__xludf.DUMMYFUNCTION("""COMPUTED_VALUE"""),0.0)</f>
        <v>0</v>
      </c>
      <c r="DC30" s="180">
        <f>IFERROR(__xludf.DUMMYFUNCTION("""COMPUTED_VALUE"""),45779.0)</f>
        <v>45779</v>
      </c>
      <c r="DD30" s="179">
        <f>IFERROR(__xludf.DUMMYFUNCTION("""COMPUTED_VALUE"""),0.0)</f>
        <v>0</v>
      </c>
      <c r="DE30" s="180">
        <f>IFERROR(__xludf.DUMMYFUNCTION("""COMPUTED_VALUE"""),45810.0)</f>
        <v>45810</v>
      </c>
      <c r="DF30" s="179">
        <f>IFERROR(__xludf.DUMMYFUNCTION("""COMPUTED_VALUE"""),0.0)</f>
        <v>0</v>
      </c>
      <c r="DG30" s="180">
        <f>IFERROR(__xludf.DUMMYFUNCTION("""COMPUTED_VALUE"""),45902.0)</f>
        <v>45902</v>
      </c>
      <c r="DH30" s="179">
        <f>IFERROR(__xludf.DUMMYFUNCTION("""COMPUTED_VALUE"""),0.0)</f>
        <v>0</v>
      </c>
      <c r="DI30" s="180">
        <f>IFERROR(__xludf.DUMMYFUNCTION("""COMPUTED_VALUE"""),45902.0)</f>
        <v>45902</v>
      </c>
      <c r="DJ30" s="179">
        <f>IFERROR(__xludf.DUMMYFUNCTION("""COMPUTED_VALUE"""),0.0)</f>
        <v>0</v>
      </c>
      <c r="DK30" s="180">
        <f>IFERROR(__xludf.DUMMYFUNCTION("""COMPUTED_VALUE"""),45840.0)</f>
        <v>45840</v>
      </c>
      <c r="DL30" s="179">
        <f>IFERROR(__xludf.DUMMYFUNCTION("""COMPUTED_VALUE"""),0.0)</f>
        <v>0</v>
      </c>
      <c r="DM30" s="180">
        <f>IFERROR(__xludf.DUMMYFUNCTION("""COMPUTED_VALUE"""),45840.0)</f>
        <v>45840</v>
      </c>
      <c r="DN30" s="179">
        <f>IFERROR(__xludf.DUMMYFUNCTION("""COMPUTED_VALUE"""),0.0)</f>
        <v>0</v>
      </c>
      <c r="DO30" s="180">
        <f>IFERROR(__xludf.DUMMYFUNCTION("""COMPUTED_VALUE"""),45840.0)</f>
        <v>45840</v>
      </c>
      <c r="DP30" s="179">
        <f>IFERROR(__xludf.DUMMYFUNCTION("""COMPUTED_VALUE"""),0.0)</f>
        <v>0</v>
      </c>
      <c r="DQ30" s="180">
        <f>IFERROR(__xludf.DUMMYFUNCTION("""COMPUTED_VALUE"""),45718.0)</f>
        <v>45718</v>
      </c>
      <c r="DR30" s="179">
        <f>IFERROR(__xludf.DUMMYFUNCTION("""COMPUTED_VALUE"""),0.0)</f>
        <v>0</v>
      </c>
      <c r="DS30" s="182">
        <f>IFERROR(__xludf.DUMMYFUNCTION("""COMPUTED_VALUE"""),45871.0)</f>
        <v>45871</v>
      </c>
      <c r="DT30" s="179">
        <f>IFERROR(__xludf.DUMMYFUNCTION("""COMPUTED_VALUE"""),0.0)</f>
        <v>0</v>
      </c>
      <c r="DU30" s="180">
        <f>IFERROR(__xludf.DUMMYFUNCTION("""COMPUTED_VALUE"""),45840.0)</f>
        <v>45840</v>
      </c>
      <c r="DV30" s="179">
        <f>IFERROR(__xludf.DUMMYFUNCTION("""COMPUTED_VALUE"""),0.0)</f>
        <v>0</v>
      </c>
      <c r="DW30" s="180">
        <f>IFERROR(__xludf.DUMMYFUNCTION("""COMPUTED_VALUE"""),45840.0)</f>
        <v>45840</v>
      </c>
      <c r="DX30" s="179">
        <f>IFERROR(__xludf.DUMMYFUNCTION("""COMPUTED_VALUE"""),0.0)</f>
        <v>0</v>
      </c>
      <c r="DY30" s="180">
        <f>IFERROR(__xludf.DUMMYFUNCTION("""COMPUTED_VALUE"""),45871.0)</f>
        <v>45871</v>
      </c>
      <c r="DZ30" s="179">
        <f>IFERROR(__xludf.DUMMYFUNCTION("""COMPUTED_VALUE"""),0.0)</f>
        <v>0</v>
      </c>
      <c r="EA30" s="180">
        <f>IFERROR(__xludf.DUMMYFUNCTION("""COMPUTED_VALUE"""),45902.0)</f>
        <v>45902</v>
      </c>
      <c r="EB30" s="179">
        <f>IFERROR(__xludf.DUMMYFUNCTION("""COMPUTED_VALUE"""),0.0)</f>
        <v>0</v>
      </c>
      <c r="EC30" s="180">
        <f>IFERROR(__xludf.DUMMYFUNCTION("""COMPUTED_VALUE"""),45871.0)</f>
        <v>45871</v>
      </c>
      <c r="ED30" s="179">
        <f>IFERROR(__xludf.DUMMYFUNCTION("""COMPUTED_VALUE"""),0.0)</f>
        <v>0</v>
      </c>
      <c r="EE30" s="180">
        <f>IFERROR(__xludf.DUMMYFUNCTION("""COMPUTED_VALUE"""),45779.0)</f>
        <v>45779</v>
      </c>
      <c r="EF30" s="179">
        <f>IFERROR(__xludf.DUMMYFUNCTION("""COMPUTED_VALUE"""),0.0)</f>
        <v>0</v>
      </c>
      <c r="EG30" s="180">
        <f>IFERROR(__xludf.DUMMYFUNCTION("""COMPUTED_VALUE"""),45871.0)</f>
        <v>45871</v>
      </c>
      <c r="EH30" s="179">
        <f>IFERROR(__xludf.DUMMYFUNCTION("""COMPUTED_VALUE"""),0.0)</f>
        <v>0</v>
      </c>
      <c r="EI30" s="180">
        <f>IFERROR(__xludf.DUMMYFUNCTION("""COMPUTED_VALUE"""),45871.0)</f>
        <v>45871</v>
      </c>
      <c r="EJ30" s="179">
        <f>IFERROR(__xludf.DUMMYFUNCTION("""COMPUTED_VALUE"""),0.0)</f>
        <v>0</v>
      </c>
      <c r="EK30" s="180">
        <f>IFERROR(__xludf.DUMMYFUNCTION("""COMPUTED_VALUE"""),45810.0)</f>
        <v>45810</v>
      </c>
      <c r="EL30" s="179">
        <f>IFERROR(__xludf.DUMMYFUNCTION("""COMPUTED_VALUE"""),0.0)</f>
        <v>0</v>
      </c>
      <c r="EM30" s="182">
        <f>IFERROR(__xludf.DUMMYFUNCTION("""COMPUTED_VALUE"""),45779.0)</f>
        <v>45779</v>
      </c>
      <c r="EN30" s="179">
        <f>IFERROR(__xludf.DUMMYFUNCTION("""COMPUTED_VALUE"""),0.0)</f>
        <v>0</v>
      </c>
      <c r="EO30" s="180">
        <f>IFERROR(__xludf.DUMMYFUNCTION("""COMPUTED_VALUE"""),45871.0)</f>
        <v>45871</v>
      </c>
      <c r="EP30" s="179">
        <f>IFERROR(__xludf.DUMMYFUNCTION("""COMPUTED_VALUE"""),0.0)</f>
        <v>0</v>
      </c>
      <c r="EQ30" s="180">
        <f>IFERROR(__xludf.DUMMYFUNCTION("""COMPUTED_VALUE"""),45810.0)</f>
        <v>45810</v>
      </c>
      <c r="ER30" s="179">
        <f>IFERROR(__xludf.DUMMYFUNCTION("""COMPUTED_VALUE"""),0.0)</f>
        <v>0</v>
      </c>
      <c r="ES30" s="180">
        <f>IFERROR(__xludf.DUMMYFUNCTION("""COMPUTED_VALUE"""),45902.0)</f>
        <v>45902</v>
      </c>
      <c r="ET30" s="179">
        <f>IFERROR(__xludf.DUMMYFUNCTION("""COMPUTED_VALUE"""),0.0)</f>
        <v>0</v>
      </c>
      <c r="EU30" s="180">
        <f>IFERROR(__xludf.DUMMYFUNCTION("""COMPUTED_VALUE"""),45871.0)</f>
        <v>45871</v>
      </c>
      <c r="EV30" s="179">
        <f>IFERROR(__xludf.DUMMYFUNCTION("""COMPUTED_VALUE"""),0.0)</f>
        <v>0</v>
      </c>
      <c r="EW30" s="180">
        <f>IFERROR(__xludf.DUMMYFUNCTION("""COMPUTED_VALUE"""),45902.0)</f>
        <v>45902</v>
      </c>
      <c r="EX30" s="179">
        <f>IFERROR(__xludf.DUMMYFUNCTION("""COMPUTED_VALUE"""),0.0)</f>
        <v>0</v>
      </c>
      <c r="EY30" s="180">
        <f>IFERROR(__xludf.DUMMYFUNCTION("""COMPUTED_VALUE"""),45902.0)</f>
        <v>45902</v>
      </c>
      <c r="EZ30" s="179">
        <f>IFERROR(__xludf.DUMMYFUNCTION("""COMPUTED_VALUE"""),0.0)</f>
        <v>0</v>
      </c>
      <c r="FA30" s="180">
        <f>IFERROR(__xludf.DUMMYFUNCTION("""COMPUTED_VALUE"""),45871.0)</f>
        <v>45871</v>
      </c>
      <c r="FB30" s="179">
        <f>IFERROR(__xludf.DUMMYFUNCTION("""COMPUTED_VALUE"""),0.0)</f>
        <v>0</v>
      </c>
      <c r="FC30" s="180">
        <f>IFERROR(__xludf.DUMMYFUNCTION("""COMPUTED_VALUE"""),45902.0)</f>
        <v>45902</v>
      </c>
      <c r="FD30" s="179">
        <f>IFERROR(__xludf.DUMMYFUNCTION("""COMPUTED_VALUE"""),0.0)</f>
        <v>0</v>
      </c>
      <c r="FE30" s="180">
        <f>IFERROR(__xludf.DUMMYFUNCTION("""COMPUTED_VALUE"""),45779.0)</f>
        <v>45779</v>
      </c>
      <c r="FF30" s="179">
        <f>IFERROR(__xludf.DUMMYFUNCTION("""COMPUTED_VALUE"""),0.0)</f>
        <v>0</v>
      </c>
      <c r="FG30" s="182">
        <f>IFERROR(__xludf.DUMMYFUNCTION("""COMPUTED_VALUE"""),45779.0)</f>
        <v>45779</v>
      </c>
      <c r="FH30" s="179">
        <f>IFERROR(__xludf.DUMMYFUNCTION("""COMPUTED_VALUE"""),0.0)</f>
        <v>0</v>
      </c>
      <c r="FI30" s="180">
        <f>IFERROR(__xludf.DUMMYFUNCTION("""COMPUTED_VALUE"""),45659.0)</f>
        <v>45659</v>
      </c>
      <c r="FJ30" s="179">
        <f>IFERROR(__xludf.DUMMYFUNCTION("""COMPUTED_VALUE"""),0.0)</f>
        <v>0</v>
      </c>
      <c r="FK30" s="180">
        <f>IFERROR(__xludf.DUMMYFUNCTION("""COMPUTED_VALUE"""),45659.0)</f>
        <v>45659</v>
      </c>
      <c r="FL30" s="179">
        <f>IFERROR(__xludf.DUMMYFUNCTION("""COMPUTED_VALUE"""),0.0)</f>
        <v>0</v>
      </c>
      <c r="FM30" s="180">
        <f>IFERROR(__xludf.DUMMYFUNCTION("""COMPUTED_VALUE"""),45810.0)</f>
        <v>45810</v>
      </c>
      <c r="FN30" s="179">
        <f>IFERROR(__xludf.DUMMYFUNCTION("""COMPUTED_VALUE"""),0.0)</f>
        <v>0</v>
      </c>
      <c r="FO30" s="180">
        <f>IFERROR(__xludf.DUMMYFUNCTION("""COMPUTED_VALUE"""),45902.0)</f>
        <v>45902</v>
      </c>
      <c r="FP30" s="179">
        <f>IFERROR(__xludf.DUMMYFUNCTION("""COMPUTED_VALUE"""),0.0)</f>
        <v>0</v>
      </c>
      <c r="FQ30" s="180">
        <f>IFERROR(__xludf.DUMMYFUNCTION("""COMPUTED_VALUE"""),45902.0)</f>
        <v>45902</v>
      </c>
      <c r="FR30" s="179">
        <f>IFERROR(__xludf.DUMMYFUNCTION("""COMPUTED_VALUE"""),0.0)</f>
        <v>0</v>
      </c>
      <c r="FS30" s="180">
        <f>IFERROR(__xludf.DUMMYFUNCTION("""COMPUTED_VALUE"""),45901.0)</f>
        <v>45901</v>
      </c>
      <c r="FT30" s="179">
        <f>IFERROR(__xludf.DUMMYFUNCTION("""COMPUTED_VALUE"""),0.0)</f>
        <v>0</v>
      </c>
      <c r="FU30" s="180">
        <f>IFERROR(__xludf.DUMMYFUNCTION("""COMPUTED_VALUE"""),45810.0)</f>
        <v>45810</v>
      </c>
      <c r="FV30" s="179">
        <f>IFERROR(__xludf.DUMMYFUNCTION("""COMPUTED_VALUE"""),0.0)</f>
        <v>0</v>
      </c>
      <c r="FW30" s="180">
        <f>IFERROR(__xludf.DUMMYFUNCTION("""COMPUTED_VALUE"""),45902.0)</f>
        <v>45902</v>
      </c>
      <c r="FX30" s="179">
        <f>IFERROR(__xludf.DUMMYFUNCTION("""COMPUTED_VALUE"""),0.0)</f>
        <v>0</v>
      </c>
      <c r="FY30" s="180">
        <f>IFERROR(__xludf.DUMMYFUNCTION("""COMPUTED_VALUE"""),45659.0)</f>
        <v>45659</v>
      </c>
      <c r="FZ30" s="179">
        <f>IFERROR(__xludf.DUMMYFUNCTION("""COMPUTED_VALUE"""),0.0)</f>
        <v>0</v>
      </c>
      <c r="GA30" s="182">
        <f>IFERROR(__xludf.DUMMYFUNCTION("""COMPUTED_VALUE"""),45902.0)</f>
        <v>45902</v>
      </c>
      <c r="GB30" s="179">
        <f>IFERROR(__xludf.DUMMYFUNCTION("""COMPUTED_VALUE"""),0.0)</f>
        <v>0</v>
      </c>
      <c r="GC30" s="180">
        <f>IFERROR(__xludf.DUMMYFUNCTION("""COMPUTED_VALUE"""),45810.0)</f>
        <v>45810</v>
      </c>
      <c r="GD30" s="179">
        <f>IFERROR(__xludf.DUMMYFUNCTION("""COMPUTED_VALUE"""),0.0)</f>
        <v>0</v>
      </c>
      <c r="GE30" s="180">
        <f>IFERROR(__xludf.DUMMYFUNCTION("""COMPUTED_VALUE"""),45810.0)</f>
        <v>45810</v>
      </c>
      <c r="GF30" s="179">
        <f>IFERROR(__xludf.DUMMYFUNCTION("""COMPUTED_VALUE"""),0.0)</f>
        <v>0</v>
      </c>
      <c r="GG30" s="180">
        <f>IFERROR(__xludf.DUMMYFUNCTION("""COMPUTED_VALUE"""),45840.0)</f>
        <v>45840</v>
      </c>
      <c r="GH30" s="179">
        <f>IFERROR(__xludf.DUMMYFUNCTION("""COMPUTED_VALUE"""),0.0)</f>
        <v>0</v>
      </c>
      <c r="GI30" s="180">
        <f>IFERROR(__xludf.DUMMYFUNCTION("""COMPUTED_VALUE"""),45902.0)</f>
        <v>45902</v>
      </c>
      <c r="GJ30" s="179">
        <f>IFERROR(__xludf.DUMMYFUNCTION("""COMPUTED_VALUE"""),0.0)</f>
        <v>0</v>
      </c>
      <c r="GK30" s="180">
        <f>IFERROR(__xludf.DUMMYFUNCTION("""COMPUTED_VALUE"""),45902.0)</f>
        <v>45902</v>
      </c>
      <c r="GL30" s="179">
        <f>IFERROR(__xludf.DUMMYFUNCTION("""COMPUTED_VALUE"""),0.0)</f>
        <v>0</v>
      </c>
      <c r="GM30" s="180">
        <f>IFERROR(__xludf.DUMMYFUNCTION("""COMPUTED_VALUE"""),45690.0)</f>
        <v>45690</v>
      </c>
      <c r="GN30" s="179">
        <f>IFERROR(__xludf.DUMMYFUNCTION("""COMPUTED_VALUE"""),0.0)</f>
        <v>0</v>
      </c>
      <c r="GO30" s="180">
        <f>IFERROR(__xludf.DUMMYFUNCTION("""COMPUTED_VALUE"""),45902.0)</f>
        <v>45902</v>
      </c>
      <c r="GP30" s="179">
        <f>IFERROR(__xludf.DUMMYFUNCTION("""COMPUTED_VALUE"""),0.0)</f>
        <v>0</v>
      </c>
      <c r="GQ30" s="180">
        <f>IFERROR(__xludf.DUMMYFUNCTION("""COMPUTED_VALUE"""),45749.0)</f>
        <v>45749</v>
      </c>
      <c r="GR30" s="179">
        <f>IFERROR(__xludf.DUMMYFUNCTION("""COMPUTED_VALUE"""),0.0)</f>
        <v>0</v>
      </c>
      <c r="GS30" s="180">
        <f>IFERROR(__xludf.DUMMYFUNCTION("""COMPUTED_VALUE"""),45690.0)</f>
        <v>45690</v>
      </c>
      <c r="GT30" s="179">
        <f>IFERROR(__xludf.DUMMYFUNCTION("""COMPUTED_VALUE"""),0.0)</f>
        <v>0</v>
      </c>
    </row>
    <row r="31" ht="31.5" customHeight="1">
      <c r="B31" s="183"/>
      <c r="C31" s="178">
        <f>IFERROR(__xludf.DUMMYFUNCTION("""COMPUTED_VALUE"""),45780.0)</f>
        <v>45780</v>
      </c>
      <c r="D31" s="179">
        <f>IFERROR(__xludf.DUMMYFUNCTION("""COMPUTED_VALUE"""),0.0)</f>
        <v>0</v>
      </c>
      <c r="E31" s="180">
        <f>IFERROR(__xludf.DUMMYFUNCTION("""COMPUTED_VALUE"""),45811.0)</f>
        <v>45811</v>
      </c>
      <c r="F31" s="179">
        <f>IFERROR(__xludf.DUMMYFUNCTION("""COMPUTED_VALUE"""),0.0)</f>
        <v>0</v>
      </c>
      <c r="G31" s="180">
        <f>IFERROR(__xludf.DUMMYFUNCTION("""COMPUTED_VALUE"""),45811.0)</f>
        <v>45811</v>
      </c>
      <c r="H31" s="179">
        <f>IFERROR(__xludf.DUMMYFUNCTION("""COMPUTED_VALUE"""),0.0)</f>
        <v>0</v>
      </c>
      <c r="I31" s="180">
        <f>IFERROR(__xludf.DUMMYFUNCTION("""COMPUTED_VALUE"""),45872.0)</f>
        <v>45872</v>
      </c>
      <c r="J31" s="179">
        <f>IFERROR(__xludf.DUMMYFUNCTION("""COMPUTED_VALUE"""),0.0)</f>
        <v>0</v>
      </c>
      <c r="K31" s="180">
        <f>IFERROR(__xludf.DUMMYFUNCTION("""COMPUTED_VALUE"""),45719.0)</f>
        <v>45719</v>
      </c>
      <c r="L31" s="179">
        <f>IFERROR(__xludf.DUMMYFUNCTION("""COMPUTED_VALUE"""),0.0)</f>
        <v>0</v>
      </c>
      <c r="M31" s="180">
        <f>IFERROR(__xludf.DUMMYFUNCTION("""COMPUTED_VALUE"""),45780.0)</f>
        <v>45780</v>
      </c>
      <c r="N31" s="179">
        <f>IFERROR(__xludf.DUMMYFUNCTION("""COMPUTED_VALUE"""),0.0)</f>
        <v>0</v>
      </c>
      <c r="O31" s="180">
        <f>IFERROR(__xludf.DUMMYFUNCTION("""COMPUTED_VALUE"""),45932.0)</f>
        <v>45932</v>
      </c>
      <c r="P31" s="179">
        <f>IFERROR(__xludf.DUMMYFUNCTION("""COMPUTED_VALUE"""),0.0)</f>
        <v>0</v>
      </c>
      <c r="Q31" s="180">
        <f>IFERROR(__xludf.DUMMYFUNCTION("""COMPUTED_VALUE"""),45660.0)</f>
        <v>45660</v>
      </c>
      <c r="R31" s="179">
        <f>IFERROR(__xludf.DUMMYFUNCTION("""COMPUTED_VALUE"""),0.0)</f>
        <v>0</v>
      </c>
      <c r="S31" s="180">
        <f>IFERROR(__xludf.DUMMYFUNCTION("""COMPUTED_VALUE"""),45841.0)</f>
        <v>45841</v>
      </c>
      <c r="T31" s="179">
        <f>IFERROR(__xludf.DUMMYFUNCTION("""COMPUTED_VALUE"""),0.0)</f>
        <v>0</v>
      </c>
      <c r="U31" s="180">
        <f>IFERROR(__xludf.DUMMYFUNCTION("""COMPUTED_VALUE"""),45932.0)</f>
        <v>45932</v>
      </c>
      <c r="V31" s="181">
        <f>IFERROR(__xludf.DUMMYFUNCTION("""COMPUTED_VALUE"""),0.0)</f>
        <v>0</v>
      </c>
      <c r="W31" s="178">
        <f>IFERROR(__xludf.DUMMYFUNCTION("""COMPUTED_VALUE"""),45841.0)</f>
        <v>45841</v>
      </c>
      <c r="X31" s="179">
        <f>IFERROR(__xludf.DUMMYFUNCTION("""COMPUTED_VALUE"""),0.0)</f>
        <v>0</v>
      </c>
      <c r="Y31" s="180">
        <f>IFERROR(__xludf.DUMMYFUNCTION("""COMPUTED_VALUE"""),45691.0)</f>
        <v>45691</v>
      </c>
      <c r="Z31" s="179">
        <f>IFERROR(__xludf.DUMMYFUNCTION("""COMPUTED_VALUE"""),0.0)</f>
        <v>0</v>
      </c>
      <c r="AA31" s="180">
        <f>IFERROR(__xludf.DUMMYFUNCTION("""COMPUTED_VALUE"""),45841.0)</f>
        <v>45841</v>
      </c>
      <c r="AB31" s="179">
        <f>IFERROR(__xludf.DUMMYFUNCTION("""COMPUTED_VALUE"""),0.0)</f>
        <v>0</v>
      </c>
      <c r="AC31" s="180">
        <f>IFERROR(__xludf.DUMMYFUNCTION("""COMPUTED_VALUE"""),45749.0)</f>
        <v>45749</v>
      </c>
      <c r="AD31" s="179">
        <f>IFERROR(__xludf.DUMMYFUNCTION("""COMPUTED_VALUE"""),0.0)</f>
        <v>0</v>
      </c>
      <c r="AE31" s="180">
        <f>IFERROR(__xludf.DUMMYFUNCTION("""COMPUTED_VALUE"""),45931.0)</f>
        <v>45931</v>
      </c>
      <c r="AF31" s="179">
        <f>IFERROR(__xludf.DUMMYFUNCTION("""COMPUTED_VALUE"""),0.0)</f>
        <v>0</v>
      </c>
      <c r="AG31" s="180">
        <f>IFERROR(__xludf.DUMMYFUNCTION("""COMPUTED_VALUE"""),45841.0)</f>
        <v>45841</v>
      </c>
      <c r="AH31" s="179">
        <f>IFERROR(__xludf.DUMMYFUNCTION("""COMPUTED_VALUE"""),0.0)</f>
        <v>0</v>
      </c>
      <c r="AI31" s="180">
        <f>IFERROR(__xludf.DUMMYFUNCTION("""COMPUTED_VALUE"""),45840.0)</f>
        <v>45840</v>
      </c>
      <c r="AJ31" s="179">
        <f>IFERROR(__xludf.DUMMYFUNCTION("""COMPUTED_VALUE"""),0.0)</f>
        <v>0</v>
      </c>
      <c r="AK31" s="180">
        <f>IFERROR(__xludf.DUMMYFUNCTION("""COMPUTED_VALUE"""),45811.0)</f>
        <v>45811</v>
      </c>
      <c r="AL31" s="179">
        <f>IFERROR(__xludf.DUMMYFUNCTION("""COMPUTED_VALUE"""),0.0)</f>
        <v>0</v>
      </c>
      <c r="AM31" s="180">
        <f>IFERROR(__xludf.DUMMYFUNCTION("""COMPUTED_VALUE"""),45872.0)</f>
        <v>45872</v>
      </c>
      <c r="AN31" s="179">
        <f>IFERROR(__xludf.DUMMYFUNCTION("""COMPUTED_VALUE"""),0.0)</f>
        <v>0</v>
      </c>
      <c r="AO31" s="180">
        <f>IFERROR(__xludf.DUMMYFUNCTION("""COMPUTED_VALUE"""),45932.0)</f>
        <v>45932</v>
      </c>
      <c r="AP31" s="181">
        <f>IFERROR(__xludf.DUMMYFUNCTION("""COMPUTED_VALUE"""),0.0)</f>
        <v>0</v>
      </c>
      <c r="AQ31" s="178">
        <f>IFERROR(__xludf.DUMMYFUNCTION("""COMPUTED_VALUE"""),45902.0)</f>
        <v>45902</v>
      </c>
      <c r="AR31" s="179">
        <f>IFERROR(__xludf.DUMMYFUNCTION("""COMPUTED_VALUE"""),0.0)</f>
        <v>0</v>
      </c>
      <c r="AS31" s="180">
        <f>IFERROR(__xludf.DUMMYFUNCTION("""COMPUTED_VALUE"""),45871.0)</f>
        <v>45871</v>
      </c>
      <c r="AT31" s="179">
        <f>IFERROR(__xludf.DUMMYFUNCTION("""COMPUTED_VALUE"""),0.0)</f>
        <v>0</v>
      </c>
      <c r="AU31" s="180">
        <f>IFERROR(__xludf.DUMMYFUNCTION("""COMPUTED_VALUE"""),45840.0)</f>
        <v>45840</v>
      </c>
      <c r="AV31" s="179">
        <f>IFERROR(__xludf.DUMMYFUNCTION("""COMPUTED_VALUE"""),0.0)</f>
        <v>0</v>
      </c>
      <c r="AW31" s="180">
        <f>IFERROR(__xludf.DUMMYFUNCTION("""COMPUTED_VALUE"""),45840.0)</f>
        <v>45840</v>
      </c>
      <c r="AX31" s="179">
        <f>IFERROR(__xludf.DUMMYFUNCTION("""COMPUTED_VALUE"""),0.0)</f>
        <v>0</v>
      </c>
      <c r="AY31" s="180">
        <f>IFERROR(__xludf.DUMMYFUNCTION("""COMPUTED_VALUE"""),45871.0)</f>
        <v>45871</v>
      </c>
      <c r="AZ31" s="179">
        <f>IFERROR(__xludf.DUMMYFUNCTION("""COMPUTED_VALUE"""),0.0)</f>
        <v>0</v>
      </c>
      <c r="BA31" s="180">
        <f>IFERROR(__xludf.DUMMYFUNCTION("""COMPUTED_VALUE"""),45902.0)</f>
        <v>45902</v>
      </c>
      <c r="BB31" s="179">
        <f>IFERROR(__xludf.DUMMYFUNCTION("""COMPUTED_VALUE"""),0.0)</f>
        <v>0</v>
      </c>
      <c r="BC31" s="180">
        <f>IFERROR(__xludf.DUMMYFUNCTION("""COMPUTED_VALUE"""),45810.0)</f>
        <v>45810</v>
      </c>
      <c r="BD31" s="179">
        <f>IFERROR(__xludf.DUMMYFUNCTION("""COMPUTED_VALUE"""),0.0)</f>
        <v>0</v>
      </c>
      <c r="BE31" s="180">
        <f>IFERROR(__xludf.DUMMYFUNCTION("""COMPUTED_VALUE"""),45932.0)</f>
        <v>45932</v>
      </c>
      <c r="BF31" s="179">
        <f>IFERROR(__xludf.DUMMYFUNCTION("""COMPUTED_VALUE"""),0.0)</f>
        <v>0</v>
      </c>
      <c r="BG31" s="180">
        <f>IFERROR(__xludf.DUMMYFUNCTION("""COMPUTED_VALUE"""),45840.0)</f>
        <v>45840</v>
      </c>
      <c r="BH31" s="179">
        <f>IFERROR(__xludf.DUMMYFUNCTION("""COMPUTED_VALUE"""),0.0)</f>
        <v>0</v>
      </c>
      <c r="BI31" s="180">
        <f>IFERROR(__xludf.DUMMYFUNCTION("""COMPUTED_VALUE"""),45840.0)</f>
        <v>45840</v>
      </c>
      <c r="BJ31" s="179">
        <f>IFERROR(__xludf.DUMMYFUNCTION("""COMPUTED_VALUE"""),0.0)</f>
        <v>0</v>
      </c>
      <c r="BK31" s="182">
        <f>IFERROR(__xludf.DUMMYFUNCTION("""COMPUTED_VALUE"""),45871.0)</f>
        <v>45871</v>
      </c>
      <c r="BL31" s="179">
        <f>IFERROR(__xludf.DUMMYFUNCTION("""COMPUTED_VALUE"""),0.0)</f>
        <v>0</v>
      </c>
      <c r="BM31" s="180">
        <f>IFERROR(__xludf.DUMMYFUNCTION("""COMPUTED_VALUE"""),45749.0)</f>
        <v>45749</v>
      </c>
      <c r="BN31" s="179">
        <f>IFERROR(__xludf.DUMMYFUNCTION("""COMPUTED_VALUE"""),0.0)</f>
        <v>0</v>
      </c>
      <c r="BO31" s="180">
        <f>IFERROR(__xludf.DUMMYFUNCTION("""COMPUTED_VALUE"""),45718.0)</f>
        <v>45718</v>
      </c>
      <c r="BP31" s="179">
        <f>IFERROR(__xludf.DUMMYFUNCTION("""COMPUTED_VALUE"""),0.0)</f>
        <v>0</v>
      </c>
      <c r="BQ31" s="180">
        <f>IFERROR(__xludf.DUMMYFUNCTION("""COMPUTED_VALUE"""),45871.0)</f>
        <v>45871</v>
      </c>
      <c r="BR31" s="179">
        <f>IFERROR(__xludf.DUMMYFUNCTION("""COMPUTED_VALUE"""),0.0)</f>
        <v>0</v>
      </c>
      <c r="BS31" s="180">
        <f>IFERROR(__xludf.DUMMYFUNCTION("""COMPUTED_VALUE"""),45932.0)</f>
        <v>45932</v>
      </c>
      <c r="BT31" s="179">
        <f>IFERROR(__xludf.DUMMYFUNCTION("""COMPUTED_VALUE"""),0.0)</f>
        <v>0</v>
      </c>
      <c r="BU31" s="180">
        <f>IFERROR(__xludf.DUMMYFUNCTION("""COMPUTED_VALUE"""),45902.0)</f>
        <v>45902</v>
      </c>
      <c r="BV31" s="179">
        <f>IFERROR(__xludf.DUMMYFUNCTION("""COMPUTED_VALUE"""),0.0)</f>
        <v>0</v>
      </c>
      <c r="BW31" s="180">
        <f>IFERROR(__xludf.DUMMYFUNCTION("""COMPUTED_VALUE"""),45749.0)</f>
        <v>45749</v>
      </c>
      <c r="BX31" s="179">
        <f>IFERROR(__xludf.DUMMYFUNCTION("""COMPUTED_VALUE"""),0.0)</f>
        <v>0</v>
      </c>
      <c r="BY31" s="180">
        <f>IFERROR(__xludf.DUMMYFUNCTION("""COMPUTED_VALUE"""),45871.0)</f>
        <v>45871</v>
      </c>
      <c r="BZ31" s="179">
        <f>IFERROR(__xludf.DUMMYFUNCTION("""COMPUTED_VALUE"""),0.0)</f>
        <v>0</v>
      </c>
      <c r="CA31" s="180">
        <f>IFERROR(__xludf.DUMMYFUNCTION("""COMPUTED_VALUE"""),45810.0)</f>
        <v>45810</v>
      </c>
      <c r="CB31" s="179">
        <f>IFERROR(__xludf.DUMMYFUNCTION("""COMPUTED_VALUE"""),0.0)</f>
        <v>0</v>
      </c>
      <c r="CC31" s="180">
        <f>IFERROR(__xludf.DUMMYFUNCTION("""COMPUTED_VALUE"""),45840.0)</f>
        <v>45840</v>
      </c>
      <c r="CD31" s="179">
        <f>IFERROR(__xludf.DUMMYFUNCTION("""COMPUTED_VALUE"""),0.0)</f>
        <v>0</v>
      </c>
      <c r="CE31" s="182">
        <f>IFERROR(__xludf.DUMMYFUNCTION("""COMPUTED_VALUE"""),45932.0)</f>
        <v>45932</v>
      </c>
      <c r="CF31" s="179">
        <f>IFERROR(__xludf.DUMMYFUNCTION("""COMPUTED_VALUE"""),0.0)</f>
        <v>0</v>
      </c>
      <c r="CG31" s="180">
        <f>IFERROR(__xludf.DUMMYFUNCTION("""COMPUTED_VALUE"""),45749.0)</f>
        <v>45749</v>
      </c>
      <c r="CH31" s="179">
        <f>IFERROR(__xludf.DUMMYFUNCTION("""COMPUTED_VALUE"""),0.0)</f>
        <v>0</v>
      </c>
      <c r="CI31" s="180">
        <f>IFERROR(__xludf.DUMMYFUNCTION("""COMPUTED_VALUE"""),45779.0)</f>
        <v>45779</v>
      </c>
      <c r="CJ31" s="179">
        <f>IFERROR(__xludf.DUMMYFUNCTION("""COMPUTED_VALUE"""),0.0)</f>
        <v>0</v>
      </c>
      <c r="CK31" s="180">
        <f>IFERROR(__xludf.DUMMYFUNCTION("""COMPUTED_VALUE"""),45810.0)</f>
        <v>45810</v>
      </c>
      <c r="CL31" s="179">
        <f>IFERROR(__xludf.DUMMYFUNCTION("""COMPUTED_VALUE"""),0.0)</f>
        <v>0</v>
      </c>
      <c r="CM31" s="180">
        <f>IFERROR(__xludf.DUMMYFUNCTION("""COMPUTED_VALUE"""),45902.0)</f>
        <v>45902</v>
      </c>
      <c r="CN31" s="179">
        <f>IFERROR(__xludf.DUMMYFUNCTION("""COMPUTED_VALUE"""),0.0)</f>
        <v>0</v>
      </c>
      <c r="CO31" s="180">
        <f>IFERROR(__xludf.DUMMYFUNCTION("""COMPUTED_VALUE"""),45779.0)</f>
        <v>45779</v>
      </c>
      <c r="CP31" s="179">
        <f>IFERROR(__xludf.DUMMYFUNCTION("""COMPUTED_VALUE"""),0.0)</f>
        <v>0</v>
      </c>
      <c r="CQ31" s="180">
        <f>IFERROR(__xludf.DUMMYFUNCTION("""COMPUTED_VALUE"""),45748.0)</f>
        <v>45748</v>
      </c>
      <c r="CR31" s="179">
        <f>IFERROR(__xludf.DUMMYFUNCTION("""COMPUTED_VALUE"""),0.0)</f>
        <v>0</v>
      </c>
      <c r="CS31" s="180">
        <f>IFERROR(__xludf.DUMMYFUNCTION("""COMPUTED_VALUE"""),45871.0)</f>
        <v>45871</v>
      </c>
      <c r="CT31" s="179">
        <f>IFERROR(__xludf.DUMMYFUNCTION("""COMPUTED_VALUE"""),0.0)</f>
        <v>0</v>
      </c>
      <c r="CU31" s="180">
        <f>IFERROR(__xludf.DUMMYFUNCTION("""COMPUTED_VALUE"""),45932.0)</f>
        <v>45932</v>
      </c>
      <c r="CV31" s="179">
        <f>IFERROR(__xludf.DUMMYFUNCTION("""COMPUTED_VALUE"""),0.0)</f>
        <v>0</v>
      </c>
      <c r="CW31" s="180">
        <f>IFERROR(__xludf.DUMMYFUNCTION("""COMPUTED_VALUE"""),45931.0)</f>
        <v>45931</v>
      </c>
      <c r="CX31" s="179">
        <f>IFERROR(__xludf.DUMMYFUNCTION("""COMPUTED_VALUE"""),0.0)</f>
        <v>0</v>
      </c>
      <c r="CY31" s="182">
        <f>IFERROR(__xludf.DUMMYFUNCTION("""COMPUTED_VALUE"""),45902.0)</f>
        <v>45902</v>
      </c>
      <c r="CZ31" s="179">
        <f>IFERROR(__xludf.DUMMYFUNCTION("""COMPUTED_VALUE"""),0.0)</f>
        <v>0</v>
      </c>
      <c r="DA31" s="180">
        <f>IFERROR(__xludf.DUMMYFUNCTION("""COMPUTED_VALUE"""),45902.0)</f>
        <v>45902</v>
      </c>
      <c r="DB31" s="179">
        <f>IFERROR(__xludf.DUMMYFUNCTION("""COMPUTED_VALUE"""),0.0)</f>
        <v>0</v>
      </c>
      <c r="DC31" s="180">
        <f>IFERROR(__xludf.DUMMYFUNCTION("""COMPUTED_VALUE"""),45810.0)</f>
        <v>45810</v>
      </c>
      <c r="DD31" s="179">
        <f>IFERROR(__xludf.DUMMYFUNCTION("""COMPUTED_VALUE"""),0.0)</f>
        <v>0</v>
      </c>
      <c r="DE31" s="180">
        <f>IFERROR(__xludf.DUMMYFUNCTION("""COMPUTED_VALUE"""),45840.0)</f>
        <v>45840</v>
      </c>
      <c r="DF31" s="179">
        <f>IFERROR(__xludf.DUMMYFUNCTION("""COMPUTED_VALUE"""),0.0)</f>
        <v>0</v>
      </c>
      <c r="DG31" s="180">
        <f>IFERROR(__xludf.DUMMYFUNCTION("""COMPUTED_VALUE"""),45932.0)</f>
        <v>45932</v>
      </c>
      <c r="DH31" s="179">
        <f>IFERROR(__xludf.DUMMYFUNCTION("""COMPUTED_VALUE"""),0.0)</f>
        <v>0</v>
      </c>
      <c r="DI31" s="180">
        <f>IFERROR(__xludf.DUMMYFUNCTION("""COMPUTED_VALUE"""),45932.0)</f>
        <v>45932</v>
      </c>
      <c r="DJ31" s="179">
        <f>IFERROR(__xludf.DUMMYFUNCTION("""COMPUTED_VALUE"""),0.0)</f>
        <v>0</v>
      </c>
      <c r="DK31" s="180">
        <f>IFERROR(__xludf.DUMMYFUNCTION("""COMPUTED_VALUE"""),45871.0)</f>
        <v>45871</v>
      </c>
      <c r="DL31" s="179">
        <f>IFERROR(__xludf.DUMMYFUNCTION("""COMPUTED_VALUE"""),0.0)</f>
        <v>0</v>
      </c>
      <c r="DM31" s="180">
        <f>IFERROR(__xludf.DUMMYFUNCTION("""COMPUTED_VALUE"""),45871.0)</f>
        <v>45871</v>
      </c>
      <c r="DN31" s="179">
        <f>IFERROR(__xludf.DUMMYFUNCTION("""COMPUTED_VALUE"""),0.0)</f>
        <v>0</v>
      </c>
      <c r="DO31" s="180">
        <f>IFERROR(__xludf.DUMMYFUNCTION("""COMPUTED_VALUE"""),45871.0)</f>
        <v>45871</v>
      </c>
      <c r="DP31" s="179">
        <f>IFERROR(__xludf.DUMMYFUNCTION("""COMPUTED_VALUE"""),0.0)</f>
        <v>0</v>
      </c>
      <c r="DQ31" s="180">
        <f>IFERROR(__xludf.DUMMYFUNCTION("""COMPUTED_VALUE"""),45749.0)</f>
        <v>45749</v>
      </c>
      <c r="DR31" s="179">
        <f>IFERROR(__xludf.DUMMYFUNCTION("""COMPUTED_VALUE"""),0.0)</f>
        <v>0</v>
      </c>
      <c r="DS31" s="182">
        <f>IFERROR(__xludf.DUMMYFUNCTION("""COMPUTED_VALUE"""),45902.0)</f>
        <v>45902</v>
      </c>
      <c r="DT31" s="179">
        <f>IFERROR(__xludf.DUMMYFUNCTION("""COMPUTED_VALUE"""),0.0)</f>
        <v>0</v>
      </c>
      <c r="DU31" s="180">
        <f>IFERROR(__xludf.DUMMYFUNCTION("""COMPUTED_VALUE"""),45871.0)</f>
        <v>45871</v>
      </c>
      <c r="DV31" s="179">
        <f>IFERROR(__xludf.DUMMYFUNCTION("""COMPUTED_VALUE"""),0.0)</f>
        <v>0</v>
      </c>
      <c r="DW31" s="180">
        <f>IFERROR(__xludf.DUMMYFUNCTION("""COMPUTED_VALUE"""),45871.0)</f>
        <v>45871</v>
      </c>
      <c r="DX31" s="179">
        <f>IFERROR(__xludf.DUMMYFUNCTION("""COMPUTED_VALUE"""),0.0)</f>
        <v>0</v>
      </c>
      <c r="DY31" s="180">
        <f>IFERROR(__xludf.DUMMYFUNCTION("""COMPUTED_VALUE"""),45902.0)</f>
        <v>45902</v>
      </c>
      <c r="DZ31" s="179">
        <f>IFERROR(__xludf.DUMMYFUNCTION("""COMPUTED_VALUE"""),0.0)</f>
        <v>0</v>
      </c>
      <c r="EA31" s="180">
        <f>IFERROR(__xludf.DUMMYFUNCTION("""COMPUTED_VALUE"""),45932.0)</f>
        <v>45932</v>
      </c>
      <c r="EB31" s="179">
        <f>IFERROR(__xludf.DUMMYFUNCTION("""COMPUTED_VALUE"""),0.0)</f>
        <v>0</v>
      </c>
      <c r="EC31" s="180">
        <f>IFERROR(__xludf.DUMMYFUNCTION("""COMPUTED_VALUE"""),45902.0)</f>
        <v>45902</v>
      </c>
      <c r="ED31" s="179">
        <f>IFERROR(__xludf.DUMMYFUNCTION("""COMPUTED_VALUE"""),0.0)</f>
        <v>0</v>
      </c>
      <c r="EE31" s="180">
        <f>IFERROR(__xludf.DUMMYFUNCTION("""COMPUTED_VALUE"""),45810.0)</f>
        <v>45810</v>
      </c>
      <c r="EF31" s="179">
        <f>IFERROR(__xludf.DUMMYFUNCTION("""COMPUTED_VALUE"""),0.0)</f>
        <v>0</v>
      </c>
      <c r="EG31" s="180">
        <f>IFERROR(__xludf.DUMMYFUNCTION("""COMPUTED_VALUE"""),45902.0)</f>
        <v>45902</v>
      </c>
      <c r="EH31" s="179">
        <f>IFERROR(__xludf.DUMMYFUNCTION("""COMPUTED_VALUE"""),0.0)</f>
        <v>0</v>
      </c>
      <c r="EI31" s="180">
        <f>IFERROR(__xludf.DUMMYFUNCTION("""COMPUTED_VALUE"""),45902.0)</f>
        <v>45902</v>
      </c>
      <c r="EJ31" s="179">
        <f>IFERROR(__xludf.DUMMYFUNCTION("""COMPUTED_VALUE"""),0.0)</f>
        <v>0</v>
      </c>
      <c r="EK31" s="180">
        <f>IFERROR(__xludf.DUMMYFUNCTION("""COMPUTED_VALUE"""),45840.0)</f>
        <v>45840</v>
      </c>
      <c r="EL31" s="179">
        <f>IFERROR(__xludf.DUMMYFUNCTION("""COMPUTED_VALUE"""),0.0)</f>
        <v>0</v>
      </c>
      <c r="EM31" s="182">
        <f>IFERROR(__xludf.DUMMYFUNCTION("""COMPUTED_VALUE"""),45810.0)</f>
        <v>45810</v>
      </c>
      <c r="EN31" s="179">
        <f>IFERROR(__xludf.DUMMYFUNCTION("""COMPUTED_VALUE"""),0.0)</f>
        <v>0</v>
      </c>
      <c r="EO31" s="180">
        <f>IFERROR(__xludf.DUMMYFUNCTION("""COMPUTED_VALUE"""),45902.0)</f>
        <v>45902</v>
      </c>
      <c r="EP31" s="179">
        <f>IFERROR(__xludf.DUMMYFUNCTION("""COMPUTED_VALUE"""),0.0)</f>
        <v>0</v>
      </c>
      <c r="EQ31" s="180">
        <f>IFERROR(__xludf.DUMMYFUNCTION("""COMPUTED_VALUE"""),45871.0)</f>
        <v>45871</v>
      </c>
      <c r="ER31" s="179">
        <f>IFERROR(__xludf.DUMMYFUNCTION("""COMPUTED_VALUE"""),0.0)</f>
        <v>0</v>
      </c>
      <c r="ES31" s="180">
        <f>IFERROR(__xludf.DUMMYFUNCTION("""COMPUTED_VALUE"""),45932.0)</f>
        <v>45932</v>
      </c>
      <c r="ET31" s="179">
        <f>IFERROR(__xludf.DUMMYFUNCTION("""COMPUTED_VALUE"""),0.0)</f>
        <v>0</v>
      </c>
      <c r="EU31" s="180">
        <f>IFERROR(__xludf.DUMMYFUNCTION("""COMPUTED_VALUE"""),45902.0)</f>
        <v>45902</v>
      </c>
      <c r="EV31" s="179">
        <f>IFERROR(__xludf.DUMMYFUNCTION("""COMPUTED_VALUE"""),0.0)</f>
        <v>0</v>
      </c>
      <c r="EW31" s="180">
        <f>IFERROR(__xludf.DUMMYFUNCTION("""COMPUTED_VALUE"""),45932.0)</f>
        <v>45932</v>
      </c>
      <c r="EX31" s="179">
        <f>IFERROR(__xludf.DUMMYFUNCTION("""COMPUTED_VALUE"""),0.0)</f>
        <v>0</v>
      </c>
      <c r="EY31" s="180">
        <f>IFERROR(__xludf.DUMMYFUNCTION("""COMPUTED_VALUE"""),45932.0)</f>
        <v>45932</v>
      </c>
      <c r="EZ31" s="179">
        <f>IFERROR(__xludf.DUMMYFUNCTION("""COMPUTED_VALUE"""),0.0)</f>
        <v>0</v>
      </c>
      <c r="FA31" s="180">
        <f>IFERROR(__xludf.DUMMYFUNCTION("""COMPUTED_VALUE"""),45902.0)</f>
        <v>45902</v>
      </c>
      <c r="FB31" s="179">
        <f>IFERROR(__xludf.DUMMYFUNCTION("""COMPUTED_VALUE"""),0.0)</f>
        <v>0</v>
      </c>
      <c r="FC31" s="180">
        <f>IFERROR(__xludf.DUMMYFUNCTION("""COMPUTED_VALUE"""),45932.0)</f>
        <v>45932</v>
      </c>
      <c r="FD31" s="179">
        <f>IFERROR(__xludf.DUMMYFUNCTION("""COMPUTED_VALUE"""),0.0)</f>
        <v>0</v>
      </c>
      <c r="FE31" s="180">
        <f>IFERROR(__xludf.DUMMYFUNCTION("""COMPUTED_VALUE"""),45810.0)</f>
        <v>45810</v>
      </c>
      <c r="FF31" s="179">
        <f>IFERROR(__xludf.DUMMYFUNCTION("""COMPUTED_VALUE"""),0.0)</f>
        <v>0</v>
      </c>
      <c r="FG31" s="182">
        <f>IFERROR(__xludf.DUMMYFUNCTION("""COMPUTED_VALUE"""),45810.0)</f>
        <v>45810</v>
      </c>
      <c r="FH31" s="179">
        <f>IFERROR(__xludf.DUMMYFUNCTION("""COMPUTED_VALUE"""),0.0)</f>
        <v>0</v>
      </c>
      <c r="FI31" s="180">
        <f>IFERROR(__xludf.DUMMYFUNCTION("""COMPUTED_VALUE"""),45718.0)</f>
        <v>45718</v>
      </c>
      <c r="FJ31" s="179">
        <f>IFERROR(__xludf.DUMMYFUNCTION("""COMPUTED_VALUE"""),0.0)</f>
        <v>0</v>
      </c>
      <c r="FK31" s="180">
        <f>IFERROR(__xludf.DUMMYFUNCTION("""COMPUTED_VALUE"""),45690.0)</f>
        <v>45690</v>
      </c>
      <c r="FL31" s="179">
        <f>IFERROR(__xludf.DUMMYFUNCTION("""COMPUTED_VALUE"""),0.0)</f>
        <v>0</v>
      </c>
      <c r="FM31" s="180">
        <f>IFERROR(__xludf.DUMMYFUNCTION("""COMPUTED_VALUE"""),45902.0)</f>
        <v>45902</v>
      </c>
      <c r="FN31" s="179">
        <f>IFERROR(__xludf.DUMMYFUNCTION("""COMPUTED_VALUE"""),0.0)</f>
        <v>0</v>
      </c>
      <c r="FO31" s="180">
        <f>IFERROR(__xludf.DUMMYFUNCTION("""COMPUTED_VALUE"""),45932.0)</f>
        <v>45932</v>
      </c>
      <c r="FP31" s="179">
        <f>IFERROR(__xludf.DUMMYFUNCTION("""COMPUTED_VALUE"""),0.0)</f>
        <v>0</v>
      </c>
      <c r="FQ31" s="180">
        <f>IFERROR(__xludf.DUMMYFUNCTION("""COMPUTED_VALUE"""),45932.0)</f>
        <v>45932</v>
      </c>
      <c r="FR31" s="179">
        <f>IFERROR(__xludf.DUMMYFUNCTION("""COMPUTED_VALUE"""),0.0)</f>
        <v>0</v>
      </c>
      <c r="FS31" s="180">
        <f>IFERROR(__xludf.DUMMYFUNCTION("""COMPUTED_VALUE"""),45931.0)</f>
        <v>45931</v>
      </c>
      <c r="FT31" s="179">
        <f>IFERROR(__xludf.DUMMYFUNCTION("""COMPUTED_VALUE"""),0.0)</f>
        <v>0</v>
      </c>
      <c r="FU31" s="180">
        <f>IFERROR(__xludf.DUMMYFUNCTION("""COMPUTED_VALUE"""),45902.0)</f>
        <v>45902</v>
      </c>
      <c r="FV31" s="179">
        <f>IFERROR(__xludf.DUMMYFUNCTION("""COMPUTED_VALUE"""),0.0)</f>
        <v>0</v>
      </c>
      <c r="FW31" s="180">
        <f>IFERROR(__xludf.DUMMYFUNCTION("""COMPUTED_VALUE"""),45932.0)</f>
        <v>45932</v>
      </c>
      <c r="FX31" s="179">
        <f>IFERROR(__xludf.DUMMYFUNCTION("""COMPUTED_VALUE"""),0.0)</f>
        <v>0</v>
      </c>
      <c r="FY31" s="180">
        <f>IFERROR(__xludf.DUMMYFUNCTION("""COMPUTED_VALUE"""),45690.0)</f>
        <v>45690</v>
      </c>
      <c r="FZ31" s="179">
        <f>IFERROR(__xludf.DUMMYFUNCTION("""COMPUTED_VALUE"""),0.0)</f>
        <v>0</v>
      </c>
      <c r="GA31" s="182">
        <f>IFERROR(__xludf.DUMMYFUNCTION("""COMPUTED_VALUE"""),45932.0)</f>
        <v>45932</v>
      </c>
      <c r="GB31" s="179">
        <f>IFERROR(__xludf.DUMMYFUNCTION("""COMPUTED_VALUE"""),0.0)</f>
        <v>0</v>
      </c>
      <c r="GC31" s="180">
        <f>IFERROR(__xludf.DUMMYFUNCTION("""COMPUTED_VALUE"""),45840.0)</f>
        <v>45840</v>
      </c>
      <c r="GD31" s="179">
        <f>IFERROR(__xludf.DUMMYFUNCTION("""COMPUTED_VALUE"""),0.0)</f>
        <v>0</v>
      </c>
      <c r="GE31" s="180">
        <f>IFERROR(__xludf.DUMMYFUNCTION("""COMPUTED_VALUE"""),45840.0)</f>
        <v>45840</v>
      </c>
      <c r="GF31" s="179">
        <f>IFERROR(__xludf.DUMMYFUNCTION("""COMPUTED_VALUE"""),0.0)</f>
        <v>0</v>
      </c>
      <c r="GG31" s="180">
        <f>IFERROR(__xludf.DUMMYFUNCTION("""COMPUTED_VALUE"""),45871.0)</f>
        <v>45871</v>
      </c>
      <c r="GH31" s="179">
        <f>IFERROR(__xludf.DUMMYFUNCTION("""COMPUTED_VALUE"""),0.0)</f>
        <v>0</v>
      </c>
      <c r="GI31" s="180">
        <f>IFERROR(__xludf.DUMMYFUNCTION("""COMPUTED_VALUE"""),45932.0)</f>
        <v>45932</v>
      </c>
      <c r="GJ31" s="179">
        <f>IFERROR(__xludf.DUMMYFUNCTION("""COMPUTED_VALUE"""),0.0)</f>
        <v>0</v>
      </c>
      <c r="GK31" s="180">
        <f>IFERROR(__xludf.DUMMYFUNCTION("""COMPUTED_VALUE"""),45932.0)</f>
        <v>45932</v>
      </c>
      <c r="GL31" s="179">
        <f>IFERROR(__xludf.DUMMYFUNCTION("""COMPUTED_VALUE"""),0.0)</f>
        <v>0</v>
      </c>
      <c r="GM31" s="180">
        <f>IFERROR(__xludf.DUMMYFUNCTION("""COMPUTED_VALUE"""),45718.0)</f>
        <v>45718</v>
      </c>
      <c r="GN31" s="179">
        <f>IFERROR(__xludf.DUMMYFUNCTION("""COMPUTED_VALUE"""),0.0)</f>
        <v>0</v>
      </c>
      <c r="GO31" s="180">
        <f>IFERROR(__xludf.DUMMYFUNCTION("""COMPUTED_VALUE"""),45932.0)</f>
        <v>45932</v>
      </c>
      <c r="GP31" s="179">
        <f>IFERROR(__xludf.DUMMYFUNCTION("""COMPUTED_VALUE"""),0.0)</f>
        <v>0</v>
      </c>
      <c r="GQ31" s="180">
        <f>IFERROR(__xludf.DUMMYFUNCTION("""COMPUTED_VALUE"""),45779.0)</f>
        <v>45779</v>
      </c>
      <c r="GR31" s="179">
        <f>IFERROR(__xludf.DUMMYFUNCTION("""COMPUTED_VALUE"""),0.0)</f>
        <v>0</v>
      </c>
      <c r="GS31" s="180">
        <f>IFERROR(__xludf.DUMMYFUNCTION("""COMPUTED_VALUE"""),45718.0)</f>
        <v>45718</v>
      </c>
      <c r="GT31" s="179">
        <f>IFERROR(__xludf.DUMMYFUNCTION("""COMPUTED_VALUE"""),0.0)</f>
        <v>0</v>
      </c>
    </row>
    <row r="32" ht="31.5" customHeight="1">
      <c r="B32" s="183"/>
      <c r="C32" s="178">
        <f>IFERROR(__xludf.DUMMYFUNCTION("""COMPUTED_VALUE"""),45811.0)</f>
        <v>45811</v>
      </c>
      <c r="D32" s="179">
        <f>IFERROR(__xludf.DUMMYFUNCTION("""COMPUTED_VALUE"""),0.0)</f>
        <v>0</v>
      </c>
      <c r="E32" s="180">
        <f>IFERROR(__xludf.DUMMYFUNCTION("""COMPUTED_VALUE"""),45841.0)</f>
        <v>45841</v>
      </c>
      <c r="F32" s="179">
        <f>IFERROR(__xludf.DUMMYFUNCTION("""COMPUTED_VALUE"""),0.0)</f>
        <v>0</v>
      </c>
      <c r="G32" s="180">
        <f>IFERROR(__xludf.DUMMYFUNCTION("""COMPUTED_VALUE"""),45841.0)</f>
        <v>45841</v>
      </c>
      <c r="H32" s="179">
        <f>IFERROR(__xludf.DUMMYFUNCTION("""COMPUTED_VALUE"""),0.0)</f>
        <v>0</v>
      </c>
      <c r="I32" s="180">
        <f>IFERROR(__xludf.DUMMYFUNCTION("""COMPUTED_VALUE"""),45903.0)</f>
        <v>45903</v>
      </c>
      <c r="J32" s="179">
        <f>IFERROR(__xludf.DUMMYFUNCTION("""COMPUTED_VALUE"""),0.0)</f>
        <v>0</v>
      </c>
      <c r="K32" s="180">
        <f>IFERROR(__xludf.DUMMYFUNCTION("""COMPUTED_VALUE"""),45750.0)</f>
        <v>45750</v>
      </c>
      <c r="L32" s="179">
        <f>IFERROR(__xludf.DUMMYFUNCTION("""COMPUTED_VALUE"""),0.0)</f>
        <v>0</v>
      </c>
      <c r="M32" s="180">
        <f>IFERROR(__xludf.DUMMYFUNCTION("""COMPUTED_VALUE"""),45811.0)</f>
        <v>45811</v>
      </c>
      <c r="N32" s="179">
        <f>IFERROR(__xludf.DUMMYFUNCTION("""COMPUTED_VALUE"""),0.0)</f>
        <v>0</v>
      </c>
      <c r="O32" s="180">
        <f>IFERROR(__xludf.DUMMYFUNCTION("""COMPUTED_VALUE"""),45660.0)</f>
        <v>45660</v>
      </c>
      <c r="P32" s="179">
        <f>IFERROR(__xludf.DUMMYFUNCTION("""COMPUTED_VALUE"""),0.0)</f>
        <v>0</v>
      </c>
      <c r="Q32" s="180">
        <f>IFERROR(__xludf.DUMMYFUNCTION("""COMPUTED_VALUE"""),45691.0)</f>
        <v>45691</v>
      </c>
      <c r="R32" s="179">
        <f>IFERROR(__xludf.DUMMYFUNCTION("""COMPUTED_VALUE"""),0.0)</f>
        <v>0</v>
      </c>
      <c r="S32" s="180">
        <f>IFERROR(__xludf.DUMMYFUNCTION("""COMPUTED_VALUE"""),45872.0)</f>
        <v>45872</v>
      </c>
      <c r="T32" s="179">
        <f>IFERROR(__xludf.DUMMYFUNCTION("""COMPUTED_VALUE"""),0.0)</f>
        <v>0</v>
      </c>
      <c r="U32" s="180">
        <f>IFERROR(__xludf.DUMMYFUNCTION("""COMPUTED_VALUE"""),45660.0)</f>
        <v>45660</v>
      </c>
      <c r="V32" s="181">
        <f>IFERROR(__xludf.DUMMYFUNCTION("""COMPUTED_VALUE"""),0.0)</f>
        <v>0</v>
      </c>
      <c r="W32" s="178">
        <f>IFERROR(__xludf.DUMMYFUNCTION("""COMPUTED_VALUE"""),45872.0)</f>
        <v>45872</v>
      </c>
      <c r="X32" s="179">
        <f>IFERROR(__xludf.DUMMYFUNCTION("""COMPUTED_VALUE"""),0.0)</f>
        <v>0</v>
      </c>
      <c r="Y32" s="180">
        <f>IFERROR(__xludf.DUMMYFUNCTION("""COMPUTED_VALUE"""),45719.0)</f>
        <v>45719</v>
      </c>
      <c r="Z32" s="179">
        <f>IFERROR(__xludf.DUMMYFUNCTION("""COMPUTED_VALUE"""),0.0)</f>
        <v>0</v>
      </c>
      <c r="AA32" s="180">
        <f>IFERROR(__xludf.DUMMYFUNCTION("""COMPUTED_VALUE"""),45872.0)</f>
        <v>45872</v>
      </c>
      <c r="AB32" s="179">
        <f>IFERROR(__xludf.DUMMYFUNCTION("""COMPUTED_VALUE"""),0.0)</f>
        <v>0</v>
      </c>
      <c r="AC32" s="180">
        <f>IFERROR(__xludf.DUMMYFUNCTION("""COMPUTED_VALUE"""),45660.0)</f>
        <v>45660</v>
      </c>
      <c r="AD32" s="179">
        <f>IFERROR(__xludf.DUMMYFUNCTION("""COMPUTED_VALUE"""),0.0)</f>
        <v>0</v>
      </c>
      <c r="AE32" s="180">
        <f>IFERROR(__xludf.DUMMYFUNCTION("""COMPUTED_VALUE"""),45779.0)</f>
        <v>45779</v>
      </c>
      <c r="AF32" s="179">
        <f>IFERROR(__xludf.DUMMYFUNCTION("""COMPUTED_VALUE"""),0.0)</f>
        <v>0</v>
      </c>
      <c r="AG32" s="180">
        <f>IFERROR(__xludf.DUMMYFUNCTION("""COMPUTED_VALUE"""),45872.0)</f>
        <v>45872</v>
      </c>
      <c r="AH32" s="179">
        <f>IFERROR(__xludf.DUMMYFUNCTION("""COMPUTED_VALUE"""),0.0)</f>
        <v>0</v>
      </c>
      <c r="AI32" s="180">
        <f>IFERROR(__xludf.DUMMYFUNCTION("""COMPUTED_VALUE"""),45660.0)</f>
        <v>45660</v>
      </c>
      <c r="AJ32" s="179">
        <f>IFERROR(__xludf.DUMMYFUNCTION("""COMPUTED_VALUE"""),0.0)</f>
        <v>0</v>
      </c>
      <c r="AK32" s="180">
        <f>IFERROR(__xludf.DUMMYFUNCTION("""COMPUTED_VALUE"""),45841.0)</f>
        <v>45841</v>
      </c>
      <c r="AL32" s="179">
        <f>IFERROR(__xludf.DUMMYFUNCTION("""COMPUTED_VALUE"""),0.0)</f>
        <v>0</v>
      </c>
      <c r="AM32" s="180">
        <f>IFERROR(__xludf.DUMMYFUNCTION("""COMPUTED_VALUE"""),45903.0)</f>
        <v>45903</v>
      </c>
      <c r="AN32" s="179">
        <f>IFERROR(__xludf.DUMMYFUNCTION("""COMPUTED_VALUE"""),0.0)</f>
        <v>0</v>
      </c>
      <c r="AO32" s="180">
        <f>IFERROR(__xludf.DUMMYFUNCTION("""COMPUTED_VALUE"""),45691.0)</f>
        <v>45691</v>
      </c>
      <c r="AP32" s="181">
        <f>IFERROR(__xludf.DUMMYFUNCTION("""COMPUTED_VALUE"""),0.0)</f>
        <v>0</v>
      </c>
      <c r="AQ32" s="178">
        <f>IFERROR(__xludf.DUMMYFUNCTION("""COMPUTED_VALUE"""),45660.0)</f>
        <v>45660</v>
      </c>
      <c r="AR32" s="179">
        <f>IFERROR(__xludf.DUMMYFUNCTION("""COMPUTED_VALUE"""),0.0)</f>
        <v>0</v>
      </c>
      <c r="AS32" s="180">
        <f>IFERROR(__xludf.DUMMYFUNCTION("""COMPUTED_VALUE"""),45902.0)</f>
        <v>45902</v>
      </c>
      <c r="AT32" s="179">
        <f>IFERROR(__xludf.DUMMYFUNCTION("""COMPUTED_VALUE"""),0.0)</f>
        <v>0</v>
      </c>
      <c r="AU32" s="180">
        <f>IFERROR(__xludf.DUMMYFUNCTION("""COMPUTED_VALUE"""),45871.0)</f>
        <v>45871</v>
      </c>
      <c r="AV32" s="179">
        <f>IFERROR(__xludf.DUMMYFUNCTION("""COMPUTED_VALUE"""),0.0)</f>
        <v>0</v>
      </c>
      <c r="AW32" s="180">
        <f>IFERROR(__xludf.DUMMYFUNCTION("""COMPUTED_VALUE"""),45871.0)</f>
        <v>45871</v>
      </c>
      <c r="AX32" s="179">
        <f>IFERROR(__xludf.DUMMYFUNCTION("""COMPUTED_VALUE"""),0.0)</f>
        <v>0</v>
      </c>
      <c r="AY32" s="180">
        <f>IFERROR(__xludf.DUMMYFUNCTION("""COMPUTED_VALUE"""),45902.0)</f>
        <v>45902</v>
      </c>
      <c r="AZ32" s="179">
        <f>IFERROR(__xludf.DUMMYFUNCTION("""COMPUTED_VALUE"""),0.0)</f>
        <v>0</v>
      </c>
      <c r="BA32" s="180">
        <f>IFERROR(__xludf.DUMMYFUNCTION("""COMPUTED_VALUE"""),45811.0)</f>
        <v>45811</v>
      </c>
      <c r="BB32" s="179">
        <f>IFERROR(__xludf.DUMMYFUNCTION("""COMPUTED_VALUE"""),0.0)</f>
        <v>0</v>
      </c>
      <c r="BC32" s="180">
        <f>IFERROR(__xludf.DUMMYFUNCTION("""COMPUTED_VALUE"""),45840.0)</f>
        <v>45840</v>
      </c>
      <c r="BD32" s="179">
        <f>IFERROR(__xludf.DUMMYFUNCTION("""COMPUTED_VALUE"""),0.0)</f>
        <v>0</v>
      </c>
      <c r="BE32" s="180">
        <f>IFERROR(__xludf.DUMMYFUNCTION("""COMPUTED_VALUE"""),45872.0)</f>
        <v>45872</v>
      </c>
      <c r="BF32" s="179">
        <f>IFERROR(__xludf.DUMMYFUNCTION("""COMPUTED_VALUE"""),0.0)</f>
        <v>0</v>
      </c>
      <c r="BG32" s="180">
        <f>IFERROR(__xludf.DUMMYFUNCTION("""COMPUTED_VALUE"""),45871.0)</f>
        <v>45871</v>
      </c>
      <c r="BH32" s="179">
        <f>IFERROR(__xludf.DUMMYFUNCTION("""COMPUTED_VALUE"""),0.0)</f>
        <v>0</v>
      </c>
      <c r="BI32" s="180">
        <f>IFERROR(__xludf.DUMMYFUNCTION("""COMPUTED_VALUE"""),45871.0)</f>
        <v>45871</v>
      </c>
      <c r="BJ32" s="179">
        <f>IFERROR(__xludf.DUMMYFUNCTION("""COMPUTED_VALUE"""),0.0)</f>
        <v>0</v>
      </c>
      <c r="BK32" s="182">
        <f>IFERROR(__xludf.DUMMYFUNCTION("""COMPUTED_VALUE"""),45902.0)</f>
        <v>45902</v>
      </c>
      <c r="BL32" s="179">
        <f>IFERROR(__xludf.DUMMYFUNCTION("""COMPUTED_VALUE"""),0.0)</f>
        <v>0</v>
      </c>
      <c r="BM32" s="180">
        <f>IFERROR(__xludf.DUMMYFUNCTION("""COMPUTED_VALUE"""),45779.0)</f>
        <v>45779</v>
      </c>
      <c r="BN32" s="179">
        <f>IFERROR(__xludf.DUMMYFUNCTION("""COMPUTED_VALUE"""),0.0)</f>
        <v>0</v>
      </c>
      <c r="BO32" s="180">
        <f>IFERROR(__xludf.DUMMYFUNCTION("""COMPUTED_VALUE"""),45749.0)</f>
        <v>45749</v>
      </c>
      <c r="BP32" s="179">
        <f>IFERROR(__xludf.DUMMYFUNCTION("""COMPUTED_VALUE"""),0.0)</f>
        <v>0</v>
      </c>
      <c r="BQ32" s="180">
        <f>IFERROR(__xludf.DUMMYFUNCTION("""COMPUTED_VALUE"""),45902.0)</f>
        <v>45902</v>
      </c>
      <c r="BR32" s="179">
        <f>IFERROR(__xludf.DUMMYFUNCTION("""COMPUTED_VALUE"""),0.0)</f>
        <v>0</v>
      </c>
      <c r="BS32" s="180">
        <f>IFERROR(__xludf.DUMMYFUNCTION("""COMPUTED_VALUE"""),45660.0)</f>
        <v>45660</v>
      </c>
      <c r="BT32" s="179">
        <f>IFERROR(__xludf.DUMMYFUNCTION("""COMPUTED_VALUE"""),0.0)</f>
        <v>0</v>
      </c>
      <c r="BU32" s="180">
        <f>IFERROR(__xludf.DUMMYFUNCTION("""COMPUTED_VALUE"""),45932.0)</f>
        <v>45932</v>
      </c>
      <c r="BV32" s="179">
        <f>IFERROR(__xludf.DUMMYFUNCTION("""COMPUTED_VALUE"""),0.0)</f>
        <v>0</v>
      </c>
      <c r="BW32" s="180">
        <f>IFERROR(__xludf.DUMMYFUNCTION("""COMPUTED_VALUE"""),45779.0)</f>
        <v>45779</v>
      </c>
      <c r="BX32" s="179">
        <f>IFERROR(__xludf.DUMMYFUNCTION("""COMPUTED_VALUE"""),0.0)</f>
        <v>0</v>
      </c>
      <c r="BY32" s="180">
        <f>IFERROR(__xludf.DUMMYFUNCTION("""COMPUTED_VALUE"""),45902.0)</f>
        <v>45902</v>
      </c>
      <c r="BZ32" s="179">
        <f>IFERROR(__xludf.DUMMYFUNCTION("""COMPUTED_VALUE"""),0.0)</f>
        <v>0</v>
      </c>
      <c r="CA32" s="180">
        <f>IFERROR(__xludf.DUMMYFUNCTION("""COMPUTED_VALUE"""),45840.0)</f>
        <v>45840</v>
      </c>
      <c r="CB32" s="179">
        <f>IFERROR(__xludf.DUMMYFUNCTION("""COMPUTED_VALUE"""),0.0)</f>
        <v>0</v>
      </c>
      <c r="CC32" s="180">
        <f>IFERROR(__xludf.DUMMYFUNCTION("""COMPUTED_VALUE"""),45871.0)</f>
        <v>45871</v>
      </c>
      <c r="CD32" s="179">
        <f>IFERROR(__xludf.DUMMYFUNCTION("""COMPUTED_VALUE"""),0.0)</f>
        <v>0</v>
      </c>
      <c r="CE32" s="182">
        <f>IFERROR(__xludf.DUMMYFUNCTION("""COMPUTED_VALUE"""),45660.0)</f>
        <v>45660</v>
      </c>
      <c r="CF32" s="179">
        <f>IFERROR(__xludf.DUMMYFUNCTION("""COMPUTED_VALUE"""),0.0)</f>
        <v>0</v>
      </c>
      <c r="CG32" s="180">
        <f>IFERROR(__xludf.DUMMYFUNCTION("""COMPUTED_VALUE"""),45779.0)</f>
        <v>45779</v>
      </c>
      <c r="CH32" s="179">
        <f>IFERROR(__xludf.DUMMYFUNCTION("""COMPUTED_VALUE"""),0.0)</f>
        <v>0</v>
      </c>
      <c r="CI32" s="180">
        <f>IFERROR(__xludf.DUMMYFUNCTION("""COMPUTED_VALUE"""),45810.0)</f>
        <v>45810</v>
      </c>
      <c r="CJ32" s="179">
        <f>IFERROR(__xludf.DUMMYFUNCTION("""COMPUTED_VALUE"""),0.0)</f>
        <v>0</v>
      </c>
      <c r="CK32" s="180">
        <f>IFERROR(__xludf.DUMMYFUNCTION("""COMPUTED_VALUE"""),45840.0)</f>
        <v>45840</v>
      </c>
      <c r="CL32" s="179">
        <f>IFERROR(__xludf.DUMMYFUNCTION("""COMPUTED_VALUE"""),0.0)</f>
        <v>0</v>
      </c>
      <c r="CM32" s="180">
        <f>IFERROR(__xludf.DUMMYFUNCTION("""COMPUTED_VALUE"""),45932.0)</f>
        <v>45932</v>
      </c>
      <c r="CN32" s="179">
        <f>IFERROR(__xludf.DUMMYFUNCTION("""COMPUTED_VALUE"""),0.0)</f>
        <v>0</v>
      </c>
      <c r="CO32" s="180">
        <f>IFERROR(__xludf.DUMMYFUNCTION("""COMPUTED_VALUE"""),45871.0)</f>
        <v>45871</v>
      </c>
      <c r="CP32" s="179">
        <f>IFERROR(__xludf.DUMMYFUNCTION("""COMPUTED_VALUE"""),0.0)</f>
        <v>0</v>
      </c>
      <c r="CQ32" s="180">
        <f>IFERROR(__xludf.DUMMYFUNCTION("""COMPUTED_VALUE"""),45778.0)</f>
        <v>45778</v>
      </c>
      <c r="CR32" s="179">
        <f>IFERROR(__xludf.DUMMYFUNCTION("""COMPUTED_VALUE"""),0.0)</f>
        <v>0</v>
      </c>
      <c r="CS32" s="180">
        <f>IFERROR(__xludf.DUMMYFUNCTION("""COMPUTED_VALUE"""),45902.0)</f>
        <v>45902</v>
      </c>
      <c r="CT32" s="179">
        <f>IFERROR(__xludf.DUMMYFUNCTION("""COMPUTED_VALUE"""),0.0)</f>
        <v>0</v>
      </c>
      <c r="CU32" s="180">
        <f>IFERROR(__xludf.DUMMYFUNCTION("""COMPUTED_VALUE"""),45660.0)</f>
        <v>45660</v>
      </c>
      <c r="CV32" s="179">
        <f>IFERROR(__xludf.DUMMYFUNCTION("""COMPUTED_VALUE"""),0.0)</f>
        <v>0</v>
      </c>
      <c r="CW32" s="180">
        <f>IFERROR(__xludf.DUMMYFUNCTION("""COMPUTED_VALUE"""),45659.0)</f>
        <v>45659</v>
      </c>
      <c r="CX32" s="179">
        <f>IFERROR(__xludf.DUMMYFUNCTION("""COMPUTED_VALUE"""),0.0)</f>
        <v>0</v>
      </c>
      <c r="CY32" s="182">
        <f>IFERROR(__xludf.DUMMYFUNCTION("""COMPUTED_VALUE"""),45932.0)</f>
        <v>45932</v>
      </c>
      <c r="CZ32" s="179">
        <f>IFERROR(__xludf.DUMMYFUNCTION("""COMPUTED_VALUE"""),0.0)</f>
        <v>0</v>
      </c>
      <c r="DA32" s="180">
        <f>IFERROR(__xludf.DUMMYFUNCTION("""COMPUTED_VALUE"""),45932.0)</f>
        <v>45932</v>
      </c>
      <c r="DB32" s="179">
        <f>IFERROR(__xludf.DUMMYFUNCTION("""COMPUTED_VALUE"""),0.0)</f>
        <v>0</v>
      </c>
      <c r="DC32" s="180">
        <f>IFERROR(__xludf.DUMMYFUNCTION("""COMPUTED_VALUE"""),45840.0)</f>
        <v>45840</v>
      </c>
      <c r="DD32" s="179">
        <f>IFERROR(__xludf.DUMMYFUNCTION("""COMPUTED_VALUE"""),0.0)</f>
        <v>0</v>
      </c>
      <c r="DE32" s="180">
        <f>IFERROR(__xludf.DUMMYFUNCTION("""COMPUTED_VALUE"""),45871.0)</f>
        <v>45871</v>
      </c>
      <c r="DF32" s="179">
        <f>IFERROR(__xludf.DUMMYFUNCTION("""COMPUTED_VALUE"""),0.0)</f>
        <v>0</v>
      </c>
      <c r="DG32" s="180">
        <f>IFERROR(__xludf.DUMMYFUNCTION("""COMPUTED_VALUE"""),45660.0)</f>
        <v>45660</v>
      </c>
      <c r="DH32" s="179">
        <f>IFERROR(__xludf.DUMMYFUNCTION("""COMPUTED_VALUE"""),0.0)</f>
        <v>0</v>
      </c>
      <c r="DI32" s="180">
        <f>IFERROR(__xludf.DUMMYFUNCTION("""COMPUTED_VALUE"""),45660.0)</f>
        <v>45660</v>
      </c>
      <c r="DJ32" s="179">
        <f>IFERROR(__xludf.DUMMYFUNCTION("""COMPUTED_VALUE"""),0.0)</f>
        <v>0</v>
      </c>
      <c r="DK32" s="180">
        <f>IFERROR(__xludf.DUMMYFUNCTION("""COMPUTED_VALUE"""),45902.0)</f>
        <v>45902</v>
      </c>
      <c r="DL32" s="179">
        <f>IFERROR(__xludf.DUMMYFUNCTION("""COMPUTED_VALUE"""),0.0)</f>
        <v>0</v>
      </c>
      <c r="DM32" s="180">
        <f>IFERROR(__xludf.DUMMYFUNCTION("""COMPUTED_VALUE"""),45902.0)</f>
        <v>45902</v>
      </c>
      <c r="DN32" s="179">
        <f>IFERROR(__xludf.DUMMYFUNCTION("""COMPUTED_VALUE"""),0.0)</f>
        <v>0</v>
      </c>
      <c r="DO32" s="180">
        <f>IFERROR(__xludf.DUMMYFUNCTION("""COMPUTED_VALUE"""),45902.0)</f>
        <v>45902</v>
      </c>
      <c r="DP32" s="179">
        <f>IFERROR(__xludf.DUMMYFUNCTION("""COMPUTED_VALUE"""),0.0)</f>
        <v>0</v>
      </c>
      <c r="DQ32" s="180">
        <f>IFERROR(__xludf.DUMMYFUNCTION("""COMPUTED_VALUE"""),45779.0)</f>
        <v>45779</v>
      </c>
      <c r="DR32" s="179">
        <f>IFERROR(__xludf.DUMMYFUNCTION("""COMPUTED_VALUE"""),0.0)</f>
        <v>0</v>
      </c>
      <c r="DS32" s="182">
        <f>IFERROR(__xludf.DUMMYFUNCTION("""COMPUTED_VALUE"""),45932.0)</f>
        <v>45932</v>
      </c>
      <c r="DT32" s="179">
        <f>IFERROR(__xludf.DUMMYFUNCTION("""COMPUTED_VALUE"""),0.0)</f>
        <v>0</v>
      </c>
      <c r="DU32" s="180">
        <f>IFERROR(__xludf.DUMMYFUNCTION("""COMPUTED_VALUE"""),45902.0)</f>
        <v>45902</v>
      </c>
      <c r="DV32" s="179">
        <f>IFERROR(__xludf.DUMMYFUNCTION("""COMPUTED_VALUE"""),0.0)</f>
        <v>0</v>
      </c>
      <c r="DW32" s="180">
        <f>IFERROR(__xludf.DUMMYFUNCTION("""COMPUTED_VALUE"""),45902.0)</f>
        <v>45902</v>
      </c>
      <c r="DX32" s="179">
        <f>IFERROR(__xludf.DUMMYFUNCTION("""COMPUTED_VALUE"""),0.0)</f>
        <v>0</v>
      </c>
      <c r="DY32" s="180">
        <f>IFERROR(__xludf.DUMMYFUNCTION("""COMPUTED_VALUE"""),45932.0)</f>
        <v>45932</v>
      </c>
      <c r="DZ32" s="179">
        <f>IFERROR(__xludf.DUMMYFUNCTION("""COMPUTED_VALUE"""),0.0)</f>
        <v>0</v>
      </c>
      <c r="EA32" s="180">
        <f>IFERROR(__xludf.DUMMYFUNCTION("""COMPUTED_VALUE"""),45660.0)</f>
        <v>45660</v>
      </c>
      <c r="EB32" s="179">
        <f>IFERROR(__xludf.DUMMYFUNCTION("""COMPUTED_VALUE"""),0.0)</f>
        <v>0</v>
      </c>
      <c r="EC32" s="180">
        <f>IFERROR(__xludf.DUMMYFUNCTION("""COMPUTED_VALUE"""),45932.0)</f>
        <v>45932</v>
      </c>
      <c r="ED32" s="179">
        <f>IFERROR(__xludf.DUMMYFUNCTION("""COMPUTED_VALUE"""),0.0)</f>
        <v>0</v>
      </c>
      <c r="EE32" s="180">
        <f>IFERROR(__xludf.DUMMYFUNCTION("""COMPUTED_VALUE"""),45840.0)</f>
        <v>45840</v>
      </c>
      <c r="EF32" s="179">
        <f>IFERROR(__xludf.DUMMYFUNCTION("""COMPUTED_VALUE"""),0.0)</f>
        <v>0</v>
      </c>
      <c r="EG32" s="180">
        <f>IFERROR(__xludf.DUMMYFUNCTION("""COMPUTED_VALUE"""),45932.0)</f>
        <v>45932</v>
      </c>
      <c r="EH32" s="179">
        <f>IFERROR(__xludf.DUMMYFUNCTION("""COMPUTED_VALUE"""),0.0)</f>
        <v>0</v>
      </c>
      <c r="EI32" s="180">
        <f>IFERROR(__xludf.DUMMYFUNCTION("""COMPUTED_VALUE"""),45932.0)</f>
        <v>45932</v>
      </c>
      <c r="EJ32" s="179">
        <f>IFERROR(__xludf.DUMMYFUNCTION("""COMPUTED_VALUE"""),0.0)</f>
        <v>0</v>
      </c>
      <c r="EK32" s="180">
        <f>IFERROR(__xludf.DUMMYFUNCTION("""COMPUTED_VALUE"""),45871.0)</f>
        <v>45871</v>
      </c>
      <c r="EL32" s="179">
        <f>IFERROR(__xludf.DUMMYFUNCTION("""COMPUTED_VALUE"""),0.0)</f>
        <v>0</v>
      </c>
      <c r="EM32" s="182">
        <f>IFERROR(__xludf.DUMMYFUNCTION("""COMPUTED_VALUE"""),45840.0)</f>
        <v>45840</v>
      </c>
      <c r="EN32" s="179">
        <f>IFERROR(__xludf.DUMMYFUNCTION("""COMPUTED_VALUE"""),0.0)</f>
        <v>0</v>
      </c>
      <c r="EO32" s="180">
        <f>IFERROR(__xludf.DUMMYFUNCTION("""COMPUTED_VALUE"""),45932.0)</f>
        <v>45932</v>
      </c>
      <c r="EP32" s="179">
        <f>IFERROR(__xludf.DUMMYFUNCTION("""COMPUTED_VALUE"""),0.0)</f>
        <v>0</v>
      </c>
      <c r="EQ32" s="180">
        <f>IFERROR(__xludf.DUMMYFUNCTION("""COMPUTED_VALUE"""),45902.0)</f>
        <v>45902</v>
      </c>
      <c r="ER32" s="179">
        <f>IFERROR(__xludf.DUMMYFUNCTION("""COMPUTED_VALUE"""),0.0)</f>
        <v>0</v>
      </c>
      <c r="ES32" s="180">
        <f>IFERROR(__xludf.DUMMYFUNCTION("""COMPUTED_VALUE"""),45660.0)</f>
        <v>45660</v>
      </c>
      <c r="ET32" s="179">
        <f>IFERROR(__xludf.DUMMYFUNCTION("""COMPUTED_VALUE"""),0.0)</f>
        <v>0</v>
      </c>
      <c r="EU32" s="180">
        <f>IFERROR(__xludf.DUMMYFUNCTION("""COMPUTED_VALUE"""),45932.0)</f>
        <v>45932</v>
      </c>
      <c r="EV32" s="179">
        <f>IFERROR(__xludf.DUMMYFUNCTION("""COMPUTED_VALUE"""),0.0)</f>
        <v>0</v>
      </c>
      <c r="EW32" s="180">
        <f>IFERROR(__xludf.DUMMYFUNCTION("""COMPUTED_VALUE"""),45660.0)</f>
        <v>45660</v>
      </c>
      <c r="EX32" s="179">
        <f>IFERROR(__xludf.DUMMYFUNCTION("""COMPUTED_VALUE"""),0.0)</f>
        <v>0</v>
      </c>
      <c r="EY32" s="180">
        <f>IFERROR(__xludf.DUMMYFUNCTION("""COMPUTED_VALUE"""),45660.0)</f>
        <v>45660</v>
      </c>
      <c r="EZ32" s="179">
        <f>IFERROR(__xludf.DUMMYFUNCTION("""COMPUTED_VALUE"""),0.0)</f>
        <v>0</v>
      </c>
      <c r="FA32" s="180">
        <f>IFERROR(__xludf.DUMMYFUNCTION("""COMPUTED_VALUE"""),45932.0)</f>
        <v>45932</v>
      </c>
      <c r="FB32" s="179">
        <f>IFERROR(__xludf.DUMMYFUNCTION("""COMPUTED_VALUE"""),0.0)</f>
        <v>0</v>
      </c>
      <c r="FC32" s="180">
        <f>IFERROR(__xludf.DUMMYFUNCTION("""COMPUTED_VALUE"""),45660.0)</f>
        <v>45660</v>
      </c>
      <c r="FD32" s="179">
        <f>IFERROR(__xludf.DUMMYFUNCTION("""COMPUTED_VALUE"""),0.0)</f>
        <v>0</v>
      </c>
      <c r="FE32" s="180">
        <f>IFERROR(__xludf.DUMMYFUNCTION("""COMPUTED_VALUE"""),45840.0)</f>
        <v>45840</v>
      </c>
      <c r="FF32" s="179">
        <f>IFERROR(__xludf.DUMMYFUNCTION("""COMPUTED_VALUE"""),0.0)</f>
        <v>0</v>
      </c>
      <c r="FG32" s="182">
        <f>IFERROR(__xludf.DUMMYFUNCTION("""COMPUTED_VALUE"""),45840.0)</f>
        <v>45840</v>
      </c>
      <c r="FH32" s="179">
        <f>IFERROR(__xludf.DUMMYFUNCTION("""COMPUTED_VALUE"""),0.0)</f>
        <v>0</v>
      </c>
      <c r="FI32" s="180">
        <f>IFERROR(__xludf.DUMMYFUNCTION("""COMPUTED_VALUE"""),45810.0)</f>
        <v>45810</v>
      </c>
      <c r="FJ32" s="179">
        <f>IFERROR(__xludf.DUMMYFUNCTION("""COMPUTED_VALUE"""),0.0)</f>
        <v>0</v>
      </c>
      <c r="FK32" s="180">
        <f>IFERROR(__xludf.DUMMYFUNCTION("""COMPUTED_VALUE"""),45718.0)</f>
        <v>45718</v>
      </c>
      <c r="FL32" s="179">
        <f>IFERROR(__xludf.DUMMYFUNCTION("""COMPUTED_VALUE"""),0.0)</f>
        <v>0</v>
      </c>
      <c r="FM32" s="180">
        <f>IFERROR(__xludf.DUMMYFUNCTION("""COMPUTED_VALUE"""),45660.0)</f>
        <v>45660</v>
      </c>
      <c r="FN32" s="179">
        <f>IFERROR(__xludf.DUMMYFUNCTION("""COMPUTED_VALUE"""),0.0)</f>
        <v>0</v>
      </c>
      <c r="FO32" s="180">
        <f>IFERROR(__xludf.DUMMYFUNCTION("""COMPUTED_VALUE"""),45660.0)</f>
        <v>45660</v>
      </c>
      <c r="FP32" s="179">
        <f>IFERROR(__xludf.DUMMYFUNCTION("""COMPUTED_VALUE"""),0.0)</f>
        <v>0</v>
      </c>
      <c r="FQ32" s="180">
        <f>IFERROR(__xludf.DUMMYFUNCTION("""COMPUTED_VALUE"""),45660.0)</f>
        <v>45660</v>
      </c>
      <c r="FR32" s="179">
        <f>IFERROR(__xludf.DUMMYFUNCTION("""COMPUTED_VALUE"""),0.0)</f>
        <v>0</v>
      </c>
      <c r="FS32" s="180">
        <f>IFERROR(__xludf.DUMMYFUNCTION("""COMPUTED_VALUE"""),45659.0)</f>
        <v>45659</v>
      </c>
      <c r="FT32" s="179">
        <f>IFERROR(__xludf.DUMMYFUNCTION("""COMPUTED_VALUE"""),0.0)</f>
        <v>0</v>
      </c>
      <c r="FU32" s="180">
        <f>IFERROR(__xludf.DUMMYFUNCTION("""COMPUTED_VALUE"""),45660.0)</f>
        <v>45660</v>
      </c>
      <c r="FV32" s="179">
        <f>IFERROR(__xludf.DUMMYFUNCTION("""COMPUTED_VALUE"""),0.0)</f>
        <v>0</v>
      </c>
      <c r="FW32" s="180">
        <f>IFERROR(__xludf.DUMMYFUNCTION("""COMPUTED_VALUE"""),45660.0)</f>
        <v>45660</v>
      </c>
      <c r="FX32" s="179">
        <f>IFERROR(__xludf.DUMMYFUNCTION("""COMPUTED_VALUE"""),0.0)</f>
        <v>0</v>
      </c>
      <c r="FY32" s="180">
        <f>IFERROR(__xludf.DUMMYFUNCTION("""COMPUTED_VALUE"""),45718.0)</f>
        <v>45718</v>
      </c>
      <c r="FZ32" s="179">
        <f>IFERROR(__xludf.DUMMYFUNCTION("""COMPUTED_VALUE"""),0.0)</f>
        <v>0</v>
      </c>
      <c r="GA32" s="182">
        <f>IFERROR(__xludf.DUMMYFUNCTION("""COMPUTED_VALUE"""),45660.0)</f>
        <v>45660</v>
      </c>
      <c r="GB32" s="179">
        <f>IFERROR(__xludf.DUMMYFUNCTION("""COMPUTED_VALUE"""),0.0)</f>
        <v>0</v>
      </c>
      <c r="GC32" s="180">
        <f>IFERROR(__xludf.DUMMYFUNCTION("""COMPUTED_VALUE"""),45871.0)</f>
        <v>45871</v>
      </c>
      <c r="GD32" s="179">
        <f>IFERROR(__xludf.DUMMYFUNCTION("""COMPUTED_VALUE"""),0.0)</f>
        <v>0</v>
      </c>
      <c r="GE32" s="180">
        <f>IFERROR(__xludf.DUMMYFUNCTION("""COMPUTED_VALUE"""),45871.0)</f>
        <v>45871</v>
      </c>
      <c r="GF32" s="179">
        <f>IFERROR(__xludf.DUMMYFUNCTION("""COMPUTED_VALUE"""),0.0)</f>
        <v>0</v>
      </c>
      <c r="GG32" s="180">
        <f>IFERROR(__xludf.DUMMYFUNCTION("""COMPUTED_VALUE"""),45902.0)</f>
        <v>45902</v>
      </c>
      <c r="GH32" s="179">
        <f>IFERROR(__xludf.DUMMYFUNCTION("""COMPUTED_VALUE"""),0.0)</f>
        <v>0</v>
      </c>
      <c r="GI32" s="180">
        <f>IFERROR(__xludf.DUMMYFUNCTION("""COMPUTED_VALUE"""),45660.0)</f>
        <v>45660</v>
      </c>
      <c r="GJ32" s="179">
        <f>IFERROR(__xludf.DUMMYFUNCTION("""COMPUTED_VALUE"""),0.0)</f>
        <v>0</v>
      </c>
      <c r="GK32" s="180">
        <f>IFERROR(__xludf.DUMMYFUNCTION("""COMPUTED_VALUE"""),45660.0)</f>
        <v>45660</v>
      </c>
      <c r="GL32" s="179">
        <f>IFERROR(__xludf.DUMMYFUNCTION("""COMPUTED_VALUE"""),0.0)</f>
        <v>0</v>
      </c>
      <c r="GM32" s="180">
        <f>IFERROR(__xludf.DUMMYFUNCTION("""COMPUTED_VALUE"""),45779.0)</f>
        <v>45779</v>
      </c>
      <c r="GN32" s="179">
        <f>IFERROR(__xludf.DUMMYFUNCTION("""COMPUTED_VALUE"""),0.0)</f>
        <v>0</v>
      </c>
      <c r="GO32" s="180">
        <f>IFERROR(__xludf.DUMMYFUNCTION("""COMPUTED_VALUE"""),45660.0)</f>
        <v>45660</v>
      </c>
      <c r="GP32" s="179">
        <f>IFERROR(__xludf.DUMMYFUNCTION("""COMPUTED_VALUE"""),0.0)</f>
        <v>0</v>
      </c>
      <c r="GQ32" s="180">
        <f>IFERROR(__xludf.DUMMYFUNCTION("""COMPUTED_VALUE"""),45810.0)</f>
        <v>45810</v>
      </c>
      <c r="GR32" s="179">
        <f>IFERROR(__xludf.DUMMYFUNCTION("""COMPUTED_VALUE"""),0.0)</f>
        <v>0</v>
      </c>
      <c r="GS32" s="180">
        <f>IFERROR(__xludf.DUMMYFUNCTION("""COMPUTED_VALUE"""),45749.0)</f>
        <v>45749</v>
      </c>
      <c r="GT32" s="179">
        <f>IFERROR(__xludf.DUMMYFUNCTION("""COMPUTED_VALUE"""),0.0)</f>
        <v>0</v>
      </c>
    </row>
    <row r="33" ht="31.5" customHeight="1">
      <c r="B33" s="183"/>
      <c r="C33" s="178">
        <f>IFERROR(__xludf.DUMMYFUNCTION("""COMPUTED_VALUE"""),45841.0)</f>
        <v>45841</v>
      </c>
      <c r="D33" s="179">
        <f>IFERROR(__xludf.DUMMYFUNCTION("""COMPUTED_VALUE"""),0.0)</f>
        <v>0</v>
      </c>
      <c r="E33" s="180">
        <f>IFERROR(__xludf.DUMMYFUNCTION("""COMPUTED_VALUE"""),45872.0)</f>
        <v>45872</v>
      </c>
      <c r="F33" s="179">
        <f>IFERROR(__xludf.DUMMYFUNCTION("""COMPUTED_VALUE"""),0.0)</f>
        <v>0</v>
      </c>
      <c r="G33" s="180">
        <f>IFERROR(__xludf.DUMMYFUNCTION("""COMPUTED_VALUE"""),45872.0)</f>
        <v>45872</v>
      </c>
      <c r="H33" s="179">
        <f>IFERROR(__xludf.DUMMYFUNCTION("""COMPUTED_VALUE"""),0.0)</f>
        <v>0</v>
      </c>
      <c r="I33" s="180">
        <f>IFERROR(__xludf.DUMMYFUNCTION("""COMPUTED_VALUE"""),45933.0)</f>
        <v>45933</v>
      </c>
      <c r="J33" s="179">
        <f>IFERROR(__xludf.DUMMYFUNCTION("""COMPUTED_VALUE"""),0.0)</f>
        <v>0</v>
      </c>
      <c r="K33" s="180">
        <f>IFERROR(__xludf.DUMMYFUNCTION("""COMPUTED_VALUE"""),45780.0)</f>
        <v>45780</v>
      </c>
      <c r="L33" s="179">
        <f>IFERROR(__xludf.DUMMYFUNCTION("""COMPUTED_VALUE"""),0.0)</f>
        <v>0</v>
      </c>
      <c r="M33" s="180">
        <f>IFERROR(__xludf.DUMMYFUNCTION("""COMPUTED_VALUE"""),45841.0)</f>
        <v>45841</v>
      </c>
      <c r="N33" s="179">
        <f>IFERROR(__xludf.DUMMYFUNCTION("""COMPUTED_VALUE"""),0.0)</f>
        <v>0</v>
      </c>
      <c r="O33" s="180">
        <f>IFERROR(__xludf.DUMMYFUNCTION("""COMPUTED_VALUE"""),45691.0)</f>
        <v>45691</v>
      </c>
      <c r="P33" s="179">
        <f>IFERROR(__xludf.DUMMYFUNCTION("""COMPUTED_VALUE"""),0.0)</f>
        <v>0</v>
      </c>
      <c r="Q33" s="180">
        <f>IFERROR(__xludf.DUMMYFUNCTION("""COMPUTED_VALUE"""),45719.0)</f>
        <v>45719</v>
      </c>
      <c r="R33" s="179">
        <f>IFERROR(__xludf.DUMMYFUNCTION("""COMPUTED_VALUE"""),0.0)</f>
        <v>0</v>
      </c>
      <c r="S33" s="180">
        <f>IFERROR(__xludf.DUMMYFUNCTION("""COMPUTED_VALUE"""),45903.0)</f>
        <v>45903</v>
      </c>
      <c r="T33" s="179">
        <f>IFERROR(__xludf.DUMMYFUNCTION("""COMPUTED_VALUE"""),0.0)</f>
        <v>0</v>
      </c>
      <c r="U33" s="180">
        <f>IFERROR(__xludf.DUMMYFUNCTION("""COMPUTED_VALUE"""),45691.0)</f>
        <v>45691</v>
      </c>
      <c r="V33" s="181">
        <f>IFERROR(__xludf.DUMMYFUNCTION("""COMPUTED_VALUE"""),0.0)</f>
        <v>0</v>
      </c>
      <c r="W33" s="178">
        <f>IFERROR(__xludf.DUMMYFUNCTION("""COMPUTED_VALUE"""),45903.0)</f>
        <v>45903</v>
      </c>
      <c r="X33" s="179">
        <f>IFERROR(__xludf.DUMMYFUNCTION("""COMPUTED_VALUE"""),0.0)</f>
        <v>0</v>
      </c>
      <c r="Y33" s="180">
        <f>IFERROR(__xludf.DUMMYFUNCTION("""COMPUTED_VALUE"""),45750.0)</f>
        <v>45750</v>
      </c>
      <c r="Z33" s="179">
        <f>IFERROR(__xludf.DUMMYFUNCTION("""COMPUTED_VALUE"""),0.0)</f>
        <v>0</v>
      </c>
      <c r="AA33" s="180">
        <f>IFERROR(__xludf.DUMMYFUNCTION("""COMPUTED_VALUE"""),45903.0)</f>
        <v>45903</v>
      </c>
      <c r="AB33" s="179">
        <f>IFERROR(__xludf.DUMMYFUNCTION("""COMPUTED_VALUE"""),0.0)</f>
        <v>0</v>
      </c>
      <c r="AC33" s="180">
        <f>IFERROR(__xludf.DUMMYFUNCTION("""COMPUTED_VALUE"""),45691.0)</f>
        <v>45691</v>
      </c>
      <c r="AD33" s="179">
        <f>IFERROR(__xludf.DUMMYFUNCTION("""COMPUTED_VALUE"""),0.0)</f>
        <v>0</v>
      </c>
      <c r="AE33" s="180">
        <f>IFERROR(__xludf.DUMMYFUNCTION("""COMPUTED_VALUE"""),45691.0)</f>
        <v>45691</v>
      </c>
      <c r="AF33" s="179">
        <f>IFERROR(__xludf.DUMMYFUNCTION("""COMPUTED_VALUE"""),0.0)</f>
        <v>0</v>
      </c>
      <c r="AG33" s="180">
        <f>IFERROR(__xludf.DUMMYFUNCTION("""COMPUTED_VALUE"""),45903.0)</f>
        <v>45903</v>
      </c>
      <c r="AH33" s="179">
        <f>IFERROR(__xludf.DUMMYFUNCTION("""COMPUTED_VALUE"""),0.0)</f>
        <v>0</v>
      </c>
      <c r="AI33" s="180">
        <f>IFERROR(__xludf.DUMMYFUNCTION("""COMPUTED_VALUE"""),45691.0)</f>
        <v>45691</v>
      </c>
      <c r="AJ33" s="179">
        <f>IFERROR(__xludf.DUMMYFUNCTION("""COMPUTED_VALUE"""),0.0)</f>
        <v>0</v>
      </c>
      <c r="AK33" s="180">
        <f>IFERROR(__xludf.DUMMYFUNCTION("""COMPUTED_VALUE"""),45872.0)</f>
        <v>45872</v>
      </c>
      <c r="AL33" s="179">
        <f>IFERROR(__xludf.DUMMYFUNCTION("""COMPUTED_VALUE"""),0.0)</f>
        <v>0</v>
      </c>
      <c r="AM33" s="180">
        <f>IFERROR(__xludf.DUMMYFUNCTION("""COMPUTED_VALUE"""),45933.0)</f>
        <v>45933</v>
      </c>
      <c r="AN33" s="179">
        <f>IFERROR(__xludf.DUMMYFUNCTION("""COMPUTED_VALUE"""),0.0)</f>
        <v>0</v>
      </c>
      <c r="AO33" s="180">
        <f>IFERROR(__xludf.DUMMYFUNCTION("""COMPUTED_VALUE"""),45719.0)</f>
        <v>45719</v>
      </c>
      <c r="AP33" s="181">
        <f>IFERROR(__xludf.DUMMYFUNCTION("""COMPUTED_VALUE"""),0.0)</f>
        <v>0</v>
      </c>
      <c r="AQ33" s="178">
        <f>IFERROR(__xludf.DUMMYFUNCTION("""COMPUTED_VALUE"""),45661.0)</f>
        <v>45661</v>
      </c>
      <c r="AR33" s="179">
        <f>IFERROR(__xludf.DUMMYFUNCTION("""COMPUTED_VALUE"""),0.0)</f>
        <v>0</v>
      </c>
      <c r="AS33" s="180">
        <f>IFERROR(__xludf.DUMMYFUNCTION("""COMPUTED_VALUE"""),45932.0)</f>
        <v>45932</v>
      </c>
      <c r="AT33" s="179">
        <f>IFERROR(__xludf.DUMMYFUNCTION("""COMPUTED_VALUE"""),0.0)</f>
        <v>0</v>
      </c>
      <c r="AU33" s="180">
        <f>IFERROR(__xludf.DUMMYFUNCTION("""COMPUTED_VALUE"""),45902.0)</f>
        <v>45902</v>
      </c>
      <c r="AV33" s="179">
        <f>IFERROR(__xludf.DUMMYFUNCTION("""COMPUTED_VALUE"""),0.0)</f>
        <v>0</v>
      </c>
      <c r="AW33" s="180">
        <f>IFERROR(__xludf.DUMMYFUNCTION("""COMPUTED_VALUE"""),45902.0)</f>
        <v>45902</v>
      </c>
      <c r="AX33" s="179">
        <f>IFERROR(__xludf.DUMMYFUNCTION("""COMPUTED_VALUE"""),0.0)</f>
        <v>0</v>
      </c>
      <c r="AY33" s="180">
        <f>IFERROR(__xludf.DUMMYFUNCTION("""COMPUTED_VALUE"""),45780.0)</f>
        <v>45780</v>
      </c>
      <c r="AZ33" s="179">
        <f>IFERROR(__xludf.DUMMYFUNCTION("""COMPUTED_VALUE"""),0.0)</f>
        <v>0</v>
      </c>
      <c r="BA33" s="180">
        <f>IFERROR(__xludf.DUMMYFUNCTION("""COMPUTED_VALUE"""),45661.0)</f>
        <v>45661</v>
      </c>
      <c r="BB33" s="179">
        <f>IFERROR(__xludf.DUMMYFUNCTION("""COMPUTED_VALUE"""),0.0)</f>
        <v>0</v>
      </c>
      <c r="BC33" s="180">
        <f>IFERROR(__xludf.DUMMYFUNCTION("""COMPUTED_VALUE"""),45871.0)</f>
        <v>45871</v>
      </c>
      <c r="BD33" s="179">
        <f>IFERROR(__xludf.DUMMYFUNCTION("""COMPUTED_VALUE"""),0.0)</f>
        <v>0</v>
      </c>
      <c r="BE33" s="180">
        <f>IFERROR(__xludf.DUMMYFUNCTION("""COMPUTED_VALUE"""),45661.0)</f>
        <v>45661</v>
      </c>
      <c r="BF33" s="179">
        <f>IFERROR(__xludf.DUMMYFUNCTION("""COMPUTED_VALUE"""),0.0)</f>
        <v>0</v>
      </c>
      <c r="BG33" s="180">
        <f>IFERROR(__xludf.DUMMYFUNCTION("""COMPUTED_VALUE"""),45902.0)</f>
        <v>45902</v>
      </c>
      <c r="BH33" s="179">
        <f>IFERROR(__xludf.DUMMYFUNCTION("""COMPUTED_VALUE"""),0.0)</f>
        <v>0</v>
      </c>
      <c r="BI33" s="180">
        <f>IFERROR(__xludf.DUMMYFUNCTION("""COMPUTED_VALUE"""),45902.0)</f>
        <v>45902</v>
      </c>
      <c r="BJ33" s="179">
        <f>IFERROR(__xludf.DUMMYFUNCTION("""COMPUTED_VALUE"""),0.0)</f>
        <v>0</v>
      </c>
      <c r="BK33" s="182">
        <f>IFERROR(__xludf.DUMMYFUNCTION("""COMPUTED_VALUE"""),45932.0)</f>
        <v>45932</v>
      </c>
      <c r="BL33" s="179">
        <f>IFERROR(__xludf.DUMMYFUNCTION("""COMPUTED_VALUE"""),0.0)</f>
        <v>0</v>
      </c>
      <c r="BM33" s="180">
        <f>IFERROR(__xludf.DUMMYFUNCTION("""COMPUTED_VALUE"""),45810.0)</f>
        <v>45810</v>
      </c>
      <c r="BN33" s="179">
        <f>IFERROR(__xludf.DUMMYFUNCTION("""COMPUTED_VALUE"""),0.0)</f>
        <v>0</v>
      </c>
      <c r="BO33" s="180">
        <f>IFERROR(__xludf.DUMMYFUNCTION("""COMPUTED_VALUE"""),45779.0)</f>
        <v>45779</v>
      </c>
      <c r="BP33" s="179">
        <f>IFERROR(__xludf.DUMMYFUNCTION("""COMPUTED_VALUE"""),0.0)</f>
        <v>0</v>
      </c>
      <c r="BQ33" s="180">
        <f>IFERROR(__xludf.DUMMYFUNCTION("""COMPUTED_VALUE"""),45932.0)</f>
        <v>45932</v>
      </c>
      <c r="BR33" s="179">
        <f>IFERROR(__xludf.DUMMYFUNCTION("""COMPUTED_VALUE"""),0.0)</f>
        <v>0</v>
      </c>
      <c r="BS33" s="180">
        <f>IFERROR(__xludf.DUMMYFUNCTION("""COMPUTED_VALUE"""),45691.0)</f>
        <v>45691</v>
      </c>
      <c r="BT33" s="179">
        <f>IFERROR(__xludf.DUMMYFUNCTION("""COMPUTED_VALUE"""),0.0)</f>
        <v>0</v>
      </c>
      <c r="BU33" s="180">
        <f>IFERROR(__xludf.DUMMYFUNCTION("""COMPUTED_VALUE"""),45660.0)</f>
        <v>45660</v>
      </c>
      <c r="BV33" s="179">
        <f>IFERROR(__xludf.DUMMYFUNCTION("""COMPUTED_VALUE"""),0.0)</f>
        <v>0</v>
      </c>
      <c r="BW33" s="180">
        <f>IFERROR(__xludf.DUMMYFUNCTION("""COMPUTED_VALUE"""),45810.0)</f>
        <v>45810</v>
      </c>
      <c r="BX33" s="179">
        <f>IFERROR(__xludf.DUMMYFUNCTION("""COMPUTED_VALUE"""),0.0)</f>
        <v>0</v>
      </c>
      <c r="BY33" s="180">
        <f>IFERROR(__xludf.DUMMYFUNCTION("""COMPUTED_VALUE"""),45932.0)</f>
        <v>45932</v>
      </c>
      <c r="BZ33" s="179">
        <f>IFERROR(__xludf.DUMMYFUNCTION("""COMPUTED_VALUE"""),0.0)</f>
        <v>0</v>
      </c>
      <c r="CA33" s="180">
        <f>IFERROR(__xludf.DUMMYFUNCTION("""COMPUTED_VALUE"""),45871.0)</f>
        <v>45871</v>
      </c>
      <c r="CB33" s="179">
        <f>IFERROR(__xludf.DUMMYFUNCTION("""COMPUTED_VALUE"""),0.0)</f>
        <v>0</v>
      </c>
      <c r="CC33" s="180">
        <f>IFERROR(__xludf.DUMMYFUNCTION("""COMPUTED_VALUE"""),45902.0)</f>
        <v>45902</v>
      </c>
      <c r="CD33" s="179">
        <f>IFERROR(__xludf.DUMMYFUNCTION("""COMPUTED_VALUE"""),0.0)</f>
        <v>0</v>
      </c>
      <c r="CE33" s="182">
        <f>IFERROR(__xludf.DUMMYFUNCTION("""COMPUTED_VALUE"""),45691.0)</f>
        <v>45691</v>
      </c>
      <c r="CF33" s="179">
        <f>IFERROR(__xludf.DUMMYFUNCTION("""COMPUTED_VALUE"""),0.0)</f>
        <v>0</v>
      </c>
      <c r="CG33" s="180">
        <f>IFERROR(__xludf.DUMMYFUNCTION("""COMPUTED_VALUE"""),45810.0)</f>
        <v>45810</v>
      </c>
      <c r="CH33" s="179">
        <f>IFERROR(__xludf.DUMMYFUNCTION("""COMPUTED_VALUE"""),0.0)</f>
        <v>0</v>
      </c>
      <c r="CI33" s="180">
        <f>IFERROR(__xludf.DUMMYFUNCTION("""COMPUTED_VALUE"""),45840.0)</f>
        <v>45840</v>
      </c>
      <c r="CJ33" s="179">
        <f>IFERROR(__xludf.DUMMYFUNCTION("""COMPUTED_VALUE"""),0.0)</f>
        <v>0</v>
      </c>
      <c r="CK33" s="180">
        <f>IFERROR(__xludf.DUMMYFUNCTION("""COMPUTED_VALUE"""),45871.0)</f>
        <v>45871</v>
      </c>
      <c r="CL33" s="179">
        <f>IFERROR(__xludf.DUMMYFUNCTION("""COMPUTED_VALUE"""),0.0)</f>
        <v>0</v>
      </c>
      <c r="CM33" s="180">
        <f>IFERROR(__xludf.DUMMYFUNCTION("""COMPUTED_VALUE"""),45660.0)</f>
        <v>45660</v>
      </c>
      <c r="CN33" s="179">
        <f>IFERROR(__xludf.DUMMYFUNCTION("""COMPUTED_VALUE"""),0.0)</f>
        <v>0</v>
      </c>
      <c r="CO33" s="180">
        <f>IFERROR(__xludf.DUMMYFUNCTION("""COMPUTED_VALUE"""),45932.0)</f>
        <v>45932</v>
      </c>
      <c r="CP33" s="179">
        <f>IFERROR(__xludf.DUMMYFUNCTION("""COMPUTED_VALUE"""),0.0)</f>
        <v>0</v>
      </c>
      <c r="CQ33" s="180">
        <f>IFERROR(__xludf.DUMMYFUNCTION("""COMPUTED_VALUE"""),45809.0)</f>
        <v>45809</v>
      </c>
      <c r="CR33" s="179">
        <f>IFERROR(__xludf.DUMMYFUNCTION("""COMPUTED_VALUE"""),0.0)</f>
        <v>0</v>
      </c>
      <c r="CS33" s="180">
        <f>IFERROR(__xludf.DUMMYFUNCTION("""COMPUTED_VALUE"""),45932.0)</f>
        <v>45932</v>
      </c>
      <c r="CT33" s="179">
        <f>IFERROR(__xludf.DUMMYFUNCTION("""COMPUTED_VALUE"""),0.0)</f>
        <v>0</v>
      </c>
      <c r="CU33" s="180">
        <f>IFERROR(__xludf.DUMMYFUNCTION("""COMPUTED_VALUE"""),45691.0)</f>
        <v>45691</v>
      </c>
      <c r="CV33" s="179">
        <f>IFERROR(__xludf.DUMMYFUNCTION("""COMPUTED_VALUE"""),0.0)</f>
        <v>0</v>
      </c>
      <c r="CW33" s="180">
        <f>IFERROR(__xludf.DUMMYFUNCTION("""COMPUTED_VALUE"""),45690.0)</f>
        <v>45690</v>
      </c>
      <c r="CX33" s="179">
        <f>IFERROR(__xludf.DUMMYFUNCTION("""COMPUTED_VALUE"""),0.0)</f>
        <v>0</v>
      </c>
      <c r="CY33" s="182">
        <f>IFERROR(__xludf.DUMMYFUNCTION("""COMPUTED_VALUE"""),45660.0)</f>
        <v>45660</v>
      </c>
      <c r="CZ33" s="179">
        <f>IFERROR(__xludf.DUMMYFUNCTION("""COMPUTED_VALUE"""),0.0)</f>
        <v>0</v>
      </c>
      <c r="DA33" s="180">
        <f>IFERROR(__xludf.DUMMYFUNCTION("""COMPUTED_VALUE"""),45660.0)</f>
        <v>45660</v>
      </c>
      <c r="DB33" s="179">
        <f>IFERROR(__xludf.DUMMYFUNCTION("""COMPUTED_VALUE"""),0.0)</f>
        <v>0</v>
      </c>
      <c r="DC33" s="180">
        <f>IFERROR(__xludf.DUMMYFUNCTION("""COMPUTED_VALUE"""),45871.0)</f>
        <v>45871</v>
      </c>
      <c r="DD33" s="179">
        <f>IFERROR(__xludf.DUMMYFUNCTION("""COMPUTED_VALUE"""),0.0)</f>
        <v>0</v>
      </c>
      <c r="DE33" s="180">
        <f>IFERROR(__xludf.DUMMYFUNCTION("""COMPUTED_VALUE"""),45902.0)</f>
        <v>45902</v>
      </c>
      <c r="DF33" s="179">
        <f>IFERROR(__xludf.DUMMYFUNCTION("""COMPUTED_VALUE"""),0.0)</f>
        <v>0</v>
      </c>
      <c r="DG33" s="180">
        <f>IFERROR(__xludf.DUMMYFUNCTION("""COMPUTED_VALUE"""),45691.0)</f>
        <v>45691</v>
      </c>
      <c r="DH33" s="179">
        <f>IFERROR(__xludf.DUMMYFUNCTION("""COMPUTED_VALUE"""),0.0)</f>
        <v>0</v>
      </c>
      <c r="DI33" s="180">
        <f>IFERROR(__xludf.DUMMYFUNCTION("""COMPUTED_VALUE"""),45691.0)</f>
        <v>45691</v>
      </c>
      <c r="DJ33" s="179">
        <f>IFERROR(__xludf.DUMMYFUNCTION("""COMPUTED_VALUE"""),0.0)</f>
        <v>0</v>
      </c>
      <c r="DK33" s="180">
        <f>IFERROR(__xludf.DUMMYFUNCTION("""COMPUTED_VALUE"""),45932.0)</f>
        <v>45932</v>
      </c>
      <c r="DL33" s="179">
        <f>IFERROR(__xludf.DUMMYFUNCTION("""COMPUTED_VALUE"""),0.0)</f>
        <v>0</v>
      </c>
      <c r="DM33" s="180">
        <f>IFERROR(__xludf.DUMMYFUNCTION("""COMPUTED_VALUE"""),45932.0)</f>
        <v>45932</v>
      </c>
      <c r="DN33" s="179">
        <f>IFERROR(__xludf.DUMMYFUNCTION("""COMPUTED_VALUE"""),0.0)</f>
        <v>0</v>
      </c>
      <c r="DO33" s="180">
        <f>IFERROR(__xludf.DUMMYFUNCTION("""COMPUTED_VALUE"""),45932.0)</f>
        <v>45932</v>
      </c>
      <c r="DP33" s="179">
        <f>IFERROR(__xludf.DUMMYFUNCTION("""COMPUTED_VALUE"""),0.0)</f>
        <v>0</v>
      </c>
      <c r="DQ33" s="180">
        <f>IFERROR(__xludf.DUMMYFUNCTION("""COMPUTED_VALUE"""),45810.0)</f>
        <v>45810</v>
      </c>
      <c r="DR33" s="179">
        <f>IFERROR(__xludf.DUMMYFUNCTION("""COMPUTED_VALUE"""),0.0)</f>
        <v>0</v>
      </c>
      <c r="DS33" s="182">
        <f>IFERROR(__xludf.DUMMYFUNCTION("""COMPUTED_VALUE"""),45660.0)</f>
        <v>45660</v>
      </c>
      <c r="DT33" s="179">
        <f>IFERROR(__xludf.DUMMYFUNCTION("""COMPUTED_VALUE"""),0.0)</f>
        <v>0</v>
      </c>
      <c r="DU33" s="180">
        <f>IFERROR(__xludf.DUMMYFUNCTION("""COMPUTED_VALUE"""),45932.0)</f>
        <v>45932</v>
      </c>
      <c r="DV33" s="179">
        <f>IFERROR(__xludf.DUMMYFUNCTION("""COMPUTED_VALUE"""),0.0)</f>
        <v>0</v>
      </c>
      <c r="DW33" s="180">
        <f>IFERROR(__xludf.DUMMYFUNCTION("""COMPUTED_VALUE"""),45932.0)</f>
        <v>45932</v>
      </c>
      <c r="DX33" s="179">
        <f>IFERROR(__xludf.DUMMYFUNCTION("""COMPUTED_VALUE"""),0.0)</f>
        <v>0</v>
      </c>
      <c r="DY33" s="180">
        <f>IFERROR(__xludf.DUMMYFUNCTION("""COMPUTED_VALUE"""),45660.0)</f>
        <v>45660</v>
      </c>
      <c r="DZ33" s="179">
        <f>IFERROR(__xludf.DUMMYFUNCTION("""COMPUTED_VALUE"""),0.0)</f>
        <v>0</v>
      </c>
      <c r="EA33" s="180">
        <f>IFERROR(__xludf.DUMMYFUNCTION("""COMPUTED_VALUE"""),45691.0)</f>
        <v>45691</v>
      </c>
      <c r="EB33" s="179">
        <f>IFERROR(__xludf.DUMMYFUNCTION("""COMPUTED_VALUE"""),0.0)</f>
        <v>0</v>
      </c>
      <c r="EC33" s="180">
        <f>IFERROR(__xludf.DUMMYFUNCTION("""COMPUTED_VALUE"""),45660.0)</f>
        <v>45660</v>
      </c>
      <c r="ED33" s="179">
        <f>IFERROR(__xludf.DUMMYFUNCTION("""COMPUTED_VALUE"""),0.0)</f>
        <v>0</v>
      </c>
      <c r="EE33" s="180">
        <f>IFERROR(__xludf.DUMMYFUNCTION("""COMPUTED_VALUE"""),45871.0)</f>
        <v>45871</v>
      </c>
      <c r="EF33" s="179">
        <f>IFERROR(__xludf.DUMMYFUNCTION("""COMPUTED_VALUE"""),0.0)</f>
        <v>0</v>
      </c>
      <c r="EG33" s="180">
        <f>IFERROR(__xludf.DUMMYFUNCTION("""COMPUTED_VALUE"""),45660.0)</f>
        <v>45660</v>
      </c>
      <c r="EH33" s="179">
        <f>IFERROR(__xludf.DUMMYFUNCTION("""COMPUTED_VALUE"""),0.0)</f>
        <v>0</v>
      </c>
      <c r="EI33" s="180">
        <f>IFERROR(__xludf.DUMMYFUNCTION("""COMPUTED_VALUE"""),45660.0)</f>
        <v>45660</v>
      </c>
      <c r="EJ33" s="179">
        <f>IFERROR(__xludf.DUMMYFUNCTION("""COMPUTED_VALUE"""),0.0)</f>
        <v>0</v>
      </c>
      <c r="EK33" s="180">
        <f>IFERROR(__xludf.DUMMYFUNCTION("""COMPUTED_VALUE"""),45902.0)</f>
        <v>45902</v>
      </c>
      <c r="EL33" s="179">
        <f>IFERROR(__xludf.DUMMYFUNCTION("""COMPUTED_VALUE"""),0.0)</f>
        <v>0</v>
      </c>
      <c r="EM33" s="182">
        <f>IFERROR(__xludf.DUMMYFUNCTION("""COMPUTED_VALUE"""),45871.0)</f>
        <v>45871</v>
      </c>
      <c r="EN33" s="179">
        <f>IFERROR(__xludf.DUMMYFUNCTION("""COMPUTED_VALUE"""),0.0)</f>
        <v>0</v>
      </c>
      <c r="EO33" s="180">
        <f>IFERROR(__xludf.DUMMYFUNCTION("""COMPUTED_VALUE"""),45660.0)</f>
        <v>45660</v>
      </c>
      <c r="EP33" s="179">
        <f>IFERROR(__xludf.DUMMYFUNCTION("""COMPUTED_VALUE"""),0.0)</f>
        <v>0</v>
      </c>
      <c r="EQ33" s="180">
        <f>IFERROR(__xludf.DUMMYFUNCTION("""COMPUTED_VALUE"""),45660.0)</f>
        <v>45660</v>
      </c>
      <c r="ER33" s="179">
        <f>IFERROR(__xludf.DUMMYFUNCTION("""COMPUTED_VALUE"""),0.0)</f>
        <v>0</v>
      </c>
      <c r="ES33" s="180">
        <f>IFERROR(__xludf.DUMMYFUNCTION("""COMPUTED_VALUE"""),45691.0)</f>
        <v>45691</v>
      </c>
      <c r="ET33" s="179">
        <f>IFERROR(__xludf.DUMMYFUNCTION("""COMPUTED_VALUE"""),0.0)</f>
        <v>0</v>
      </c>
      <c r="EU33" s="180">
        <f>IFERROR(__xludf.DUMMYFUNCTION("""COMPUTED_VALUE"""),45660.0)</f>
        <v>45660</v>
      </c>
      <c r="EV33" s="179">
        <f>IFERROR(__xludf.DUMMYFUNCTION("""COMPUTED_VALUE"""),0.0)</f>
        <v>0</v>
      </c>
      <c r="EW33" s="180">
        <f>IFERROR(__xludf.DUMMYFUNCTION("""COMPUTED_VALUE"""),45691.0)</f>
        <v>45691</v>
      </c>
      <c r="EX33" s="179">
        <f>IFERROR(__xludf.DUMMYFUNCTION("""COMPUTED_VALUE"""),0.0)</f>
        <v>0</v>
      </c>
      <c r="EY33" s="180">
        <f>IFERROR(__xludf.DUMMYFUNCTION("""COMPUTED_VALUE"""),45691.0)</f>
        <v>45691</v>
      </c>
      <c r="EZ33" s="179">
        <f>IFERROR(__xludf.DUMMYFUNCTION("""COMPUTED_VALUE"""),0.0)</f>
        <v>0</v>
      </c>
      <c r="FA33" s="180">
        <f>IFERROR(__xludf.DUMMYFUNCTION("""COMPUTED_VALUE"""),45660.0)</f>
        <v>45660</v>
      </c>
      <c r="FB33" s="179">
        <f>IFERROR(__xludf.DUMMYFUNCTION("""COMPUTED_VALUE"""),0.0)</f>
        <v>0</v>
      </c>
      <c r="FC33" s="180">
        <f>IFERROR(__xludf.DUMMYFUNCTION("""COMPUTED_VALUE"""),45691.0)</f>
        <v>45691</v>
      </c>
      <c r="FD33" s="179">
        <f>IFERROR(__xludf.DUMMYFUNCTION("""COMPUTED_VALUE"""),0.0)</f>
        <v>0</v>
      </c>
      <c r="FE33" s="180">
        <f>IFERROR(__xludf.DUMMYFUNCTION("""COMPUTED_VALUE"""),45871.0)</f>
        <v>45871</v>
      </c>
      <c r="FF33" s="179">
        <f>IFERROR(__xludf.DUMMYFUNCTION("""COMPUTED_VALUE"""),0.0)</f>
        <v>0</v>
      </c>
      <c r="FG33" s="182">
        <f>IFERROR(__xludf.DUMMYFUNCTION("""COMPUTED_VALUE"""),45871.0)</f>
        <v>45871</v>
      </c>
      <c r="FH33" s="179">
        <f>IFERROR(__xludf.DUMMYFUNCTION("""COMPUTED_VALUE"""),0.0)</f>
        <v>0</v>
      </c>
      <c r="FI33" s="180">
        <f>IFERROR(__xludf.DUMMYFUNCTION("""COMPUTED_VALUE"""),45871.0)</f>
        <v>45871</v>
      </c>
      <c r="FJ33" s="179">
        <f>IFERROR(__xludf.DUMMYFUNCTION("""COMPUTED_VALUE"""),0.0)</f>
        <v>0</v>
      </c>
      <c r="FK33" s="180">
        <f>IFERROR(__xludf.DUMMYFUNCTION("""COMPUTED_VALUE"""),45749.0)</f>
        <v>45749</v>
      </c>
      <c r="FL33" s="179">
        <f>IFERROR(__xludf.DUMMYFUNCTION("""COMPUTED_VALUE"""),0.0)</f>
        <v>0</v>
      </c>
      <c r="FM33" s="180">
        <f>IFERROR(__xludf.DUMMYFUNCTION("""COMPUTED_VALUE"""),45691.0)</f>
        <v>45691</v>
      </c>
      <c r="FN33" s="179">
        <f>IFERROR(__xludf.DUMMYFUNCTION("""COMPUTED_VALUE"""),0.0)</f>
        <v>0</v>
      </c>
      <c r="FO33" s="180">
        <f>IFERROR(__xludf.DUMMYFUNCTION("""COMPUTED_VALUE"""),45691.0)</f>
        <v>45691</v>
      </c>
      <c r="FP33" s="179">
        <f>IFERROR(__xludf.DUMMYFUNCTION("""COMPUTED_VALUE"""),0.0)</f>
        <v>0</v>
      </c>
      <c r="FQ33" s="180">
        <f>IFERROR(__xludf.DUMMYFUNCTION("""COMPUTED_VALUE"""),45691.0)</f>
        <v>45691</v>
      </c>
      <c r="FR33" s="179">
        <f>IFERROR(__xludf.DUMMYFUNCTION("""COMPUTED_VALUE"""),0.0)</f>
        <v>0</v>
      </c>
      <c r="FS33" s="180">
        <f>IFERROR(__xludf.DUMMYFUNCTION("""COMPUTED_VALUE"""),45718.0)</f>
        <v>45718</v>
      </c>
      <c r="FT33" s="179">
        <f>IFERROR(__xludf.DUMMYFUNCTION("""COMPUTED_VALUE"""),0.0)</f>
        <v>0</v>
      </c>
      <c r="FU33" s="180">
        <f>IFERROR(__xludf.DUMMYFUNCTION("""COMPUTED_VALUE"""),45691.0)</f>
        <v>45691</v>
      </c>
      <c r="FV33" s="179">
        <f>IFERROR(__xludf.DUMMYFUNCTION("""COMPUTED_VALUE"""),0.0)</f>
        <v>0</v>
      </c>
      <c r="FW33" s="180">
        <f>IFERROR(__xludf.DUMMYFUNCTION("""COMPUTED_VALUE"""),45691.0)</f>
        <v>45691</v>
      </c>
      <c r="FX33" s="179">
        <f>IFERROR(__xludf.DUMMYFUNCTION("""COMPUTED_VALUE"""),0.0)</f>
        <v>0</v>
      </c>
      <c r="FY33" s="180">
        <f>IFERROR(__xludf.DUMMYFUNCTION("""COMPUTED_VALUE"""),45749.0)</f>
        <v>45749</v>
      </c>
      <c r="FZ33" s="179">
        <f>IFERROR(__xludf.DUMMYFUNCTION("""COMPUTED_VALUE"""),0.0)</f>
        <v>0</v>
      </c>
      <c r="GA33" s="182">
        <f>IFERROR(__xludf.DUMMYFUNCTION("""COMPUTED_VALUE"""),45691.0)</f>
        <v>45691</v>
      </c>
      <c r="GB33" s="179">
        <f>IFERROR(__xludf.DUMMYFUNCTION("""COMPUTED_VALUE"""),0.0)</f>
        <v>0</v>
      </c>
      <c r="GC33" s="180">
        <f>IFERROR(__xludf.DUMMYFUNCTION("""COMPUTED_VALUE"""),45902.0)</f>
        <v>45902</v>
      </c>
      <c r="GD33" s="179">
        <f>IFERROR(__xludf.DUMMYFUNCTION("""COMPUTED_VALUE"""),0.0)</f>
        <v>0</v>
      </c>
      <c r="GE33" s="180">
        <f>IFERROR(__xludf.DUMMYFUNCTION("""COMPUTED_VALUE"""),45902.0)</f>
        <v>45902</v>
      </c>
      <c r="GF33" s="179">
        <f>IFERROR(__xludf.DUMMYFUNCTION("""COMPUTED_VALUE"""),0.0)</f>
        <v>0</v>
      </c>
      <c r="GG33" s="180">
        <f>IFERROR(__xludf.DUMMYFUNCTION("""COMPUTED_VALUE"""),45932.0)</f>
        <v>45932</v>
      </c>
      <c r="GH33" s="179">
        <f>IFERROR(__xludf.DUMMYFUNCTION("""COMPUTED_VALUE"""),0.0)</f>
        <v>0</v>
      </c>
      <c r="GI33" s="180">
        <f>IFERROR(__xludf.DUMMYFUNCTION("""COMPUTED_VALUE"""),45691.0)</f>
        <v>45691</v>
      </c>
      <c r="GJ33" s="179">
        <f>IFERROR(__xludf.DUMMYFUNCTION("""COMPUTED_VALUE"""),0.0)</f>
        <v>0</v>
      </c>
      <c r="GK33" s="180">
        <f>IFERROR(__xludf.DUMMYFUNCTION("""COMPUTED_VALUE"""),45691.0)</f>
        <v>45691</v>
      </c>
      <c r="GL33" s="179">
        <f>IFERROR(__xludf.DUMMYFUNCTION("""COMPUTED_VALUE"""),0.0)</f>
        <v>0</v>
      </c>
      <c r="GM33" s="180">
        <f>IFERROR(__xludf.DUMMYFUNCTION("""COMPUTED_VALUE"""),45810.0)</f>
        <v>45810</v>
      </c>
      <c r="GN33" s="179">
        <f>IFERROR(__xludf.DUMMYFUNCTION("""COMPUTED_VALUE"""),0.0)</f>
        <v>0</v>
      </c>
      <c r="GO33" s="180">
        <f>IFERROR(__xludf.DUMMYFUNCTION("""COMPUTED_VALUE"""),45691.0)</f>
        <v>45691</v>
      </c>
      <c r="GP33" s="179">
        <f>IFERROR(__xludf.DUMMYFUNCTION("""COMPUTED_VALUE"""),0.0)</f>
        <v>0</v>
      </c>
      <c r="GQ33" s="180">
        <f>IFERROR(__xludf.DUMMYFUNCTION("""COMPUTED_VALUE"""),45840.0)</f>
        <v>45840</v>
      </c>
      <c r="GR33" s="179">
        <f>IFERROR(__xludf.DUMMYFUNCTION("""COMPUTED_VALUE"""),0.0)</f>
        <v>0</v>
      </c>
      <c r="GS33" s="180">
        <f>IFERROR(__xludf.DUMMYFUNCTION("""COMPUTED_VALUE"""),45779.0)</f>
        <v>45779</v>
      </c>
      <c r="GT33" s="179">
        <f>IFERROR(__xludf.DUMMYFUNCTION("""COMPUTED_VALUE"""),0.0)</f>
        <v>0</v>
      </c>
    </row>
    <row r="34" ht="31.5" customHeight="1">
      <c r="B34" s="183"/>
      <c r="C34" s="178">
        <f>IFERROR(__xludf.DUMMYFUNCTION("""COMPUTED_VALUE"""),45872.0)</f>
        <v>45872</v>
      </c>
      <c r="D34" s="179">
        <f>IFERROR(__xludf.DUMMYFUNCTION("""COMPUTED_VALUE"""),0.0)</f>
        <v>0</v>
      </c>
      <c r="E34" s="180">
        <f>IFERROR(__xludf.DUMMYFUNCTION("""COMPUTED_VALUE"""),45903.0)</f>
        <v>45903</v>
      </c>
      <c r="F34" s="179">
        <f>IFERROR(__xludf.DUMMYFUNCTION("""COMPUTED_VALUE"""),0.0)</f>
        <v>0</v>
      </c>
      <c r="G34" s="180">
        <f>IFERROR(__xludf.DUMMYFUNCTION("""COMPUTED_VALUE"""),45903.0)</f>
        <v>45903</v>
      </c>
      <c r="H34" s="179">
        <f>IFERROR(__xludf.DUMMYFUNCTION("""COMPUTED_VALUE"""),0.0)</f>
        <v>0</v>
      </c>
      <c r="I34" s="180">
        <f>IFERROR(__xludf.DUMMYFUNCTION("""COMPUTED_VALUE"""),45661.0)</f>
        <v>45661</v>
      </c>
      <c r="J34" s="179">
        <f>IFERROR(__xludf.DUMMYFUNCTION("""COMPUTED_VALUE"""),0.0)</f>
        <v>0</v>
      </c>
      <c r="K34" s="180">
        <f>IFERROR(__xludf.DUMMYFUNCTION("""COMPUTED_VALUE"""),45811.0)</f>
        <v>45811</v>
      </c>
      <c r="L34" s="179">
        <f>IFERROR(__xludf.DUMMYFUNCTION("""COMPUTED_VALUE"""),0.0)</f>
        <v>0</v>
      </c>
      <c r="M34" s="180">
        <f>IFERROR(__xludf.DUMMYFUNCTION("""COMPUTED_VALUE"""),45872.0)</f>
        <v>45872</v>
      </c>
      <c r="N34" s="179">
        <f>IFERROR(__xludf.DUMMYFUNCTION("""COMPUTED_VALUE"""),0.0)</f>
        <v>0</v>
      </c>
      <c r="O34" s="180">
        <f>IFERROR(__xludf.DUMMYFUNCTION("""COMPUTED_VALUE"""),45719.0)</f>
        <v>45719</v>
      </c>
      <c r="P34" s="179">
        <f>IFERROR(__xludf.DUMMYFUNCTION("""COMPUTED_VALUE"""),0.0)</f>
        <v>0</v>
      </c>
      <c r="Q34" s="180">
        <f>IFERROR(__xludf.DUMMYFUNCTION("""COMPUTED_VALUE"""),45750.0)</f>
        <v>45750</v>
      </c>
      <c r="R34" s="179">
        <f>IFERROR(__xludf.DUMMYFUNCTION("""COMPUTED_VALUE"""),0.0)</f>
        <v>0</v>
      </c>
      <c r="S34" s="180">
        <f>IFERROR(__xludf.DUMMYFUNCTION("""COMPUTED_VALUE"""),45933.0)</f>
        <v>45933</v>
      </c>
      <c r="T34" s="179">
        <f>IFERROR(__xludf.DUMMYFUNCTION("""COMPUTED_VALUE"""),0.0)</f>
        <v>0</v>
      </c>
      <c r="U34" s="180">
        <f>IFERROR(__xludf.DUMMYFUNCTION("""COMPUTED_VALUE"""),45719.0)</f>
        <v>45719</v>
      </c>
      <c r="V34" s="181">
        <f>IFERROR(__xludf.DUMMYFUNCTION("""COMPUTED_VALUE"""),0.0)</f>
        <v>0</v>
      </c>
      <c r="W34" s="178">
        <f>IFERROR(__xludf.DUMMYFUNCTION("""COMPUTED_VALUE"""),45661.0)</f>
        <v>45661</v>
      </c>
      <c r="X34" s="179">
        <f>IFERROR(__xludf.DUMMYFUNCTION("""COMPUTED_VALUE"""),0.0)</f>
        <v>0</v>
      </c>
      <c r="Y34" s="180">
        <f>IFERROR(__xludf.DUMMYFUNCTION("""COMPUTED_VALUE"""),45780.0)</f>
        <v>45780</v>
      </c>
      <c r="Z34" s="179">
        <f>IFERROR(__xludf.DUMMYFUNCTION("""COMPUTED_VALUE"""),0.0)</f>
        <v>0</v>
      </c>
      <c r="AA34" s="180">
        <f>IFERROR(__xludf.DUMMYFUNCTION("""COMPUTED_VALUE"""),45933.0)</f>
        <v>45933</v>
      </c>
      <c r="AB34" s="179">
        <f>IFERROR(__xludf.DUMMYFUNCTION("""COMPUTED_VALUE"""),0.0)</f>
        <v>0</v>
      </c>
      <c r="AC34" s="180">
        <f>IFERROR(__xludf.DUMMYFUNCTION("""COMPUTED_VALUE"""),45719.0)</f>
        <v>45719</v>
      </c>
      <c r="AD34" s="179">
        <f>IFERROR(__xludf.DUMMYFUNCTION("""COMPUTED_VALUE"""),0.0)</f>
        <v>0</v>
      </c>
      <c r="AE34" s="180">
        <f>IFERROR(__xludf.DUMMYFUNCTION("""COMPUTED_VALUE"""),45719.0)</f>
        <v>45719</v>
      </c>
      <c r="AF34" s="179">
        <f>IFERROR(__xludf.DUMMYFUNCTION("""COMPUTED_VALUE"""),0.0)</f>
        <v>0</v>
      </c>
      <c r="AG34" s="180">
        <f>IFERROR(__xludf.DUMMYFUNCTION("""COMPUTED_VALUE"""),45661.0)</f>
        <v>45661</v>
      </c>
      <c r="AH34" s="179">
        <f>IFERROR(__xludf.DUMMYFUNCTION("""COMPUTED_VALUE"""),0.0)</f>
        <v>0</v>
      </c>
      <c r="AI34" s="180">
        <f>IFERROR(__xludf.DUMMYFUNCTION("""COMPUTED_VALUE"""),45719.0)</f>
        <v>45719</v>
      </c>
      <c r="AJ34" s="179">
        <f>IFERROR(__xludf.DUMMYFUNCTION("""COMPUTED_VALUE"""),0.0)</f>
        <v>0</v>
      </c>
      <c r="AK34" s="180">
        <f>IFERROR(__xludf.DUMMYFUNCTION("""COMPUTED_VALUE"""),45903.0)</f>
        <v>45903</v>
      </c>
      <c r="AL34" s="179">
        <f>IFERROR(__xludf.DUMMYFUNCTION("""COMPUTED_VALUE"""),0.0)</f>
        <v>0</v>
      </c>
      <c r="AM34" s="180">
        <f>IFERROR(__xludf.DUMMYFUNCTION("""COMPUTED_VALUE"""),45661.0)</f>
        <v>45661</v>
      </c>
      <c r="AN34" s="179">
        <f>IFERROR(__xludf.DUMMYFUNCTION("""COMPUTED_VALUE"""),0.0)</f>
        <v>0</v>
      </c>
      <c r="AO34" s="180">
        <f>IFERROR(__xludf.DUMMYFUNCTION("""COMPUTED_VALUE"""),45750.0)</f>
        <v>45750</v>
      </c>
      <c r="AP34" s="181">
        <f>IFERROR(__xludf.DUMMYFUNCTION("""COMPUTED_VALUE"""),0.0)</f>
        <v>0</v>
      </c>
      <c r="AQ34" s="178">
        <f>IFERROR(__xludf.DUMMYFUNCTION("""COMPUTED_VALUE"""),45692.0)</f>
        <v>45692</v>
      </c>
      <c r="AR34" s="179">
        <f>IFERROR(__xludf.DUMMYFUNCTION("""COMPUTED_VALUE"""),0.0)</f>
        <v>0</v>
      </c>
      <c r="AS34" s="180">
        <f>IFERROR(__xludf.DUMMYFUNCTION("""COMPUTED_VALUE"""),45691.0)</f>
        <v>45691</v>
      </c>
      <c r="AT34" s="179">
        <f>IFERROR(__xludf.DUMMYFUNCTION("""COMPUTED_VALUE"""),0.0)</f>
        <v>0</v>
      </c>
      <c r="AU34" s="180">
        <f>IFERROR(__xludf.DUMMYFUNCTION("""COMPUTED_VALUE"""),45932.0)</f>
        <v>45932</v>
      </c>
      <c r="AV34" s="179">
        <f>IFERROR(__xludf.DUMMYFUNCTION("""COMPUTED_VALUE"""),0.0)</f>
        <v>0</v>
      </c>
      <c r="AW34" s="180">
        <f>IFERROR(__xludf.DUMMYFUNCTION("""COMPUTED_VALUE"""),45932.0)</f>
        <v>45932</v>
      </c>
      <c r="AX34" s="179">
        <f>IFERROR(__xludf.DUMMYFUNCTION("""COMPUTED_VALUE"""),0.0)</f>
        <v>0</v>
      </c>
      <c r="AY34" s="180">
        <f>IFERROR(__xludf.DUMMYFUNCTION("""COMPUTED_VALUE"""),45661.0)</f>
        <v>45661</v>
      </c>
      <c r="AZ34" s="179">
        <f>IFERROR(__xludf.DUMMYFUNCTION("""COMPUTED_VALUE"""),0.0)</f>
        <v>0</v>
      </c>
      <c r="BA34" s="180">
        <f>IFERROR(__xludf.DUMMYFUNCTION("""COMPUTED_VALUE"""),45692.0)</f>
        <v>45692</v>
      </c>
      <c r="BB34" s="179">
        <f>IFERROR(__xludf.DUMMYFUNCTION("""COMPUTED_VALUE"""),0.0)</f>
        <v>0</v>
      </c>
      <c r="BC34" s="180">
        <f>IFERROR(__xludf.DUMMYFUNCTION("""COMPUTED_VALUE"""),45902.0)</f>
        <v>45902</v>
      </c>
      <c r="BD34" s="179">
        <f>IFERROR(__xludf.DUMMYFUNCTION("""COMPUTED_VALUE"""),0.0)</f>
        <v>0</v>
      </c>
      <c r="BE34" s="180">
        <f>IFERROR(__xludf.DUMMYFUNCTION("""COMPUTED_VALUE"""),45692.0)</f>
        <v>45692</v>
      </c>
      <c r="BF34" s="179">
        <f>IFERROR(__xludf.DUMMYFUNCTION("""COMPUTED_VALUE"""),0.0)</f>
        <v>0</v>
      </c>
      <c r="BG34" s="180">
        <f>IFERROR(__xludf.DUMMYFUNCTION("""COMPUTED_VALUE"""),45932.0)</f>
        <v>45932</v>
      </c>
      <c r="BH34" s="179">
        <f>IFERROR(__xludf.DUMMYFUNCTION("""COMPUTED_VALUE"""),0.0)</f>
        <v>0</v>
      </c>
      <c r="BI34" s="180">
        <f>IFERROR(__xludf.DUMMYFUNCTION("""COMPUTED_VALUE"""),45933.0)</f>
        <v>45933</v>
      </c>
      <c r="BJ34" s="179">
        <f>IFERROR(__xludf.DUMMYFUNCTION("""COMPUTED_VALUE"""),0.0)</f>
        <v>0</v>
      </c>
      <c r="BK34" s="182">
        <f>IFERROR(__xludf.DUMMYFUNCTION("""COMPUTED_VALUE"""),45660.0)</f>
        <v>45660</v>
      </c>
      <c r="BL34" s="179">
        <f>IFERROR(__xludf.DUMMYFUNCTION("""COMPUTED_VALUE"""),0.0)</f>
        <v>0</v>
      </c>
      <c r="BM34" s="180">
        <f>IFERROR(__xludf.DUMMYFUNCTION("""COMPUTED_VALUE"""),45840.0)</f>
        <v>45840</v>
      </c>
      <c r="BN34" s="179">
        <f>IFERROR(__xludf.DUMMYFUNCTION("""COMPUTED_VALUE"""),0.0)</f>
        <v>0</v>
      </c>
      <c r="BO34" s="180">
        <f>IFERROR(__xludf.DUMMYFUNCTION("""COMPUTED_VALUE"""),45810.0)</f>
        <v>45810</v>
      </c>
      <c r="BP34" s="179">
        <f>IFERROR(__xludf.DUMMYFUNCTION("""COMPUTED_VALUE"""),0.0)</f>
        <v>0</v>
      </c>
      <c r="BQ34" s="180">
        <f>IFERROR(__xludf.DUMMYFUNCTION("""COMPUTED_VALUE"""),45660.0)</f>
        <v>45660</v>
      </c>
      <c r="BR34" s="179">
        <f>IFERROR(__xludf.DUMMYFUNCTION("""COMPUTED_VALUE"""),0.0)</f>
        <v>0</v>
      </c>
      <c r="BS34" s="180">
        <f>IFERROR(__xludf.DUMMYFUNCTION("""COMPUTED_VALUE"""),45719.0)</f>
        <v>45719</v>
      </c>
      <c r="BT34" s="179">
        <f>IFERROR(__xludf.DUMMYFUNCTION("""COMPUTED_VALUE"""),0.0)</f>
        <v>0</v>
      </c>
      <c r="BU34" s="180">
        <f>IFERROR(__xludf.DUMMYFUNCTION("""COMPUTED_VALUE"""),45691.0)</f>
        <v>45691</v>
      </c>
      <c r="BV34" s="179">
        <f>IFERROR(__xludf.DUMMYFUNCTION("""COMPUTED_VALUE"""),0.0)</f>
        <v>0</v>
      </c>
      <c r="BW34" s="180">
        <f>IFERROR(__xludf.DUMMYFUNCTION("""COMPUTED_VALUE"""),45840.0)</f>
        <v>45840</v>
      </c>
      <c r="BX34" s="179">
        <f>IFERROR(__xludf.DUMMYFUNCTION("""COMPUTED_VALUE"""),0.0)</f>
        <v>0</v>
      </c>
      <c r="BY34" s="180">
        <f>IFERROR(__xludf.DUMMYFUNCTION("""COMPUTED_VALUE"""),45660.0)</f>
        <v>45660</v>
      </c>
      <c r="BZ34" s="179">
        <f>IFERROR(__xludf.DUMMYFUNCTION("""COMPUTED_VALUE"""),0.0)</f>
        <v>0</v>
      </c>
      <c r="CA34" s="180">
        <f>IFERROR(__xludf.DUMMYFUNCTION("""COMPUTED_VALUE"""),45902.0)</f>
        <v>45902</v>
      </c>
      <c r="CB34" s="179">
        <f>IFERROR(__xludf.DUMMYFUNCTION("""COMPUTED_VALUE"""),0.0)</f>
        <v>0</v>
      </c>
      <c r="CC34" s="180">
        <f>IFERROR(__xludf.DUMMYFUNCTION("""COMPUTED_VALUE"""),45932.0)</f>
        <v>45932</v>
      </c>
      <c r="CD34" s="179">
        <f>IFERROR(__xludf.DUMMYFUNCTION("""COMPUTED_VALUE"""),0.0)</f>
        <v>0</v>
      </c>
      <c r="CE34" s="182">
        <f>IFERROR(__xludf.DUMMYFUNCTION("""COMPUTED_VALUE"""),45719.0)</f>
        <v>45719</v>
      </c>
      <c r="CF34" s="179">
        <f>IFERROR(__xludf.DUMMYFUNCTION("""COMPUTED_VALUE"""),0.0)</f>
        <v>0</v>
      </c>
      <c r="CG34" s="180">
        <f>IFERROR(__xludf.DUMMYFUNCTION("""COMPUTED_VALUE"""),45840.0)</f>
        <v>45840</v>
      </c>
      <c r="CH34" s="179">
        <f>IFERROR(__xludf.DUMMYFUNCTION("""COMPUTED_VALUE"""),0.0)</f>
        <v>0</v>
      </c>
      <c r="CI34" s="180">
        <f>IFERROR(__xludf.DUMMYFUNCTION("""COMPUTED_VALUE"""),45871.0)</f>
        <v>45871</v>
      </c>
      <c r="CJ34" s="179">
        <f>IFERROR(__xludf.DUMMYFUNCTION("""COMPUTED_VALUE"""),0.0)</f>
        <v>0</v>
      </c>
      <c r="CK34" s="180">
        <f>IFERROR(__xludf.DUMMYFUNCTION("""COMPUTED_VALUE"""),45902.0)</f>
        <v>45902</v>
      </c>
      <c r="CL34" s="179">
        <f>IFERROR(__xludf.DUMMYFUNCTION("""COMPUTED_VALUE"""),0.0)</f>
        <v>0</v>
      </c>
      <c r="CM34" s="180">
        <f>IFERROR(__xludf.DUMMYFUNCTION("""COMPUTED_VALUE"""),45691.0)</f>
        <v>45691</v>
      </c>
      <c r="CN34" s="179">
        <f>IFERROR(__xludf.DUMMYFUNCTION("""COMPUTED_VALUE"""),0.0)</f>
        <v>0</v>
      </c>
      <c r="CO34" s="180">
        <f>IFERROR(__xludf.DUMMYFUNCTION("""COMPUTED_VALUE"""),45660.0)</f>
        <v>45660</v>
      </c>
      <c r="CP34" s="179">
        <f>IFERROR(__xludf.DUMMYFUNCTION("""COMPUTED_VALUE"""),0.0)</f>
        <v>0</v>
      </c>
      <c r="CQ34" s="180">
        <f>IFERROR(__xludf.DUMMYFUNCTION("""COMPUTED_VALUE"""),45839.0)</f>
        <v>45839</v>
      </c>
      <c r="CR34" s="179">
        <f>IFERROR(__xludf.DUMMYFUNCTION("""COMPUTED_VALUE"""),0.0)</f>
        <v>0</v>
      </c>
      <c r="CS34" s="180">
        <f>IFERROR(__xludf.DUMMYFUNCTION("""COMPUTED_VALUE"""),45660.0)</f>
        <v>45660</v>
      </c>
      <c r="CT34" s="179">
        <f>IFERROR(__xludf.DUMMYFUNCTION("""COMPUTED_VALUE"""),0.0)</f>
        <v>0</v>
      </c>
      <c r="CU34" s="180">
        <f>IFERROR(__xludf.DUMMYFUNCTION("""COMPUTED_VALUE"""),45719.0)</f>
        <v>45719</v>
      </c>
      <c r="CV34" s="179">
        <f>IFERROR(__xludf.DUMMYFUNCTION("""COMPUTED_VALUE"""),0.0)</f>
        <v>0</v>
      </c>
      <c r="CW34" s="180">
        <f>IFERROR(__xludf.DUMMYFUNCTION("""COMPUTED_VALUE"""),45718.0)</f>
        <v>45718</v>
      </c>
      <c r="CX34" s="179">
        <f>IFERROR(__xludf.DUMMYFUNCTION("""COMPUTED_VALUE"""),0.0)</f>
        <v>0</v>
      </c>
      <c r="CY34" s="182">
        <f>IFERROR(__xludf.DUMMYFUNCTION("""COMPUTED_VALUE"""),45691.0)</f>
        <v>45691</v>
      </c>
      <c r="CZ34" s="179">
        <f>IFERROR(__xludf.DUMMYFUNCTION("""COMPUTED_VALUE"""),0.0)</f>
        <v>0</v>
      </c>
      <c r="DA34" s="180">
        <f>IFERROR(__xludf.DUMMYFUNCTION("""COMPUTED_VALUE"""),45691.0)</f>
        <v>45691</v>
      </c>
      <c r="DB34" s="179">
        <f>IFERROR(__xludf.DUMMYFUNCTION("""COMPUTED_VALUE"""),0.0)</f>
        <v>0</v>
      </c>
      <c r="DC34" s="180">
        <f>IFERROR(__xludf.DUMMYFUNCTION("""COMPUTED_VALUE"""),45902.0)</f>
        <v>45902</v>
      </c>
      <c r="DD34" s="179">
        <f>IFERROR(__xludf.DUMMYFUNCTION("""COMPUTED_VALUE"""),0.0)</f>
        <v>0</v>
      </c>
      <c r="DE34" s="180">
        <f>IFERROR(__xludf.DUMMYFUNCTION("""COMPUTED_VALUE"""),45932.0)</f>
        <v>45932</v>
      </c>
      <c r="DF34" s="179">
        <f>IFERROR(__xludf.DUMMYFUNCTION("""COMPUTED_VALUE"""),0.0)</f>
        <v>0</v>
      </c>
      <c r="DG34" s="180">
        <f>IFERROR(__xludf.DUMMYFUNCTION("""COMPUTED_VALUE"""),45719.0)</f>
        <v>45719</v>
      </c>
      <c r="DH34" s="179">
        <f>IFERROR(__xludf.DUMMYFUNCTION("""COMPUTED_VALUE"""),0.0)</f>
        <v>0</v>
      </c>
      <c r="DI34" s="180">
        <f>IFERROR(__xludf.DUMMYFUNCTION("""COMPUTED_VALUE"""),45719.0)</f>
        <v>45719</v>
      </c>
      <c r="DJ34" s="179">
        <f>IFERROR(__xludf.DUMMYFUNCTION("""COMPUTED_VALUE"""),0.0)</f>
        <v>0</v>
      </c>
      <c r="DK34" s="180">
        <f>IFERROR(__xludf.DUMMYFUNCTION("""COMPUTED_VALUE"""),45660.0)</f>
        <v>45660</v>
      </c>
      <c r="DL34" s="179">
        <f>IFERROR(__xludf.DUMMYFUNCTION("""COMPUTED_VALUE"""),0.0)</f>
        <v>0</v>
      </c>
      <c r="DM34" s="180">
        <f>IFERROR(__xludf.DUMMYFUNCTION("""COMPUTED_VALUE"""),45660.0)</f>
        <v>45660</v>
      </c>
      <c r="DN34" s="179">
        <f>IFERROR(__xludf.DUMMYFUNCTION("""COMPUTED_VALUE"""),0.0)</f>
        <v>0</v>
      </c>
      <c r="DO34" s="180">
        <f>IFERROR(__xludf.DUMMYFUNCTION("""COMPUTED_VALUE"""),45660.0)</f>
        <v>45660</v>
      </c>
      <c r="DP34" s="179">
        <f>IFERROR(__xludf.DUMMYFUNCTION("""COMPUTED_VALUE"""),0.0)</f>
        <v>0</v>
      </c>
      <c r="DQ34" s="180">
        <f>IFERROR(__xludf.DUMMYFUNCTION("""COMPUTED_VALUE"""),45840.0)</f>
        <v>45840</v>
      </c>
      <c r="DR34" s="179">
        <f>IFERROR(__xludf.DUMMYFUNCTION("""COMPUTED_VALUE"""),0.0)</f>
        <v>0</v>
      </c>
      <c r="DS34" s="182">
        <f>IFERROR(__xludf.DUMMYFUNCTION("""COMPUTED_VALUE"""),45691.0)</f>
        <v>45691</v>
      </c>
      <c r="DT34" s="179">
        <f>IFERROR(__xludf.DUMMYFUNCTION("""COMPUTED_VALUE"""),0.0)</f>
        <v>0</v>
      </c>
      <c r="DU34" s="180">
        <f>IFERROR(__xludf.DUMMYFUNCTION("""COMPUTED_VALUE"""),45660.0)</f>
        <v>45660</v>
      </c>
      <c r="DV34" s="179">
        <f>IFERROR(__xludf.DUMMYFUNCTION("""COMPUTED_VALUE"""),0.0)</f>
        <v>0</v>
      </c>
      <c r="DW34" s="180">
        <f>IFERROR(__xludf.DUMMYFUNCTION("""COMPUTED_VALUE"""),45660.0)</f>
        <v>45660</v>
      </c>
      <c r="DX34" s="179">
        <f>IFERROR(__xludf.DUMMYFUNCTION("""COMPUTED_VALUE"""),0.0)</f>
        <v>0</v>
      </c>
      <c r="DY34" s="180">
        <f>IFERROR(__xludf.DUMMYFUNCTION("""COMPUTED_VALUE"""),45691.0)</f>
        <v>45691</v>
      </c>
      <c r="DZ34" s="179">
        <f>IFERROR(__xludf.DUMMYFUNCTION("""COMPUTED_VALUE"""),0.0)</f>
        <v>0</v>
      </c>
      <c r="EA34" s="180">
        <f>IFERROR(__xludf.DUMMYFUNCTION("""COMPUTED_VALUE"""),45719.0)</f>
        <v>45719</v>
      </c>
      <c r="EB34" s="179">
        <f>IFERROR(__xludf.DUMMYFUNCTION("""COMPUTED_VALUE"""),0.0)</f>
        <v>0</v>
      </c>
      <c r="EC34" s="180">
        <f>IFERROR(__xludf.DUMMYFUNCTION("""COMPUTED_VALUE"""),45691.0)</f>
        <v>45691</v>
      </c>
      <c r="ED34" s="179">
        <f>IFERROR(__xludf.DUMMYFUNCTION("""COMPUTED_VALUE"""),0.0)</f>
        <v>0</v>
      </c>
      <c r="EE34" s="180">
        <f>IFERROR(__xludf.DUMMYFUNCTION("""COMPUTED_VALUE"""),45902.0)</f>
        <v>45902</v>
      </c>
      <c r="EF34" s="179">
        <f>IFERROR(__xludf.DUMMYFUNCTION("""COMPUTED_VALUE"""),0.0)</f>
        <v>0</v>
      </c>
      <c r="EG34" s="180">
        <f>IFERROR(__xludf.DUMMYFUNCTION("""COMPUTED_VALUE"""),45691.0)</f>
        <v>45691</v>
      </c>
      <c r="EH34" s="179">
        <f>IFERROR(__xludf.DUMMYFUNCTION("""COMPUTED_VALUE"""),0.0)</f>
        <v>0</v>
      </c>
      <c r="EI34" s="180">
        <f>IFERROR(__xludf.DUMMYFUNCTION("""COMPUTED_VALUE"""),45691.0)</f>
        <v>45691</v>
      </c>
      <c r="EJ34" s="179">
        <f>IFERROR(__xludf.DUMMYFUNCTION("""COMPUTED_VALUE"""),0.0)</f>
        <v>0</v>
      </c>
      <c r="EK34" s="180">
        <f>IFERROR(__xludf.DUMMYFUNCTION("""COMPUTED_VALUE"""),45932.0)</f>
        <v>45932</v>
      </c>
      <c r="EL34" s="179">
        <f>IFERROR(__xludf.DUMMYFUNCTION("""COMPUTED_VALUE"""),0.0)</f>
        <v>0</v>
      </c>
      <c r="EM34" s="182">
        <f>IFERROR(__xludf.DUMMYFUNCTION("""COMPUTED_VALUE"""),45902.0)</f>
        <v>45902</v>
      </c>
      <c r="EN34" s="179">
        <f>IFERROR(__xludf.DUMMYFUNCTION("""COMPUTED_VALUE"""),0.0)</f>
        <v>0</v>
      </c>
      <c r="EO34" s="180">
        <f>IFERROR(__xludf.DUMMYFUNCTION("""COMPUTED_VALUE"""),45691.0)</f>
        <v>45691</v>
      </c>
      <c r="EP34" s="179">
        <f>IFERROR(__xludf.DUMMYFUNCTION("""COMPUTED_VALUE"""),0.0)</f>
        <v>0</v>
      </c>
      <c r="EQ34" s="180">
        <f>IFERROR(__xludf.DUMMYFUNCTION("""COMPUTED_VALUE"""),45691.0)</f>
        <v>45691</v>
      </c>
      <c r="ER34" s="179">
        <f>IFERROR(__xludf.DUMMYFUNCTION("""COMPUTED_VALUE"""),0.0)</f>
        <v>0</v>
      </c>
      <c r="ES34" s="180">
        <f>IFERROR(__xludf.DUMMYFUNCTION("""COMPUTED_VALUE"""),45719.0)</f>
        <v>45719</v>
      </c>
      <c r="ET34" s="179">
        <f>IFERROR(__xludf.DUMMYFUNCTION("""COMPUTED_VALUE"""),0.0)</f>
        <v>0</v>
      </c>
      <c r="EU34" s="180">
        <f>IFERROR(__xludf.DUMMYFUNCTION("""COMPUTED_VALUE"""),45691.0)</f>
        <v>45691</v>
      </c>
      <c r="EV34" s="179">
        <f>IFERROR(__xludf.DUMMYFUNCTION("""COMPUTED_VALUE"""),0.0)</f>
        <v>0</v>
      </c>
      <c r="EW34" s="180">
        <f>IFERROR(__xludf.DUMMYFUNCTION("""COMPUTED_VALUE"""),45719.0)</f>
        <v>45719</v>
      </c>
      <c r="EX34" s="179">
        <f>IFERROR(__xludf.DUMMYFUNCTION("""COMPUTED_VALUE"""),0.0)</f>
        <v>0</v>
      </c>
      <c r="EY34" s="180">
        <f>IFERROR(__xludf.DUMMYFUNCTION("""COMPUTED_VALUE"""),45719.0)</f>
        <v>45719</v>
      </c>
      <c r="EZ34" s="179">
        <f>IFERROR(__xludf.DUMMYFUNCTION("""COMPUTED_VALUE"""),0.0)</f>
        <v>0</v>
      </c>
      <c r="FA34" s="180">
        <f>IFERROR(__xludf.DUMMYFUNCTION("""COMPUTED_VALUE"""),45691.0)</f>
        <v>45691</v>
      </c>
      <c r="FB34" s="179">
        <f>IFERROR(__xludf.DUMMYFUNCTION("""COMPUTED_VALUE"""),0.0)</f>
        <v>0</v>
      </c>
      <c r="FC34" s="180">
        <f>IFERROR(__xludf.DUMMYFUNCTION("""COMPUTED_VALUE"""),45719.0)</f>
        <v>45719</v>
      </c>
      <c r="FD34" s="179">
        <f>IFERROR(__xludf.DUMMYFUNCTION("""COMPUTED_VALUE"""),0.0)</f>
        <v>0</v>
      </c>
      <c r="FE34" s="180">
        <f>IFERROR(__xludf.DUMMYFUNCTION("""COMPUTED_VALUE"""),45902.0)</f>
        <v>45902</v>
      </c>
      <c r="FF34" s="179">
        <f>IFERROR(__xludf.DUMMYFUNCTION("""COMPUTED_VALUE"""),0.0)</f>
        <v>0</v>
      </c>
      <c r="FG34" s="182">
        <f>IFERROR(__xludf.DUMMYFUNCTION("""COMPUTED_VALUE"""),45902.0)</f>
        <v>45902</v>
      </c>
      <c r="FH34" s="179">
        <f>IFERROR(__xludf.DUMMYFUNCTION("""COMPUTED_VALUE"""),0.0)</f>
        <v>0</v>
      </c>
      <c r="FI34" s="180">
        <f>IFERROR(__xludf.DUMMYFUNCTION("""COMPUTED_VALUE"""),45902.0)</f>
        <v>45902</v>
      </c>
      <c r="FJ34" s="179">
        <f>IFERROR(__xludf.DUMMYFUNCTION("""COMPUTED_VALUE"""),0.0)</f>
        <v>0</v>
      </c>
      <c r="FK34" s="180">
        <f>IFERROR(__xludf.DUMMYFUNCTION("""COMPUTED_VALUE"""),45779.0)</f>
        <v>45779</v>
      </c>
      <c r="FL34" s="179">
        <f>IFERROR(__xludf.DUMMYFUNCTION("""COMPUTED_VALUE"""),0.0)</f>
        <v>0</v>
      </c>
      <c r="FM34" s="180">
        <f>IFERROR(__xludf.DUMMYFUNCTION("""COMPUTED_VALUE"""),45719.0)</f>
        <v>45719</v>
      </c>
      <c r="FN34" s="179">
        <f>IFERROR(__xludf.DUMMYFUNCTION("""COMPUTED_VALUE"""),0.0)</f>
        <v>0</v>
      </c>
      <c r="FO34" s="180">
        <f>IFERROR(__xludf.DUMMYFUNCTION("""COMPUTED_VALUE"""),45719.0)</f>
        <v>45719</v>
      </c>
      <c r="FP34" s="179">
        <f>IFERROR(__xludf.DUMMYFUNCTION("""COMPUTED_VALUE"""),0.0)</f>
        <v>0</v>
      </c>
      <c r="FQ34" s="180">
        <f>IFERROR(__xludf.DUMMYFUNCTION("""COMPUTED_VALUE"""),45719.0)</f>
        <v>45719</v>
      </c>
      <c r="FR34" s="179">
        <f>IFERROR(__xludf.DUMMYFUNCTION("""COMPUTED_VALUE"""),0.0)</f>
        <v>0</v>
      </c>
      <c r="FS34" s="180">
        <f>IFERROR(__xludf.DUMMYFUNCTION("""COMPUTED_VALUE"""),45810.0)</f>
        <v>45810</v>
      </c>
      <c r="FT34" s="179">
        <f>IFERROR(__xludf.DUMMYFUNCTION("""COMPUTED_VALUE"""),0.0)</f>
        <v>0</v>
      </c>
      <c r="FU34" s="180">
        <f>IFERROR(__xludf.DUMMYFUNCTION("""COMPUTED_VALUE"""),45719.0)</f>
        <v>45719</v>
      </c>
      <c r="FV34" s="179">
        <f>IFERROR(__xludf.DUMMYFUNCTION("""COMPUTED_VALUE"""),0.0)</f>
        <v>0</v>
      </c>
      <c r="FW34" s="180">
        <f>IFERROR(__xludf.DUMMYFUNCTION("""COMPUTED_VALUE"""),45719.0)</f>
        <v>45719</v>
      </c>
      <c r="FX34" s="179">
        <f>IFERROR(__xludf.DUMMYFUNCTION("""COMPUTED_VALUE"""),0.0)</f>
        <v>0</v>
      </c>
      <c r="FY34" s="180">
        <f>IFERROR(__xludf.DUMMYFUNCTION("""COMPUTED_VALUE"""),45779.0)</f>
        <v>45779</v>
      </c>
      <c r="FZ34" s="179">
        <f>IFERROR(__xludf.DUMMYFUNCTION("""COMPUTED_VALUE"""),0.0)</f>
        <v>0</v>
      </c>
      <c r="GA34" s="182">
        <f>IFERROR(__xludf.DUMMYFUNCTION("""COMPUTED_VALUE"""),45719.0)</f>
        <v>45719</v>
      </c>
      <c r="GB34" s="179">
        <f>IFERROR(__xludf.DUMMYFUNCTION("""COMPUTED_VALUE"""),0.0)</f>
        <v>0</v>
      </c>
      <c r="GC34" s="180">
        <f>IFERROR(__xludf.DUMMYFUNCTION("""COMPUTED_VALUE"""),45932.0)</f>
        <v>45932</v>
      </c>
      <c r="GD34" s="179">
        <f>IFERROR(__xludf.DUMMYFUNCTION("""COMPUTED_VALUE"""),0.0)</f>
        <v>0</v>
      </c>
      <c r="GE34" s="180">
        <f>IFERROR(__xludf.DUMMYFUNCTION("""COMPUTED_VALUE"""),45932.0)</f>
        <v>45932</v>
      </c>
      <c r="GF34" s="179">
        <f>IFERROR(__xludf.DUMMYFUNCTION("""COMPUTED_VALUE"""),0.0)</f>
        <v>0</v>
      </c>
      <c r="GG34" s="180">
        <f>IFERROR(__xludf.DUMMYFUNCTION("""COMPUTED_VALUE"""),45660.0)</f>
        <v>45660</v>
      </c>
      <c r="GH34" s="179">
        <f>IFERROR(__xludf.DUMMYFUNCTION("""COMPUTED_VALUE"""),0.0)</f>
        <v>0</v>
      </c>
      <c r="GI34" s="180">
        <f>IFERROR(__xludf.DUMMYFUNCTION("""COMPUTED_VALUE"""),45719.0)</f>
        <v>45719</v>
      </c>
      <c r="GJ34" s="179">
        <f>IFERROR(__xludf.DUMMYFUNCTION("""COMPUTED_VALUE"""),0.0)</f>
        <v>0</v>
      </c>
      <c r="GK34" s="180">
        <f>IFERROR(__xludf.DUMMYFUNCTION("""COMPUTED_VALUE"""),45719.0)</f>
        <v>45719</v>
      </c>
      <c r="GL34" s="179">
        <f>IFERROR(__xludf.DUMMYFUNCTION("""COMPUTED_VALUE"""),0.0)</f>
        <v>0</v>
      </c>
      <c r="GM34" s="180">
        <f>IFERROR(__xludf.DUMMYFUNCTION("""COMPUTED_VALUE"""),45840.0)</f>
        <v>45840</v>
      </c>
      <c r="GN34" s="179">
        <f>IFERROR(__xludf.DUMMYFUNCTION("""COMPUTED_VALUE"""),0.0)</f>
        <v>0</v>
      </c>
      <c r="GO34" s="180">
        <f>IFERROR(__xludf.DUMMYFUNCTION("""COMPUTED_VALUE"""),45719.0)</f>
        <v>45719</v>
      </c>
      <c r="GP34" s="179">
        <f>IFERROR(__xludf.DUMMYFUNCTION("""COMPUTED_VALUE"""),0.0)</f>
        <v>0</v>
      </c>
      <c r="GQ34" s="180">
        <f>IFERROR(__xludf.DUMMYFUNCTION("""COMPUTED_VALUE"""),45871.0)</f>
        <v>45871</v>
      </c>
      <c r="GR34" s="179">
        <f>IFERROR(__xludf.DUMMYFUNCTION("""COMPUTED_VALUE"""),0.0)</f>
        <v>0</v>
      </c>
      <c r="GS34" s="180">
        <f>IFERROR(__xludf.DUMMYFUNCTION("""COMPUTED_VALUE"""),45810.0)</f>
        <v>45810</v>
      </c>
      <c r="GT34" s="179">
        <f>IFERROR(__xludf.DUMMYFUNCTION("""COMPUTED_VALUE"""),0.0)</f>
        <v>0</v>
      </c>
    </row>
    <row r="35" ht="31.5" customHeight="1">
      <c r="B35" s="183"/>
      <c r="C35" s="178">
        <f>IFERROR(__xludf.DUMMYFUNCTION("""COMPUTED_VALUE"""),45903.0)</f>
        <v>45903</v>
      </c>
      <c r="D35" s="179">
        <f>IFERROR(__xludf.DUMMYFUNCTION("""COMPUTED_VALUE"""),0.0)</f>
        <v>0</v>
      </c>
      <c r="E35" s="180">
        <f>IFERROR(__xludf.DUMMYFUNCTION("""COMPUTED_VALUE"""),45933.0)</f>
        <v>45933</v>
      </c>
      <c r="F35" s="179">
        <f>IFERROR(__xludf.DUMMYFUNCTION("""COMPUTED_VALUE"""),0.0)</f>
        <v>0</v>
      </c>
      <c r="G35" s="180">
        <f>IFERROR(__xludf.DUMMYFUNCTION("""COMPUTED_VALUE"""),45933.0)</f>
        <v>45933</v>
      </c>
      <c r="H35" s="179">
        <f>IFERROR(__xludf.DUMMYFUNCTION("""COMPUTED_VALUE"""),0.0)</f>
        <v>0</v>
      </c>
      <c r="I35" s="180">
        <f>IFERROR(__xludf.DUMMYFUNCTION("""COMPUTED_VALUE"""),45692.0)</f>
        <v>45692</v>
      </c>
      <c r="J35" s="179">
        <f>IFERROR(__xludf.DUMMYFUNCTION("""COMPUTED_VALUE"""),0.0)</f>
        <v>0</v>
      </c>
      <c r="K35" s="180">
        <f>IFERROR(__xludf.DUMMYFUNCTION("""COMPUTED_VALUE"""),45841.0)</f>
        <v>45841</v>
      </c>
      <c r="L35" s="179">
        <f>IFERROR(__xludf.DUMMYFUNCTION("""COMPUTED_VALUE"""),0.0)</f>
        <v>0</v>
      </c>
      <c r="M35" s="180">
        <f>IFERROR(__xludf.DUMMYFUNCTION("""COMPUTED_VALUE"""),45903.0)</f>
        <v>45903</v>
      </c>
      <c r="N35" s="179">
        <f>IFERROR(__xludf.DUMMYFUNCTION("""COMPUTED_VALUE"""),0.0)</f>
        <v>0</v>
      </c>
      <c r="O35" s="180">
        <f>IFERROR(__xludf.DUMMYFUNCTION("""COMPUTED_VALUE"""),45750.0)</f>
        <v>45750</v>
      </c>
      <c r="P35" s="179">
        <f>IFERROR(__xludf.DUMMYFUNCTION("""COMPUTED_VALUE"""),0.0)</f>
        <v>0</v>
      </c>
      <c r="Q35" s="180">
        <f>IFERROR(__xludf.DUMMYFUNCTION("""COMPUTED_VALUE"""),45780.0)</f>
        <v>45780</v>
      </c>
      <c r="R35" s="179">
        <f>IFERROR(__xludf.DUMMYFUNCTION("""COMPUTED_VALUE"""),0.0)</f>
        <v>0</v>
      </c>
      <c r="S35" s="180">
        <f>IFERROR(__xludf.DUMMYFUNCTION("""COMPUTED_VALUE"""),45661.0)</f>
        <v>45661</v>
      </c>
      <c r="T35" s="179">
        <f>IFERROR(__xludf.DUMMYFUNCTION("""COMPUTED_VALUE"""),0.0)</f>
        <v>0</v>
      </c>
      <c r="U35" s="180">
        <f>IFERROR(__xludf.DUMMYFUNCTION("""COMPUTED_VALUE"""),45750.0)</f>
        <v>45750</v>
      </c>
      <c r="V35" s="181">
        <f>IFERROR(__xludf.DUMMYFUNCTION("""COMPUTED_VALUE"""),0.0)</f>
        <v>0</v>
      </c>
      <c r="W35" s="178">
        <f>IFERROR(__xludf.DUMMYFUNCTION("""COMPUTED_VALUE"""),45692.0)</f>
        <v>45692</v>
      </c>
      <c r="X35" s="179">
        <f>IFERROR(__xludf.DUMMYFUNCTION("""COMPUTED_VALUE"""),0.0)</f>
        <v>0</v>
      </c>
      <c r="Y35" s="180">
        <f>IFERROR(__xludf.DUMMYFUNCTION("""COMPUTED_VALUE"""),45811.0)</f>
        <v>45811</v>
      </c>
      <c r="Z35" s="179">
        <f>IFERROR(__xludf.DUMMYFUNCTION("""COMPUTED_VALUE"""),0.0)</f>
        <v>0</v>
      </c>
      <c r="AA35" s="180">
        <f>IFERROR(__xludf.DUMMYFUNCTION("""COMPUTED_VALUE"""),45661.0)</f>
        <v>45661</v>
      </c>
      <c r="AB35" s="179">
        <f>IFERROR(__xludf.DUMMYFUNCTION("""COMPUTED_VALUE"""),0.0)</f>
        <v>0</v>
      </c>
      <c r="AC35" s="180">
        <f>IFERROR(__xludf.DUMMYFUNCTION("""COMPUTED_VALUE"""),45750.0)</f>
        <v>45750</v>
      </c>
      <c r="AD35" s="179">
        <f>IFERROR(__xludf.DUMMYFUNCTION("""COMPUTED_VALUE"""),0.0)</f>
        <v>0</v>
      </c>
      <c r="AE35" s="180">
        <f>IFERROR(__xludf.DUMMYFUNCTION("""COMPUTED_VALUE"""),45750.0)</f>
        <v>45750</v>
      </c>
      <c r="AF35" s="179">
        <f>IFERROR(__xludf.DUMMYFUNCTION("""COMPUTED_VALUE"""),0.0)</f>
        <v>0</v>
      </c>
      <c r="AG35" s="180">
        <f>IFERROR(__xludf.DUMMYFUNCTION("""COMPUTED_VALUE"""),45692.0)</f>
        <v>45692</v>
      </c>
      <c r="AH35" s="179">
        <f>IFERROR(__xludf.DUMMYFUNCTION("""COMPUTED_VALUE"""),0.0)</f>
        <v>0</v>
      </c>
      <c r="AI35" s="180">
        <f>IFERROR(__xludf.DUMMYFUNCTION("""COMPUTED_VALUE"""),45750.0)</f>
        <v>45750</v>
      </c>
      <c r="AJ35" s="179">
        <f>IFERROR(__xludf.DUMMYFUNCTION("""COMPUTED_VALUE"""),0.0)</f>
        <v>0</v>
      </c>
      <c r="AK35" s="180">
        <f>IFERROR(__xludf.DUMMYFUNCTION("""COMPUTED_VALUE"""),45933.0)</f>
        <v>45933</v>
      </c>
      <c r="AL35" s="179">
        <f>IFERROR(__xludf.DUMMYFUNCTION("""COMPUTED_VALUE"""),0.0)</f>
        <v>0</v>
      </c>
      <c r="AM35" s="180">
        <f>IFERROR(__xludf.DUMMYFUNCTION("""COMPUTED_VALUE"""),45692.0)</f>
        <v>45692</v>
      </c>
      <c r="AN35" s="179">
        <f>IFERROR(__xludf.DUMMYFUNCTION("""COMPUTED_VALUE"""),0.0)</f>
        <v>0</v>
      </c>
      <c r="AO35" s="180">
        <f>IFERROR(__xludf.DUMMYFUNCTION("""COMPUTED_VALUE"""),45841.0)</f>
        <v>45841</v>
      </c>
      <c r="AP35" s="181">
        <f>IFERROR(__xludf.DUMMYFUNCTION("""COMPUTED_VALUE"""),0.0)</f>
        <v>0</v>
      </c>
      <c r="AQ35" s="178">
        <f>IFERROR(__xludf.DUMMYFUNCTION("""COMPUTED_VALUE"""),45720.0)</f>
        <v>45720</v>
      </c>
      <c r="AR35" s="179">
        <f>IFERROR(__xludf.DUMMYFUNCTION("""COMPUTED_VALUE"""),0.0)</f>
        <v>0</v>
      </c>
      <c r="AS35" s="180">
        <f>IFERROR(__xludf.DUMMYFUNCTION("""COMPUTED_VALUE"""),45661.0)</f>
        <v>45661</v>
      </c>
      <c r="AT35" s="179">
        <f>IFERROR(__xludf.DUMMYFUNCTION("""COMPUTED_VALUE"""),0.0)</f>
        <v>0</v>
      </c>
      <c r="AU35" s="180">
        <f>IFERROR(__xludf.DUMMYFUNCTION("""COMPUTED_VALUE"""),45719.0)</f>
        <v>45719</v>
      </c>
      <c r="AV35" s="179">
        <f>IFERROR(__xludf.DUMMYFUNCTION("""COMPUTED_VALUE"""),0.0)</f>
        <v>0</v>
      </c>
      <c r="AW35" s="180">
        <f>IFERROR(__xludf.DUMMYFUNCTION("""COMPUTED_VALUE"""),45750.0)</f>
        <v>45750</v>
      </c>
      <c r="AX35" s="179">
        <f>IFERROR(__xludf.DUMMYFUNCTION("""COMPUTED_VALUE"""),0.0)</f>
        <v>0</v>
      </c>
      <c r="AY35" s="180">
        <f>IFERROR(__xludf.DUMMYFUNCTION("""COMPUTED_VALUE"""),45720.0)</f>
        <v>45720</v>
      </c>
      <c r="AZ35" s="179">
        <f>IFERROR(__xludf.DUMMYFUNCTION("""COMPUTED_VALUE"""),0.0)</f>
        <v>0</v>
      </c>
      <c r="BA35" s="180">
        <f>IFERROR(__xludf.DUMMYFUNCTION("""COMPUTED_VALUE"""),45720.0)</f>
        <v>45720</v>
      </c>
      <c r="BB35" s="179">
        <f>IFERROR(__xludf.DUMMYFUNCTION("""COMPUTED_VALUE"""),0.0)</f>
        <v>0</v>
      </c>
      <c r="BC35" s="180">
        <f>IFERROR(__xludf.DUMMYFUNCTION("""COMPUTED_VALUE"""),45932.0)</f>
        <v>45932</v>
      </c>
      <c r="BD35" s="179">
        <f>IFERROR(__xludf.DUMMYFUNCTION("""COMPUTED_VALUE"""),0.0)</f>
        <v>0</v>
      </c>
      <c r="BE35" s="180">
        <f>IFERROR(__xludf.DUMMYFUNCTION("""COMPUTED_VALUE"""),45720.0)</f>
        <v>45720</v>
      </c>
      <c r="BF35" s="179">
        <f>IFERROR(__xludf.DUMMYFUNCTION("""COMPUTED_VALUE"""),0.0)</f>
        <v>0</v>
      </c>
      <c r="BG35" s="180">
        <f>IFERROR(__xludf.DUMMYFUNCTION("""COMPUTED_VALUE"""),45903.0)</f>
        <v>45903</v>
      </c>
      <c r="BH35" s="179">
        <f>IFERROR(__xludf.DUMMYFUNCTION("""COMPUTED_VALUE"""),0.0)</f>
        <v>0</v>
      </c>
      <c r="BI35" s="180">
        <f>IFERROR(__xludf.DUMMYFUNCTION("""COMPUTED_VALUE"""),45661.0)</f>
        <v>45661</v>
      </c>
      <c r="BJ35" s="179">
        <f>IFERROR(__xludf.DUMMYFUNCTION("""COMPUTED_VALUE"""),0.0)</f>
        <v>0</v>
      </c>
      <c r="BK35" s="182">
        <f>IFERROR(__xludf.DUMMYFUNCTION("""COMPUTED_VALUE"""),45691.0)</f>
        <v>45691</v>
      </c>
      <c r="BL35" s="179">
        <f>IFERROR(__xludf.DUMMYFUNCTION("""COMPUTED_VALUE"""),0.0)</f>
        <v>0</v>
      </c>
      <c r="BM35" s="180">
        <f>IFERROR(__xludf.DUMMYFUNCTION("""COMPUTED_VALUE"""),45871.0)</f>
        <v>45871</v>
      </c>
      <c r="BN35" s="179">
        <f>IFERROR(__xludf.DUMMYFUNCTION("""COMPUTED_VALUE"""),0.0)</f>
        <v>0</v>
      </c>
      <c r="BO35" s="180">
        <f>IFERROR(__xludf.DUMMYFUNCTION("""COMPUTED_VALUE"""),45840.0)</f>
        <v>45840</v>
      </c>
      <c r="BP35" s="179">
        <f>IFERROR(__xludf.DUMMYFUNCTION("""COMPUTED_VALUE"""),0.0)</f>
        <v>0</v>
      </c>
      <c r="BQ35" s="180">
        <f>IFERROR(__xludf.DUMMYFUNCTION("""COMPUTED_VALUE"""),45691.0)</f>
        <v>45691</v>
      </c>
      <c r="BR35" s="179">
        <f>IFERROR(__xludf.DUMMYFUNCTION("""COMPUTED_VALUE"""),0.0)</f>
        <v>0</v>
      </c>
      <c r="BS35" s="180">
        <f>IFERROR(__xludf.DUMMYFUNCTION("""COMPUTED_VALUE"""),45750.0)</f>
        <v>45750</v>
      </c>
      <c r="BT35" s="179">
        <f>IFERROR(__xludf.DUMMYFUNCTION("""COMPUTED_VALUE"""),0.0)</f>
        <v>0</v>
      </c>
      <c r="BU35" s="180">
        <f>IFERROR(__xludf.DUMMYFUNCTION("""COMPUTED_VALUE"""),45719.0)</f>
        <v>45719</v>
      </c>
      <c r="BV35" s="179">
        <f>IFERROR(__xludf.DUMMYFUNCTION("""COMPUTED_VALUE"""),0.0)</f>
        <v>0</v>
      </c>
      <c r="BW35" s="180">
        <f>IFERROR(__xludf.DUMMYFUNCTION("""COMPUTED_VALUE"""),45871.0)</f>
        <v>45871</v>
      </c>
      <c r="BX35" s="179">
        <f>IFERROR(__xludf.DUMMYFUNCTION("""COMPUTED_VALUE"""),0.0)</f>
        <v>0</v>
      </c>
      <c r="BY35" s="180">
        <f>IFERROR(__xludf.DUMMYFUNCTION("""COMPUTED_VALUE"""),45691.0)</f>
        <v>45691</v>
      </c>
      <c r="BZ35" s="179">
        <f>IFERROR(__xludf.DUMMYFUNCTION("""COMPUTED_VALUE"""),0.0)</f>
        <v>0</v>
      </c>
      <c r="CA35" s="180">
        <f>IFERROR(__xludf.DUMMYFUNCTION("""COMPUTED_VALUE"""),45932.0)</f>
        <v>45932</v>
      </c>
      <c r="CB35" s="179">
        <f>IFERROR(__xludf.DUMMYFUNCTION("""COMPUTED_VALUE"""),0.0)</f>
        <v>0</v>
      </c>
      <c r="CC35" s="180">
        <f>IFERROR(__xludf.DUMMYFUNCTION("""COMPUTED_VALUE"""),45660.0)</f>
        <v>45660</v>
      </c>
      <c r="CD35" s="179">
        <f>IFERROR(__xludf.DUMMYFUNCTION("""COMPUTED_VALUE"""),0.0)</f>
        <v>0</v>
      </c>
      <c r="CE35" s="182">
        <f>IFERROR(__xludf.DUMMYFUNCTION("""COMPUTED_VALUE"""),45750.0)</f>
        <v>45750</v>
      </c>
      <c r="CF35" s="179">
        <f>IFERROR(__xludf.DUMMYFUNCTION("""COMPUTED_VALUE"""),0.0)</f>
        <v>0</v>
      </c>
      <c r="CG35" s="180">
        <f>IFERROR(__xludf.DUMMYFUNCTION("""COMPUTED_VALUE"""),45871.0)</f>
        <v>45871</v>
      </c>
      <c r="CH35" s="179">
        <f>IFERROR(__xludf.DUMMYFUNCTION("""COMPUTED_VALUE"""),0.0)</f>
        <v>0</v>
      </c>
      <c r="CI35" s="180">
        <f>IFERROR(__xludf.DUMMYFUNCTION("""COMPUTED_VALUE"""),45902.0)</f>
        <v>45902</v>
      </c>
      <c r="CJ35" s="179">
        <f>IFERROR(__xludf.DUMMYFUNCTION("""COMPUTED_VALUE"""),0.0)</f>
        <v>0</v>
      </c>
      <c r="CK35" s="180">
        <f>IFERROR(__xludf.DUMMYFUNCTION("""COMPUTED_VALUE"""),45932.0)</f>
        <v>45932</v>
      </c>
      <c r="CL35" s="179">
        <f>IFERROR(__xludf.DUMMYFUNCTION("""COMPUTED_VALUE"""),0.0)</f>
        <v>0</v>
      </c>
      <c r="CM35" s="180">
        <f>IFERROR(__xludf.DUMMYFUNCTION("""COMPUTED_VALUE"""),45719.0)</f>
        <v>45719</v>
      </c>
      <c r="CN35" s="179">
        <f>IFERROR(__xludf.DUMMYFUNCTION("""COMPUTED_VALUE"""),0.0)</f>
        <v>0</v>
      </c>
      <c r="CO35" s="180">
        <f>IFERROR(__xludf.DUMMYFUNCTION("""COMPUTED_VALUE"""),45691.0)</f>
        <v>45691</v>
      </c>
      <c r="CP35" s="179">
        <f>IFERROR(__xludf.DUMMYFUNCTION("""COMPUTED_VALUE"""),0.0)</f>
        <v>0</v>
      </c>
      <c r="CQ35" s="180">
        <f>IFERROR(__xludf.DUMMYFUNCTION("""COMPUTED_VALUE"""),45901.0)</f>
        <v>45901</v>
      </c>
      <c r="CR35" s="179">
        <f>IFERROR(__xludf.DUMMYFUNCTION("""COMPUTED_VALUE"""),0.0)</f>
        <v>0</v>
      </c>
      <c r="CS35" s="180">
        <f>IFERROR(__xludf.DUMMYFUNCTION("""COMPUTED_VALUE"""),45691.0)</f>
        <v>45691</v>
      </c>
      <c r="CT35" s="179">
        <f>IFERROR(__xludf.DUMMYFUNCTION("""COMPUTED_VALUE"""),0.0)</f>
        <v>0</v>
      </c>
      <c r="CU35" s="180">
        <f>IFERROR(__xludf.DUMMYFUNCTION("""COMPUTED_VALUE"""),45750.0)</f>
        <v>45750</v>
      </c>
      <c r="CV35" s="179">
        <f>IFERROR(__xludf.DUMMYFUNCTION("""COMPUTED_VALUE"""),0.0)</f>
        <v>0</v>
      </c>
      <c r="CW35" s="180">
        <f>IFERROR(__xludf.DUMMYFUNCTION("""COMPUTED_VALUE"""),45749.0)</f>
        <v>45749</v>
      </c>
      <c r="CX35" s="179">
        <f>IFERROR(__xludf.DUMMYFUNCTION("""COMPUTED_VALUE"""),0.0)</f>
        <v>0</v>
      </c>
      <c r="CY35" s="182">
        <f>IFERROR(__xludf.DUMMYFUNCTION("""COMPUTED_VALUE"""),45719.0)</f>
        <v>45719</v>
      </c>
      <c r="CZ35" s="179">
        <f>IFERROR(__xludf.DUMMYFUNCTION("""COMPUTED_VALUE"""),0.0)</f>
        <v>0</v>
      </c>
      <c r="DA35" s="180">
        <f>IFERROR(__xludf.DUMMYFUNCTION("""COMPUTED_VALUE"""),45719.0)</f>
        <v>45719</v>
      </c>
      <c r="DB35" s="179">
        <f>IFERROR(__xludf.DUMMYFUNCTION("""COMPUTED_VALUE"""),0.0)</f>
        <v>0</v>
      </c>
      <c r="DC35" s="180">
        <f>IFERROR(__xludf.DUMMYFUNCTION("""COMPUTED_VALUE"""),45932.0)</f>
        <v>45932</v>
      </c>
      <c r="DD35" s="179">
        <f>IFERROR(__xludf.DUMMYFUNCTION("""COMPUTED_VALUE"""),0.0)</f>
        <v>0</v>
      </c>
      <c r="DE35" s="180">
        <f>IFERROR(__xludf.DUMMYFUNCTION("""COMPUTED_VALUE"""),45660.0)</f>
        <v>45660</v>
      </c>
      <c r="DF35" s="179">
        <f>IFERROR(__xludf.DUMMYFUNCTION("""COMPUTED_VALUE"""),0.0)</f>
        <v>0</v>
      </c>
      <c r="DG35" s="180">
        <f>IFERROR(__xludf.DUMMYFUNCTION("""COMPUTED_VALUE"""),45750.0)</f>
        <v>45750</v>
      </c>
      <c r="DH35" s="179">
        <f>IFERROR(__xludf.DUMMYFUNCTION("""COMPUTED_VALUE"""),0.0)</f>
        <v>0</v>
      </c>
      <c r="DI35" s="180">
        <f>IFERROR(__xludf.DUMMYFUNCTION("""COMPUTED_VALUE"""),45750.0)</f>
        <v>45750</v>
      </c>
      <c r="DJ35" s="179">
        <f>IFERROR(__xludf.DUMMYFUNCTION("""COMPUTED_VALUE"""),0.0)</f>
        <v>0</v>
      </c>
      <c r="DK35" s="180">
        <f>IFERROR(__xludf.DUMMYFUNCTION("""COMPUTED_VALUE"""),45691.0)</f>
        <v>45691</v>
      </c>
      <c r="DL35" s="179">
        <f>IFERROR(__xludf.DUMMYFUNCTION("""COMPUTED_VALUE"""),0.0)</f>
        <v>0</v>
      </c>
      <c r="DM35" s="180">
        <f>IFERROR(__xludf.DUMMYFUNCTION("""COMPUTED_VALUE"""),45691.0)</f>
        <v>45691</v>
      </c>
      <c r="DN35" s="179">
        <f>IFERROR(__xludf.DUMMYFUNCTION("""COMPUTED_VALUE"""),0.0)</f>
        <v>0</v>
      </c>
      <c r="DO35" s="180">
        <f>IFERROR(__xludf.DUMMYFUNCTION("""COMPUTED_VALUE"""),45691.0)</f>
        <v>45691</v>
      </c>
      <c r="DP35" s="179">
        <f>IFERROR(__xludf.DUMMYFUNCTION("""COMPUTED_VALUE"""),0.0)</f>
        <v>0</v>
      </c>
      <c r="DQ35" s="180">
        <f>IFERROR(__xludf.DUMMYFUNCTION("""COMPUTED_VALUE"""),45871.0)</f>
        <v>45871</v>
      </c>
      <c r="DR35" s="179">
        <f>IFERROR(__xludf.DUMMYFUNCTION("""COMPUTED_VALUE"""),0.0)</f>
        <v>0</v>
      </c>
      <c r="DS35" s="182">
        <f>IFERROR(__xludf.DUMMYFUNCTION("""COMPUTED_VALUE"""),45719.0)</f>
        <v>45719</v>
      </c>
      <c r="DT35" s="179">
        <f>IFERROR(__xludf.DUMMYFUNCTION("""COMPUTED_VALUE"""),0.0)</f>
        <v>0</v>
      </c>
      <c r="DU35" s="180">
        <f>IFERROR(__xludf.DUMMYFUNCTION("""COMPUTED_VALUE"""),45691.0)</f>
        <v>45691</v>
      </c>
      <c r="DV35" s="179">
        <f>IFERROR(__xludf.DUMMYFUNCTION("""COMPUTED_VALUE"""),0.0)</f>
        <v>0</v>
      </c>
      <c r="DW35" s="180">
        <f>IFERROR(__xludf.DUMMYFUNCTION("""COMPUTED_VALUE"""),45691.0)</f>
        <v>45691</v>
      </c>
      <c r="DX35" s="179">
        <f>IFERROR(__xludf.DUMMYFUNCTION("""COMPUTED_VALUE"""),0.0)</f>
        <v>0</v>
      </c>
      <c r="DY35" s="180">
        <f>IFERROR(__xludf.DUMMYFUNCTION("""COMPUTED_VALUE"""),45719.0)</f>
        <v>45719</v>
      </c>
      <c r="DZ35" s="179">
        <f>IFERROR(__xludf.DUMMYFUNCTION("""COMPUTED_VALUE"""),0.0)</f>
        <v>0</v>
      </c>
      <c r="EA35" s="180">
        <f>IFERROR(__xludf.DUMMYFUNCTION("""COMPUTED_VALUE"""),45750.0)</f>
        <v>45750</v>
      </c>
      <c r="EB35" s="179">
        <f>IFERROR(__xludf.DUMMYFUNCTION("""COMPUTED_VALUE"""),0.0)</f>
        <v>0</v>
      </c>
      <c r="EC35" s="180">
        <f>IFERROR(__xludf.DUMMYFUNCTION("""COMPUTED_VALUE"""),45719.0)</f>
        <v>45719</v>
      </c>
      <c r="ED35" s="179">
        <f>IFERROR(__xludf.DUMMYFUNCTION("""COMPUTED_VALUE"""),0.0)</f>
        <v>0</v>
      </c>
      <c r="EE35" s="180">
        <f>IFERROR(__xludf.DUMMYFUNCTION("""COMPUTED_VALUE"""),45932.0)</f>
        <v>45932</v>
      </c>
      <c r="EF35" s="179">
        <f>IFERROR(__xludf.DUMMYFUNCTION("""COMPUTED_VALUE"""),0.0)</f>
        <v>0</v>
      </c>
      <c r="EG35" s="180">
        <f>IFERROR(__xludf.DUMMYFUNCTION("""COMPUTED_VALUE"""),45719.0)</f>
        <v>45719</v>
      </c>
      <c r="EH35" s="179">
        <f>IFERROR(__xludf.DUMMYFUNCTION("""COMPUTED_VALUE"""),0.0)</f>
        <v>0</v>
      </c>
      <c r="EI35" s="180">
        <f>IFERROR(__xludf.DUMMYFUNCTION("""COMPUTED_VALUE"""),45719.0)</f>
        <v>45719</v>
      </c>
      <c r="EJ35" s="179">
        <f>IFERROR(__xludf.DUMMYFUNCTION("""COMPUTED_VALUE"""),0.0)</f>
        <v>0</v>
      </c>
      <c r="EK35" s="180">
        <f>IFERROR(__xludf.DUMMYFUNCTION("""COMPUTED_VALUE"""),45660.0)</f>
        <v>45660</v>
      </c>
      <c r="EL35" s="179">
        <f>IFERROR(__xludf.DUMMYFUNCTION("""COMPUTED_VALUE"""),0.0)</f>
        <v>0</v>
      </c>
      <c r="EM35" s="182">
        <f>IFERROR(__xludf.DUMMYFUNCTION("""COMPUTED_VALUE"""),45932.0)</f>
        <v>45932</v>
      </c>
      <c r="EN35" s="179">
        <f>IFERROR(__xludf.DUMMYFUNCTION("""COMPUTED_VALUE"""),0.0)</f>
        <v>0</v>
      </c>
      <c r="EO35" s="180">
        <f>IFERROR(__xludf.DUMMYFUNCTION("""COMPUTED_VALUE"""),45719.0)</f>
        <v>45719</v>
      </c>
      <c r="EP35" s="179">
        <f>IFERROR(__xludf.DUMMYFUNCTION("""COMPUTED_VALUE"""),0.0)</f>
        <v>0</v>
      </c>
      <c r="EQ35" s="180">
        <f>IFERROR(__xludf.DUMMYFUNCTION("""COMPUTED_VALUE"""),45719.0)</f>
        <v>45719</v>
      </c>
      <c r="ER35" s="179">
        <f>IFERROR(__xludf.DUMMYFUNCTION("""COMPUTED_VALUE"""),0.0)</f>
        <v>0</v>
      </c>
      <c r="ES35" s="180">
        <f>IFERROR(__xludf.DUMMYFUNCTION("""COMPUTED_VALUE"""),45750.0)</f>
        <v>45750</v>
      </c>
      <c r="ET35" s="179">
        <f>IFERROR(__xludf.DUMMYFUNCTION("""COMPUTED_VALUE"""),0.0)</f>
        <v>0</v>
      </c>
      <c r="EU35" s="180">
        <f>IFERROR(__xludf.DUMMYFUNCTION("""COMPUTED_VALUE"""),45719.0)</f>
        <v>45719</v>
      </c>
      <c r="EV35" s="179">
        <f>IFERROR(__xludf.DUMMYFUNCTION("""COMPUTED_VALUE"""),0.0)</f>
        <v>0</v>
      </c>
      <c r="EW35" s="180">
        <f>IFERROR(__xludf.DUMMYFUNCTION("""COMPUTED_VALUE"""),45750.0)</f>
        <v>45750</v>
      </c>
      <c r="EX35" s="179">
        <f>IFERROR(__xludf.DUMMYFUNCTION("""COMPUTED_VALUE"""),0.0)</f>
        <v>0</v>
      </c>
      <c r="EY35" s="180">
        <f>IFERROR(__xludf.DUMMYFUNCTION("""COMPUTED_VALUE"""),45750.0)</f>
        <v>45750</v>
      </c>
      <c r="EZ35" s="179">
        <f>IFERROR(__xludf.DUMMYFUNCTION("""COMPUTED_VALUE"""),0.0)</f>
        <v>0</v>
      </c>
      <c r="FA35" s="180">
        <f>IFERROR(__xludf.DUMMYFUNCTION("""COMPUTED_VALUE"""),45719.0)</f>
        <v>45719</v>
      </c>
      <c r="FB35" s="179">
        <f>IFERROR(__xludf.DUMMYFUNCTION("""COMPUTED_VALUE"""),0.0)</f>
        <v>0</v>
      </c>
      <c r="FC35" s="180">
        <f>IFERROR(__xludf.DUMMYFUNCTION("""COMPUTED_VALUE"""),45750.0)</f>
        <v>45750</v>
      </c>
      <c r="FD35" s="179">
        <f>IFERROR(__xludf.DUMMYFUNCTION("""COMPUTED_VALUE"""),0.0)</f>
        <v>0</v>
      </c>
      <c r="FE35" s="180">
        <f>IFERROR(__xludf.DUMMYFUNCTION("""COMPUTED_VALUE"""),45932.0)</f>
        <v>45932</v>
      </c>
      <c r="FF35" s="179">
        <f>IFERROR(__xludf.DUMMYFUNCTION("""COMPUTED_VALUE"""),0.0)</f>
        <v>0</v>
      </c>
      <c r="FG35" s="182">
        <f>IFERROR(__xludf.DUMMYFUNCTION("""COMPUTED_VALUE"""),45932.0)</f>
        <v>45932</v>
      </c>
      <c r="FH35" s="179">
        <f>IFERROR(__xludf.DUMMYFUNCTION("""COMPUTED_VALUE"""),0.0)</f>
        <v>0</v>
      </c>
      <c r="FI35" s="180">
        <f>IFERROR(__xludf.DUMMYFUNCTION("""COMPUTED_VALUE"""),45932.0)</f>
        <v>45932</v>
      </c>
      <c r="FJ35" s="179">
        <f>IFERROR(__xludf.DUMMYFUNCTION("""COMPUTED_VALUE"""),0.0)</f>
        <v>0</v>
      </c>
      <c r="FK35" s="180">
        <f>IFERROR(__xludf.DUMMYFUNCTION("""COMPUTED_VALUE"""),45810.0)</f>
        <v>45810</v>
      </c>
      <c r="FL35" s="179">
        <f>IFERROR(__xludf.DUMMYFUNCTION("""COMPUTED_VALUE"""),0.0)</f>
        <v>0</v>
      </c>
      <c r="FM35" s="180">
        <f>IFERROR(__xludf.DUMMYFUNCTION("""COMPUTED_VALUE"""),45750.0)</f>
        <v>45750</v>
      </c>
      <c r="FN35" s="179">
        <f>IFERROR(__xludf.DUMMYFUNCTION("""COMPUTED_VALUE"""),0.0)</f>
        <v>0</v>
      </c>
      <c r="FO35" s="180">
        <f>IFERROR(__xludf.DUMMYFUNCTION("""COMPUTED_VALUE"""),45750.0)</f>
        <v>45750</v>
      </c>
      <c r="FP35" s="179">
        <f>IFERROR(__xludf.DUMMYFUNCTION("""COMPUTED_VALUE"""),0.0)</f>
        <v>0</v>
      </c>
      <c r="FQ35" s="180">
        <f>IFERROR(__xludf.DUMMYFUNCTION("""COMPUTED_VALUE"""),45750.0)</f>
        <v>45750</v>
      </c>
      <c r="FR35" s="179">
        <f>IFERROR(__xludf.DUMMYFUNCTION("""COMPUTED_VALUE"""),0.0)</f>
        <v>0</v>
      </c>
      <c r="FS35" s="180">
        <f>IFERROR(__xludf.DUMMYFUNCTION("""COMPUTED_VALUE"""),45902.0)</f>
        <v>45902</v>
      </c>
      <c r="FT35" s="179">
        <f>IFERROR(__xludf.DUMMYFUNCTION("""COMPUTED_VALUE"""),0.0)</f>
        <v>0</v>
      </c>
      <c r="FU35" s="180">
        <f>IFERROR(__xludf.DUMMYFUNCTION("""COMPUTED_VALUE"""),45750.0)</f>
        <v>45750</v>
      </c>
      <c r="FV35" s="179">
        <f>IFERROR(__xludf.DUMMYFUNCTION("""COMPUTED_VALUE"""),0.0)</f>
        <v>0</v>
      </c>
      <c r="FW35" s="180">
        <f>IFERROR(__xludf.DUMMYFUNCTION("""COMPUTED_VALUE"""),45750.0)</f>
        <v>45750</v>
      </c>
      <c r="FX35" s="179">
        <f>IFERROR(__xludf.DUMMYFUNCTION("""COMPUTED_VALUE"""),0.0)</f>
        <v>0</v>
      </c>
      <c r="FY35" s="180">
        <f>IFERROR(__xludf.DUMMYFUNCTION("""COMPUTED_VALUE"""),45810.0)</f>
        <v>45810</v>
      </c>
      <c r="FZ35" s="179">
        <f>IFERROR(__xludf.DUMMYFUNCTION("""COMPUTED_VALUE"""),0.0)</f>
        <v>0</v>
      </c>
      <c r="GA35" s="182">
        <f>IFERROR(__xludf.DUMMYFUNCTION("""COMPUTED_VALUE"""),45750.0)</f>
        <v>45750</v>
      </c>
      <c r="GB35" s="179">
        <f>IFERROR(__xludf.DUMMYFUNCTION("""COMPUTED_VALUE"""),0.0)</f>
        <v>0</v>
      </c>
      <c r="GC35" s="180">
        <f>IFERROR(__xludf.DUMMYFUNCTION("""COMPUTED_VALUE"""),45660.0)</f>
        <v>45660</v>
      </c>
      <c r="GD35" s="179">
        <f>IFERROR(__xludf.DUMMYFUNCTION("""COMPUTED_VALUE"""),0.0)</f>
        <v>0</v>
      </c>
      <c r="GE35" s="180">
        <f>IFERROR(__xludf.DUMMYFUNCTION("""COMPUTED_VALUE"""),45660.0)</f>
        <v>45660</v>
      </c>
      <c r="GF35" s="179">
        <f>IFERROR(__xludf.DUMMYFUNCTION("""COMPUTED_VALUE"""),0.0)</f>
        <v>0</v>
      </c>
      <c r="GG35" s="180">
        <f>IFERROR(__xludf.DUMMYFUNCTION("""COMPUTED_VALUE"""),45691.0)</f>
        <v>45691</v>
      </c>
      <c r="GH35" s="179">
        <f>IFERROR(__xludf.DUMMYFUNCTION("""COMPUTED_VALUE"""),0.0)</f>
        <v>0</v>
      </c>
      <c r="GI35" s="180">
        <f>IFERROR(__xludf.DUMMYFUNCTION("""COMPUTED_VALUE"""),45750.0)</f>
        <v>45750</v>
      </c>
      <c r="GJ35" s="179">
        <f>IFERROR(__xludf.DUMMYFUNCTION("""COMPUTED_VALUE"""),0.0)</f>
        <v>0</v>
      </c>
      <c r="GK35" s="180">
        <f>IFERROR(__xludf.DUMMYFUNCTION("""COMPUTED_VALUE"""),45750.0)</f>
        <v>45750</v>
      </c>
      <c r="GL35" s="179">
        <f>IFERROR(__xludf.DUMMYFUNCTION("""COMPUTED_VALUE"""),0.0)</f>
        <v>0</v>
      </c>
      <c r="GM35" s="180">
        <f>IFERROR(__xludf.DUMMYFUNCTION("""COMPUTED_VALUE"""),45871.0)</f>
        <v>45871</v>
      </c>
      <c r="GN35" s="179">
        <f>IFERROR(__xludf.DUMMYFUNCTION("""COMPUTED_VALUE"""),0.0)</f>
        <v>0</v>
      </c>
      <c r="GO35" s="180">
        <f>IFERROR(__xludf.DUMMYFUNCTION("""COMPUTED_VALUE"""),45750.0)</f>
        <v>45750</v>
      </c>
      <c r="GP35" s="179">
        <f>IFERROR(__xludf.DUMMYFUNCTION("""COMPUTED_VALUE"""),0.0)</f>
        <v>0</v>
      </c>
      <c r="GQ35" s="180">
        <f>IFERROR(__xludf.DUMMYFUNCTION("""COMPUTED_VALUE"""),45902.0)</f>
        <v>45902</v>
      </c>
      <c r="GR35" s="179">
        <f>IFERROR(__xludf.DUMMYFUNCTION("""COMPUTED_VALUE"""),0.0)</f>
        <v>0</v>
      </c>
      <c r="GS35" s="180">
        <f>IFERROR(__xludf.DUMMYFUNCTION("""COMPUTED_VALUE"""),45840.0)</f>
        <v>45840</v>
      </c>
      <c r="GT35" s="179">
        <f>IFERROR(__xludf.DUMMYFUNCTION("""COMPUTED_VALUE"""),0.0)</f>
        <v>0</v>
      </c>
    </row>
    <row r="36" ht="31.5" customHeight="1">
      <c r="B36" s="183"/>
      <c r="C36" s="178">
        <f>IFERROR(__xludf.DUMMYFUNCTION("""COMPUTED_VALUE"""),45933.0)</f>
        <v>45933</v>
      </c>
      <c r="D36" s="179">
        <f>IFERROR(__xludf.DUMMYFUNCTION("""COMPUTED_VALUE"""),0.0)</f>
        <v>0</v>
      </c>
      <c r="E36" s="180">
        <f>IFERROR(__xludf.DUMMYFUNCTION("""COMPUTED_VALUE"""),45661.0)</f>
        <v>45661</v>
      </c>
      <c r="F36" s="179">
        <f>IFERROR(__xludf.DUMMYFUNCTION("""COMPUTED_VALUE"""),0.0)</f>
        <v>0</v>
      </c>
      <c r="G36" s="180">
        <f>IFERROR(__xludf.DUMMYFUNCTION("""COMPUTED_VALUE"""),45661.0)</f>
        <v>45661</v>
      </c>
      <c r="H36" s="179">
        <f>IFERROR(__xludf.DUMMYFUNCTION("""COMPUTED_VALUE"""),0.0)</f>
        <v>0</v>
      </c>
      <c r="I36" s="180">
        <f>IFERROR(__xludf.DUMMYFUNCTION("""COMPUTED_VALUE"""),45720.0)</f>
        <v>45720</v>
      </c>
      <c r="J36" s="179">
        <f>IFERROR(__xludf.DUMMYFUNCTION("""COMPUTED_VALUE"""),0.0)</f>
        <v>0</v>
      </c>
      <c r="K36" s="180">
        <f>IFERROR(__xludf.DUMMYFUNCTION("""COMPUTED_VALUE"""),45872.0)</f>
        <v>45872</v>
      </c>
      <c r="L36" s="179">
        <f>IFERROR(__xludf.DUMMYFUNCTION("""COMPUTED_VALUE"""),0.0)</f>
        <v>0</v>
      </c>
      <c r="M36" s="180">
        <f>IFERROR(__xludf.DUMMYFUNCTION("""COMPUTED_VALUE"""),45933.0)</f>
        <v>45933</v>
      </c>
      <c r="N36" s="179">
        <f>IFERROR(__xludf.DUMMYFUNCTION("""COMPUTED_VALUE"""),0.0)</f>
        <v>0</v>
      </c>
      <c r="O36" s="180">
        <f>IFERROR(__xludf.DUMMYFUNCTION("""COMPUTED_VALUE"""),45780.0)</f>
        <v>45780</v>
      </c>
      <c r="P36" s="179">
        <f>IFERROR(__xludf.DUMMYFUNCTION("""COMPUTED_VALUE"""),0.0)</f>
        <v>0</v>
      </c>
      <c r="Q36" s="180">
        <f>IFERROR(__xludf.DUMMYFUNCTION("""COMPUTED_VALUE"""),45811.0)</f>
        <v>45811</v>
      </c>
      <c r="R36" s="179">
        <f>IFERROR(__xludf.DUMMYFUNCTION("""COMPUTED_VALUE"""),0.0)</f>
        <v>0</v>
      </c>
      <c r="S36" s="180">
        <f>IFERROR(__xludf.DUMMYFUNCTION("""COMPUTED_VALUE"""),45692.0)</f>
        <v>45692</v>
      </c>
      <c r="T36" s="179">
        <f>IFERROR(__xludf.DUMMYFUNCTION("""COMPUTED_VALUE"""),0.0)</f>
        <v>0</v>
      </c>
      <c r="U36" s="180">
        <f>IFERROR(__xludf.DUMMYFUNCTION("""COMPUTED_VALUE"""),45780.0)</f>
        <v>45780</v>
      </c>
      <c r="V36" s="181">
        <f>IFERROR(__xludf.DUMMYFUNCTION("""COMPUTED_VALUE"""),0.0)</f>
        <v>0</v>
      </c>
      <c r="W36" s="178">
        <f>IFERROR(__xludf.DUMMYFUNCTION("""COMPUTED_VALUE"""),45720.0)</f>
        <v>45720</v>
      </c>
      <c r="X36" s="179">
        <f>IFERROR(__xludf.DUMMYFUNCTION("""COMPUTED_VALUE"""),0.0)</f>
        <v>0</v>
      </c>
      <c r="Y36" s="180">
        <f>IFERROR(__xludf.DUMMYFUNCTION("""COMPUTED_VALUE"""),45841.0)</f>
        <v>45841</v>
      </c>
      <c r="Z36" s="179">
        <f>IFERROR(__xludf.DUMMYFUNCTION("""COMPUTED_VALUE"""),0.0)</f>
        <v>0</v>
      </c>
      <c r="AA36" s="180">
        <f>IFERROR(__xludf.DUMMYFUNCTION("""COMPUTED_VALUE"""),45692.0)</f>
        <v>45692</v>
      </c>
      <c r="AB36" s="179">
        <f>IFERROR(__xludf.DUMMYFUNCTION("""COMPUTED_VALUE"""),0.0)</f>
        <v>0</v>
      </c>
      <c r="AC36" s="180">
        <f>IFERROR(__xludf.DUMMYFUNCTION("""COMPUTED_VALUE"""),45780.0)</f>
        <v>45780</v>
      </c>
      <c r="AD36" s="179">
        <f>IFERROR(__xludf.DUMMYFUNCTION("""COMPUTED_VALUE"""),0.0)</f>
        <v>0</v>
      </c>
      <c r="AE36" s="180">
        <f>IFERROR(__xludf.DUMMYFUNCTION("""COMPUTED_VALUE"""),45841.0)</f>
        <v>45841</v>
      </c>
      <c r="AF36" s="179">
        <f>IFERROR(__xludf.DUMMYFUNCTION("""COMPUTED_VALUE"""),0.0)</f>
        <v>0</v>
      </c>
      <c r="AG36" s="180">
        <f>IFERROR(__xludf.DUMMYFUNCTION("""COMPUTED_VALUE"""),45720.0)</f>
        <v>45720</v>
      </c>
      <c r="AH36" s="179">
        <f>IFERROR(__xludf.DUMMYFUNCTION("""COMPUTED_VALUE"""),0.0)</f>
        <v>0</v>
      </c>
      <c r="AI36" s="180">
        <f>IFERROR(__xludf.DUMMYFUNCTION("""COMPUTED_VALUE"""),45780.0)</f>
        <v>45780</v>
      </c>
      <c r="AJ36" s="179">
        <f>IFERROR(__xludf.DUMMYFUNCTION("""COMPUTED_VALUE"""),0.0)</f>
        <v>0</v>
      </c>
      <c r="AK36" s="180">
        <f>IFERROR(__xludf.DUMMYFUNCTION("""COMPUTED_VALUE"""),45661.0)</f>
        <v>45661</v>
      </c>
      <c r="AL36" s="179">
        <f>IFERROR(__xludf.DUMMYFUNCTION("""COMPUTED_VALUE"""),0.0)</f>
        <v>0</v>
      </c>
      <c r="AM36" s="180">
        <f>IFERROR(__xludf.DUMMYFUNCTION("""COMPUTED_VALUE"""),45720.0)</f>
        <v>45720</v>
      </c>
      <c r="AN36" s="179">
        <f>IFERROR(__xludf.DUMMYFUNCTION("""COMPUTED_VALUE"""),0.0)</f>
        <v>0</v>
      </c>
      <c r="AO36" s="180">
        <f>IFERROR(__xludf.DUMMYFUNCTION("""COMPUTED_VALUE"""),45872.0)</f>
        <v>45872</v>
      </c>
      <c r="AP36" s="181">
        <f>IFERROR(__xludf.DUMMYFUNCTION("""COMPUTED_VALUE"""),0.0)</f>
        <v>0</v>
      </c>
      <c r="AQ36" s="178">
        <f>IFERROR(__xludf.DUMMYFUNCTION("""COMPUTED_VALUE"""),45751.0)</f>
        <v>45751</v>
      </c>
      <c r="AR36" s="179">
        <f>IFERROR(__xludf.DUMMYFUNCTION("""COMPUTED_VALUE"""),0.0)</f>
        <v>0</v>
      </c>
      <c r="AS36" s="180">
        <f>IFERROR(__xludf.DUMMYFUNCTION("""COMPUTED_VALUE"""),45751.0)</f>
        <v>45751</v>
      </c>
      <c r="AT36" s="179">
        <f>IFERROR(__xludf.DUMMYFUNCTION("""COMPUTED_VALUE"""),0.0)</f>
        <v>0</v>
      </c>
      <c r="AU36" s="180">
        <f>IFERROR(__xludf.DUMMYFUNCTION("""COMPUTED_VALUE"""),45661.0)</f>
        <v>45661</v>
      </c>
      <c r="AV36" s="179">
        <f>IFERROR(__xludf.DUMMYFUNCTION("""COMPUTED_VALUE"""),0.0)</f>
        <v>0</v>
      </c>
      <c r="AW36" s="180">
        <f>IFERROR(__xludf.DUMMYFUNCTION("""COMPUTED_VALUE"""),45661.0)</f>
        <v>45661</v>
      </c>
      <c r="AX36" s="179">
        <f>IFERROR(__xludf.DUMMYFUNCTION("""COMPUTED_VALUE"""),0.0)</f>
        <v>0</v>
      </c>
      <c r="AY36" s="180">
        <f>IFERROR(__xludf.DUMMYFUNCTION("""COMPUTED_VALUE"""),45751.0)</f>
        <v>45751</v>
      </c>
      <c r="AZ36" s="179">
        <f>IFERROR(__xludf.DUMMYFUNCTION("""COMPUTED_VALUE"""),0.0)</f>
        <v>0</v>
      </c>
      <c r="BA36" s="180">
        <f>IFERROR(__xludf.DUMMYFUNCTION("""COMPUTED_VALUE"""),45751.0)</f>
        <v>45751</v>
      </c>
      <c r="BB36" s="179">
        <f>IFERROR(__xludf.DUMMYFUNCTION("""COMPUTED_VALUE"""),0.0)</f>
        <v>0</v>
      </c>
      <c r="BC36" s="180">
        <f>IFERROR(__xludf.DUMMYFUNCTION("""COMPUTED_VALUE"""),45841.0)</f>
        <v>45841</v>
      </c>
      <c r="BD36" s="179">
        <f>IFERROR(__xludf.DUMMYFUNCTION("""COMPUTED_VALUE"""),0.0)</f>
        <v>0</v>
      </c>
      <c r="BE36" s="180">
        <f>IFERROR(__xludf.DUMMYFUNCTION("""COMPUTED_VALUE"""),45751.0)</f>
        <v>45751</v>
      </c>
      <c r="BF36" s="179">
        <f>IFERROR(__xludf.DUMMYFUNCTION("""COMPUTED_VALUE"""),0.0)</f>
        <v>0</v>
      </c>
      <c r="BG36" s="180">
        <f>IFERROR(__xludf.DUMMYFUNCTION("""COMPUTED_VALUE"""),45661.0)</f>
        <v>45661</v>
      </c>
      <c r="BH36" s="179">
        <f>IFERROR(__xludf.DUMMYFUNCTION("""COMPUTED_VALUE"""),0.0)</f>
        <v>0</v>
      </c>
      <c r="BI36" s="180">
        <f>IFERROR(__xludf.DUMMYFUNCTION("""COMPUTED_VALUE"""),45751.0)</f>
        <v>45751</v>
      </c>
      <c r="BJ36" s="179">
        <f>IFERROR(__xludf.DUMMYFUNCTION("""COMPUTED_VALUE"""),0.0)</f>
        <v>0</v>
      </c>
      <c r="BK36" s="182">
        <f>IFERROR(__xludf.DUMMYFUNCTION("""COMPUTED_VALUE"""),45719.0)</f>
        <v>45719</v>
      </c>
      <c r="BL36" s="179">
        <f>IFERROR(__xludf.DUMMYFUNCTION("""COMPUTED_VALUE"""),0.0)</f>
        <v>0</v>
      </c>
      <c r="BM36" s="180">
        <f>IFERROR(__xludf.DUMMYFUNCTION("""COMPUTED_VALUE"""),45902.0)</f>
        <v>45902</v>
      </c>
      <c r="BN36" s="179">
        <f>IFERROR(__xludf.DUMMYFUNCTION("""COMPUTED_VALUE"""),0.0)</f>
        <v>0</v>
      </c>
      <c r="BO36" s="180">
        <f>IFERROR(__xludf.DUMMYFUNCTION("""COMPUTED_VALUE"""),45871.0)</f>
        <v>45871</v>
      </c>
      <c r="BP36" s="179">
        <f>IFERROR(__xludf.DUMMYFUNCTION("""COMPUTED_VALUE"""),0.0)</f>
        <v>0</v>
      </c>
      <c r="BQ36" s="180">
        <f>IFERROR(__xludf.DUMMYFUNCTION("""COMPUTED_VALUE"""),45719.0)</f>
        <v>45719</v>
      </c>
      <c r="BR36" s="179">
        <f>IFERROR(__xludf.DUMMYFUNCTION("""COMPUTED_VALUE"""),0.0)</f>
        <v>0</v>
      </c>
      <c r="BS36" s="180">
        <f>IFERROR(__xludf.DUMMYFUNCTION("""COMPUTED_VALUE"""),45780.0)</f>
        <v>45780</v>
      </c>
      <c r="BT36" s="179">
        <f>IFERROR(__xludf.DUMMYFUNCTION("""COMPUTED_VALUE"""),0.0)</f>
        <v>0</v>
      </c>
      <c r="BU36" s="180">
        <f>IFERROR(__xludf.DUMMYFUNCTION("""COMPUTED_VALUE"""),45750.0)</f>
        <v>45750</v>
      </c>
      <c r="BV36" s="179">
        <f>IFERROR(__xludf.DUMMYFUNCTION("""COMPUTED_VALUE"""),0.0)</f>
        <v>0</v>
      </c>
      <c r="BW36" s="180">
        <f>IFERROR(__xludf.DUMMYFUNCTION("""COMPUTED_VALUE"""),45902.0)</f>
        <v>45902</v>
      </c>
      <c r="BX36" s="179">
        <f>IFERROR(__xludf.DUMMYFUNCTION("""COMPUTED_VALUE"""),0.0)</f>
        <v>0</v>
      </c>
      <c r="BY36" s="180">
        <f>IFERROR(__xludf.DUMMYFUNCTION("""COMPUTED_VALUE"""),45719.0)</f>
        <v>45719</v>
      </c>
      <c r="BZ36" s="179">
        <f>IFERROR(__xludf.DUMMYFUNCTION("""COMPUTED_VALUE"""),0.0)</f>
        <v>0</v>
      </c>
      <c r="CA36" s="180">
        <f>IFERROR(__xludf.DUMMYFUNCTION("""COMPUTED_VALUE"""),45691.0)</f>
        <v>45691</v>
      </c>
      <c r="CB36" s="179">
        <f>IFERROR(__xludf.DUMMYFUNCTION("""COMPUTED_VALUE"""),0.0)</f>
        <v>0</v>
      </c>
      <c r="CC36" s="180">
        <f>IFERROR(__xludf.DUMMYFUNCTION("""COMPUTED_VALUE"""),45691.0)</f>
        <v>45691</v>
      </c>
      <c r="CD36" s="179">
        <f>IFERROR(__xludf.DUMMYFUNCTION("""COMPUTED_VALUE"""),0.0)</f>
        <v>0</v>
      </c>
      <c r="CE36" s="182">
        <f>IFERROR(__xludf.DUMMYFUNCTION("""COMPUTED_VALUE"""),45780.0)</f>
        <v>45780</v>
      </c>
      <c r="CF36" s="179">
        <f>IFERROR(__xludf.DUMMYFUNCTION("""COMPUTED_VALUE"""),0.0)</f>
        <v>0</v>
      </c>
      <c r="CG36" s="180">
        <f>IFERROR(__xludf.DUMMYFUNCTION("""COMPUTED_VALUE"""),45902.0)</f>
        <v>45902</v>
      </c>
      <c r="CH36" s="179">
        <f>IFERROR(__xludf.DUMMYFUNCTION("""COMPUTED_VALUE"""),0.0)</f>
        <v>0</v>
      </c>
      <c r="CI36" s="180">
        <f>IFERROR(__xludf.DUMMYFUNCTION("""COMPUTED_VALUE"""),45932.0)</f>
        <v>45932</v>
      </c>
      <c r="CJ36" s="179">
        <f>IFERROR(__xludf.DUMMYFUNCTION("""COMPUTED_VALUE"""),0.0)</f>
        <v>0</v>
      </c>
      <c r="CK36" s="180">
        <f>IFERROR(__xludf.DUMMYFUNCTION("""COMPUTED_VALUE"""),45660.0)</f>
        <v>45660</v>
      </c>
      <c r="CL36" s="179">
        <f>IFERROR(__xludf.DUMMYFUNCTION("""COMPUTED_VALUE"""),0.0)</f>
        <v>0</v>
      </c>
      <c r="CM36" s="180">
        <f>IFERROR(__xludf.DUMMYFUNCTION("""COMPUTED_VALUE"""),45750.0)</f>
        <v>45750</v>
      </c>
      <c r="CN36" s="179">
        <f>IFERROR(__xludf.DUMMYFUNCTION("""COMPUTED_VALUE"""),0.0)</f>
        <v>0</v>
      </c>
      <c r="CO36" s="180">
        <f>IFERROR(__xludf.DUMMYFUNCTION("""COMPUTED_VALUE"""),45719.0)</f>
        <v>45719</v>
      </c>
      <c r="CP36" s="179">
        <f>IFERROR(__xludf.DUMMYFUNCTION("""COMPUTED_VALUE"""),0.0)</f>
        <v>0</v>
      </c>
      <c r="CQ36" s="180">
        <f>IFERROR(__xludf.DUMMYFUNCTION("""COMPUTED_VALUE"""),45659.0)</f>
        <v>45659</v>
      </c>
      <c r="CR36" s="179">
        <f>IFERROR(__xludf.DUMMYFUNCTION("""COMPUTED_VALUE"""),0.0)</f>
        <v>0</v>
      </c>
      <c r="CS36" s="180">
        <f>IFERROR(__xludf.DUMMYFUNCTION("""COMPUTED_VALUE"""),45719.0)</f>
        <v>45719</v>
      </c>
      <c r="CT36" s="179">
        <f>IFERROR(__xludf.DUMMYFUNCTION("""COMPUTED_VALUE"""),0.0)</f>
        <v>0</v>
      </c>
      <c r="CU36" s="180">
        <f>IFERROR(__xludf.DUMMYFUNCTION("""COMPUTED_VALUE"""),45780.0)</f>
        <v>45780</v>
      </c>
      <c r="CV36" s="179">
        <f>IFERROR(__xludf.DUMMYFUNCTION("""COMPUTED_VALUE"""),0.0)</f>
        <v>0</v>
      </c>
      <c r="CW36" s="180">
        <f>IFERROR(__xludf.DUMMYFUNCTION("""COMPUTED_VALUE"""),45779.0)</f>
        <v>45779</v>
      </c>
      <c r="CX36" s="179">
        <f>IFERROR(__xludf.DUMMYFUNCTION("""COMPUTED_VALUE"""),0.0)</f>
        <v>0</v>
      </c>
      <c r="CY36" s="182">
        <f>IFERROR(__xludf.DUMMYFUNCTION("""COMPUTED_VALUE"""),45750.0)</f>
        <v>45750</v>
      </c>
      <c r="CZ36" s="179">
        <f>IFERROR(__xludf.DUMMYFUNCTION("""COMPUTED_VALUE"""),0.0)</f>
        <v>0</v>
      </c>
      <c r="DA36" s="180">
        <f>IFERROR(__xludf.DUMMYFUNCTION("""COMPUTED_VALUE"""),45750.0)</f>
        <v>45750</v>
      </c>
      <c r="DB36" s="179">
        <f>IFERROR(__xludf.DUMMYFUNCTION("""COMPUTED_VALUE"""),0.0)</f>
        <v>0</v>
      </c>
      <c r="DC36" s="180">
        <f>IFERROR(__xludf.DUMMYFUNCTION("""COMPUTED_VALUE"""),45660.0)</f>
        <v>45660</v>
      </c>
      <c r="DD36" s="179">
        <f>IFERROR(__xludf.DUMMYFUNCTION("""COMPUTED_VALUE"""),0.0)</f>
        <v>0</v>
      </c>
      <c r="DE36" s="180">
        <f>IFERROR(__xludf.DUMMYFUNCTION("""COMPUTED_VALUE"""),45691.0)</f>
        <v>45691</v>
      </c>
      <c r="DF36" s="179">
        <f>IFERROR(__xludf.DUMMYFUNCTION("""COMPUTED_VALUE"""),0.0)</f>
        <v>0</v>
      </c>
      <c r="DG36" s="180">
        <f>IFERROR(__xludf.DUMMYFUNCTION("""COMPUTED_VALUE"""),45780.0)</f>
        <v>45780</v>
      </c>
      <c r="DH36" s="179">
        <f>IFERROR(__xludf.DUMMYFUNCTION("""COMPUTED_VALUE"""),0.0)</f>
        <v>0</v>
      </c>
      <c r="DI36" s="180">
        <f>IFERROR(__xludf.DUMMYFUNCTION("""COMPUTED_VALUE"""),45780.0)</f>
        <v>45780</v>
      </c>
      <c r="DJ36" s="179">
        <f>IFERROR(__xludf.DUMMYFUNCTION("""COMPUTED_VALUE"""),0.0)</f>
        <v>0</v>
      </c>
      <c r="DK36" s="180">
        <f>IFERROR(__xludf.DUMMYFUNCTION("""COMPUTED_VALUE"""),45719.0)</f>
        <v>45719</v>
      </c>
      <c r="DL36" s="179">
        <f>IFERROR(__xludf.DUMMYFUNCTION("""COMPUTED_VALUE"""),0.0)</f>
        <v>0</v>
      </c>
      <c r="DM36" s="180">
        <f>IFERROR(__xludf.DUMMYFUNCTION("""COMPUTED_VALUE"""),45719.0)</f>
        <v>45719</v>
      </c>
      <c r="DN36" s="179">
        <f>IFERROR(__xludf.DUMMYFUNCTION("""COMPUTED_VALUE"""),0.0)</f>
        <v>0</v>
      </c>
      <c r="DO36" s="180">
        <f>IFERROR(__xludf.DUMMYFUNCTION("""COMPUTED_VALUE"""),45719.0)</f>
        <v>45719</v>
      </c>
      <c r="DP36" s="179">
        <f>IFERROR(__xludf.DUMMYFUNCTION("""COMPUTED_VALUE"""),0.0)</f>
        <v>0</v>
      </c>
      <c r="DQ36" s="180">
        <f>IFERROR(__xludf.DUMMYFUNCTION("""COMPUTED_VALUE"""),45902.0)</f>
        <v>45902</v>
      </c>
      <c r="DR36" s="179">
        <f>IFERROR(__xludf.DUMMYFUNCTION("""COMPUTED_VALUE"""),0.0)</f>
        <v>0</v>
      </c>
      <c r="DS36" s="182">
        <f>IFERROR(__xludf.DUMMYFUNCTION("""COMPUTED_VALUE"""),45750.0)</f>
        <v>45750</v>
      </c>
      <c r="DT36" s="179">
        <f>IFERROR(__xludf.DUMMYFUNCTION("""COMPUTED_VALUE"""),0.0)</f>
        <v>0</v>
      </c>
      <c r="DU36" s="180">
        <f>IFERROR(__xludf.DUMMYFUNCTION("""COMPUTED_VALUE"""),45719.0)</f>
        <v>45719</v>
      </c>
      <c r="DV36" s="179">
        <f>IFERROR(__xludf.DUMMYFUNCTION("""COMPUTED_VALUE"""),0.0)</f>
        <v>0</v>
      </c>
      <c r="DW36" s="180">
        <f>IFERROR(__xludf.DUMMYFUNCTION("""COMPUTED_VALUE"""),45719.0)</f>
        <v>45719</v>
      </c>
      <c r="DX36" s="179">
        <f>IFERROR(__xludf.DUMMYFUNCTION("""COMPUTED_VALUE"""),0.0)</f>
        <v>0</v>
      </c>
      <c r="DY36" s="180">
        <f>IFERROR(__xludf.DUMMYFUNCTION("""COMPUTED_VALUE"""),45750.0)</f>
        <v>45750</v>
      </c>
      <c r="DZ36" s="179">
        <f>IFERROR(__xludf.DUMMYFUNCTION("""COMPUTED_VALUE"""),0.0)</f>
        <v>0</v>
      </c>
      <c r="EA36" s="180">
        <f>IFERROR(__xludf.DUMMYFUNCTION("""COMPUTED_VALUE"""),45780.0)</f>
        <v>45780</v>
      </c>
      <c r="EB36" s="179">
        <f>IFERROR(__xludf.DUMMYFUNCTION("""COMPUTED_VALUE"""),0.0)</f>
        <v>0</v>
      </c>
      <c r="EC36" s="180">
        <f>IFERROR(__xludf.DUMMYFUNCTION("""COMPUTED_VALUE"""),45750.0)</f>
        <v>45750</v>
      </c>
      <c r="ED36" s="179">
        <f>IFERROR(__xludf.DUMMYFUNCTION("""COMPUTED_VALUE"""),0.0)</f>
        <v>0</v>
      </c>
      <c r="EE36" s="180">
        <f>IFERROR(__xludf.DUMMYFUNCTION("""COMPUTED_VALUE"""),45660.0)</f>
        <v>45660</v>
      </c>
      <c r="EF36" s="179">
        <f>IFERROR(__xludf.DUMMYFUNCTION("""COMPUTED_VALUE"""),0.0)</f>
        <v>0</v>
      </c>
      <c r="EG36" s="180">
        <f>IFERROR(__xludf.DUMMYFUNCTION("""COMPUTED_VALUE"""),45750.0)</f>
        <v>45750</v>
      </c>
      <c r="EH36" s="179">
        <f>IFERROR(__xludf.DUMMYFUNCTION("""COMPUTED_VALUE"""),0.0)</f>
        <v>0</v>
      </c>
      <c r="EI36" s="180">
        <f>IFERROR(__xludf.DUMMYFUNCTION("""COMPUTED_VALUE"""),45750.0)</f>
        <v>45750</v>
      </c>
      <c r="EJ36" s="179">
        <f>IFERROR(__xludf.DUMMYFUNCTION("""COMPUTED_VALUE"""),0.0)</f>
        <v>0</v>
      </c>
      <c r="EK36" s="180">
        <f>IFERROR(__xludf.DUMMYFUNCTION("""COMPUTED_VALUE"""),45691.0)</f>
        <v>45691</v>
      </c>
      <c r="EL36" s="179">
        <f>IFERROR(__xludf.DUMMYFUNCTION("""COMPUTED_VALUE"""),0.0)</f>
        <v>0</v>
      </c>
      <c r="EM36" s="182">
        <f>IFERROR(__xludf.DUMMYFUNCTION("""COMPUTED_VALUE"""),45660.0)</f>
        <v>45660</v>
      </c>
      <c r="EN36" s="179">
        <f>IFERROR(__xludf.DUMMYFUNCTION("""COMPUTED_VALUE"""),0.0)</f>
        <v>0</v>
      </c>
      <c r="EO36" s="180">
        <f>IFERROR(__xludf.DUMMYFUNCTION("""COMPUTED_VALUE"""),45750.0)</f>
        <v>45750</v>
      </c>
      <c r="EP36" s="179">
        <f>IFERROR(__xludf.DUMMYFUNCTION("""COMPUTED_VALUE"""),0.0)</f>
        <v>0</v>
      </c>
      <c r="EQ36" s="180">
        <f>IFERROR(__xludf.DUMMYFUNCTION("""COMPUTED_VALUE"""),45750.0)</f>
        <v>45750</v>
      </c>
      <c r="ER36" s="179">
        <f>IFERROR(__xludf.DUMMYFUNCTION("""COMPUTED_VALUE"""),0.0)</f>
        <v>0</v>
      </c>
      <c r="ES36" s="180">
        <f>IFERROR(__xludf.DUMMYFUNCTION("""COMPUTED_VALUE"""),45780.0)</f>
        <v>45780</v>
      </c>
      <c r="ET36" s="179">
        <f>IFERROR(__xludf.DUMMYFUNCTION("""COMPUTED_VALUE"""),0.0)</f>
        <v>0</v>
      </c>
      <c r="EU36" s="180">
        <f>IFERROR(__xludf.DUMMYFUNCTION("""COMPUTED_VALUE"""),45750.0)</f>
        <v>45750</v>
      </c>
      <c r="EV36" s="179">
        <f>IFERROR(__xludf.DUMMYFUNCTION("""COMPUTED_VALUE"""),0.0)</f>
        <v>0</v>
      </c>
      <c r="EW36" s="180">
        <f>IFERROR(__xludf.DUMMYFUNCTION("""COMPUTED_VALUE"""),45780.0)</f>
        <v>45780</v>
      </c>
      <c r="EX36" s="179">
        <f>IFERROR(__xludf.DUMMYFUNCTION("""COMPUTED_VALUE"""),0.0)</f>
        <v>0</v>
      </c>
      <c r="EY36" s="180">
        <f>IFERROR(__xludf.DUMMYFUNCTION("""COMPUTED_VALUE"""),45780.0)</f>
        <v>45780</v>
      </c>
      <c r="EZ36" s="179">
        <f>IFERROR(__xludf.DUMMYFUNCTION("""COMPUTED_VALUE"""),0.0)</f>
        <v>0</v>
      </c>
      <c r="FA36" s="180">
        <f>IFERROR(__xludf.DUMMYFUNCTION("""COMPUTED_VALUE"""),45750.0)</f>
        <v>45750</v>
      </c>
      <c r="FB36" s="179">
        <f>IFERROR(__xludf.DUMMYFUNCTION("""COMPUTED_VALUE"""),0.0)</f>
        <v>0</v>
      </c>
      <c r="FC36" s="180">
        <f>IFERROR(__xludf.DUMMYFUNCTION("""COMPUTED_VALUE"""),45780.0)</f>
        <v>45780</v>
      </c>
      <c r="FD36" s="179">
        <f>IFERROR(__xludf.DUMMYFUNCTION("""COMPUTED_VALUE"""),0.0)</f>
        <v>0</v>
      </c>
      <c r="FE36" s="180">
        <f>IFERROR(__xludf.DUMMYFUNCTION("""COMPUTED_VALUE"""),45660.0)</f>
        <v>45660</v>
      </c>
      <c r="FF36" s="179">
        <f>IFERROR(__xludf.DUMMYFUNCTION("""COMPUTED_VALUE"""),0.0)</f>
        <v>0</v>
      </c>
      <c r="FG36" s="182">
        <f>IFERROR(__xludf.DUMMYFUNCTION("""COMPUTED_VALUE"""),45660.0)</f>
        <v>45660</v>
      </c>
      <c r="FH36" s="179">
        <f>IFERROR(__xludf.DUMMYFUNCTION("""COMPUTED_VALUE"""),0.0)</f>
        <v>0</v>
      </c>
      <c r="FI36" s="180">
        <f>IFERROR(__xludf.DUMMYFUNCTION("""COMPUTED_VALUE"""),45660.0)</f>
        <v>45660</v>
      </c>
      <c r="FJ36" s="179">
        <f>IFERROR(__xludf.DUMMYFUNCTION("""COMPUTED_VALUE"""),0.0)</f>
        <v>0</v>
      </c>
      <c r="FK36" s="180">
        <f>IFERROR(__xludf.DUMMYFUNCTION("""COMPUTED_VALUE"""),45840.0)</f>
        <v>45840</v>
      </c>
      <c r="FL36" s="179">
        <f>IFERROR(__xludf.DUMMYFUNCTION("""COMPUTED_VALUE"""),0.0)</f>
        <v>0</v>
      </c>
      <c r="FM36" s="180">
        <f>IFERROR(__xludf.DUMMYFUNCTION("""COMPUTED_VALUE"""),45780.0)</f>
        <v>45780</v>
      </c>
      <c r="FN36" s="179">
        <f>IFERROR(__xludf.DUMMYFUNCTION("""COMPUTED_VALUE"""),0.0)</f>
        <v>0</v>
      </c>
      <c r="FO36" s="180">
        <f>IFERROR(__xludf.DUMMYFUNCTION("""COMPUTED_VALUE"""),45780.0)</f>
        <v>45780</v>
      </c>
      <c r="FP36" s="179">
        <f>IFERROR(__xludf.DUMMYFUNCTION("""COMPUTED_VALUE"""),0.0)</f>
        <v>0</v>
      </c>
      <c r="FQ36" s="180">
        <f>IFERROR(__xludf.DUMMYFUNCTION("""COMPUTED_VALUE"""),45780.0)</f>
        <v>45780</v>
      </c>
      <c r="FR36" s="179">
        <f>IFERROR(__xludf.DUMMYFUNCTION("""COMPUTED_VALUE"""),0.0)</f>
        <v>0</v>
      </c>
      <c r="FS36" s="180">
        <f>IFERROR(__xludf.DUMMYFUNCTION("""COMPUTED_VALUE"""),45660.0)</f>
        <v>45660</v>
      </c>
      <c r="FT36" s="179">
        <f>IFERROR(__xludf.DUMMYFUNCTION("""COMPUTED_VALUE"""),0.0)</f>
        <v>0</v>
      </c>
      <c r="FU36" s="180">
        <f>IFERROR(__xludf.DUMMYFUNCTION("""COMPUTED_VALUE"""),45780.0)</f>
        <v>45780</v>
      </c>
      <c r="FV36" s="179">
        <f>IFERROR(__xludf.DUMMYFUNCTION("""COMPUTED_VALUE"""),0.0)</f>
        <v>0</v>
      </c>
      <c r="FW36" s="180">
        <f>IFERROR(__xludf.DUMMYFUNCTION("""COMPUTED_VALUE"""),45780.0)</f>
        <v>45780</v>
      </c>
      <c r="FX36" s="179">
        <f>IFERROR(__xludf.DUMMYFUNCTION("""COMPUTED_VALUE"""),0.0)</f>
        <v>0</v>
      </c>
      <c r="FY36" s="180">
        <f>IFERROR(__xludf.DUMMYFUNCTION("""COMPUTED_VALUE"""),45840.0)</f>
        <v>45840</v>
      </c>
      <c r="FZ36" s="179">
        <f>IFERROR(__xludf.DUMMYFUNCTION("""COMPUTED_VALUE"""),0.0)</f>
        <v>0</v>
      </c>
      <c r="GA36" s="182">
        <f>IFERROR(__xludf.DUMMYFUNCTION("""COMPUTED_VALUE"""),45780.0)</f>
        <v>45780</v>
      </c>
      <c r="GB36" s="179">
        <f>IFERROR(__xludf.DUMMYFUNCTION("""COMPUTED_VALUE"""),0.0)</f>
        <v>0</v>
      </c>
      <c r="GC36" s="180">
        <f>IFERROR(__xludf.DUMMYFUNCTION("""COMPUTED_VALUE"""),45691.0)</f>
        <v>45691</v>
      </c>
      <c r="GD36" s="179">
        <f>IFERROR(__xludf.DUMMYFUNCTION("""COMPUTED_VALUE"""),0.0)</f>
        <v>0</v>
      </c>
      <c r="GE36" s="180">
        <f>IFERROR(__xludf.DUMMYFUNCTION("""COMPUTED_VALUE"""),45691.0)</f>
        <v>45691</v>
      </c>
      <c r="GF36" s="179">
        <f>IFERROR(__xludf.DUMMYFUNCTION("""COMPUTED_VALUE"""),0.0)</f>
        <v>0</v>
      </c>
      <c r="GG36" s="180">
        <f>IFERROR(__xludf.DUMMYFUNCTION("""COMPUTED_VALUE"""),45719.0)</f>
        <v>45719</v>
      </c>
      <c r="GH36" s="179">
        <f>IFERROR(__xludf.DUMMYFUNCTION("""COMPUTED_VALUE"""),0.0)</f>
        <v>0</v>
      </c>
      <c r="GI36" s="180">
        <f>IFERROR(__xludf.DUMMYFUNCTION("""COMPUTED_VALUE"""),45780.0)</f>
        <v>45780</v>
      </c>
      <c r="GJ36" s="179">
        <f>IFERROR(__xludf.DUMMYFUNCTION("""COMPUTED_VALUE"""),0.0)</f>
        <v>0</v>
      </c>
      <c r="GK36" s="180">
        <f>IFERROR(__xludf.DUMMYFUNCTION("""COMPUTED_VALUE"""),45780.0)</f>
        <v>45780</v>
      </c>
      <c r="GL36" s="179">
        <f>IFERROR(__xludf.DUMMYFUNCTION("""COMPUTED_VALUE"""),0.0)</f>
        <v>0</v>
      </c>
      <c r="GM36" s="180">
        <f>IFERROR(__xludf.DUMMYFUNCTION("""COMPUTED_VALUE"""),45902.0)</f>
        <v>45902</v>
      </c>
      <c r="GN36" s="179">
        <f>IFERROR(__xludf.DUMMYFUNCTION("""COMPUTED_VALUE"""),0.0)</f>
        <v>0</v>
      </c>
      <c r="GO36" s="180">
        <f>IFERROR(__xludf.DUMMYFUNCTION("""COMPUTED_VALUE"""),45780.0)</f>
        <v>45780</v>
      </c>
      <c r="GP36" s="179">
        <f>IFERROR(__xludf.DUMMYFUNCTION("""COMPUTED_VALUE"""),0.0)</f>
        <v>0</v>
      </c>
      <c r="GQ36" s="180">
        <f>IFERROR(__xludf.DUMMYFUNCTION("""COMPUTED_VALUE"""),45932.0)</f>
        <v>45932</v>
      </c>
      <c r="GR36" s="179">
        <f>IFERROR(__xludf.DUMMYFUNCTION("""COMPUTED_VALUE"""),0.0)</f>
        <v>0</v>
      </c>
      <c r="GS36" s="180">
        <f>IFERROR(__xludf.DUMMYFUNCTION("""COMPUTED_VALUE"""),45871.0)</f>
        <v>45871</v>
      </c>
      <c r="GT36" s="179">
        <f>IFERROR(__xludf.DUMMYFUNCTION("""COMPUTED_VALUE"""),0.0)</f>
        <v>0</v>
      </c>
    </row>
    <row r="37" ht="31.5" customHeight="1">
      <c r="B37" s="183"/>
      <c r="C37" s="178">
        <f>IFERROR(__xludf.DUMMYFUNCTION("""COMPUTED_VALUE"""),45661.0)</f>
        <v>45661</v>
      </c>
      <c r="D37" s="179">
        <f>IFERROR(__xludf.DUMMYFUNCTION("""COMPUTED_VALUE"""),0.0)</f>
        <v>0</v>
      </c>
      <c r="E37" s="180">
        <f>IFERROR(__xludf.DUMMYFUNCTION("""COMPUTED_VALUE"""),45692.0)</f>
        <v>45692</v>
      </c>
      <c r="F37" s="179">
        <f>IFERROR(__xludf.DUMMYFUNCTION("""COMPUTED_VALUE"""),0.0)</f>
        <v>0</v>
      </c>
      <c r="G37" s="180">
        <f>IFERROR(__xludf.DUMMYFUNCTION("""COMPUTED_VALUE"""),45692.0)</f>
        <v>45692</v>
      </c>
      <c r="H37" s="179">
        <f>IFERROR(__xludf.DUMMYFUNCTION("""COMPUTED_VALUE"""),0.0)</f>
        <v>0</v>
      </c>
      <c r="I37" s="180">
        <f>IFERROR(__xludf.DUMMYFUNCTION("""COMPUTED_VALUE"""),45751.0)</f>
        <v>45751</v>
      </c>
      <c r="J37" s="179">
        <f>IFERROR(__xludf.DUMMYFUNCTION("""COMPUTED_VALUE"""),0.0)</f>
        <v>0</v>
      </c>
      <c r="K37" s="180">
        <f>IFERROR(__xludf.DUMMYFUNCTION("""COMPUTED_VALUE"""),45903.0)</f>
        <v>45903</v>
      </c>
      <c r="L37" s="179">
        <f>IFERROR(__xludf.DUMMYFUNCTION("""COMPUTED_VALUE"""),0.0)</f>
        <v>0</v>
      </c>
      <c r="M37" s="180">
        <f>IFERROR(__xludf.DUMMYFUNCTION("""COMPUTED_VALUE"""),45661.0)</f>
        <v>45661</v>
      </c>
      <c r="N37" s="179">
        <f>IFERROR(__xludf.DUMMYFUNCTION("""COMPUTED_VALUE"""),0.0)</f>
        <v>0</v>
      </c>
      <c r="O37" s="180">
        <f>IFERROR(__xludf.DUMMYFUNCTION("""COMPUTED_VALUE"""),45811.0)</f>
        <v>45811</v>
      </c>
      <c r="P37" s="179">
        <f>IFERROR(__xludf.DUMMYFUNCTION("""COMPUTED_VALUE"""),0.0)</f>
        <v>0</v>
      </c>
      <c r="Q37" s="180">
        <f>IFERROR(__xludf.DUMMYFUNCTION("""COMPUTED_VALUE"""),45841.0)</f>
        <v>45841</v>
      </c>
      <c r="R37" s="179">
        <f>IFERROR(__xludf.DUMMYFUNCTION("""COMPUTED_VALUE"""),0.0)</f>
        <v>0</v>
      </c>
      <c r="S37" s="180">
        <f>IFERROR(__xludf.DUMMYFUNCTION("""COMPUTED_VALUE"""),45720.0)</f>
        <v>45720</v>
      </c>
      <c r="T37" s="179">
        <f>IFERROR(__xludf.DUMMYFUNCTION("""COMPUTED_VALUE"""),0.0)</f>
        <v>0</v>
      </c>
      <c r="U37" s="180">
        <f>IFERROR(__xludf.DUMMYFUNCTION("""COMPUTED_VALUE"""),45811.0)</f>
        <v>45811</v>
      </c>
      <c r="V37" s="181">
        <f>IFERROR(__xludf.DUMMYFUNCTION("""COMPUTED_VALUE"""),0.0)</f>
        <v>0</v>
      </c>
      <c r="W37" s="178">
        <f>IFERROR(__xludf.DUMMYFUNCTION("""COMPUTED_VALUE"""),45751.0)</f>
        <v>45751</v>
      </c>
      <c r="X37" s="179">
        <f>IFERROR(__xludf.DUMMYFUNCTION("""COMPUTED_VALUE"""),0.0)</f>
        <v>0</v>
      </c>
      <c r="Y37" s="180">
        <f>IFERROR(__xludf.DUMMYFUNCTION("""COMPUTED_VALUE"""),45872.0)</f>
        <v>45872</v>
      </c>
      <c r="Z37" s="179">
        <f>IFERROR(__xludf.DUMMYFUNCTION("""COMPUTED_VALUE"""),0.0)</f>
        <v>0</v>
      </c>
      <c r="AA37" s="180">
        <f>IFERROR(__xludf.DUMMYFUNCTION("""COMPUTED_VALUE"""),45720.0)</f>
        <v>45720</v>
      </c>
      <c r="AB37" s="179">
        <f>IFERROR(__xludf.DUMMYFUNCTION("""COMPUTED_VALUE"""),0.0)</f>
        <v>0</v>
      </c>
      <c r="AC37" s="180">
        <f>IFERROR(__xludf.DUMMYFUNCTION("""COMPUTED_VALUE"""),45811.0)</f>
        <v>45811</v>
      </c>
      <c r="AD37" s="179">
        <f>IFERROR(__xludf.DUMMYFUNCTION("""COMPUTED_VALUE"""),0.0)</f>
        <v>0</v>
      </c>
      <c r="AE37" s="180">
        <f>IFERROR(__xludf.DUMMYFUNCTION("""COMPUTED_VALUE"""),45872.0)</f>
        <v>45872</v>
      </c>
      <c r="AF37" s="179">
        <f>IFERROR(__xludf.DUMMYFUNCTION("""COMPUTED_VALUE"""),0.0)</f>
        <v>0</v>
      </c>
      <c r="AG37" s="180">
        <f>IFERROR(__xludf.DUMMYFUNCTION("""COMPUTED_VALUE"""),45751.0)</f>
        <v>45751</v>
      </c>
      <c r="AH37" s="179">
        <f>IFERROR(__xludf.DUMMYFUNCTION("""COMPUTED_VALUE"""),0.0)</f>
        <v>0</v>
      </c>
      <c r="AI37" s="180">
        <f>IFERROR(__xludf.DUMMYFUNCTION("""COMPUTED_VALUE"""),45811.0)</f>
        <v>45811</v>
      </c>
      <c r="AJ37" s="179">
        <f>IFERROR(__xludf.DUMMYFUNCTION("""COMPUTED_VALUE"""),0.0)</f>
        <v>0</v>
      </c>
      <c r="AK37" s="180">
        <f>IFERROR(__xludf.DUMMYFUNCTION("""COMPUTED_VALUE"""),45692.0)</f>
        <v>45692</v>
      </c>
      <c r="AL37" s="179">
        <f>IFERROR(__xludf.DUMMYFUNCTION("""COMPUTED_VALUE"""),0.0)</f>
        <v>0</v>
      </c>
      <c r="AM37" s="180">
        <f>IFERROR(__xludf.DUMMYFUNCTION("""COMPUTED_VALUE"""),45751.0)</f>
        <v>45751</v>
      </c>
      <c r="AN37" s="179">
        <f>IFERROR(__xludf.DUMMYFUNCTION("""COMPUTED_VALUE"""),0.0)</f>
        <v>0</v>
      </c>
      <c r="AO37" s="180">
        <f>IFERROR(__xludf.DUMMYFUNCTION("""COMPUTED_VALUE"""),45903.0)</f>
        <v>45903</v>
      </c>
      <c r="AP37" s="181">
        <f>IFERROR(__xludf.DUMMYFUNCTION("""COMPUTED_VALUE"""),0.0)</f>
        <v>0</v>
      </c>
      <c r="AQ37" s="178">
        <f>IFERROR(__xludf.DUMMYFUNCTION("""COMPUTED_VALUE"""),45781.0)</f>
        <v>45781</v>
      </c>
      <c r="AR37" s="179">
        <f>IFERROR(__xludf.DUMMYFUNCTION("""COMPUTED_VALUE"""),0.0)</f>
        <v>0</v>
      </c>
      <c r="AS37" s="180">
        <f>IFERROR(__xludf.DUMMYFUNCTION("""COMPUTED_VALUE"""),45781.0)</f>
        <v>45781</v>
      </c>
      <c r="AT37" s="179">
        <f>IFERROR(__xludf.DUMMYFUNCTION("""COMPUTED_VALUE"""),0.0)</f>
        <v>0</v>
      </c>
      <c r="AU37" s="180">
        <f>IFERROR(__xludf.DUMMYFUNCTION("""COMPUTED_VALUE"""),45751.0)</f>
        <v>45751</v>
      </c>
      <c r="AV37" s="179">
        <f>IFERROR(__xludf.DUMMYFUNCTION("""COMPUTED_VALUE"""),0.0)</f>
        <v>0</v>
      </c>
      <c r="AW37" s="180">
        <f>IFERROR(__xludf.DUMMYFUNCTION("""COMPUTED_VALUE"""),45751.0)</f>
        <v>45751</v>
      </c>
      <c r="AX37" s="179">
        <f>IFERROR(__xludf.DUMMYFUNCTION("""COMPUTED_VALUE"""),0.0)</f>
        <v>0</v>
      </c>
      <c r="AY37" s="180">
        <f>IFERROR(__xludf.DUMMYFUNCTION("""COMPUTED_VALUE"""),45781.0)</f>
        <v>45781</v>
      </c>
      <c r="AZ37" s="179">
        <f>IFERROR(__xludf.DUMMYFUNCTION("""COMPUTED_VALUE"""),0.0)</f>
        <v>0</v>
      </c>
      <c r="BA37" s="180">
        <f>IFERROR(__xludf.DUMMYFUNCTION("""COMPUTED_VALUE"""),45781.0)</f>
        <v>45781</v>
      </c>
      <c r="BB37" s="179">
        <f>IFERROR(__xludf.DUMMYFUNCTION("""COMPUTED_VALUE"""),0.0)</f>
        <v>0</v>
      </c>
      <c r="BC37" s="180">
        <f>IFERROR(__xludf.DUMMYFUNCTION("""COMPUTED_VALUE"""),45661.0)</f>
        <v>45661</v>
      </c>
      <c r="BD37" s="179">
        <f>IFERROR(__xludf.DUMMYFUNCTION("""COMPUTED_VALUE"""),0.0)</f>
        <v>0</v>
      </c>
      <c r="BE37" s="180">
        <f>IFERROR(__xludf.DUMMYFUNCTION("""COMPUTED_VALUE"""),45781.0)</f>
        <v>45781</v>
      </c>
      <c r="BF37" s="179">
        <f>IFERROR(__xludf.DUMMYFUNCTION("""COMPUTED_VALUE"""),0.0)</f>
        <v>0</v>
      </c>
      <c r="BG37" s="180">
        <f>IFERROR(__xludf.DUMMYFUNCTION("""COMPUTED_VALUE"""),45692.0)</f>
        <v>45692</v>
      </c>
      <c r="BH37" s="179">
        <f>IFERROR(__xludf.DUMMYFUNCTION("""COMPUTED_VALUE"""),0.0)</f>
        <v>0</v>
      </c>
      <c r="BI37" s="180">
        <f>IFERROR(__xludf.DUMMYFUNCTION("""COMPUTED_VALUE"""),45781.0)</f>
        <v>45781</v>
      </c>
      <c r="BJ37" s="179">
        <f>IFERROR(__xludf.DUMMYFUNCTION("""COMPUTED_VALUE"""),0.0)</f>
        <v>0</v>
      </c>
      <c r="BK37" s="182">
        <f>IFERROR(__xludf.DUMMYFUNCTION("""COMPUTED_VALUE"""),45750.0)</f>
        <v>45750</v>
      </c>
      <c r="BL37" s="179">
        <f>IFERROR(__xludf.DUMMYFUNCTION("""COMPUTED_VALUE"""),0.0)</f>
        <v>0</v>
      </c>
      <c r="BM37" s="180">
        <f>IFERROR(__xludf.DUMMYFUNCTION("""COMPUTED_VALUE"""),45932.0)</f>
        <v>45932</v>
      </c>
      <c r="BN37" s="179">
        <f>IFERROR(__xludf.DUMMYFUNCTION("""COMPUTED_VALUE"""),0.0)</f>
        <v>0</v>
      </c>
      <c r="BO37" s="180">
        <f>IFERROR(__xludf.DUMMYFUNCTION("""COMPUTED_VALUE"""),45902.0)</f>
        <v>45902</v>
      </c>
      <c r="BP37" s="179">
        <f>IFERROR(__xludf.DUMMYFUNCTION("""COMPUTED_VALUE"""),0.0)</f>
        <v>0</v>
      </c>
      <c r="BQ37" s="180">
        <f>IFERROR(__xludf.DUMMYFUNCTION("""COMPUTED_VALUE"""),45750.0)</f>
        <v>45750</v>
      </c>
      <c r="BR37" s="179">
        <f>IFERROR(__xludf.DUMMYFUNCTION("""COMPUTED_VALUE"""),0.0)</f>
        <v>0</v>
      </c>
      <c r="BS37" s="180">
        <f>IFERROR(__xludf.DUMMYFUNCTION("""COMPUTED_VALUE"""),45811.0)</f>
        <v>45811</v>
      </c>
      <c r="BT37" s="179">
        <f>IFERROR(__xludf.DUMMYFUNCTION("""COMPUTED_VALUE"""),0.0)</f>
        <v>0</v>
      </c>
      <c r="BU37" s="180">
        <f>IFERROR(__xludf.DUMMYFUNCTION("""COMPUTED_VALUE"""),45780.0)</f>
        <v>45780</v>
      </c>
      <c r="BV37" s="179">
        <f>IFERROR(__xludf.DUMMYFUNCTION("""COMPUTED_VALUE"""),0.0)</f>
        <v>0</v>
      </c>
      <c r="BW37" s="180">
        <f>IFERROR(__xludf.DUMMYFUNCTION("""COMPUTED_VALUE"""),45932.0)</f>
        <v>45932</v>
      </c>
      <c r="BX37" s="179">
        <f>IFERROR(__xludf.DUMMYFUNCTION("""COMPUTED_VALUE"""),0.0)</f>
        <v>0</v>
      </c>
      <c r="BY37" s="180">
        <f>IFERROR(__xludf.DUMMYFUNCTION("""COMPUTED_VALUE"""),45750.0)</f>
        <v>45750</v>
      </c>
      <c r="BZ37" s="179">
        <f>IFERROR(__xludf.DUMMYFUNCTION("""COMPUTED_VALUE"""),0.0)</f>
        <v>0</v>
      </c>
      <c r="CA37" s="180">
        <f>IFERROR(__xludf.DUMMYFUNCTION("""COMPUTED_VALUE"""),45719.0)</f>
        <v>45719</v>
      </c>
      <c r="CB37" s="179">
        <f>IFERROR(__xludf.DUMMYFUNCTION("""COMPUTED_VALUE"""),0.0)</f>
        <v>0</v>
      </c>
      <c r="CC37" s="180">
        <f>IFERROR(__xludf.DUMMYFUNCTION("""COMPUTED_VALUE"""),45719.0)</f>
        <v>45719</v>
      </c>
      <c r="CD37" s="179">
        <f>IFERROR(__xludf.DUMMYFUNCTION("""COMPUTED_VALUE"""),0.0)</f>
        <v>0</v>
      </c>
      <c r="CE37" s="182">
        <f>IFERROR(__xludf.DUMMYFUNCTION("""COMPUTED_VALUE"""),45811.0)</f>
        <v>45811</v>
      </c>
      <c r="CF37" s="179">
        <f>IFERROR(__xludf.DUMMYFUNCTION("""COMPUTED_VALUE"""),0.0)</f>
        <v>0</v>
      </c>
      <c r="CG37" s="180">
        <f>IFERROR(__xludf.DUMMYFUNCTION("""COMPUTED_VALUE"""),45932.0)</f>
        <v>45932</v>
      </c>
      <c r="CH37" s="179">
        <f>IFERROR(__xludf.DUMMYFUNCTION("""COMPUTED_VALUE"""),0.0)</f>
        <v>0</v>
      </c>
      <c r="CI37" s="180">
        <f>IFERROR(__xludf.DUMMYFUNCTION("""COMPUTED_VALUE"""),45660.0)</f>
        <v>45660</v>
      </c>
      <c r="CJ37" s="179">
        <f>IFERROR(__xludf.DUMMYFUNCTION("""COMPUTED_VALUE"""),0.0)</f>
        <v>0</v>
      </c>
      <c r="CK37" s="180">
        <f>IFERROR(__xludf.DUMMYFUNCTION("""COMPUTED_VALUE"""),45691.0)</f>
        <v>45691</v>
      </c>
      <c r="CL37" s="179">
        <f>IFERROR(__xludf.DUMMYFUNCTION("""COMPUTED_VALUE"""),0.0)</f>
        <v>0</v>
      </c>
      <c r="CM37" s="180">
        <f>IFERROR(__xludf.DUMMYFUNCTION("""COMPUTED_VALUE"""),45780.0)</f>
        <v>45780</v>
      </c>
      <c r="CN37" s="179">
        <f>IFERROR(__xludf.DUMMYFUNCTION("""COMPUTED_VALUE"""),0.0)</f>
        <v>0</v>
      </c>
      <c r="CO37" s="180">
        <f>IFERROR(__xludf.DUMMYFUNCTION("""COMPUTED_VALUE"""),45750.0)</f>
        <v>45750</v>
      </c>
      <c r="CP37" s="179">
        <f>IFERROR(__xludf.DUMMYFUNCTION("""COMPUTED_VALUE"""),0.0)</f>
        <v>0</v>
      </c>
      <c r="CQ37" s="180">
        <f>IFERROR(__xludf.DUMMYFUNCTION("""COMPUTED_VALUE"""),45810.0)</f>
        <v>45810</v>
      </c>
      <c r="CR37" s="179">
        <f>IFERROR(__xludf.DUMMYFUNCTION("""COMPUTED_VALUE"""),0.0)</f>
        <v>0</v>
      </c>
      <c r="CS37" s="180">
        <f>IFERROR(__xludf.DUMMYFUNCTION("""COMPUTED_VALUE"""),45750.0)</f>
        <v>45750</v>
      </c>
      <c r="CT37" s="179">
        <f>IFERROR(__xludf.DUMMYFUNCTION("""COMPUTED_VALUE"""),0.0)</f>
        <v>0</v>
      </c>
      <c r="CU37" s="180">
        <f>IFERROR(__xludf.DUMMYFUNCTION("""COMPUTED_VALUE"""),45811.0)</f>
        <v>45811</v>
      </c>
      <c r="CV37" s="179">
        <f>IFERROR(__xludf.DUMMYFUNCTION("""COMPUTED_VALUE"""),0.0)</f>
        <v>0</v>
      </c>
      <c r="CW37" s="180">
        <f>IFERROR(__xludf.DUMMYFUNCTION("""COMPUTED_VALUE"""),45810.0)</f>
        <v>45810</v>
      </c>
      <c r="CX37" s="179">
        <f>IFERROR(__xludf.DUMMYFUNCTION("""COMPUTED_VALUE"""),0.0)</f>
        <v>0</v>
      </c>
      <c r="CY37" s="182">
        <f>IFERROR(__xludf.DUMMYFUNCTION("""COMPUTED_VALUE"""),45780.0)</f>
        <v>45780</v>
      </c>
      <c r="CZ37" s="179">
        <f>IFERROR(__xludf.DUMMYFUNCTION("""COMPUTED_VALUE"""),0.0)</f>
        <v>0</v>
      </c>
      <c r="DA37" s="180">
        <f>IFERROR(__xludf.DUMMYFUNCTION("""COMPUTED_VALUE"""),45780.0)</f>
        <v>45780</v>
      </c>
      <c r="DB37" s="179">
        <f>IFERROR(__xludf.DUMMYFUNCTION("""COMPUTED_VALUE"""),0.0)</f>
        <v>0</v>
      </c>
      <c r="DC37" s="180">
        <f>IFERROR(__xludf.DUMMYFUNCTION("""COMPUTED_VALUE"""),45691.0)</f>
        <v>45691</v>
      </c>
      <c r="DD37" s="179">
        <f>IFERROR(__xludf.DUMMYFUNCTION("""COMPUTED_VALUE"""),0.0)</f>
        <v>0</v>
      </c>
      <c r="DE37" s="180">
        <f>IFERROR(__xludf.DUMMYFUNCTION("""COMPUTED_VALUE"""),45719.0)</f>
        <v>45719</v>
      </c>
      <c r="DF37" s="179">
        <f>IFERROR(__xludf.DUMMYFUNCTION("""COMPUTED_VALUE"""),0.0)</f>
        <v>0</v>
      </c>
      <c r="DG37" s="180">
        <f>IFERROR(__xludf.DUMMYFUNCTION("""COMPUTED_VALUE"""),45811.0)</f>
        <v>45811</v>
      </c>
      <c r="DH37" s="179">
        <f>IFERROR(__xludf.DUMMYFUNCTION("""COMPUTED_VALUE"""),0.0)</f>
        <v>0</v>
      </c>
      <c r="DI37" s="180">
        <f>IFERROR(__xludf.DUMMYFUNCTION("""COMPUTED_VALUE"""),45811.0)</f>
        <v>45811</v>
      </c>
      <c r="DJ37" s="179">
        <f>IFERROR(__xludf.DUMMYFUNCTION("""COMPUTED_VALUE"""),0.0)</f>
        <v>0</v>
      </c>
      <c r="DK37" s="180">
        <f>IFERROR(__xludf.DUMMYFUNCTION("""COMPUTED_VALUE"""),45750.0)</f>
        <v>45750</v>
      </c>
      <c r="DL37" s="179">
        <f>IFERROR(__xludf.DUMMYFUNCTION("""COMPUTED_VALUE"""),0.0)</f>
        <v>0</v>
      </c>
      <c r="DM37" s="180">
        <f>IFERROR(__xludf.DUMMYFUNCTION("""COMPUTED_VALUE"""),45750.0)</f>
        <v>45750</v>
      </c>
      <c r="DN37" s="179">
        <f>IFERROR(__xludf.DUMMYFUNCTION("""COMPUTED_VALUE"""),0.0)</f>
        <v>0</v>
      </c>
      <c r="DO37" s="180">
        <f>IFERROR(__xludf.DUMMYFUNCTION("""COMPUTED_VALUE"""),45750.0)</f>
        <v>45750</v>
      </c>
      <c r="DP37" s="179">
        <f>IFERROR(__xludf.DUMMYFUNCTION("""COMPUTED_VALUE"""),0.0)</f>
        <v>0</v>
      </c>
      <c r="DQ37" s="180">
        <f>IFERROR(__xludf.DUMMYFUNCTION("""COMPUTED_VALUE"""),45932.0)</f>
        <v>45932</v>
      </c>
      <c r="DR37" s="179">
        <f>IFERROR(__xludf.DUMMYFUNCTION("""COMPUTED_VALUE"""),0.0)</f>
        <v>0</v>
      </c>
      <c r="DS37" s="182">
        <f>IFERROR(__xludf.DUMMYFUNCTION("""COMPUTED_VALUE"""),45780.0)</f>
        <v>45780</v>
      </c>
      <c r="DT37" s="179">
        <f>IFERROR(__xludf.DUMMYFUNCTION("""COMPUTED_VALUE"""),0.0)</f>
        <v>0</v>
      </c>
      <c r="DU37" s="180">
        <f>IFERROR(__xludf.DUMMYFUNCTION("""COMPUTED_VALUE"""),45750.0)</f>
        <v>45750</v>
      </c>
      <c r="DV37" s="179">
        <f>IFERROR(__xludf.DUMMYFUNCTION("""COMPUTED_VALUE"""),0.0)</f>
        <v>0</v>
      </c>
      <c r="DW37" s="180">
        <f>IFERROR(__xludf.DUMMYFUNCTION("""COMPUTED_VALUE"""),45750.0)</f>
        <v>45750</v>
      </c>
      <c r="DX37" s="179">
        <f>IFERROR(__xludf.DUMMYFUNCTION("""COMPUTED_VALUE"""),0.0)</f>
        <v>0</v>
      </c>
      <c r="DY37" s="180">
        <f>IFERROR(__xludf.DUMMYFUNCTION("""COMPUTED_VALUE"""),45780.0)</f>
        <v>45780</v>
      </c>
      <c r="DZ37" s="179">
        <f>IFERROR(__xludf.DUMMYFUNCTION("""COMPUTED_VALUE"""),0.0)</f>
        <v>0</v>
      </c>
      <c r="EA37" s="180">
        <f>IFERROR(__xludf.DUMMYFUNCTION("""COMPUTED_VALUE"""),45811.0)</f>
        <v>45811</v>
      </c>
      <c r="EB37" s="179">
        <f>IFERROR(__xludf.DUMMYFUNCTION("""COMPUTED_VALUE"""),0.0)</f>
        <v>0</v>
      </c>
      <c r="EC37" s="180">
        <f>IFERROR(__xludf.DUMMYFUNCTION("""COMPUTED_VALUE"""),45780.0)</f>
        <v>45780</v>
      </c>
      <c r="ED37" s="179">
        <f>IFERROR(__xludf.DUMMYFUNCTION("""COMPUTED_VALUE"""),0.0)</f>
        <v>0</v>
      </c>
      <c r="EE37" s="180">
        <f>IFERROR(__xludf.DUMMYFUNCTION("""COMPUTED_VALUE"""),45691.0)</f>
        <v>45691</v>
      </c>
      <c r="EF37" s="179">
        <f>IFERROR(__xludf.DUMMYFUNCTION("""COMPUTED_VALUE"""),0.0)</f>
        <v>0</v>
      </c>
      <c r="EG37" s="180">
        <f>IFERROR(__xludf.DUMMYFUNCTION("""COMPUTED_VALUE"""),45780.0)</f>
        <v>45780</v>
      </c>
      <c r="EH37" s="179">
        <f>IFERROR(__xludf.DUMMYFUNCTION("""COMPUTED_VALUE"""),0.0)</f>
        <v>0</v>
      </c>
      <c r="EI37" s="180">
        <f>IFERROR(__xludf.DUMMYFUNCTION("""COMPUTED_VALUE"""),45780.0)</f>
        <v>45780</v>
      </c>
      <c r="EJ37" s="179">
        <f>IFERROR(__xludf.DUMMYFUNCTION("""COMPUTED_VALUE"""),0.0)</f>
        <v>0</v>
      </c>
      <c r="EK37" s="180">
        <f>IFERROR(__xludf.DUMMYFUNCTION("""COMPUTED_VALUE"""),45719.0)</f>
        <v>45719</v>
      </c>
      <c r="EL37" s="179">
        <f>IFERROR(__xludf.DUMMYFUNCTION("""COMPUTED_VALUE"""),0.0)</f>
        <v>0</v>
      </c>
      <c r="EM37" s="182">
        <f>IFERROR(__xludf.DUMMYFUNCTION("""COMPUTED_VALUE"""),45691.0)</f>
        <v>45691</v>
      </c>
      <c r="EN37" s="179">
        <f>IFERROR(__xludf.DUMMYFUNCTION("""COMPUTED_VALUE"""),0.0)</f>
        <v>0</v>
      </c>
      <c r="EO37" s="180">
        <f>IFERROR(__xludf.DUMMYFUNCTION("""COMPUTED_VALUE"""),45780.0)</f>
        <v>45780</v>
      </c>
      <c r="EP37" s="179">
        <f>IFERROR(__xludf.DUMMYFUNCTION("""COMPUTED_VALUE"""),0.0)</f>
        <v>0</v>
      </c>
      <c r="EQ37" s="180">
        <f>IFERROR(__xludf.DUMMYFUNCTION("""COMPUTED_VALUE"""),45780.0)</f>
        <v>45780</v>
      </c>
      <c r="ER37" s="179">
        <f>IFERROR(__xludf.DUMMYFUNCTION("""COMPUTED_VALUE"""),0.0)</f>
        <v>0</v>
      </c>
      <c r="ES37" s="180">
        <f>IFERROR(__xludf.DUMMYFUNCTION("""COMPUTED_VALUE"""),45811.0)</f>
        <v>45811</v>
      </c>
      <c r="ET37" s="179">
        <f>IFERROR(__xludf.DUMMYFUNCTION("""COMPUTED_VALUE"""),0.0)</f>
        <v>0</v>
      </c>
      <c r="EU37" s="180">
        <f>IFERROR(__xludf.DUMMYFUNCTION("""COMPUTED_VALUE"""),45780.0)</f>
        <v>45780</v>
      </c>
      <c r="EV37" s="179">
        <f>IFERROR(__xludf.DUMMYFUNCTION("""COMPUTED_VALUE"""),0.0)</f>
        <v>0</v>
      </c>
      <c r="EW37" s="180">
        <f>IFERROR(__xludf.DUMMYFUNCTION("""COMPUTED_VALUE"""),45811.0)</f>
        <v>45811</v>
      </c>
      <c r="EX37" s="179">
        <f>IFERROR(__xludf.DUMMYFUNCTION("""COMPUTED_VALUE"""),0.0)</f>
        <v>0</v>
      </c>
      <c r="EY37" s="180">
        <f>IFERROR(__xludf.DUMMYFUNCTION("""COMPUTED_VALUE"""),45811.0)</f>
        <v>45811</v>
      </c>
      <c r="EZ37" s="179">
        <f>IFERROR(__xludf.DUMMYFUNCTION("""COMPUTED_VALUE"""),0.0)</f>
        <v>0</v>
      </c>
      <c r="FA37" s="180">
        <f>IFERROR(__xludf.DUMMYFUNCTION("""COMPUTED_VALUE"""),45780.0)</f>
        <v>45780</v>
      </c>
      <c r="FB37" s="179">
        <f>IFERROR(__xludf.DUMMYFUNCTION("""COMPUTED_VALUE"""),0.0)</f>
        <v>0</v>
      </c>
      <c r="FC37" s="180">
        <f>IFERROR(__xludf.DUMMYFUNCTION("""COMPUTED_VALUE"""),45811.0)</f>
        <v>45811</v>
      </c>
      <c r="FD37" s="179">
        <f>IFERROR(__xludf.DUMMYFUNCTION("""COMPUTED_VALUE"""),0.0)</f>
        <v>0</v>
      </c>
      <c r="FE37" s="180">
        <f>IFERROR(__xludf.DUMMYFUNCTION("""COMPUTED_VALUE"""),45691.0)</f>
        <v>45691</v>
      </c>
      <c r="FF37" s="179">
        <f>IFERROR(__xludf.DUMMYFUNCTION("""COMPUTED_VALUE"""),0.0)</f>
        <v>0</v>
      </c>
      <c r="FG37" s="182">
        <f>IFERROR(__xludf.DUMMYFUNCTION("""COMPUTED_VALUE"""),45691.0)</f>
        <v>45691</v>
      </c>
      <c r="FH37" s="179">
        <f>IFERROR(__xludf.DUMMYFUNCTION("""COMPUTED_VALUE"""),0.0)</f>
        <v>0</v>
      </c>
      <c r="FI37" s="180">
        <f>IFERROR(__xludf.DUMMYFUNCTION("""COMPUTED_VALUE"""),45691.0)</f>
        <v>45691</v>
      </c>
      <c r="FJ37" s="179">
        <f>IFERROR(__xludf.DUMMYFUNCTION("""COMPUTED_VALUE"""),0.0)</f>
        <v>0</v>
      </c>
      <c r="FK37" s="180">
        <f>IFERROR(__xludf.DUMMYFUNCTION("""COMPUTED_VALUE"""),45871.0)</f>
        <v>45871</v>
      </c>
      <c r="FL37" s="179">
        <f>IFERROR(__xludf.DUMMYFUNCTION("""COMPUTED_VALUE"""),0.0)</f>
        <v>0</v>
      </c>
      <c r="FM37" s="180">
        <f>IFERROR(__xludf.DUMMYFUNCTION("""COMPUTED_VALUE"""),45811.0)</f>
        <v>45811</v>
      </c>
      <c r="FN37" s="179">
        <f>IFERROR(__xludf.DUMMYFUNCTION("""COMPUTED_VALUE"""),0.0)</f>
        <v>0</v>
      </c>
      <c r="FO37" s="180">
        <f>IFERROR(__xludf.DUMMYFUNCTION("""COMPUTED_VALUE"""),45811.0)</f>
        <v>45811</v>
      </c>
      <c r="FP37" s="179">
        <f>IFERROR(__xludf.DUMMYFUNCTION("""COMPUTED_VALUE"""),0.0)</f>
        <v>0</v>
      </c>
      <c r="FQ37" s="180">
        <f>IFERROR(__xludf.DUMMYFUNCTION("""COMPUTED_VALUE"""),45811.0)</f>
        <v>45811</v>
      </c>
      <c r="FR37" s="179">
        <f>IFERROR(__xludf.DUMMYFUNCTION("""COMPUTED_VALUE"""),0.0)</f>
        <v>0</v>
      </c>
      <c r="FS37" s="180">
        <f>IFERROR(__xludf.DUMMYFUNCTION("""COMPUTED_VALUE"""),45691.0)</f>
        <v>45691</v>
      </c>
      <c r="FT37" s="179">
        <f>IFERROR(__xludf.DUMMYFUNCTION("""COMPUTED_VALUE"""),0.0)</f>
        <v>0</v>
      </c>
      <c r="FU37" s="180">
        <f>IFERROR(__xludf.DUMMYFUNCTION("""COMPUTED_VALUE"""),45811.0)</f>
        <v>45811</v>
      </c>
      <c r="FV37" s="179">
        <f>IFERROR(__xludf.DUMMYFUNCTION("""COMPUTED_VALUE"""),0.0)</f>
        <v>0</v>
      </c>
      <c r="FW37" s="180">
        <f>IFERROR(__xludf.DUMMYFUNCTION("""COMPUTED_VALUE"""),45811.0)</f>
        <v>45811</v>
      </c>
      <c r="FX37" s="179">
        <f>IFERROR(__xludf.DUMMYFUNCTION("""COMPUTED_VALUE"""),0.0)</f>
        <v>0</v>
      </c>
      <c r="FY37" s="180">
        <f>IFERROR(__xludf.DUMMYFUNCTION("""COMPUTED_VALUE"""),45871.0)</f>
        <v>45871</v>
      </c>
      <c r="FZ37" s="179">
        <f>IFERROR(__xludf.DUMMYFUNCTION("""COMPUTED_VALUE"""),0.0)</f>
        <v>0</v>
      </c>
      <c r="GA37" s="182">
        <f>IFERROR(__xludf.DUMMYFUNCTION("""COMPUTED_VALUE"""),45811.0)</f>
        <v>45811</v>
      </c>
      <c r="GB37" s="179">
        <f>IFERROR(__xludf.DUMMYFUNCTION("""COMPUTED_VALUE"""),0.0)</f>
        <v>0</v>
      </c>
      <c r="GC37" s="180">
        <f>IFERROR(__xludf.DUMMYFUNCTION("""COMPUTED_VALUE"""),45719.0)</f>
        <v>45719</v>
      </c>
      <c r="GD37" s="179">
        <f>IFERROR(__xludf.DUMMYFUNCTION("""COMPUTED_VALUE"""),0.0)</f>
        <v>0</v>
      </c>
      <c r="GE37" s="180">
        <f>IFERROR(__xludf.DUMMYFUNCTION("""COMPUTED_VALUE"""),45719.0)</f>
        <v>45719</v>
      </c>
      <c r="GF37" s="179">
        <f>IFERROR(__xludf.DUMMYFUNCTION("""COMPUTED_VALUE"""),0.0)</f>
        <v>0</v>
      </c>
      <c r="GG37" s="180">
        <f>IFERROR(__xludf.DUMMYFUNCTION("""COMPUTED_VALUE"""),45750.0)</f>
        <v>45750</v>
      </c>
      <c r="GH37" s="179">
        <f>IFERROR(__xludf.DUMMYFUNCTION("""COMPUTED_VALUE"""),0.0)</f>
        <v>0</v>
      </c>
      <c r="GI37" s="180">
        <f>IFERROR(__xludf.DUMMYFUNCTION("""COMPUTED_VALUE"""),45811.0)</f>
        <v>45811</v>
      </c>
      <c r="GJ37" s="179">
        <f>IFERROR(__xludf.DUMMYFUNCTION("""COMPUTED_VALUE"""),0.0)</f>
        <v>0</v>
      </c>
      <c r="GK37" s="180">
        <f>IFERROR(__xludf.DUMMYFUNCTION("""COMPUTED_VALUE"""),45811.0)</f>
        <v>45811</v>
      </c>
      <c r="GL37" s="179">
        <f>IFERROR(__xludf.DUMMYFUNCTION("""COMPUTED_VALUE"""),0.0)</f>
        <v>0</v>
      </c>
      <c r="GM37" s="180">
        <f>IFERROR(__xludf.DUMMYFUNCTION("""COMPUTED_VALUE"""),45932.0)</f>
        <v>45932</v>
      </c>
      <c r="GN37" s="179">
        <f>IFERROR(__xludf.DUMMYFUNCTION("""COMPUTED_VALUE"""),0.0)</f>
        <v>0</v>
      </c>
      <c r="GO37" s="180">
        <f>IFERROR(__xludf.DUMMYFUNCTION("""COMPUTED_VALUE"""),45811.0)</f>
        <v>45811</v>
      </c>
      <c r="GP37" s="179">
        <f>IFERROR(__xludf.DUMMYFUNCTION("""COMPUTED_VALUE"""),0.0)</f>
        <v>0</v>
      </c>
      <c r="GQ37" s="180">
        <f>IFERROR(__xludf.DUMMYFUNCTION("""COMPUTED_VALUE"""),45660.0)</f>
        <v>45660</v>
      </c>
      <c r="GR37" s="179">
        <f>IFERROR(__xludf.DUMMYFUNCTION("""COMPUTED_VALUE"""),0.0)</f>
        <v>0</v>
      </c>
      <c r="GS37" s="180">
        <f>IFERROR(__xludf.DUMMYFUNCTION("""COMPUTED_VALUE"""),45902.0)</f>
        <v>45902</v>
      </c>
      <c r="GT37" s="179">
        <f>IFERROR(__xludf.DUMMYFUNCTION("""COMPUTED_VALUE"""),0.0)</f>
        <v>0</v>
      </c>
    </row>
    <row r="38" ht="31.5" customHeight="1">
      <c r="B38" s="183"/>
      <c r="C38" s="178">
        <f>IFERROR(__xludf.DUMMYFUNCTION("""COMPUTED_VALUE"""),45692.0)</f>
        <v>45692</v>
      </c>
      <c r="D38" s="179">
        <f>IFERROR(__xludf.DUMMYFUNCTION("""COMPUTED_VALUE"""),0.0)</f>
        <v>0</v>
      </c>
      <c r="E38" s="180">
        <f>IFERROR(__xludf.DUMMYFUNCTION("""COMPUTED_VALUE"""),45720.0)</f>
        <v>45720</v>
      </c>
      <c r="F38" s="179">
        <f>IFERROR(__xludf.DUMMYFUNCTION("""COMPUTED_VALUE"""),0.0)</f>
        <v>0</v>
      </c>
      <c r="G38" s="180">
        <f>IFERROR(__xludf.DUMMYFUNCTION("""COMPUTED_VALUE"""),45720.0)</f>
        <v>45720</v>
      </c>
      <c r="H38" s="179">
        <f>IFERROR(__xludf.DUMMYFUNCTION("""COMPUTED_VALUE"""),0.0)</f>
        <v>0</v>
      </c>
      <c r="I38" s="180">
        <f>IFERROR(__xludf.DUMMYFUNCTION("""COMPUTED_VALUE"""),45781.0)</f>
        <v>45781</v>
      </c>
      <c r="J38" s="179">
        <f>IFERROR(__xludf.DUMMYFUNCTION("""COMPUTED_VALUE"""),0.0)</f>
        <v>0</v>
      </c>
      <c r="K38" s="180">
        <f>IFERROR(__xludf.DUMMYFUNCTION("""COMPUTED_VALUE"""),45933.0)</f>
        <v>45933</v>
      </c>
      <c r="L38" s="179">
        <f>IFERROR(__xludf.DUMMYFUNCTION("""COMPUTED_VALUE"""),0.0)</f>
        <v>0</v>
      </c>
      <c r="M38" s="180">
        <f>IFERROR(__xludf.DUMMYFUNCTION("""COMPUTED_VALUE"""),45692.0)</f>
        <v>45692</v>
      </c>
      <c r="N38" s="179">
        <f>IFERROR(__xludf.DUMMYFUNCTION("""COMPUTED_VALUE"""),0.0)</f>
        <v>0</v>
      </c>
      <c r="O38" s="180">
        <f>IFERROR(__xludf.DUMMYFUNCTION("""COMPUTED_VALUE"""),45841.0)</f>
        <v>45841</v>
      </c>
      <c r="P38" s="179">
        <f>IFERROR(__xludf.DUMMYFUNCTION("""COMPUTED_VALUE"""),0.0)</f>
        <v>0</v>
      </c>
      <c r="Q38" s="180">
        <f>IFERROR(__xludf.DUMMYFUNCTION("""COMPUTED_VALUE"""),45872.0)</f>
        <v>45872</v>
      </c>
      <c r="R38" s="179">
        <f>IFERROR(__xludf.DUMMYFUNCTION("""COMPUTED_VALUE"""),0.0)</f>
        <v>0</v>
      </c>
      <c r="S38" s="180">
        <f>IFERROR(__xludf.DUMMYFUNCTION("""COMPUTED_VALUE"""),45751.0)</f>
        <v>45751</v>
      </c>
      <c r="T38" s="179">
        <f>IFERROR(__xludf.DUMMYFUNCTION("""COMPUTED_VALUE"""),0.0)</f>
        <v>0</v>
      </c>
      <c r="U38" s="180">
        <f>IFERROR(__xludf.DUMMYFUNCTION("""COMPUTED_VALUE"""),45841.0)</f>
        <v>45841</v>
      </c>
      <c r="V38" s="181">
        <f>IFERROR(__xludf.DUMMYFUNCTION("""COMPUTED_VALUE"""),0.0)</f>
        <v>0</v>
      </c>
      <c r="W38" s="178">
        <f>IFERROR(__xludf.DUMMYFUNCTION("""COMPUTED_VALUE"""),45781.0)</f>
        <v>45781</v>
      </c>
      <c r="X38" s="179">
        <f>IFERROR(__xludf.DUMMYFUNCTION("""COMPUTED_VALUE"""),0.0)</f>
        <v>0</v>
      </c>
      <c r="Y38" s="180">
        <f>IFERROR(__xludf.DUMMYFUNCTION("""COMPUTED_VALUE"""),45903.0)</f>
        <v>45903</v>
      </c>
      <c r="Z38" s="179">
        <f>IFERROR(__xludf.DUMMYFUNCTION("""COMPUTED_VALUE"""),0.0)</f>
        <v>0</v>
      </c>
      <c r="AA38" s="180">
        <f>IFERROR(__xludf.DUMMYFUNCTION("""COMPUTED_VALUE"""),45751.0)</f>
        <v>45751</v>
      </c>
      <c r="AB38" s="179">
        <f>IFERROR(__xludf.DUMMYFUNCTION("""COMPUTED_VALUE"""),0.0)</f>
        <v>0</v>
      </c>
      <c r="AC38" s="180">
        <f>IFERROR(__xludf.DUMMYFUNCTION("""COMPUTED_VALUE"""),45841.0)</f>
        <v>45841</v>
      </c>
      <c r="AD38" s="179">
        <f>IFERROR(__xludf.DUMMYFUNCTION("""COMPUTED_VALUE"""),0.0)</f>
        <v>0</v>
      </c>
      <c r="AE38" s="180">
        <f>IFERROR(__xludf.DUMMYFUNCTION("""COMPUTED_VALUE"""),45903.0)</f>
        <v>45903</v>
      </c>
      <c r="AF38" s="179">
        <f>IFERROR(__xludf.DUMMYFUNCTION("""COMPUTED_VALUE"""),0.0)</f>
        <v>0</v>
      </c>
      <c r="AG38" s="180">
        <f>IFERROR(__xludf.DUMMYFUNCTION("""COMPUTED_VALUE"""),45781.0)</f>
        <v>45781</v>
      </c>
      <c r="AH38" s="179">
        <f>IFERROR(__xludf.DUMMYFUNCTION("""COMPUTED_VALUE"""),0.0)</f>
        <v>0</v>
      </c>
      <c r="AI38" s="180">
        <f>IFERROR(__xludf.DUMMYFUNCTION("""COMPUTED_VALUE"""),45841.0)</f>
        <v>45841</v>
      </c>
      <c r="AJ38" s="179">
        <f>IFERROR(__xludf.DUMMYFUNCTION("""COMPUTED_VALUE"""),0.0)</f>
        <v>0</v>
      </c>
      <c r="AK38" s="180">
        <f>IFERROR(__xludf.DUMMYFUNCTION("""COMPUTED_VALUE"""),45720.0)</f>
        <v>45720</v>
      </c>
      <c r="AL38" s="179">
        <f>IFERROR(__xludf.DUMMYFUNCTION("""COMPUTED_VALUE"""),0.0)</f>
        <v>0</v>
      </c>
      <c r="AM38" s="180">
        <f>IFERROR(__xludf.DUMMYFUNCTION("""COMPUTED_VALUE"""),45781.0)</f>
        <v>45781</v>
      </c>
      <c r="AN38" s="179">
        <f>IFERROR(__xludf.DUMMYFUNCTION("""COMPUTED_VALUE"""),0.0)</f>
        <v>0</v>
      </c>
      <c r="AO38" s="180">
        <f>IFERROR(__xludf.DUMMYFUNCTION("""COMPUTED_VALUE"""),45661.0)</f>
        <v>45661</v>
      </c>
      <c r="AP38" s="181">
        <f>IFERROR(__xludf.DUMMYFUNCTION("""COMPUTED_VALUE"""),0.0)</f>
        <v>0</v>
      </c>
      <c r="AQ38" s="178">
        <f>IFERROR(__xludf.DUMMYFUNCTION("""COMPUTED_VALUE"""),45812.0)</f>
        <v>45812</v>
      </c>
      <c r="AR38" s="179">
        <f>IFERROR(__xludf.DUMMYFUNCTION("""COMPUTED_VALUE"""),0.0)</f>
        <v>0</v>
      </c>
      <c r="AS38" s="180">
        <f>IFERROR(__xludf.DUMMYFUNCTION("""COMPUTED_VALUE"""),45812.0)</f>
        <v>45812</v>
      </c>
      <c r="AT38" s="179">
        <f>IFERROR(__xludf.DUMMYFUNCTION("""COMPUTED_VALUE"""),0.0)</f>
        <v>0</v>
      </c>
      <c r="AU38" s="180">
        <f>IFERROR(__xludf.DUMMYFUNCTION("""COMPUTED_VALUE"""),45781.0)</f>
        <v>45781</v>
      </c>
      <c r="AV38" s="179">
        <f>IFERROR(__xludf.DUMMYFUNCTION("""COMPUTED_VALUE"""),0.0)</f>
        <v>0</v>
      </c>
      <c r="AW38" s="180">
        <f>IFERROR(__xludf.DUMMYFUNCTION("""COMPUTED_VALUE"""),45781.0)</f>
        <v>45781</v>
      </c>
      <c r="AX38" s="179">
        <f>IFERROR(__xludf.DUMMYFUNCTION("""COMPUTED_VALUE"""),0.0)</f>
        <v>0</v>
      </c>
      <c r="AY38" s="180">
        <f>IFERROR(__xludf.DUMMYFUNCTION("""COMPUTED_VALUE"""),45812.0)</f>
        <v>45812</v>
      </c>
      <c r="AZ38" s="179">
        <f>IFERROR(__xludf.DUMMYFUNCTION("""COMPUTED_VALUE"""),0.0)</f>
        <v>0</v>
      </c>
      <c r="BA38" s="180">
        <f>IFERROR(__xludf.DUMMYFUNCTION("""COMPUTED_VALUE"""),45812.0)</f>
        <v>45812</v>
      </c>
      <c r="BB38" s="179">
        <f>IFERROR(__xludf.DUMMYFUNCTION("""COMPUTED_VALUE"""),0.0)</f>
        <v>0</v>
      </c>
      <c r="BC38" s="180">
        <f>IFERROR(__xludf.DUMMYFUNCTION("""COMPUTED_VALUE"""),45751.0)</f>
        <v>45751</v>
      </c>
      <c r="BD38" s="179">
        <f>IFERROR(__xludf.DUMMYFUNCTION("""COMPUTED_VALUE"""),0.0)</f>
        <v>0</v>
      </c>
      <c r="BE38" s="180">
        <f>IFERROR(__xludf.DUMMYFUNCTION("""COMPUTED_VALUE"""),45812.0)</f>
        <v>45812</v>
      </c>
      <c r="BF38" s="179">
        <f>IFERROR(__xludf.DUMMYFUNCTION("""COMPUTED_VALUE"""),0.0)</f>
        <v>0</v>
      </c>
      <c r="BG38" s="180">
        <f>IFERROR(__xludf.DUMMYFUNCTION("""COMPUTED_VALUE"""),45751.0)</f>
        <v>45751</v>
      </c>
      <c r="BH38" s="179">
        <f>IFERROR(__xludf.DUMMYFUNCTION("""COMPUTED_VALUE"""),0.0)</f>
        <v>0</v>
      </c>
      <c r="BI38" s="180">
        <f>IFERROR(__xludf.DUMMYFUNCTION("""COMPUTED_VALUE"""),45812.0)</f>
        <v>45812</v>
      </c>
      <c r="BJ38" s="179">
        <f>IFERROR(__xludf.DUMMYFUNCTION("""COMPUTED_VALUE"""),0.0)</f>
        <v>0</v>
      </c>
      <c r="BK38" s="182">
        <f>IFERROR(__xludf.DUMMYFUNCTION("""COMPUTED_VALUE"""),45780.0)</f>
        <v>45780</v>
      </c>
      <c r="BL38" s="179">
        <f>IFERROR(__xludf.DUMMYFUNCTION("""COMPUTED_VALUE"""),0.0)</f>
        <v>0</v>
      </c>
      <c r="BM38" s="180">
        <f>IFERROR(__xludf.DUMMYFUNCTION("""COMPUTED_VALUE"""),45660.0)</f>
        <v>45660</v>
      </c>
      <c r="BN38" s="179">
        <f>IFERROR(__xludf.DUMMYFUNCTION("""COMPUTED_VALUE"""),0.0)</f>
        <v>0</v>
      </c>
      <c r="BO38" s="180">
        <f>IFERROR(__xludf.DUMMYFUNCTION("""COMPUTED_VALUE"""),45932.0)</f>
        <v>45932</v>
      </c>
      <c r="BP38" s="179">
        <f>IFERROR(__xludf.DUMMYFUNCTION("""COMPUTED_VALUE"""),0.0)</f>
        <v>0</v>
      </c>
      <c r="BQ38" s="180">
        <f>IFERROR(__xludf.DUMMYFUNCTION("""COMPUTED_VALUE"""),45780.0)</f>
        <v>45780</v>
      </c>
      <c r="BR38" s="179">
        <f>IFERROR(__xludf.DUMMYFUNCTION("""COMPUTED_VALUE"""),0.0)</f>
        <v>0</v>
      </c>
      <c r="BS38" s="180">
        <f>IFERROR(__xludf.DUMMYFUNCTION("""COMPUTED_VALUE"""),45841.0)</f>
        <v>45841</v>
      </c>
      <c r="BT38" s="179">
        <f>IFERROR(__xludf.DUMMYFUNCTION("""COMPUTED_VALUE"""),0.0)</f>
        <v>0</v>
      </c>
      <c r="BU38" s="180">
        <f>IFERROR(__xludf.DUMMYFUNCTION("""COMPUTED_VALUE"""),45811.0)</f>
        <v>45811</v>
      </c>
      <c r="BV38" s="179">
        <f>IFERROR(__xludf.DUMMYFUNCTION("""COMPUTED_VALUE"""),0.0)</f>
        <v>0</v>
      </c>
      <c r="BW38" s="180">
        <f>IFERROR(__xludf.DUMMYFUNCTION("""COMPUTED_VALUE"""),45660.0)</f>
        <v>45660</v>
      </c>
      <c r="BX38" s="179">
        <f>IFERROR(__xludf.DUMMYFUNCTION("""COMPUTED_VALUE"""),0.0)</f>
        <v>0</v>
      </c>
      <c r="BY38" s="180">
        <f>IFERROR(__xludf.DUMMYFUNCTION("""COMPUTED_VALUE"""),45780.0)</f>
        <v>45780</v>
      </c>
      <c r="BZ38" s="179">
        <f>IFERROR(__xludf.DUMMYFUNCTION("""COMPUTED_VALUE"""),0.0)</f>
        <v>0</v>
      </c>
      <c r="CA38" s="180">
        <f>IFERROR(__xludf.DUMMYFUNCTION("""COMPUTED_VALUE"""),45750.0)</f>
        <v>45750</v>
      </c>
      <c r="CB38" s="179">
        <f>IFERROR(__xludf.DUMMYFUNCTION("""COMPUTED_VALUE"""),0.0)</f>
        <v>0</v>
      </c>
      <c r="CC38" s="180">
        <f>IFERROR(__xludf.DUMMYFUNCTION("""COMPUTED_VALUE"""),45750.0)</f>
        <v>45750</v>
      </c>
      <c r="CD38" s="179">
        <f>IFERROR(__xludf.DUMMYFUNCTION("""COMPUTED_VALUE"""),0.0)</f>
        <v>0</v>
      </c>
      <c r="CE38" s="182">
        <f>IFERROR(__xludf.DUMMYFUNCTION("""COMPUTED_VALUE"""),45841.0)</f>
        <v>45841</v>
      </c>
      <c r="CF38" s="179">
        <f>IFERROR(__xludf.DUMMYFUNCTION("""COMPUTED_VALUE"""),0.0)</f>
        <v>0</v>
      </c>
      <c r="CG38" s="180">
        <f>IFERROR(__xludf.DUMMYFUNCTION("""COMPUTED_VALUE"""),45660.0)</f>
        <v>45660</v>
      </c>
      <c r="CH38" s="179">
        <f>IFERROR(__xludf.DUMMYFUNCTION("""COMPUTED_VALUE"""),0.0)</f>
        <v>0</v>
      </c>
      <c r="CI38" s="180">
        <f>IFERROR(__xludf.DUMMYFUNCTION("""COMPUTED_VALUE"""),45691.0)</f>
        <v>45691</v>
      </c>
      <c r="CJ38" s="179">
        <f>IFERROR(__xludf.DUMMYFUNCTION("""COMPUTED_VALUE"""),0.0)</f>
        <v>0</v>
      </c>
      <c r="CK38" s="180">
        <f>IFERROR(__xludf.DUMMYFUNCTION("""COMPUTED_VALUE"""),45719.0)</f>
        <v>45719</v>
      </c>
      <c r="CL38" s="179">
        <f>IFERROR(__xludf.DUMMYFUNCTION("""COMPUTED_VALUE"""),0.0)</f>
        <v>0</v>
      </c>
      <c r="CM38" s="180">
        <f>IFERROR(__xludf.DUMMYFUNCTION("""COMPUTED_VALUE"""),45811.0)</f>
        <v>45811</v>
      </c>
      <c r="CN38" s="179">
        <f>IFERROR(__xludf.DUMMYFUNCTION("""COMPUTED_VALUE"""),0.0)</f>
        <v>0</v>
      </c>
      <c r="CO38" s="180">
        <f>IFERROR(__xludf.DUMMYFUNCTION("""COMPUTED_VALUE"""),45780.0)</f>
        <v>45780</v>
      </c>
      <c r="CP38" s="179">
        <f>IFERROR(__xludf.DUMMYFUNCTION("""COMPUTED_VALUE"""),0.0)</f>
        <v>0</v>
      </c>
      <c r="CQ38" s="180">
        <f>IFERROR(__xludf.DUMMYFUNCTION("""COMPUTED_VALUE"""),45871.0)</f>
        <v>45871</v>
      </c>
      <c r="CR38" s="179">
        <f>IFERROR(__xludf.DUMMYFUNCTION("""COMPUTED_VALUE"""),0.0)</f>
        <v>0</v>
      </c>
      <c r="CS38" s="180">
        <f>IFERROR(__xludf.DUMMYFUNCTION("""COMPUTED_VALUE"""),45780.0)</f>
        <v>45780</v>
      </c>
      <c r="CT38" s="179">
        <f>IFERROR(__xludf.DUMMYFUNCTION("""COMPUTED_VALUE"""),0.0)</f>
        <v>0</v>
      </c>
      <c r="CU38" s="180">
        <f>IFERROR(__xludf.DUMMYFUNCTION("""COMPUTED_VALUE"""),45841.0)</f>
        <v>45841</v>
      </c>
      <c r="CV38" s="179">
        <f>IFERROR(__xludf.DUMMYFUNCTION("""COMPUTED_VALUE"""),0.0)</f>
        <v>0</v>
      </c>
      <c r="CW38" s="180">
        <f>IFERROR(__xludf.DUMMYFUNCTION("""COMPUTED_VALUE"""),45840.0)</f>
        <v>45840</v>
      </c>
      <c r="CX38" s="179">
        <f>IFERROR(__xludf.DUMMYFUNCTION("""COMPUTED_VALUE"""),0.0)</f>
        <v>0</v>
      </c>
      <c r="CY38" s="182">
        <f>IFERROR(__xludf.DUMMYFUNCTION("""COMPUTED_VALUE"""),45811.0)</f>
        <v>45811</v>
      </c>
      <c r="CZ38" s="179">
        <f>IFERROR(__xludf.DUMMYFUNCTION("""COMPUTED_VALUE"""),0.0)</f>
        <v>0</v>
      </c>
      <c r="DA38" s="180">
        <f>IFERROR(__xludf.DUMMYFUNCTION("""COMPUTED_VALUE"""),45811.0)</f>
        <v>45811</v>
      </c>
      <c r="DB38" s="179">
        <f>IFERROR(__xludf.DUMMYFUNCTION("""COMPUTED_VALUE"""),0.0)</f>
        <v>0</v>
      </c>
      <c r="DC38" s="180">
        <f>IFERROR(__xludf.DUMMYFUNCTION("""COMPUTED_VALUE"""),45719.0)</f>
        <v>45719</v>
      </c>
      <c r="DD38" s="179">
        <f>IFERROR(__xludf.DUMMYFUNCTION("""COMPUTED_VALUE"""),0.0)</f>
        <v>0</v>
      </c>
      <c r="DE38" s="180">
        <f>IFERROR(__xludf.DUMMYFUNCTION("""COMPUTED_VALUE"""),45750.0)</f>
        <v>45750</v>
      </c>
      <c r="DF38" s="179">
        <f>IFERROR(__xludf.DUMMYFUNCTION("""COMPUTED_VALUE"""),0.0)</f>
        <v>0</v>
      </c>
      <c r="DG38" s="180">
        <f>IFERROR(__xludf.DUMMYFUNCTION("""COMPUTED_VALUE"""),45841.0)</f>
        <v>45841</v>
      </c>
      <c r="DH38" s="179">
        <f>IFERROR(__xludf.DUMMYFUNCTION("""COMPUTED_VALUE"""),0.0)</f>
        <v>0</v>
      </c>
      <c r="DI38" s="180">
        <f>IFERROR(__xludf.DUMMYFUNCTION("""COMPUTED_VALUE"""),45841.0)</f>
        <v>45841</v>
      </c>
      <c r="DJ38" s="179">
        <f>IFERROR(__xludf.DUMMYFUNCTION("""COMPUTED_VALUE"""),0.0)</f>
        <v>0</v>
      </c>
      <c r="DK38" s="180">
        <f>IFERROR(__xludf.DUMMYFUNCTION("""COMPUTED_VALUE"""),45780.0)</f>
        <v>45780</v>
      </c>
      <c r="DL38" s="179">
        <f>IFERROR(__xludf.DUMMYFUNCTION("""COMPUTED_VALUE"""),0.0)</f>
        <v>0</v>
      </c>
      <c r="DM38" s="180">
        <f>IFERROR(__xludf.DUMMYFUNCTION("""COMPUTED_VALUE"""),45780.0)</f>
        <v>45780</v>
      </c>
      <c r="DN38" s="179">
        <f>IFERROR(__xludf.DUMMYFUNCTION("""COMPUTED_VALUE"""),0.0)</f>
        <v>0</v>
      </c>
      <c r="DO38" s="180">
        <f>IFERROR(__xludf.DUMMYFUNCTION("""COMPUTED_VALUE"""),45780.0)</f>
        <v>45780</v>
      </c>
      <c r="DP38" s="179">
        <f>IFERROR(__xludf.DUMMYFUNCTION("""COMPUTED_VALUE"""),0.0)</f>
        <v>0</v>
      </c>
      <c r="DQ38" s="180">
        <f>IFERROR(__xludf.DUMMYFUNCTION("""COMPUTED_VALUE"""),45660.0)</f>
        <v>45660</v>
      </c>
      <c r="DR38" s="179">
        <f>IFERROR(__xludf.DUMMYFUNCTION("""COMPUTED_VALUE"""),0.0)</f>
        <v>0</v>
      </c>
      <c r="DS38" s="182">
        <f>IFERROR(__xludf.DUMMYFUNCTION("""COMPUTED_VALUE"""),45811.0)</f>
        <v>45811</v>
      </c>
      <c r="DT38" s="179">
        <f>IFERROR(__xludf.DUMMYFUNCTION("""COMPUTED_VALUE"""),0.0)</f>
        <v>0</v>
      </c>
      <c r="DU38" s="180">
        <f>IFERROR(__xludf.DUMMYFUNCTION("""COMPUTED_VALUE"""),45780.0)</f>
        <v>45780</v>
      </c>
      <c r="DV38" s="179">
        <f>IFERROR(__xludf.DUMMYFUNCTION("""COMPUTED_VALUE"""),0.0)</f>
        <v>0</v>
      </c>
      <c r="DW38" s="180">
        <f>IFERROR(__xludf.DUMMYFUNCTION("""COMPUTED_VALUE"""),45780.0)</f>
        <v>45780</v>
      </c>
      <c r="DX38" s="179">
        <f>IFERROR(__xludf.DUMMYFUNCTION("""COMPUTED_VALUE"""),0.0)</f>
        <v>0</v>
      </c>
      <c r="DY38" s="180">
        <f>IFERROR(__xludf.DUMMYFUNCTION("""COMPUTED_VALUE"""),45811.0)</f>
        <v>45811</v>
      </c>
      <c r="DZ38" s="179">
        <f>IFERROR(__xludf.DUMMYFUNCTION("""COMPUTED_VALUE"""),0.0)</f>
        <v>0</v>
      </c>
      <c r="EA38" s="180">
        <f>IFERROR(__xludf.DUMMYFUNCTION("""COMPUTED_VALUE"""),45841.0)</f>
        <v>45841</v>
      </c>
      <c r="EB38" s="179">
        <f>IFERROR(__xludf.DUMMYFUNCTION("""COMPUTED_VALUE"""),0.0)</f>
        <v>0</v>
      </c>
      <c r="EC38" s="180">
        <f>IFERROR(__xludf.DUMMYFUNCTION("""COMPUTED_VALUE"""),45811.0)</f>
        <v>45811</v>
      </c>
      <c r="ED38" s="179">
        <f>IFERROR(__xludf.DUMMYFUNCTION("""COMPUTED_VALUE"""),0.0)</f>
        <v>0</v>
      </c>
      <c r="EE38" s="180">
        <f>IFERROR(__xludf.DUMMYFUNCTION("""COMPUTED_VALUE"""),45719.0)</f>
        <v>45719</v>
      </c>
      <c r="EF38" s="179">
        <f>IFERROR(__xludf.DUMMYFUNCTION("""COMPUTED_VALUE"""),0.0)</f>
        <v>0</v>
      </c>
      <c r="EG38" s="180">
        <f>IFERROR(__xludf.DUMMYFUNCTION("""COMPUTED_VALUE"""),45811.0)</f>
        <v>45811</v>
      </c>
      <c r="EH38" s="179">
        <f>IFERROR(__xludf.DUMMYFUNCTION("""COMPUTED_VALUE"""),0.0)</f>
        <v>0</v>
      </c>
      <c r="EI38" s="180">
        <f>IFERROR(__xludf.DUMMYFUNCTION("""COMPUTED_VALUE"""),45811.0)</f>
        <v>45811</v>
      </c>
      <c r="EJ38" s="179">
        <f>IFERROR(__xludf.DUMMYFUNCTION("""COMPUTED_VALUE"""),0.0)</f>
        <v>0</v>
      </c>
      <c r="EK38" s="180">
        <f>IFERROR(__xludf.DUMMYFUNCTION("""COMPUTED_VALUE"""),45750.0)</f>
        <v>45750</v>
      </c>
      <c r="EL38" s="179">
        <f>IFERROR(__xludf.DUMMYFUNCTION("""COMPUTED_VALUE"""),0.0)</f>
        <v>0</v>
      </c>
      <c r="EM38" s="182">
        <f>IFERROR(__xludf.DUMMYFUNCTION("""COMPUTED_VALUE"""),45719.0)</f>
        <v>45719</v>
      </c>
      <c r="EN38" s="179">
        <f>IFERROR(__xludf.DUMMYFUNCTION("""COMPUTED_VALUE"""),0.0)</f>
        <v>0</v>
      </c>
      <c r="EO38" s="180">
        <f>IFERROR(__xludf.DUMMYFUNCTION("""COMPUTED_VALUE"""),45811.0)</f>
        <v>45811</v>
      </c>
      <c r="EP38" s="179">
        <f>IFERROR(__xludf.DUMMYFUNCTION("""COMPUTED_VALUE"""),0.0)</f>
        <v>0</v>
      </c>
      <c r="EQ38" s="180">
        <f>IFERROR(__xludf.DUMMYFUNCTION("""COMPUTED_VALUE"""),45811.0)</f>
        <v>45811</v>
      </c>
      <c r="ER38" s="179">
        <f>IFERROR(__xludf.DUMMYFUNCTION("""COMPUTED_VALUE"""),0.0)</f>
        <v>0</v>
      </c>
      <c r="ES38" s="180">
        <f>IFERROR(__xludf.DUMMYFUNCTION("""COMPUTED_VALUE"""),45841.0)</f>
        <v>45841</v>
      </c>
      <c r="ET38" s="179">
        <f>IFERROR(__xludf.DUMMYFUNCTION("""COMPUTED_VALUE"""),0.0)</f>
        <v>0</v>
      </c>
      <c r="EU38" s="180">
        <f>IFERROR(__xludf.DUMMYFUNCTION("""COMPUTED_VALUE"""),45811.0)</f>
        <v>45811</v>
      </c>
      <c r="EV38" s="179">
        <f>IFERROR(__xludf.DUMMYFUNCTION("""COMPUTED_VALUE"""),0.0)</f>
        <v>0</v>
      </c>
      <c r="EW38" s="180">
        <f>IFERROR(__xludf.DUMMYFUNCTION("""COMPUTED_VALUE"""),45841.0)</f>
        <v>45841</v>
      </c>
      <c r="EX38" s="179">
        <f>IFERROR(__xludf.DUMMYFUNCTION("""COMPUTED_VALUE"""),0.0)</f>
        <v>0</v>
      </c>
      <c r="EY38" s="180">
        <f>IFERROR(__xludf.DUMMYFUNCTION("""COMPUTED_VALUE"""),45841.0)</f>
        <v>45841</v>
      </c>
      <c r="EZ38" s="179">
        <f>IFERROR(__xludf.DUMMYFUNCTION("""COMPUTED_VALUE"""),0.0)</f>
        <v>0</v>
      </c>
      <c r="FA38" s="180">
        <f>IFERROR(__xludf.DUMMYFUNCTION("""COMPUTED_VALUE"""),45811.0)</f>
        <v>45811</v>
      </c>
      <c r="FB38" s="179">
        <f>IFERROR(__xludf.DUMMYFUNCTION("""COMPUTED_VALUE"""),0.0)</f>
        <v>0</v>
      </c>
      <c r="FC38" s="180">
        <f>IFERROR(__xludf.DUMMYFUNCTION("""COMPUTED_VALUE"""),45841.0)</f>
        <v>45841</v>
      </c>
      <c r="FD38" s="179">
        <f>IFERROR(__xludf.DUMMYFUNCTION("""COMPUTED_VALUE"""),0.0)</f>
        <v>0</v>
      </c>
      <c r="FE38" s="180">
        <f>IFERROR(__xludf.DUMMYFUNCTION("""COMPUTED_VALUE"""),45719.0)</f>
        <v>45719</v>
      </c>
      <c r="FF38" s="179">
        <f>IFERROR(__xludf.DUMMYFUNCTION("""COMPUTED_VALUE"""),0.0)</f>
        <v>0</v>
      </c>
      <c r="FG38" s="182">
        <f>IFERROR(__xludf.DUMMYFUNCTION("""COMPUTED_VALUE"""),45719.0)</f>
        <v>45719</v>
      </c>
      <c r="FH38" s="179">
        <f>IFERROR(__xludf.DUMMYFUNCTION("""COMPUTED_VALUE"""),0.0)</f>
        <v>0</v>
      </c>
      <c r="FI38" s="180">
        <f>IFERROR(__xludf.DUMMYFUNCTION("""COMPUTED_VALUE"""),45719.0)</f>
        <v>45719</v>
      </c>
      <c r="FJ38" s="179">
        <f>IFERROR(__xludf.DUMMYFUNCTION("""COMPUTED_VALUE"""),0.0)</f>
        <v>0</v>
      </c>
      <c r="FK38" s="180">
        <f>IFERROR(__xludf.DUMMYFUNCTION("""COMPUTED_VALUE"""),45902.0)</f>
        <v>45902</v>
      </c>
      <c r="FL38" s="179">
        <f>IFERROR(__xludf.DUMMYFUNCTION("""COMPUTED_VALUE"""),0.0)</f>
        <v>0</v>
      </c>
      <c r="FM38" s="180">
        <f>IFERROR(__xludf.DUMMYFUNCTION("""COMPUTED_VALUE"""),45841.0)</f>
        <v>45841</v>
      </c>
      <c r="FN38" s="179">
        <f>IFERROR(__xludf.DUMMYFUNCTION("""COMPUTED_VALUE"""),0.0)</f>
        <v>0</v>
      </c>
      <c r="FO38" s="180">
        <f>IFERROR(__xludf.DUMMYFUNCTION("""COMPUTED_VALUE"""),45841.0)</f>
        <v>45841</v>
      </c>
      <c r="FP38" s="179">
        <f>IFERROR(__xludf.DUMMYFUNCTION("""COMPUTED_VALUE"""),0.0)</f>
        <v>0</v>
      </c>
      <c r="FQ38" s="180">
        <f>IFERROR(__xludf.DUMMYFUNCTION("""COMPUTED_VALUE"""),45841.0)</f>
        <v>45841</v>
      </c>
      <c r="FR38" s="179">
        <f>IFERROR(__xludf.DUMMYFUNCTION("""COMPUTED_VALUE"""),0.0)</f>
        <v>0</v>
      </c>
      <c r="FS38" s="180">
        <f>IFERROR(__xludf.DUMMYFUNCTION("""COMPUTED_VALUE"""),45719.0)</f>
        <v>45719</v>
      </c>
      <c r="FT38" s="179">
        <f>IFERROR(__xludf.DUMMYFUNCTION("""COMPUTED_VALUE"""),0.0)</f>
        <v>0</v>
      </c>
      <c r="FU38" s="180">
        <f>IFERROR(__xludf.DUMMYFUNCTION("""COMPUTED_VALUE"""),45841.0)</f>
        <v>45841</v>
      </c>
      <c r="FV38" s="179">
        <f>IFERROR(__xludf.DUMMYFUNCTION("""COMPUTED_VALUE"""),0.0)</f>
        <v>0</v>
      </c>
      <c r="FW38" s="180">
        <f>IFERROR(__xludf.DUMMYFUNCTION("""COMPUTED_VALUE"""),45841.0)</f>
        <v>45841</v>
      </c>
      <c r="FX38" s="179">
        <f>IFERROR(__xludf.DUMMYFUNCTION("""COMPUTED_VALUE"""),0.0)</f>
        <v>0</v>
      </c>
      <c r="FY38" s="180">
        <f>IFERROR(__xludf.DUMMYFUNCTION("""COMPUTED_VALUE"""),45902.0)</f>
        <v>45902</v>
      </c>
      <c r="FZ38" s="179">
        <f>IFERROR(__xludf.DUMMYFUNCTION("""COMPUTED_VALUE"""),0.0)</f>
        <v>0</v>
      </c>
      <c r="GA38" s="182">
        <f>IFERROR(__xludf.DUMMYFUNCTION("""COMPUTED_VALUE"""),45841.0)</f>
        <v>45841</v>
      </c>
      <c r="GB38" s="179">
        <f>IFERROR(__xludf.DUMMYFUNCTION("""COMPUTED_VALUE"""),0.0)</f>
        <v>0</v>
      </c>
      <c r="GC38" s="180">
        <f>IFERROR(__xludf.DUMMYFUNCTION("""COMPUTED_VALUE"""),45750.0)</f>
        <v>45750</v>
      </c>
      <c r="GD38" s="179">
        <f>IFERROR(__xludf.DUMMYFUNCTION("""COMPUTED_VALUE"""),0.0)</f>
        <v>0</v>
      </c>
      <c r="GE38" s="180">
        <f>IFERROR(__xludf.DUMMYFUNCTION("""COMPUTED_VALUE"""),45750.0)</f>
        <v>45750</v>
      </c>
      <c r="GF38" s="179">
        <f>IFERROR(__xludf.DUMMYFUNCTION("""COMPUTED_VALUE"""),0.0)</f>
        <v>0</v>
      </c>
      <c r="GG38" s="180">
        <f>IFERROR(__xludf.DUMMYFUNCTION("""COMPUTED_VALUE"""),45780.0)</f>
        <v>45780</v>
      </c>
      <c r="GH38" s="179">
        <f>IFERROR(__xludf.DUMMYFUNCTION("""COMPUTED_VALUE"""),0.0)</f>
        <v>0</v>
      </c>
      <c r="GI38" s="180">
        <f>IFERROR(__xludf.DUMMYFUNCTION("""COMPUTED_VALUE"""),45841.0)</f>
        <v>45841</v>
      </c>
      <c r="GJ38" s="179">
        <f>IFERROR(__xludf.DUMMYFUNCTION("""COMPUTED_VALUE"""),0.0)</f>
        <v>0</v>
      </c>
      <c r="GK38" s="180">
        <f>IFERROR(__xludf.DUMMYFUNCTION("""COMPUTED_VALUE"""),45841.0)</f>
        <v>45841</v>
      </c>
      <c r="GL38" s="179">
        <f>IFERROR(__xludf.DUMMYFUNCTION("""COMPUTED_VALUE"""),0.0)</f>
        <v>0</v>
      </c>
      <c r="GM38" s="180">
        <f>IFERROR(__xludf.DUMMYFUNCTION("""COMPUTED_VALUE"""),45660.0)</f>
        <v>45660</v>
      </c>
      <c r="GN38" s="179">
        <f>IFERROR(__xludf.DUMMYFUNCTION("""COMPUTED_VALUE"""),0.0)</f>
        <v>0</v>
      </c>
      <c r="GO38" s="180">
        <f>IFERROR(__xludf.DUMMYFUNCTION("""COMPUTED_VALUE"""),45841.0)</f>
        <v>45841</v>
      </c>
      <c r="GP38" s="179">
        <f>IFERROR(__xludf.DUMMYFUNCTION("""COMPUTED_VALUE"""),0.0)</f>
        <v>0</v>
      </c>
      <c r="GQ38" s="180">
        <f>IFERROR(__xludf.DUMMYFUNCTION("""COMPUTED_VALUE"""),45691.0)</f>
        <v>45691</v>
      </c>
      <c r="GR38" s="179">
        <f>IFERROR(__xludf.DUMMYFUNCTION("""COMPUTED_VALUE"""),0.0)</f>
        <v>0</v>
      </c>
      <c r="GS38" s="180">
        <f>IFERROR(__xludf.DUMMYFUNCTION("""COMPUTED_VALUE"""),45932.0)</f>
        <v>45932</v>
      </c>
      <c r="GT38" s="179">
        <f>IFERROR(__xludf.DUMMYFUNCTION("""COMPUTED_VALUE"""),0.0)</f>
        <v>0</v>
      </c>
    </row>
    <row r="39" ht="31.5" customHeight="1">
      <c r="B39" s="183"/>
      <c r="C39" s="178">
        <f>IFERROR(__xludf.DUMMYFUNCTION("""COMPUTED_VALUE"""),45720.0)</f>
        <v>45720</v>
      </c>
      <c r="D39" s="179">
        <f>IFERROR(__xludf.DUMMYFUNCTION("""COMPUTED_VALUE"""),0.0)</f>
        <v>0</v>
      </c>
      <c r="E39" s="180">
        <f>IFERROR(__xludf.DUMMYFUNCTION("""COMPUTED_VALUE"""),45751.0)</f>
        <v>45751</v>
      </c>
      <c r="F39" s="179">
        <f>IFERROR(__xludf.DUMMYFUNCTION("""COMPUTED_VALUE"""),0.0)</f>
        <v>0</v>
      </c>
      <c r="G39" s="180">
        <f>IFERROR(__xludf.DUMMYFUNCTION("""COMPUTED_VALUE"""),45751.0)</f>
        <v>45751</v>
      </c>
      <c r="H39" s="179">
        <f>IFERROR(__xludf.DUMMYFUNCTION("""COMPUTED_VALUE"""),0.0)</f>
        <v>0</v>
      </c>
      <c r="I39" s="180">
        <f>IFERROR(__xludf.DUMMYFUNCTION("""COMPUTED_VALUE"""),45812.0)</f>
        <v>45812</v>
      </c>
      <c r="J39" s="179">
        <f>IFERROR(__xludf.DUMMYFUNCTION("""COMPUTED_VALUE"""),0.0)</f>
        <v>0</v>
      </c>
      <c r="K39" s="180">
        <f>IFERROR(__xludf.DUMMYFUNCTION("""COMPUTED_VALUE"""),45661.0)</f>
        <v>45661</v>
      </c>
      <c r="L39" s="179">
        <f>IFERROR(__xludf.DUMMYFUNCTION("""COMPUTED_VALUE"""),0.0)</f>
        <v>0</v>
      </c>
      <c r="M39" s="180">
        <f>IFERROR(__xludf.DUMMYFUNCTION("""COMPUTED_VALUE"""),45720.0)</f>
        <v>45720</v>
      </c>
      <c r="N39" s="179">
        <f>IFERROR(__xludf.DUMMYFUNCTION("""COMPUTED_VALUE"""),0.0)</f>
        <v>0</v>
      </c>
      <c r="O39" s="180">
        <f>IFERROR(__xludf.DUMMYFUNCTION("""COMPUTED_VALUE"""),45872.0)</f>
        <v>45872</v>
      </c>
      <c r="P39" s="179">
        <f>IFERROR(__xludf.DUMMYFUNCTION("""COMPUTED_VALUE"""),0.0)</f>
        <v>0</v>
      </c>
      <c r="Q39" s="180">
        <f>IFERROR(__xludf.DUMMYFUNCTION("""COMPUTED_VALUE"""),45903.0)</f>
        <v>45903</v>
      </c>
      <c r="R39" s="179">
        <f>IFERROR(__xludf.DUMMYFUNCTION("""COMPUTED_VALUE"""),0.0)</f>
        <v>0</v>
      </c>
      <c r="S39" s="180">
        <f>IFERROR(__xludf.DUMMYFUNCTION("""COMPUTED_VALUE"""),45781.0)</f>
        <v>45781</v>
      </c>
      <c r="T39" s="179">
        <f>IFERROR(__xludf.DUMMYFUNCTION("""COMPUTED_VALUE"""),0.0)</f>
        <v>0</v>
      </c>
      <c r="U39" s="180">
        <f>IFERROR(__xludf.DUMMYFUNCTION("""COMPUTED_VALUE"""),45872.0)</f>
        <v>45872</v>
      </c>
      <c r="V39" s="181">
        <f>IFERROR(__xludf.DUMMYFUNCTION("""COMPUTED_VALUE"""),0.0)</f>
        <v>0</v>
      </c>
      <c r="W39" s="178">
        <f>IFERROR(__xludf.DUMMYFUNCTION("""COMPUTED_VALUE"""),45812.0)</f>
        <v>45812</v>
      </c>
      <c r="X39" s="179">
        <f>IFERROR(__xludf.DUMMYFUNCTION("""COMPUTED_VALUE"""),0.0)</f>
        <v>0</v>
      </c>
      <c r="Y39" s="180">
        <f>IFERROR(__xludf.DUMMYFUNCTION("""COMPUTED_VALUE"""),45933.0)</f>
        <v>45933</v>
      </c>
      <c r="Z39" s="179">
        <f>IFERROR(__xludf.DUMMYFUNCTION("""COMPUTED_VALUE"""),0.0)</f>
        <v>0</v>
      </c>
      <c r="AA39" s="180">
        <f>IFERROR(__xludf.DUMMYFUNCTION("""COMPUTED_VALUE"""),45781.0)</f>
        <v>45781</v>
      </c>
      <c r="AB39" s="179">
        <f>IFERROR(__xludf.DUMMYFUNCTION("""COMPUTED_VALUE"""),0.0)</f>
        <v>0</v>
      </c>
      <c r="AC39" s="180">
        <f>IFERROR(__xludf.DUMMYFUNCTION("""COMPUTED_VALUE"""),45872.0)</f>
        <v>45872</v>
      </c>
      <c r="AD39" s="179">
        <f>IFERROR(__xludf.DUMMYFUNCTION("""COMPUTED_VALUE"""),0.0)</f>
        <v>0</v>
      </c>
      <c r="AE39" s="180">
        <f>IFERROR(__xludf.DUMMYFUNCTION("""COMPUTED_VALUE"""),45661.0)</f>
        <v>45661</v>
      </c>
      <c r="AF39" s="179">
        <f>IFERROR(__xludf.DUMMYFUNCTION("""COMPUTED_VALUE"""),0.0)</f>
        <v>0</v>
      </c>
      <c r="AG39" s="180">
        <f>IFERROR(__xludf.DUMMYFUNCTION("""COMPUTED_VALUE"""),45812.0)</f>
        <v>45812</v>
      </c>
      <c r="AH39" s="179">
        <f>IFERROR(__xludf.DUMMYFUNCTION("""COMPUTED_VALUE"""),0.0)</f>
        <v>0</v>
      </c>
      <c r="AI39" s="180">
        <f>IFERROR(__xludf.DUMMYFUNCTION("""COMPUTED_VALUE"""),45872.0)</f>
        <v>45872</v>
      </c>
      <c r="AJ39" s="179">
        <f>IFERROR(__xludf.DUMMYFUNCTION("""COMPUTED_VALUE"""),0.0)</f>
        <v>0</v>
      </c>
      <c r="AK39" s="180">
        <f>IFERROR(__xludf.DUMMYFUNCTION("""COMPUTED_VALUE"""),45751.0)</f>
        <v>45751</v>
      </c>
      <c r="AL39" s="179">
        <f>IFERROR(__xludf.DUMMYFUNCTION("""COMPUTED_VALUE"""),0.0)</f>
        <v>0</v>
      </c>
      <c r="AM39" s="180">
        <f>IFERROR(__xludf.DUMMYFUNCTION("""COMPUTED_VALUE"""),45812.0)</f>
        <v>45812</v>
      </c>
      <c r="AN39" s="179">
        <f>IFERROR(__xludf.DUMMYFUNCTION("""COMPUTED_VALUE"""),0.0)</f>
        <v>0</v>
      </c>
      <c r="AO39" s="180">
        <f>IFERROR(__xludf.DUMMYFUNCTION("""COMPUTED_VALUE"""),45692.0)</f>
        <v>45692</v>
      </c>
      <c r="AP39" s="181">
        <f>IFERROR(__xludf.DUMMYFUNCTION("""COMPUTED_VALUE"""),0.0)</f>
        <v>0</v>
      </c>
      <c r="AQ39" s="178">
        <f>IFERROR(__xludf.DUMMYFUNCTION("""COMPUTED_VALUE"""),45842.0)</f>
        <v>45842</v>
      </c>
      <c r="AR39" s="179">
        <f>IFERROR(__xludf.DUMMYFUNCTION("""COMPUTED_VALUE"""),0.0)</f>
        <v>0</v>
      </c>
      <c r="AS39" s="180">
        <f>IFERROR(__xludf.DUMMYFUNCTION("""COMPUTED_VALUE"""),45842.0)</f>
        <v>45842</v>
      </c>
      <c r="AT39" s="179">
        <f>IFERROR(__xludf.DUMMYFUNCTION("""COMPUTED_VALUE"""),0.0)</f>
        <v>0</v>
      </c>
      <c r="AU39" s="180">
        <f>IFERROR(__xludf.DUMMYFUNCTION("""COMPUTED_VALUE"""),45812.0)</f>
        <v>45812</v>
      </c>
      <c r="AV39" s="179">
        <f>IFERROR(__xludf.DUMMYFUNCTION("""COMPUTED_VALUE"""),0.0)</f>
        <v>0</v>
      </c>
      <c r="AW39" s="180">
        <f>IFERROR(__xludf.DUMMYFUNCTION("""COMPUTED_VALUE"""),45812.0)</f>
        <v>45812</v>
      </c>
      <c r="AX39" s="179">
        <f>IFERROR(__xludf.DUMMYFUNCTION("""COMPUTED_VALUE"""),0.0)</f>
        <v>0</v>
      </c>
      <c r="AY39" s="180">
        <f>IFERROR(__xludf.DUMMYFUNCTION("""COMPUTED_VALUE"""),45842.0)</f>
        <v>45842</v>
      </c>
      <c r="AZ39" s="179">
        <f>IFERROR(__xludf.DUMMYFUNCTION("""COMPUTED_VALUE"""),0.0)</f>
        <v>0</v>
      </c>
      <c r="BA39" s="180">
        <f>IFERROR(__xludf.DUMMYFUNCTION("""COMPUTED_VALUE"""),45842.0)</f>
        <v>45842</v>
      </c>
      <c r="BB39" s="179">
        <f>IFERROR(__xludf.DUMMYFUNCTION("""COMPUTED_VALUE"""),0.0)</f>
        <v>0</v>
      </c>
      <c r="BC39" s="180">
        <f>IFERROR(__xludf.DUMMYFUNCTION("""COMPUTED_VALUE"""),45781.0)</f>
        <v>45781</v>
      </c>
      <c r="BD39" s="179">
        <f>IFERROR(__xludf.DUMMYFUNCTION("""COMPUTED_VALUE"""),0.0)</f>
        <v>0</v>
      </c>
      <c r="BE39" s="180">
        <f>IFERROR(__xludf.DUMMYFUNCTION("""COMPUTED_VALUE"""),45842.0)</f>
        <v>45842</v>
      </c>
      <c r="BF39" s="179">
        <f>IFERROR(__xludf.DUMMYFUNCTION("""COMPUTED_VALUE"""),0.0)</f>
        <v>0</v>
      </c>
      <c r="BG39" s="180">
        <f>IFERROR(__xludf.DUMMYFUNCTION("""COMPUTED_VALUE"""),45781.0)</f>
        <v>45781</v>
      </c>
      <c r="BH39" s="179">
        <f>IFERROR(__xludf.DUMMYFUNCTION("""COMPUTED_VALUE"""),0.0)</f>
        <v>0</v>
      </c>
      <c r="BI39" s="180">
        <f>IFERROR(__xludf.DUMMYFUNCTION("""COMPUTED_VALUE"""),45842.0)</f>
        <v>45842</v>
      </c>
      <c r="BJ39" s="179">
        <f>IFERROR(__xludf.DUMMYFUNCTION("""COMPUTED_VALUE"""),0.0)</f>
        <v>0</v>
      </c>
      <c r="BK39" s="182">
        <f>IFERROR(__xludf.DUMMYFUNCTION("""COMPUTED_VALUE"""),45811.0)</f>
        <v>45811</v>
      </c>
      <c r="BL39" s="179">
        <f>IFERROR(__xludf.DUMMYFUNCTION("""COMPUTED_VALUE"""),0.0)</f>
        <v>0</v>
      </c>
      <c r="BM39" s="180">
        <f>IFERROR(__xludf.DUMMYFUNCTION("""COMPUTED_VALUE"""),45811.0)</f>
        <v>45811</v>
      </c>
      <c r="BN39" s="179">
        <f>IFERROR(__xludf.DUMMYFUNCTION("""COMPUTED_VALUE"""),0.0)</f>
        <v>0</v>
      </c>
      <c r="BO39" s="180">
        <f>IFERROR(__xludf.DUMMYFUNCTION("""COMPUTED_VALUE"""),45660.0)</f>
        <v>45660</v>
      </c>
      <c r="BP39" s="179">
        <f>IFERROR(__xludf.DUMMYFUNCTION("""COMPUTED_VALUE"""),0.0)</f>
        <v>0</v>
      </c>
      <c r="BQ39" s="180">
        <f>IFERROR(__xludf.DUMMYFUNCTION("""COMPUTED_VALUE"""),45811.0)</f>
        <v>45811</v>
      </c>
      <c r="BR39" s="179">
        <f>IFERROR(__xludf.DUMMYFUNCTION("""COMPUTED_VALUE"""),0.0)</f>
        <v>0</v>
      </c>
      <c r="BS39" s="180">
        <f>IFERROR(__xludf.DUMMYFUNCTION("""COMPUTED_VALUE"""),45872.0)</f>
        <v>45872</v>
      </c>
      <c r="BT39" s="179">
        <f>IFERROR(__xludf.DUMMYFUNCTION("""COMPUTED_VALUE"""),0.0)</f>
        <v>0</v>
      </c>
      <c r="BU39" s="180">
        <f>IFERROR(__xludf.DUMMYFUNCTION("""COMPUTED_VALUE"""),45841.0)</f>
        <v>45841</v>
      </c>
      <c r="BV39" s="179">
        <f>IFERROR(__xludf.DUMMYFUNCTION("""COMPUTED_VALUE"""),0.0)</f>
        <v>0</v>
      </c>
      <c r="BW39" s="180">
        <f>IFERROR(__xludf.DUMMYFUNCTION("""COMPUTED_VALUE"""),45691.0)</f>
        <v>45691</v>
      </c>
      <c r="BX39" s="179">
        <f>IFERROR(__xludf.DUMMYFUNCTION("""COMPUTED_VALUE"""),0.0)</f>
        <v>0</v>
      </c>
      <c r="BY39" s="180">
        <f>IFERROR(__xludf.DUMMYFUNCTION("""COMPUTED_VALUE"""),45811.0)</f>
        <v>45811</v>
      </c>
      <c r="BZ39" s="179">
        <f>IFERROR(__xludf.DUMMYFUNCTION("""COMPUTED_VALUE"""),0.0)</f>
        <v>0</v>
      </c>
      <c r="CA39" s="180">
        <f>IFERROR(__xludf.DUMMYFUNCTION("""COMPUTED_VALUE"""),45780.0)</f>
        <v>45780</v>
      </c>
      <c r="CB39" s="179">
        <f>IFERROR(__xludf.DUMMYFUNCTION("""COMPUTED_VALUE"""),0.0)</f>
        <v>0</v>
      </c>
      <c r="CC39" s="180">
        <f>IFERROR(__xludf.DUMMYFUNCTION("""COMPUTED_VALUE"""),45780.0)</f>
        <v>45780</v>
      </c>
      <c r="CD39" s="179">
        <f>IFERROR(__xludf.DUMMYFUNCTION("""COMPUTED_VALUE"""),0.0)</f>
        <v>0</v>
      </c>
      <c r="CE39" s="182">
        <f>IFERROR(__xludf.DUMMYFUNCTION("""COMPUTED_VALUE"""),45872.0)</f>
        <v>45872</v>
      </c>
      <c r="CF39" s="179">
        <f>IFERROR(__xludf.DUMMYFUNCTION("""COMPUTED_VALUE"""),0.0)</f>
        <v>0</v>
      </c>
      <c r="CG39" s="180">
        <f>IFERROR(__xludf.DUMMYFUNCTION("""COMPUTED_VALUE"""),45691.0)</f>
        <v>45691</v>
      </c>
      <c r="CH39" s="179">
        <f>IFERROR(__xludf.DUMMYFUNCTION("""COMPUTED_VALUE"""),0.0)</f>
        <v>0</v>
      </c>
      <c r="CI39" s="180">
        <f>IFERROR(__xludf.DUMMYFUNCTION("""COMPUTED_VALUE"""),45719.0)</f>
        <v>45719</v>
      </c>
      <c r="CJ39" s="179">
        <f>IFERROR(__xludf.DUMMYFUNCTION("""COMPUTED_VALUE"""),0.0)</f>
        <v>0</v>
      </c>
      <c r="CK39" s="180">
        <f>IFERROR(__xludf.DUMMYFUNCTION("""COMPUTED_VALUE"""),45750.0)</f>
        <v>45750</v>
      </c>
      <c r="CL39" s="179">
        <f>IFERROR(__xludf.DUMMYFUNCTION("""COMPUTED_VALUE"""),0.0)</f>
        <v>0</v>
      </c>
      <c r="CM39" s="180">
        <f>IFERROR(__xludf.DUMMYFUNCTION("""COMPUTED_VALUE"""),45841.0)</f>
        <v>45841</v>
      </c>
      <c r="CN39" s="179">
        <f>IFERROR(__xludf.DUMMYFUNCTION("""COMPUTED_VALUE"""),0.0)</f>
        <v>0</v>
      </c>
      <c r="CO39" s="180">
        <f>IFERROR(__xludf.DUMMYFUNCTION("""COMPUTED_VALUE"""),45811.0)</f>
        <v>45811</v>
      </c>
      <c r="CP39" s="179">
        <f>IFERROR(__xludf.DUMMYFUNCTION("""COMPUTED_VALUE"""),0.0)</f>
        <v>0</v>
      </c>
      <c r="CQ39" s="180">
        <f>IFERROR(__xludf.DUMMYFUNCTION("""COMPUTED_VALUE"""),45902.0)</f>
        <v>45902</v>
      </c>
      <c r="CR39" s="179">
        <f>IFERROR(__xludf.DUMMYFUNCTION("""COMPUTED_VALUE"""),0.0)</f>
        <v>0</v>
      </c>
      <c r="CS39" s="180">
        <f>IFERROR(__xludf.DUMMYFUNCTION("""COMPUTED_VALUE"""),45811.0)</f>
        <v>45811</v>
      </c>
      <c r="CT39" s="179">
        <f>IFERROR(__xludf.DUMMYFUNCTION("""COMPUTED_VALUE"""),0.0)</f>
        <v>0</v>
      </c>
      <c r="CU39" s="180">
        <f>IFERROR(__xludf.DUMMYFUNCTION("""COMPUTED_VALUE"""),45872.0)</f>
        <v>45872</v>
      </c>
      <c r="CV39" s="179">
        <f>IFERROR(__xludf.DUMMYFUNCTION("""COMPUTED_VALUE"""),0.0)</f>
        <v>0</v>
      </c>
      <c r="CW39" s="180">
        <f>IFERROR(__xludf.DUMMYFUNCTION("""COMPUTED_VALUE"""),45871.0)</f>
        <v>45871</v>
      </c>
      <c r="CX39" s="179">
        <f>IFERROR(__xludf.DUMMYFUNCTION("""COMPUTED_VALUE"""),0.0)</f>
        <v>0</v>
      </c>
      <c r="CY39" s="182">
        <f>IFERROR(__xludf.DUMMYFUNCTION("""COMPUTED_VALUE"""),45841.0)</f>
        <v>45841</v>
      </c>
      <c r="CZ39" s="179">
        <f>IFERROR(__xludf.DUMMYFUNCTION("""COMPUTED_VALUE"""),0.0)</f>
        <v>0</v>
      </c>
      <c r="DA39" s="180">
        <f>IFERROR(__xludf.DUMMYFUNCTION("""COMPUTED_VALUE"""),45841.0)</f>
        <v>45841</v>
      </c>
      <c r="DB39" s="179">
        <f>IFERROR(__xludf.DUMMYFUNCTION("""COMPUTED_VALUE"""),0.0)</f>
        <v>0</v>
      </c>
      <c r="DC39" s="180">
        <f>IFERROR(__xludf.DUMMYFUNCTION("""COMPUTED_VALUE"""),45750.0)</f>
        <v>45750</v>
      </c>
      <c r="DD39" s="179">
        <f>IFERROR(__xludf.DUMMYFUNCTION("""COMPUTED_VALUE"""),0.0)</f>
        <v>0</v>
      </c>
      <c r="DE39" s="180">
        <f>IFERROR(__xludf.DUMMYFUNCTION("""COMPUTED_VALUE"""),45780.0)</f>
        <v>45780</v>
      </c>
      <c r="DF39" s="179">
        <f>IFERROR(__xludf.DUMMYFUNCTION("""COMPUTED_VALUE"""),0.0)</f>
        <v>0</v>
      </c>
      <c r="DG39" s="180">
        <f>IFERROR(__xludf.DUMMYFUNCTION("""COMPUTED_VALUE"""),45872.0)</f>
        <v>45872</v>
      </c>
      <c r="DH39" s="179">
        <f>IFERROR(__xludf.DUMMYFUNCTION("""COMPUTED_VALUE"""),0.0)</f>
        <v>0</v>
      </c>
      <c r="DI39" s="180">
        <f>IFERROR(__xludf.DUMMYFUNCTION("""COMPUTED_VALUE"""),45872.0)</f>
        <v>45872</v>
      </c>
      <c r="DJ39" s="179">
        <f>IFERROR(__xludf.DUMMYFUNCTION("""COMPUTED_VALUE"""),0.0)</f>
        <v>0</v>
      </c>
      <c r="DK39" s="180">
        <f>IFERROR(__xludf.DUMMYFUNCTION("""COMPUTED_VALUE"""),45811.0)</f>
        <v>45811</v>
      </c>
      <c r="DL39" s="179">
        <f>IFERROR(__xludf.DUMMYFUNCTION("""COMPUTED_VALUE"""),0.0)</f>
        <v>0</v>
      </c>
      <c r="DM39" s="180">
        <f>IFERROR(__xludf.DUMMYFUNCTION("""COMPUTED_VALUE"""),45811.0)</f>
        <v>45811</v>
      </c>
      <c r="DN39" s="179">
        <f>IFERROR(__xludf.DUMMYFUNCTION("""COMPUTED_VALUE"""),0.0)</f>
        <v>0</v>
      </c>
      <c r="DO39" s="180">
        <f>IFERROR(__xludf.DUMMYFUNCTION("""COMPUTED_VALUE"""),45811.0)</f>
        <v>45811</v>
      </c>
      <c r="DP39" s="179">
        <f>IFERROR(__xludf.DUMMYFUNCTION("""COMPUTED_VALUE"""),0.0)</f>
        <v>0</v>
      </c>
      <c r="DQ39" s="180">
        <f>IFERROR(__xludf.DUMMYFUNCTION("""COMPUTED_VALUE"""),45691.0)</f>
        <v>45691</v>
      </c>
      <c r="DR39" s="179">
        <f>IFERROR(__xludf.DUMMYFUNCTION("""COMPUTED_VALUE"""),0.0)</f>
        <v>0</v>
      </c>
      <c r="DS39" s="182">
        <f>IFERROR(__xludf.DUMMYFUNCTION("""COMPUTED_VALUE"""),45841.0)</f>
        <v>45841</v>
      </c>
      <c r="DT39" s="179">
        <f>IFERROR(__xludf.DUMMYFUNCTION("""COMPUTED_VALUE"""),0.0)</f>
        <v>0</v>
      </c>
      <c r="DU39" s="180">
        <f>IFERROR(__xludf.DUMMYFUNCTION("""COMPUTED_VALUE"""),45811.0)</f>
        <v>45811</v>
      </c>
      <c r="DV39" s="179">
        <f>IFERROR(__xludf.DUMMYFUNCTION("""COMPUTED_VALUE"""),0.0)</f>
        <v>0</v>
      </c>
      <c r="DW39" s="180">
        <f>IFERROR(__xludf.DUMMYFUNCTION("""COMPUTED_VALUE"""),45811.0)</f>
        <v>45811</v>
      </c>
      <c r="DX39" s="179">
        <f>IFERROR(__xludf.DUMMYFUNCTION("""COMPUTED_VALUE"""),0.0)</f>
        <v>0</v>
      </c>
      <c r="DY39" s="180">
        <f>IFERROR(__xludf.DUMMYFUNCTION("""COMPUTED_VALUE"""),45841.0)</f>
        <v>45841</v>
      </c>
      <c r="DZ39" s="179">
        <f>IFERROR(__xludf.DUMMYFUNCTION("""COMPUTED_VALUE"""),0.0)</f>
        <v>0</v>
      </c>
      <c r="EA39" s="180">
        <f>IFERROR(__xludf.DUMMYFUNCTION("""COMPUTED_VALUE"""),45872.0)</f>
        <v>45872</v>
      </c>
      <c r="EB39" s="179">
        <f>IFERROR(__xludf.DUMMYFUNCTION("""COMPUTED_VALUE"""),0.0)</f>
        <v>0</v>
      </c>
      <c r="EC39" s="180">
        <f>IFERROR(__xludf.DUMMYFUNCTION("""COMPUTED_VALUE"""),45841.0)</f>
        <v>45841</v>
      </c>
      <c r="ED39" s="179">
        <f>IFERROR(__xludf.DUMMYFUNCTION("""COMPUTED_VALUE"""),0.0)</f>
        <v>0</v>
      </c>
      <c r="EE39" s="180">
        <f>IFERROR(__xludf.DUMMYFUNCTION("""COMPUTED_VALUE"""),45750.0)</f>
        <v>45750</v>
      </c>
      <c r="EF39" s="179">
        <f>IFERROR(__xludf.DUMMYFUNCTION("""COMPUTED_VALUE"""),0.0)</f>
        <v>0</v>
      </c>
      <c r="EG39" s="180">
        <f>IFERROR(__xludf.DUMMYFUNCTION("""COMPUTED_VALUE"""),45841.0)</f>
        <v>45841</v>
      </c>
      <c r="EH39" s="179">
        <f>IFERROR(__xludf.DUMMYFUNCTION("""COMPUTED_VALUE"""),0.0)</f>
        <v>0</v>
      </c>
      <c r="EI39" s="180">
        <f>IFERROR(__xludf.DUMMYFUNCTION("""COMPUTED_VALUE"""),45841.0)</f>
        <v>45841</v>
      </c>
      <c r="EJ39" s="179">
        <f>IFERROR(__xludf.DUMMYFUNCTION("""COMPUTED_VALUE"""),0.0)</f>
        <v>0</v>
      </c>
      <c r="EK39" s="180">
        <f>IFERROR(__xludf.DUMMYFUNCTION("""COMPUTED_VALUE"""),45780.0)</f>
        <v>45780</v>
      </c>
      <c r="EL39" s="179">
        <f>IFERROR(__xludf.DUMMYFUNCTION("""COMPUTED_VALUE"""),0.0)</f>
        <v>0</v>
      </c>
      <c r="EM39" s="182">
        <f>IFERROR(__xludf.DUMMYFUNCTION("""COMPUTED_VALUE"""),45750.0)</f>
        <v>45750</v>
      </c>
      <c r="EN39" s="179">
        <f>IFERROR(__xludf.DUMMYFUNCTION("""COMPUTED_VALUE"""),0.0)</f>
        <v>0</v>
      </c>
      <c r="EO39" s="180">
        <f>IFERROR(__xludf.DUMMYFUNCTION("""COMPUTED_VALUE"""),45841.0)</f>
        <v>45841</v>
      </c>
      <c r="EP39" s="179">
        <f>IFERROR(__xludf.DUMMYFUNCTION("""COMPUTED_VALUE"""),0.0)</f>
        <v>0</v>
      </c>
      <c r="EQ39" s="180">
        <f>IFERROR(__xludf.DUMMYFUNCTION("""COMPUTED_VALUE"""),45841.0)</f>
        <v>45841</v>
      </c>
      <c r="ER39" s="179">
        <f>IFERROR(__xludf.DUMMYFUNCTION("""COMPUTED_VALUE"""),0.0)</f>
        <v>0</v>
      </c>
      <c r="ES39" s="180">
        <f>IFERROR(__xludf.DUMMYFUNCTION("""COMPUTED_VALUE"""),45872.0)</f>
        <v>45872</v>
      </c>
      <c r="ET39" s="179">
        <f>IFERROR(__xludf.DUMMYFUNCTION("""COMPUTED_VALUE"""),0.0)</f>
        <v>0</v>
      </c>
      <c r="EU39" s="180">
        <f>IFERROR(__xludf.DUMMYFUNCTION("""COMPUTED_VALUE"""),45841.0)</f>
        <v>45841</v>
      </c>
      <c r="EV39" s="179">
        <f>IFERROR(__xludf.DUMMYFUNCTION("""COMPUTED_VALUE"""),0.0)</f>
        <v>0</v>
      </c>
      <c r="EW39" s="180">
        <f>IFERROR(__xludf.DUMMYFUNCTION("""COMPUTED_VALUE"""),45872.0)</f>
        <v>45872</v>
      </c>
      <c r="EX39" s="179">
        <f>IFERROR(__xludf.DUMMYFUNCTION("""COMPUTED_VALUE"""),0.0)</f>
        <v>0</v>
      </c>
      <c r="EY39" s="180">
        <f>IFERROR(__xludf.DUMMYFUNCTION("""COMPUTED_VALUE"""),45872.0)</f>
        <v>45872</v>
      </c>
      <c r="EZ39" s="179">
        <f>IFERROR(__xludf.DUMMYFUNCTION("""COMPUTED_VALUE"""),0.0)</f>
        <v>0</v>
      </c>
      <c r="FA39" s="180">
        <f>IFERROR(__xludf.DUMMYFUNCTION("""COMPUTED_VALUE"""),45841.0)</f>
        <v>45841</v>
      </c>
      <c r="FB39" s="179">
        <f>IFERROR(__xludf.DUMMYFUNCTION("""COMPUTED_VALUE"""),0.0)</f>
        <v>0</v>
      </c>
      <c r="FC39" s="180">
        <f>IFERROR(__xludf.DUMMYFUNCTION("""COMPUTED_VALUE"""),45872.0)</f>
        <v>45872</v>
      </c>
      <c r="FD39" s="179">
        <f>IFERROR(__xludf.DUMMYFUNCTION("""COMPUTED_VALUE"""),0.0)</f>
        <v>0</v>
      </c>
      <c r="FE39" s="180">
        <f>IFERROR(__xludf.DUMMYFUNCTION("""COMPUTED_VALUE"""),45750.0)</f>
        <v>45750</v>
      </c>
      <c r="FF39" s="179">
        <f>IFERROR(__xludf.DUMMYFUNCTION("""COMPUTED_VALUE"""),0.0)</f>
        <v>0</v>
      </c>
      <c r="FG39" s="182">
        <f>IFERROR(__xludf.DUMMYFUNCTION("""COMPUTED_VALUE"""),45750.0)</f>
        <v>45750</v>
      </c>
      <c r="FH39" s="179">
        <f>IFERROR(__xludf.DUMMYFUNCTION("""COMPUTED_VALUE"""),0.0)</f>
        <v>0</v>
      </c>
      <c r="FI39" s="180">
        <f>IFERROR(__xludf.DUMMYFUNCTION("""COMPUTED_VALUE"""),45750.0)</f>
        <v>45750</v>
      </c>
      <c r="FJ39" s="179">
        <f>IFERROR(__xludf.DUMMYFUNCTION("""COMPUTED_VALUE"""),0.0)</f>
        <v>0</v>
      </c>
      <c r="FK39" s="180">
        <f>IFERROR(__xludf.DUMMYFUNCTION("""COMPUTED_VALUE"""),45932.0)</f>
        <v>45932</v>
      </c>
      <c r="FL39" s="179">
        <f>IFERROR(__xludf.DUMMYFUNCTION("""COMPUTED_VALUE"""),0.0)</f>
        <v>0</v>
      </c>
      <c r="FM39" s="180">
        <f>IFERROR(__xludf.DUMMYFUNCTION("""COMPUTED_VALUE"""),45872.0)</f>
        <v>45872</v>
      </c>
      <c r="FN39" s="179">
        <f>IFERROR(__xludf.DUMMYFUNCTION("""COMPUTED_VALUE"""),0.0)</f>
        <v>0</v>
      </c>
      <c r="FO39" s="180">
        <f>IFERROR(__xludf.DUMMYFUNCTION("""COMPUTED_VALUE"""),45872.0)</f>
        <v>45872</v>
      </c>
      <c r="FP39" s="179">
        <f>IFERROR(__xludf.DUMMYFUNCTION("""COMPUTED_VALUE"""),0.0)</f>
        <v>0</v>
      </c>
      <c r="FQ39" s="180">
        <f>IFERROR(__xludf.DUMMYFUNCTION("""COMPUTED_VALUE"""),45872.0)</f>
        <v>45872</v>
      </c>
      <c r="FR39" s="179">
        <f>IFERROR(__xludf.DUMMYFUNCTION("""COMPUTED_VALUE"""),0.0)</f>
        <v>0</v>
      </c>
      <c r="FS39" s="180">
        <f>IFERROR(__xludf.DUMMYFUNCTION("""COMPUTED_VALUE"""),45750.0)</f>
        <v>45750</v>
      </c>
      <c r="FT39" s="179">
        <f>IFERROR(__xludf.DUMMYFUNCTION("""COMPUTED_VALUE"""),0.0)</f>
        <v>0</v>
      </c>
      <c r="FU39" s="180">
        <f>IFERROR(__xludf.DUMMYFUNCTION("""COMPUTED_VALUE"""),45872.0)</f>
        <v>45872</v>
      </c>
      <c r="FV39" s="179">
        <f>IFERROR(__xludf.DUMMYFUNCTION("""COMPUTED_VALUE"""),0.0)</f>
        <v>0</v>
      </c>
      <c r="FW39" s="180">
        <f>IFERROR(__xludf.DUMMYFUNCTION("""COMPUTED_VALUE"""),45872.0)</f>
        <v>45872</v>
      </c>
      <c r="FX39" s="179">
        <f>IFERROR(__xludf.DUMMYFUNCTION("""COMPUTED_VALUE"""),0.0)</f>
        <v>0</v>
      </c>
      <c r="FY39" s="180">
        <f>IFERROR(__xludf.DUMMYFUNCTION("""COMPUTED_VALUE"""),45932.0)</f>
        <v>45932</v>
      </c>
      <c r="FZ39" s="179">
        <f>IFERROR(__xludf.DUMMYFUNCTION("""COMPUTED_VALUE"""),0.0)</f>
        <v>0</v>
      </c>
      <c r="GA39" s="182">
        <f>IFERROR(__xludf.DUMMYFUNCTION("""COMPUTED_VALUE"""),45872.0)</f>
        <v>45872</v>
      </c>
      <c r="GB39" s="179">
        <f>IFERROR(__xludf.DUMMYFUNCTION("""COMPUTED_VALUE"""),0.0)</f>
        <v>0</v>
      </c>
      <c r="GC39" s="180">
        <f>IFERROR(__xludf.DUMMYFUNCTION("""COMPUTED_VALUE"""),45780.0)</f>
        <v>45780</v>
      </c>
      <c r="GD39" s="179">
        <f>IFERROR(__xludf.DUMMYFUNCTION("""COMPUTED_VALUE"""),0.0)</f>
        <v>0</v>
      </c>
      <c r="GE39" s="180">
        <f>IFERROR(__xludf.DUMMYFUNCTION("""COMPUTED_VALUE"""),45780.0)</f>
        <v>45780</v>
      </c>
      <c r="GF39" s="179">
        <f>IFERROR(__xludf.DUMMYFUNCTION("""COMPUTED_VALUE"""),0.0)</f>
        <v>0</v>
      </c>
      <c r="GG39" s="180">
        <f>IFERROR(__xludf.DUMMYFUNCTION("""COMPUTED_VALUE"""),45811.0)</f>
        <v>45811</v>
      </c>
      <c r="GH39" s="179">
        <f>IFERROR(__xludf.DUMMYFUNCTION("""COMPUTED_VALUE"""),0.0)</f>
        <v>0</v>
      </c>
      <c r="GI39" s="180">
        <f>IFERROR(__xludf.DUMMYFUNCTION("""COMPUTED_VALUE"""),45872.0)</f>
        <v>45872</v>
      </c>
      <c r="GJ39" s="179">
        <f>IFERROR(__xludf.DUMMYFUNCTION("""COMPUTED_VALUE"""),0.0)</f>
        <v>0</v>
      </c>
      <c r="GK39" s="180">
        <f>IFERROR(__xludf.DUMMYFUNCTION("""COMPUTED_VALUE"""),45872.0)</f>
        <v>45872</v>
      </c>
      <c r="GL39" s="179">
        <f>IFERROR(__xludf.DUMMYFUNCTION("""COMPUTED_VALUE"""),0.0)</f>
        <v>0</v>
      </c>
      <c r="GM39" s="180">
        <f>IFERROR(__xludf.DUMMYFUNCTION("""COMPUTED_VALUE"""),45691.0)</f>
        <v>45691</v>
      </c>
      <c r="GN39" s="179">
        <f>IFERROR(__xludf.DUMMYFUNCTION("""COMPUTED_VALUE"""),0.0)</f>
        <v>0</v>
      </c>
      <c r="GO39" s="180">
        <f>IFERROR(__xludf.DUMMYFUNCTION("""COMPUTED_VALUE"""),45872.0)</f>
        <v>45872</v>
      </c>
      <c r="GP39" s="179">
        <f>IFERROR(__xludf.DUMMYFUNCTION("""COMPUTED_VALUE"""),0.0)</f>
        <v>0</v>
      </c>
      <c r="GQ39" s="180">
        <f>IFERROR(__xludf.DUMMYFUNCTION("""COMPUTED_VALUE"""),45780.0)</f>
        <v>45780</v>
      </c>
      <c r="GR39" s="179">
        <f>IFERROR(__xludf.DUMMYFUNCTION("""COMPUTED_VALUE"""),0.0)</f>
        <v>0</v>
      </c>
      <c r="GS39" s="180">
        <f>IFERROR(__xludf.DUMMYFUNCTION("""COMPUTED_VALUE"""),45660.0)</f>
        <v>45660</v>
      </c>
      <c r="GT39" s="179">
        <f>IFERROR(__xludf.DUMMYFUNCTION("""COMPUTED_VALUE"""),0.0)</f>
        <v>0</v>
      </c>
    </row>
    <row r="40" ht="31.5" customHeight="1">
      <c r="B40" s="183"/>
      <c r="C40" s="178">
        <f>IFERROR(__xludf.DUMMYFUNCTION("""COMPUTED_VALUE"""),45751.0)</f>
        <v>45751</v>
      </c>
      <c r="D40" s="179">
        <f>IFERROR(__xludf.DUMMYFUNCTION("""COMPUTED_VALUE"""),0.0)</f>
        <v>0</v>
      </c>
      <c r="E40" s="180">
        <f>IFERROR(__xludf.DUMMYFUNCTION("""COMPUTED_VALUE"""),45781.0)</f>
        <v>45781</v>
      </c>
      <c r="F40" s="179">
        <f>IFERROR(__xludf.DUMMYFUNCTION("""COMPUTED_VALUE"""),0.0)</f>
        <v>0</v>
      </c>
      <c r="G40" s="180">
        <f>IFERROR(__xludf.DUMMYFUNCTION("""COMPUTED_VALUE"""),45781.0)</f>
        <v>45781</v>
      </c>
      <c r="H40" s="179">
        <f>IFERROR(__xludf.DUMMYFUNCTION("""COMPUTED_VALUE"""),0.0)</f>
        <v>0</v>
      </c>
      <c r="I40" s="180">
        <f>IFERROR(__xludf.DUMMYFUNCTION("""COMPUTED_VALUE"""),45842.0)</f>
        <v>45842</v>
      </c>
      <c r="J40" s="179">
        <f>IFERROR(__xludf.DUMMYFUNCTION("""COMPUTED_VALUE"""),0.0)</f>
        <v>0</v>
      </c>
      <c r="K40" s="180">
        <f>IFERROR(__xludf.DUMMYFUNCTION("""COMPUTED_VALUE"""),45692.0)</f>
        <v>45692</v>
      </c>
      <c r="L40" s="179">
        <f>IFERROR(__xludf.DUMMYFUNCTION("""COMPUTED_VALUE"""),0.0)</f>
        <v>0</v>
      </c>
      <c r="M40" s="180">
        <f>IFERROR(__xludf.DUMMYFUNCTION("""COMPUTED_VALUE"""),45751.0)</f>
        <v>45751</v>
      </c>
      <c r="N40" s="179">
        <f>IFERROR(__xludf.DUMMYFUNCTION("""COMPUTED_VALUE"""),0.0)</f>
        <v>0</v>
      </c>
      <c r="O40" s="180">
        <f>IFERROR(__xludf.DUMMYFUNCTION("""COMPUTED_VALUE"""),45903.0)</f>
        <v>45903</v>
      </c>
      <c r="P40" s="179">
        <f>IFERROR(__xludf.DUMMYFUNCTION("""COMPUTED_VALUE"""),0.0)</f>
        <v>0</v>
      </c>
      <c r="Q40" s="180">
        <f>IFERROR(__xludf.DUMMYFUNCTION("""COMPUTED_VALUE"""),45933.0)</f>
        <v>45933</v>
      </c>
      <c r="R40" s="179">
        <f>IFERROR(__xludf.DUMMYFUNCTION("""COMPUTED_VALUE"""),0.0)</f>
        <v>0</v>
      </c>
      <c r="S40" s="180">
        <f>IFERROR(__xludf.DUMMYFUNCTION("""COMPUTED_VALUE"""),45812.0)</f>
        <v>45812</v>
      </c>
      <c r="T40" s="179">
        <f>IFERROR(__xludf.DUMMYFUNCTION("""COMPUTED_VALUE"""),0.0)</f>
        <v>0</v>
      </c>
      <c r="U40" s="180">
        <f>IFERROR(__xludf.DUMMYFUNCTION("""COMPUTED_VALUE"""),45903.0)</f>
        <v>45903</v>
      </c>
      <c r="V40" s="181">
        <f>IFERROR(__xludf.DUMMYFUNCTION("""COMPUTED_VALUE"""),0.0)</f>
        <v>0</v>
      </c>
      <c r="W40" s="178">
        <f>IFERROR(__xludf.DUMMYFUNCTION("""COMPUTED_VALUE"""),45842.0)</f>
        <v>45842</v>
      </c>
      <c r="X40" s="179">
        <f>IFERROR(__xludf.DUMMYFUNCTION("""COMPUTED_VALUE"""),0.0)</f>
        <v>0</v>
      </c>
      <c r="Y40" s="180">
        <f>IFERROR(__xludf.DUMMYFUNCTION("""COMPUTED_VALUE"""),45661.0)</f>
        <v>45661</v>
      </c>
      <c r="Z40" s="179">
        <f>IFERROR(__xludf.DUMMYFUNCTION("""COMPUTED_VALUE"""),0.0)</f>
        <v>0</v>
      </c>
      <c r="AA40" s="180">
        <f>IFERROR(__xludf.DUMMYFUNCTION("""COMPUTED_VALUE"""),45812.0)</f>
        <v>45812</v>
      </c>
      <c r="AB40" s="179">
        <f>IFERROR(__xludf.DUMMYFUNCTION("""COMPUTED_VALUE"""),0.0)</f>
        <v>0</v>
      </c>
      <c r="AC40" s="180">
        <f>IFERROR(__xludf.DUMMYFUNCTION("""COMPUTED_VALUE"""),45903.0)</f>
        <v>45903</v>
      </c>
      <c r="AD40" s="179">
        <f>IFERROR(__xludf.DUMMYFUNCTION("""COMPUTED_VALUE"""),0.0)</f>
        <v>0</v>
      </c>
      <c r="AE40" s="180">
        <f>IFERROR(__xludf.DUMMYFUNCTION("""COMPUTED_VALUE"""),45692.0)</f>
        <v>45692</v>
      </c>
      <c r="AF40" s="179">
        <f>IFERROR(__xludf.DUMMYFUNCTION("""COMPUTED_VALUE"""),0.0)</f>
        <v>0</v>
      </c>
      <c r="AG40" s="180">
        <f>IFERROR(__xludf.DUMMYFUNCTION("""COMPUTED_VALUE"""),45842.0)</f>
        <v>45842</v>
      </c>
      <c r="AH40" s="179">
        <f>IFERROR(__xludf.DUMMYFUNCTION("""COMPUTED_VALUE"""),0.0)</f>
        <v>0</v>
      </c>
      <c r="AI40" s="180">
        <f>IFERROR(__xludf.DUMMYFUNCTION("""COMPUTED_VALUE"""),45903.0)</f>
        <v>45903</v>
      </c>
      <c r="AJ40" s="179">
        <f>IFERROR(__xludf.DUMMYFUNCTION("""COMPUTED_VALUE"""),0.0)</f>
        <v>0</v>
      </c>
      <c r="AK40" s="180">
        <f>IFERROR(__xludf.DUMMYFUNCTION("""COMPUTED_VALUE"""),45781.0)</f>
        <v>45781</v>
      </c>
      <c r="AL40" s="179">
        <f>IFERROR(__xludf.DUMMYFUNCTION("""COMPUTED_VALUE"""),0.0)</f>
        <v>0</v>
      </c>
      <c r="AM40" s="180">
        <f>IFERROR(__xludf.DUMMYFUNCTION("""COMPUTED_VALUE"""),45842.0)</f>
        <v>45842</v>
      </c>
      <c r="AN40" s="179">
        <f>IFERROR(__xludf.DUMMYFUNCTION("""COMPUTED_VALUE"""),0.0)</f>
        <v>0</v>
      </c>
      <c r="AO40" s="180">
        <f>IFERROR(__xludf.DUMMYFUNCTION("""COMPUTED_VALUE"""),45720.0)</f>
        <v>45720</v>
      </c>
      <c r="AP40" s="181">
        <f>IFERROR(__xludf.DUMMYFUNCTION("""COMPUTED_VALUE"""),0.0)</f>
        <v>0</v>
      </c>
      <c r="AQ40" s="178">
        <f>IFERROR(__xludf.DUMMYFUNCTION("""COMPUTED_VALUE"""),45873.0)</f>
        <v>45873</v>
      </c>
      <c r="AR40" s="179">
        <f>IFERROR(__xludf.DUMMYFUNCTION("""COMPUTED_VALUE"""),0.0)</f>
        <v>0</v>
      </c>
      <c r="AS40" s="180">
        <f>IFERROR(__xludf.DUMMYFUNCTION("""COMPUTED_VALUE"""),45873.0)</f>
        <v>45873</v>
      </c>
      <c r="AT40" s="179">
        <f>IFERROR(__xludf.DUMMYFUNCTION("""COMPUTED_VALUE"""),0.0)</f>
        <v>0</v>
      </c>
      <c r="AU40" s="180">
        <f>IFERROR(__xludf.DUMMYFUNCTION("""COMPUTED_VALUE"""),45842.0)</f>
        <v>45842</v>
      </c>
      <c r="AV40" s="179">
        <f>IFERROR(__xludf.DUMMYFUNCTION("""COMPUTED_VALUE"""),0.0)</f>
        <v>0</v>
      </c>
      <c r="AW40" s="180">
        <f>IFERROR(__xludf.DUMMYFUNCTION("""COMPUTED_VALUE"""),45842.0)</f>
        <v>45842</v>
      </c>
      <c r="AX40" s="179">
        <f>IFERROR(__xludf.DUMMYFUNCTION("""COMPUTED_VALUE"""),0.0)</f>
        <v>0</v>
      </c>
      <c r="AY40" s="180">
        <f>IFERROR(__xludf.DUMMYFUNCTION("""COMPUTED_VALUE"""),45873.0)</f>
        <v>45873</v>
      </c>
      <c r="AZ40" s="179">
        <f>IFERROR(__xludf.DUMMYFUNCTION("""COMPUTED_VALUE"""),0.0)</f>
        <v>0</v>
      </c>
      <c r="BA40" s="180">
        <f>IFERROR(__xludf.DUMMYFUNCTION("""COMPUTED_VALUE"""),45873.0)</f>
        <v>45873</v>
      </c>
      <c r="BB40" s="179">
        <f>IFERROR(__xludf.DUMMYFUNCTION("""COMPUTED_VALUE"""),0.0)</f>
        <v>0</v>
      </c>
      <c r="BC40" s="180">
        <f>IFERROR(__xludf.DUMMYFUNCTION("""COMPUTED_VALUE"""),45812.0)</f>
        <v>45812</v>
      </c>
      <c r="BD40" s="179">
        <f>IFERROR(__xludf.DUMMYFUNCTION("""COMPUTED_VALUE"""),0.0)</f>
        <v>0</v>
      </c>
      <c r="BE40" s="180">
        <f>IFERROR(__xludf.DUMMYFUNCTION("""COMPUTED_VALUE"""),45873.0)</f>
        <v>45873</v>
      </c>
      <c r="BF40" s="179">
        <f>IFERROR(__xludf.DUMMYFUNCTION("""COMPUTED_VALUE"""),0.0)</f>
        <v>0</v>
      </c>
      <c r="BG40" s="180">
        <f>IFERROR(__xludf.DUMMYFUNCTION("""COMPUTED_VALUE"""),45812.0)</f>
        <v>45812</v>
      </c>
      <c r="BH40" s="179">
        <f>IFERROR(__xludf.DUMMYFUNCTION("""COMPUTED_VALUE"""),0.0)</f>
        <v>0</v>
      </c>
      <c r="BI40" s="180">
        <f>IFERROR(__xludf.DUMMYFUNCTION("""COMPUTED_VALUE"""),45873.0)</f>
        <v>45873</v>
      </c>
      <c r="BJ40" s="179">
        <f>IFERROR(__xludf.DUMMYFUNCTION("""COMPUTED_VALUE"""),0.0)</f>
        <v>0</v>
      </c>
      <c r="BK40" s="182">
        <f>IFERROR(__xludf.DUMMYFUNCTION("""COMPUTED_VALUE"""),45841.0)</f>
        <v>45841</v>
      </c>
      <c r="BL40" s="179">
        <f>IFERROR(__xludf.DUMMYFUNCTION("""COMPUTED_VALUE"""),0.0)</f>
        <v>0</v>
      </c>
      <c r="BM40" s="180">
        <f>IFERROR(__xludf.DUMMYFUNCTION("""COMPUTED_VALUE"""),45872.0)</f>
        <v>45872</v>
      </c>
      <c r="BN40" s="179">
        <f>IFERROR(__xludf.DUMMYFUNCTION("""COMPUTED_VALUE"""),0.0)</f>
        <v>0</v>
      </c>
      <c r="BO40" s="180">
        <f>IFERROR(__xludf.DUMMYFUNCTION("""COMPUTED_VALUE"""),45780.0)</f>
        <v>45780</v>
      </c>
      <c r="BP40" s="179">
        <f>IFERROR(__xludf.DUMMYFUNCTION("""COMPUTED_VALUE"""),0.0)</f>
        <v>0</v>
      </c>
      <c r="BQ40" s="180">
        <f>IFERROR(__xludf.DUMMYFUNCTION("""COMPUTED_VALUE"""),45841.0)</f>
        <v>45841</v>
      </c>
      <c r="BR40" s="179">
        <f>IFERROR(__xludf.DUMMYFUNCTION("""COMPUTED_VALUE"""),0.0)</f>
        <v>0</v>
      </c>
      <c r="BS40" s="180">
        <f>IFERROR(__xludf.DUMMYFUNCTION("""COMPUTED_VALUE"""),45903.0)</f>
        <v>45903</v>
      </c>
      <c r="BT40" s="179">
        <f>IFERROR(__xludf.DUMMYFUNCTION("""COMPUTED_VALUE"""),0.0)</f>
        <v>0</v>
      </c>
      <c r="BU40" s="180">
        <f>IFERROR(__xludf.DUMMYFUNCTION("""COMPUTED_VALUE"""),45872.0)</f>
        <v>45872</v>
      </c>
      <c r="BV40" s="179">
        <f>IFERROR(__xludf.DUMMYFUNCTION("""COMPUTED_VALUE"""),0.0)</f>
        <v>0</v>
      </c>
      <c r="BW40" s="180">
        <f>IFERROR(__xludf.DUMMYFUNCTION("""COMPUTED_VALUE"""),45719.0)</f>
        <v>45719</v>
      </c>
      <c r="BX40" s="179">
        <f>IFERROR(__xludf.DUMMYFUNCTION("""COMPUTED_VALUE"""),0.0)</f>
        <v>0</v>
      </c>
      <c r="BY40" s="180">
        <f>IFERROR(__xludf.DUMMYFUNCTION("""COMPUTED_VALUE"""),45841.0)</f>
        <v>45841</v>
      </c>
      <c r="BZ40" s="179">
        <f>IFERROR(__xludf.DUMMYFUNCTION("""COMPUTED_VALUE"""),0.0)</f>
        <v>0</v>
      </c>
      <c r="CA40" s="180">
        <f>IFERROR(__xludf.DUMMYFUNCTION("""COMPUTED_VALUE"""),45872.0)</f>
        <v>45872</v>
      </c>
      <c r="CB40" s="179">
        <f>IFERROR(__xludf.DUMMYFUNCTION("""COMPUTED_VALUE"""),0.0)</f>
        <v>0</v>
      </c>
      <c r="CC40" s="180">
        <f>IFERROR(__xludf.DUMMYFUNCTION("""COMPUTED_VALUE"""),45811.0)</f>
        <v>45811</v>
      </c>
      <c r="CD40" s="179">
        <f>IFERROR(__xludf.DUMMYFUNCTION("""COMPUTED_VALUE"""),0.0)</f>
        <v>0</v>
      </c>
      <c r="CE40" s="182">
        <f>IFERROR(__xludf.DUMMYFUNCTION("""COMPUTED_VALUE"""),45903.0)</f>
        <v>45903</v>
      </c>
      <c r="CF40" s="179">
        <f>IFERROR(__xludf.DUMMYFUNCTION("""COMPUTED_VALUE"""),0.0)</f>
        <v>0</v>
      </c>
      <c r="CG40" s="180">
        <f>IFERROR(__xludf.DUMMYFUNCTION("""COMPUTED_VALUE"""),45719.0)</f>
        <v>45719</v>
      </c>
      <c r="CH40" s="179">
        <f>IFERROR(__xludf.DUMMYFUNCTION("""COMPUTED_VALUE"""),0.0)</f>
        <v>0</v>
      </c>
      <c r="CI40" s="180">
        <f>IFERROR(__xludf.DUMMYFUNCTION("""COMPUTED_VALUE"""),45750.0)</f>
        <v>45750</v>
      </c>
      <c r="CJ40" s="179">
        <f>IFERROR(__xludf.DUMMYFUNCTION("""COMPUTED_VALUE"""),0.0)</f>
        <v>0</v>
      </c>
      <c r="CK40" s="180">
        <f>IFERROR(__xludf.DUMMYFUNCTION("""COMPUTED_VALUE"""),45780.0)</f>
        <v>45780</v>
      </c>
      <c r="CL40" s="179">
        <f>IFERROR(__xludf.DUMMYFUNCTION("""COMPUTED_VALUE"""),0.0)</f>
        <v>0</v>
      </c>
      <c r="CM40" s="180">
        <f>IFERROR(__xludf.DUMMYFUNCTION("""COMPUTED_VALUE"""),45872.0)</f>
        <v>45872</v>
      </c>
      <c r="CN40" s="179">
        <f>IFERROR(__xludf.DUMMYFUNCTION("""COMPUTED_VALUE"""),0.0)</f>
        <v>0</v>
      </c>
      <c r="CO40" s="180">
        <f>IFERROR(__xludf.DUMMYFUNCTION("""COMPUTED_VALUE"""),45841.0)</f>
        <v>45841</v>
      </c>
      <c r="CP40" s="179">
        <f>IFERROR(__xludf.DUMMYFUNCTION("""COMPUTED_VALUE"""),0.0)</f>
        <v>0</v>
      </c>
      <c r="CQ40" s="180">
        <f>IFERROR(__xludf.DUMMYFUNCTION("""COMPUTED_VALUE"""),45660.0)</f>
        <v>45660</v>
      </c>
      <c r="CR40" s="179">
        <f>IFERROR(__xludf.DUMMYFUNCTION("""COMPUTED_VALUE"""),0.0)</f>
        <v>0</v>
      </c>
      <c r="CS40" s="180">
        <f>IFERROR(__xludf.DUMMYFUNCTION("""COMPUTED_VALUE"""),45841.0)</f>
        <v>45841</v>
      </c>
      <c r="CT40" s="179">
        <f>IFERROR(__xludf.DUMMYFUNCTION("""COMPUTED_VALUE"""),0.0)</f>
        <v>0</v>
      </c>
      <c r="CU40" s="180">
        <f>IFERROR(__xludf.DUMMYFUNCTION("""COMPUTED_VALUE"""),45903.0)</f>
        <v>45903</v>
      </c>
      <c r="CV40" s="179">
        <f>IFERROR(__xludf.DUMMYFUNCTION("""COMPUTED_VALUE"""),0.0)</f>
        <v>0</v>
      </c>
      <c r="CW40" s="180">
        <f>IFERROR(__xludf.DUMMYFUNCTION("""COMPUTED_VALUE"""),45902.0)</f>
        <v>45902</v>
      </c>
      <c r="CX40" s="179">
        <f>IFERROR(__xludf.DUMMYFUNCTION("""COMPUTED_VALUE"""),0.0)</f>
        <v>0</v>
      </c>
      <c r="CY40" s="182">
        <f>IFERROR(__xludf.DUMMYFUNCTION("""COMPUTED_VALUE"""),45872.0)</f>
        <v>45872</v>
      </c>
      <c r="CZ40" s="179">
        <f>IFERROR(__xludf.DUMMYFUNCTION("""COMPUTED_VALUE"""),0.0)</f>
        <v>0</v>
      </c>
      <c r="DA40" s="180">
        <f>IFERROR(__xludf.DUMMYFUNCTION("""COMPUTED_VALUE"""),45872.0)</f>
        <v>45872</v>
      </c>
      <c r="DB40" s="179">
        <f>IFERROR(__xludf.DUMMYFUNCTION("""COMPUTED_VALUE"""),0.0)</f>
        <v>0</v>
      </c>
      <c r="DC40" s="180">
        <f>IFERROR(__xludf.DUMMYFUNCTION("""COMPUTED_VALUE"""),45780.0)</f>
        <v>45780</v>
      </c>
      <c r="DD40" s="179">
        <f>IFERROR(__xludf.DUMMYFUNCTION("""COMPUTED_VALUE"""),0.0)</f>
        <v>0</v>
      </c>
      <c r="DE40" s="180">
        <f>IFERROR(__xludf.DUMMYFUNCTION("""COMPUTED_VALUE"""),45811.0)</f>
        <v>45811</v>
      </c>
      <c r="DF40" s="179">
        <f>IFERROR(__xludf.DUMMYFUNCTION("""COMPUTED_VALUE"""),0.0)</f>
        <v>0</v>
      </c>
      <c r="DG40" s="180">
        <f>IFERROR(__xludf.DUMMYFUNCTION("""COMPUTED_VALUE"""),45903.0)</f>
        <v>45903</v>
      </c>
      <c r="DH40" s="179">
        <f>IFERROR(__xludf.DUMMYFUNCTION("""COMPUTED_VALUE"""),0.0)</f>
        <v>0</v>
      </c>
      <c r="DI40" s="180">
        <f>IFERROR(__xludf.DUMMYFUNCTION("""COMPUTED_VALUE"""),45903.0)</f>
        <v>45903</v>
      </c>
      <c r="DJ40" s="179">
        <f>IFERROR(__xludf.DUMMYFUNCTION("""COMPUTED_VALUE"""),0.0)</f>
        <v>0</v>
      </c>
      <c r="DK40" s="180">
        <f>IFERROR(__xludf.DUMMYFUNCTION("""COMPUTED_VALUE"""),45841.0)</f>
        <v>45841</v>
      </c>
      <c r="DL40" s="179">
        <f>IFERROR(__xludf.DUMMYFUNCTION("""COMPUTED_VALUE"""),0.0)</f>
        <v>0</v>
      </c>
      <c r="DM40" s="180">
        <f>IFERROR(__xludf.DUMMYFUNCTION("""COMPUTED_VALUE"""),45841.0)</f>
        <v>45841</v>
      </c>
      <c r="DN40" s="179">
        <f>IFERROR(__xludf.DUMMYFUNCTION("""COMPUTED_VALUE"""),0.0)</f>
        <v>0</v>
      </c>
      <c r="DO40" s="180">
        <f>IFERROR(__xludf.DUMMYFUNCTION("""COMPUTED_VALUE"""),45841.0)</f>
        <v>45841</v>
      </c>
      <c r="DP40" s="179">
        <f>IFERROR(__xludf.DUMMYFUNCTION("""COMPUTED_VALUE"""),0.0)</f>
        <v>0</v>
      </c>
      <c r="DQ40" s="180">
        <f>IFERROR(__xludf.DUMMYFUNCTION("""COMPUTED_VALUE"""),45719.0)</f>
        <v>45719</v>
      </c>
      <c r="DR40" s="179">
        <f>IFERROR(__xludf.DUMMYFUNCTION("""COMPUTED_VALUE"""),0.0)</f>
        <v>0</v>
      </c>
      <c r="DS40" s="182">
        <f>IFERROR(__xludf.DUMMYFUNCTION("""COMPUTED_VALUE"""),45872.0)</f>
        <v>45872</v>
      </c>
      <c r="DT40" s="179">
        <f>IFERROR(__xludf.DUMMYFUNCTION("""COMPUTED_VALUE"""),0.0)</f>
        <v>0</v>
      </c>
      <c r="DU40" s="180">
        <f>IFERROR(__xludf.DUMMYFUNCTION("""COMPUTED_VALUE"""),45841.0)</f>
        <v>45841</v>
      </c>
      <c r="DV40" s="179">
        <f>IFERROR(__xludf.DUMMYFUNCTION("""COMPUTED_VALUE"""),0.0)</f>
        <v>0</v>
      </c>
      <c r="DW40" s="180">
        <f>IFERROR(__xludf.DUMMYFUNCTION("""COMPUTED_VALUE"""),45841.0)</f>
        <v>45841</v>
      </c>
      <c r="DX40" s="179">
        <f>IFERROR(__xludf.DUMMYFUNCTION("""COMPUTED_VALUE"""),0.0)</f>
        <v>0</v>
      </c>
      <c r="DY40" s="180">
        <f>IFERROR(__xludf.DUMMYFUNCTION("""COMPUTED_VALUE"""),45872.0)</f>
        <v>45872</v>
      </c>
      <c r="DZ40" s="179">
        <f>IFERROR(__xludf.DUMMYFUNCTION("""COMPUTED_VALUE"""),0.0)</f>
        <v>0</v>
      </c>
      <c r="EA40" s="180">
        <f>IFERROR(__xludf.DUMMYFUNCTION("""COMPUTED_VALUE"""),45903.0)</f>
        <v>45903</v>
      </c>
      <c r="EB40" s="179">
        <f>IFERROR(__xludf.DUMMYFUNCTION("""COMPUTED_VALUE"""),0.0)</f>
        <v>0</v>
      </c>
      <c r="EC40" s="180">
        <f>IFERROR(__xludf.DUMMYFUNCTION("""COMPUTED_VALUE"""),45872.0)</f>
        <v>45872</v>
      </c>
      <c r="ED40" s="179">
        <f>IFERROR(__xludf.DUMMYFUNCTION("""COMPUTED_VALUE"""),0.0)</f>
        <v>0</v>
      </c>
      <c r="EE40" s="180">
        <f>IFERROR(__xludf.DUMMYFUNCTION("""COMPUTED_VALUE"""),45780.0)</f>
        <v>45780</v>
      </c>
      <c r="EF40" s="179">
        <f>IFERROR(__xludf.DUMMYFUNCTION("""COMPUTED_VALUE"""),0.0)</f>
        <v>0</v>
      </c>
      <c r="EG40" s="180">
        <f>IFERROR(__xludf.DUMMYFUNCTION("""COMPUTED_VALUE"""),45872.0)</f>
        <v>45872</v>
      </c>
      <c r="EH40" s="179">
        <f>IFERROR(__xludf.DUMMYFUNCTION("""COMPUTED_VALUE"""),0.0)</f>
        <v>0</v>
      </c>
      <c r="EI40" s="180">
        <f>IFERROR(__xludf.DUMMYFUNCTION("""COMPUTED_VALUE"""),45872.0)</f>
        <v>45872</v>
      </c>
      <c r="EJ40" s="179">
        <f>IFERROR(__xludf.DUMMYFUNCTION("""COMPUTED_VALUE"""),0.0)</f>
        <v>0</v>
      </c>
      <c r="EK40" s="180">
        <f>IFERROR(__xludf.DUMMYFUNCTION("""COMPUTED_VALUE"""),45811.0)</f>
        <v>45811</v>
      </c>
      <c r="EL40" s="179">
        <f>IFERROR(__xludf.DUMMYFUNCTION("""COMPUTED_VALUE"""),0.0)</f>
        <v>0</v>
      </c>
      <c r="EM40" s="182">
        <f>IFERROR(__xludf.DUMMYFUNCTION("""COMPUTED_VALUE"""),45780.0)</f>
        <v>45780</v>
      </c>
      <c r="EN40" s="179">
        <f>IFERROR(__xludf.DUMMYFUNCTION("""COMPUTED_VALUE"""),0.0)</f>
        <v>0</v>
      </c>
      <c r="EO40" s="180">
        <f>IFERROR(__xludf.DUMMYFUNCTION("""COMPUTED_VALUE"""),45872.0)</f>
        <v>45872</v>
      </c>
      <c r="EP40" s="179">
        <f>IFERROR(__xludf.DUMMYFUNCTION("""COMPUTED_VALUE"""),0.0)</f>
        <v>0</v>
      </c>
      <c r="EQ40" s="180">
        <f>IFERROR(__xludf.DUMMYFUNCTION("""COMPUTED_VALUE"""),45872.0)</f>
        <v>45872</v>
      </c>
      <c r="ER40" s="179">
        <f>IFERROR(__xludf.DUMMYFUNCTION("""COMPUTED_VALUE"""),0.0)</f>
        <v>0</v>
      </c>
      <c r="ES40" s="180">
        <f>IFERROR(__xludf.DUMMYFUNCTION("""COMPUTED_VALUE"""),45903.0)</f>
        <v>45903</v>
      </c>
      <c r="ET40" s="179">
        <f>IFERROR(__xludf.DUMMYFUNCTION("""COMPUTED_VALUE"""),0.0)</f>
        <v>0</v>
      </c>
      <c r="EU40" s="180">
        <f>IFERROR(__xludf.DUMMYFUNCTION("""COMPUTED_VALUE"""),45872.0)</f>
        <v>45872</v>
      </c>
      <c r="EV40" s="179">
        <f>IFERROR(__xludf.DUMMYFUNCTION("""COMPUTED_VALUE"""),0.0)</f>
        <v>0</v>
      </c>
      <c r="EW40" s="180">
        <f>IFERROR(__xludf.DUMMYFUNCTION("""COMPUTED_VALUE"""),45903.0)</f>
        <v>45903</v>
      </c>
      <c r="EX40" s="179">
        <f>IFERROR(__xludf.DUMMYFUNCTION("""COMPUTED_VALUE"""),0.0)</f>
        <v>0</v>
      </c>
      <c r="EY40" s="180">
        <f>IFERROR(__xludf.DUMMYFUNCTION("""COMPUTED_VALUE"""),45903.0)</f>
        <v>45903</v>
      </c>
      <c r="EZ40" s="179">
        <f>IFERROR(__xludf.DUMMYFUNCTION("""COMPUTED_VALUE"""),0.0)</f>
        <v>0</v>
      </c>
      <c r="FA40" s="180">
        <f>IFERROR(__xludf.DUMMYFUNCTION("""COMPUTED_VALUE"""),45872.0)</f>
        <v>45872</v>
      </c>
      <c r="FB40" s="179">
        <f>IFERROR(__xludf.DUMMYFUNCTION("""COMPUTED_VALUE"""),0.0)</f>
        <v>0</v>
      </c>
      <c r="FC40" s="180">
        <f>IFERROR(__xludf.DUMMYFUNCTION("""COMPUTED_VALUE"""),45903.0)</f>
        <v>45903</v>
      </c>
      <c r="FD40" s="179">
        <f>IFERROR(__xludf.DUMMYFUNCTION("""COMPUTED_VALUE"""),0.0)</f>
        <v>0</v>
      </c>
      <c r="FE40" s="180">
        <f>IFERROR(__xludf.DUMMYFUNCTION("""COMPUTED_VALUE"""),45780.0)</f>
        <v>45780</v>
      </c>
      <c r="FF40" s="179">
        <f>IFERROR(__xludf.DUMMYFUNCTION("""COMPUTED_VALUE"""),0.0)</f>
        <v>0</v>
      </c>
      <c r="FG40" s="182">
        <f>IFERROR(__xludf.DUMMYFUNCTION("""COMPUTED_VALUE"""),45780.0)</f>
        <v>45780</v>
      </c>
      <c r="FH40" s="179">
        <f>IFERROR(__xludf.DUMMYFUNCTION("""COMPUTED_VALUE"""),0.0)</f>
        <v>0</v>
      </c>
      <c r="FI40" s="180">
        <f>IFERROR(__xludf.DUMMYFUNCTION("""COMPUTED_VALUE"""),45780.0)</f>
        <v>45780</v>
      </c>
      <c r="FJ40" s="179">
        <f>IFERROR(__xludf.DUMMYFUNCTION("""COMPUTED_VALUE"""),0.0)</f>
        <v>0</v>
      </c>
      <c r="FK40" s="180">
        <f>IFERROR(__xludf.DUMMYFUNCTION("""COMPUTED_VALUE"""),45660.0)</f>
        <v>45660</v>
      </c>
      <c r="FL40" s="179">
        <f>IFERROR(__xludf.DUMMYFUNCTION("""COMPUTED_VALUE"""),0.0)</f>
        <v>0</v>
      </c>
      <c r="FM40" s="180">
        <f>IFERROR(__xludf.DUMMYFUNCTION("""COMPUTED_VALUE"""),45903.0)</f>
        <v>45903</v>
      </c>
      <c r="FN40" s="179">
        <f>IFERROR(__xludf.DUMMYFUNCTION("""COMPUTED_VALUE"""),0.0)</f>
        <v>0</v>
      </c>
      <c r="FO40" s="180">
        <f>IFERROR(__xludf.DUMMYFUNCTION("""COMPUTED_VALUE"""),45903.0)</f>
        <v>45903</v>
      </c>
      <c r="FP40" s="179">
        <f>IFERROR(__xludf.DUMMYFUNCTION("""COMPUTED_VALUE"""),0.0)</f>
        <v>0</v>
      </c>
      <c r="FQ40" s="180">
        <f>IFERROR(__xludf.DUMMYFUNCTION("""COMPUTED_VALUE"""),45903.0)</f>
        <v>45903</v>
      </c>
      <c r="FR40" s="179">
        <f>IFERROR(__xludf.DUMMYFUNCTION("""COMPUTED_VALUE"""),0.0)</f>
        <v>0</v>
      </c>
      <c r="FS40" s="180">
        <f>IFERROR(__xludf.DUMMYFUNCTION("""COMPUTED_VALUE"""),45780.0)</f>
        <v>45780</v>
      </c>
      <c r="FT40" s="179">
        <f>IFERROR(__xludf.DUMMYFUNCTION("""COMPUTED_VALUE"""),0.0)</f>
        <v>0</v>
      </c>
      <c r="FU40" s="180">
        <f>IFERROR(__xludf.DUMMYFUNCTION("""COMPUTED_VALUE"""),45903.0)</f>
        <v>45903</v>
      </c>
      <c r="FV40" s="179">
        <f>IFERROR(__xludf.DUMMYFUNCTION("""COMPUTED_VALUE"""),0.0)</f>
        <v>0</v>
      </c>
      <c r="FW40" s="180">
        <f>IFERROR(__xludf.DUMMYFUNCTION("""COMPUTED_VALUE"""),45903.0)</f>
        <v>45903</v>
      </c>
      <c r="FX40" s="179">
        <f>IFERROR(__xludf.DUMMYFUNCTION("""COMPUTED_VALUE"""),0.0)</f>
        <v>0</v>
      </c>
      <c r="FY40" s="180">
        <f>IFERROR(__xludf.DUMMYFUNCTION("""COMPUTED_VALUE"""),45660.0)</f>
        <v>45660</v>
      </c>
      <c r="FZ40" s="179">
        <f>IFERROR(__xludf.DUMMYFUNCTION("""COMPUTED_VALUE"""),0.0)</f>
        <v>0</v>
      </c>
      <c r="GA40" s="182">
        <f>IFERROR(__xludf.DUMMYFUNCTION("""COMPUTED_VALUE"""),45903.0)</f>
        <v>45903</v>
      </c>
      <c r="GB40" s="179">
        <f>IFERROR(__xludf.DUMMYFUNCTION("""COMPUTED_VALUE"""),0.0)</f>
        <v>0</v>
      </c>
      <c r="GC40" s="180">
        <f>IFERROR(__xludf.DUMMYFUNCTION("""COMPUTED_VALUE"""),45811.0)</f>
        <v>45811</v>
      </c>
      <c r="GD40" s="179">
        <f>IFERROR(__xludf.DUMMYFUNCTION("""COMPUTED_VALUE"""),0.0)</f>
        <v>0</v>
      </c>
      <c r="GE40" s="180">
        <f>IFERROR(__xludf.DUMMYFUNCTION("""COMPUTED_VALUE"""),45811.0)</f>
        <v>45811</v>
      </c>
      <c r="GF40" s="179">
        <f>IFERROR(__xludf.DUMMYFUNCTION("""COMPUTED_VALUE"""),0.0)</f>
        <v>0</v>
      </c>
      <c r="GG40" s="180">
        <f>IFERROR(__xludf.DUMMYFUNCTION("""COMPUTED_VALUE"""),45841.0)</f>
        <v>45841</v>
      </c>
      <c r="GH40" s="179">
        <f>IFERROR(__xludf.DUMMYFUNCTION("""COMPUTED_VALUE"""),0.0)</f>
        <v>0</v>
      </c>
      <c r="GI40" s="180">
        <f>IFERROR(__xludf.DUMMYFUNCTION("""COMPUTED_VALUE"""),45903.0)</f>
        <v>45903</v>
      </c>
      <c r="GJ40" s="179">
        <f>IFERROR(__xludf.DUMMYFUNCTION("""COMPUTED_VALUE"""),0.0)</f>
        <v>0</v>
      </c>
      <c r="GK40" s="180">
        <f>IFERROR(__xludf.DUMMYFUNCTION("""COMPUTED_VALUE"""),45903.0)</f>
        <v>45903</v>
      </c>
      <c r="GL40" s="179">
        <f>IFERROR(__xludf.DUMMYFUNCTION("""COMPUTED_VALUE"""),0.0)</f>
        <v>0</v>
      </c>
      <c r="GM40" s="180">
        <f>IFERROR(__xludf.DUMMYFUNCTION("""COMPUTED_VALUE"""),45719.0)</f>
        <v>45719</v>
      </c>
      <c r="GN40" s="179">
        <f>IFERROR(__xludf.DUMMYFUNCTION("""COMPUTED_VALUE"""),0.0)</f>
        <v>0</v>
      </c>
      <c r="GO40" s="180">
        <f>IFERROR(__xludf.DUMMYFUNCTION("""COMPUTED_VALUE"""),45903.0)</f>
        <v>45903</v>
      </c>
      <c r="GP40" s="179">
        <f>IFERROR(__xludf.DUMMYFUNCTION("""COMPUTED_VALUE"""),0.0)</f>
        <v>0</v>
      </c>
      <c r="GQ40" s="180">
        <f>IFERROR(__xludf.DUMMYFUNCTION("""COMPUTED_VALUE"""),45811.0)</f>
        <v>45811</v>
      </c>
      <c r="GR40" s="179">
        <f>IFERROR(__xludf.DUMMYFUNCTION("""COMPUTED_VALUE"""),0.0)</f>
        <v>0</v>
      </c>
      <c r="GS40" s="180">
        <f>IFERROR(__xludf.DUMMYFUNCTION("""COMPUTED_VALUE"""),45691.0)</f>
        <v>45691</v>
      </c>
      <c r="GT40" s="179">
        <f>IFERROR(__xludf.DUMMYFUNCTION("""COMPUTED_VALUE"""),0.0)</f>
        <v>0</v>
      </c>
    </row>
    <row r="41" ht="31.5" customHeight="1">
      <c r="B41" s="183"/>
      <c r="C41" s="178">
        <f>IFERROR(__xludf.DUMMYFUNCTION("""COMPUTED_VALUE"""),45781.0)</f>
        <v>45781</v>
      </c>
      <c r="D41" s="179">
        <f>IFERROR(__xludf.DUMMYFUNCTION("""COMPUTED_VALUE"""),0.0)</f>
        <v>0</v>
      </c>
      <c r="E41" s="180">
        <f>IFERROR(__xludf.DUMMYFUNCTION("""COMPUTED_VALUE"""),45812.0)</f>
        <v>45812</v>
      </c>
      <c r="F41" s="179">
        <f>IFERROR(__xludf.DUMMYFUNCTION("""COMPUTED_VALUE"""),0.0)</f>
        <v>0</v>
      </c>
      <c r="G41" s="180">
        <f>IFERROR(__xludf.DUMMYFUNCTION("""COMPUTED_VALUE"""),45812.0)</f>
        <v>45812</v>
      </c>
      <c r="H41" s="179">
        <f>IFERROR(__xludf.DUMMYFUNCTION("""COMPUTED_VALUE"""),0.0)</f>
        <v>0</v>
      </c>
      <c r="I41" s="180">
        <f>IFERROR(__xludf.DUMMYFUNCTION("""COMPUTED_VALUE"""),45873.0)</f>
        <v>45873</v>
      </c>
      <c r="J41" s="179">
        <f>IFERROR(__xludf.DUMMYFUNCTION("""COMPUTED_VALUE"""),0.0)</f>
        <v>0</v>
      </c>
      <c r="K41" s="180">
        <f>IFERROR(__xludf.DUMMYFUNCTION("""COMPUTED_VALUE"""),45720.0)</f>
        <v>45720</v>
      </c>
      <c r="L41" s="179">
        <f>IFERROR(__xludf.DUMMYFUNCTION("""COMPUTED_VALUE"""),0.0)</f>
        <v>0</v>
      </c>
      <c r="M41" s="180">
        <f>IFERROR(__xludf.DUMMYFUNCTION("""COMPUTED_VALUE"""),45781.0)</f>
        <v>45781</v>
      </c>
      <c r="N41" s="179">
        <f>IFERROR(__xludf.DUMMYFUNCTION("""COMPUTED_VALUE"""),0.0)</f>
        <v>0</v>
      </c>
      <c r="O41" s="180">
        <f>IFERROR(__xludf.DUMMYFUNCTION("""COMPUTED_VALUE"""),45933.0)</f>
        <v>45933</v>
      </c>
      <c r="P41" s="179">
        <f>IFERROR(__xludf.DUMMYFUNCTION("""COMPUTED_VALUE"""),0.0)</f>
        <v>0</v>
      </c>
      <c r="Q41" s="180">
        <f>IFERROR(__xludf.DUMMYFUNCTION("""COMPUTED_VALUE"""),45661.0)</f>
        <v>45661</v>
      </c>
      <c r="R41" s="179">
        <f>IFERROR(__xludf.DUMMYFUNCTION("""COMPUTED_VALUE"""),0.0)</f>
        <v>0</v>
      </c>
      <c r="S41" s="180">
        <f>IFERROR(__xludf.DUMMYFUNCTION("""COMPUTED_VALUE"""),45842.0)</f>
        <v>45842</v>
      </c>
      <c r="T41" s="179">
        <f>IFERROR(__xludf.DUMMYFUNCTION("""COMPUTED_VALUE"""),0.0)</f>
        <v>0</v>
      </c>
      <c r="U41" s="180">
        <f>IFERROR(__xludf.DUMMYFUNCTION("""COMPUTED_VALUE"""),45933.0)</f>
        <v>45933</v>
      </c>
      <c r="V41" s="181">
        <f>IFERROR(__xludf.DUMMYFUNCTION("""COMPUTED_VALUE"""),0.0)</f>
        <v>0</v>
      </c>
      <c r="W41" s="178">
        <f>IFERROR(__xludf.DUMMYFUNCTION("""COMPUTED_VALUE"""),45873.0)</f>
        <v>45873</v>
      </c>
      <c r="X41" s="179">
        <f>IFERROR(__xludf.DUMMYFUNCTION("""COMPUTED_VALUE"""),0.0)</f>
        <v>0</v>
      </c>
      <c r="Y41" s="180">
        <f>IFERROR(__xludf.DUMMYFUNCTION("""COMPUTED_VALUE"""),45692.0)</f>
        <v>45692</v>
      </c>
      <c r="Z41" s="179">
        <f>IFERROR(__xludf.DUMMYFUNCTION("""COMPUTED_VALUE"""),0.0)</f>
        <v>0</v>
      </c>
      <c r="AA41" s="180">
        <f>IFERROR(__xludf.DUMMYFUNCTION("""COMPUTED_VALUE"""),45842.0)</f>
        <v>45842</v>
      </c>
      <c r="AB41" s="179">
        <f>IFERROR(__xludf.DUMMYFUNCTION("""COMPUTED_VALUE"""),0.0)</f>
        <v>0</v>
      </c>
      <c r="AC41" s="180">
        <f>IFERROR(__xludf.DUMMYFUNCTION("""COMPUTED_VALUE"""),45933.0)</f>
        <v>45933</v>
      </c>
      <c r="AD41" s="179">
        <f>IFERROR(__xludf.DUMMYFUNCTION("""COMPUTED_VALUE"""),0.0)</f>
        <v>0</v>
      </c>
      <c r="AE41" s="180">
        <f>IFERROR(__xludf.DUMMYFUNCTION("""COMPUTED_VALUE"""),45720.0)</f>
        <v>45720</v>
      </c>
      <c r="AF41" s="179">
        <f>IFERROR(__xludf.DUMMYFUNCTION("""COMPUTED_VALUE"""),0.0)</f>
        <v>0</v>
      </c>
      <c r="AG41" s="180">
        <f>IFERROR(__xludf.DUMMYFUNCTION("""COMPUTED_VALUE"""),45873.0)</f>
        <v>45873</v>
      </c>
      <c r="AH41" s="179">
        <f>IFERROR(__xludf.DUMMYFUNCTION("""COMPUTED_VALUE"""),0.0)</f>
        <v>0</v>
      </c>
      <c r="AI41" s="180">
        <f>IFERROR(__xludf.DUMMYFUNCTION("""COMPUTED_VALUE"""),45933.0)</f>
        <v>45933</v>
      </c>
      <c r="AJ41" s="179">
        <f>IFERROR(__xludf.DUMMYFUNCTION("""COMPUTED_VALUE"""),0.0)</f>
        <v>0</v>
      </c>
      <c r="AK41" s="180">
        <f>IFERROR(__xludf.DUMMYFUNCTION("""COMPUTED_VALUE"""),45812.0)</f>
        <v>45812</v>
      </c>
      <c r="AL41" s="179">
        <f>IFERROR(__xludf.DUMMYFUNCTION("""COMPUTED_VALUE"""),0.0)</f>
        <v>0</v>
      </c>
      <c r="AM41" s="180">
        <f>IFERROR(__xludf.DUMMYFUNCTION("""COMPUTED_VALUE"""),45873.0)</f>
        <v>45873</v>
      </c>
      <c r="AN41" s="179">
        <f>IFERROR(__xludf.DUMMYFUNCTION("""COMPUTED_VALUE"""),0.0)</f>
        <v>0</v>
      </c>
      <c r="AO41" s="180">
        <f>IFERROR(__xludf.DUMMYFUNCTION("""COMPUTED_VALUE"""),45751.0)</f>
        <v>45751</v>
      </c>
      <c r="AP41" s="181">
        <f>IFERROR(__xludf.DUMMYFUNCTION("""COMPUTED_VALUE"""),0.0)</f>
        <v>0</v>
      </c>
      <c r="AQ41" s="178">
        <f>IFERROR(__xludf.DUMMYFUNCTION("""COMPUTED_VALUE"""),45904.0)</f>
        <v>45904</v>
      </c>
      <c r="AR41" s="179">
        <f>IFERROR(__xludf.DUMMYFUNCTION("""COMPUTED_VALUE"""),0.0)</f>
        <v>0</v>
      </c>
      <c r="AS41" s="180">
        <f>IFERROR(__xludf.DUMMYFUNCTION("""COMPUTED_VALUE"""),45904.0)</f>
        <v>45904</v>
      </c>
      <c r="AT41" s="179">
        <f>IFERROR(__xludf.DUMMYFUNCTION("""COMPUTED_VALUE"""),0.0)</f>
        <v>0</v>
      </c>
      <c r="AU41" s="180">
        <f>IFERROR(__xludf.DUMMYFUNCTION("""COMPUTED_VALUE"""),45873.0)</f>
        <v>45873</v>
      </c>
      <c r="AV41" s="179">
        <f>IFERROR(__xludf.DUMMYFUNCTION("""COMPUTED_VALUE"""),0.0)</f>
        <v>0</v>
      </c>
      <c r="AW41" s="180">
        <f>IFERROR(__xludf.DUMMYFUNCTION("""COMPUTED_VALUE"""),45873.0)</f>
        <v>45873</v>
      </c>
      <c r="AX41" s="179">
        <f>IFERROR(__xludf.DUMMYFUNCTION("""COMPUTED_VALUE"""),0.0)</f>
        <v>0</v>
      </c>
      <c r="AY41" s="180">
        <f>IFERROR(__xludf.DUMMYFUNCTION("""COMPUTED_VALUE"""),45904.0)</f>
        <v>45904</v>
      </c>
      <c r="AZ41" s="179">
        <f>IFERROR(__xludf.DUMMYFUNCTION("""COMPUTED_VALUE"""),0.0)</f>
        <v>0</v>
      </c>
      <c r="BA41" s="180">
        <f>IFERROR(__xludf.DUMMYFUNCTION("""COMPUTED_VALUE"""),45904.0)</f>
        <v>45904</v>
      </c>
      <c r="BB41" s="179">
        <f>IFERROR(__xludf.DUMMYFUNCTION("""COMPUTED_VALUE"""),0.0)</f>
        <v>0</v>
      </c>
      <c r="BC41" s="180">
        <f>IFERROR(__xludf.DUMMYFUNCTION("""COMPUTED_VALUE"""),45842.0)</f>
        <v>45842</v>
      </c>
      <c r="BD41" s="179">
        <f>IFERROR(__xludf.DUMMYFUNCTION("""COMPUTED_VALUE"""),0.0)</f>
        <v>0</v>
      </c>
      <c r="BE41" s="180">
        <f>IFERROR(__xludf.DUMMYFUNCTION("""COMPUTED_VALUE"""),45904.0)</f>
        <v>45904</v>
      </c>
      <c r="BF41" s="179">
        <f>IFERROR(__xludf.DUMMYFUNCTION("""COMPUTED_VALUE"""),0.0)</f>
        <v>0</v>
      </c>
      <c r="BG41" s="180">
        <f>IFERROR(__xludf.DUMMYFUNCTION("""COMPUTED_VALUE"""),45842.0)</f>
        <v>45842</v>
      </c>
      <c r="BH41" s="179">
        <f>IFERROR(__xludf.DUMMYFUNCTION("""COMPUTED_VALUE"""),0.0)</f>
        <v>0</v>
      </c>
      <c r="BI41" s="180">
        <f>IFERROR(__xludf.DUMMYFUNCTION("""COMPUTED_VALUE"""),45904.0)</f>
        <v>45904</v>
      </c>
      <c r="BJ41" s="179">
        <f>IFERROR(__xludf.DUMMYFUNCTION("""COMPUTED_VALUE"""),0.0)</f>
        <v>0</v>
      </c>
      <c r="BK41" s="182">
        <f>IFERROR(__xludf.DUMMYFUNCTION("""COMPUTED_VALUE"""),45872.0)</f>
        <v>45872</v>
      </c>
      <c r="BL41" s="179">
        <f>IFERROR(__xludf.DUMMYFUNCTION("""COMPUTED_VALUE"""),0.0)</f>
        <v>0</v>
      </c>
      <c r="BM41" s="180">
        <f>IFERROR(__xludf.DUMMYFUNCTION("""COMPUTED_VALUE"""),45903.0)</f>
        <v>45903</v>
      </c>
      <c r="BN41" s="179">
        <f>IFERROR(__xludf.DUMMYFUNCTION("""COMPUTED_VALUE"""),0.0)</f>
        <v>0</v>
      </c>
      <c r="BO41" s="180">
        <f>IFERROR(__xludf.DUMMYFUNCTION("""COMPUTED_VALUE"""),45811.0)</f>
        <v>45811</v>
      </c>
      <c r="BP41" s="179">
        <f>IFERROR(__xludf.DUMMYFUNCTION("""COMPUTED_VALUE"""),0.0)</f>
        <v>0</v>
      </c>
      <c r="BQ41" s="180">
        <f>IFERROR(__xludf.DUMMYFUNCTION("""COMPUTED_VALUE"""),45872.0)</f>
        <v>45872</v>
      </c>
      <c r="BR41" s="179">
        <f>IFERROR(__xludf.DUMMYFUNCTION("""COMPUTED_VALUE"""),0.0)</f>
        <v>0</v>
      </c>
      <c r="BS41" s="180">
        <f>IFERROR(__xludf.DUMMYFUNCTION("""COMPUTED_VALUE"""),45933.0)</f>
        <v>45933</v>
      </c>
      <c r="BT41" s="179">
        <f>IFERROR(__xludf.DUMMYFUNCTION("""COMPUTED_VALUE"""),0.0)</f>
        <v>0</v>
      </c>
      <c r="BU41" s="180">
        <f>IFERROR(__xludf.DUMMYFUNCTION("""COMPUTED_VALUE"""),45903.0)</f>
        <v>45903</v>
      </c>
      <c r="BV41" s="179">
        <f>IFERROR(__xludf.DUMMYFUNCTION("""COMPUTED_VALUE"""),0.0)</f>
        <v>0</v>
      </c>
      <c r="BW41" s="180">
        <f>IFERROR(__xludf.DUMMYFUNCTION("""COMPUTED_VALUE"""),45750.0)</f>
        <v>45750</v>
      </c>
      <c r="BX41" s="179">
        <f>IFERROR(__xludf.DUMMYFUNCTION("""COMPUTED_VALUE"""),0.0)</f>
        <v>0</v>
      </c>
      <c r="BY41" s="180">
        <f>IFERROR(__xludf.DUMMYFUNCTION("""COMPUTED_VALUE"""),45872.0)</f>
        <v>45872</v>
      </c>
      <c r="BZ41" s="179">
        <f>IFERROR(__xludf.DUMMYFUNCTION("""COMPUTED_VALUE"""),0.0)</f>
        <v>0</v>
      </c>
      <c r="CA41" s="180">
        <f>IFERROR(__xludf.DUMMYFUNCTION("""COMPUTED_VALUE"""),45933.0)</f>
        <v>45933</v>
      </c>
      <c r="CB41" s="179">
        <f>IFERROR(__xludf.DUMMYFUNCTION("""COMPUTED_VALUE"""),0.0)</f>
        <v>0</v>
      </c>
      <c r="CC41" s="180">
        <f>IFERROR(__xludf.DUMMYFUNCTION("""COMPUTED_VALUE"""),45841.0)</f>
        <v>45841</v>
      </c>
      <c r="CD41" s="179">
        <f>IFERROR(__xludf.DUMMYFUNCTION("""COMPUTED_VALUE"""),0.0)</f>
        <v>0</v>
      </c>
      <c r="CE41" s="182">
        <f>IFERROR(__xludf.DUMMYFUNCTION("""COMPUTED_VALUE"""),45933.0)</f>
        <v>45933</v>
      </c>
      <c r="CF41" s="179">
        <f>IFERROR(__xludf.DUMMYFUNCTION("""COMPUTED_VALUE"""),0.0)</f>
        <v>0</v>
      </c>
      <c r="CG41" s="180">
        <f>IFERROR(__xludf.DUMMYFUNCTION("""COMPUTED_VALUE"""),45750.0)</f>
        <v>45750</v>
      </c>
      <c r="CH41" s="179">
        <f>IFERROR(__xludf.DUMMYFUNCTION("""COMPUTED_VALUE"""),0.0)</f>
        <v>0</v>
      </c>
      <c r="CI41" s="180">
        <f>IFERROR(__xludf.DUMMYFUNCTION("""COMPUTED_VALUE"""),45780.0)</f>
        <v>45780</v>
      </c>
      <c r="CJ41" s="179">
        <f>IFERROR(__xludf.DUMMYFUNCTION("""COMPUTED_VALUE"""),0.0)</f>
        <v>0</v>
      </c>
      <c r="CK41" s="180">
        <f>IFERROR(__xludf.DUMMYFUNCTION("""COMPUTED_VALUE"""),45811.0)</f>
        <v>45811</v>
      </c>
      <c r="CL41" s="179">
        <f>IFERROR(__xludf.DUMMYFUNCTION("""COMPUTED_VALUE"""),0.0)</f>
        <v>0</v>
      </c>
      <c r="CM41" s="180">
        <f>IFERROR(__xludf.DUMMYFUNCTION("""COMPUTED_VALUE"""),45903.0)</f>
        <v>45903</v>
      </c>
      <c r="CN41" s="179">
        <f>IFERROR(__xludf.DUMMYFUNCTION("""COMPUTED_VALUE"""),0.0)</f>
        <v>0</v>
      </c>
      <c r="CO41" s="180">
        <f>IFERROR(__xludf.DUMMYFUNCTION("""COMPUTED_VALUE"""),45872.0)</f>
        <v>45872</v>
      </c>
      <c r="CP41" s="179">
        <f>IFERROR(__xludf.DUMMYFUNCTION("""COMPUTED_VALUE"""),0.0)</f>
        <v>0</v>
      </c>
      <c r="CQ41" s="180">
        <f>IFERROR(__xludf.DUMMYFUNCTION("""COMPUTED_VALUE"""),45691.0)</f>
        <v>45691</v>
      </c>
      <c r="CR41" s="179">
        <f>IFERROR(__xludf.DUMMYFUNCTION("""COMPUTED_VALUE"""),0.0)</f>
        <v>0</v>
      </c>
      <c r="CS41" s="180">
        <f>IFERROR(__xludf.DUMMYFUNCTION("""COMPUTED_VALUE"""),45872.0)</f>
        <v>45872</v>
      </c>
      <c r="CT41" s="179">
        <f>IFERROR(__xludf.DUMMYFUNCTION("""COMPUTED_VALUE"""),0.0)</f>
        <v>0</v>
      </c>
      <c r="CU41" s="180">
        <f>IFERROR(__xludf.DUMMYFUNCTION("""COMPUTED_VALUE"""),45933.0)</f>
        <v>45933</v>
      </c>
      <c r="CV41" s="179">
        <f>IFERROR(__xludf.DUMMYFUNCTION("""COMPUTED_VALUE"""),0.0)</f>
        <v>0</v>
      </c>
      <c r="CW41" s="180">
        <f>IFERROR(__xludf.DUMMYFUNCTION("""COMPUTED_VALUE"""),45932.0)</f>
        <v>45932</v>
      </c>
      <c r="CX41" s="179">
        <f>IFERROR(__xludf.DUMMYFUNCTION("""COMPUTED_VALUE"""),0.0)</f>
        <v>0</v>
      </c>
      <c r="CY41" s="182">
        <f>IFERROR(__xludf.DUMMYFUNCTION("""COMPUTED_VALUE"""),45903.0)</f>
        <v>45903</v>
      </c>
      <c r="CZ41" s="179">
        <f>IFERROR(__xludf.DUMMYFUNCTION("""COMPUTED_VALUE"""),0.0)</f>
        <v>0</v>
      </c>
      <c r="DA41" s="180">
        <f>IFERROR(__xludf.DUMMYFUNCTION("""COMPUTED_VALUE"""),45903.0)</f>
        <v>45903</v>
      </c>
      <c r="DB41" s="179">
        <f>IFERROR(__xludf.DUMMYFUNCTION("""COMPUTED_VALUE"""),0.0)</f>
        <v>0</v>
      </c>
      <c r="DC41" s="180">
        <f>IFERROR(__xludf.DUMMYFUNCTION("""COMPUTED_VALUE"""),45811.0)</f>
        <v>45811</v>
      </c>
      <c r="DD41" s="179">
        <f>IFERROR(__xludf.DUMMYFUNCTION("""COMPUTED_VALUE"""),0.0)</f>
        <v>0</v>
      </c>
      <c r="DE41" s="180">
        <f>IFERROR(__xludf.DUMMYFUNCTION("""COMPUTED_VALUE"""),45841.0)</f>
        <v>45841</v>
      </c>
      <c r="DF41" s="179">
        <f>IFERROR(__xludf.DUMMYFUNCTION("""COMPUTED_VALUE"""),0.0)</f>
        <v>0</v>
      </c>
      <c r="DG41" s="180">
        <f>IFERROR(__xludf.DUMMYFUNCTION("""COMPUTED_VALUE"""),45933.0)</f>
        <v>45933</v>
      </c>
      <c r="DH41" s="179">
        <f>IFERROR(__xludf.DUMMYFUNCTION("""COMPUTED_VALUE"""),0.0)</f>
        <v>0</v>
      </c>
      <c r="DI41" s="180">
        <f>IFERROR(__xludf.DUMMYFUNCTION("""COMPUTED_VALUE"""),45933.0)</f>
        <v>45933</v>
      </c>
      <c r="DJ41" s="179">
        <f>IFERROR(__xludf.DUMMYFUNCTION("""COMPUTED_VALUE"""),0.0)</f>
        <v>0</v>
      </c>
      <c r="DK41" s="180">
        <f>IFERROR(__xludf.DUMMYFUNCTION("""COMPUTED_VALUE"""),45872.0)</f>
        <v>45872</v>
      </c>
      <c r="DL41" s="179">
        <f>IFERROR(__xludf.DUMMYFUNCTION("""COMPUTED_VALUE"""),0.0)</f>
        <v>0</v>
      </c>
      <c r="DM41" s="180">
        <f>IFERROR(__xludf.DUMMYFUNCTION("""COMPUTED_VALUE"""),45872.0)</f>
        <v>45872</v>
      </c>
      <c r="DN41" s="179">
        <f>IFERROR(__xludf.DUMMYFUNCTION("""COMPUTED_VALUE"""),0.0)</f>
        <v>0</v>
      </c>
      <c r="DO41" s="180">
        <f>IFERROR(__xludf.DUMMYFUNCTION("""COMPUTED_VALUE"""),45872.0)</f>
        <v>45872</v>
      </c>
      <c r="DP41" s="179">
        <f>IFERROR(__xludf.DUMMYFUNCTION("""COMPUTED_VALUE"""),0.0)</f>
        <v>0</v>
      </c>
      <c r="DQ41" s="180">
        <f>IFERROR(__xludf.DUMMYFUNCTION("""COMPUTED_VALUE"""),45750.0)</f>
        <v>45750</v>
      </c>
      <c r="DR41" s="179">
        <f>IFERROR(__xludf.DUMMYFUNCTION("""COMPUTED_VALUE"""),0.0)</f>
        <v>0</v>
      </c>
      <c r="DS41" s="182">
        <f>IFERROR(__xludf.DUMMYFUNCTION("""COMPUTED_VALUE"""),45903.0)</f>
        <v>45903</v>
      </c>
      <c r="DT41" s="179">
        <f>IFERROR(__xludf.DUMMYFUNCTION("""COMPUTED_VALUE"""),0.0)</f>
        <v>0</v>
      </c>
      <c r="DU41" s="180">
        <f>IFERROR(__xludf.DUMMYFUNCTION("""COMPUTED_VALUE"""),45872.0)</f>
        <v>45872</v>
      </c>
      <c r="DV41" s="179">
        <f>IFERROR(__xludf.DUMMYFUNCTION("""COMPUTED_VALUE"""),0.0)</f>
        <v>0</v>
      </c>
      <c r="DW41" s="180">
        <f>IFERROR(__xludf.DUMMYFUNCTION("""COMPUTED_VALUE"""),45872.0)</f>
        <v>45872</v>
      </c>
      <c r="DX41" s="179">
        <f>IFERROR(__xludf.DUMMYFUNCTION("""COMPUTED_VALUE"""),0.0)</f>
        <v>0</v>
      </c>
      <c r="DY41" s="180">
        <f>IFERROR(__xludf.DUMMYFUNCTION("""COMPUTED_VALUE"""),45903.0)</f>
        <v>45903</v>
      </c>
      <c r="DZ41" s="179">
        <f>IFERROR(__xludf.DUMMYFUNCTION("""COMPUTED_VALUE"""),0.0)</f>
        <v>0</v>
      </c>
      <c r="EA41" s="180">
        <f>IFERROR(__xludf.DUMMYFUNCTION("""COMPUTED_VALUE"""),45933.0)</f>
        <v>45933</v>
      </c>
      <c r="EB41" s="179">
        <f>IFERROR(__xludf.DUMMYFUNCTION("""COMPUTED_VALUE"""),0.0)</f>
        <v>0</v>
      </c>
      <c r="EC41" s="180">
        <f>IFERROR(__xludf.DUMMYFUNCTION("""COMPUTED_VALUE"""),45903.0)</f>
        <v>45903</v>
      </c>
      <c r="ED41" s="179">
        <f>IFERROR(__xludf.DUMMYFUNCTION("""COMPUTED_VALUE"""),0.0)</f>
        <v>0</v>
      </c>
      <c r="EE41" s="180">
        <f>IFERROR(__xludf.DUMMYFUNCTION("""COMPUTED_VALUE"""),45811.0)</f>
        <v>45811</v>
      </c>
      <c r="EF41" s="179">
        <f>IFERROR(__xludf.DUMMYFUNCTION("""COMPUTED_VALUE"""),0.0)</f>
        <v>0</v>
      </c>
      <c r="EG41" s="180">
        <f>IFERROR(__xludf.DUMMYFUNCTION("""COMPUTED_VALUE"""),45903.0)</f>
        <v>45903</v>
      </c>
      <c r="EH41" s="179">
        <f>IFERROR(__xludf.DUMMYFUNCTION("""COMPUTED_VALUE"""),0.0)</f>
        <v>0</v>
      </c>
      <c r="EI41" s="180">
        <f>IFERROR(__xludf.DUMMYFUNCTION("""COMPUTED_VALUE"""),45903.0)</f>
        <v>45903</v>
      </c>
      <c r="EJ41" s="179">
        <f>IFERROR(__xludf.DUMMYFUNCTION("""COMPUTED_VALUE"""),0.0)</f>
        <v>0</v>
      </c>
      <c r="EK41" s="180">
        <f>IFERROR(__xludf.DUMMYFUNCTION("""COMPUTED_VALUE"""),45841.0)</f>
        <v>45841</v>
      </c>
      <c r="EL41" s="179">
        <f>IFERROR(__xludf.DUMMYFUNCTION("""COMPUTED_VALUE"""),0.0)</f>
        <v>0</v>
      </c>
      <c r="EM41" s="182">
        <f>IFERROR(__xludf.DUMMYFUNCTION("""COMPUTED_VALUE"""),45811.0)</f>
        <v>45811</v>
      </c>
      <c r="EN41" s="179">
        <f>IFERROR(__xludf.DUMMYFUNCTION("""COMPUTED_VALUE"""),0.0)</f>
        <v>0</v>
      </c>
      <c r="EO41" s="180">
        <f>IFERROR(__xludf.DUMMYFUNCTION("""COMPUTED_VALUE"""),45903.0)</f>
        <v>45903</v>
      </c>
      <c r="EP41" s="179">
        <f>IFERROR(__xludf.DUMMYFUNCTION("""COMPUTED_VALUE"""),0.0)</f>
        <v>0</v>
      </c>
      <c r="EQ41" s="180">
        <f>IFERROR(__xludf.DUMMYFUNCTION("""COMPUTED_VALUE"""),45903.0)</f>
        <v>45903</v>
      </c>
      <c r="ER41" s="179">
        <f>IFERROR(__xludf.DUMMYFUNCTION("""COMPUTED_VALUE"""),0.0)</f>
        <v>0</v>
      </c>
      <c r="ES41" s="180">
        <f>IFERROR(__xludf.DUMMYFUNCTION("""COMPUTED_VALUE"""),45933.0)</f>
        <v>45933</v>
      </c>
      <c r="ET41" s="179">
        <f>IFERROR(__xludf.DUMMYFUNCTION("""COMPUTED_VALUE"""),0.0)</f>
        <v>0</v>
      </c>
      <c r="EU41" s="180">
        <f>IFERROR(__xludf.DUMMYFUNCTION("""COMPUTED_VALUE"""),45903.0)</f>
        <v>45903</v>
      </c>
      <c r="EV41" s="179">
        <f>IFERROR(__xludf.DUMMYFUNCTION("""COMPUTED_VALUE"""),0.0)</f>
        <v>0</v>
      </c>
      <c r="EW41" s="180">
        <f>IFERROR(__xludf.DUMMYFUNCTION("""COMPUTED_VALUE"""),45933.0)</f>
        <v>45933</v>
      </c>
      <c r="EX41" s="179">
        <f>IFERROR(__xludf.DUMMYFUNCTION("""COMPUTED_VALUE"""),0.0)</f>
        <v>0</v>
      </c>
      <c r="EY41" s="180">
        <f>IFERROR(__xludf.DUMMYFUNCTION("""COMPUTED_VALUE"""),45933.0)</f>
        <v>45933</v>
      </c>
      <c r="EZ41" s="179">
        <f>IFERROR(__xludf.DUMMYFUNCTION("""COMPUTED_VALUE"""),0.0)</f>
        <v>0</v>
      </c>
      <c r="FA41" s="180">
        <f>IFERROR(__xludf.DUMMYFUNCTION("""COMPUTED_VALUE"""),45903.0)</f>
        <v>45903</v>
      </c>
      <c r="FB41" s="179">
        <f>IFERROR(__xludf.DUMMYFUNCTION("""COMPUTED_VALUE"""),0.0)</f>
        <v>0</v>
      </c>
      <c r="FC41" s="180">
        <f>IFERROR(__xludf.DUMMYFUNCTION("""COMPUTED_VALUE"""),45933.0)</f>
        <v>45933</v>
      </c>
      <c r="FD41" s="179">
        <f>IFERROR(__xludf.DUMMYFUNCTION("""COMPUTED_VALUE"""),0.0)</f>
        <v>0</v>
      </c>
      <c r="FE41" s="180">
        <f>IFERROR(__xludf.DUMMYFUNCTION("""COMPUTED_VALUE"""),45811.0)</f>
        <v>45811</v>
      </c>
      <c r="FF41" s="179">
        <f>IFERROR(__xludf.DUMMYFUNCTION("""COMPUTED_VALUE"""),0.0)</f>
        <v>0</v>
      </c>
      <c r="FG41" s="182">
        <f>IFERROR(__xludf.DUMMYFUNCTION("""COMPUTED_VALUE"""),45811.0)</f>
        <v>45811</v>
      </c>
      <c r="FH41" s="179">
        <f>IFERROR(__xludf.DUMMYFUNCTION("""COMPUTED_VALUE"""),0.0)</f>
        <v>0</v>
      </c>
      <c r="FI41" s="180">
        <f>IFERROR(__xludf.DUMMYFUNCTION("""COMPUTED_VALUE"""),45811.0)</f>
        <v>45811</v>
      </c>
      <c r="FJ41" s="179">
        <f>IFERROR(__xludf.DUMMYFUNCTION("""COMPUTED_VALUE"""),0.0)</f>
        <v>0</v>
      </c>
      <c r="FK41" s="180">
        <f>IFERROR(__xludf.DUMMYFUNCTION("""COMPUTED_VALUE"""),45691.0)</f>
        <v>45691</v>
      </c>
      <c r="FL41" s="179">
        <f>IFERROR(__xludf.DUMMYFUNCTION("""COMPUTED_VALUE"""),0.0)</f>
        <v>0</v>
      </c>
      <c r="FM41" s="180">
        <f>IFERROR(__xludf.DUMMYFUNCTION("""COMPUTED_VALUE"""),45933.0)</f>
        <v>45933</v>
      </c>
      <c r="FN41" s="179">
        <f>IFERROR(__xludf.DUMMYFUNCTION("""COMPUTED_VALUE"""),0.0)</f>
        <v>0</v>
      </c>
      <c r="FO41" s="180">
        <f>IFERROR(__xludf.DUMMYFUNCTION("""COMPUTED_VALUE"""),45933.0)</f>
        <v>45933</v>
      </c>
      <c r="FP41" s="179">
        <f>IFERROR(__xludf.DUMMYFUNCTION("""COMPUTED_VALUE"""),0.0)</f>
        <v>0</v>
      </c>
      <c r="FQ41" s="180">
        <f>IFERROR(__xludf.DUMMYFUNCTION("""COMPUTED_VALUE"""),45933.0)</f>
        <v>45933</v>
      </c>
      <c r="FR41" s="179">
        <f>IFERROR(__xludf.DUMMYFUNCTION("""COMPUTED_VALUE"""),0.0)</f>
        <v>0</v>
      </c>
      <c r="FS41" s="180">
        <f>IFERROR(__xludf.DUMMYFUNCTION("""COMPUTED_VALUE"""),45811.0)</f>
        <v>45811</v>
      </c>
      <c r="FT41" s="179">
        <f>IFERROR(__xludf.DUMMYFUNCTION("""COMPUTED_VALUE"""),0.0)</f>
        <v>0</v>
      </c>
      <c r="FU41" s="180">
        <f>IFERROR(__xludf.DUMMYFUNCTION("""COMPUTED_VALUE"""),45933.0)</f>
        <v>45933</v>
      </c>
      <c r="FV41" s="179">
        <f>IFERROR(__xludf.DUMMYFUNCTION("""COMPUTED_VALUE"""),0.0)</f>
        <v>0</v>
      </c>
      <c r="FW41" s="180">
        <f>IFERROR(__xludf.DUMMYFUNCTION("""COMPUTED_VALUE"""),45933.0)</f>
        <v>45933</v>
      </c>
      <c r="FX41" s="179">
        <f>IFERROR(__xludf.DUMMYFUNCTION("""COMPUTED_VALUE"""),0.0)</f>
        <v>0</v>
      </c>
      <c r="FY41" s="180">
        <f>IFERROR(__xludf.DUMMYFUNCTION("""COMPUTED_VALUE"""),45691.0)</f>
        <v>45691</v>
      </c>
      <c r="FZ41" s="179">
        <f>IFERROR(__xludf.DUMMYFUNCTION("""COMPUTED_VALUE"""),0.0)</f>
        <v>0</v>
      </c>
      <c r="GA41" s="182">
        <f>IFERROR(__xludf.DUMMYFUNCTION("""COMPUTED_VALUE"""),45933.0)</f>
        <v>45933</v>
      </c>
      <c r="GB41" s="179">
        <f>IFERROR(__xludf.DUMMYFUNCTION("""COMPUTED_VALUE"""),0.0)</f>
        <v>0</v>
      </c>
      <c r="GC41" s="180">
        <f>IFERROR(__xludf.DUMMYFUNCTION("""COMPUTED_VALUE"""),45841.0)</f>
        <v>45841</v>
      </c>
      <c r="GD41" s="179">
        <f>IFERROR(__xludf.DUMMYFUNCTION("""COMPUTED_VALUE"""),0.0)</f>
        <v>0</v>
      </c>
      <c r="GE41" s="180">
        <f>IFERROR(__xludf.DUMMYFUNCTION("""COMPUTED_VALUE"""),45841.0)</f>
        <v>45841</v>
      </c>
      <c r="GF41" s="179">
        <f>IFERROR(__xludf.DUMMYFUNCTION("""COMPUTED_VALUE"""),0.0)</f>
        <v>0</v>
      </c>
      <c r="GG41" s="180">
        <f>IFERROR(__xludf.DUMMYFUNCTION("""COMPUTED_VALUE"""),45872.0)</f>
        <v>45872</v>
      </c>
      <c r="GH41" s="179">
        <f>IFERROR(__xludf.DUMMYFUNCTION("""COMPUTED_VALUE"""),0.0)</f>
        <v>0</v>
      </c>
      <c r="GI41" s="180">
        <f>IFERROR(__xludf.DUMMYFUNCTION("""COMPUTED_VALUE"""),45933.0)</f>
        <v>45933</v>
      </c>
      <c r="GJ41" s="179">
        <f>IFERROR(__xludf.DUMMYFUNCTION("""COMPUTED_VALUE"""),0.0)</f>
        <v>0</v>
      </c>
      <c r="GK41" s="180">
        <f>IFERROR(__xludf.DUMMYFUNCTION("""COMPUTED_VALUE"""),45933.0)</f>
        <v>45933</v>
      </c>
      <c r="GL41" s="179">
        <f>IFERROR(__xludf.DUMMYFUNCTION("""COMPUTED_VALUE"""),0.0)</f>
        <v>0</v>
      </c>
      <c r="GM41" s="180">
        <f>IFERROR(__xludf.DUMMYFUNCTION("""COMPUTED_VALUE"""),45750.0)</f>
        <v>45750</v>
      </c>
      <c r="GN41" s="179">
        <f>IFERROR(__xludf.DUMMYFUNCTION("""COMPUTED_VALUE"""),0.0)</f>
        <v>0</v>
      </c>
      <c r="GO41" s="180">
        <f>IFERROR(__xludf.DUMMYFUNCTION("""COMPUTED_VALUE"""),45933.0)</f>
        <v>45933</v>
      </c>
      <c r="GP41" s="179">
        <f>IFERROR(__xludf.DUMMYFUNCTION("""COMPUTED_VALUE"""),0.0)</f>
        <v>0</v>
      </c>
      <c r="GQ41" s="180">
        <f>IFERROR(__xludf.DUMMYFUNCTION("""COMPUTED_VALUE"""),45872.0)</f>
        <v>45872</v>
      </c>
      <c r="GR41" s="179">
        <f>IFERROR(__xludf.DUMMYFUNCTION("""COMPUTED_VALUE"""),0.0)</f>
        <v>0</v>
      </c>
      <c r="GS41" s="180">
        <f>IFERROR(__xludf.DUMMYFUNCTION("""COMPUTED_VALUE"""),45719.0)</f>
        <v>45719</v>
      </c>
      <c r="GT41" s="179">
        <f>IFERROR(__xludf.DUMMYFUNCTION("""COMPUTED_VALUE"""),0.0)</f>
        <v>0</v>
      </c>
    </row>
    <row r="42" ht="31.5" customHeight="1">
      <c r="B42" s="183"/>
      <c r="C42" s="178">
        <f>IFERROR(__xludf.DUMMYFUNCTION("""COMPUTED_VALUE"""),45812.0)</f>
        <v>45812</v>
      </c>
      <c r="D42" s="179">
        <f>IFERROR(__xludf.DUMMYFUNCTION("""COMPUTED_VALUE"""),0.0)</f>
        <v>0</v>
      </c>
      <c r="E42" s="180">
        <f>IFERROR(__xludf.DUMMYFUNCTION("""COMPUTED_VALUE"""),45842.0)</f>
        <v>45842</v>
      </c>
      <c r="F42" s="179">
        <f>IFERROR(__xludf.DUMMYFUNCTION("""COMPUTED_VALUE"""),0.0)</f>
        <v>0</v>
      </c>
      <c r="G42" s="180">
        <f>IFERROR(__xludf.DUMMYFUNCTION("""COMPUTED_VALUE"""),45842.0)</f>
        <v>45842</v>
      </c>
      <c r="H42" s="179">
        <f>IFERROR(__xludf.DUMMYFUNCTION("""COMPUTED_VALUE"""),0.0)</f>
        <v>0</v>
      </c>
      <c r="I42" s="180">
        <f>IFERROR(__xludf.DUMMYFUNCTION("""COMPUTED_VALUE"""),45904.0)</f>
        <v>45904</v>
      </c>
      <c r="J42" s="179">
        <f>IFERROR(__xludf.DUMMYFUNCTION("""COMPUTED_VALUE"""),0.0)</f>
        <v>0</v>
      </c>
      <c r="K42" s="180">
        <f>IFERROR(__xludf.DUMMYFUNCTION("""COMPUTED_VALUE"""),45751.0)</f>
        <v>45751</v>
      </c>
      <c r="L42" s="179">
        <f>IFERROR(__xludf.DUMMYFUNCTION("""COMPUTED_VALUE"""),0.0)</f>
        <v>0</v>
      </c>
      <c r="M42" s="180">
        <f>IFERROR(__xludf.DUMMYFUNCTION("""COMPUTED_VALUE"""),45812.0)</f>
        <v>45812</v>
      </c>
      <c r="N42" s="179">
        <f>IFERROR(__xludf.DUMMYFUNCTION("""COMPUTED_VALUE"""),0.0)</f>
        <v>0</v>
      </c>
      <c r="O42" s="180">
        <f>IFERROR(__xludf.DUMMYFUNCTION("""COMPUTED_VALUE"""),45692.0)</f>
        <v>45692</v>
      </c>
      <c r="P42" s="179">
        <f>IFERROR(__xludf.DUMMYFUNCTION("""COMPUTED_VALUE"""),0.0)</f>
        <v>0</v>
      </c>
      <c r="Q42" s="180">
        <f>IFERROR(__xludf.DUMMYFUNCTION("""COMPUTED_VALUE"""),45692.0)</f>
        <v>45692</v>
      </c>
      <c r="R42" s="179">
        <f>IFERROR(__xludf.DUMMYFUNCTION("""COMPUTED_VALUE"""),0.0)</f>
        <v>0</v>
      </c>
      <c r="S42" s="180">
        <f>IFERROR(__xludf.DUMMYFUNCTION("""COMPUTED_VALUE"""),45873.0)</f>
        <v>45873</v>
      </c>
      <c r="T42" s="179">
        <f>IFERROR(__xludf.DUMMYFUNCTION("""COMPUTED_VALUE"""),0.0)</f>
        <v>0</v>
      </c>
      <c r="U42" s="180">
        <f>IFERROR(__xludf.DUMMYFUNCTION("""COMPUTED_VALUE"""),45661.0)</f>
        <v>45661</v>
      </c>
      <c r="V42" s="181">
        <f>IFERROR(__xludf.DUMMYFUNCTION("""COMPUTED_VALUE"""),0.0)</f>
        <v>0</v>
      </c>
      <c r="W42" s="178">
        <f>IFERROR(__xludf.DUMMYFUNCTION("""COMPUTED_VALUE"""),45904.0)</f>
        <v>45904</v>
      </c>
      <c r="X42" s="179">
        <f>IFERROR(__xludf.DUMMYFUNCTION("""COMPUTED_VALUE"""),0.0)</f>
        <v>0</v>
      </c>
      <c r="Y42" s="180">
        <f>IFERROR(__xludf.DUMMYFUNCTION("""COMPUTED_VALUE"""),45720.0)</f>
        <v>45720</v>
      </c>
      <c r="Z42" s="179">
        <f>IFERROR(__xludf.DUMMYFUNCTION("""COMPUTED_VALUE"""),0.0)</f>
        <v>0</v>
      </c>
      <c r="AA42" s="180">
        <f>IFERROR(__xludf.DUMMYFUNCTION("""COMPUTED_VALUE"""),45873.0)</f>
        <v>45873</v>
      </c>
      <c r="AB42" s="179">
        <f>IFERROR(__xludf.DUMMYFUNCTION("""COMPUTED_VALUE"""),0.0)</f>
        <v>0</v>
      </c>
      <c r="AC42" s="180">
        <f>IFERROR(__xludf.DUMMYFUNCTION("""COMPUTED_VALUE"""),45661.0)</f>
        <v>45661</v>
      </c>
      <c r="AD42" s="179">
        <f>IFERROR(__xludf.DUMMYFUNCTION("""COMPUTED_VALUE"""),0.0)</f>
        <v>0</v>
      </c>
      <c r="AE42" s="180">
        <f>IFERROR(__xludf.DUMMYFUNCTION("""COMPUTED_VALUE"""),45751.0)</f>
        <v>45751</v>
      </c>
      <c r="AF42" s="179">
        <f>IFERROR(__xludf.DUMMYFUNCTION("""COMPUTED_VALUE"""),0.0)</f>
        <v>0</v>
      </c>
      <c r="AG42" s="180">
        <f>IFERROR(__xludf.DUMMYFUNCTION("""COMPUTED_VALUE"""),45904.0)</f>
        <v>45904</v>
      </c>
      <c r="AH42" s="179">
        <f>IFERROR(__xludf.DUMMYFUNCTION("""COMPUTED_VALUE"""),0.0)</f>
        <v>0</v>
      </c>
      <c r="AI42" s="180">
        <f>IFERROR(__xludf.DUMMYFUNCTION("""COMPUTED_VALUE"""),45661.0)</f>
        <v>45661</v>
      </c>
      <c r="AJ42" s="179">
        <f>IFERROR(__xludf.DUMMYFUNCTION("""COMPUTED_VALUE"""),0.0)</f>
        <v>0</v>
      </c>
      <c r="AK42" s="180">
        <f>IFERROR(__xludf.DUMMYFUNCTION("""COMPUTED_VALUE"""),45842.0)</f>
        <v>45842</v>
      </c>
      <c r="AL42" s="179">
        <f>IFERROR(__xludf.DUMMYFUNCTION("""COMPUTED_VALUE"""),0.0)</f>
        <v>0</v>
      </c>
      <c r="AM42" s="180">
        <f>IFERROR(__xludf.DUMMYFUNCTION("""COMPUTED_VALUE"""),45904.0)</f>
        <v>45904</v>
      </c>
      <c r="AN42" s="179">
        <f>IFERROR(__xludf.DUMMYFUNCTION("""COMPUTED_VALUE"""),0.0)</f>
        <v>0</v>
      </c>
      <c r="AO42" s="180">
        <f>IFERROR(__xludf.DUMMYFUNCTION("""COMPUTED_VALUE"""),45781.0)</f>
        <v>45781</v>
      </c>
      <c r="AP42" s="181">
        <f>IFERROR(__xludf.DUMMYFUNCTION("""COMPUTED_VALUE"""),0.0)</f>
        <v>0</v>
      </c>
      <c r="AQ42" s="178">
        <f>IFERROR(__xludf.DUMMYFUNCTION("""COMPUTED_VALUE"""),45934.0)</f>
        <v>45934</v>
      </c>
      <c r="AR42" s="179">
        <f>IFERROR(__xludf.DUMMYFUNCTION("""COMPUTED_VALUE"""),0.0)</f>
        <v>0</v>
      </c>
      <c r="AS42" s="180">
        <f>IFERROR(__xludf.DUMMYFUNCTION("""COMPUTED_VALUE"""),45934.0)</f>
        <v>45934</v>
      </c>
      <c r="AT42" s="179">
        <f>IFERROR(__xludf.DUMMYFUNCTION("""COMPUTED_VALUE"""),0.0)</f>
        <v>0</v>
      </c>
      <c r="AU42" s="180">
        <f>IFERROR(__xludf.DUMMYFUNCTION("""COMPUTED_VALUE"""),45904.0)</f>
        <v>45904</v>
      </c>
      <c r="AV42" s="179">
        <f>IFERROR(__xludf.DUMMYFUNCTION("""COMPUTED_VALUE"""),0.0)</f>
        <v>0</v>
      </c>
      <c r="AW42" s="180">
        <f>IFERROR(__xludf.DUMMYFUNCTION("""COMPUTED_VALUE"""),45904.0)</f>
        <v>45904</v>
      </c>
      <c r="AX42" s="179">
        <f>IFERROR(__xludf.DUMMYFUNCTION("""COMPUTED_VALUE"""),0.0)</f>
        <v>0</v>
      </c>
      <c r="AY42" s="180">
        <f>IFERROR(__xludf.DUMMYFUNCTION("""COMPUTED_VALUE"""),45934.0)</f>
        <v>45934</v>
      </c>
      <c r="AZ42" s="179">
        <f>IFERROR(__xludf.DUMMYFUNCTION("""COMPUTED_VALUE"""),0.0)</f>
        <v>0</v>
      </c>
      <c r="BA42" s="180">
        <f>IFERROR(__xludf.DUMMYFUNCTION("""COMPUTED_VALUE"""),45934.0)</f>
        <v>45934</v>
      </c>
      <c r="BB42" s="179">
        <f>IFERROR(__xludf.DUMMYFUNCTION("""COMPUTED_VALUE"""),0.0)</f>
        <v>0</v>
      </c>
      <c r="BC42" s="180">
        <f>IFERROR(__xludf.DUMMYFUNCTION("""COMPUTED_VALUE"""),45873.0)</f>
        <v>45873</v>
      </c>
      <c r="BD42" s="179">
        <f>IFERROR(__xludf.DUMMYFUNCTION("""COMPUTED_VALUE"""),0.0)</f>
        <v>0</v>
      </c>
      <c r="BE42" s="180">
        <f>IFERROR(__xludf.DUMMYFUNCTION("""COMPUTED_VALUE"""),45934.0)</f>
        <v>45934</v>
      </c>
      <c r="BF42" s="179">
        <f>IFERROR(__xludf.DUMMYFUNCTION("""COMPUTED_VALUE"""),0.0)</f>
        <v>0</v>
      </c>
      <c r="BG42" s="180">
        <f>IFERROR(__xludf.DUMMYFUNCTION("""COMPUTED_VALUE"""),45873.0)</f>
        <v>45873</v>
      </c>
      <c r="BH42" s="179">
        <f>IFERROR(__xludf.DUMMYFUNCTION("""COMPUTED_VALUE"""),0.0)</f>
        <v>0</v>
      </c>
      <c r="BI42" s="180">
        <f>IFERROR(__xludf.DUMMYFUNCTION("""COMPUTED_VALUE"""),45934.0)</f>
        <v>45934</v>
      </c>
      <c r="BJ42" s="179">
        <f>IFERROR(__xludf.DUMMYFUNCTION("""COMPUTED_VALUE"""),0.0)</f>
        <v>0</v>
      </c>
      <c r="BK42" s="182">
        <f>IFERROR(__xludf.DUMMYFUNCTION("""COMPUTED_VALUE"""),45903.0)</f>
        <v>45903</v>
      </c>
      <c r="BL42" s="179">
        <f>IFERROR(__xludf.DUMMYFUNCTION("""COMPUTED_VALUE"""),0.0)</f>
        <v>0</v>
      </c>
      <c r="BM42" s="180">
        <f>IFERROR(__xludf.DUMMYFUNCTION("""COMPUTED_VALUE"""),45692.0)</f>
        <v>45692</v>
      </c>
      <c r="BN42" s="179">
        <f>IFERROR(__xludf.DUMMYFUNCTION("""COMPUTED_VALUE"""),0.0)</f>
        <v>0</v>
      </c>
      <c r="BO42" s="180">
        <f>IFERROR(__xludf.DUMMYFUNCTION("""COMPUTED_VALUE"""),45872.0)</f>
        <v>45872</v>
      </c>
      <c r="BP42" s="179">
        <f>IFERROR(__xludf.DUMMYFUNCTION("""COMPUTED_VALUE"""),0.0)</f>
        <v>0</v>
      </c>
      <c r="BQ42" s="180">
        <f>IFERROR(__xludf.DUMMYFUNCTION("""COMPUTED_VALUE"""),45903.0)</f>
        <v>45903</v>
      </c>
      <c r="BR42" s="179">
        <f>IFERROR(__xludf.DUMMYFUNCTION("""COMPUTED_VALUE"""),0.0)</f>
        <v>0</v>
      </c>
      <c r="BS42" s="180">
        <f>IFERROR(__xludf.DUMMYFUNCTION("""COMPUTED_VALUE"""),45781.0)</f>
        <v>45781</v>
      </c>
      <c r="BT42" s="179">
        <f>IFERROR(__xludf.DUMMYFUNCTION("""COMPUTED_VALUE"""),0.0)</f>
        <v>0</v>
      </c>
      <c r="BU42" s="180">
        <f>IFERROR(__xludf.DUMMYFUNCTION("""COMPUTED_VALUE"""),45933.0)</f>
        <v>45933</v>
      </c>
      <c r="BV42" s="179">
        <f>IFERROR(__xludf.DUMMYFUNCTION("""COMPUTED_VALUE"""),0.0)</f>
        <v>0</v>
      </c>
      <c r="BW42" s="180">
        <f>IFERROR(__xludf.DUMMYFUNCTION("""COMPUTED_VALUE"""),45780.0)</f>
        <v>45780</v>
      </c>
      <c r="BX42" s="179">
        <f>IFERROR(__xludf.DUMMYFUNCTION("""COMPUTED_VALUE"""),0.0)</f>
        <v>0</v>
      </c>
      <c r="BY42" s="180">
        <f>IFERROR(__xludf.DUMMYFUNCTION("""COMPUTED_VALUE"""),45903.0)</f>
        <v>45903</v>
      </c>
      <c r="BZ42" s="179">
        <f>IFERROR(__xludf.DUMMYFUNCTION("""COMPUTED_VALUE"""),0.0)</f>
        <v>0</v>
      </c>
      <c r="CA42" s="180">
        <f>IFERROR(__xludf.DUMMYFUNCTION("""COMPUTED_VALUE"""),45904.0)</f>
        <v>45904</v>
      </c>
      <c r="CB42" s="179">
        <f>IFERROR(__xludf.DUMMYFUNCTION("""COMPUTED_VALUE"""),0.0)</f>
        <v>0</v>
      </c>
      <c r="CC42" s="180">
        <f>IFERROR(__xludf.DUMMYFUNCTION("""COMPUTED_VALUE"""),45872.0)</f>
        <v>45872</v>
      </c>
      <c r="CD42" s="179">
        <f>IFERROR(__xludf.DUMMYFUNCTION("""COMPUTED_VALUE"""),0.0)</f>
        <v>0</v>
      </c>
      <c r="CE42" s="182">
        <f>IFERROR(__xludf.DUMMYFUNCTION("""COMPUTED_VALUE"""),45661.0)</f>
        <v>45661</v>
      </c>
      <c r="CF42" s="179">
        <f>IFERROR(__xludf.DUMMYFUNCTION("""COMPUTED_VALUE"""),0.0)</f>
        <v>0</v>
      </c>
      <c r="CG42" s="180">
        <f>IFERROR(__xludf.DUMMYFUNCTION("""COMPUTED_VALUE"""),45780.0)</f>
        <v>45780</v>
      </c>
      <c r="CH42" s="179">
        <f>IFERROR(__xludf.DUMMYFUNCTION("""COMPUTED_VALUE"""),0.0)</f>
        <v>0</v>
      </c>
      <c r="CI42" s="180">
        <f>IFERROR(__xludf.DUMMYFUNCTION("""COMPUTED_VALUE"""),45811.0)</f>
        <v>45811</v>
      </c>
      <c r="CJ42" s="179">
        <f>IFERROR(__xludf.DUMMYFUNCTION("""COMPUTED_VALUE"""),0.0)</f>
        <v>0</v>
      </c>
      <c r="CK42" s="180">
        <f>IFERROR(__xludf.DUMMYFUNCTION("""COMPUTED_VALUE"""),45841.0)</f>
        <v>45841</v>
      </c>
      <c r="CL42" s="179">
        <f>IFERROR(__xludf.DUMMYFUNCTION("""COMPUTED_VALUE"""),0.0)</f>
        <v>0</v>
      </c>
      <c r="CM42" s="180">
        <f>IFERROR(__xludf.DUMMYFUNCTION("""COMPUTED_VALUE"""),45933.0)</f>
        <v>45933</v>
      </c>
      <c r="CN42" s="179">
        <f>IFERROR(__xludf.DUMMYFUNCTION("""COMPUTED_VALUE"""),0.0)</f>
        <v>0</v>
      </c>
      <c r="CO42" s="180">
        <f>IFERROR(__xludf.DUMMYFUNCTION("""COMPUTED_VALUE"""),45903.0)</f>
        <v>45903</v>
      </c>
      <c r="CP42" s="179">
        <f>IFERROR(__xludf.DUMMYFUNCTION("""COMPUTED_VALUE"""),0.0)</f>
        <v>0</v>
      </c>
      <c r="CQ42" s="180">
        <f>IFERROR(__xludf.DUMMYFUNCTION("""COMPUTED_VALUE"""),45719.0)</f>
        <v>45719</v>
      </c>
      <c r="CR42" s="179">
        <f>IFERROR(__xludf.DUMMYFUNCTION("""COMPUTED_VALUE"""),0.0)</f>
        <v>0</v>
      </c>
      <c r="CS42" s="180">
        <f>IFERROR(__xludf.DUMMYFUNCTION("""COMPUTED_VALUE"""),45903.0)</f>
        <v>45903</v>
      </c>
      <c r="CT42" s="179">
        <f>IFERROR(__xludf.DUMMYFUNCTION("""COMPUTED_VALUE"""),0.0)</f>
        <v>0</v>
      </c>
      <c r="CU42" s="180">
        <f>IFERROR(__xludf.DUMMYFUNCTION("""COMPUTED_VALUE"""),45661.0)</f>
        <v>45661</v>
      </c>
      <c r="CV42" s="179">
        <f>IFERROR(__xludf.DUMMYFUNCTION("""COMPUTED_VALUE"""),0.0)</f>
        <v>0</v>
      </c>
      <c r="CW42" s="180">
        <f>IFERROR(__xludf.DUMMYFUNCTION("""COMPUTED_VALUE"""),45660.0)</f>
        <v>45660</v>
      </c>
      <c r="CX42" s="179">
        <f>IFERROR(__xludf.DUMMYFUNCTION("""COMPUTED_VALUE"""),0.0)</f>
        <v>0</v>
      </c>
      <c r="CY42" s="182">
        <f>IFERROR(__xludf.DUMMYFUNCTION("""COMPUTED_VALUE"""),45933.0)</f>
        <v>45933</v>
      </c>
      <c r="CZ42" s="179">
        <f>IFERROR(__xludf.DUMMYFUNCTION("""COMPUTED_VALUE"""),0.0)</f>
        <v>0</v>
      </c>
      <c r="DA42" s="180">
        <f>IFERROR(__xludf.DUMMYFUNCTION("""COMPUTED_VALUE"""),45933.0)</f>
        <v>45933</v>
      </c>
      <c r="DB42" s="179">
        <f>IFERROR(__xludf.DUMMYFUNCTION("""COMPUTED_VALUE"""),0.0)</f>
        <v>0</v>
      </c>
      <c r="DC42" s="180">
        <f>IFERROR(__xludf.DUMMYFUNCTION("""COMPUTED_VALUE"""),45841.0)</f>
        <v>45841</v>
      </c>
      <c r="DD42" s="179">
        <f>IFERROR(__xludf.DUMMYFUNCTION("""COMPUTED_VALUE"""),0.0)</f>
        <v>0</v>
      </c>
      <c r="DE42" s="180">
        <f>IFERROR(__xludf.DUMMYFUNCTION("""COMPUTED_VALUE"""),45872.0)</f>
        <v>45872</v>
      </c>
      <c r="DF42" s="179">
        <f>IFERROR(__xludf.DUMMYFUNCTION("""COMPUTED_VALUE"""),0.0)</f>
        <v>0</v>
      </c>
      <c r="DG42" s="180">
        <f>IFERROR(__xludf.DUMMYFUNCTION("""COMPUTED_VALUE"""),45661.0)</f>
        <v>45661</v>
      </c>
      <c r="DH42" s="179">
        <f>IFERROR(__xludf.DUMMYFUNCTION("""COMPUTED_VALUE"""),0.0)</f>
        <v>0</v>
      </c>
      <c r="DI42" s="180">
        <f>IFERROR(__xludf.DUMMYFUNCTION("""COMPUTED_VALUE"""),45661.0)</f>
        <v>45661</v>
      </c>
      <c r="DJ42" s="179">
        <f>IFERROR(__xludf.DUMMYFUNCTION("""COMPUTED_VALUE"""),0.0)</f>
        <v>0</v>
      </c>
      <c r="DK42" s="180">
        <f>IFERROR(__xludf.DUMMYFUNCTION("""COMPUTED_VALUE"""),45903.0)</f>
        <v>45903</v>
      </c>
      <c r="DL42" s="179">
        <f>IFERROR(__xludf.DUMMYFUNCTION("""COMPUTED_VALUE"""),0.0)</f>
        <v>0</v>
      </c>
      <c r="DM42" s="180">
        <f>IFERROR(__xludf.DUMMYFUNCTION("""COMPUTED_VALUE"""),45903.0)</f>
        <v>45903</v>
      </c>
      <c r="DN42" s="179">
        <f>IFERROR(__xludf.DUMMYFUNCTION("""COMPUTED_VALUE"""),0.0)</f>
        <v>0</v>
      </c>
      <c r="DO42" s="180">
        <f>IFERROR(__xludf.DUMMYFUNCTION("""COMPUTED_VALUE"""),45903.0)</f>
        <v>45903</v>
      </c>
      <c r="DP42" s="179">
        <f>IFERROR(__xludf.DUMMYFUNCTION("""COMPUTED_VALUE"""),0.0)</f>
        <v>0</v>
      </c>
      <c r="DQ42" s="180">
        <f>IFERROR(__xludf.DUMMYFUNCTION("""COMPUTED_VALUE"""),45780.0)</f>
        <v>45780</v>
      </c>
      <c r="DR42" s="179">
        <f>IFERROR(__xludf.DUMMYFUNCTION("""COMPUTED_VALUE"""),0.0)</f>
        <v>0</v>
      </c>
      <c r="DS42" s="182">
        <f>IFERROR(__xludf.DUMMYFUNCTION("""COMPUTED_VALUE"""),45933.0)</f>
        <v>45933</v>
      </c>
      <c r="DT42" s="179">
        <f>IFERROR(__xludf.DUMMYFUNCTION("""COMPUTED_VALUE"""),0.0)</f>
        <v>0</v>
      </c>
      <c r="DU42" s="180">
        <f>IFERROR(__xludf.DUMMYFUNCTION("""COMPUTED_VALUE"""),45903.0)</f>
        <v>45903</v>
      </c>
      <c r="DV42" s="179">
        <f>IFERROR(__xludf.DUMMYFUNCTION("""COMPUTED_VALUE"""),0.0)</f>
        <v>0</v>
      </c>
      <c r="DW42" s="180">
        <f>IFERROR(__xludf.DUMMYFUNCTION("""COMPUTED_VALUE"""),45903.0)</f>
        <v>45903</v>
      </c>
      <c r="DX42" s="179">
        <f>IFERROR(__xludf.DUMMYFUNCTION("""COMPUTED_VALUE"""),0.0)</f>
        <v>0</v>
      </c>
      <c r="DY42" s="180">
        <f>IFERROR(__xludf.DUMMYFUNCTION("""COMPUTED_VALUE"""),45933.0)</f>
        <v>45933</v>
      </c>
      <c r="DZ42" s="179">
        <f>IFERROR(__xludf.DUMMYFUNCTION("""COMPUTED_VALUE"""),0.0)</f>
        <v>0</v>
      </c>
      <c r="EA42" s="180">
        <f>IFERROR(__xludf.DUMMYFUNCTION("""COMPUTED_VALUE"""),45661.0)</f>
        <v>45661</v>
      </c>
      <c r="EB42" s="179">
        <f>IFERROR(__xludf.DUMMYFUNCTION("""COMPUTED_VALUE"""),0.0)</f>
        <v>0</v>
      </c>
      <c r="EC42" s="180">
        <f>IFERROR(__xludf.DUMMYFUNCTION("""COMPUTED_VALUE"""),45933.0)</f>
        <v>45933</v>
      </c>
      <c r="ED42" s="179">
        <f>IFERROR(__xludf.DUMMYFUNCTION("""COMPUTED_VALUE"""),0.0)</f>
        <v>0</v>
      </c>
      <c r="EE42" s="180">
        <f>IFERROR(__xludf.DUMMYFUNCTION("""COMPUTED_VALUE"""),45841.0)</f>
        <v>45841</v>
      </c>
      <c r="EF42" s="179">
        <f>IFERROR(__xludf.DUMMYFUNCTION("""COMPUTED_VALUE"""),0.0)</f>
        <v>0</v>
      </c>
      <c r="EG42" s="180">
        <f>IFERROR(__xludf.DUMMYFUNCTION("""COMPUTED_VALUE"""),45933.0)</f>
        <v>45933</v>
      </c>
      <c r="EH42" s="179">
        <f>IFERROR(__xludf.DUMMYFUNCTION("""COMPUTED_VALUE"""),0.0)</f>
        <v>0</v>
      </c>
      <c r="EI42" s="180">
        <f>IFERROR(__xludf.DUMMYFUNCTION("""COMPUTED_VALUE"""),45933.0)</f>
        <v>45933</v>
      </c>
      <c r="EJ42" s="179">
        <f>IFERROR(__xludf.DUMMYFUNCTION("""COMPUTED_VALUE"""),0.0)</f>
        <v>0</v>
      </c>
      <c r="EK42" s="180">
        <f>IFERROR(__xludf.DUMMYFUNCTION("""COMPUTED_VALUE"""),45872.0)</f>
        <v>45872</v>
      </c>
      <c r="EL42" s="179">
        <f>IFERROR(__xludf.DUMMYFUNCTION("""COMPUTED_VALUE"""),0.0)</f>
        <v>0</v>
      </c>
      <c r="EM42" s="182">
        <f>IFERROR(__xludf.DUMMYFUNCTION("""COMPUTED_VALUE"""),45841.0)</f>
        <v>45841</v>
      </c>
      <c r="EN42" s="179">
        <f>IFERROR(__xludf.DUMMYFUNCTION("""COMPUTED_VALUE"""),0.0)</f>
        <v>0</v>
      </c>
      <c r="EO42" s="180">
        <f>IFERROR(__xludf.DUMMYFUNCTION("""COMPUTED_VALUE"""),45933.0)</f>
        <v>45933</v>
      </c>
      <c r="EP42" s="179">
        <f>IFERROR(__xludf.DUMMYFUNCTION("""COMPUTED_VALUE"""),0.0)</f>
        <v>0</v>
      </c>
      <c r="EQ42" s="180">
        <f>IFERROR(__xludf.DUMMYFUNCTION("""COMPUTED_VALUE"""),45933.0)</f>
        <v>45933</v>
      </c>
      <c r="ER42" s="179">
        <f>IFERROR(__xludf.DUMMYFUNCTION("""COMPUTED_VALUE"""),0.0)</f>
        <v>0</v>
      </c>
      <c r="ES42" s="180">
        <f>IFERROR(__xludf.DUMMYFUNCTION("""COMPUTED_VALUE"""),45661.0)</f>
        <v>45661</v>
      </c>
      <c r="ET42" s="179">
        <f>IFERROR(__xludf.DUMMYFUNCTION("""COMPUTED_VALUE"""),0.0)</f>
        <v>0</v>
      </c>
      <c r="EU42" s="180">
        <f>IFERROR(__xludf.DUMMYFUNCTION("""COMPUTED_VALUE"""),45933.0)</f>
        <v>45933</v>
      </c>
      <c r="EV42" s="179">
        <f>IFERROR(__xludf.DUMMYFUNCTION("""COMPUTED_VALUE"""),0.0)</f>
        <v>0</v>
      </c>
      <c r="EW42" s="180">
        <f>IFERROR(__xludf.DUMMYFUNCTION("""COMPUTED_VALUE"""),45661.0)</f>
        <v>45661</v>
      </c>
      <c r="EX42" s="179">
        <f>IFERROR(__xludf.DUMMYFUNCTION("""COMPUTED_VALUE"""),0.0)</f>
        <v>0</v>
      </c>
      <c r="EY42" s="180">
        <f>IFERROR(__xludf.DUMMYFUNCTION("""COMPUTED_VALUE"""),45661.0)</f>
        <v>45661</v>
      </c>
      <c r="EZ42" s="179">
        <f>IFERROR(__xludf.DUMMYFUNCTION("""COMPUTED_VALUE"""),0.0)</f>
        <v>0</v>
      </c>
      <c r="FA42" s="180">
        <f>IFERROR(__xludf.DUMMYFUNCTION("""COMPUTED_VALUE"""),45933.0)</f>
        <v>45933</v>
      </c>
      <c r="FB42" s="179">
        <f>IFERROR(__xludf.DUMMYFUNCTION("""COMPUTED_VALUE"""),0.0)</f>
        <v>0</v>
      </c>
      <c r="FC42" s="180">
        <f>IFERROR(__xludf.DUMMYFUNCTION("""COMPUTED_VALUE"""),45661.0)</f>
        <v>45661</v>
      </c>
      <c r="FD42" s="179">
        <f>IFERROR(__xludf.DUMMYFUNCTION("""COMPUTED_VALUE"""),0.0)</f>
        <v>0</v>
      </c>
      <c r="FE42" s="180">
        <f>IFERROR(__xludf.DUMMYFUNCTION("""COMPUTED_VALUE"""),45841.0)</f>
        <v>45841</v>
      </c>
      <c r="FF42" s="179">
        <f>IFERROR(__xludf.DUMMYFUNCTION("""COMPUTED_VALUE"""),0.0)</f>
        <v>0</v>
      </c>
      <c r="FG42" s="182">
        <f>IFERROR(__xludf.DUMMYFUNCTION("""COMPUTED_VALUE"""),45841.0)</f>
        <v>45841</v>
      </c>
      <c r="FH42" s="179">
        <f>IFERROR(__xludf.DUMMYFUNCTION("""COMPUTED_VALUE"""),0.0)</f>
        <v>0</v>
      </c>
      <c r="FI42" s="180">
        <f>IFERROR(__xludf.DUMMYFUNCTION("""COMPUTED_VALUE"""),45841.0)</f>
        <v>45841</v>
      </c>
      <c r="FJ42" s="179">
        <f>IFERROR(__xludf.DUMMYFUNCTION("""COMPUTED_VALUE"""),0.0)</f>
        <v>0</v>
      </c>
      <c r="FK42" s="180">
        <f>IFERROR(__xludf.DUMMYFUNCTION("""COMPUTED_VALUE"""),45719.0)</f>
        <v>45719</v>
      </c>
      <c r="FL42" s="179">
        <f>IFERROR(__xludf.DUMMYFUNCTION("""COMPUTED_VALUE"""),0.0)</f>
        <v>0</v>
      </c>
      <c r="FM42" s="180">
        <f>IFERROR(__xludf.DUMMYFUNCTION("""COMPUTED_VALUE"""),45661.0)</f>
        <v>45661</v>
      </c>
      <c r="FN42" s="179">
        <f>IFERROR(__xludf.DUMMYFUNCTION("""COMPUTED_VALUE"""),0.0)</f>
        <v>0</v>
      </c>
      <c r="FO42" s="180">
        <f>IFERROR(__xludf.DUMMYFUNCTION("""COMPUTED_VALUE"""),45661.0)</f>
        <v>45661</v>
      </c>
      <c r="FP42" s="179">
        <f>IFERROR(__xludf.DUMMYFUNCTION("""COMPUTED_VALUE"""),0.0)</f>
        <v>0</v>
      </c>
      <c r="FQ42" s="180">
        <f>IFERROR(__xludf.DUMMYFUNCTION("""COMPUTED_VALUE"""),45661.0)</f>
        <v>45661</v>
      </c>
      <c r="FR42" s="179">
        <f>IFERROR(__xludf.DUMMYFUNCTION("""COMPUTED_VALUE"""),0.0)</f>
        <v>0</v>
      </c>
      <c r="FS42" s="180">
        <f>IFERROR(__xludf.DUMMYFUNCTION("""COMPUTED_VALUE"""),45841.0)</f>
        <v>45841</v>
      </c>
      <c r="FT42" s="179">
        <f>IFERROR(__xludf.DUMMYFUNCTION("""COMPUTED_VALUE"""),0.0)</f>
        <v>0</v>
      </c>
      <c r="FU42" s="180">
        <f>IFERROR(__xludf.DUMMYFUNCTION("""COMPUTED_VALUE"""),45661.0)</f>
        <v>45661</v>
      </c>
      <c r="FV42" s="179">
        <f>IFERROR(__xludf.DUMMYFUNCTION("""COMPUTED_VALUE"""),0.0)</f>
        <v>0</v>
      </c>
      <c r="FW42" s="180">
        <f>IFERROR(__xludf.DUMMYFUNCTION("""COMPUTED_VALUE"""),45661.0)</f>
        <v>45661</v>
      </c>
      <c r="FX42" s="179">
        <f>IFERROR(__xludf.DUMMYFUNCTION("""COMPUTED_VALUE"""),0.0)</f>
        <v>0</v>
      </c>
      <c r="FY42" s="180">
        <f>IFERROR(__xludf.DUMMYFUNCTION("""COMPUTED_VALUE"""),45719.0)</f>
        <v>45719</v>
      </c>
      <c r="FZ42" s="179">
        <f>IFERROR(__xludf.DUMMYFUNCTION("""COMPUTED_VALUE"""),0.0)</f>
        <v>0</v>
      </c>
      <c r="GA42" s="182">
        <f>IFERROR(__xludf.DUMMYFUNCTION("""COMPUTED_VALUE"""),45661.0)</f>
        <v>45661</v>
      </c>
      <c r="GB42" s="179">
        <f>IFERROR(__xludf.DUMMYFUNCTION("""COMPUTED_VALUE"""),0.0)</f>
        <v>0</v>
      </c>
      <c r="GC42" s="180">
        <f>IFERROR(__xludf.DUMMYFUNCTION("""COMPUTED_VALUE"""),45872.0)</f>
        <v>45872</v>
      </c>
      <c r="GD42" s="179">
        <f>IFERROR(__xludf.DUMMYFUNCTION("""COMPUTED_VALUE"""),0.0)</f>
        <v>0</v>
      </c>
      <c r="GE42" s="180">
        <f>IFERROR(__xludf.DUMMYFUNCTION("""COMPUTED_VALUE"""),45872.0)</f>
        <v>45872</v>
      </c>
      <c r="GF42" s="179">
        <f>IFERROR(__xludf.DUMMYFUNCTION("""COMPUTED_VALUE"""),0.0)</f>
        <v>0</v>
      </c>
      <c r="GG42" s="180">
        <f>IFERROR(__xludf.DUMMYFUNCTION("""COMPUTED_VALUE"""),45903.0)</f>
        <v>45903</v>
      </c>
      <c r="GH42" s="179">
        <f>IFERROR(__xludf.DUMMYFUNCTION("""COMPUTED_VALUE"""),0.0)</f>
        <v>0</v>
      </c>
      <c r="GI42" s="180">
        <f>IFERROR(__xludf.DUMMYFUNCTION("""COMPUTED_VALUE"""),45661.0)</f>
        <v>45661</v>
      </c>
      <c r="GJ42" s="179">
        <f>IFERROR(__xludf.DUMMYFUNCTION("""COMPUTED_VALUE"""),0.0)</f>
        <v>0</v>
      </c>
      <c r="GK42" s="180">
        <f>IFERROR(__xludf.DUMMYFUNCTION("""COMPUTED_VALUE"""),45661.0)</f>
        <v>45661</v>
      </c>
      <c r="GL42" s="179">
        <f>IFERROR(__xludf.DUMMYFUNCTION("""COMPUTED_VALUE"""),0.0)</f>
        <v>0</v>
      </c>
      <c r="GM42" s="180">
        <f>IFERROR(__xludf.DUMMYFUNCTION("""COMPUTED_VALUE"""),45780.0)</f>
        <v>45780</v>
      </c>
      <c r="GN42" s="179">
        <f>IFERROR(__xludf.DUMMYFUNCTION("""COMPUTED_VALUE"""),0.0)</f>
        <v>0</v>
      </c>
      <c r="GO42" s="180">
        <f>IFERROR(__xludf.DUMMYFUNCTION("""COMPUTED_VALUE"""),45661.0)</f>
        <v>45661</v>
      </c>
      <c r="GP42" s="179">
        <f>IFERROR(__xludf.DUMMYFUNCTION("""COMPUTED_VALUE"""),0.0)</f>
        <v>0</v>
      </c>
      <c r="GQ42" s="180">
        <f>IFERROR(__xludf.DUMMYFUNCTION("""COMPUTED_VALUE"""),45933.0)</f>
        <v>45933</v>
      </c>
      <c r="GR42" s="179">
        <f>IFERROR(__xludf.DUMMYFUNCTION("""COMPUTED_VALUE"""),0.0)</f>
        <v>0</v>
      </c>
      <c r="GS42" s="180">
        <f>IFERROR(__xludf.DUMMYFUNCTION("""COMPUTED_VALUE"""),45750.0)</f>
        <v>45750</v>
      </c>
      <c r="GT42" s="179">
        <f>IFERROR(__xludf.DUMMYFUNCTION("""COMPUTED_VALUE"""),0.0)</f>
        <v>0</v>
      </c>
    </row>
    <row r="43" ht="31.5" customHeight="1">
      <c r="B43" s="183"/>
      <c r="C43" s="178">
        <f>IFERROR(__xludf.DUMMYFUNCTION("""COMPUTED_VALUE"""),45842.0)</f>
        <v>45842</v>
      </c>
      <c r="D43" s="179">
        <f>IFERROR(__xludf.DUMMYFUNCTION("""COMPUTED_VALUE"""),0.0)</f>
        <v>0</v>
      </c>
      <c r="E43" s="180">
        <f>IFERROR(__xludf.DUMMYFUNCTION("""COMPUTED_VALUE"""),45873.0)</f>
        <v>45873</v>
      </c>
      <c r="F43" s="179">
        <f>IFERROR(__xludf.DUMMYFUNCTION("""COMPUTED_VALUE"""),0.0)</f>
        <v>0</v>
      </c>
      <c r="G43" s="180">
        <f>IFERROR(__xludf.DUMMYFUNCTION("""COMPUTED_VALUE"""),45873.0)</f>
        <v>45873</v>
      </c>
      <c r="H43" s="179">
        <f>IFERROR(__xludf.DUMMYFUNCTION("""COMPUTED_VALUE"""),0.0)</f>
        <v>0</v>
      </c>
      <c r="I43" s="180">
        <f>IFERROR(__xludf.DUMMYFUNCTION("""COMPUTED_VALUE"""),45934.0)</f>
        <v>45934</v>
      </c>
      <c r="J43" s="179">
        <f>IFERROR(__xludf.DUMMYFUNCTION("""COMPUTED_VALUE"""),0.0)</f>
        <v>0</v>
      </c>
      <c r="K43" s="180">
        <f>IFERROR(__xludf.DUMMYFUNCTION("""COMPUTED_VALUE"""),45781.0)</f>
        <v>45781</v>
      </c>
      <c r="L43" s="179">
        <f>IFERROR(__xludf.DUMMYFUNCTION("""COMPUTED_VALUE"""),0.0)</f>
        <v>0</v>
      </c>
      <c r="M43" s="180">
        <f>IFERROR(__xludf.DUMMYFUNCTION("""COMPUTED_VALUE"""),45842.0)</f>
        <v>45842</v>
      </c>
      <c r="N43" s="179">
        <f>IFERROR(__xludf.DUMMYFUNCTION("""COMPUTED_VALUE"""),0.0)</f>
        <v>0</v>
      </c>
      <c r="O43" s="180">
        <f>IFERROR(__xludf.DUMMYFUNCTION("""COMPUTED_VALUE"""),45720.0)</f>
        <v>45720</v>
      </c>
      <c r="P43" s="179">
        <f>IFERROR(__xludf.DUMMYFUNCTION("""COMPUTED_VALUE"""),0.0)</f>
        <v>0</v>
      </c>
      <c r="Q43" s="180">
        <f>IFERROR(__xludf.DUMMYFUNCTION("""COMPUTED_VALUE"""),45720.0)</f>
        <v>45720</v>
      </c>
      <c r="R43" s="179">
        <f>IFERROR(__xludf.DUMMYFUNCTION("""COMPUTED_VALUE"""),0.0)</f>
        <v>0</v>
      </c>
      <c r="S43" s="180">
        <f>IFERROR(__xludf.DUMMYFUNCTION("""COMPUTED_VALUE"""),45904.0)</f>
        <v>45904</v>
      </c>
      <c r="T43" s="179">
        <f>IFERROR(__xludf.DUMMYFUNCTION("""COMPUTED_VALUE"""),0.0)</f>
        <v>0</v>
      </c>
      <c r="U43" s="180">
        <f>IFERROR(__xludf.DUMMYFUNCTION("""COMPUTED_VALUE"""),45692.0)</f>
        <v>45692</v>
      </c>
      <c r="V43" s="181">
        <f>IFERROR(__xludf.DUMMYFUNCTION("""COMPUTED_VALUE"""),0.0)</f>
        <v>0</v>
      </c>
      <c r="W43" s="178">
        <f>IFERROR(__xludf.DUMMYFUNCTION("""COMPUTED_VALUE"""),45934.0)</f>
        <v>45934</v>
      </c>
      <c r="X43" s="179">
        <f>IFERROR(__xludf.DUMMYFUNCTION("""COMPUTED_VALUE"""),0.0)</f>
        <v>0</v>
      </c>
      <c r="Y43" s="180">
        <f>IFERROR(__xludf.DUMMYFUNCTION("""COMPUTED_VALUE"""),45751.0)</f>
        <v>45751</v>
      </c>
      <c r="Z43" s="179">
        <f>IFERROR(__xludf.DUMMYFUNCTION("""COMPUTED_VALUE"""),0.0)</f>
        <v>0</v>
      </c>
      <c r="AA43" s="180">
        <f>IFERROR(__xludf.DUMMYFUNCTION("""COMPUTED_VALUE"""),45904.0)</f>
        <v>45904</v>
      </c>
      <c r="AB43" s="179">
        <f>IFERROR(__xludf.DUMMYFUNCTION("""COMPUTED_VALUE"""),0.0)</f>
        <v>0</v>
      </c>
      <c r="AC43" s="180">
        <f>IFERROR(__xludf.DUMMYFUNCTION("""COMPUTED_VALUE"""),45692.0)</f>
        <v>45692</v>
      </c>
      <c r="AD43" s="179">
        <f>IFERROR(__xludf.DUMMYFUNCTION("""COMPUTED_VALUE"""),0.0)</f>
        <v>0</v>
      </c>
      <c r="AE43" s="180">
        <f>IFERROR(__xludf.DUMMYFUNCTION("""COMPUTED_VALUE"""),45781.0)</f>
        <v>45781</v>
      </c>
      <c r="AF43" s="179">
        <f>IFERROR(__xludf.DUMMYFUNCTION("""COMPUTED_VALUE"""),0.0)</f>
        <v>0</v>
      </c>
      <c r="AG43" s="180">
        <f>IFERROR(__xludf.DUMMYFUNCTION("""COMPUTED_VALUE"""),45934.0)</f>
        <v>45934</v>
      </c>
      <c r="AH43" s="179">
        <f>IFERROR(__xludf.DUMMYFUNCTION("""COMPUTED_VALUE"""),0.0)</f>
        <v>0</v>
      </c>
      <c r="AI43" s="180">
        <f>IFERROR(__xludf.DUMMYFUNCTION("""COMPUTED_VALUE"""),45692.0)</f>
        <v>45692</v>
      </c>
      <c r="AJ43" s="179">
        <f>IFERROR(__xludf.DUMMYFUNCTION("""COMPUTED_VALUE"""),0.0)</f>
        <v>0</v>
      </c>
      <c r="AK43" s="180">
        <f>IFERROR(__xludf.DUMMYFUNCTION("""COMPUTED_VALUE"""),45873.0)</f>
        <v>45873</v>
      </c>
      <c r="AL43" s="179">
        <f>IFERROR(__xludf.DUMMYFUNCTION("""COMPUTED_VALUE"""),0.0)</f>
        <v>0</v>
      </c>
      <c r="AM43" s="180">
        <f>IFERROR(__xludf.DUMMYFUNCTION("""COMPUTED_VALUE"""),45934.0)</f>
        <v>45934</v>
      </c>
      <c r="AN43" s="179">
        <f>IFERROR(__xludf.DUMMYFUNCTION("""COMPUTED_VALUE"""),0.0)</f>
        <v>0</v>
      </c>
      <c r="AO43" s="180">
        <f>IFERROR(__xludf.DUMMYFUNCTION("""COMPUTED_VALUE"""),45812.0)</f>
        <v>45812</v>
      </c>
      <c r="AP43" s="181">
        <f>IFERROR(__xludf.DUMMYFUNCTION("""COMPUTED_VALUE"""),0.0)</f>
        <v>0</v>
      </c>
      <c r="AQ43" s="178">
        <f>IFERROR(__xludf.DUMMYFUNCTION("""COMPUTED_VALUE"""),45662.0)</f>
        <v>45662</v>
      </c>
      <c r="AR43" s="179">
        <f>IFERROR(__xludf.DUMMYFUNCTION("""COMPUTED_VALUE"""),0.0)</f>
        <v>0</v>
      </c>
      <c r="AS43" s="180">
        <f>IFERROR(__xludf.DUMMYFUNCTION("""COMPUTED_VALUE"""),45662.0)</f>
        <v>45662</v>
      </c>
      <c r="AT43" s="179">
        <f>IFERROR(__xludf.DUMMYFUNCTION("""COMPUTED_VALUE"""),0.0)</f>
        <v>0</v>
      </c>
      <c r="AU43" s="180">
        <f>IFERROR(__xludf.DUMMYFUNCTION("""COMPUTED_VALUE"""),45934.0)</f>
        <v>45934</v>
      </c>
      <c r="AV43" s="179">
        <f>IFERROR(__xludf.DUMMYFUNCTION("""COMPUTED_VALUE"""),0.0)</f>
        <v>0</v>
      </c>
      <c r="AW43" s="180">
        <f>IFERROR(__xludf.DUMMYFUNCTION("""COMPUTED_VALUE"""),45934.0)</f>
        <v>45934</v>
      </c>
      <c r="AX43" s="179">
        <f>IFERROR(__xludf.DUMMYFUNCTION("""COMPUTED_VALUE"""),0.0)</f>
        <v>0</v>
      </c>
      <c r="AY43" s="180">
        <f>IFERROR(__xludf.DUMMYFUNCTION("""COMPUTED_VALUE"""),45662.0)</f>
        <v>45662</v>
      </c>
      <c r="AZ43" s="179">
        <f>IFERROR(__xludf.DUMMYFUNCTION("""COMPUTED_VALUE"""),0.0)</f>
        <v>0</v>
      </c>
      <c r="BA43" s="180">
        <f>IFERROR(__xludf.DUMMYFUNCTION("""COMPUTED_VALUE"""),45662.0)</f>
        <v>45662</v>
      </c>
      <c r="BB43" s="179">
        <f>IFERROR(__xludf.DUMMYFUNCTION("""COMPUTED_VALUE"""),0.0)</f>
        <v>0</v>
      </c>
      <c r="BC43" s="180">
        <f>IFERROR(__xludf.DUMMYFUNCTION("""COMPUTED_VALUE"""),45934.0)</f>
        <v>45934</v>
      </c>
      <c r="BD43" s="179">
        <f>IFERROR(__xludf.DUMMYFUNCTION("""COMPUTED_VALUE"""),0.0)</f>
        <v>0</v>
      </c>
      <c r="BE43" s="180">
        <f>IFERROR(__xludf.DUMMYFUNCTION("""COMPUTED_VALUE"""),45662.0)</f>
        <v>45662</v>
      </c>
      <c r="BF43" s="179">
        <f>IFERROR(__xludf.DUMMYFUNCTION("""COMPUTED_VALUE"""),0.0)</f>
        <v>0</v>
      </c>
      <c r="BG43" s="180">
        <f>IFERROR(__xludf.DUMMYFUNCTION("""COMPUTED_VALUE"""),45934.0)</f>
        <v>45934</v>
      </c>
      <c r="BH43" s="179">
        <f>IFERROR(__xludf.DUMMYFUNCTION("""COMPUTED_VALUE"""),0.0)</f>
        <v>0</v>
      </c>
      <c r="BI43" s="180">
        <f>IFERROR(__xludf.DUMMYFUNCTION("""COMPUTED_VALUE"""),45662.0)</f>
        <v>45662</v>
      </c>
      <c r="BJ43" s="179">
        <f>IFERROR(__xludf.DUMMYFUNCTION("""COMPUTED_VALUE"""),0.0)</f>
        <v>0</v>
      </c>
      <c r="BK43" s="182">
        <f>IFERROR(__xludf.DUMMYFUNCTION("""COMPUTED_VALUE"""),45933.0)</f>
        <v>45933</v>
      </c>
      <c r="BL43" s="179">
        <f>IFERROR(__xludf.DUMMYFUNCTION("""COMPUTED_VALUE"""),0.0)</f>
        <v>0</v>
      </c>
      <c r="BM43" s="180">
        <f>IFERROR(__xludf.DUMMYFUNCTION("""COMPUTED_VALUE"""),45662.0)</f>
        <v>45662</v>
      </c>
      <c r="BN43" s="179">
        <f>IFERROR(__xludf.DUMMYFUNCTION("""COMPUTED_VALUE"""),0.0)</f>
        <v>0</v>
      </c>
      <c r="BO43" s="180">
        <f>IFERROR(__xludf.DUMMYFUNCTION("""COMPUTED_VALUE"""),45720.0)</f>
        <v>45720</v>
      </c>
      <c r="BP43" s="179">
        <f>IFERROR(__xludf.DUMMYFUNCTION("""COMPUTED_VALUE"""),0.0)</f>
        <v>0</v>
      </c>
      <c r="BQ43" s="180">
        <f>IFERROR(__xludf.DUMMYFUNCTION("""COMPUTED_VALUE"""),45933.0)</f>
        <v>45933</v>
      </c>
      <c r="BR43" s="179">
        <f>IFERROR(__xludf.DUMMYFUNCTION("""COMPUTED_VALUE"""),0.0)</f>
        <v>0</v>
      </c>
      <c r="BS43" s="180">
        <f>IFERROR(__xludf.DUMMYFUNCTION("""COMPUTED_VALUE"""),45662.0)</f>
        <v>45662</v>
      </c>
      <c r="BT43" s="179">
        <f>IFERROR(__xludf.DUMMYFUNCTION("""COMPUTED_VALUE"""),0.0)</f>
        <v>0</v>
      </c>
      <c r="BU43" s="180">
        <f>IFERROR(__xludf.DUMMYFUNCTION("""COMPUTED_VALUE"""),45812.0)</f>
        <v>45812</v>
      </c>
      <c r="BV43" s="179">
        <f>IFERROR(__xludf.DUMMYFUNCTION("""COMPUTED_VALUE"""),0.0)</f>
        <v>0</v>
      </c>
      <c r="BW43" s="180">
        <f>IFERROR(__xludf.DUMMYFUNCTION("""COMPUTED_VALUE"""),45811.0)</f>
        <v>45811</v>
      </c>
      <c r="BX43" s="179">
        <f>IFERROR(__xludf.DUMMYFUNCTION("""COMPUTED_VALUE"""),0.0)</f>
        <v>0</v>
      </c>
      <c r="BY43" s="180">
        <f>IFERROR(__xludf.DUMMYFUNCTION("""COMPUTED_VALUE"""),45933.0)</f>
        <v>45933</v>
      </c>
      <c r="BZ43" s="179">
        <f>IFERROR(__xludf.DUMMYFUNCTION("""COMPUTED_VALUE"""),0.0)</f>
        <v>0</v>
      </c>
      <c r="CA43" s="180">
        <f>IFERROR(__xludf.DUMMYFUNCTION("""COMPUTED_VALUE"""),45662.0)</f>
        <v>45662</v>
      </c>
      <c r="CB43" s="179">
        <f>IFERROR(__xludf.DUMMYFUNCTION("""COMPUTED_VALUE"""),0.0)</f>
        <v>0</v>
      </c>
      <c r="CC43" s="180">
        <f>IFERROR(__xludf.DUMMYFUNCTION("""COMPUTED_VALUE"""),45903.0)</f>
        <v>45903</v>
      </c>
      <c r="CD43" s="179">
        <f>IFERROR(__xludf.DUMMYFUNCTION("""COMPUTED_VALUE"""),0.0)</f>
        <v>0</v>
      </c>
      <c r="CE43" s="182">
        <f>IFERROR(__xludf.DUMMYFUNCTION("""COMPUTED_VALUE"""),45692.0)</f>
        <v>45692</v>
      </c>
      <c r="CF43" s="179">
        <f>IFERROR(__xludf.DUMMYFUNCTION("""COMPUTED_VALUE"""),0.0)</f>
        <v>0</v>
      </c>
      <c r="CG43" s="180">
        <f>IFERROR(__xludf.DUMMYFUNCTION("""COMPUTED_VALUE"""),45811.0)</f>
        <v>45811</v>
      </c>
      <c r="CH43" s="179">
        <f>IFERROR(__xludf.DUMMYFUNCTION("""COMPUTED_VALUE"""),0.0)</f>
        <v>0</v>
      </c>
      <c r="CI43" s="180">
        <f>IFERROR(__xludf.DUMMYFUNCTION("""COMPUTED_VALUE"""),45841.0)</f>
        <v>45841</v>
      </c>
      <c r="CJ43" s="179">
        <f>IFERROR(__xludf.DUMMYFUNCTION("""COMPUTED_VALUE"""),0.0)</f>
        <v>0</v>
      </c>
      <c r="CK43" s="180">
        <f>IFERROR(__xludf.DUMMYFUNCTION("""COMPUTED_VALUE"""),45872.0)</f>
        <v>45872</v>
      </c>
      <c r="CL43" s="179">
        <f>IFERROR(__xludf.DUMMYFUNCTION("""COMPUTED_VALUE"""),0.0)</f>
        <v>0</v>
      </c>
      <c r="CM43" s="180">
        <f>IFERROR(__xludf.DUMMYFUNCTION("""COMPUTED_VALUE"""),45661.0)</f>
        <v>45661</v>
      </c>
      <c r="CN43" s="179">
        <f>IFERROR(__xludf.DUMMYFUNCTION("""COMPUTED_VALUE"""),0.0)</f>
        <v>0</v>
      </c>
      <c r="CO43" s="180">
        <f>IFERROR(__xludf.DUMMYFUNCTION("""COMPUTED_VALUE"""),45933.0)</f>
        <v>45933</v>
      </c>
      <c r="CP43" s="179">
        <f>IFERROR(__xludf.DUMMYFUNCTION("""COMPUTED_VALUE"""),0.0)</f>
        <v>0</v>
      </c>
      <c r="CQ43" s="180">
        <f>IFERROR(__xludf.DUMMYFUNCTION("""COMPUTED_VALUE"""),45750.0)</f>
        <v>45750</v>
      </c>
      <c r="CR43" s="179">
        <f>IFERROR(__xludf.DUMMYFUNCTION("""COMPUTED_VALUE"""),0.0)</f>
        <v>0</v>
      </c>
      <c r="CS43" s="180">
        <f>IFERROR(__xludf.DUMMYFUNCTION("""COMPUTED_VALUE"""),45933.0)</f>
        <v>45933</v>
      </c>
      <c r="CT43" s="179">
        <f>IFERROR(__xludf.DUMMYFUNCTION("""COMPUTED_VALUE"""),0.0)</f>
        <v>0</v>
      </c>
      <c r="CU43" s="180">
        <f>IFERROR(__xludf.DUMMYFUNCTION("""COMPUTED_VALUE"""),45692.0)</f>
        <v>45692</v>
      </c>
      <c r="CV43" s="179">
        <f>IFERROR(__xludf.DUMMYFUNCTION("""COMPUTED_VALUE"""),0.0)</f>
        <v>0</v>
      </c>
      <c r="CW43" s="180">
        <f>IFERROR(__xludf.DUMMYFUNCTION("""COMPUTED_VALUE"""),45691.0)</f>
        <v>45691</v>
      </c>
      <c r="CX43" s="179">
        <f>IFERROR(__xludf.DUMMYFUNCTION("""COMPUTED_VALUE"""),0.0)</f>
        <v>0</v>
      </c>
      <c r="CY43" s="182">
        <f>IFERROR(__xludf.DUMMYFUNCTION("""COMPUTED_VALUE"""),45692.0)</f>
        <v>45692</v>
      </c>
      <c r="CZ43" s="179">
        <f>IFERROR(__xludf.DUMMYFUNCTION("""COMPUTED_VALUE"""),0.0)</f>
        <v>0</v>
      </c>
      <c r="DA43" s="180">
        <f>IFERROR(__xludf.DUMMYFUNCTION("""COMPUTED_VALUE"""),45661.0)</f>
        <v>45661</v>
      </c>
      <c r="DB43" s="179">
        <f>IFERROR(__xludf.DUMMYFUNCTION("""COMPUTED_VALUE"""),0.0)</f>
        <v>0</v>
      </c>
      <c r="DC43" s="180">
        <f>IFERROR(__xludf.DUMMYFUNCTION("""COMPUTED_VALUE"""),45872.0)</f>
        <v>45872</v>
      </c>
      <c r="DD43" s="179">
        <f>IFERROR(__xludf.DUMMYFUNCTION("""COMPUTED_VALUE"""),0.0)</f>
        <v>0</v>
      </c>
      <c r="DE43" s="180">
        <f>IFERROR(__xludf.DUMMYFUNCTION("""COMPUTED_VALUE"""),45903.0)</f>
        <v>45903</v>
      </c>
      <c r="DF43" s="179">
        <f>IFERROR(__xludf.DUMMYFUNCTION("""COMPUTED_VALUE"""),0.0)</f>
        <v>0</v>
      </c>
      <c r="DG43" s="180">
        <f>IFERROR(__xludf.DUMMYFUNCTION("""COMPUTED_VALUE"""),45692.0)</f>
        <v>45692</v>
      </c>
      <c r="DH43" s="179">
        <f>IFERROR(__xludf.DUMMYFUNCTION("""COMPUTED_VALUE"""),0.0)</f>
        <v>0</v>
      </c>
      <c r="DI43" s="180">
        <f>IFERROR(__xludf.DUMMYFUNCTION("""COMPUTED_VALUE"""),45692.0)</f>
        <v>45692</v>
      </c>
      <c r="DJ43" s="179">
        <f>IFERROR(__xludf.DUMMYFUNCTION("""COMPUTED_VALUE"""),0.0)</f>
        <v>0</v>
      </c>
      <c r="DK43" s="180">
        <f>IFERROR(__xludf.DUMMYFUNCTION("""COMPUTED_VALUE"""),45933.0)</f>
        <v>45933</v>
      </c>
      <c r="DL43" s="179">
        <f>IFERROR(__xludf.DUMMYFUNCTION("""COMPUTED_VALUE"""),0.0)</f>
        <v>0</v>
      </c>
      <c r="DM43" s="180">
        <f>IFERROR(__xludf.DUMMYFUNCTION("""COMPUTED_VALUE"""),45933.0)</f>
        <v>45933</v>
      </c>
      <c r="DN43" s="179">
        <f>IFERROR(__xludf.DUMMYFUNCTION("""COMPUTED_VALUE"""),0.0)</f>
        <v>0</v>
      </c>
      <c r="DO43" s="180">
        <f>IFERROR(__xludf.DUMMYFUNCTION("""COMPUTED_VALUE"""),45933.0)</f>
        <v>45933</v>
      </c>
      <c r="DP43" s="179">
        <f>IFERROR(__xludf.DUMMYFUNCTION("""COMPUTED_VALUE"""),0.0)</f>
        <v>0</v>
      </c>
      <c r="DQ43" s="180">
        <f>IFERROR(__xludf.DUMMYFUNCTION("""COMPUTED_VALUE"""),45811.0)</f>
        <v>45811</v>
      </c>
      <c r="DR43" s="179">
        <f>IFERROR(__xludf.DUMMYFUNCTION("""COMPUTED_VALUE"""),0.0)</f>
        <v>0</v>
      </c>
      <c r="DS43" s="182">
        <f>IFERROR(__xludf.DUMMYFUNCTION("""COMPUTED_VALUE"""),45661.0)</f>
        <v>45661</v>
      </c>
      <c r="DT43" s="179">
        <f>IFERROR(__xludf.DUMMYFUNCTION("""COMPUTED_VALUE"""),0.0)</f>
        <v>0</v>
      </c>
      <c r="DU43" s="180">
        <f>IFERROR(__xludf.DUMMYFUNCTION("""COMPUTED_VALUE"""),45933.0)</f>
        <v>45933</v>
      </c>
      <c r="DV43" s="179">
        <f>IFERROR(__xludf.DUMMYFUNCTION("""COMPUTED_VALUE"""),0.0)</f>
        <v>0</v>
      </c>
      <c r="DW43" s="180">
        <f>IFERROR(__xludf.DUMMYFUNCTION("""COMPUTED_VALUE"""),45933.0)</f>
        <v>45933</v>
      </c>
      <c r="DX43" s="179">
        <f>IFERROR(__xludf.DUMMYFUNCTION("""COMPUTED_VALUE"""),0.0)</f>
        <v>0</v>
      </c>
      <c r="DY43" s="180">
        <f>IFERROR(__xludf.DUMMYFUNCTION("""COMPUTED_VALUE"""),45661.0)</f>
        <v>45661</v>
      </c>
      <c r="DZ43" s="179">
        <f>IFERROR(__xludf.DUMMYFUNCTION("""COMPUTED_VALUE"""),0.0)</f>
        <v>0</v>
      </c>
      <c r="EA43" s="180">
        <f>IFERROR(__xludf.DUMMYFUNCTION("""COMPUTED_VALUE"""),45692.0)</f>
        <v>45692</v>
      </c>
      <c r="EB43" s="179">
        <f>IFERROR(__xludf.DUMMYFUNCTION("""COMPUTED_VALUE"""),0.0)</f>
        <v>0</v>
      </c>
      <c r="EC43" s="180">
        <f>IFERROR(__xludf.DUMMYFUNCTION("""COMPUTED_VALUE"""),45661.0)</f>
        <v>45661</v>
      </c>
      <c r="ED43" s="179">
        <f>IFERROR(__xludf.DUMMYFUNCTION("""COMPUTED_VALUE"""),0.0)</f>
        <v>0</v>
      </c>
      <c r="EE43" s="180">
        <f>IFERROR(__xludf.DUMMYFUNCTION("""COMPUTED_VALUE"""),45872.0)</f>
        <v>45872</v>
      </c>
      <c r="EF43" s="179">
        <f>IFERROR(__xludf.DUMMYFUNCTION("""COMPUTED_VALUE"""),0.0)</f>
        <v>0</v>
      </c>
      <c r="EG43" s="180">
        <f>IFERROR(__xludf.DUMMYFUNCTION("""COMPUTED_VALUE"""),45661.0)</f>
        <v>45661</v>
      </c>
      <c r="EH43" s="179">
        <f>IFERROR(__xludf.DUMMYFUNCTION("""COMPUTED_VALUE"""),0.0)</f>
        <v>0</v>
      </c>
      <c r="EI43" s="180">
        <f>IFERROR(__xludf.DUMMYFUNCTION("""COMPUTED_VALUE"""),45661.0)</f>
        <v>45661</v>
      </c>
      <c r="EJ43" s="179">
        <f>IFERROR(__xludf.DUMMYFUNCTION("""COMPUTED_VALUE"""),0.0)</f>
        <v>0</v>
      </c>
      <c r="EK43" s="180">
        <f>IFERROR(__xludf.DUMMYFUNCTION("""COMPUTED_VALUE"""),45903.0)</f>
        <v>45903</v>
      </c>
      <c r="EL43" s="179">
        <f>IFERROR(__xludf.DUMMYFUNCTION("""COMPUTED_VALUE"""),0.0)</f>
        <v>0</v>
      </c>
      <c r="EM43" s="182">
        <f>IFERROR(__xludf.DUMMYFUNCTION("""COMPUTED_VALUE"""),45872.0)</f>
        <v>45872</v>
      </c>
      <c r="EN43" s="179">
        <f>IFERROR(__xludf.DUMMYFUNCTION("""COMPUTED_VALUE"""),0.0)</f>
        <v>0</v>
      </c>
      <c r="EO43" s="180">
        <f>IFERROR(__xludf.DUMMYFUNCTION("""COMPUTED_VALUE"""),45661.0)</f>
        <v>45661</v>
      </c>
      <c r="EP43" s="179">
        <f>IFERROR(__xludf.DUMMYFUNCTION("""COMPUTED_VALUE"""),0.0)</f>
        <v>0</v>
      </c>
      <c r="EQ43" s="180">
        <f>IFERROR(__xludf.DUMMYFUNCTION("""COMPUTED_VALUE"""),45661.0)</f>
        <v>45661</v>
      </c>
      <c r="ER43" s="179">
        <f>IFERROR(__xludf.DUMMYFUNCTION("""COMPUTED_VALUE"""),0.0)</f>
        <v>0</v>
      </c>
      <c r="ES43" s="180">
        <f>IFERROR(__xludf.DUMMYFUNCTION("""COMPUTED_VALUE"""),45692.0)</f>
        <v>45692</v>
      </c>
      <c r="ET43" s="179">
        <f>IFERROR(__xludf.DUMMYFUNCTION("""COMPUTED_VALUE"""),0.0)</f>
        <v>0</v>
      </c>
      <c r="EU43" s="180">
        <f>IFERROR(__xludf.DUMMYFUNCTION("""COMPUTED_VALUE"""),45661.0)</f>
        <v>45661</v>
      </c>
      <c r="EV43" s="179">
        <f>IFERROR(__xludf.DUMMYFUNCTION("""COMPUTED_VALUE"""),0.0)</f>
        <v>0</v>
      </c>
      <c r="EW43" s="180">
        <f>IFERROR(__xludf.DUMMYFUNCTION("""COMPUTED_VALUE"""),45692.0)</f>
        <v>45692</v>
      </c>
      <c r="EX43" s="179">
        <f>IFERROR(__xludf.DUMMYFUNCTION("""COMPUTED_VALUE"""),0.0)</f>
        <v>0</v>
      </c>
      <c r="EY43" s="180">
        <f>IFERROR(__xludf.DUMMYFUNCTION("""COMPUTED_VALUE"""),45692.0)</f>
        <v>45692</v>
      </c>
      <c r="EZ43" s="179">
        <f>IFERROR(__xludf.DUMMYFUNCTION("""COMPUTED_VALUE"""),0.0)</f>
        <v>0</v>
      </c>
      <c r="FA43" s="180">
        <f>IFERROR(__xludf.DUMMYFUNCTION("""COMPUTED_VALUE"""),45661.0)</f>
        <v>45661</v>
      </c>
      <c r="FB43" s="179">
        <f>IFERROR(__xludf.DUMMYFUNCTION("""COMPUTED_VALUE"""),0.0)</f>
        <v>0</v>
      </c>
      <c r="FC43" s="180">
        <f>IFERROR(__xludf.DUMMYFUNCTION("""COMPUTED_VALUE"""),45692.0)</f>
        <v>45692</v>
      </c>
      <c r="FD43" s="179">
        <f>IFERROR(__xludf.DUMMYFUNCTION("""COMPUTED_VALUE"""),0.0)</f>
        <v>0</v>
      </c>
      <c r="FE43" s="180">
        <f>IFERROR(__xludf.DUMMYFUNCTION("""COMPUTED_VALUE"""),45872.0)</f>
        <v>45872</v>
      </c>
      <c r="FF43" s="179">
        <f>IFERROR(__xludf.DUMMYFUNCTION("""COMPUTED_VALUE"""),0.0)</f>
        <v>0</v>
      </c>
      <c r="FG43" s="182">
        <f>IFERROR(__xludf.DUMMYFUNCTION("""COMPUTED_VALUE"""),45872.0)</f>
        <v>45872</v>
      </c>
      <c r="FH43" s="179">
        <f>IFERROR(__xludf.DUMMYFUNCTION("""COMPUTED_VALUE"""),0.0)</f>
        <v>0</v>
      </c>
      <c r="FI43" s="180">
        <f>IFERROR(__xludf.DUMMYFUNCTION("""COMPUTED_VALUE"""),45872.0)</f>
        <v>45872</v>
      </c>
      <c r="FJ43" s="179">
        <f>IFERROR(__xludf.DUMMYFUNCTION("""COMPUTED_VALUE"""),0.0)</f>
        <v>0</v>
      </c>
      <c r="FK43" s="180">
        <f>IFERROR(__xludf.DUMMYFUNCTION("""COMPUTED_VALUE"""),45750.0)</f>
        <v>45750</v>
      </c>
      <c r="FL43" s="179">
        <f>IFERROR(__xludf.DUMMYFUNCTION("""COMPUTED_VALUE"""),0.0)</f>
        <v>0</v>
      </c>
      <c r="FM43" s="180">
        <f>IFERROR(__xludf.DUMMYFUNCTION("""COMPUTED_VALUE"""),45692.0)</f>
        <v>45692</v>
      </c>
      <c r="FN43" s="179">
        <f>IFERROR(__xludf.DUMMYFUNCTION("""COMPUTED_VALUE"""),0.0)</f>
        <v>0</v>
      </c>
      <c r="FO43" s="180">
        <f>IFERROR(__xludf.DUMMYFUNCTION("""COMPUTED_VALUE"""),45692.0)</f>
        <v>45692</v>
      </c>
      <c r="FP43" s="179">
        <f>IFERROR(__xludf.DUMMYFUNCTION("""COMPUTED_VALUE"""),0.0)</f>
        <v>0</v>
      </c>
      <c r="FQ43" s="180">
        <f>IFERROR(__xludf.DUMMYFUNCTION("""COMPUTED_VALUE"""),45692.0)</f>
        <v>45692</v>
      </c>
      <c r="FR43" s="179">
        <f>IFERROR(__xludf.DUMMYFUNCTION("""COMPUTED_VALUE"""),0.0)</f>
        <v>0</v>
      </c>
      <c r="FS43" s="180">
        <f>IFERROR(__xludf.DUMMYFUNCTION("""COMPUTED_VALUE"""),45872.0)</f>
        <v>45872</v>
      </c>
      <c r="FT43" s="179">
        <f>IFERROR(__xludf.DUMMYFUNCTION("""COMPUTED_VALUE"""),0.0)</f>
        <v>0</v>
      </c>
      <c r="FU43" s="180">
        <f>IFERROR(__xludf.DUMMYFUNCTION("""COMPUTED_VALUE"""),45692.0)</f>
        <v>45692</v>
      </c>
      <c r="FV43" s="179">
        <f>IFERROR(__xludf.DUMMYFUNCTION("""COMPUTED_VALUE"""),0.0)</f>
        <v>0</v>
      </c>
      <c r="FW43" s="180">
        <f>IFERROR(__xludf.DUMMYFUNCTION("""COMPUTED_VALUE"""),45692.0)</f>
        <v>45692</v>
      </c>
      <c r="FX43" s="179">
        <f>IFERROR(__xludf.DUMMYFUNCTION("""COMPUTED_VALUE"""),0.0)</f>
        <v>0</v>
      </c>
      <c r="FY43" s="180">
        <f>IFERROR(__xludf.DUMMYFUNCTION("""COMPUTED_VALUE"""),45750.0)</f>
        <v>45750</v>
      </c>
      <c r="FZ43" s="179">
        <f>IFERROR(__xludf.DUMMYFUNCTION("""COMPUTED_VALUE"""),0.0)</f>
        <v>0</v>
      </c>
      <c r="GA43" s="182">
        <f>IFERROR(__xludf.DUMMYFUNCTION("""COMPUTED_VALUE"""),45692.0)</f>
        <v>45692</v>
      </c>
      <c r="GB43" s="179">
        <f>IFERROR(__xludf.DUMMYFUNCTION("""COMPUTED_VALUE"""),0.0)</f>
        <v>0</v>
      </c>
      <c r="GC43" s="180">
        <f>IFERROR(__xludf.DUMMYFUNCTION("""COMPUTED_VALUE"""),45903.0)</f>
        <v>45903</v>
      </c>
      <c r="GD43" s="179">
        <f>IFERROR(__xludf.DUMMYFUNCTION("""COMPUTED_VALUE"""),0.0)</f>
        <v>0</v>
      </c>
      <c r="GE43" s="180">
        <f>IFERROR(__xludf.DUMMYFUNCTION("""COMPUTED_VALUE"""),45903.0)</f>
        <v>45903</v>
      </c>
      <c r="GF43" s="179">
        <f>IFERROR(__xludf.DUMMYFUNCTION("""COMPUTED_VALUE"""),0.0)</f>
        <v>0</v>
      </c>
      <c r="GG43" s="180">
        <f>IFERROR(__xludf.DUMMYFUNCTION("""COMPUTED_VALUE"""),45933.0)</f>
        <v>45933</v>
      </c>
      <c r="GH43" s="179">
        <f>IFERROR(__xludf.DUMMYFUNCTION("""COMPUTED_VALUE"""),0.0)</f>
        <v>0</v>
      </c>
      <c r="GI43" s="180">
        <f>IFERROR(__xludf.DUMMYFUNCTION("""COMPUTED_VALUE"""),45692.0)</f>
        <v>45692</v>
      </c>
      <c r="GJ43" s="179">
        <f>IFERROR(__xludf.DUMMYFUNCTION("""COMPUTED_VALUE"""),0.0)</f>
        <v>0</v>
      </c>
      <c r="GK43" s="180">
        <f>IFERROR(__xludf.DUMMYFUNCTION("""COMPUTED_VALUE"""),45692.0)</f>
        <v>45692</v>
      </c>
      <c r="GL43" s="179">
        <f>IFERROR(__xludf.DUMMYFUNCTION("""COMPUTED_VALUE"""),0.0)</f>
        <v>0</v>
      </c>
      <c r="GM43" s="180">
        <f>IFERROR(__xludf.DUMMYFUNCTION("""COMPUTED_VALUE"""),45811.0)</f>
        <v>45811</v>
      </c>
      <c r="GN43" s="179">
        <f>IFERROR(__xludf.DUMMYFUNCTION("""COMPUTED_VALUE"""),0.0)</f>
        <v>0</v>
      </c>
      <c r="GO43" s="180">
        <f>IFERROR(__xludf.DUMMYFUNCTION("""COMPUTED_VALUE"""),45692.0)</f>
        <v>45692</v>
      </c>
      <c r="GP43" s="179">
        <f>IFERROR(__xludf.DUMMYFUNCTION("""COMPUTED_VALUE"""),0.0)</f>
        <v>0</v>
      </c>
      <c r="GQ43" s="180">
        <f>IFERROR(__xludf.DUMMYFUNCTION("""COMPUTED_VALUE"""),45661.0)</f>
        <v>45661</v>
      </c>
      <c r="GR43" s="179">
        <f>IFERROR(__xludf.DUMMYFUNCTION("""COMPUTED_VALUE"""),0.0)</f>
        <v>0</v>
      </c>
      <c r="GS43" s="180">
        <f>IFERROR(__xludf.DUMMYFUNCTION("""COMPUTED_VALUE"""),45780.0)</f>
        <v>45780</v>
      </c>
      <c r="GT43" s="179">
        <f>IFERROR(__xludf.DUMMYFUNCTION("""COMPUTED_VALUE"""),0.0)</f>
        <v>0</v>
      </c>
    </row>
    <row r="44" ht="31.5" customHeight="1">
      <c r="B44" s="183"/>
      <c r="C44" s="178">
        <f>IFERROR(__xludf.DUMMYFUNCTION("""COMPUTED_VALUE"""),45873.0)</f>
        <v>45873</v>
      </c>
      <c r="D44" s="179">
        <f>IFERROR(__xludf.DUMMYFUNCTION("""COMPUTED_VALUE"""),0.0)</f>
        <v>0</v>
      </c>
      <c r="E44" s="180">
        <f>IFERROR(__xludf.DUMMYFUNCTION("""COMPUTED_VALUE"""),45904.0)</f>
        <v>45904</v>
      </c>
      <c r="F44" s="179">
        <f>IFERROR(__xludf.DUMMYFUNCTION("""COMPUTED_VALUE"""),0.0)</f>
        <v>0</v>
      </c>
      <c r="G44" s="180">
        <f>IFERROR(__xludf.DUMMYFUNCTION("""COMPUTED_VALUE"""),45904.0)</f>
        <v>45904</v>
      </c>
      <c r="H44" s="179">
        <f>IFERROR(__xludf.DUMMYFUNCTION("""COMPUTED_VALUE"""),0.0)</f>
        <v>0</v>
      </c>
      <c r="I44" s="180">
        <f>IFERROR(__xludf.DUMMYFUNCTION("""COMPUTED_VALUE"""),45662.0)</f>
        <v>45662</v>
      </c>
      <c r="J44" s="179">
        <f>IFERROR(__xludf.DUMMYFUNCTION("""COMPUTED_VALUE"""),0.0)</f>
        <v>0</v>
      </c>
      <c r="K44" s="180">
        <f>IFERROR(__xludf.DUMMYFUNCTION("""COMPUTED_VALUE"""),45812.0)</f>
        <v>45812</v>
      </c>
      <c r="L44" s="179">
        <f>IFERROR(__xludf.DUMMYFUNCTION("""COMPUTED_VALUE"""),0.0)</f>
        <v>0</v>
      </c>
      <c r="M44" s="180">
        <f>IFERROR(__xludf.DUMMYFUNCTION("""COMPUTED_VALUE"""),45873.0)</f>
        <v>45873</v>
      </c>
      <c r="N44" s="179">
        <f>IFERROR(__xludf.DUMMYFUNCTION("""COMPUTED_VALUE"""),0.0)</f>
        <v>0</v>
      </c>
      <c r="O44" s="180">
        <f>IFERROR(__xludf.DUMMYFUNCTION("""COMPUTED_VALUE"""),45751.0)</f>
        <v>45751</v>
      </c>
      <c r="P44" s="179">
        <f>IFERROR(__xludf.DUMMYFUNCTION("""COMPUTED_VALUE"""),0.0)</f>
        <v>0</v>
      </c>
      <c r="Q44" s="180">
        <f>IFERROR(__xludf.DUMMYFUNCTION("""COMPUTED_VALUE"""),45751.0)</f>
        <v>45751</v>
      </c>
      <c r="R44" s="179">
        <f>IFERROR(__xludf.DUMMYFUNCTION("""COMPUTED_VALUE"""),0.0)</f>
        <v>0</v>
      </c>
      <c r="S44" s="180">
        <f>IFERROR(__xludf.DUMMYFUNCTION("""COMPUTED_VALUE"""),45934.0)</f>
        <v>45934</v>
      </c>
      <c r="T44" s="179">
        <f>IFERROR(__xludf.DUMMYFUNCTION("""COMPUTED_VALUE"""),0.0)</f>
        <v>0</v>
      </c>
      <c r="U44" s="180">
        <f>IFERROR(__xludf.DUMMYFUNCTION("""COMPUTED_VALUE"""),45720.0)</f>
        <v>45720</v>
      </c>
      <c r="V44" s="181">
        <f>IFERROR(__xludf.DUMMYFUNCTION("""COMPUTED_VALUE"""),0.0)</f>
        <v>0</v>
      </c>
      <c r="W44" s="178">
        <f>IFERROR(__xludf.DUMMYFUNCTION("""COMPUTED_VALUE"""),45662.0)</f>
        <v>45662</v>
      </c>
      <c r="X44" s="179">
        <f>IFERROR(__xludf.DUMMYFUNCTION("""COMPUTED_VALUE"""),0.0)</f>
        <v>0</v>
      </c>
      <c r="Y44" s="180">
        <f>IFERROR(__xludf.DUMMYFUNCTION("""COMPUTED_VALUE"""),45781.0)</f>
        <v>45781</v>
      </c>
      <c r="Z44" s="179">
        <f>IFERROR(__xludf.DUMMYFUNCTION("""COMPUTED_VALUE"""),0.0)</f>
        <v>0</v>
      </c>
      <c r="AA44" s="180">
        <f>IFERROR(__xludf.DUMMYFUNCTION("""COMPUTED_VALUE"""),45934.0)</f>
        <v>45934</v>
      </c>
      <c r="AB44" s="179">
        <f>IFERROR(__xludf.DUMMYFUNCTION("""COMPUTED_VALUE"""),0.0)</f>
        <v>0</v>
      </c>
      <c r="AC44" s="180">
        <f>IFERROR(__xludf.DUMMYFUNCTION("""COMPUTED_VALUE"""),45720.0)</f>
        <v>45720</v>
      </c>
      <c r="AD44" s="179">
        <f>IFERROR(__xludf.DUMMYFUNCTION("""COMPUTED_VALUE"""),0.0)</f>
        <v>0</v>
      </c>
      <c r="AE44" s="180">
        <f>IFERROR(__xludf.DUMMYFUNCTION("""COMPUTED_VALUE"""),45812.0)</f>
        <v>45812</v>
      </c>
      <c r="AF44" s="179">
        <f>IFERROR(__xludf.DUMMYFUNCTION("""COMPUTED_VALUE"""),0.0)</f>
        <v>0</v>
      </c>
      <c r="AG44" s="180">
        <f>IFERROR(__xludf.DUMMYFUNCTION("""COMPUTED_VALUE"""),45662.0)</f>
        <v>45662</v>
      </c>
      <c r="AH44" s="179">
        <f>IFERROR(__xludf.DUMMYFUNCTION("""COMPUTED_VALUE"""),0.0)</f>
        <v>0</v>
      </c>
      <c r="AI44" s="180">
        <f>IFERROR(__xludf.DUMMYFUNCTION("""COMPUTED_VALUE"""),45720.0)</f>
        <v>45720</v>
      </c>
      <c r="AJ44" s="179">
        <f>IFERROR(__xludf.DUMMYFUNCTION("""COMPUTED_VALUE"""),0.0)</f>
        <v>0</v>
      </c>
      <c r="AK44" s="180">
        <f>IFERROR(__xludf.DUMMYFUNCTION("""COMPUTED_VALUE"""),45904.0)</f>
        <v>45904</v>
      </c>
      <c r="AL44" s="179">
        <f>IFERROR(__xludf.DUMMYFUNCTION("""COMPUTED_VALUE"""),0.0)</f>
        <v>0</v>
      </c>
      <c r="AM44" s="180">
        <f>IFERROR(__xludf.DUMMYFUNCTION("""COMPUTED_VALUE"""),45662.0)</f>
        <v>45662</v>
      </c>
      <c r="AN44" s="179">
        <f>IFERROR(__xludf.DUMMYFUNCTION("""COMPUTED_VALUE"""),0.0)</f>
        <v>0</v>
      </c>
      <c r="AO44" s="180">
        <f>IFERROR(__xludf.DUMMYFUNCTION("""COMPUTED_VALUE"""),45842.0)</f>
        <v>45842</v>
      </c>
      <c r="AP44" s="181">
        <f>IFERROR(__xludf.DUMMYFUNCTION("""COMPUTED_VALUE"""),0.0)</f>
        <v>0</v>
      </c>
      <c r="AQ44" s="178">
        <f>IFERROR(__xludf.DUMMYFUNCTION("""COMPUTED_VALUE"""),45693.0)</f>
        <v>45693</v>
      </c>
      <c r="AR44" s="179">
        <f>IFERROR(__xludf.DUMMYFUNCTION("""COMPUTED_VALUE"""),0.0)</f>
        <v>0</v>
      </c>
      <c r="AS44" s="180">
        <f>IFERROR(__xludf.DUMMYFUNCTION("""COMPUTED_VALUE"""),45693.0)</f>
        <v>45693</v>
      </c>
      <c r="AT44" s="179">
        <f>IFERROR(__xludf.DUMMYFUNCTION("""COMPUTED_VALUE"""),0.0)</f>
        <v>0</v>
      </c>
      <c r="AU44" s="180">
        <f>IFERROR(__xludf.DUMMYFUNCTION("""COMPUTED_VALUE"""),45662.0)</f>
        <v>45662</v>
      </c>
      <c r="AV44" s="179">
        <f>IFERROR(__xludf.DUMMYFUNCTION("""COMPUTED_VALUE"""),0.0)</f>
        <v>0</v>
      </c>
      <c r="AW44" s="180">
        <f>IFERROR(__xludf.DUMMYFUNCTION("""COMPUTED_VALUE"""),45662.0)</f>
        <v>45662</v>
      </c>
      <c r="AX44" s="179">
        <f>IFERROR(__xludf.DUMMYFUNCTION("""COMPUTED_VALUE"""),0.0)</f>
        <v>0</v>
      </c>
      <c r="AY44" s="180">
        <f>IFERROR(__xludf.DUMMYFUNCTION("""COMPUTED_VALUE"""),45693.0)</f>
        <v>45693</v>
      </c>
      <c r="AZ44" s="179">
        <f>IFERROR(__xludf.DUMMYFUNCTION("""COMPUTED_VALUE"""),0.0)</f>
        <v>0</v>
      </c>
      <c r="BA44" s="180">
        <f>IFERROR(__xludf.DUMMYFUNCTION("""COMPUTED_VALUE"""),45693.0)</f>
        <v>45693</v>
      </c>
      <c r="BB44" s="179">
        <f>IFERROR(__xludf.DUMMYFUNCTION("""COMPUTED_VALUE"""),0.0)</f>
        <v>0</v>
      </c>
      <c r="BC44" s="180">
        <f>IFERROR(__xludf.DUMMYFUNCTION("""COMPUTED_VALUE"""),45662.0)</f>
        <v>45662</v>
      </c>
      <c r="BD44" s="179">
        <f>IFERROR(__xludf.DUMMYFUNCTION("""COMPUTED_VALUE"""),0.0)</f>
        <v>0</v>
      </c>
      <c r="BE44" s="180">
        <f>IFERROR(__xludf.DUMMYFUNCTION("""COMPUTED_VALUE"""),45693.0)</f>
        <v>45693</v>
      </c>
      <c r="BF44" s="179">
        <f>IFERROR(__xludf.DUMMYFUNCTION("""COMPUTED_VALUE"""),0.0)</f>
        <v>0</v>
      </c>
      <c r="BG44" s="180">
        <f>IFERROR(__xludf.DUMMYFUNCTION("""COMPUTED_VALUE"""),45662.0)</f>
        <v>45662</v>
      </c>
      <c r="BH44" s="179">
        <f>IFERROR(__xludf.DUMMYFUNCTION("""COMPUTED_VALUE"""),0.0)</f>
        <v>0</v>
      </c>
      <c r="BI44" s="180">
        <f>IFERROR(__xludf.DUMMYFUNCTION("""COMPUTED_VALUE"""),45693.0)</f>
        <v>45693</v>
      </c>
      <c r="BJ44" s="179">
        <f>IFERROR(__xludf.DUMMYFUNCTION("""COMPUTED_VALUE"""),0.0)</f>
        <v>0</v>
      </c>
      <c r="BK44" s="182">
        <f>IFERROR(__xludf.DUMMYFUNCTION("""COMPUTED_VALUE"""),45661.0)</f>
        <v>45661</v>
      </c>
      <c r="BL44" s="179">
        <f>IFERROR(__xludf.DUMMYFUNCTION("""COMPUTED_VALUE"""),0.0)</f>
        <v>0</v>
      </c>
      <c r="BM44" s="180">
        <f>IFERROR(__xludf.DUMMYFUNCTION("""COMPUTED_VALUE"""),45693.0)</f>
        <v>45693</v>
      </c>
      <c r="BN44" s="179">
        <f>IFERROR(__xludf.DUMMYFUNCTION("""COMPUTED_VALUE"""),0.0)</f>
        <v>0</v>
      </c>
      <c r="BO44" s="180">
        <f>IFERROR(__xludf.DUMMYFUNCTION("""COMPUTED_VALUE"""),45662.0)</f>
        <v>45662</v>
      </c>
      <c r="BP44" s="179">
        <f>IFERROR(__xludf.DUMMYFUNCTION("""COMPUTED_VALUE"""),0.0)</f>
        <v>0</v>
      </c>
      <c r="BQ44" s="180">
        <f>IFERROR(__xludf.DUMMYFUNCTION("""COMPUTED_VALUE"""),45751.0)</f>
        <v>45751</v>
      </c>
      <c r="BR44" s="179">
        <f>IFERROR(__xludf.DUMMYFUNCTION("""COMPUTED_VALUE"""),0.0)</f>
        <v>0</v>
      </c>
      <c r="BS44" s="180">
        <f>IFERROR(__xludf.DUMMYFUNCTION("""COMPUTED_VALUE"""),45693.0)</f>
        <v>45693</v>
      </c>
      <c r="BT44" s="179">
        <f>IFERROR(__xludf.DUMMYFUNCTION("""COMPUTED_VALUE"""),0.0)</f>
        <v>0</v>
      </c>
      <c r="BU44" s="180">
        <f>IFERROR(__xludf.DUMMYFUNCTION("""COMPUTED_VALUE"""),45662.0)</f>
        <v>45662</v>
      </c>
      <c r="BV44" s="179">
        <f>IFERROR(__xludf.DUMMYFUNCTION("""COMPUTED_VALUE"""),0.0)</f>
        <v>0</v>
      </c>
      <c r="BW44" s="180">
        <f>IFERROR(__xludf.DUMMYFUNCTION("""COMPUTED_VALUE"""),45841.0)</f>
        <v>45841</v>
      </c>
      <c r="BX44" s="179">
        <f>IFERROR(__xludf.DUMMYFUNCTION("""COMPUTED_VALUE"""),0.0)</f>
        <v>0</v>
      </c>
      <c r="BY44" s="180">
        <f>IFERROR(__xludf.DUMMYFUNCTION("""COMPUTED_VALUE"""),45873.0)</f>
        <v>45873</v>
      </c>
      <c r="BZ44" s="179">
        <f>IFERROR(__xludf.DUMMYFUNCTION("""COMPUTED_VALUE"""),0.0)</f>
        <v>0</v>
      </c>
      <c r="CA44" s="180">
        <f>IFERROR(__xludf.DUMMYFUNCTION("""COMPUTED_VALUE"""),45693.0)</f>
        <v>45693</v>
      </c>
      <c r="CB44" s="179">
        <f>IFERROR(__xludf.DUMMYFUNCTION("""COMPUTED_VALUE"""),0.0)</f>
        <v>0</v>
      </c>
      <c r="CC44" s="180">
        <f>IFERROR(__xludf.DUMMYFUNCTION("""COMPUTED_VALUE"""),45933.0)</f>
        <v>45933</v>
      </c>
      <c r="CD44" s="179">
        <f>IFERROR(__xludf.DUMMYFUNCTION("""COMPUTED_VALUE"""),0.0)</f>
        <v>0</v>
      </c>
      <c r="CE44" s="182">
        <f>IFERROR(__xludf.DUMMYFUNCTION("""COMPUTED_VALUE"""),45720.0)</f>
        <v>45720</v>
      </c>
      <c r="CF44" s="179">
        <f>IFERROR(__xludf.DUMMYFUNCTION("""COMPUTED_VALUE"""),0.0)</f>
        <v>0</v>
      </c>
      <c r="CG44" s="180">
        <f>IFERROR(__xludf.DUMMYFUNCTION("""COMPUTED_VALUE"""),45841.0)</f>
        <v>45841</v>
      </c>
      <c r="CH44" s="179">
        <f>IFERROR(__xludf.DUMMYFUNCTION("""COMPUTED_VALUE"""),0.0)</f>
        <v>0</v>
      </c>
      <c r="CI44" s="180">
        <f>IFERROR(__xludf.DUMMYFUNCTION("""COMPUTED_VALUE"""),45872.0)</f>
        <v>45872</v>
      </c>
      <c r="CJ44" s="179">
        <f>IFERROR(__xludf.DUMMYFUNCTION("""COMPUTED_VALUE"""),0.0)</f>
        <v>0</v>
      </c>
      <c r="CK44" s="180">
        <f>IFERROR(__xludf.DUMMYFUNCTION("""COMPUTED_VALUE"""),45903.0)</f>
        <v>45903</v>
      </c>
      <c r="CL44" s="179">
        <f>IFERROR(__xludf.DUMMYFUNCTION("""COMPUTED_VALUE"""),0.0)</f>
        <v>0</v>
      </c>
      <c r="CM44" s="180">
        <f>IFERROR(__xludf.DUMMYFUNCTION("""COMPUTED_VALUE"""),45692.0)</f>
        <v>45692</v>
      </c>
      <c r="CN44" s="179">
        <f>IFERROR(__xludf.DUMMYFUNCTION("""COMPUTED_VALUE"""),0.0)</f>
        <v>0</v>
      </c>
      <c r="CO44" s="180">
        <f>IFERROR(__xludf.DUMMYFUNCTION("""COMPUTED_VALUE"""),45661.0)</f>
        <v>45661</v>
      </c>
      <c r="CP44" s="179">
        <f>IFERROR(__xludf.DUMMYFUNCTION("""COMPUTED_VALUE"""),0.0)</f>
        <v>0</v>
      </c>
      <c r="CQ44" s="180">
        <f>IFERROR(__xludf.DUMMYFUNCTION("""COMPUTED_VALUE"""),45780.0)</f>
        <v>45780</v>
      </c>
      <c r="CR44" s="179">
        <f>IFERROR(__xludf.DUMMYFUNCTION("""COMPUTED_VALUE"""),0.0)</f>
        <v>0</v>
      </c>
      <c r="CS44" s="180">
        <f>IFERROR(__xludf.DUMMYFUNCTION("""COMPUTED_VALUE"""),45661.0)</f>
        <v>45661</v>
      </c>
      <c r="CT44" s="179">
        <f>IFERROR(__xludf.DUMMYFUNCTION("""COMPUTED_VALUE"""),0.0)</f>
        <v>0</v>
      </c>
      <c r="CU44" s="180">
        <f>IFERROR(__xludf.DUMMYFUNCTION("""COMPUTED_VALUE"""),45720.0)</f>
        <v>45720</v>
      </c>
      <c r="CV44" s="179">
        <f>IFERROR(__xludf.DUMMYFUNCTION("""COMPUTED_VALUE"""),0.0)</f>
        <v>0</v>
      </c>
      <c r="CW44" s="180">
        <f>IFERROR(__xludf.DUMMYFUNCTION("""COMPUTED_VALUE"""),45719.0)</f>
        <v>45719</v>
      </c>
      <c r="CX44" s="179">
        <f>IFERROR(__xludf.DUMMYFUNCTION("""COMPUTED_VALUE"""),0.0)</f>
        <v>0</v>
      </c>
      <c r="CY44" s="182">
        <f>IFERROR(__xludf.DUMMYFUNCTION("""COMPUTED_VALUE"""),45720.0)</f>
        <v>45720</v>
      </c>
      <c r="CZ44" s="179">
        <f>IFERROR(__xludf.DUMMYFUNCTION("""COMPUTED_VALUE"""),0.0)</f>
        <v>0</v>
      </c>
      <c r="DA44" s="180">
        <f>IFERROR(__xludf.DUMMYFUNCTION("""COMPUTED_VALUE"""),45692.0)</f>
        <v>45692</v>
      </c>
      <c r="DB44" s="179">
        <f>IFERROR(__xludf.DUMMYFUNCTION("""COMPUTED_VALUE"""),0.0)</f>
        <v>0</v>
      </c>
      <c r="DC44" s="180">
        <f>IFERROR(__xludf.DUMMYFUNCTION("""COMPUTED_VALUE"""),45903.0)</f>
        <v>45903</v>
      </c>
      <c r="DD44" s="179">
        <f>IFERROR(__xludf.DUMMYFUNCTION("""COMPUTED_VALUE"""),0.0)</f>
        <v>0</v>
      </c>
      <c r="DE44" s="180">
        <f>IFERROR(__xludf.DUMMYFUNCTION("""COMPUTED_VALUE"""),45933.0)</f>
        <v>45933</v>
      </c>
      <c r="DF44" s="179">
        <f>IFERROR(__xludf.DUMMYFUNCTION("""COMPUTED_VALUE"""),0.0)</f>
        <v>0</v>
      </c>
      <c r="DG44" s="180">
        <f>IFERROR(__xludf.DUMMYFUNCTION("""COMPUTED_VALUE"""),45720.0)</f>
        <v>45720</v>
      </c>
      <c r="DH44" s="179">
        <f>IFERROR(__xludf.DUMMYFUNCTION("""COMPUTED_VALUE"""),0.0)</f>
        <v>0</v>
      </c>
      <c r="DI44" s="180">
        <f>IFERROR(__xludf.DUMMYFUNCTION("""COMPUTED_VALUE"""),45720.0)</f>
        <v>45720</v>
      </c>
      <c r="DJ44" s="179">
        <f>IFERROR(__xludf.DUMMYFUNCTION("""COMPUTED_VALUE"""),0.0)</f>
        <v>0</v>
      </c>
      <c r="DK44" s="180">
        <f>IFERROR(__xludf.DUMMYFUNCTION("""COMPUTED_VALUE"""),45661.0)</f>
        <v>45661</v>
      </c>
      <c r="DL44" s="179">
        <f>IFERROR(__xludf.DUMMYFUNCTION("""COMPUTED_VALUE"""),0.0)</f>
        <v>0</v>
      </c>
      <c r="DM44" s="180">
        <f>IFERROR(__xludf.DUMMYFUNCTION("""COMPUTED_VALUE"""),45661.0)</f>
        <v>45661</v>
      </c>
      <c r="DN44" s="179">
        <f>IFERROR(__xludf.DUMMYFUNCTION("""COMPUTED_VALUE"""),0.0)</f>
        <v>0</v>
      </c>
      <c r="DO44" s="180">
        <f>IFERROR(__xludf.DUMMYFUNCTION("""COMPUTED_VALUE"""),45661.0)</f>
        <v>45661</v>
      </c>
      <c r="DP44" s="179">
        <f>IFERROR(__xludf.DUMMYFUNCTION("""COMPUTED_VALUE"""),0.0)</f>
        <v>0</v>
      </c>
      <c r="DQ44" s="180">
        <f>IFERROR(__xludf.DUMMYFUNCTION("""COMPUTED_VALUE"""),45841.0)</f>
        <v>45841</v>
      </c>
      <c r="DR44" s="179">
        <f>IFERROR(__xludf.DUMMYFUNCTION("""COMPUTED_VALUE"""),0.0)</f>
        <v>0</v>
      </c>
      <c r="DS44" s="182">
        <f>IFERROR(__xludf.DUMMYFUNCTION("""COMPUTED_VALUE"""),45692.0)</f>
        <v>45692</v>
      </c>
      <c r="DT44" s="179">
        <f>IFERROR(__xludf.DUMMYFUNCTION("""COMPUTED_VALUE"""),0.0)</f>
        <v>0</v>
      </c>
      <c r="DU44" s="180">
        <f>IFERROR(__xludf.DUMMYFUNCTION("""COMPUTED_VALUE"""),45661.0)</f>
        <v>45661</v>
      </c>
      <c r="DV44" s="179">
        <f>IFERROR(__xludf.DUMMYFUNCTION("""COMPUTED_VALUE"""),0.0)</f>
        <v>0</v>
      </c>
      <c r="DW44" s="180">
        <f>IFERROR(__xludf.DUMMYFUNCTION("""COMPUTED_VALUE"""),45661.0)</f>
        <v>45661</v>
      </c>
      <c r="DX44" s="179">
        <f>IFERROR(__xludf.DUMMYFUNCTION("""COMPUTED_VALUE"""),0.0)</f>
        <v>0</v>
      </c>
      <c r="DY44" s="180">
        <f>IFERROR(__xludf.DUMMYFUNCTION("""COMPUTED_VALUE"""),45692.0)</f>
        <v>45692</v>
      </c>
      <c r="DZ44" s="179">
        <f>IFERROR(__xludf.DUMMYFUNCTION("""COMPUTED_VALUE"""),0.0)</f>
        <v>0</v>
      </c>
      <c r="EA44" s="180">
        <f>IFERROR(__xludf.DUMMYFUNCTION("""COMPUTED_VALUE"""),45720.0)</f>
        <v>45720</v>
      </c>
      <c r="EB44" s="179">
        <f>IFERROR(__xludf.DUMMYFUNCTION("""COMPUTED_VALUE"""),0.0)</f>
        <v>0</v>
      </c>
      <c r="EC44" s="180">
        <f>IFERROR(__xludf.DUMMYFUNCTION("""COMPUTED_VALUE"""),45692.0)</f>
        <v>45692</v>
      </c>
      <c r="ED44" s="179">
        <f>IFERROR(__xludf.DUMMYFUNCTION("""COMPUTED_VALUE"""),0.0)</f>
        <v>0</v>
      </c>
      <c r="EE44" s="180">
        <f>IFERROR(__xludf.DUMMYFUNCTION("""COMPUTED_VALUE"""),45903.0)</f>
        <v>45903</v>
      </c>
      <c r="EF44" s="179">
        <f>IFERROR(__xludf.DUMMYFUNCTION("""COMPUTED_VALUE"""),0.0)</f>
        <v>0</v>
      </c>
      <c r="EG44" s="180">
        <f>IFERROR(__xludf.DUMMYFUNCTION("""COMPUTED_VALUE"""),45692.0)</f>
        <v>45692</v>
      </c>
      <c r="EH44" s="179">
        <f>IFERROR(__xludf.DUMMYFUNCTION("""COMPUTED_VALUE"""),0.0)</f>
        <v>0</v>
      </c>
      <c r="EI44" s="180">
        <f>IFERROR(__xludf.DUMMYFUNCTION("""COMPUTED_VALUE"""),45692.0)</f>
        <v>45692</v>
      </c>
      <c r="EJ44" s="179">
        <f>IFERROR(__xludf.DUMMYFUNCTION("""COMPUTED_VALUE"""),0.0)</f>
        <v>0</v>
      </c>
      <c r="EK44" s="180">
        <f>IFERROR(__xludf.DUMMYFUNCTION("""COMPUTED_VALUE"""),45933.0)</f>
        <v>45933</v>
      </c>
      <c r="EL44" s="179">
        <f>IFERROR(__xludf.DUMMYFUNCTION("""COMPUTED_VALUE"""),0.0)</f>
        <v>0</v>
      </c>
      <c r="EM44" s="182">
        <f>IFERROR(__xludf.DUMMYFUNCTION("""COMPUTED_VALUE"""),45903.0)</f>
        <v>45903</v>
      </c>
      <c r="EN44" s="179">
        <f>IFERROR(__xludf.DUMMYFUNCTION("""COMPUTED_VALUE"""),0.0)</f>
        <v>0</v>
      </c>
      <c r="EO44" s="180">
        <f>IFERROR(__xludf.DUMMYFUNCTION("""COMPUTED_VALUE"""),45692.0)</f>
        <v>45692</v>
      </c>
      <c r="EP44" s="179">
        <f>IFERROR(__xludf.DUMMYFUNCTION("""COMPUTED_VALUE"""),0.0)</f>
        <v>0</v>
      </c>
      <c r="EQ44" s="180">
        <f>IFERROR(__xludf.DUMMYFUNCTION("""COMPUTED_VALUE"""),45692.0)</f>
        <v>45692</v>
      </c>
      <c r="ER44" s="179">
        <f>IFERROR(__xludf.DUMMYFUNCTION("""COMPUTED_VALUE"""),0.0)</f>
        <v>0</v>
      </c>
      <c r="ES44" s="180">
        <f>IFERROR(__xludf.DUMMYFUNCTION("""COMPUTED_VALUE"""),45720.0)</f>
        <v>45720</v>
      </c>
      <c r="ET44" s="179">
        <f>IFERROR(__xludf.DUMMYFUNCTION("""COMPUTED_VALUE"""),0.0)</f>
        <v>0</v>
      </c>
      <c r="EU44" s="180">
        <f>IFERROR(__xludf.DUMMYFUNCTION("""COMPUTED_VALUE"""),45692.0)</f>
        <v>45692</v>
      </c>
      <c r="EV44" s="179">
        <f>IFERROR(__xludf.DUMMYFUNCTION("""COMPUTED_VALUE"""),0.0)</f>
        <v>0</v>
      </c>
      <c r="EW44" s="180">
        <f>IFERROR(__xludf.DUMMYFUNCTION("""COMPUTED_VALUE"""),45720.0)</f>
        <v>45720</v>
      </c>
      <c r="EX44" s="179">
        <f>IFERROR(__xludf.DUMMYFUNCTION("""COMPUTED_VALUE"""),0.0)</f>
        <v>0</v>
      </c>
      <c r="EY44" s="180">
        <f>IFERROR(__xludf.DUMMYFUNCTION("""COMPUTED_VALUE"""),45720.0)</f>
        <v>45720</v>
      </c>
      <c r="EZ44" s="179">
        <f>IFERROR(__xludf.DUMMYFUNCTION("""COMPUTED_VALUE"""),0.0)</f>
        <v>0</v>
      </c>
      <c r="FA44" s="180">
        <f>IFERROR(__xludf.DUMMYFUNCTION("""COMPUTED_VALUE"""),45692.0)</f>
        <v>45692</v>
      </c>
      <c r="FB44" s="179">
        <f>IFERROR(__xludf.DUMMYFUNCTION("""COMPUTED_VALUE"""),0.0)</f>
        <v>0</v>
      </c>
      <c r="FC44" s="180">
        <f>IFERROR(__xludf.DUMMYFUNCTION("""COMPUTED_VALUE"""),45720.0)</f>
        <v>45720</v>
      </c>
      <c r="FD44" s="179">
        <f>IFERROR(__xludf.DUMMYFUNCTION("""COMPUTED_VALUE"""),0.0)</f>
        <v>0</v>
      </c>
      <c r="FE44" s="180">
        <f>IFERROR(__xludf.DUMMYFUNCTION("""COMPUTED_VALUE"""),45903.0)</f>
        <v>45903</v>
      </c>
      <c r="FF44" s="179">
        <f>IFERROR(__xludf.DUMMYFUNCTION("""COMPUTED_VALUE"""),0.0)</f>
        <v>0</v>
      </c>
      <c r="FG44" s="182">
        <f>IFERROR(__xludf.DUMMYFUNCTION("""COMPUTED_VALUE"""),45903.0)</f>
        <v>45903</v>
      </c>
      <c r="FH44" s="179">
        <f>IFERROR(__xludf.DUMMYFUNCTION("""COMPUTED_VALUE"""),0.0)</f>
        <v>0</v>
      </c>
      <c r="FI44" s="180">
        <f>IFERROR(__xludf.DUMMYFUNCTION("""COMPUTED_VALUE"""),45903.0)</f>
        <v>45903</v>
      </c>
      <c r="FJ44" s="179">
        <f>IFERROR(__xludf.DUMMYFUNCTION("""COMPUTED_VALUE"""),0.0)</f>
        <v>0</v>
      </c>
      <c r="FK44" s="180">
        <f>IFERROR(__xludf.DUMMYFUNCTION("""COMPUTED_VALUE"""),45780.0)</f>
        <v>45780</v>
      </c>
      <c r="FL44" s="179">
        <f>IFERROR(__xludf.DUMMYFUNCTION("""COMPUTED_VALUE"""),0.0)</f>
        <v>0</v>
      </c>
      <c r="FM44" s="180">
        <f>IFERROR(__xludf.DUMMYFUNCTION("""COMPUTED_VALUE"""),45720.0)</f>
        <v>45720</v>
      </c>
      <c r="FN44" s="179">
        <f>IFERROR(__xludf.DUMMYFUNCTION("""COMPUTED_VALUE"""),0.0)</f>
        <v>0</v>
      </c>
      <c r="FO44" s="180">
        <f>IFERROR(__xludf.DUMMYFUNCTION("""COMPUTED_VALUE"""),45720.0)</f>
        <v>45720</v>
      </c>
      <c r="FP44" s="179">
        <f>IFERROR(__xludf.DUMMYFUNCTION("""COMPUTED_VALUE"""),0.0)</f>
        <v>0</v>
      </c>
      <c r="FQ44" s="180">
        <f>IFERROR(__xludf.DUMMYFUNCTION("""COMPUTED_VALUE"""),45720.0)</f>
        <v>45720</v>
      </c>
      <c r="FR44" s="179">
        <f>IFERROR(__xludf.DUMMYFUNCTION("""COMPUTED_VALUE"""),0.0)</f>
        <v>0</v>
      </c>
      <c r="FS44" s="180">
        <f>IFERROR(__xludf.DUMMYFUNCTION("""COMPUTED_VALUE"""),45903.0)</f>
        <v>45903</v>
      </c>
      <c r="FT44" s="179">
        <f>IFERROR(__xludf.DUMMYFUNCTION("""COMPUTED_VALUE"""),0.0)</f>
        <v>0</v>
      </c>
      <c r="FU44" s="180">
        <f>IFERROR(__xludf.DUMMYFUNCTION("""COMPUTED_VALUE"""),45720.0)</f>
        <v>45720</v>
      </c>
      <c r="FV44" s="179">
        <f>IFERROR(__xludf.DUMMYFUNCTION("""COMPUTED_VALUE"""),0.0)</f>
        <v>0</v>
      </c>
      <c r="FW44" s="180">
        <f>IFERROR(__xludf.DUMMYFUNCTION("""COMPUTED_VALUE"""),45720.0)</f>
        <v>45720</v>
      </c>
      <c r="FX44" s="179">
        <f>IFERROR(__xludf.DUMMYFUNCTION("""COMPUTED_VALUE"""),0.0)</f>
        <v>0</v>
      </c>
      <c r="FY44" s="180">
        <f>IFERROR(__xludf.DUMMYFUNCTION("""COMPUTED_VALUE"""),45780.0)</f>
        <v>45780</v>
      </c>
      <c r="FZ44" s="179">
        <f>IFERROR(__xludf.DUMMYFUNCTION("""COMPUTED_VALUE"""),0.0)</f>
        <v>0</v>
      </c>
      <c r="GA44" s="182">
        <f>IFERROR(__xludf.DUMMYFUNCTION("""COMPUTED_VALUE"""),45720.0)</f>
        <v>45720</v>
      </c>
      <c r="GB44" s="179">
        <f>IFERROR(__xludf.DUMMYFUNCTION("""COMPUTED_VALUE"""),0.0)</f>
        <v>0</v>
      </c>
      <c r="GC44" s="180">
        <f>IFERROR(__xludf.DUMMYFUNCTION("""COMPUTED_VALUE"""),45933.0)</f>
        <v>45933</v>
      </c>
      <c r="GD44" s="179">
        <f>IFERROR(__xludf.DUMMYFUNCTION("""COMPUTED_VALUE"""),0.0)</f>
        <v>0</v>
      </c>
      <c r="GE44" s="180">
        <f>IFERROR(__xludf.DUMMYFUNCTION("""COMPUTED_VALUE"""),45933.0)</f>
        <v>45933</v>
      </c>
      <c r="GF44" s="179">
        <f>IFERROR(__xludf.DUMMYFUNCTION("""COMPUTED_VALUE"""),0.0)</f>
        <v>0</v>
      </c>
      <c r="GG44" s="180">
        <f>IFERROR(__xludf.DUMMYFUNCTION("""COMPUTED_VALUE"""),45661.0)</f>
        <v>45661</v>
      </c>
      <c r="GH44" s="179">
        <f>IFERROR(__xludf.DUMMYFUNCTION("""COMPUTED_VALUE"""),0.0)</f>
        <v>0</v>
      </c>
      <c r="GI44" s="180">
        <f>IFERROR(__xludf.DUMMYFUNCTION("""COMPUTED_VALUE"""),45720.0)</f>
        <v>45720</v>
      </c>
      <c r="GJ44" s="179">
        <f>IFERROR(__xludf.DUMMYFUNCTION("""COMPUTED_VALUE"""),0.0)</f>
        <v>0</v>
      </c>
      <c r="GK44" s="180">
        <f>IFERROR(__xludf.DUMMYFUNCTION("""COMPUTED_VALUE"""),45720.0)</f>
        <v>45720</v>
      </c>
      <c r="GL44" s="179">
        <f>IFERROR(__xludf.DUMMYFUNCTION("""COMPUTED_VALUE"""),0.0)</f>
        <v>0</v>
      </c>
      <c r="GM44" s="180">
        <f>IFERROR(__xludf.DUMMYFUNCTION("""COMPUTED_VALUE"""),45841.0)</f>
        <v>45841</v>
      </c>
      <c r="GN44" s="179">
        <f>IFERROR(__xludf.DUMMYFUNCTION("""COMPUTED_VALUE"""),0.0)</f>
        <v>0</v>
      </c>
      <c r="GO44" s="180">
        <f>IFERROR(__xludf.DUMMYFUNCTION("""COMPUTED_VALUE"""),45720.0)</f>
        <v>45720</v>
      </c>
      <c r="GP44" s="179">
        <f>IFERROR(__xludf.DUMMYFUNCTION("""COMPUTED_VALUE"""),0.0)</f>
        <v>0</v>
      </c>
      <c r="GQ44" s="180">
        <f>IFERROR(__xludf.DUMMYFUNCTION("""COMPUTED_VALUE"""),45692.0)</f>
        <v>45692</v>
      </c>
      <c r="GR44" s="179">
        <f>IFERROR(__xludf.DUMMYFUNCTION("""COMPUTED_VALUE"""),0.0)</f>
        <v>0</v>
      </c>
      <c r="GS44" s="180">
        <f>IFERROR(__xludf.DUMMYFUNCTION("""COMPUTED_VALUE"""),45811.0)</f>
        <v>45811</v>
      </c>
      <c r="GT44" s="179">
        <f>IFERROR(__xludf.DUMMYFUNCTION("""COMPUTED_VALUE"""),0.0)</f>
        <v>0</v>
      </c>
    </row>
    <row r="45" ht="31.5" customHeight="1">
      <c r="B45" s="183"/>
      <c r="C45" s="178">
        <f>IFERROR(__xludf.DUMMYFUNCTION("""COMPUTED_VALUE"""),45904.0)</f>
        <v>45904</v>
      </c>
      <c r="D45" s="179">
        <f>IFERROR(__xludf.DUMMYFUNCTION("""COMPUTED_VALUE"""),0.0)</f>
        <v>0</v>
      </c>
      <c r="E45" s="180">
        <f>IFERROR(__xludf.DUMMYFUNCTION("""COMPUTED_VALUE"""),45934.0)</f>
        <v>45934</v>
      </c>
      <c r="F45" s="179">
        <f>IFERROR(__xludf.DUMMYFUNCTION("""COMPUTED_VALUE"""),0.0)</f>
        <v>0</v>
      </c>
      <c r="G45" s="180">
        <f>IFERROR(__xludf.DUMMYFUNCTION("""COMPUTED_VALUE"""),45934.0)</f>
        <v>45934</v>
      </c>
      <c r="H45" s="179">
        <f>IFERROR(__xludf.DUMMYFUNCTION("""COMPUTED_VALUE"""),0.0)</f>
        <v>0</v>
      </c>
      <c r="I45" s="180">
        <f>IFERROR(__xludf.DUMMYFUNCTION("""COMPUTED_VALUE"""),45693.0)</f>
        <v>45693</v>
      </c>
      <c r="J45" s="179">
        <f>IFERROR(__xludf.DUMMYFUNCTION("""COMPUTED_VALUE"""),0.0)</f>
        <v>0</v>
      </c>
      <c r="K45" s="180">
        <f>IFERROR(__xludf.DUMMYFUNCTION("""COMPUTED_VALUE"""),45842.0)</f>
        <v>45842</v>
      </c>
      <c r="L45" s="179">
        <f>IFERROR(__xludf.DUMMYFUNCTION("""COMPUTED_VALUE"""),0.0)</f>
        <v>0</v>
      </c>
      <c r="M45" s="180">
        <f>IFERROR(__xludf.DUMMYFUNCTION("""COMPUTED_VALUE"""),45904.0)</f>
        <v>45904</v>
      </c>
      <c r="N45" s="179">
        <f>IFERROR(__xludf.DUMMYFUNCTION("""COMPUTED_VALUE"""),0.0)</f>
        <v>0</v>
      </c>
      <c r="O45" s="180">
        <f>IFERROR(__xludf.DUMMYFUNCTION("""COMPUTED_VALUE"""),45781.0)</f>
        <v>45781</v>
      </c>
      <c r="P45" s="179">
        <f>IFERROR(__xludf.DUMMYFUNCTION("""COMPUTED_VALUE"""),0.0)</f>
        <v>0</v>
      </c>
      <c r="Q45" s="180">
        <f>IFERROR(__xludf.DUMMYFUNCTION("""COMPUTED_VALUE"""),45781.0)</f>
        <v>45781</v>
      </c>
      <c r="R45" s="179">
        <f>IFERROR(__xludf.DUMMYFUNCTION("""COMPUTED_VALUE"""),0.0)</f>
        <v>0</v>
      </c>
      <c r="S45" s="180">
        <f>IFERROR(__xludf.DUMMYFUNCTION("""COMPUTED_VALUE"""),45662.0)</f>
        <v>45662</v>
      </c>
      <c r="T45" s="179">
        <f>IFERROR(__xludf.DUMMYFUNCTION("""COMPUTED_VALUE"""),0.0)</f>
        <v>0</v>
      </c>
      <c r="U45" s="180">
        <f>IFERROR(__xludf.DUMMYFUNCTION("""COMPUTED_VALUE"""),45751.0)</f>
        <v>45751</v>
      </c>
      <c r="V45" s="181">
        <f>IFERROR(__xludf.DUMMYFUNCTION("""COMPUTED_VALUE"""),0.0)</f>
        <v>0</v>
      </c>
      <c r="W45" s="178">
        <f>IFERROR(__xludf.DUMMYFUNCTION("""COMPUTED_VALUE"""),45693.0)</f>
        <v>45693</v>
      </c>
      <c r="X45" s="179">
        <f>IFERROR(__xludf.DUMMYFUNCTION("""COMPUTED_VALUE"""),0.0)</f>
        <v>0</v>
      </c>
      <c r="Y45" s="180">
        <f>IFERROR(__xludf.DUMMYFUNCTION("""COMPUTED_VALUE"""),45812.0)</f>
        <v>45812</v>
      </c>
      <c r="Z45" s="179">
        <f>IFERROR(__xludf.DUMMYFUNCTION("""COMPUTED_VALUE"""),0.0)</f>
        <v>0</v>
      </c>
      <c r="AA45" s="180">
        <f>IFERROR(__xludf.DUMMYFUNCTION("""COMPUTED_VALUE"""),45662.0)</f>
        <v>45662</v>
      </c>
      <c r="AB45" s="179">
        <f>IFERROR(__xludf.DUMMYFUNCTION("""COMPUTED_VALUE"""),0.0)</f>
        <v>0</v>
      </c>
      <c r="AC45" s="180">
        <f>IFERROR(__xludf.DUMMYFUNCTION("""COMPUTED_VALUE"""),45751.0)</f>
        <v>45751</v>
      </c>
      <c r="AD45" s="179">
        <f>IFERROR(__xludf.DUMMYFUNCTION("""COMPUTED_VALUE"""),0.0)</f>
        <v>0</v>
      </c>
      <c r="AE45" s="180">
        <f>IFERROR(__xludf.DUMMYFUNCTION("""COMPUTED_VALUE"""),45842.0)</f>
        <v>45842</v>
      </c>
      <c r="AF45" s="179">
        <f>IFERROR(__xludf.DUMMYFUNCTION("""COMPUTED_VALUE"""),0.0)</f>
        <v>0</v>
      </c>
      <c r="AG45" s="180">
        <f>IFERROR(__xludf.DUMMYFUNCTION("""COMPUTED_VALUE"""),45693.0)</f>
        <v>45693</v>
      </c>
      <c r="AH45" s="179">
        <f>IFERROR(__xludf.DUMMYFUNCTION("""COMPUTED_VALUE"""),0.0)</f>
        <v>0</v>
      </c>
      <c r="AI45" s="180">
        <f>IFERROR(__xludf.DUMMYFUNCTION("""COMPUTED_VALUE"""),45751.0)</f>
        <v>45751</v>
      </c>
      <c r="AJ45" s="179">
        <f>IFERROR(__xludf.DUMMYFUNCTION("""COMPUTED_VALUE"""),0.0)</f>
        <v>0</v>
      </c>
      <c r="AK45" s="180">
        <f>IFERROR(__xludf.DUMMYFUNCTION("""COMPUTED_VALUE"""),45934.0)</f>
        <v>45934</v>
      </c>
      <c r="AL45" s="179">
        <f>IFERROR(__xludf.DUMMYFUNCTION("""COMPUTED_VALUE"""),0.0)</f>
        <v>0</v>
      </c>
      <c r="AM45" s="180">
        <f>IFERROR(__xludf.DUMMYFUNCTION("""COMPUTED_VALUE"""),45693.0)</f>
        <v>45693</v>
      </c>
      <c r="AN45" s="179">
        <f>IFERROR(__xludf.DUMMYFUNCTION("""COMPUTED_VALUE"""),0.0)</f>
        <v>0</v>
      </c>
      <c r="AO45" s="180">
        <f>IFERROR(__xludf.DUMMYFUNCTION("""COMPUTED_VALUE"""),45873.0)</f>
        <v>45873</v>
      </c>
      <c r="AP45" s="181">
        <f>IFERROR(__xludf.DUMMYFUNCTION("""COMPUTED_VALUE"""),0.0)</f>
        <v>0</v>
      </c>
      <c r="AQ45" s="178">
        <f>IFERROR(__xludf.DUMMYFUNCTION("""COMPUTED_VALUE"""),45721.0)</f>
        <v>45721</v>
      </c>
      <c r="AR45" s="179">
        <f>IFERROR(__xludf.DUMMYFUNCTION("""COMPUTED_VALUE"""),0.0)</f>
        <v>0</v>
      </c>
      <c r="AS45" s="180">
        <f>IFERROR(__xludf.DUMMYFUNCTION("""COMPUTED_VALUE"""),45721.0)</f>
        <v>45721</v>
      </c>
      <c r="AT45" s="179">
        <f>IFERROR(__xludf.DUMMYFUNCTION("""COMPUTED_VALUE"""),0.0)</f>
        <v>0</v>
      </c>
      <c r="AU45" s="180">
        <f>IFERROR(__xludf.DUMMYFUNCTION("""COMPUTED_VALUE"""),45693.0)</f>
        <v>45693</v>
      </c>
      <c r="AV45" s="179">
        <f>IFERROR(__xludf.DUMMYFUNCTION("""COMPUTED_VALUE"""),0.0)</f>
        <v>0</v>
      </c>
      <c r="AW45" s="180">
        <f>IFERROR(__xludf.DUMMYFUNCTION("""COMPUTED_VALUE"""),45693.0)</f>
        <v>45693</v>
      </c>
      <c r="AX45" s="179">
        <f>IFERROR(__xludf.DUMMYFUNCTION("""COMPUTED_VALUE"""),0.0)</f>
        <v>0</v>
      </c>
      <c r="AY45" s="180">
        <f>IFERROR(__xludf.DUMMYFUNCTION("""COMPUTED_VALUE"""),45721.0)</f>
        <v>45721</v>
      </c>
      <c r="AZ45" s="179">
        <f>IFERROR(__xludf.DUMMYFUNCTION("""COMPUTED_VALUE"""),0.0)</f>
        <v>0</v>
      </c>
      <c r="BA45" s="180">
        <f>IFERROR(__xludf.DUMMYFUNCTION("""COMPUTED_VALUE"""),45721.0)</f>
        <v>45721</v>
      </c>
      <c r="BB45" s="179">
        <f>IFERROR(__xludf.DUMMYFUNCTION("""COMPUTED_VALUE"""),0.0)</f>
        <v>0</v>
      </c>
      <c r="BC45" s="180">
        <f>IFERROR(__xludf.DUMMYFUNCTION("""COMPUTED_VALUE"""),45693.0)</f>
        <v>45693</v>
      </c>
      <c r="BD45" s="179">
        <f>IFERROR(__xludf.DUMMYFUNCTION("""COMPUTED_VALUE"""),0.0)</f>
        <v>0</v>
      </c>
      <c r="BE45" s="180">
        <f>IFERROR(__xludf.DUMMYFUNCTION("""COMPUTED_VALUE"""),45721.0)</f>
        <v>45721</v>
      </c>
      <c r="BF45" s="179">
        <f>IFERROR(__xludf.DUMMYFUNCTION("""COMPUTED_VALUE"""),0.0)</f>
        <v>0</v>
      </c>
      <c r="BG45" s="180">
        <f>IFERROR(__xludf.DUMMYFUNCTION("""COMPUTED_VALUE"""),45693.0)</f>
        <v>45693</v>
      </c>
      <c r="BH45" s="179">
        <f>IFERROR(__xludf.DUMMYFUNCTION("""COMPUTED_VALUE"""),0.0)</f>
        <v>0</v>
      </c>
      <c r="BI45" s="180">
        <f>IFERROR(__xludf.DUMMYFUNCTION("""COMPUTED_VALUE"""),45721.0)</f>
        <v>45721</v>
      </c>
      <c r="BJ45" s="179">
        <f>IFERROR(__xludf.DUMMYFUNCTION("""COMPUTED_VALUE"""),0.0)</f>
        <v>0</v>
      </c>
      <c r="BK45" s="182">
        <f>IFERROR(__xludf.DUMMYFUNCTION("""COMPUTED_VALUE"""),45662.0)</f>
        <v>45662</v>
      </c>
      <c r="BL45" s="179">
        <f>IFERROR(__xludf.DUMMYFUNCTION("""COMPUTED_VALUE"""),0.0)</f>
        <v>0</v>
      </c>
      <c r="BM45" s="180">
        <f>IFERROR(__xludf.DUMMYFUNCTION("""COMPUTED_VALUE"""),45721.0)</f>
        <v>45721</v>
      </c>
      <c r="BN45" s="179">
        <f>IFERROR(__xludf.DUMMYFUNCTION("""COMPUTED_VALUE"""),0.0)</f>
        <v>0</v>
      </c>
      <c r="BO45" s="180">
        <f>IFERROR(__xludf.DUMMYFUNCTION("""COMPUTED_VALUE"""),45693.0)</f>
        <v>45693</v>
      </c>
      <c r="BP45" s="179">
        <f>IFERROR(__xludf.DUMMYFUNCTION("""COMPUTED_VALUE"""),0.0)</f>
        <v>0</v>
      </c>
      <c r="BQ45" s="180">
        <f>IFERROR(__xludf.DUMMYFUNCTION("""COMPUTED_VALUE"""),45662.0)</f>
        <v>45662</v>
      </c>
      <c r="BR45" s="179">
        <f>IFERROR(__xludf.DUMMYFUNCTION("""COMPUTED_VALUE"""),0.0)</f>
        <v>0</v>
      </c>
      <c r="BS45" s="180">
        <f>IFERROR(__xludf.DUMMYFUNCTION("""COMPUTED_VALUE"""),45721.0)</f>
        <v>45721</v>
      </c>
      <c r="BT45" s="179">
        <f>IFERROR(__xludf.DUMMYFUNCTION("""COMPUTED_VALUE"""),0.0)</f>
        <v>0</v>
      </c>
      <c r="BU45" s="180">
        <f>IFERROR(__xludf.DUMMYFUNCTION("""COMPUTED_VALUE"""),45693.0)</f>
        <v>45693</v>
      </c>
      <c r="BV45" s="179">
        <f>IFERROR(__xludf.DUMMYFUNCTION("""COMPUTED_VALUE"""),0.0)</f>
        <v>0</v>
      </c>
      <c r="BW45" s="180">
        <f>IFERROR(__xludf.DUMMYFUNCTION("""COMPUTED_VALUE"""),45872.0)</f>
        <v>45872</v>
      </c>
      <c r="BX45" s="179">
        <f>IFERROR(__xludf.DUMMYFUNCTION("""COMPUTED_VALUE"""),0.0)</f>
        <v>0</v>
      </c>
      <c r="BY45" s="180">
        <f>IFERROR(__xludf.DUMMYFUNCTION("""COMPUTED_VALUE"""),45662.0)</f>
        <v>45662</v>
      </c>
      <c r="BZ45" s="179">
        <f>IFERROR(__xludf.DUMMYFUNCTION("""COMPUTED_VALUE"""),0.0)</f>
        <v>0</v>
      </c>
      <c r="CA45" s="180">
        <f>IFERROR(__xludf.DUMMYFUNCTION("""COMPUTED_VALUE"""),45721.0)</f>
        <v>45721</v>
      </c>
      <c r="CB45" s="179">
        <f>IFERROR(__xludf.DUMMYFUNCTION("""COMPUTED_VALUE"""),0.0)</f>
        <v>0</v>
      </c>
      <c r="CC45" s="180">
        <f>IFERROR(__xludf.DUMMYFUNCTION("""COMPUTED_VALUE"""),45934.0)</f>
        <v>45934</v>
      </c>
      <c r="CD45" s="179">
        <f>IFERROR(__xludf.DUMMYFUNCTION("""COMPUTED_VALUE"""),0.0)</f>
        <v>0</v>
      </c>
      <c r="CE45" s="182">
        <f>IFERROR(__xludf.DUMMYFUNCTION("""COMPUTED_VALUE"""),45751.0)</f>
        <v>45751</v>
      </c>
      <c r="CF45" s="179">
        <f>IFERROR(__xludf.DUMMYFUNCTION("""COMPUTED_VALUE"""),0.0)</f>
        <v>0</v>
      </c>
      <c r="CG45" s="180">
        <f>IFERROR(__xludf.DUMMYFUNCTION("""COMPUTED_VALUE"""),45872.0)</f>
        <v>45872</v>
      </c>
      <c r="CH45" s="179">
        <f>IFERROR(__xludf.DUMMYFUNCTION("""COMPUTED_VALUE"""),0.0)</f>
        <v>0</v>
      </c>
      <c r="CI45" s="180">
        <f>IFERROR(__xludf.DUMMYFUNCTION("""COMPUTED_VALUE"""),45903.0)</f>
        <v>45903</v>
      </c>
      <c r="CJ45" s="179">
        <f>IFERROR(__xludf.DUMMYFUNCTION("""COMPUTED_VALUE"""),0.0)</f>
        <v>0</v>
      </c>
      <c r="CK45" s="180">
        <f>IFERROR(__xludf.DUMMYFUNCTION("""COMPUTED_VALUE"""),45933.0)</f>
        <v>45933</v>
      </c>
      <c r="CL45" s="179">
        <f>IFERROR(__xludf.DUMMYFUNCTION("""COMPUTED_VALUE"""),0.0)</f>
        <v>0</v>
      </c>
      <c r="CM45" s="180">
        <f>IFERROR(__xludf.DUMMYFUNCTION("""COMPUTED_VALUE"""),45720.0)</f>
        <v>45720</v>
      </c>
      <c r="CN45" s="179">
        <f>IFERROR(__xludf.DUMMYFUNCTION("""COMPUTED_VALUE"""),0.0)</f>
        <v>0</v>
      </c>
      <c r="CO45" s="180">
        <f>IFERROR(__xludf.DUMMYFUNCTION("""COMPUTED_VALUE"""),45692.0)</f>
        <v>45692</v>
      </c>
      <c r="CP45" s="179">
        <f>IFERROR(__xludf.DUMMYFUNCTION("""COMPUTED_VALUE"""),0.0)</f>
        <v>0</v>
      </c>
      <c r="CQ45" s="180">
        <f>IFERROR(__xludf.DUMMYFUNCTION("""COMPUTED_VALUE"""),45811.0)</f>
        <v>45811</v>
      </c>
      <c r="CR45" s="179">
        <f>IFERROR(__xludf.DUMMYFUNCTION("""COMPUTED_VALUE"""),0.0)</f>
        <v>0</v>
      </c>
      <c r="CS45" s="180">
        <f>IFERROR(__xludf.DUMMYFUNCTION("""COMPUTED_VALUE"""),45692.0)</f>
        <v>45692</v>
      </c>
      <c r="CT45" s="179">
        <f>IFERROR(__xludf.DUMMYFUNCTION("""COMPUTED_VALUE"""),0.0)</f>
        <v>0</v>
      </c>
      <c r="CU45" s="180">
        <f>IFERROR(__xludf.DUMMYFUNCTION("""COMPUTED_VALUE"""),45751.0)</f>
        <v>45751</v>
      </c>
      <c r="CV45" s="179">
        <f>IFERROR(__xludf.DUMMYFUNCTION("""COMPUTED_VALUE"""),0.0)</f>
        <v>0</v>
      </c>
      <c r="CW45" s="180">
        <f>IFERROR(__xludf.DUMMYFUNCTION("""COMPUTED_VALUE"""),45750.0)</f>
        <v>45750</v>
      </c>
      <c r="CX45" s="179">
        <f>IFERROR(__xludf.DUMMYFUNCTION("""COMPUTED_VALUE"""),0.0)</f>
        <v>0</v>
      </c>
      <c r="CY45" s="182">
        <f>IFERROR(__xludf.DUMMYFUNCTION("""COMPUTED_VALUE"""),45751.0)</f>
        <v>45751</v>
      </c>
      <c r="CZ45" s="179">
        <f>IFERROR(__xludf.DUMMYFUNCTION("""COMPUTED_VALUE"""),0.0)</f>
        <v>0</v>
      </c>
      <c r="DA45" s="180">
        <f>IFERROR(__xludf.DUMMYFUNCTION("""COMPUTED_VALUE"""),45720.0)</f>
        <v>45720</v>
      </c>
      <c r="DB45" s="179">
        <f>IFERROR(__xludf.DUMMYFUNCTION("""COMPUTED_VALUE"""),0.0)</f>
        <v>0</v>
      </c>
      <c r="DC45" s="180">
        <f>IFERROR(__xludf.DUMMYFUNCTION("""COMPUTED_VALUE"""),45933.0)</f>
        <v>45933</v>
      </c>
      <c r="DD45" s="179">
        <f>IFERROR(__xludf.DUMMYFUNCTION("""COMPUTED_VALUE"""),0.0)</f>
        <v>0</v>
      </c>
      <c r="DE45" s="180">
        <f>IFERROR(__xludf.DUMMYFUNCTION("""COMPUTED_VALUE"""),45661.0)</f>
        <v>45661</v>
      </c>
      <c r="DF45" s="179">
        <f>IFERROR(__xludf.DUMMYFUNCTION("""COMPUTED_VALUE"""),0.0)</f>
        <v>0</v>
      </c>
      <c r="DG45" s="180">
        <f>IFERROR(__xludf.DUMMYFUNCTION("""COMPUTED_VALUE"""),45751.0)</f>
        <v>45751</v>
      </c>
      <c r="DH45" s="179">
        <f>IFERROR(__xludf.DUMMYFUNCTION("""COMPUTED_VALUE"""),0.0)</f>
        <v>0</v>
      </c>
      <c r="DI45" s="180">
        <f>IFERROR(__xludf.DUMMYFUNCTION("""COMPUTED_VALUE"""),45751.0)</f>
        <v>45751</v>
      </c>
      <c r="DJ45" s="179">
        <f>IFERROR(__xludf.DUMMYFUNCTION("""COMPUTED_VALUE"""),0.0)</f>
        <v>0</v>
      </c>
      <c r="DK45" s="180">
        <f>IFERROR(__xludf.DUMMYFUNCTION("""COMPUTED_VALUE"""),45692.0)</f>
        <v>45692</v>
      </c>
      <c r="DL45" s="179">
        <f>IFERROR(__xludf.DUMMYFUNCTION("""COMPUTED_VALUE"""),0.0)</f>
        <v>0</v>
      </c>
      <c r="DM45" s="180">
        <f>IFERROR(__xludf.DUMMYFUNCTION("""COMPUTED_VALUE"""),45692.0)</f>
        <v>45692</v>
      </c>
      <c r="DN45" s="179">
        <f>IFERROR(__xludf.DUMMYFUNCTION("""COMPUTED_VALUE"""),0.0)</f>
        <v>0</v>
      </c>
      <c r="DO45" s="180">
        <f>IFERROR(__xludf.DUMMYFUNCTION("""COMPUTED_VALUE"""),45692.0)</f>
        <v>45692</v>
      </c>
      <c r="DP45" s="179">
        <f>IFERROR(__xludf.DUMMYFUNCTION("""COMPUTED_VALUE"""),0.0)</f>
        <v>0</v>
      </c>
      <c r="DQ45" s="180">
        <f>IFERROR(__xludf.DUMMYFUNCTION("""COMPUTED_VALUE"""),45872.0)</f>
        <v>45872</v>
      </c>
      <c r="DR45" s="179">
        <f>IFERROR(__xludf.DUMMYFUNCTION("""COMPUTED_VALUE"""),0.0)</f>
        <v>0</v>
      </c>
      <c r="DS45" s="182">
        <f>IFERROR(__xludf.DUMMYFUNCTION("""COMPUTED_VALUE"""),45720.0)</f>
        <v>45720</v>
      </c>
      <c r="DT45" s="179">
        <f>IFERROR(__xludf.DUMMYFUNCTION("""COMPUTED_VALUE"""),0.0)</f>
        <v>0</v>
      </c>
      <c r="DU45" s="180">
        <f>IFERROR(__xludf.DUMMYFUNCTION("""COMPUTED_VALUE"""),45692.0)</f>
        <v>45692</v>
      </c>
      <c r="DV45" s="179">
        <f>IFERROR(__xludf.DUMMYFUNCTION("""COMPUTED_VALUE"""),0.0)</f>
        <v>0</v>
      </c>
      <c r="DW45" s="180">
        <f>IFERROR(__xludf.DUMMYFUNCTION("""COMPUTED_VALUE"""),45692.0)</f>
        <v>45692</v>
      </c>
      <c r="DX45" s="179">
        <f>IFERROR(__xludf.DUMMYFUNCTION("""COMPUTED_VALUE"""),0.0)</f>
        <v>0</v>
      </c>
      <c r="DY45" s="180">
        <f>IFERROR(__xludf.DUMMYFUNCTION("""COMPUTED_VALUE"""),45720.0)</f>
        <v>45720</v>
      </c>
      <c r="DZ45" s="179">
        <f>IFERROR(__xludf.DUMMYFUNCTION("""COMPUTED_VALUE"""),0.0)</f>
        <v>0</v>
      </c>
      <c r="EA45" s="180">
        <f>IFERROR(__xludf.DUMMYFUNCTION("""COMPUTED_VALUE"""),45751.0)</f>
        <v>45751</v>
      </c>
      <c r="EB45" s="179">
        <f>IFERROR(__xludf.DUMMYFUNCTION("""COMPUTED_VALUE"""),0.0)</f>
        <v>0</v>
      </c>
      <c r="EC45" s="180">
        <f>IFERROR(__xludf.DUMMYFUNCTION("""COMPUTED_VALUE"""),45720.0)</f>
        <v>45720</v>
      </c>
      <c r="ED45" s="179">
        <f>IFERROR(__xludf.DUMMYFUNCTION("""COMPUTED_VALUE"""),0.0)</f>
        <v>0</v>
      </c>
      <c r="EE45" s="180">
        <f>IFERROR(__xludf.DUMMYFUNCTION("""COMPUTED_VALUE"""),45933.0)</f>
        <v>45933</v>
      </c>
      <c r="EF45" s="179">
        <f>IFERROR(__xludf.DUMMYFUNCTION("""COMPUTED_VALUE"""),0.0)</f>
        <v>0</v>
      </c>
      <c r="EG45" s="180">
        <f>IFERROR(__xludf.DUMMYFUNCTION("""COMPUTED_VALUE"""),45720.0)</f>
        <v>45720</v>
      </c>
      <c r="EH45" s="179">
        <f>IFERROR(__xludf.DUMMYFUNCTION("""COMPUTED_VALUE"""),0.0)</f>
        <v>0</v>
      </c>
      <c r="EI45" s="180">
        <f>IFERROR(__xludf.DUMMYFUNCTION("""COMPUTED_VALUE"""),45720.0)</f>
        <v>45720</v>
      </c>
      <c r="EJ45" s="179">
        <f>IFERROR(__xludf.DUMMYFUNCTION("""COMPUTED_VALUE"""),0.0)</f>
        <v>0</v>
      </c>
      <c r="EK45" s="180">
        <f>IFERROR(__xludf.DUMMYFUNCTION("""COMPUTED_VALUE"""),45661.0)</f>
        <v>45661</v>
      </c>
      <c r="EL45" s="179">
        <f>IFERROR(__xludf.DUMMYFUNCTION("""COMPUTED_VALUE"""),0.0)</f>
        <v>0</v>
      </c>
      <c r="EM45" s="182">
        <f>IFERROR(__xludf.DUMMYFUNCTION("""COMPUTED_VALUE"""),45933.0)</f>
        <v>45933</v>
      </c>
      <c r="EN45" s="179">
        <f>IFERROR(__xludf.DUMMYFUNCTION("""COMPUTED_VALUE"""),0.0)</f>
        <v>0</v>
      </c>
      <c r="EO45" s="180">
        <f>IFERROR(__xludf.DUMMYFUNCTION("""COMPUTED_VALUE"""),45720.0)</f>
        <v>45720</v>
      </c>
      <c r="EP45" s="179">
        <f>IFERROR(__xludf.DUMMYFUNCTION("""COMPUTED_VALUE"""),0.0)</f>
        <v>0</v>
      </c>
      <c r="EQ45" s="180">
        <f>IFERROR(__xludf.DUMMYFUNCTION("""COMPUTED_VALUE"""),45720.0)</f>
        <v>45720</v>
      </c>
      <c r="ER45" s="179">
        <f>IFERROR(__xludf.DUMMYFUNCTION("""COMPUTED_VALUE"""),0.0)</f>
        <v>0</v>
      </c>
      <c r="ES45" s="180">
        <f>IFERROR(__xludf.DUMMYFUNCTION("""COMPUTED_VALUE"""),45751.0)</f>
        <v>45751</v>
      </c>
      <c r="ET45" s="179">
        <f>IFERROR(__xludf.DUMMYFUNCTION("""COMPUTED_VALUE"""),0.0)</f>
        <v>0</v>
      </c>
      <c r="EU45" s="180">
        <f>IFERROR(__xludf.DUMMYFUNCTION("""COMPUTED_VALUE"""),45720.0)</f>
        <v>45720</v>
      </c>
      <c r="EV45" s="179">
        <f>IFERROR(__xludf.DUMMYFUNCTION("""COMPUTED_VALUE"""),0.0)</f>
        <v>0</v>
      </c>
      <c r="EW45" s="180">
        <f>IFERROR(__xludf.DUMMYFUNCTION("""COMPUTED_VALUE"""),45751.0)</f>
        <v>45751</v>
      </c>
      <c r="EX45" s="179">
        <f>IFERROR(__xludf.DUMMYFUNCTION("""COMPUTED_VALUE"""),0.0)</f>
        <v>0</v>
      </c>
      <c r="EY45" s="180">
        <f>IFERROR(__xludf.DUMMYFUNCTION("""COMPUTED_VALUE"""),45751.0)</f>
        <v>45751</v>
      </c>
      <c r="EZ45" s="179">
        <f>IFERROR(__xludf.DUMMYFUNCTION("""COMPUTED_VALUE"""),0.0)</f>
        <v>0</v>
      </c>
      <c r="FA45" s="180">
        <f>IFERROR(__xludf.DUMMYFUNCTION("""COMPUTED_VALUE"""),45720.0)</f>
        <v>45720</v>
      </c>
      <c r="FB45" s="179">
        <f>IFERROR(__xludf.DUMMYFUNCTION("""COMPUTED_VALUE"""),0.0)</f>
        <v>0</v>
      </c>
      <c r="FC45" s="180">
        <f>IFERROR(__xludf.DUMMYFUNCTION("""COMPUTED_VALUE"""),45751.0)</f>
        <v>45751</v>
      </c>
      <c r="FD45" s="179">
        <f>IFERROR(__xludf.DUMMYFUNCTION("""COMPUTED_VALUE"""),0.0)</f>
        <v>0</v>
      </c>
      <c r="FE45" s="180">
        <f>IFERROR(__xludf.DUMMYFUNCTION("""COMPUTED_VALUE"""),45933.0)</f>
        <v>45933</v>
      </c>
      <c r="FF45" s="179">
        <f>IFERROR(__xludf.DUMMYFUNCTION("""COMPUTED_VALUE"""),0.0)</f>
        <v>0</v>
      </c>
      <c r="FG45" s="182">
        <f>IFERROR(__xludf.DUMMYFUNCTION("""COMPUTED_VALUE"""),45933.0)</f>
        <v>45933</v>
      </c>
      <c r="FH45" s="179">
        <f>IFERROR(__xludf.DUMMYFUNCTION("""COMPUTED_VALUE"""),0.0)</f>
        <v>0</v>
      </c>
      <c r="FI45" s="180">
        <f>IFERROR(__xludf.DUMMYFUNCTION("""COMPUTED_VALUE"""),45933.0)</f>
        <v>45933</v>
      </c>
      <c r="FJ45" s="179">
        <f>IFERROR(__xludf.DUMMYFUNCTION("""COMPUTED_VALUE"""),0.0)</f>
        <v>0</v>
      </c>
      <c r="FK45" s="180">
        <f>IFERROR(__xludf.DUMMYFUNCTION("""COMPUTED_VALUE"""),45811.0)</f>
        <v>45811</v>
      </c>
      <c r="FL45" s="179">
        <f>IFERROR(__xludf.DUMMYFUNCTION("""COMPUTED_VALUE"""),0.0)</f>
        <v>0</v>
      </c>
      <c r="FM45" s="180">
        <f>IFERROR(__xludf.DUMMYFUNCTION("""COMPUTED_VALUE"""),45751.0)</f>
        <v>45751</v>
      </c>
      <c r="FN45" s="179">
        <f>IFERROR(__xludf.DUMMYFUNCTION("""COMPUTED_VALUE"""),0.0)</f>
        <v>0</v>
      </c>
      <c r="FO45" s="180">
        <f>IFERROR(__xludf.DUMMYFUNCTION("""COMPUTED_VALUE"""),45751.0)</f>
        <v>45751</v>
      </c>
      <c r="FP45" s="179">
        <f>IFERROR(__xludf.DUMMYFUNCTION("""COMPUTED_VALUE"""),0.0)</f>
        <v>0</v>
      </c>
      <c r="FQ45" s="180">
        <f>IFERROR(__xludf.DUMMYFUNCTION("""COMPUTED_VALUE"""),45751.0)</f>
        <v>45751</v>
      </c>
      <c r="FR45" s="179">
        <f>IFERROR(__xludf.DUMMYFUNCTION("""COMPUTED_VALUE"""),0.0)</f>
        <v>0</v>
      </c>
      <c r="FS45" s="180">
        <f>IFERROR(__xludf.DUMMYFUNCTION("""COMPUTED_VALUE"""),45933.0)</f>
        <v>45933</v>
      </c>
      <c r="FT45" s="179">
        <f>IFERROR(__xludf.DUMMYFUNCTION("""COMPUTED_VALUE"""),0.0)</f>
        <v>0</v>
      </c>
      <c r="FU45" s="180">
        <f>IFERROR(__xludf.DUMMYFUNCTION("""COMPUTED_VALUE"""),45751.0)</f>
        <v>45751</v>
      </c>
      <c r="FV45" s="179">
        <f>IFERROR(__xludf.DUMMYFUNCTION("""COMPUTED_VALUE"""),0.0)</f>
        <v>0</v>
      </c>
      <c r="FW45" s="180">
        <f>IFERROR(__xludf.DUMMYFUNCTION("""COMPUTED_VALUE"""),45751.0)</f>
        <v>45751</v>
      </c>
      <c r="FX45" s="179">
        <f>IFERROR(__xludf.DUMMYFUNCTION("""COMPUTED_VALUE"""),0.0)</f>
        <v>0</v>
      </c>
      <c r="FY45" s="180">
        <f>IFERROR(__xludf.DUMMYFUNCTION("""COMPUTED_VALUE"""),45811.0)</f>
        <v>45811</v>
      </c>
      <c r="FZ45" s="179">
        <f>IFERROR(__xludf.DUMMYFUNCTION("""COMPUTED_VALUE"""),0.0)</f>
        <v>0</v>
      </c>
      <c r="GA45" s="182">
        <f>IFERROR(__xludf.DUMMYFUNCTION("""COMPUTED_VALUE"""),45751.0)</f>
        <v>45751</v>
      </c>
      <c r="GB45" s="179">
        <f>IFERROR(__xludf.DUMMYFUNCTION("""COMPUTED_VALUE"""),0.0)</f>
        <v>0</v>
      </c>
      <c r="GC45" s="180">
        <f>IFERROR(__xludf.DUMMYFUNCTION("""COMPUTED_VALUE"""),45661.0)</f>
        <v>45661</v>
      </c>
      <c r="GD45" s="179">
        <f>IFERROR(__xludf.DUMMYFUNCTION("""COMPUTED_VALUE"""),0.0)</f>
        <v>0</v>
      </c>
      <c r="GE45" s="180">
        <f>IFERROR(__xludf.DUMMYFUNCTION("""COMPUTED_VALUE"""),45661.0)</f>
        <v>45661</v>
      </c>
      <c r="GF45" s="179">
        <f>IFERROR(__xludf.DUMMYFUNCTION("""COMPUTED_VALUE"""),0.0)</f>
        <v>0</v>
      </c>
      <c r="GG45" s="180">
        <f>IFERROR(__xludf.DUMMYFUNCTION("""COMPUTED_VALUE"""),45692.0)</f>
        <v>45692</v>
      </c>
      <c r="GH45" s="179">
        <f>IFERROR(__xludf.DUMMYFUNCTION("""COMPUTED_VALUE"""),0.0)</f>
        <v>0</v>
      </c>
      <c r="GI45" s="180">
        <f>IFERROR(__xludf.DUMMYFUNCTION("""COMPUTED_VALUE"""),45751.0)</f>
        <v>45751</v>
      </c>
      <c r="GJ45" s="179">
        <f>IFERROR(__xludf.DUMMYFUNCTION("""COMPUTED_VALUE"""),0.0)</f>
        <v>0</v>
      </c>
      <c r="GK45" s="180">
        <f>IFERROR(__xludf.DUMMYFUNCTION("""COMPUTED_VALUE"""),45751.0)</f>
        <v>45751</v>
      </c>
      <c r="GL45" s="179">
        <f>IFERROR(__xludf.DUMMYFUNCTION("""COMPUTED_VALUE"""),0.0)</f>
        <v>0</v>
      </c>
      <c r="GM45" s="180">
        <f>IFERROR(__xludf.DUMMYFUNCTION("""COMPUTED_VALUE"""),45872.0)</f>
        <v>45872</v>
      </c>
      <c r="GN45" s="179">
        <f>IFERROR(__xludf.DUMMYFUNCTION("""COMPUTED_VALUE"""),0.0)</f>
        <v>0</v>
      </c>
      <c r="GO45" s="180">
        <f>IFERROR(__xludf.DUMMYFUNCTION("""COMPUTED_VALUE"""),45751.0)</f>
        <v>45751</v>
      </c>
      <c r="GP45" s="179">
        <f>IFERROR(__xludf.DUMMYFUNCTION("""COMPUTED_VALUE"""),0.0)</f>
        <v>0</v>
      </c>
      <c r="GQ45" s="180">
        <f>IFERROR(__xludf.DUMMYFUNCTION("""COMPUTED_VALUE"""),45751.0)</f>
        <v>45751</v>
      </c>
      <c r="GR45" s="179">
        <f>IFERROR(__xludf.DUMMYFUNCTION("""COMPUTED_VALUE"""),0.0)</f>
        <v>0</v>
      </c>
      <c r="GS45" s="180">
        <f>IFERROR(__xludf.DUMMYFUNCTION("""COMPUTED_VALUE"""),45841.0)</f>
        <v>45841</v>
      </c>
      <c r="GT45" s="179">
        <f>IFERROR(__xludf.DUMMYFUNCTION("""COMPUTED_VALUE"""),0.0)</f>
        <v>0</v>
      </c>
    </row>
    <row r="46" ht="31.5" customHeight="1">
      <c r="B46" s="183"/>
      <c r="C46" s="178">
        <f>IFERROR(__xludf.DUMMYFUNCTION("""COMPUTED_VALUE"""),45934.0)</f>
        <v>45934</v>
      </c>
      <c r="D46" s="179">
        <f>IFERROR(__xludf.DUMMYFUNCTION("""COMPUTED_VALUE"""),0.0)</f>
        <v>0</v>
      </c>
      <c r="E46" s="180">
        <f>IFERROR(__xludf.DUMMYFUNCTION("""COMPUTED_VALUE"""),45662.0)</f>
        <v>45662</v>
      </c>
      <c r="F46" s="179">
        <f>IFERROR(__xludf.DUMMYFUNCTION("""COMPUTED_VALUE"""),0.0)</f>
        <v>0</v>
      </c>
      <c r="G46" s="180">
        <f>IFERROR(__xludf.DUMMYFUNCTION("""COMPUTED_VALUE"""),45662.0)</f>
        <v>45662</v>
      </c>
      <c r="H46" s="179">
        <f>IFERROR(__xludf.DUMMYFUNCTION("""COMPUTED_VALUE"""),0.0)</f>
        <v>0</v>
      </c>
      <c r="I46" s="180">
        <f>IFERROR(__xludf.DUMMYFUNCTION("""COMPUTED_VALUE"""),45721.0)</f>
        <v>45721</v>
      </c>
      <c r="J46" s="179">
        <f>IFERROR(__xludf.DUMMYFUNCTION("""COMPUTED_VALUE"""),0.0)</f>
        <v>0</v>
      </c>
      <c r="K46" s="180">
        <f>IFERROR(__xludf.DUMMYFUNCTION("""COMPUTED_VALUE"""),45873.0)</f>
        <v>45873</v>
      </c>
      <c r="L46" s="179">
        <f>IFERROR(__xludf.DUMMYFUNCTION("""COMPUTED_VALUE"""),0.0)</f>
        <v>0</v>
      </c>
      <c r="M46" s="180">
        <f>IFERROR(__xludf.DUMMYFUNCTION("""COMPUTED_VALUE"""),45934.0)</f>
        <v>45934</v>
      </c>
      <c r="N46" s="179">
        <f>IFERROR(__xludf.DUMMYFUNCTION("""COMPUTED_VALUE"""),0.0)</f>
        <v>0</v>
      </c>
      <c r="O46" s="180">
        <f>IFERROR(__xludf.DUMMYFUNCTION("""COMPUTED_VALUE"""),45812.0)</f>
        <v>45812</v>
      </c>
      <c r="P46" s="179">
        <f>IFERROR(__xludf.DUMMYFUNCTION("""COMPUTED_VALUE"""),0.0)</f>
        <v>0</v>
      </c>
      <c r="Q46" s="180">
        <f>IFERROR(__xludf.DUMMYFUNCTION("""COMPUTED_VALUE"""),45812.0)</f>
        <v>45812</v>
      </c>
      <c r="R46" s="179">
        <f>IFERROR(__xludf.DUMMYFUNCTION("""COMPUTED_VALUE"""),0.0)</f>
        <v>0</v>
      </c>
      <c r="S46" s="180">
        <f>IFERROR(__xludf.DUMMYFUNCTION("""COMPUTED_VALUE"""),45693.0)</f>
        <v>45693</v>
      </c>
      <c r="T46" s="179">
        <f>IFERROR(__xludf.DUMMYFUNCTION("""COMPUTED_VALUE"""),0.0)</f>
        <v>0</v>
      </c>
      <c r="U46" s="180">
        <f>IFERROR(__xludf.DUMMYFUNCTION("""COMPUTED_VALUE"""),45781.0)</f>
        <v>45781</v>
      </c>
      <c r="V46" s="181">
        <f>IFERROR(__xludf.DUMMYFUNCTION("""COMPUTED_VALUE"""),0.0)</f>
        <v>0</v>
      </c>
      <c r="W46" s="178">
        <f>IFERROR(__xludf.DUMMYFUNCTION("""COMPUTED_VALUE"""),45721.0)</f>
        <v>45721</v>
      </c>
      <c r="X46" s="179">
        <f>IFERROR(__xludf.DUMMYFUNCTION("""COMPUTED_VALUE"""),0.0)</f>
        <v>0</v>
      </c>
      <c r="Y46" s="180">
        <f>IFERROR(__xludf.DUMMYFUNCTION("""COMPUTED_VALUE"""),45842.0)</f>
        <v>45842</v>
      </c>
      <c r="Z46" s="179">
        <f>IFERROR(__xludf.DUMMYFUNCTION("""COMPUTED_VALUE"""),0.0)</f>
        <v>0</v>
      </c>
      <c r="AA46" s="180">
        <f>IFERROR(__xludf.DUMMYFUNCTION("""COMPUTED_VALUE"""),45693.0)</f>
        <v>45693</v>
      </c>
      <c r="AB46" s="179">
        <f>IFERROR(__xludf.DUMMYFUNCTION("""COMPUTED_VALUE"""),0.0)</f>
        <v>0</v>
      </c>
      <c r="AC46" s="180">
        <f>IFERROR(__xludf.DUMMYFUNCTION("""COMPUTED_VALUE"""),45781.0)</f>
        <v>45781</v>
      </c>
      <c r="AD46" s="179">
        <f>IFERROR(__xludf.DUMMYFUNCTION("""COMPUTED_VALUE"""),0.0)</f>
        <v>0</v>
      </c>
      <c r="AE46" s="180">
        <f>IFERROR(__xludf.DUMMYFUNCTION("""COMPUTED_VALUE"""),45873.0)</f>
        <v>45873</v>
      </c>
      <c r="AF46" s="179">
        <f>IFERROR(__xludf.DUMMYFUNCTION("""COMPUTED_VALUE"""),0.0)</f>
        <v>0</v>
      </c>
      <c r="AG46" s="180">
        <f>IFERROR(__xludf.DUMMYFUNCTION("""COMPUTED_VALUE"""),45721.0)</f>
        <v>45721</v>
      </c>
      <c r="AH46" s="179">
        <f>IFERROR(__xludf.DUMMYFUNCTION("""COMPUTED_VALUE"""),0.0)</f>
        <v>0</v>
      </c>
      <c r="AI46" s="180">
        <f>IFERROR(__xludf.DUMMYFUNCTION("""COMPUTED_VALUE"""),45781.0)</f>
        <v>45781</v>
      </c>
      <c r="AJ46" s="179">
        <f>IFERROR(__xludf.DUMMYFUNCTION("""COMPUTED_VALUE"""),0.0)</f>
        <v>0</v>
      </c>
      <c r="AK46" s="180">
        <f>IFERROR(__xludf.DUMMYFUNCTION("""COMPUTED_VALUE"""),45662.0)</f>
        <v>45662</v>
      </c>
      <c r="AL46" s="179">
        <f>IFERROR(__xludf.DUMMYFUNCTION("""COMPUTED_VALUE"""),0.0)</f>
        <v>0</v>
      </c>
      <c r="AM46" s="180">
        <f>IFERROR(__xludf.DUMMYFUNCTION("""COMPUTED_VALUE"""),45721.0)</f>
        <v>45721</v>
      </c>
      <c r="AN46" s="179">
        <f>IFERROR(__xludf.DUMMYFUNCTION("""COMPUTED_VALUE"""),0.0)</f>
        <v>0</v>
      </c>
      <c r="AO46" s="180">
        <f>IFERROR(__xludf.DUMMYFUNCTION("""COMPUTED_VALUE"""),45904.0)</f>
        <v>45904</v>
      </c>
      <c r="AP46" s="181">
        <f>IFERROR(__xludf.DUMMYFUNCTION("""COMPUTED_VALUE"""),0.0)</f>
        <v>0</v>
      </c>
      <c r="AQ46" s="178">
        <f>IFERROR(__xludf.DUMMYFUNCTION("""COMPUTED_VALUE"""),45752.0)</f>
        <v>45752</v>
      </c>
      <c r="AR46" s="179">
        <f>IFERROR(__xludf.DUMMYFUNCTION("""COMPUTED_VALUE"""),0.0)</f>
        <v>0</v>
      </c>
      <c r="AS46" s="180">
        <f>IFERROR(__xludf.DUMMYFUNCTION("""COMPUTED_VALUE"""),45752.0)</f>
        <v>45752</v>
      </c>
      <c r="AT46" s="179">
        <f>IFERROR(__xludf.DUMMYFUNCTION("""COMPUTED_VALUE"""),0.0)</f>
        <v>0</v>
      </c>
      <c r="AU46" s="180">
        <f>IFERROR(__xludf.DUMMYFUNCTION("""COMPUTED_VALUE"""),45721.0)</f>
        <v>45721</v>
      </c>
      <c r="AV46" s="179">
        <f>IFERROR(__xludf.DUMMYFUNCTION("""COMPUTED_VALUE"""),0.0)</f>
        <v>0</v>
      </c>
      <c r="AW46" s="180">
        <f>IFERROR(__xludf.DUMMYFUNCTION("""COMPUTED_VALUE"""),45721.0)</f>
        <v>45721</v>
      </c>
      <c r="AX46" s="179">
        <f>IFERROR(__xludf.DUMMYFUNCTION("""COMPUTED_VALUE"""),0.0)</f>
        <v>0</v>
      </c>
      <c r="AY46" s="180">
        <f>IFERROR(__xludf.DUMMYFUNCTION("""COMPUTED_VALUE"""),45752.0)</f>
        <v>45752</v>
      </c>
      <c r="AZ46" s="179">
        <f>IFERROR(__xludf.DUMMYFUNCTION("""COMPUTED_VALUE"""),0.0)</f>
        <v>0</v>
      </c>
      <c r="BA46" s="180">
        <f>IFERROR(__xludf.DUMMYFUNCTION("""COMPUTED_VALUE"""),45752.0)</f>
        <v>45752</v>
      </c>
      <c r="BB46" s="179">
        <f>IFERROR(__xludf.DUMMYFUNCTION("""COMPUTED_VALUE"""),0.0)</f>
        <v>0</v>
      </c>
      <c r="BC46" s="180">
        <f>IFERROR(__xludf.DUMMYFUNCTION("""COMPUTED_VALUE"""),45721.0)</f>
        <v>45721</v>
      </c>
      <c r="BD46" s="179">
        <f>IFERROR(__xludf.DUMMYFUNCTION("""COMPUTED_VALUE"""),0.0)</f>
        <v>0</v>
      </c>
      <c r="BE46" s="180">
        <f>IFERROR(__xludf.DUMMYFUNCTION("""COMPUTED_VALUE"""),45752.0)</f>
        <v>45752</v>
      </c>
      <c r="BF46" s="179">
        <f>IFERROR(__xludf.DUMMYFUNCTION("""COMPUTED_VALUE"""),0.0)</f>
        <v>0</v>
      </c>
      <c r="BG46" s="180">
        <f>IFERROR(__xludf.DUMMYFUNCTION("""COMPUTED_VALUE"""),45721.0)</f>
        <v>45721</v>
      </c>
      <c r="BH46" s="179">
        <f>IFERROR(__xludf.DUMMYFUNCTION("""COMPUTED_VALUE"""),0.0)</f>
        <v>0</v>
      </c>
      <c r="BI46" s="180">
        <f>IFERROR(__xludf.DUMMYFUNCTION("""COMPUTED_VALUE"""),45752.0)</f>
        <v>45752</v>
      </c>
      <c r="BJ46" s="179">
        <f>IFERROR(__xludf.DUMMYFUNCTION("""COMPUTED_VALUE"""),0.0)</f>
        <v>0</v>
      </c>
      <c r="BK46" s="182">
        <f>IFERROR(__xludf.DUMMYFUNCTION("""COMPUTED_VALUE"""),45693.0)</f>
        <v>45693</v>
      </c>
      <c r="BL46" s="179">
        <f>IFERROR(__xludf.DUMMYFUNCTION("""COMPUTED_VALUE"""),0.0)</f>
        <v>0</v>
      </c>
      <c r="BM46" s="180">
        <f>IFERROR(__xludf.DUMMYFUNCTION("""COMPUTED_VALUE"""),45752.0)</f>
        <v>45752</v>
      </c>
      <c r="BN46" s="179">
        <f>IFERROR(__xludf.DUMMYFUNCTION("""COMPUTED_VALUE"""),0.0)</f>
        <v>0</v>
      </c>
      <c r="BO46" s="180">
        <f>IFERROR(__xludf.DUMMYFUNCTION("""COMPUTED_VALUE"""),45721.0)</f>
        <v>45721</v>
      </c>
      <c r="BP46" s="179">
        <f>IFERROR(__xludf.DUMMYFUNCTION("""COMPUTED_VALUE"""),0.0)</f>
        <v>0</v>
      </c>
      <c r="BQ46" s="180">
        <f>IFERROR(__xludf.DUMMYFUNCTION("""COMPUTED_VALUE"""),45693.0)</f>
        <v>45693</v>
      </c>
      <c r="BR46" s="179">
        <f>IFERROR(__xludf.DUMMYFUNCTION("""COMPUTED_VALUE"""),0.0)</f>
        <v>0</v>
      </c>
      <c r="BS46" s="180">
        <f>IFERROR(__xludf.DUMMYFUNCTION("""COMPUTED_VALUE"""),45752.0)</f>
        <v>45752</v>
      </c>
      <c r="BT46" s="179">
        <f>IFERROR(__xludf.DUMMYFUNCTION("""COMPUTED_VALUE"""),0.0)</f>
        <v>0</v>
      </c>
      <c r="BU46" s="180">
        <f>IFERROR(__xludf.DUMMYFUNCTION("""COMPUTED_VALUE"""),45721.0)</f>
        <v>45721</v>
      </c>
      <c r="BV46" s="179">
        <f>IFERROR(__xludf.DUMMYFUNCTION("""COMPUTED_VALUE"""),0.0)</f>
        <v>0</v>
      </c>
      <c r="BW46" s="180">
        <f>IFERROR(__xludf.DUMMYFUNCTION("""COMPUTED_VALUE"""),45903.0)</f>
        <v>45903</v>
      </c>
      <c r="BX46" s="179">
        <f>IFERROR(__xludf.DUMMYFUNCTION("""COMPUTED_VALUE"""),0.0)</f>
        <v>0</v>
      </c>
      <c r="BY46" s="180">
        <f>IFERROR(__xludf.DUMMYFUNCTION("""COMPUTED_VALUE"""),45693.0)</f>
        <v>45693</v>
      </c>
      <c r="BZ46" s="179">
        <f>IFERROR(__xludf.DUMMYFUNCTION("""COMPUTED_VALUE"""),0.0)</f>
        <v>0</v>
      </c>
      <c r="CA46" s="180">
        <f>IFERROR(__xludf.DUMMYFUNCTION("""COMPUTED_VALUE"""),45752.0)</f>
        <v>45752</v>
      </c>
      <c r="CB46" s="179">
        <f>IFERROR(__xludf.DUMMYFUNCTION("""COMPUTED_VALUE"""),0.0)</f>
        <v>0</v>
      </c>
      <c r="CC46" s="180">
        <f>IFERROR(__xludf.DUMMYFUNCTION("""COMPUTED_VALUE"""),45662.0)</f>
        <v>45662</v>
      </c>
      <c r="CD46" s="179">
        <f>IFERROR(__xludf.DUMMYFUNCTION("""COMPUTED_VALUE"""),0.0)</f>
        <v>0</v>
      </c>
      <c r="CE46" s="182">
        <f>IFERROR(__xludf.DUMMYFUNCTION("""COMPUTED_VALUE"""),45781.0)</f>
        <v>45781</v>
      </c>
      <c r="CF46" s="179">
        <f>IFERROR(__xludf.DUMMYFUNCTION("""COMPUTED_VALUE"""),0.0)</f>
        <v>0</v>
      </c>
      <c r="CG46" s="180">
        <f>IFERROR(__xludf.DUMMYFUNCTION("""COMPUTED_VALUE"""),45903.0)</f>
        <v>45903</v>
      </c>
      <c r="CH46" s="179">
        <f>IFERROR(__xludf.DUMMYFUNCTION("""COMPUTED_VALUE"""),0.0)</f>
        <v>0</v>
      </c>
      <c r="CI46" s="180">
        <f>IFERROR(__xludf.DUMMYFUNCTION("""COMPUTED_VALUE"""),45933.0)</f>
        <v>45933</v>
      </c>
      <c r="CJ46" s="179">
        <f>IFERROR(__xludf.DUMMYFUNCTION("""COMPUTED_VALUE"""),0.0)</f>
        <v>0</v>
      </c>
      <c r="CK46" s="180">
        <f>IFERROR(__xludf.DUMMYFUNCTION("""COMPUTED_VALUE"""),45661.0)</f>
        <v>45661</v>
      </c>
      <c r="CL46" s="179">
        <f>IFERROR(__xludf.DUMMYFUNCTION("""COMPUTED_VALUE"""),0.0)</f>
        <v>0</v>
      </c>
      <c r="CM46" s="180">
        <f>IFERROR(__xludf.DUMMYFUNCTION("""COMPUTED_VALUE"""),45751.0)</f>
        <v>45751</v>
      </c>
      <c r="CN46" s="179">
        <f>IFERROR(__xludf.DUMMYFUNCTION("""COMPUTED_VALUE"""),0.0)</f>
        <v>0</v>
      </c>
      <c r="CO46" s="180">
        <f>IFERROR(__xludf.DUMMYFUNCTION("""COMPUTED_VALUE"""),45720.0)</f>
        <v>45720</v>
      </c>
      <c r="CP46" s="179">
        <f>IFERROR(__xludf.DUMMYFUNCTION("""COMPUTED_VALUE"""),0.0)</f>
        <v>0</v>
      </c>
      <c r="CQ46" s="180">
        <f>IFERROR(__xludf.DUMMYFUNCTION("""COMPUTED_VALUE"""),45841.0)</f>
        <v>45841</v>
      </c>
      <c r="CR46" s="179">
        <f>IFERROR(__xludf.DUMMYFUNCTION("""COMPUTED_VALUE"""),0.0)</f>
        <v>0</v>
      </c>
      <c r="CS46" s="180">
        <f>IFERROR(__xludf.DUMMYFUNCTION("""COMPUTED_VALUE"""),45720.0)</f>
        <v>45720</v>
      </c>
      <c r="CT46" s="179">
        <f>IFERROR(__xludf.DUMMYFUNCTION("""COMPUTED_VALUE"""),0.0)</f>
        <v>0</v>
      </c>
      <c r="CU46" s="180">
        <f>IFERROR(__xludf.DUMMYFUNCTION("""COMPUTED_VALUE"""),45781.0)</f>
        <v>45781</v>
      </c>
      <c r="CV46" s="179">
        <f>IFERROR(__xludf.DUMMYFUNCTION("""COMPUTED_VALUE"""),0.0)</f>
        <v>0</v>
      </c>
      <c r="CW46" s="180">
        <f>IFERROR(__xludf.DUMMYFUNCTION("""COMPUTED_VALUE"""),45780.0)</f>
        <v>45780</v>
      </c>
      <c r="CX46" s="179">
        <f>IFERROR(__xludf.DUMMYFUNCTION("""COMPUTED_VALUE"""),0.0)</f>
        <v>0</v>
      </c>
      <c r="CY46" s="182">
        <f>IFERROR(__xludf.DUMMYFUNCTION("""COMPUTED_VALUE"""),45781.0)</f>
        <v>45781</v>
      </c>
      <c r="CZ46" s="179">
        <f>IFERROR(__xludf.DUMMYFUNCTION("""COMPUTED_VALUE"""),0.0)</f>
        <v>0</v>
      </c>
      <c r="DA46" s="180">
        <f>IFERROR(__xludf.DUMMYFUNCTION("""COMPUTED_VALUE"""),45751.0)</f>
        <v>45751</v>
      </c>
      <c r="DB46" s="179">
        <f>IFERROR(__xludf.DUMMYFUNCTION("""COMPUTED_VALUE"""),0.0)</f>
        <v>0</v>
      </c>
      <c r="DC46" s="180">
        <f>IFERROR(__xludf.DUMMYFUNCTION("""COMPUTED_VALUE"""),45661.0)</f>
        <v>45661</v>
      </c>
      <c r="DD46" s="179">
        <f>IFERROR(__xludf.DUMMYFUNCTION("""COMPUTED_VALUE"""),0.0)</f>
        <v>0</v>
      </c>
      <c r="DE46" s="180">
        <f>IFERROR(__xludf.DUMMYFUNCTION("""COMPUTED_VALUE"""),45692.0)</f>
        <v>45692</v>
      </c>
      <c r="DF46" s="179">
        <f>IFERROR(__xludf.DUMMYFUNCTION("""COMPUTED_VALUE"""),0.0)</f>
        <v>0</v>
      </c>
      <c r="DG46" s="180">
        <f>IFERROR(__xludf.DUMMYFUNCTION("""COMPUTED_VALUE"""),45781.0)</f>
        <v>45781</v>
      </c>
      <c r="DH46" s="179">
        <f>IFERROR(__xludf.DUMMYFUNCTION("""COMPUTED_VALUE"""),0.0)</f>
        <v>0</v>
      </c>
      <c r="DI46" s="180">
        <f>IFERROR(__xludf.DUMMYFUNCTION("""COMPUTED_VALUE"""),45781.0)</f>
        <v>45781</v>
      </c>
      <c r="DJ46" s="179">
        <f>IFERROR(__xludf.DUMMYFUNCTION("""COMPUTED_VALUE"""),0.0)</f>
        <v>0</v>
      </c>
      <c r="DK46" s="180">
        <f>IFERROR(__xludf.DUMMYFUNCTION("""COMPUTED_VALUE"""),45720.0)</f>
        <v>45720</v>
      </c>
      <c r="DL46" s="179">
        <f>IFERROR(__xludf.DUMMYFUNCTION("""COMPUTED_VALUE"""),0.0)</f>
        <v>0</v>
      </c>
      <c r="DM46" s="180">
        <f>IFERROR(__xludf.DUMMYFUNCTION("""COMPUTED_VALUE"""),45720.0)</f>
        <v>45720</v>
      </c>
      <c r="DN46" s="179">
        <f>IFERROR(__xludf.DUMMYFUNCTION("""COMPUTED_VALUE"""),0.0)</f>
        <v>0</v>
      </c>
      <c r="DO46" s="180">
        <f>IFERROR(__xludf.DUMMYFUNCTION("""COMPUTED_VALUE"""),45720.0)</f>
        <v>45720</v>
      </c>
      <c r="DP46" s="179">
        <f>IFERROR(__xludf.DUMMYFUNCTION("""COMPUTED_VALUE"""),0.0)</f>
        <v>0</v>
      </c>
      <c r="DQ46" s="180">
        <f>IFERROR(__xludf.DUMMYFUNCTION("""COMPUTED_VALUE"""),45903.0)</f>
        <v>45903</v>
      </c>
      <c r="DR46" s="179">
        <f>IFERROR(__xludf.DUMMYFUNCTION("""COMPUTED_VALUE"""),0.0)</f>
        <v>0</v>
      </c>
      <c r="DS46" s="182">
        <f>IFERROR(__xludf.DUMMYFUNCTION("""COMPUTED_VALUE"""),45751.0)</f>
        <v>45751</v>
      </c>
      <c r="DT46" s="179">
        <f>IFERROR(__xludf.DUMMYFUNCTION("""COMPUTED_VALUE"""),0.0)</f>
        <v>0</v>
      </c>
      <c r="DU46" s="180">
        <f>IFERROR(__xludf.DUMMYFUNCTION("""COMPUTED_VALUE"""),45720.0)</f>
        <v>45720</v>
      </c>
      <c r="DV46" s="179">
        <f>IFERROR(__xludf.DUMMYFUNCTION("""COMPUTED_VALUE"""),0.0)</f>
        <v>0</v>
      </c>
      <c r="DW46" s="180">
        <f>IFERROR(__xludf.DUMMYFUNCTION("""COMPUTED_VALUE"""),45720.0)</f>
        <v>45720</v>
      </c>
      <c r="DX46" s="179">
        <f>IFERROR(__xludf.DUMMYFUNCTION("""COMPUTED_VALUE"""),0.0)</f>
        <v>0</v>
      </c>
      <c r="DY46" s="180">
        <f>IFERROR(__xludf.DUMMYFUNCTION("""COMPUTED_VALUE"""),45751.0)</f>
        <v>45751</v>
      </c>
      <c r="DZ46" s="179">
        <f>IFERROR(__xludf.DUMMYFUNCTION("""COMPUTED_VALUE"""),0.0)</f>
        <v>0</v>
      </c>
      <c r="EA46" s="180">
        <f>IFERROR(__xludf.DUMMYFUNCTION("""COMPUTED_VALUE"""),45781.0)</f>
        <v>45781</v>
      </c>
      <c r="EB46" s="179">
        <f>IFERROR(__xludf.DUMMYFUNCTION("""COMPUTED_VALUE"""),0.0)</f>
        <v>0</v>
      </c>
      <c r="EC46" s="180">
        <f>IFERROR(__xludf.DUMMYFUNCTION("""COMPUTED_VALUE"""),45751.0)</f>
        <v>45751</v>
      </c>
      <c r="ED46" s="179">
        <f>IFERROR(__xludf.DUMMYFUNCTION("""COMPUTED_VALUE"""),0.0)</f>
        <v>0</v>
      </c>
      <c r="EE46" s="180">
        <f>IFERROR(__xludf.DUMMYFUNCTION("""COMPUTED_VALUE"""),45661.0)</f>
        <v>45661</v>
      </c>
      <c r="EF46" s="179">
        <f>IFERROR(__xludf.DUMMYFUNCTION("""COMPUTED_VALUE"""),0.0)</f>
        <v>0</v>
      </c>
      <c r="EG46" s="180">
        <f>IFERROR(__xludf.DUMMYFUNCTION("""COMPUTED_VALUE"""),45751.0)</f>
        <v>45751</v>
      </c>
      <c r="EH46" s="179">
        <f>IFERROR(__xludf.DUMMYFUNCTION("""COMPUTED_VALUE"""),0.0)</f>
        <v>0</v>
      </c>
      <c r="EI46" s="180">
        <f>IFERROR(__xludf.DUMMYFUNCTION("""COMPUTED_VALUE"""),45751.0)</f>
        <v>45751</v>
      </c>
      <c r="EJ46" s="179">
        <f>IFERROR(__xludf.DUMMYFUNCTION("""COMPUTED_VALUE"""),0.0)</f>
        <v>0</v>
      </c>
      <c r="EK46" s="180">
        <f>IFERROR(__xludf.DUMMYFUNCTION("""COMPUTED_VALUE"""),45692.0)</f>
        <v>45692</v>
      </c>
      <c r="EL46" s="179">
        <f>IFERROR(__xludf.DUMMYFUNCTION("""COMPUTED_VALUE"""),0.0)</f>
        <v>0</v>
      </c>
      <c r="EM46" s="182">
        <f>IFERROR(__xludf.DUMMYFUNCTION("""COMPUTED_VALUE"""),45661.0)</f>
        <v>45661</v>
      </c>
      <c r="EN46" s="179">
        <f>IFERROR(__xludf.DUMMYFUNCTION("""COMPUTED_VALUE"""),0.0)</f>
        <v>0</v>
      </c>
      <c r="EO46" s="180">
        <f>IFERROR(__xludf.DUMMYFUNCTION("""COMPUTED_VALUE"""),45751.0)</f>
        <v>45751</v>
      </c>
      <c r="EP46" s="179">
        <f>IFERROR(__xludf.DUMMYFUNCTION("""COMPUTED_VALUE"""),0.0)</f>
        <v>0</v>
      </c>
      <c r="EQ46" s="180">
        <f>IFERROR(__xludf.DUMMYFUNCTION("""COMPUTED_VALUE"""),45751.0)</f>
        <v>45751</v>
      </c>
      <c r="ER46" s="179">
        <f>IFERROR(__xludf.DUMMYFUNCTION("""COMPUTED_VALUE"""),0.0)</f>
        <v>0</v>
      </c>
      <c r="ES46" s="180">
        <f>IFERROR(__xludf.DUMMYFUNCTION("""COMPUTED_VALUE"""),45781.0)</f>
        <v>45781</v>
      </c>
      <c r="ET46" s="179">
        <f>IFERROR(__xludf.DUMMYFUNCTION("""COMPUTED_VALUE"""),0.0)</f>
        <v>0</v>
      </c>
      <c r="EU46" s="180">
        <f>IFERROR(__xludf.DUMMYFUNCTION("""COMPUTED_VALUE"""),45751.0)</f>
        <v>45751</v>
      </c>
      <c r="EV46" s="179">
        <f>IFERROR(__xludf.DUMMYFUNCTION("""COMPUTED_VALUE"""),0.0)</f>
        <v>0</v>
      </c>
      <c r="EW46" s="180">
        <f>IFERROR(__xludf.DUMMYFUNCTION("""COMPUTED_VALUE"""),45781.0)</f>
        <v>45781</v>
      </c>
      <c r="EX46" s="179">
        <f>IFERROR(__xludf.DUMMYFUNCTION("""COMPUTED_VALUE"""),0.0)</f>
        <v>0</v>
      </c>
      <c r="EY46" s="180">
        <f>IFERROR(__xludf.DUMMYFUNCTION("""COMPUTED_VALUE"""),45781.0)</f>
        <v>45781</v>
      </c>
      <c r="EZ46" s="179">
        <f>IFERROR(__xludf.DUMMYFUNCTION("""COMPUTED_VALUE"""),0.0)</f>
        <v>0</v>
      </c>
      <c r="FA46" s="180">
        <f>IFERROR(__xludf.DUMMYFUNCTION("""COMPUTED_VALUE"""),45751.0)</f>
        <v>45751</v>
      </c>
      <c r="FB46" s="179">
        <f>IFERROR(__xludf.DUMMYFUNCTION("""COMPUTED_VALUE"""),0.0)</f>
        <v>0</v>
      </c>
      <c r="FC46" s="180">
        <f>IFERROR(__xludf.DUMMYFUNCTION("""COMPUTED_VALUE"""),45781.0)</f>
        <v>45781</v>
      </c>
      <c r="FD46" s="179">
        <f>IFERROR(__xludf.DUMMYFUNCTION("""COMPUTED_VALUE"""),0.0)</f>
        <v>0</v>
      </c>
      <c r="FE46" s="180">
        <f>IFERROR(__xludf.DUMMYFUNCTION("""COMPUTED_VALUE"""),45661.0)</f>
        <v>45661</v>
      </c>
      <c r="FF46" s="179">
        <f>IFERROR(__xludf.DUMMYFUNCTION("""COMPUTED_VALUE"""),0.0)</f>
        <v>0</v>
      </c>
      <c r="FG46" s="182">
        <f>IFERROR(__xludf.DUMMYFUNCTION("""COMPUTED_VALUE"""),45661.0)</f>
        <v>45661</v>
      </c>
      <c r="FH46" s="179">
        <f>IFERROR(__xludf.DUMMYFUNCTION("""COMPUTED_VALUE"""),0.0)</f>
        <v>0</v>
      </c>
      <c r="FI46" s="180">
        <f>IFERROR(__xludf.DUMMYFUNCTION("""COMPUTED_VALUE"""),45661.0)</f>
        <v>45661</v>
      </c>
      <c r="FJ46" s="179">
        <f>IFERROR(__xludf.DUMMYFUNCTION("""COMPUTED_VALUE"""),0.0)</f>
        <v>0</v>
      </c>
      <c r="FK46" s="180">
        <f>IFERROR(__xludf.DUMMYFUNCTION("""COMPUTED_VALUE"""),45841.0)</f>
        <v>45841</v>
      </c>
      <c r="FL46" s="179">
        <f>IFERROR(__xludf.DUMMYFUNCTION("""COMPUTED_VALUE"""),0.0)</f>
        <v>0</v>
      </c>
      <c r="FM46" s="180">
        <f>IFERROR(__xludf.DUMMYFUNCTION("""COMPUTED_VALUE"""),45781.0)</f>
        <v>45781</v>
      </c>
      <c r="FN46" s="179">
        <f>IFERROR(__xludf.DUMMYFUNCTION("""COMPUTED_VALUE"""),0.0)</f>
        <v>0</v>
      </c>
      <c r="FO46" s="180">
        <f>IFERROR(__xludf.DUMMYFUNCTION("""COMPUTED_VALUE"""),45781.0)</f>
        <v>45781</v>
      </c>
      <c r="FP46" s="179">
        <f>IFERROR(__xludf.DUMMYFUNCTION("""COMPUTED_VALUE"""),0.0)</f>
        <v>0</v>
      </c>
      <c r="FQ46" s="180">
        <f>IFERROR(__xludf.DUMMYFUNCTION("""COMPUTED_VALUE"""),45781.0)</f>
        <v>45781</v>
      </c>
      <c r="FR46" s="179">
        <f>IFERROR(__xludf.DUMMYFUNCTION("""COMPUTED_VALUE"""),0.0)</f>
        <v>0</v>
      </c>
      <c r="FS46" s="180">
        <f>IFERROR(__xludf.DUMMYFUNCTION("""COMPUTED_VALUE"""),45661.0)</f>
        <v>45661</v>
      </c>
      <c r="FT46" s="179">
        <f>IFERROR(__xludf.DUMMYFUNCTION("""COMPUTED_VALUE"""),0.0)</f>
        <v>0</v>
      </c>
      <c r="FU46" s="180">
        <f>IFERROR(__xludf.DUMMYFUNCTION("""COMPUTED_VALUE"""),45781.0)</f>
        <v>45781</v>
      </c>
      <c r="FV46" s="179">
        <f>IFERROR(__xludf.DUMMYFUNCTION("""COMPUTED_VALUE"""),0.0)</f>
        <v>0</v>
      </c>
      <c r="FW46" s="180">
        <f>IFERROR(__xludf.DUMMYFUNCTION("""COMPUTED_VALUE"""),45781.0)</f>
        <v>45781</v>
      </c>
      <c r="FX46" s="179">
        <f>IFERROR(__xludf.DUMMYFUNCTION("""COMPUTED_VALUE"""),0.0)</f>
        <v>0</v>
      </c>
      <c r="FY46" s="180">
        <f>IFERROR(__xludf.DUMMYFUNCTION("""COMPUTED_VALUE"""),45841.0)</f>
        <v>45841</v>
      </c>
      <c r="FZ46" s="179">
        <f>IFERROR(__xludf.DUMMYFUNCTION("""COMPUTED_VALUE"""),0.0)</f>
        <v>0</v>
      </c>
      <c r="GA46" s="182">
        <f>IFERROR(__xludf.DUMMYFUNCTION("""COMPUTED_VALUE"""),45781.0)</f>
        <v>45781</v>
      </c>
      <c r="GB46" s="179">
        <f>IFERROR(__xludf.DUMMYFUNCTION("""COMPUTED_VALUE"""),0.0)</f>
        <v>0</v>
      </c>
      <c r="GC46" s="180">
        <f>IFERROR(__xludf.DUMMYFUNCTION("""COMPUTED_VALUE"""),45692.0)</f>
        <v>45692</v>
      </c>
      <c r="GD46" s="179">
        <f>IFERROR(__xludf.DUMMYFUNCTION("""COMPUTED_VALUE"""),0.0)</f>
        <v>0</v>
      </c>
      <c r="GE46" s="180">
        <f>IFERROR(__xludf.DUMMYFUNCTION("""COMPUTED_VALUE"""),45692.0)</f>
        <v>45692</v>
      </c>
      <c r="GF46" s="179">
        <f>IFERROR(__xludf.DUMMYFUNCTION("""COMPUTED_VALUE"""),0.0)</f>
        <v>0</v>
      </c>
      <c r="GG46" s="180">
        <f>IFERROR(__xludf.DUMMYFUNCTION("""COMPUTED_VALUE"""),45720.0)</f>
        <v>45720</v>
      </c>
      <c r="GH46" s="179">
        <f>IFERROR(__xludf.DUMMYFUNCTION("""COMPUTED_VALUE"""),0.0)</f>
        <v>0</v>
      </c>
      <c r="GI46" s="180">
        <f>IFERROR(__xludf.DUMMYFUNCTION("""COMPUTED_VALUE"""),45781.0)</f>
        <v>45781</v>
      </c>
      <c r="GJ46" s="179">
        <f>IFERROR(__xludf.DUMMYFUNCTION("""COMPUTED_VALUE"""),0.0)</f>
        <v>0</v>
      </c>
      <c r="GK46" s="180">
        <f>IFERROR(__xludf.DUMMYFUNCTION("""COMPUTED_VALUE"""),45781.0)</f>
        <v>45781</v>
      </c>
      <c r="GL46" s="179">
        <f>IFERROR(__xludf.DUMMYFUNCTION("""COMPUTED_VALUE"""),0.0)</f>
        <v>0</v>
      </c>
      <c r="GM46" s="180">
        <f>IFERROR(__xludf.DUMMYFUNCTION("""COMPUTED_VALUE"""),45903.0)</f>
        <v>45903</v>
      </c>
      <c r="GN46" s="179">
        <f>IFERROR(__xludf.DUMMYFUNCTION("""COMPUTED_VALUE"""),0.0)</f>
        <v>0</v>
      </c>
      <c r="GO46" s="180">
        <f>IFERROR(__xludf.DUMMYFUNCTION("""COMPUTED_VALUE"""),45781.0)</f>
        <v>45781</v>
      </c>
      <c r="GP46" s="179">
        <f>IFERROR(__xludf.DUMMYFUNCTION("""COMPUTED_VALUE"""),0.0)</f>
        <v>0</v>
      </c>
      <c r="GQ46" s="180">
        <f>IFERROR(__xludf.DUMMYFUNCTION("""COMPUTED_VALUE"""),45781.0)</f>
        <v>45781</v>
      </c>
      <c r="GR46" s="179">
        <f>IFERROR(__xludf.DUMMYFUNCTION("""COMPUTED_VALUE"""),0.0)</f>
        <v>0</v>
      </c>
      <c r="GS46" s="180">
        <f>IFERROR(__xludf.DUMMYFUNCTION("""COMPUTED_VALUE"""),45872.0)</f>
        <v>45872</v>
      </c>
      <c r="GT46" s="179">
        <f>IFERROR(__xludf.DUMMYFUNCTION("""COMPUTED_VALUE"""),0.0)</f>
        <v>0</v>
      </c>
    </row>
    <row r="47" ht="31.5" customHeight="1">
      <c r="B47" s="183"/>
      <c r="C47" s="178">
        <f>IFERROR(__xludf.DUMMYFUNCTION("""COMPUTED_VALUE"""),45662.0)</f>
        <v>45662</v>
      </c>
      <c r="D47" s="179">
        <f>IFERROR(__xludf.DUMMYFUNCTION("""COMPUTED_VALUE"""),0.0)</f>
        <v>0</v>
      </c>
      <c r="E47" s="180">
        <f>IFERROR(__xludf.DUMMYFUNCTION("""COMPUTED_VALUE"""),45693.0)</f>
        <v>45693</v>
      </c>
      <c r="F47" s="179">
        <f>IFERROR(__xludf.DUMMYFUNCTION("""COMPUTED_VALUE"""),0.0)</f>
        <v>0</v>
      </c>
      <c r="G47" s="180">
        <f>IFERROR(__xludf.DUMMYFUNCTION("""COMPUTED_VALUE"""),45693.0)</f>
        <v>45693</v>
      </c>
      <c r="H47" s="179">
        <f>IFERROR(__xludf.DUMMYFUNCTION("""COMPUTED_VALUE"""),0.0)</f>
        <v>0</v>
      </c>
      <c r="I47" s="180">
        <f>IFERROR(__xludf.DUMMYFUNCTION("""COMPUTED_VALUE"""),45752.0)</f>
        <v>45752</v>
      </c>
      <c r="J47" s="179">
        <f>IFERROR(__xludf.DUMMYFUNCTION("""COMPUTED_VALUE"""),0.0)</f>
        <v>0</v>
      </c>
      <c r="K47" s="180">
        <f>IFERROR(__xludf.DUMMYFUNCTION("""COMPUTED_VALUE"""),45904.0)</f>
        <v>45904</v>
      </c>
      <c r="L47" s="179">
        <f>IFERROR(__xludf.DUMMYFUNCTION("""COMPUTED_VALUE"""),0.0)</f>
        <v>0</v>
      </c>
      <c r="M47" s="180">
        <f>IFERROR(__xludf.DUMMYFUNCTION("""COMPUTED_VALUE"""),45662.0)</f>
        <v>45662</v>
      </c>
      <c r="N47" s="179">
        <f>IFERROR(__xludf.DUMMYFUNCTION("""COMPUTED_VALUE"""),0.0)</f>
        <v>0</v>
      </c>
      <c r="O47" s="180">
        <f>IFERROR(__xludf.DUMMYFUNCTION("""COMPUTED_VALUE"""),45842.0)</f>
        <v>45842</v>
      </c>
      <c r="P47" s="179">
        <f>IFERROR(__xludf.DUMMYFUNCTION("""COMPUTED_VALUE"""),0.0)</f>
        <v>0</v>
      </c>
      <c r="Q47" s="180">
        <f>IFERROR(__xludf.DUMMYFUNCTION("""COMPUTED_VALUE"""),45873.0)</f>
        <v>45873</v>
      </c>
      <c r="R47" s="179">
        <f>IFERROR(__xludf.DUMMYFUNCTION("""COMPUTED_VALUE"""),0.0)</f>
        <v>0</v>
      </c>
      <c r="S47" s="180">
        <f>IFERROR(__xludf.DUMMYFUNCTION("""COMPUTED_VALUE"""),45721.0)</f>
        <v>45721</v>
      </c>
      <c r="T47" s="179">
        <f>IFERROR(__xludf.DUMMYFUNCTION("""COMPUTED_VALUE"""),0.0)</f>
        <v>0</v>
      </c>
      <c r="U47" s="180">
        <f>IFERROR(__xludf.DUMMYFUNCTION("""COMPUTED_VALUE"""),45812.0)</f>
        <v>45812</v>
      </c>
      <c r="V47" s="181">
        <f>IFERROR(__xludf.DUMMYFUNCTION("""COMPUTED_VALUE"""),0.0)</f>
        <v>0</v>
      </c>
      <c r="W47" s="178">
        <f>IFERROR(__xludf.DUMMYFUNCTION("""COMPUTED_VALUE"""),45752.0)</f>
        <v>45752</v>
      </c>
      <c r="X47" s="179">
        <f>IFERROR(__xludf.DUMMYFUNCTION("""COMPUTED_VALUE"""),0.0)</f>
        <v>0</v>
      </c>
      <c r="Y47" s="180">
        <f>IFERROR(__xludf.DUMMYFUNCTION("""COMPUTED_VALUE"""),45873.0)</f>
        <v>45873</v>
      </c>
      <c r="Z47" s="179">
        <f>IFERROR(__xludf.DUMMYFUNCTION("""COMPUTED_VALUE"""),0.0)</f>
        <v>0</v>
      </c>
      <c r="AA47" s="180">
        <f>IFERROR(__xludf.DUMMYFUNCTION("""COMPUTED_VALUE"""),45721.0)</f>
        <v>45721</v>
      </c>
      <c r="AB47" s="179">
        <f>IFERROR(__xludf.DUMMYFUNCTION("""COMPUTED_VALUE"""),0.0)</f>
        <v>0</v>
      </c>
      <c r="AC47" s="180">
        <f>IFERROR(__xludf.DUMMYFUNCTION("""COMPUTED_VALUE"""),45812.0)</f>
        <v>45812</v>
      </c>
      <c r="AD47" s="179">
        <f>IFERROR(__xludf.DUMMYFUNCTION("""COMPUTED_VALUE"""),0.0)</f>
        <v>0</v>
      </c>
      <c r="AE47" s="180">
        <f>IFERROR(__xludf.DUMMYFUNCTION("""COMPUTED_VALUE"""),45904.0)</f>
        <v>45904</v>
      </c>
      <c r="AF47" s="179">
        <f>IFERROR(__xludf.DUMMYFUNCTION("""COMPUTED_VALUE"""),0.0)</f>
        <v>0</v>
      </c>
      <c r="AG47" s="180">
        <f>IFERROR(__xludf.DUMMYFUNCTION("""COMPUTED_VALUE"""),45752.0)</f>
        <v>45752</v>
      </c>
      <c r="AH47" s="179">
        <f>IFERROR(__xludf.DUMMYFUNCTION("""COMPUTED_VALUE"""),0.0)</f>
        <v>0</v>
      </c>
      <c r="AI47" s="180">
        <f>IFERROR(__xludf.DUMMYFUNCTION("""COMPUTED_VALUE"""),45812.0)</f>
        <v>45812</v>
      </c>
      <c r="AJ47" s="179">
        <f>IFERROR(__xludf.DUMMYFUNCTION("""COMPUTED_VALUE"""),0.0)</f>
        <v>0</v>
      </c>
      <c r="AK47" s="180">
        <f>IFERROR(__xludf.DUMMYFUNCTION("""COMPUTED_VALUE"""),45693.0)</f>
        <v>45693</v>
      </c>
      <c r="AL47" s="179">
        <f>IFERROR(__xludf.DUMMYFUNCTION("""COMPUTED_VALUE"""),0.0)</f>
        <v>0</v>
      </c>
      <c r="AM47" s="180">
        <f>IFERROR(__xludf.DUMMYFUNCTION("""COMPUTED_VALUE"""),45752.0)</f>
        <v>45752</v>
      </c>
      <c r="AN47" s="179">
        <f>IFERROR(__xludf.DUMMYFUNCTION("""COMPUTED_VALUE"""),0.0)</f>
        <v>0</v>
      </c>
      <c r="AO47" s="180">
        <f>IFERROR(__xludf.DUMMYFUNCTION("""COMPUTED_VALUE"""),45934.0)</f>
        <v>45934</v>
      </c>
      <c r="AP47" s="181">
        <f>IFERROR(__xludf.DUMMYFUNCTION("""COMPUTED_VALUE"""),0.0)</f>
        <v>0</v>
      </c>
      <c r="AQ47" s="178">
        <f>IFERROR(__xludf.DUMMYFUNCTION("""COMPUTED_VALUE"""),45782.0)</f>
        <v>45782</v>
      </c>
      <c r="AR47" s="179">
        <f>IFERROR(__xludf.DUMMYFUNCTION("""COMPUTED_VALUE"""),0.0)</f>
        <v>0</v>
      </c>
      <c r="AS47" s="180">
        <f>IFERROR(__xludf.DUMMYFUNCTION("""COMPUTED_VALUE"""),45782.0)</f>
        <v>45782</v>
      </c>
      <c r="AT47" s="179">
        <f>IFERROR(__xludf.DUMMYFUNCTION("""COMPUTED_VALUE"""),0.0)</f>
        <v>0</v>
      </c>
      <c r="AU47" s="180">
        <f>IFERROR(__xludf.DUMMYFUNCTION("""COMPUTED_VALUE"""),45752.0)</f>
        <v>45752</v>
      </c>
      <c r="AV47" s="179">
        <f>IFERROR(__xludf.DUMMYFUNCTION("""COMPUTED_VALUE"""),0.0)</f>
        <v>0</v>
      </c>
      <c r="AW47" s="180">
        <f>IFERROR(__xludf.DUMMYFUNCTION("""COMPUTED_VALUE"""),45752.0)</f>
        <v>45752</v>
      </c>
      <c r="AX47" s="179">
        <f>IFERROR(__xludf.DUMMYFUNCTION("""COMPUTED_VALUE"""),0.0)</f>
        <v>0</v>
      </c>
      <c r="AY47" s="180">
        <f>IFERROR(__xludf.DUMMYFUNCTION("""COMPUTED_VALUE"""),45782.0)</f>
        <v>45782</v>
      </c>
      <c r="AZ47" s="179">
        <f>IFERROR(__xludf.DUMMYFUNCTION("""COMPUTED_VALUE"""),0.0)</f>
        <v>0</v>
      </c>
      <c r="BA47" s="180">
        <f>IFERROR(__xludf.DUMMYFUNCTION("""COMPUTED_VALUE"""),45782.0)</f>
        <v>45782</v>
      </c>
      <c r="BB47" s="179">
        <f>IFERROR(__xludf.DUMMYFUNCTION("""COMPUTED_VALUE"""),0.0)</f>
        <v>0</v>
      </c>
      <c r="BC47" s="180">
        <f>IFERROR(__xludf.DUMMYFUNCTION("""COMPUTED_VALUE"""),45752.0)</f>
        <v>45752</v>
      </c>
      <c r="BD47" s="179">
        <f>IFERROR(__xludf.DUMMYFUNCTION("""COMPUTED_VALUE"""),0.0)</f>
        <v>0</v>
      </c>
      <c r="BE47" s="180">
        <f>IFERROR(__xludf.DUMMYFUNCTION("""COMPUTED_VALUE"""),45782.0)</f>
        <v>45782</v>
      </c>
      <c r="BF47" s="179">
        <f>IFERROR(__xludf.DUMMYFUNCTION("""COMPUTED_VALUE"""),0.0)</f>
        <v>0</v>
      </c>
      <c r="BG47" s="180">
        <f>IFERROR(__xludf.DUMMYFUNCTION("""COMPUTED_VALUE"""),45752.0)</f>
        <v>45752</v>
      </c>
      <c r="BH47" s="179">
        <f>IFERROR(__xludf.DUMMYFUNCTION("""COMPUTED_VALUE"""),0.0)</f>
        <v>0</v>
      </c>
      <c r="BI47" s="180">
        <f>IFERROR(__xludf.DUMMYFUNCTION("""COMPUTED_VALUE"""),45782.0)</f>
        <v>45782</v>
      </c>
      <c r="BJ47" s="179">
        <f>IFERROR(__xludf.DUMMYFUNCTION("""COMPUTED_VALUE"""),0.0)</f>
        <v>0</v>
      </c>
      <c r="BK47" s="182">
        <f>IFERROR(__xludf.DUMMYFUNCTION("""COMPUTED_VALUE"""),45721.0)</f>
        <v>45721</v>
      </c>
      <c r="BL47" s="179">
        <f>IFERROR(__xludf.DUMMYFUNCTION("""COMPUTED_VALUE"""),0.0)</f>
        <v>0</v>
      </c>
      <c r="BM47" s="180">
        <f>IFERROR(__xludf.DUMMYFUNCTION("""COMPUTED_VALUE"""),45782.0)</f>
        <v>45782</v>
      </c>
      <c r="BN47" s="179">
        <f>IFERROR(__xludf.DUMMYFUNCTION("""COMPUTED_VALUE"""),0.0)</f>
        <v>0</v>
      </c>
      <c r="BO47" s="180">
        <f>IFERROR(__xludf.DUMMYFUNCTION("""COMPUTED_VALUE"""),45752.0)</f>
        <v>45752</v>
      </c>
      <c r="BP47" s="179">
        <f>IFERROR(__xludf.DUMMYFUNCTION("""COMPUTED_VALUE"""),0.0)</f>
        <v>0</v>
      </c>
      <c r="BQ47" s="180">
        <f>IFERROR(__xludf.DUMMYFUNCTION("""COMPUTED_VALUE"""),45721.0)</f>
        <v>45721</v>
      </c>
      <c r="BR47" s="179">
        <f>IFERROR(__xludf.DUMMYFUNCTION("""COMPUTED_VALUE"""),0.0)</f>
        <v>0</v>
      </c>
      <c r="BS47" s="180">
        <f>IFERROR(__xludf.DUMMYFUNCTION("""COMPUTED_VALUE"""),45782.0)</f>
        <v>45782</v>
      </c>
      <c r="BT47" s="179">
        <f>IFERROR(__xludf.DUMMYFUNCTION("""COMPUTED_VALUE"""),0.0)</f>
        <v>0</v>
      </c>
      <c r="BU47" s="180">
        <f>IFERROR(__xludf.DUMMYFUNCTION("""COMPUTED_VALUE"""),45752.0)</f>
        <v>45752</v>
      </c>
      <c r="BV47" s="179">
        <f>IFERROR(__xludf.DUMMYFUNCTION("""COMPUTED_VALUE"""),0.0)</f>
        <v>0</v>
      </c>
      <c r="BW47" s="180">
        <f>IFERROR(__xludf.DUMMYFUNCTION("""COMPUTED_VALUE"""),45933.0)</f>
        <v>45933</v>
      </c>
      <c r="BX47" s="179">
        <f>IFERROR(__xludf.DUMMYFUNCTION("""COMPUTED_VALUE"""),0.0)</f>
        <v>0</v>
      </c>
      <c r="BY47" s="180">
        <f>IFERROR(__xludf.DUMMYFUNCTION("""COMPUTED_VALUE"""),45721.0)</f>
        <v>45721</v>
      </c>
      <c r="BZ47" s="179">
        <f>IFERROR(__xludf.DUMMYFUNCTION("""COMPUTED_VALUE"""),0.0)</f>
        <v>0</v>
      </c>
      <c r="CA47" s="180">
        <f>IFERROR(__xludf.DUMMYFUNCTION("""COMPUTED_VALUE"""),45782.0)</f>
        <v>45782</v>
      </c>
      <c r="CB47" s="179">
        <f>IFERROR(__xludf.DUMMYFUNCTION("""COMPUTED_VALUE"""),0.0)</f>
        <v>0</v>
      </c>
      <c r="CC47" s="180">
        <f>IFERROR(__xludf.DUMMYFUNCTION("""COMPUTED_VALUE"""),45752.0)</f>
        <v>45752</v>
      </c>
      <c r="CD47" s="179">
        <f>IFERROR(__xludf.DUMMYFUNCTION("""COMPUTED_VALUE"""),0.0)</f>
        <v>0</v>
      </c>
      <c r="CE47" s="182">
        <f>IFERROR(__xludf.DUMMYFUNCTION("""COMPUTED_VALUE"""),45812.0)</f>
        <v>45812</v>
      </c>
      <c r="CF47" s="179">
        <f>IFERROR(__xludf.DUMMYFUNCTION("""COMPUTED_VALUE"""),0.0)</f>
        <v>0</v>
      </c>
      <c r="CG47" s="180">
        <f>IFERROR(__xludf.DUMMYFUNCTION("""COMPUTED_VALUE"""),45933.0)</f>
        <v>45933</v>
      </c>
      <c r="CH47" s="179">
        <f>IFERROR(__xludf.DUMMYFUNCTION("""COMPUTED_VALUE"""),0.0)</f>
        <v>0</v>
      </c>
      <c r="CI47" s="180">
        <f>IFERROR(__xludf.DUMMYFUNCTION("""COMPUTED_VALUE"""),45661.0)</f>
        <v>45661</v>
      </c>
      <c r="CJ47" s="179">
        <f>IFERROR(__xludf.DUMMYFUNCTION("""COMPUTED_VALUE"""),0.0)</f>
        <v>0</v>
      </c>
      <c r="CK47" s="180">
        <f>IFERROR(__xludf.DUMMYFUNCTION("""COMPUTED_VALUE"""),45692.0)</f>
        <v>45692</v>
      </c>
      <c r="CL47" s="179">
        <f>IFERROR(__xludf.DUMMYFUNCTION("""COMPUTED_VALUE"""),0.0)</f>
        <v>0</v>
      </c>
      <c r="CM47" s="180">
        <f>IFERROR(__xludf.DUMMYFUNCTION("""COMPUTED_VALUE"""),45781.0)</f>
        <v>45781</v>
      </c>
      <c r="CN47" s="179">
        <f>IFERROR(__xludf.DUMMYFUNCTION("""COMPUTED_VALUE"""),0.0)</f>
        <v>0</v>
      </c>
      <c r="CO47" s="180">
        <f>IFERROR(__xludf.DUMMYFUNCTION("""COMPUTED_VALUE"""),45751.0)</f>
        <v>45751</v>
      </c>
      <c r="CP47" s="179">
        <f>IFERROR(__xludf.DUMMYFUNCTION("""COMPUTED_VALUE"""),0.0)</f>
        <v>0</v>
      </c>
      <c r="CQ47" s="180">
        <f>IFERROR(__xludf.DUMMYFUNCTION("""COMPUTED_VALUE"""),45872.0)</f>
        <v>45872</v>
      </c>
      <c r="CR47" s="179">
        <f>IFERROR(__xludf.DUMMYFUNCTION("""COMPUTED_VALUE"""),0.0)</f>
        <v>0</v>
      </c>
      <c r="CS47" s="180">
        <f>IFERROR(__xludf.DUMMYFUNCTION("""COMPUTED_VALUE"""),45751.0)</f>
        <v>45751</v>
      </c>
      <c r="CT47" s="179">
        <f>IFERROR(__xludf.DUMMYFUNCTION("""COMPUTED_VALUE"""),0.0)</f>
        <v>0</v>
      </c>
      <c r="CU47" s="180">
        <f>IFERROR(__xludf.DUMMYFUNCTION("""COMPUTED_VALUE"""),45812.0)</f>
        <v>45812</v>
      </c>
      <c r="CV47" s="179">
        <f>IFERROR(__xludf.DUMMYFUNCTION("""COMPUTED_VALUE"""),0.0)</f>
        <v>0</v>
      </c>
      <c r="CW47" s="180">
        <f>IFERROR(__xludf.DUMMYFUNCTION("""COMPUTED_VALUE"""),45811.0)</f>
        <v>45811</v>
      </c>
      <c r="CX47" s="179">
        <f>IFERROR(__xludf.DUMMYFUNCTION("""COMPUTED_VALUE"""),0.0)</f>
        <v>0</v>
      </c>
      <c r="CY47" s="182">
        <f>IFERROR(__xludf.DUMMYFUNCTION("""COMPUTED_VALUE"""),45812.0)</f>
        <v>45812</v>
      </c>
      <c r="CZ47" s="179">
        <f>IFERROR(__xludf.DUMMYFUNCTION("""COMPUTED_VALUE"""),0.0)</f>
        <v>0</v>
      </c>
      <c r="DA47" s="180">
        <f>IFERROR(__xludf.DUMMYFUNCTION("""COMPUTED_VALUE"""),45781.0)</f>
        <v>45781</v>
      </c>
      <c r="DB47" s="179">
        <f>IFERROR(__xludf.DUMMYFUNCTION("""COMPUTED_VALUE"""),0.0)</f>
        <v>0</v>
      </c>
      <c r="DC47" s="180">
        <f>IFERROR(__xludf.DUMMYFUNCTION("""COMPUTED_VALUE"""),45692.0)</f>
        <v>45692</v>
      </c>
      <c r="DD47" s="179">
        <f>IFERROR(__xludf.DUMMYFUNCTION("""COMPUTED_VALUE"""),0.0)</f>
        <v>0</v>
      </c>
      <c r="DE47" s="180">
        <f>IFERROR(__xludf.DUMMYFUNCTION("""COMPUTED_VALUE"""),45720.0)</f>
        <v>45720</v>
      </c>
      <c r="DF47" s="179">
        <f>IFERROR(__xludf.DUMMYFUNCTION("""COMPUTED_VALUE"""),0.0)</f>
        <v>0</v>
      </c>
      <c r="DG47" s="180">
        <f>IFERROR(__xludf.DUMMYFUNCTION("""COMPUTED_VALUE"""),45812.0)</f>
        <v>45812</v>
      </c>
      <c r="DH47" s="179">
        <f>IFERROR(__xludf.DUMMYFUNCTION("""COMPUTED_VALUE"""),0.0)</f>
        <v>0</v>
      </c>
      <c r="DI47" s="180">
        <f>IFERROR(__xludf.DUMMYFUNCTION("""COMPUTED_VALUE"""),45812.0)</f>
        <v>45812</v>
      </c>
      <c r="DJ47" s="179">
        <f>IFERROR(__xludf.DUMMYFUNCTION("""COMPUTED_VALUE"""),0.0)</f>
        <v>0</v>
      </c>
      <c r="DK47" s="180">
        <f>IFERROR(__xludf.DUMMYFUNCTION("""COMPUTED_VALUE"""),45751.0)</f>
        <v>45751</v>
      </c>
      <c r="DL47" s="179">
        <f>IFERROR(__xludf.DUMMYFUNCTION("""COMPUTED_VALUE"""),0.0)</f>
        <v>0</v>
      </c>
      <c r="DM47" s="180">
        <f>IFERROR(__xludf.DUMMYFUNCTION("""COMPUTED_VALUE"""),45751.0)</f>
        <v>45751</v>
      </c>
      <c r="DN47" s="179">
        <f>IFERROR(__xludf.DUMMYFUNCTION("""COMPUTED_VALUE"""),0.0)</f>
        <v>0</v>
      </c>
      <c r="DO47" s="180">
        <f>IFERROR(__xludf.DUMMYFUNCTION("""COMPUTED_VALUE"""),45751.0)</f>
        <v>45751</v>
      </c>
      <c r="DP47" s="179">
        <f>IFERROR(__xludf.DUMMYFUNCTION("""COMPUTED_VALUE"""),0.0)</f>
        <v>0</v>
      </c>
      <c r="DQ47" s="180">
        <f>IFERROR(__xludf.DUMMYFUNCTION("""COMPUTED_VALUE"""),45933.0)</f>
        <v>45933</v>
      </c>
      <c r="DR47" s="179">
        <f>IFERROR(__xludf.DUMMYFUNCTION("""COMPUTED_VALUE"""),0.0)</f>
        <v>0</v>
      </c>
      <c r="DS47" s="182">
        <f>IFERROR(__xludf.DUMMYFUNCTION("""COMPUTED_VALUE"""),45781.0)</f>
        <v>45781</v>
      </c>
      <c r="DT47" s="179">
        <f>IFERROR(__xludf.DUMMYFUNCTION("""COMPUTED_VALUE"""),0.0)</f>
        <v>0</v>
      </c>
      <c r="DU47" s="180">
        <f>IFERROR(__xludf.DUMMYFUNCTION("""COMPUTED_VALUE"""),45751.0)</f>
        <v>45751</v>
      </c>
      <c r="DV47" s="179">
        <f>IFERROR(__xludf.DUMMYFUNCTION("""COMPUTED_VALUE"""),0.0)</f>
        <v>0</v>
      </c>
      <c r="DW47" s="180">
        <f>IFERROR(__xludf.DUMMYFUNCTION("""COMPUTED_VALUE"""),45751.0)</f>
        <v>45751</v>
      </c>
      <c r="DX47" s="179">
        <f>IFERROR(__xludf.DUMMYFUNCTION("""COMPUTED_VALUE"""),0.0)</f>
        <v>0</v>
      </c>
      <c r="DY47" s="180">
        <f>IFERROR(__xludf.DUMMYFUNCTION("""COMPUTED_VALUE"""),45781.0)</f>
        <v>45781</v>
      </c>
      <c r="DZ47" s="179">
        <f>IFERROR(__xludf.DUMMYFUNCTION("""COMPUTED_VALUE"""),0.0)</f>
        <v>0</v>
      </c>
      <c r="EA47" s="180">
        <f>IFERROR(__xludf.DUMMYFUNCTION("""COMPUTED_VALUE"""),45812.0)</f>
        <v>45812</v>
      </c>
      <c r="EB47" s="179">
        <f>IFERROR(__xludf.DUMMYFUNCTION("""COMPUTED_VALUE"""),0.0)</f>
        <v>0</v>
      </c>
      <c r="EC47" s="180">
        <f>IFERROR(__xludf.DUMMYFUNCTION("""COMPUTED_VALUE"""),45781.0)</f>
        <v>45781</v>
      </c>
      <c r="ED47" s="179">
        <f>IFERROR(__xludf.DUMMYFUNCTION("""COMPUTED_VALUE"""),0.0)</f>
        <v>0</v>
      </c>
      <c r="EE47" s="180">
        <f>IFERROR(__xludf.DUMMYFUNCTION("""COMPUTED_VALUE"""),45692.0)</f>
        <v>45692</v>
      </c>
      <c r="EF47" s="179">
        <f>IFERROR(__xludf.DUMMYFUNCTION("""COMPUTED_VALUE"""),0.0)</f>
        <v>0</v>
      </c>
      <c r="EG47" s="180">
        <f>IFERROR(__xludf.DUMMYFUNCTION("""COMPUTED_VALUE"""),45781.0)</f>
        <v>45781</v>
      </c>
      <c r="EH47" s="179">
        <f>IFERROR(__xludf.DUMMYFUNCTION("""COMPUTED_VALUE"""),0.0)</f>
        <v>0</v>
      </c>
      <c r="EI47" s="180">
        <f>IFERROR(__xludf.DUMMYFUNCTION("""COMPUTED_VALUE"""),45781.0)</f>
        <v>45781</v>
      </c>
      <c r="EJ47" s="179">
        <f>IFERROR(__xludf.DUMMYFUNCTION("""COMPUTED_VALUE"""),0.0)</f>
        <v>0</v>
      </c>
      <c r="EK47" s="180">
        <f>IFERROR(__xludf.DUMMYFUNCTION("""COMPUTED_VALUE"""),45720.0)</f>
        <v>45720</v>
      </c>
      <c r="EL47" s="179">
        <f>IFERROR(__xludf.DUMMYFUNCTION("""COMPUTED_VALUE"""),0.0)</f>
        <v>0</v>
      </c>
      <c r="EM47" s="182">
        <f>IFERROR(__xludf.DUMMYFUNCTION("""COMPUTED_VALUE"""),45692.0)</f>
        <v>45692</v>
      </c>
      <c r="EN47" s="179">
        <f>IFERROR(__xludf.DUMMYFUNCTION("""COMPUTED_VALUE"""),0.0)</f>
        <v>0</v>
      </c>
      <c r="EO47" s="180">
        <f>IFERROR(__xludf.DUMMYFUNCTION("""COMPUTED_VALUE"""),45781.0)</f>
        <v>45781</v>
      </c>
      <c r="EP47" s="179">
        <f>IFERROR(__xludf.DUMMYFUNCTION("""COMPUTED_VALUE"""),0.0)</f>
        <v>0</v>
      </c>
      <c r="EQ47" s="180">
        <f>IFERROR(__xludf.DUMMYFUNCTION("""COMPUTED_VALUE"""),45781.0)</f>
        <v>45781</v>
      </c>
      <c r="ER47" s="179">
        <f>IFERROR(__xludf.DUMMYFUNCTION("""COMPUTED_VALUE"""),0.0)</f>
        <v>0</v>
      </c>
      <c r="ES47" s="180">
        <f>IFERROR(__xludf.DUMMYFUNCTION("""COMPUTED_VALUE"""),45812.0)</f>
        <v>45812</v>
      </c>
      <c r="ET47" s="179">
        <f>IFERROR(__xludf.DUMMYFUNCTION("""COMPUTED_VALUE"""),0.0)</f>
        <v>0</v>
      </c>
      <c r="EU47" s="180">
        <f>IFERROR(__xludf.DUMMYFUNCTION("""COMPUTED_VALUE"""),45781.0)</f>
        <v>45781</v>
      </c>
      <c r="EV47" s="179">
        <f>IFERROR(__xludf.DUMMYFUNCTION("""COMPUTED_VALUE"""),0.0)</f>
        <v>0</v>
      </c>
      <c r="EW47" s="180">
        <f>IFERROR(__xludf.DUMMYFUNCTION("""COMPUTED_VALUE"""),45812.0)</f>
        <v>45812</v>
      </c>
      <c r="EX47" s="179">
        <f>IFERROR(__xludf.DUMMYFUNCTION("""COMPUTED_VALUE"""),0.0)</f>
        <v>0</v>
      </c>
      <c r="EY47" s="180">
        <f>IFERROR(__xludf.DUMMYFUNCTION("""COMPUTED_VALUE"""),45812.0)</f>
        <v>45812</v>
      </c>
      <c r="EZ47" s="179">
        <f>IFERROR(__xludf.DUMMYFUNCTION("""COMPUTED_VALUE"""),0.0)</f>
        <v>0</v>
      </c>
      <c r="FA47" s="180">
        <f>IFERROR(__xludf.DUMMYFUNCTION("""COMPUTED_VALUE"""),45781.0)</f>
        <v>45781</v>
      </c>
      <c r="FB47" s="179">
        <f>IFERROR(__xludf.DUMMYFUNCTION("""COMPUTED_VALUE"""),0.0)</f>
        <v>0</v>
      </c>
      <c r="FC47" s="180">
        <f>IFERROR(__xludf.DUMMYFUNCTION("""COMPUTED_VALUE"""),45812.0)</f>
        <v>45812</v>
      </c>
      <c r="FD47" s="179">
        <f>IFERROR(__xludf.DUMMYFUNCTION("""COMPUTED_VALUE"""),0.0)</f>
        <v>0</v>
      </c>
      <c r="FE47" s="180">
        <f>IFERROR(__xludf.DUMMYFUNCTION("""COMPUTED_VALUE"""),45692.0)</f>
        <v>45692</v>
      </c>
      <c r="FF47" s="179">
        <f>IFERROR(__xludf.DUMMYFUNCTION("""COMPUTED_VALUE"""),0.0)</f>
        <v>0</v>
      </c>
      <c r="FG47" s="182">
        <f>IFERROR(__xludf.DUMMYFUNCTION("""COMPUTED_VALUE"""),45692.0)</f>
        <v>45692</v>
      </c>
      <c r="FH47" s="179">
        <f>IFERROR(__xludf.DUMMYFUNCTION("""COMPUTED_VALUE"""),0.0)</f>
        <v>0</v>
      </c>
      <c r="FI47" s="180">
        <f>IFERROR(__xludf.DUMMYFUNCTION("""COMPUTED_VALUE"""),45692.0)</f>
        <v>45692</v>
      </c>
      <c r="FJ47" s="179">
        <f>IFERROR(__xludf.DUMMYFUNCTION("""COMPUTED_VALUE"""),0.0)</f>
        <v>0</v>
      </c>
      <c r="FK47" s="180">
        <f>IFERROR(__xludf.DUMMYFUNCTION("""COMPUTED_VALUE"""),45872.0)</f>
        <v>45872</v>
      </c>
      <c r="FL47" s="179">
        <f>IFERROR(__xludf.DUMMYFUNCTION("""COMPUTED_VALUE"""),0.0)</f>
        <v>0</v>
      </c>
      <c r="FM47" s="180">
        <f>IFERROR(__xludf.DUMMYFUNCTION("""COMPUTED_VALUE"""),45812.0)</f>
        <v>45812</v>
      </c>
      <c r="FN47" s="179">
        <f>IFERROR(__xludf.DUMMYFUNCTION("""COMPUTED_VALUE"""),0.0)</f>
        <v>0</v>
      </c>
      <c r="FO47" s="180">
        <f>IFERROR(__xludf.DUMMYFUNCTION("""COMPUTED_VALUE"""),45812.0)</f>
        <v>45812</v>
      </c>
      <c r="FP47" s="179">
        <f>IFERROR(__xludf.DUMMYFUNCTION("""COMPUTED_VALUE"""),0.0)</f>
        <v>0</v>
      </c>
      <c r="FQ47" s="180">
        <f>IFERROR(__xludf.DUMMYFUNCTION("""COMPUTED_VALUE"""),45812.0)</f>
        <v>45812</v>
      </c>
      <c r="FR47" s="179">
        <f>IFERROR(__xludf.DUMMYFUNCTION("""COMPUTED_VALUE"""),0.0)</f>
        <v>0</v>
      </c>
      <c r="FS47" s="180">
        <f>IFERROR(__xludf.DUMMYFUNCTION("""COMPUTED_VALUE"""),45692.0)</f>
        <v>45692</v>
      </c>
      <c r="FT47" s="179">
        <f>IFERROR(__xludf.DUMMYFUNCTION("""COMPUTED_VALUE"""),0.0)</f>
        <v>0</v>
      </c>
      <c r="FU47" s="180">
        <f>IFERROR(__xludf.DUMMYFUNCTION("""COMPUTED_VALUE"""),45812.0)</f>
        <v>45812</v>
      </c>
      <c r="FV47" s="179">
        <f>IFERROR(__xludf.DUMMYFUNCTION("""COMPUTED_VALUE"""),0.0)</f>
        <v>0</v>
      </c>
      <c r="FW47" s="180">
        <f>IFERROR(__xludf.DUMMYFUNCTION("""COMPUTED_VALUE"""),45812.0)</f>
        <v>45812</v>
      </c>
      <c r="FX47" s="179">
        <f>IFERROR(__xludf.DUMMYFUNCTION("""COMPUTED_VALUE"""),0.0)</f>
        <v>0</v>
      </c>
      <c r="FY47" s="180">
        <f>IFERROR(__xludf.DUMMYFUNCTION("""COMPUTED_VALUE"""),45872.0)</f>
        <v>45872</v>
      </c>
      <c r="FZ47" s="179">
        <f>IFERROR(__xludf.DUMMYFUNCTION("""COMPUTED_VALUE"""),0.0)</f>
        <v>0</v>
      </c>
      <c r="GA47" s="182">
        <f>IFERROR(__xludf.DUMMYFUNCTION("""COMPUTED_VALUE"""),45812.0)</f>
        <v>45812</v>
      </c>
      <c r="GB47" s="179">
        <f>IFERROR(__xludf.DUMMYFUNCTION("""COMPUTED_VALUE"""),0.0)</f>
        <v>0</v>
      </c>
      <c r="GC47" s="180">
        <f>IFERROR(__xludf.DUMMYFUNCTION("""COMPUTED_VALUE"""),45720.0)</f>
        <v>45720</v>
      </c>
      <c r="GD47" s="179">
        <f>IFERROR(__xludf.DUMMYFUNCTION("""COMPUTED_VALUE"""),0.0)</f>
        <v>0</v>
      </c>
      <c r="GE47" s="180">
        <f>IFERROR(__xludf.DUMMYFUNCTION("""COMPUTED_VALUE"""),45720.0)</f>
        <v>45720</v>
      </c>
      <c r="GF47" s="179">
        <f>IFERROR(__xludf.DUMMYFUNCTION("""COMPUTED_VALUE"""),0.0)</f>
        <v>0</v>
      </c>
      <c r="GG47" s="180">
        <f>IFERROR(__xludf.DUMMYFUNCTION("""COMPUTED_VALUE"""),45751.0)</f>
        <v>45751</v>
      </c>
      <c r="GH47" s="179">
        <f>IFERROR(__xludf.DUMMYFUNCTION("""COMPUTED_VALUE"""),0.0)</f>
        <v>0</v>
      </c>
      <c r="GI47" s="180">
        <f>IFERROR(__xludf.DUMMYFUNCTION("""COMPUTED_VALUE"""),45812.0)</f>
        <v>45812</v>
      </c>
      <c r="GJ47" s="179">
        <f>IFERROR(__xludf.DUMMYFUNCTION("""COMPUTED_VALUE"""),0.0)</f>
        <v>0</v>
      </c>
      <c r="GK47" s="180">
        <f>IFERROR(__xludf.DUMMYFUNCTION("""COMPUTED_VALUE"""),45812.0)</f>
        <v>45812</v>
      </c>
      <c r="GL47" s="179">
        <f>IFERROR(__xludf.DUMMYFUNCTION("""COMPUTED_VALUE"""),0.0)</f>
        <v>0</v>
      </c>
      <c r="GM47" s="180">
        <f>IFERROR(__xludf.DUMMYFUNCTION("""COMPUTED_VALUE"""),45933.0)</f>
        <v>45933</v>
      </c>
      <c r="GN47" s="179">
        <f>IFERROR(__xludf.DUMMYFUNCTION("""COMPUTED_VALUE"""),0.0)</f>
        <v>0</v>
      </c>
      <c r="GO47" s="180">
        <f>IFERROR(__xludf.DUMMYFUNCTION("""COMPUTED_VALUE"""),45812.0)</f>
        <v>45812</v>
      </c>
      <c r="GP47" s="179">
        <f>IFERROR(__xludf.DUMMYFUNCTION("""COMPUTED_VALUE"""),0.0)</f>
        <v>0</v>
      </c>
      <c r="GQ47" s="180">
        <f>IFERROR(__xludf.DUMMYFUNCTION("""COMPUTED_VALUE"""),45812.0)</f>
        <v>45812</v>
      </c>
      <c r="GR47" s="179">
        <f>IFERROR(__xludf.DUMMYFUNCTION("""COMPUTED_VALUE"""),0.0)</f>
        <v>0</v>
      </c>
      <c r="GS47" s="180">
        <f>IFERROR(__xludf.DUMMYFUNCTION("""COMPUTED_VALUE"""),45903.0)</f>
        <v>45903</v>
      </c>
      <c r="GT47" s="179">
        <f>IFERROR(__xludf.DUMMYFUNCTION("""COMPUTED_VALUE"""),0.0)</f>
        <v>0</v>
      </c>
    </row>
    <row r="48" ht="31.5" customHeight="1">
      <c r="B48" s="183"/>
      <c r="C48" s="178">
        <f>IFERROR(__xludf.DUMMYFUNCTION("""COMPUTED_VALUE"""),45693.0)</f>
        <v>45693</v>
      </c>
      <c r="D48" s="179">
        <f>IFERROR(__xludf.DUMMYFUNCTION("""COMPUTED_VALUE"""),0.0)</f>
        <v>0</v>
      </c>
      <c r="E48" s="180">
        <f>IFERROR(__xludf.DUMMYFUNCTION("""COMPUTED_VALUE"""),45721.0)</f>
        <v>45721</v>
      </c>
      <c r="F48" s="179">
        <f>IFERROR(__xludf.DUMMYFUNCTION("""COMPUTED_VALUE"""),0.0)</f>
        <v>0</v>
      </c>
      <c r="G48" s="180">
        <f>IFERROR(__xludf.DUMMYFUNCTION("""COMPUTED_VALUE"""),45721.0)</f>
        <v>45721</v>
      </c>
      <c r="H48" s="179">
        <f>IFERROR(__xludf.DUMMYFUNCTION("""COMPUTED_VALUE"""),0.0)</f>
        <v>0</v>
      </c>
      <c r="I48" s="180">
        <f>IFERROR(__xludf.DUMMYFUNCTION("""COMPUTED_VALUE"""),45782.0)</f>
        <v>45782</v>
      </c>
      <c r="J48" s="179">
        <f>IFERROR(__xludf.DUMMYFUNCTION("""COMPUTED_VALUE"""),0.0)</f>
        <v>0</v>
      </c>
      <c r="K48" s="180">
        <f>IFERROR(__xludf.DUMMYFUNCTION("""COMPUTED_VALUE"""),45934.0)</f>
        <v>45934</v>
      </c>
      <c r="L48" s="179">
        <f>IFERROR(__xludf.DUMMYFUNCTION("""COMPUTED_VALUE"""),0.0)</f>
        <v>0</v>
      </c>
      <c r="M48" s="180">
        <f>IFERROR(__xludf.DUMMYFUNCTION("""COMPUTED_VALUE"""),45693.0)</f>
        <v>45693</v>
      </c>
      <c r="N48" s="179">
        <f>IFERROR(__xludf.DUMMYFUNCTION("""COMPUTED_VALUE"""),0.0)</f>
        <v>0</v>
      </c>
      <c r="O48" s="180">
        <f>IFERROR(__xludf.DUMMYFUNCTION("""COMPUTED_VALUE"""),45873.0)</f>
        <v>45873</v>
      </c>
      <c r="P48" s="179">
        <f>IFERROR(__xludf.DUMMYFUNCTION("""COMPUTED_VALUE"""),0.0)</f>
        <v>0</v>
      </c>
      <c r="Q48" s="180">
        <f>IFERROR(__xludf.DUMMYFUNCTION("""COMPUTED_VALUE"""),45904.0)</f>
        <v>45904</v>
      </c>
      <c r="R48" s="179">
        <f>IFERROR(__xludf.DUMMYFUNCTION("""COMPUTED_VALUE"""),0.0)</f>
        <v>0</v>
      </c>
      <c r="S48" s="180">
        <f>IFERROR(__xludf.DUMMYFUNCTION("""COMPUTED_VALUE"""),45752.0)</f>
        <v>45752</v>
      </c>
      <c r="T48" s="179">
        <f>IFERROR(__xludf.DUMMYFUNCTION("""COMPUTED_VALUE"""),0.0)</f>
        <v>0</v>
      </c>
      <c r="U48" s="180">
        <f>IFERROR(__xludf.DUMMYFUNCTION("""COMPUTED_VALUE"""),45873.0)</f>
        <v>45873</v>
      </c>
      <c r="V48" s="181">
        <f>IFERROR(__xludf.DUMMYFUNCTION("""COMPUTED_VALUE"""),0.0)</f>
        <v>0</v>
      </c>
      <c r="W48" s="178">
        <f>IFERROR(__xludf.DUMMYFUNCTION("""COMPUTED_VALUE"""),45782.0)</f>
        <v>45782</v>
      </c>
      <c r="X48" s="179">
        <f>IFERROR(__xludf.DUMMYFUNCTION("""COMPUTED_VALUE"""),0.0)</f>
        <v>0</v>
      </c>
      <c r="Y48" s="180">
        <f>IFERROR(__xludf.DUMMYFUNCTION("""COMPUTED_VALUE"""),45904.0)</f>
        <v>45904</v>
      </c>
      <c r="Z48" s="179">
        <f>IFERROR(__xludf.DUMMYFUNCTION("""COMPUTED_VALUE"""),0.0)</f>
        <v>0</v>
      </c>
      <c r="AA48" s="180">
        <f>IFERROR(__xludf.DUMMYFUNCTION("""COMPUTED_VALUE"""),45752.0)</f>
        <v>45752</v>
      </c>
      <c r="AB48" s="179">
        <f>IFERROR(__xludf.DUMMYFUNCTION("""COMPUTED_VALUE"""),0.0)</f>
        <v>0</v>
      </c>
      <c r="AC48" s="180">
        <f>IFERROR(__xludf.DUMMYFUNCTION("""COMPUTED_VALUE"""),45842.0)</f>
        <v>45842</v>
      </c>
      <c r="AD48" s="179">
        <f>IFERROR(__xludf.DUMMYFUNCTION("""COMPUTED_VALUE"""),0.0)</f>
        <v>0</v>
      </c>
      <c r="AE48" s="180">
        <f>IFERROR(__xludf.DUMMYFUNCTION("""COMPUTED_VALUE"""),45934.0)</f>
        <v>45934</v>
      </c>
      <c r="AF48" s="179">
        <f>IFERROR(__xludf.DUMMYFUNCTION("""COMPUTED_VALUE"""),0.0)</f>
        <v>0</v>
      </c>
      <c r="AG48" s="180">
        <f>IFERROR(__xludf.DUMMYFUNCTION("""COMPUTED_VALUE"""),45782.0)</f>
        <v>45782</v>
      </c>
      <c r="AH48" s="179">
        <f>IFERROR(__xludf.DUMMYFUNCTION("""COMPUTED_VALUE"""),0.0)</f>
        <v>0</v>
      </c>
      <c r="AI48" s="180">
        <f>IFERROR(__xludf.DUMMYFUNCTION("""COMPUTED_VALUE"""),45842.0)</f>
        <v>45842</v>
      </c>
      <c r="AJ48" s="179">
        <f>IFERROR(__xludf.DUMMYFUNCTION("""COMPUTED_VALUE"""),0.0)</f>
        <v>0</v>
      </c>
      <c r="AK48" s="180">
        <f>IFERROR(__xludf.DUMMYFUNCTION("""COMPUTED_VALUE"""),45721.0)</f>
        <v>45721</v>
      </c>
      <c r="AL48" s="179">
        <f>IFERROR(__xludf.DUMMYFUNCTION("""COMPUTED_VALUE"""),0.0)</f>
        <v>0</v>
      </c>
      <c r="AM48" s="180">
        <f>IFERROR(__xludf.DUMMYFUNCTION("""COMPUTED_VALUE"""),45782.0)</f>
        <v>45782</v>
      </c>
      <c r="AN48" s="179">
        <f>IFERROR(__xludf.DUMMYFUNCTION("""COMPUTED_VALUE"""),0.0)</f>
        <v>0</v>
      </c>
      <c r="AO48" s="180">
        <f>IFERROR(__xludf.DUMMYFUNCTION("""COMPUTED_VALUE"""),45662.0)</f>
        <v>45662</v>
      </c>
      <c r="AP48" s="181">
        <f>IFERROR(__xludf.DUMMYFUNCTION("""COMPUTED_VALUE"""),0.0)</f>
        <v>0</v>
      </c>
      <c r="AQ48" s="178">
        <f>IFERROR(__xludf.DUMMYFUNCTION("""COMPUTED_VALUE"""),45813.0)</f>
        <v>45813</v>
      </c>
      <c r="AR48" s="179">
        <f>IFERROR(__xludf.DUMMYFUNCTION("""COMPUTED_VALUE"""),0.0)</f>
        <v>0</v>
      </c>
      <c r="AS48" s="180">
        <f>IFERROR(__xludf.DUMMYFUNCTION("""COMPUTED_VALUE"""),45813.0)</f>
        <v>45813</v>
      </c>
      <c r="AT48" s="179">
        <f>IFERROR(__xludf.DUMMYFUNCTION("""COMPUTED_VALUE"""),0.0)</f>
        <v>0</v>
      </c>
      <c r="AU48" s="180">
        <f>IFERROR(__xludf.DUMMYFUNCTION("""COMPUTED_VALUE"""),45782.0)</f>
        <v>45782</v>
      </c>
      <c r="AV48" s="179">
        <f>IFERROR(__xludf.DUMMYFUNCTION("""COMPUTED_VALUE"""),0.0)</f>
        <v>0</v>
      </c>
      <c r="AW48" s="180">
        <f>IFERROR(__xludf.DUMMYFUNCTION("""COMPUTED_VALUE"""),45782.0)</f>
        <v>45782</v>
      </c>
      <c r="AX48" s="179">
        <f>IFERROR(__xludf.DUMMYFUNCTION("""COMPUTED_VALUE"""),0.0)</f>
        <v>0</v>
      </c>
      <c r="AY48" s="180">
        <f>IFERROR(__xludf.DUMMYFUNCTION("""COMPUTED_VALUE"""),45813.0)</f>
        <v>45813</v>
      </c>
      <c r="AZ48" s="179">
        <f>IFERROR(__xludf.DUMMYFUNCTION("""COMPUTED_VALUE"""),0.0)</f>
        <v>0</v>
      </c>
      <c r="BA48" s="180">
        <f>IFERROR(__xludf.DUMMYFUNCTION("""COMPUTED_VALUE"""),45813.0)</f>
        <v>45813</v>
      </c>
      <c r="BB48" s="179">
        <f>IFERROR(__xludf.DUMMYFUNCTION("""COMPUTED_VALUE"""),0.0)</f>
        <v>0</v>
      </c>
      <c r="BC48" s="180">
        <f>IFERROR(__xludf.DUMMYFUNCTION("""COMPUTED_VALUE"""),45782.0)</f>
        <v>45782</v>
      </c>
      <c r="BD48" s="179">
        <f>IFERROR(__xludf.DUMMYFUNCTION("""COMPUTED_VALUE"""),0.0)</f>
        <v>0</v>
      </c>
      <c r="BE48" s="180">
        <f>IFERROR(__xludf.DUMMYFUNCTION("""COMPUTED_VALUE"""),45813.0)</f>
        <v>45813</v>
      </c>
      <c r="BF48" s="179">
        <f>IFERROR(__xludf.DUMMYFUNCTION("""COMPUTED_VALUE"""),0.0)</f>
        <v>0</v>
      </c>
      <c r="BG48" s="180">
        <f>IFERROR(__xludf.DUMMYFUNCTION("""COMPUTED_VALUE"""),45782.0)</f>
        <v>45782</v>
      </c>
      <c r="BH48" s="179">
        <f>IFERROR(__xludf.DUMMYFUNCTION("""COMPUTED_VALUE"""),0.0)</f>
        <v>0</v>
      </c>
      <c r="BI48" s="180">
        <f>IFERROR(__xludf.DUMMYFUNCTION("""COMPUTED_VALUE"""),45813.0)</f>
        <v>45813</v>
      </c>
      <c r="BJ48" s="179">
        <f>IFERROR(__xludf.DUMMYFUNCTION("""COMPUTED_VALUE"""),0.0)</f>
        <v>0</v>
      </c>
      <c r="BK48" s="182">
        <f>IFERROR(__xludf.DUMMYFUNCTION("""COMPUTED_VALUE"""),45752.0)</f>
        <v>45752</v>
      </c>
      <c r="BL48" s="179">
        <f>IFERROR(__xludf.DUMMYFUNCTION("""COMPUTED_VALUE"""),0.0)</f>
        <v>0</v>
      </c>
      <c r="BM48" s="180">
        <f>IFERROR(__xludf.DUMMYFUNCTION("""COMPUTED_VALUE"""),45813.0)</f>
        <v>45813</v>
      </c>
      <c r="BN48" s="179">
        <f>IFERROR(__xludf.DUMMYFUNCTION("""COMPUTED_VALUE"""),0.0)</f>
        <v>0</v>
      </c>
      <c r="BO48" s="180">
        <f>IFERROR(__xludf.DUMMYFUNCTION("""COMPUTED_VALUE"""),45782.0)</f>
        <v>45782</v>
      </c>
      <c r="BP48" s="179">
        <f>IFERROR(__xludf.DUMMYFUNCTION("""COMPUTED_VALUE"""),0.0)</f>
        <v>0</v>
      </c>
      <c r="BQ48" s="180">
        <f>IFERROR(__xludf.DUMMYFUNCTION("""COMPUTED_VALUE"""),45752.0)</f>
        <v>45752</v>
      </c>
      <c r="BR48" s="179">
        <f>IFERROR(__xludf.DUMMYFUNCTION("""COMPUTED_VALUE"""),0.0)</f>
        <v>0</v>
      </c>
      <c r="BS48" s="180">
        <f>IFERROR(__xludf.DUMMYFUNCTION("""COMPUTED_VALUE"""),45813.0)</f>
        <v>45813</v>
      </c>
      <c r="BT48" s="179">
        <f>IFERROR(__xludf.DUMMYFUNCTION("""COMPUTED_VALUE"""),0.0)</f>
        <v>0</v>
      </c>
      <c r="BU48" s="180">
        <f>IFERROR(__xludf.DUMMYFUNCTION("""COMPUTED_VALUE"""),45782.0)</f>
        <v>45782</v>
      </c>
      <c r="BV48" s="179">
        <f>IFERROR(__xludf.DUMMYFUNCTION("""COMPUTED_VALUE"""),0.0)</f>
        <v>0</v>
      </c>
      <c r="BW48" s="180">
        <f>IFERROR(__xludf.DUMMYFUNCTION("""COMPUTED_VALUE"""),45842.0)</f>
        <v>45842</v>
      </c>
      <c r="BX48" s="179">
        <f>IFERROR(__xludf.DUMMYFUNCTION("""COMPUTED_VALUE"""),0.0)</f>
        <v>0</v>
      </c>
      <c r="BY48" s="180">
        <f>IFERROR(__xludf.DUMMYFUNCTION("""COMPUTED_VALUE"""),45752.0)</f>
        <v>45752</v>
      </c>
      <c r="BZ48" s="179">
        <f>IFERROR(__xludf.DUMMYFUNCTION("""COMPUTED_VALUE"""),0.0)</f>
        <v>0</v>
      </c>
      <c r="CA48" s="180">
        <f>IFERROR(__xludf.DUMMYFUNCTION("""COMPUTED_VALUE"""),45813.0)</f>
        <v>45813</v>
      </c>
      <c r="CB48" s="179">
        <f>IFERROR(__xludf.DUMMYFUNCTION("""COMPUTED_VALUE"""),0.0)</f>
        <v>0</v>
      </c>
      <c r="CC48" s="180">
        <f>IFERROR(__xludf.DUMMYFUNCTION("""COMPUTED_VALUE"""),45782.0)</f>
        <v>45782</v>
      </c>
      <c r="CD48" s="179">
        <f>IFERROR(__xludf.DUMMYFUNCTION("""COMPUTED_VALUE"""),0.0)</f>
        <v>0</v>
      </c>
      <c r="CE48" s="182">
        <f>IFERROR(__xludf.DUMMYFUNCTION("""COMPUTED_VALUE"""),45842.0)</f>
        <v>45842</v>
      </c>
      <c r="CF48" s="179">
        <f>IFERROR(__xludf.DUMMYFUNCTION("""COMPUTED_VALUE"""),0.0)</f>
        <v>0</v>
      </c>
      <c r="CG48" s="180">
        <f>IFERROR(__xludf.DUMMYFUNCTION("""COMPUTED_VALUE"""),45661.0)</f>
        <v>45661</v>
      </c>
      <c r="CH48" s="179">
        <f>IFERROR(__xludf.DUMMYFUNCTION("""COMPUTED_VALUE"""),0.0)</f>
        <v>0</v>
      </c>
      <c r="CI48" s="180">
        <f>IFERROR(__xludf.DUMMYFUNCTION("""COMPUTED_VALUE"""),45692.0)</f>
        <v>45692</v>
      </c>
      <c r="CJ48" s="179">
        <f>IFERROR(__xludf.DUMMYFUNCTION("""COMPUTED_VALUE"""),0.0)</f>
        <v>0</v>
      </c>
      <c r="CK48" s="180">
        <f>IFERROR(__xludf.DUMMYFUNCTION("""COMPUTED_VALUE"""),45720.0)</f>
        <v>45720</v>
      </c>
      <c r="CL48" s="179">
        <f>IFERROR(__xludf.DUMMYFUNCTION("""COMPUTED_VALUE"""),0.0)</f>
        <v>0</v>
      </c>
      <c r="CM48" s="180">
        <f>IFERROR(__xludf.DUMMYFUNCTION("""COMPUTED_VALUE"""),45812.0)</f>
        <v>45812</v>
      </c>
      <c r="CN48" s="179">
        <f>IFERROR(__xludf.DUMMYFUNCTION("""COMPUTED_VALUE"""),0.0)</f>
        <v>0</v>
      </c>
      <c r="CO48" s="180">
        <f>IFERROR(__xludf.DUMMYFUNCTION("""COMPUTED_VALUE"""),45781.0)</f>
        <v>45781</v>
      </c>
      <c r="CP48" s="179">
        <f>IFERROR(__xludf.DUMMYFUNCTION("""COMPUTED_VALUE"""),0.0)</f>
        <v>0</v>
      </c>
      <c r="CQ48" s="180">
        <f>IFERROR(__xludf.DUMMYFUNCTION("""COMPUTED_VALUE"""),45903.0)</f>
        <v>45903</v>
      </c>
      <c r="CR48" s="179">
        <f>IFERROR(__xludf.DUMMYFUNCTION("""COMPUTED_VALUE"""),0.0)</f>
        <v>0</v>
      </c>
      <c r="CS48" s="180">
        <f>IFERROR(__xludf.DUMMYFUNCTION("""COMPUTED_VALUE"""),45781.0)</f>
        <v>45781</v>
      </c>
      <c r="CT48" s="179">
        <f>IFERROR(__xludf.DUMMYFUNCTION("""COMPUTED_VALUE"""),0.0)</f>
        <v>0</v>
      </c>
      <c r="CU48" s="180">
        <f>IFERROR(__xludf.DUMMYFUNCTION("""COMPUTED_VALUE"""),45842.0)</f>
        <v>45842</v>
      </c>
      <c r="CV48" s="179">
        <f>IFERROR(__xludf.DUMMYFUNCTION("""COMPUTED_VALUE"""),0.0)</f>
        <v>0</v>
      </c>
      <c r="CW48" s="180">
        <f>IFERROR(__xludf.DUMMYFUNCTION("""COMPUTED_VALUE"""),45841.0)</f>
        <v>45841</v>
      </c>
      <c r="CX48" s="179">
        <f>IFERROR(__xludf.DUMMYFUNCTION("""COMPUTED_VALUE"""),0.0)</f>
        <v>0</v>
      </c>
      <c r="CY48" s="182">
        <f>IFERROR(__xludf.DUMMYFUNCTION("""COMPUTED_VALUE"""),45842.0)</f>
        <v>45842</v>
      </c>
      <c r="CZ48" s="179">
        <f>IFERROR(__xludf.DUMMYFUNCTION("""COMPUTED_VALUE"""),0.0)</f>
        <v>0</v>
      </c>
      <c r="DA48" s="180">
        <f>IFERROR(__xludf.DUMMYFUNCTION("""COMPUTED_VALUE"""),45812.0)</f>
        <v>45812</v>
      </c>
      <c r="DB48" s="179">
        <f>IFERROR(__xludf.DUMMYFUNCTION("""COMPUTED_VALUE"""),0.0)</f>
        <v>0</v>
      </c>
      <c r="DC48" s="180">
        <f>IFERROR(__xludf.DUMMYFUNCTION("""COMPUTED_VALUE"""),45720.0)</f>
        <v>45720</v>
      </c>
      <c r="DD48" s="179">
        <f>IFERROR(__xludf.DUMMYFUNCTION("""COMPUTED_VALUE"""),0.0)</f>
        <v>0</v>
      </c>
      <c r="DE48" s="180">
        <f>IFERROR(__xludf.DUMMYFUNCTION("""COMPUTED_VALUE"""),45751.0)</f>
        <v>45751</v>
      </c>
      <c r="DF48" s="179">
        <f>IFERROR(__xludf.DUMMYFUNCTION("""COMPUTED_VALUE"""),0.0)</f>
        <v>0</v>
      </c>
      <c r="DG48" s="180">
        <f>IFERROR(__xludf.DUMMYFUNCTION("""COMPUTED_VALUE"""),45842.0)</f>
        <v>45842</v>
      </c>
      <c r="DH48" s="179">
        <f>IFERROR(__xludf.DUMMYFUNCTION("""COMPUTED_VALUE"""),0.0)</f>
        <v>0</v>
      </c>
      <c r="DI48" s="180">
        <f>IFERROR(__xludf.DUMMYFUNCTION("""COMPUTED_VALUE"""),45842.0)</f>
        <v>45842</v>
      </c>
      <c r="DJ48" s="179">
        <f>IFERROR(__xludf.DUMMYFUNCTION("""COMPUTED_VALUE"""),0.0)</f>
        <v>0</v>
      </c>
      <c r="DK48" s="180">
        <f>IFERROR(__xludf.DUMMYFUNCTION("""COMPUTED_VALUE"""),45781.0)</f>
        <v>45781</v>
      </c>
      <c r="DL48" s="179">
        <f>IFERROR(__xludf.DUMMYFUNCTION("""COMPUTED_VALUE"""),0.0)</f>
        <v>0</v>
      </c>
      <c r="DM48" s="180">
        <f>IFERROR(__xludf.DUMMYFUNCTION("""COMPUTED_VALUE"""),45781.0)</f>
        <v>45781</v>
      </c>
      <c r="DN48" s="179">
        <f>IFERROR(__xludf.DUMMYFUNCTION("""COMPUTED_VALUE"""),0.0)</f>
        <v>0</v>
      </c>
      <c r="DO48" s="180">
        <f>IFERROR(__xludf.DUMMYFUNCTION("""COMPUTED_VALUE"""),45781.0)</f>
        <v>45781</v>
      </c>
      <c r="DP48" s="179">
        <f>IFERROR(__xludf.DUMMYFUNCTION("""COMPUTED_VALUE"""),0.0)</f>
        <v>0</v>
      </c>
      <c r="DQ48" s="180">
        <f>IFERROR(__xludf.DUMMYFUNCTION("""COMPUTED_VALUE"""),45661.0)</f>
        <v>45661</v>
      </c>
      <c r="DR48" s="179">
        <f>IFERROR(__xludf.DUMMYFUNCTION("""COMPUTED_VALUE"""),0.0)</f>
        <v>0</v>
      </c>
      <c r="DS48" s="182">
        <f>IFERROR(__xludf.DUMMYFUNCTION("""COMPUTED_VALUE"""),45812.0)</f>
        <v>45812</v>
      </c>
      <c r="DT48" s="179">
        <f>IFERROR(__xludf.DUMMYFUNCTION("""COMPUTED_VALUE"""),0.0)</f>
        <v>0</v>
      </c>
      <c r="DU48" s="180">
        <f>IFERROR(__xludf.DUMMYFUNCTION("""COMPUTED_VALUE"""),45781.0)</f>
        <v>45781</v>
      </c>
      <c r="DV48" s="179">
        <f>IFERROR(__xludf.DUMMYFUNCTION("""COMPUTED_VALUE"""),0.0)</f>
        <v>0</v>
      </c>
      <c r="DW48" s="180">
        <f>IFERROR(__xludf.DUMMYFUNCTION("""COMPUTED_VALUE"""),45781.0)</f>
        <v>45781</v>
      </c>
      <c r="DX48" s="179">
        <f>IFERROR(__xludf.DUMMYFUNCTION("""COMPUTED_VALUE"""),0.0)</f>
        <v>0</v>
      </c>
      <c r="DY48" s="180">
        <f>IFERROR(__xludf.DUMMYFUNCTION("""COMPUTED_VALUE"""),45812.0)</f>
        <v>45812</v>
      </c>
      <c r="DZ48" s="179">
        <f>IFERROR(__xludf.DUMMYFUNCTION("""COMPUTED_VALUE"""),0.0)</f>
        <v>0</v>
      </c>
      <c r="EA48" s="180">
        <f>IFERROR(__xludf.DUMMYFUNCTION("""COMPUTED_VALUE"""),45842.0)</f>
        <v>45842</v>
      </c>
      <c r="EB48" s="179">
        <f>IFERROR(__xludf.DUMMYFUNCTION("""COMPUTED_VALUE"""),0.0)</f>
        <v>0</v>
      </c>
      <c r="EC48" s="180">
        <f>IFERROR(__xludf.DUMMYFUNCTION("""COMPUTED_VALUE"""),45812.0)</f>
        <v>45812</v>
      </c>
      <c r="ED48" s="179">
        <f>IFERROR(__xludf.DUMMYFUNCTION("""COMPUTED_VALUE"""),0.0)</f>
        <v>0</v>
      </c>
      <c r="EE48" s="180">
        <f>IFERROR(__xludf.DUMMYFUNCTION("""COMPUTED_VALUE"""),45720.0)</f>
        <v>45720</v>
      </c>
      <c r="EF48" s="179">
        <f>IFERROR(__xludf.DUMMYFUNCTION("""COMPUTED_VALUE"""),0.0)</f>
        <v>0</v>
      </c>
      <c r="EG48" s="180">
        <f>IFERROR(__xludf.DUMMYFUNCTION("""COMPUTED_VALUE"""),45812.0)</f>
        <v>45812</v>
      </c>
      <c r="EH48" s="179">
        <f>IFERROR(__xludf.DUMMYFUNCTION("""COMPUTED_VALUE"""),0.0)</f>
        <v>0</v>
      </c>
      <c r="EI48" s="180">
        <f>IFERROR(__xludf.DUMMYFUNCTION("""COMPUTED_VALUE"""),45812.0)</f>
        <v>45812</v>
      </c>
      <c r="EJ48" s="179">
        <f>IFERROR(__xludf.DUMMYFUNCTION("""COMPUTED_VALUE"""),0.0)</f>
        <v>0</v>
      </c>
      <c r="EK48" s="180">
        <f>IFERROR(__xludf.DUMMYFUNCTION("""COMPUTED_VALUE"""),45751.0)</f>
        <v>45751</v>
      </c>
      <c r="EL48" s="179">
        <f>IFERROR(__xludf.DUMMYFUNCTION("""COMPUTED_VALUE"""),0.0)</f>
        <v>0</v>
      </c>
      <c r="EM48" s="182">
        <f>IFERROR(__xludf.DUMMYFUNCTION("""COMPUTED_VALUE"""),45720.0)</f>
        <v>45720</v>
      </c>
      <c r="EN48" s="179">
        <f>IFERROR(__xludf.DUMMYFUNCTION("""COMPUTED_VALUE"""),0.0)</f>
        <v>0</v>
      </c>
      <c r="EO48" s="180">
        <f>IFERROR(__xludf.DUMMYFUNCTION("""COMPUTED_VALUE"""),45812.0)</f>
        <v>45812</v>
      </c>
      <c r="EP48" s="179">
        <f>IFERROR(__xludf.DUMMYFUNCTION("""COMPUTED_VALUE"""),0.0)</f>
        <v>0</v>
      </c>
      <c r="EQ48" s="180">
        <f>IFERROR(__xludf.DUMMYFUNCTION("""COMPUTED_VALUE"""),45812.0)</f>
        <v>45812</v>
      </c>
      <c r="ER48" s="179">
        <f>IFERROR(__xludf.DUMMYFUNCTION("""COMPUTED_VALUE"""),0.0)</f>
        <v>0</v>
      </c>
      <c r="ES48" s="180">
        <f>IFERROR(__xludf.DUMMYFUNCTION("""COMPUTED_VALUE"""),45842.0)</f>
        <v>45842</v>
      </c>
      <c r="ET48" s="179">
        <f>IFERROR(__xludf.DUMMYFUNCTION("""COMPUTED_VALUE"""),0.0)</f>
        <v>0</v>
      </c>
      <c r="EU48" s="180">
        <f>IFERROR(__xludf.DUMMYFUNCTION("""COMPUTED_VALUE"""),45812.0)</f>
        <v>45812</v>
      </c>
      <c r="EV48" s="179">
        <f>IFERROR(__xludf.DUMMYFUNCTION("""COMPUTED_VALUE"""),0.0)</f>
        <v>0</v>
      </c>
      <c r="EW48" s="180">
        <f>IFERROR(__xludf.DUMMYFUNCTION("""COMPUTED_VALUE"""),45842.0)</f>
        <v>45842</v>
      </c>
      <c r="EX48" s="179">
        <f>IFERROR(__xludf.DUMMYFUNCTION("""COMPUTED_VALUE"""),0.0)</f>
        <v>0</v>
      </c>
      <c r="EY48" s="180">
        <f>IFERROR(__xludf.DUMMYFUNCTION("""COMPUTED_VALUE"""),45842.0)</f>
        <v>45842</v>
      </c>
      <c r="EZ48" s="179">
        <f>IFERROR(__xludf.DUMMYFUNCTION("""COMPUTED_VALUE"""),0.0)</f>
        <v>0</v>
      </c>
      <c r="FA48" s="180">
        <f>IFERROR(__xludf.DUMMYFUNCTION("""COMPUTED_VALUE"""),45812.0)</f>
        <v>45812</v>
      </c>
      <c r="FB48" s="179">
        <f>IFERROR(__xludf.DUMMYFUNCTION("""COMPUTED_VALUE"""),0.0)</f>
        <v>0</v>
      </c>
      <c r="FC48" s="180">
        <f>IFERROR(__xludf.DUMMYFUNCTION("""COMPUTED_VALUE"""),45842.0)</f>
        <v>45842</v>
      </c>
      <c r="FD48" s="179">
        <f>IFERROR(__xludf.DUMMYFUNCTION("""COMPUTED_VALUE"""),0.0)</f>
        <v>0</v>
      </c>
      <c r="FE48" s="180">
        <f>IFERROR(__xludf.DUMMYFUNCTION("""COMPUTED_VALUE"""),45720.0)</f>
        <v>45720</v>
      </c>
      <c r="FF48" s="179">
        <f>IFERROR(__xludf.DUMMYFUNCTION("""COMPUTED_VALUE"""),0.0)</f>
        <v>0</v>
      </c>
      <c r="FG48" s="182">
        <f>IFERROR(__xludf.DUMMYFUNCTION("""COMPUTED_VALUE"""),45720.0)</f>
        <v>45720</v>
      </c>
      <c r="FH48" s="179">
        <f>IFERROR(__xludf.DUMMYFUNCTION("""COMPUTED_VALUE"""),0.0)</f>
        <v>0</v>
      </c>
      <c r="FI48" s="180">
        <f>IFERROR(__xludf.DUMMYFUNCTION("""COMPUTED_VALUE"""),45720.0)</f>
        <v>45720</v>
      </c>
      <c r="FJ48" s="179">
        <f>IFERROR(__xludf.DUMMYFUNCTION("""COMPUTED_VALUE"""),0.0)</f>
        <v>0</v>
      </c>
      <c r="FK48" s="180">
        <f>IFERROR(__xludf.DUMMYFUNCTION("""COMPUTED_VALUE"""),45903.0)</f>
        <v>45903</v>
      </c>
      <c r="FL48" s="179">
        <f>IFERROR(__xludf.DUMMYFUNCTION("""COMPUTED_VALUE"""),0.0)</f>
        <v>0</v>
      </c>
      <c r="FM48" s="180">
        <f>IFERROR(__xludf.DUMMYFUNCTION("""COMPUTED_VALUE"""),45842.0)</f>
        <v>45842</v>
      </c>
      <c r="FN48" s="179">
        <f>IFERROR(__xludf.DUMMYFUNCTION("""COMPUTED_VALUE"""),0.0)</f>
        <v>0</v>
      </c>
      <c r="FO48" s="180">
        <f>IFERROR(__xludf.DUMMYFUNCTION("""COMPUTED_VALUE"""),45842.0)</f>
        <v>45842</v>
      </c>
      <c r="FP48" s="179">
        <f>IFERROR(__xludf.DUMMYFUNCTION("""COMPUTED_VALUE"""),0.0)</f>
        <v>0</v>
      </c>
      <c r="FQ48" s="180">
        <f>IFERROR(__xludf.DUMMYFUNCTION("""COMPUTED_VALUE"""),45842.0)</f>
        <v>45842</v>
      </c>
      <c r="FR48" s="179">
        <f>IFERROR(__xludf.DUMMYFUNCTION("""COMPUTED_VALUE"""),0.0)</f>
        <v>0</v>
      </c>
      <c r="FS48" s="180">
        <f>IFERROR(__xludf.DUMMYFUNCTION("""COMPUTED_VALUE"""),45720.0)</f>
        <v>45720</v>
      </c>
      <c r="FT48" s="179">
        <f>IFERROR(__xludf.DUMMYFUNCTION("""COMPUTED_VALUE"""),0.0)</f>
        <v>0</v>
      </c>
      <c r="FU48" s="180">
        <f>IFERROR(__xludf.DUMMYFUNCTION("""COMPUTED_VALUE"""),45842.0)</f>
        <v>45842</v>
      </c>
      <c r="FV48" s="179">
        <f>IFERROR(__xludf.DUMMYFUNCTION("""COMPUTED_VALUE"""),0.0)</f>
        <v>0</v>
      </c>
      <c r="FW48" s="180">
        <f>IFERROR(__xludf.DUMMYFUNCTION("""COMPUTED_VALUE"""),45842.0)</f>
        <v>45842</v>
      </c>
      <c r="FX48" s="179">
        <f>IFERROR(__xludf.DUMMYFUNCTION("""COMPUTED_VALUE"""),0.0)</f>
        <v>0</v>
      </c>
      <c r="FY48" s="180">
        <f>IFERROR(__xludf.DUMMYFUNCTION("""COMPUTED_VALUE"""),45903.0)</f>
        <v>45903</v>
      </c>
      <c r="FZ48" s="179">
        <f>IFERROR(__xludf.DUMMYFUNCTION("""COMPUTED_VALUE"""),0.0)</f>
        <v>0</v>
      </c>
      <c r="GA48" s="182">
        <f>IFERROR(__xludf.DUMMYFUNCTION("""COMPUTED_VALUE"""),45842.0)</f>
        <v>45842</v>
      </c>
      <c r="GB48" s="179">
        <f>IFERROR(__xludf.DUMMYFUNCTION("""COMPUTED_VALUE"""),0.0)</f>
        <v>0</v>
      </c>
      <c r="GC48" s="180">
        <f>IFERROR(__xludf.DUMMYFUNCTION("""COMPUTED_VALUE"""),45751.0)</f>
        <v>45751</v>
      </c>
      <c r="GD48" s="179">
        <f>IFERROR(__xludf.DUMMYFUNCTION("""COMPUTED_VALUE"""),0.0)</f>
        <v>0</v>
      </c>
      <c r="GE48" s="180">
        <f>IFERROR(__xludf.DUMMYFUNCTION("""COMPUTED_VALUE"""),45751.0)</f>
        <v>45751</v>
      </c>
      <c r="GF48" s="179">
        <f>IFERROR(__xludf.DUMMYFUNCTION("""COMPUTED_VALUE"""),0.0)</f>
        <v>0</v>
      </c>
      <c r="GG48" s="180">
        <f>IFERROR(__xludf.DUMMYFUNCTION("""COMPUTED_VALUE"""),45781.0)</f>
        <v>45781</v>
      </c>
      <c r="GH48" s="179">
        <f>IFERROR(__xludf.DUMMYFUNCTION("""COMPUTED_VALUE"""),0.0)</f>
        <v>0</v>
      </c>
      <c r="GI48" s="180">
        <f>IFERROR(__xludf.DUMMYFUNCTION("""COMPUTED_VALUE"""),45842.0)</f>
        <v>45842</v>
      </c>
      <c r="GJ48" s="179">
        <f>IFERROR(__xludf.DUMMYFUNCTION("""COMPUTED_VALUE"""),0.0)</f>
        <v>0</v>
      </c>
      <c r="GK48" s="180">
        <f>IFERROR(__xludf.DUMMYFUNCTION("""COMPUTED_VALUE"""),45842.0)</f>
        <v>45842</v>
      </c>
      <c r="GL48" s="179">
        <f>IFERROR(__xludf.DUMMYFUNCTION("""COMPUTED_VALUE"""),0.0)</f>
        <v>0</v>
      </c>
      <c r="GM48" s="180">
        <f>IFERROR(__xludf.DUMMYFUNCTION("""COMPUTED_VALUE"""),45661.0)</f>
        <v>45661</v>
      </c>
      <c r="GN48" s="179">
        <f>IFERROR(__xludf.DUMMYFUNCTION("""COMPUTED_VALUE"""),0.0)</f>
        <v>0</v>
      </c>
      <c r="GO48" s="180">
        <f>IFERROR(__xludf.DUMMYFUNCTION("""COMPUTED_VALUE"""),45842.0)</f>
        <v>45842</v>
      </c>
      <c r="GP48" s="179">
        <f>IFERROR(__xludf.DUMMYFUNCTION("""COMPUTED_VALUE"""),0.0)</f>
        <v>0</v>
      </c>
      <c r="GQ48" s="180">
        <f>IFERROR(__xludf.DUMMYFUNCTION("""COMPUTED_VALUE"""),45842.0)</f>
        <v>45842</v>
      </c>
      <c r="GR48" s="179">
        <f>IFERROR(__xludf.DUMMYFUNCTION("""COMPUTED_VALUE"""),0.0)</f>
        <v>0</v>
      </c>
      <c r="GS48" s="180">
        <f>IFERROR(__xludf.DUMMYFUNCTION("""COMPUTED_VALUE"""),45933.0)</f>
        <v>45933</v>
      </c>
      <c r="GT48" s="179">
        <f>IFERROR(__xludf.DUMMYFUNCTION("""COMPUTED_VALUE"""),0.0)</f>
        <v>0</v>
      </c>
    </row>
    <row r="49" ht="31.5" customHeight="1">
      <c r="B49" s="183"/>
      <c r="C49" s="178">
        <f>IFERROR(__xludf.DUMMYFUNCTION("""COMPUTED_VALUE"""),45721.0)</f>
        <v>45721</v>
      </c>
      <c r="D49" s="179">
        <f>IFERROR(__xludf.DUMMYFUNCTION("""COMPUTED_VALUE"""),0.0)</f>
        <v>0</v>
      </c>
      <c r="E49" s="180">
        <f>IFERROR(__xludf.DUMMYFUNCTION("""COMPUTED_VALUE"""),45752.0)</f>
        <v>45752</v>
      </c>
      <c r="F49" s="179">
        <f>IFERROR(__xludf.DUMMYFUNCTION("""COMPUTED_VALUE"""),0.0)</f>
        <v>0</v>
      </c>
      <c r="G49" s="180">
        <f>IFERROR(__xludf.DUMMYFUNCTION("""COMPUTED_VALUE"""),45752.0)</f>
        <v>45752</v>
      </c>
      <c r="H49" s="179">
        <f>IFERROR(__xludf.DUMMYFUNCTION("""COMPUTED_VALUE"""),0.0)</f>
        <v>0</v>
      </c>
      <c r="I49" s="180">
        <f>IFERROR(__xludf.DUMMYFUNCTION("""COMPUTED_VALUE"""),45813.0)</f>
        <v>45813</v>
      </c>
      <c r="J49" s="179">
        <f>IFERROR(__xludf.DUMMYFUNCTION("""COMPUTED_VALUE"""),0.0)</f>
        <v>0</v>
      </c>
      <c r="K49" s="180">
        <f>IFERROR(__xludf.DUMMYFUNCTION("""COMPUTED_VALUE"""),45662.0)</f>
        <v>45662</v>
      </c>
      <c r="L49" s="179">
        <f>IFERROR(__xludf.DUMMYFUNCTION("""COMPUTED_VALUE"""),0.0)</f>
        <v>0</v>
      </c>
      <c r="M49" s="180">
        <f>IFERROR(__xludf.DUMMYFUNCTION("""COMPUTED_VALUE"""),45721.0)</f>
        <v>45721</v>
      </c>
      <c r="N49" s="179">
        <f>IFERROR(__xludf.DUMMYFUNCTION("""COMPUTED_VALUE"""),0.0)</f>
        <v>0</v>
      </c>
      <c r="O49" s="180">
        <f>IFERROR(__xludf.DUMMYFUNCTION("""COMPUTED_VALUE"""),45904.0)</f>
        <v>45904</v>
      </c>
      <c r="P49" s="179">
        <f>IFERROR(__xludf.DUMMYFUNCTION("""COMPUTED_VALUE"""),0.0)</f>
        <v>0</v>
      </c>
      <c r="Q49" s="180">
        <f>IFERROR(__xludf.DUMMYFUNCTION("""COMPUTED_VALUE"""),45934.0)</f>
        <v>45934</v>
      </c>
      <c r="R49" s="179">
        <f>IFERROR(__xludf.DUMMYFUNCTION("""COMPUTED_VALUE"""),0.0)</f>
        <v>0</v>
      </c>
      <c r="S49" s="180">
        <f>IFERROR(__xludf.DUMMYFUNCTION("""COMPUTED_VALUE"""),45782.0)</f>
        <v>45782</v>
      </c>
      <c r="T49" s="179">
        <f>IFERROR(__xludf.DUMMYFUNCTION("""COMPUTED_VALUE"""),0.0)</f>
        <v>0</v>
      </c>
      <c r="U49" s="180">
        <f>IFERROR(__xludf.DUMMYFUNCTION("""COMPUTED_VALUE"""),45904.0)</f>
        <v>45904</v>
      </c>
      <c r="V49" s="181">
        <f>IFERROR(__xludf.DUMMYFUNCTION("""COMPUTED_VALUE"""),0.0)</f>
        <v>0</v>
      </c>
      <c r="W49" s="178">
        <f>IFERROR(__xludf.DUMMYFUNCTION("""COMPUTED_VALUE"""),45843.0)</f>
        <v>45843</v>
      </c>
      <c r="X49" s="179">
        <f>IFERROR(__xludf.DUMMYFUNCTION("""COMPUTED_VALUE"""),0.0)</f>
        <v>0</v>
      </c>
      <c r="Y49" s="180">
        <f>IFERROR(__xludf.DUMMYFUNCTION("""COMPUTED_VALUE"""),45934.0)</f>
        <v>45934</v>
      </c>
      <c r="Z49" s="179">
        <f>IFERROR(__xludf.DUMMYFUNCTION("""COMPUTED_VALUE"""),0.0)</f>
        <v>0</v>
      </c>
      <c r="AA49" s="180">
        <f>IFERROR(__xludf.DUMMYFUNCTION("""COMPUTED_VALUE"""),45782.0)</f>
        <v>45782</v>
      </c>
      <c r="AB49" s="179">
        <f>IFERROR(__xludf.DUMMYFUNCTION("""COMPUTED_VALUE"""),0.0)</f>
        <v>0</v>
      </c>
      <c r="AC49" s="180">
        <f>IFERROR(__xludf.DUMMYFUNCTION("""COMPUTED_VALUE"""),45873.0)</f>
        <v>45873</v>
      </c>
      <c r="AD49" s="179">
        <f>IFERROR(__xludf.DUMMYFUNCTION("""COMPUTED_VALUE"""),0.0)</f>
        <v>0</v>
      </c>
      <c r="AE49" s="180">
        <f>IFERROR(__xludf.DUMMYFUNCTION("""COMPUTED_VALUE"""),45662.0)</f>
        <v>45662</v>
      </c>
      <c r="AF49" s="179">
        <f>IFERROR(__xludf.DUMMYFUNCTION("""COMPUTED_VALUE"""),0.0)</f>
        <v>0</v>
      </c>
      <c r="AG49" s="180">
        <f>IFERROR(__xludf.DUMMYFUNCTION("""COMPUTED_VALUE"""),45843.0)</f>
        <v>45843</v>
      </c>
      <c r="AH49" s="179">
        <f>IFERROR(__xludf.DUMMYFUNCTION("""COMPUTED_VALUE"""),0.0)</f>
        <v>0</v>
      </c>
      <c r="AI49" s="180">
        <f>IFERROR(__xludf.DUMMYFUNCTION("""COMPUTED_VALUE"""),45873.0)</f>
        <v>45873</v>
      </c>
      <c r="AJ49" s="179">
        <f>IFERROR(__xludf.DUMMYFUNCTION("""COMPUTED_VALUE"""),0.0)</f>
        <v>0</v>
      </c>
      <c r="AK49" s="180">
        <f>IFERROR(__xludf.DUMMYFUNCTION("""COMPUTED_VALUE"""),45752.0)</f>
        <v>45752</v>
      </c>
      <c r="AL49" s="179">
        <f>IFERROR(__xludf.DUMMYFUNCTION("""COMPUTED_VALUE"""),0.0)</f>
        <v>0</v>
      </c>
      <c r="AM49" s="180">
        <f>IFERROR(__xludf.DUMMYFUNCTION("""COMPUTED_VALUE"""),45843.0)</f>
        <v>45843</v>
      </c>
      <c r="AN49" s="179">
        <f>IFERROR(__xludf.DUMMYFUNCTION("""COMPUTED_VALUE"""),0.0)</f>
        <v>0</v>
      </c>
      <c r="AO49" s="180">
        <f>IFERROR(__xludf.DUMMYFUNCTION("""COMPUTED_VALUE"""),45693.0)</f>
        <v>45693</v>
      </c>
      <c r="AP49" s="181">
        <f>IFERROR(__xludf.DUMMYFUNCTION("""COMPUTED_VALUE"""),0.0)</f>
        <v>0</v>
      </c>
      <c r="AQ49" s="178">
        <f>IFERROR(__xludf.DUMMYFUNCTION("""COMPUTED_VALUE"""),45843.0)</f>
        <v>45843</v>
      </c>
      <c r="AR49" s="179">
        <f>IFERROR(__xludf.DUMMYFUNCTION("""COMPUTED_VALUE"""),0.0)</f>
        <v>0</v>
      </c>
      <c r="AS49" s="180">
        <f>IFERROR(__xludf.DUMMYFUNCTION("""COMPUTED_VALUE"""),45843.0)</f>
        <v>45843</v>
      </c>
      <c r="AT49" s="179">
        <f>IFERROR(__xludf.DUMMYFUNCTION("""COMPUTED_VALUE"""),0.0)</f>
        <v>0</v>
      </c>
      <c r="AU49" s="180">
        <f>IFERROR(__xludf.DUMMYFUNCTION("""COMPUTED_VALUE"""),45813.0)</f>
        <v>45813</v>
      </c>
      <c r="AV49" s="179">
        <f>IFERROR(__xludf.DUMMYFUNCTION("""COMPUTED_VALUE"""),0.0)</f>
        <v>0</v>
      </c>
      <c r="AW49" s="180">
        <f>IFERROR(__xludf.DUMMYFUNCTION("""COMPUTED_VALUE"""),45813.0)</f>
        <v>45813</v>
      </c>
      <c r="AX49" s="179">
        <f>IFERROR(__xludf.DUMMYFUNCTION("""COMPUTED_VALUE"""),0.0)</f>
        <v>0</v>
      </c>
      <c r="AY49" s="180">
        <f>IFERROR(__xludf.DUMMYFUNCTION("""COMPUTED_VALUE"""),45843.0)</f>
        <v>45843</v>
      </c>
      <c r="AZ49" s="179">
        <f>IFERROR(__xludf.DUMMYFUNCTION("""COMPUTED_VALUE"""),0.0)</f>
        <v>0</v>
      </c>
      <c r="BA49" s="180">
        <f>IFERROR(__xludf.DUMMYFUNCTION("""COMPUTED_VALUE"""),45843.0)</f>
        <v>45843</v>
      </c>
      <c r="BB49" s="179">
        <f>IFERROR(__xludf.DUMMYFUNCTION("""COMPUTED_VALUE"""),0.0)</f>
        <v>0</v>
      </c>
      <c r="BC49" s="180">
        <f>IFERROR(__xludf.DUMMYFUNCTION("""COMPUTED_VALUE"""),45813.0)</f>
        <v>45813</v>
      </c>
      <c r="BD49" s="179">
        <f>IFERROR(__xludf.DUMMYFUNCTION("""COMPUTED_VALUE"""),0.0)</f>
        <v>0</v>
      </c>
      <c r="BE49" s="180">
        <f>IFERROR(__xludf.DUMMYFUNCTION("""COMPUTED_VALUE"""),45843.0)</f>
        <v>45843</v>
      </c>
      <c r="BF49" s="179">
        <f>IFERROR(__xludf.DUMMYFUNCTION("""COMPUTED_VALUE"""),0.0)</f>
        <v>0</v>
      </c>
      <c r="BG49" s="180">
        <f>IFERROR(__xludf.DUMMYFUNCTION("""COMPUTED_VALUE"""),45813.0)</f>
        <v>45813</v>
      </c>
      <c r="BH49" s="179">
        <f>IFERROR(__xludf.DUMMYFUNCTION("""COMPUTED_VALUE"""),0.0)</f>
        <v>0</v>
      </c>
      <c r="BI49" s="180">
        <f>IFERROR(__xludf.DUMMYFUNCTION("""COMPUTED_VALUE"""),45843.0)</f>
        <v>45843</v>
      </c>
      <c r="BJ49" s="179">
        <f>IFERROR(__xludf.DUMMYFUNCTION("""COMPUTED_VALUE"""),0.0)</f>
        <v>0</v>
      </c>
      <c r="BK49" s="182">
        <f>IFERROR(__xludf.DUMMYFUNCTION("""COMPUTED_VALUE"""),45782.0)</f>
        <v>45782</v>
      </c>
      <c r="BL49" s="179">
        <f>IFERROR(__xludf.DUMMYFUNCTION("""COMPUTED_VALUE"""),0.0)</f>
        <v>0</v>
      </c>
      <c r="BM49" s="180">
        <f>IFERROR(__xludf.DUMMYFUNCTION("""COMPUTED_VALUE"""),45843.0)</f>
        <v>45843</v>
      </c>
      <c r="BN49" s="179">
        <f>IFERROR(__xludf.DUMMYFUNCTION("""COMPUTED_VALUE"""),0.0)</f>
        <v>0</v>
      </c>
      <c r="BO49" s="180">
        <f>IFERROR(__xludf.DUMMYFUNCTION("""COMPUTED_VALUE"""),45813.0)</f>
        <v>45813</v>
      </c>
      <c r="BP49" s="179">
        <f>IFERROR(__xludf.DUMMYFUNCTION("""COMPUTED_VALUE"""),0.0)</f>
        <v>0</v>
      </c>
      <c r="BQ49" s="180">
        <f>IFERROR(__xludf.DUMMYFUNCTION("""COMPUTED_VALUE"""),45782.0)</f>
        <v>45782</v>
      </c>
      <c r="BR49" s="179">
        <f>IFERROR(__xludf.DUMMYFUNCTION("""COMPUTED_VALUE"""),0.0)</f>
        <v>0</v>
      </c>
      <c r="BS49" s="180">
        <f>IFERROR(__xludf.DUMMYFUNCTION("""COMPUTED_VALUE"""),45843.0)</f>
        <v>45843</v>
      </c>
      <c r="BT49" s="179">
        <f>IFERROR(__xludf.DUMMYFUNCTION("""COMPUTED_VALUE"""),0.0)</f>
        <v>0</v>
      </c>
      <c r="BU49" s="180">
        <f>IFERROR(__xludf.DUMMYFUNCTION("""COMPUTED_VALUE"""),45813.0)</f>
        <v>45813</v>
      </c>
      <c r="BV49" s="179">
        <f>IFERROR(__xludf.DUMMYFUNCTION("""COMPUTED_VALUE"""),0.0)</f>
        <v>0</v>
      </c>
      <c r="BW49" s="180">
        <f>IFERROR(__xludf.DUMMYFUNCTION("""COMPUTED_VALUE"""),45662.0)</f>
        <v>45662</v>
      </c>
      <c r="BX49" s="179">
        <f>IFERROR(__xludf.DUMMYFUNCTION("""COMPUTED_VALUE"""),0.0)</f>
        <v>0</v>
      </c>
      <c r="BY49" s="180">
        <f>IFERROR(__xludf.DUMMYFUNCTION("""COMPUTED_VALUE"""),45782.0)</f>
        <v>45782</v>
      </c>
      <c r="BZ49" s="179">
        <f>IFERROR(__xludf.DUMMYFUNCTION("""COMPUTED_VALUE"""),0.0)</f>
        <v>0</v>
      </c>
      <c r="CA49" s="180">
        <f>IFERROR(__xludf.DUMMYFUNCTION("""COMPUTED_VALUE"""),45843.0)</f>
        <v>45843</v>
      </c>
      <c r="CB49" s="179">
        <f>IFERROR(__xludf.DUMMYFUNCTION("""COMPUTED_VALUE"""),0.0)</f>
        <v>0</v>
      </c>
      <c r="CC49" s="180">
        <f>IFERROR(__xludf.DUMMYFUNCTION("""COMPUTED_VALUE"""),45813.0)</f>
        <v>45813</v>
      </c>
      <c r="CD49" s="179">
        <f>IFERROR(__xludf.DUMMYFUNCTION("""COMPUTED_VALUE"""),0.0)</f>
        <v>0</v>
      </c>
      <c r="CE49" s="182">
        <f>IFERROR(__xludf.DUMMYFUNCTION("""COMPUTED_VALUE"""),45873.0)</f>
        <v>45873</v>
      </c>
      <c r="CF49" s="179">
        <f>IFERROR(__xludf.DUMMYFUNCTION("""COMPUTED_VALUE"""),0.0)</f>
        <v>0</v>
      </c>
      <c r="CG49" s="180">
        <f>IFERROR(__xludf.DUMMYFUNCTION("""COMPUTED_VALUE"""),45692.0)</f>
        <v>45692</v>
      </c>
      <c r="CH49" s="179">
        <f>IFERROR(__xludf.DUMMYFUNCTION("""COMPUTED_VALUE"""),0.0)</f>
        <v>0</v>
      </c>
      <c r="CI49" s="180">
        <f>IFERROR(__xludf.DUMMYFUNCTION("""COMPUTED_VALUE"""),45720.0)</f>
        <v>45720</v>
      </c>
      <c r="CJ49" s="179">
        <f>IFERROR(__xludf.DUMMYFUNCTION("""COMPUTED_VALUE"""),0.0)</f>
        <v>0</v>
      </c>
      <c r="CK49" s="180">
        <f>IFERROR(__xludf.DUMMYFUNCTION("""COMPUTED_VALUE"""),45751.0)</f>
        <v>45751</v>
      </c>
      <c r="CL49" s="179">
        <f>IFERROR(__xludf.DUMMYFUNCTION("""COMPUTED_VALUE"""),0.0)</f>
        <v>0</v>
      </c>
      <c r="CM49" s="180">
        <f>IFERROR(__xludf.DUMMYFUNCTION("""COMPUTED_VALUE"""),45842.0)</f>
        <v>45842</v>
      </c>
      <c r="CN49" s="179">
        <f>IFERROR(__xludf.DUMMYFUNCTION("""COMPUTED_VALUE"""),0.0)</f>
        <v>0</v>
      </c>
      <c r="CO49" s="180">
        <f>IFERROR(__xludf.DUMMYFUNCTION("""COMPUTED_VALUE"""),45812.0)</f>
        <v>45812</v>
      </c>
      <c r="CP49" s="179">
        <f>IFERROR(__xludf.DUMMYFUNCTION("""COMPUTED_VALUE"""),0.0)</f>
        <v>0</v>
      </c>
      <c r="CQ49" s="180">
        <f>IFERROR(__xludf.DUMMYFUNCTION("""COMPUTED_VALUE"""),45933.0)</f>
        <v>45933</v>
      </c>
      <c r="CR49" s="179">
        <f>IFERROR(__xludf.DUMMYFUNCTION("""COMPUTED_VALUE"""),0.0)</f>
        <v>0</v>
      </c>
      <c r="CS49" s="180">
        <f>IFERROR(__xludf.DUMMYFUNCTION("""COMPUTED_VALUE"""),45812.0)</f>
        <v>45812</v>
      </c>
      <c r="CT49" s="179">
        <f>IFERROR(__xludf.DUMMYFUNCTION("""COMPUTED_VALUE"""),0.0)</f>
        <v>0</v>
      </c>
      <c r="CU49" s="180">
        <f>IFERROR(__xludf.DUMMYFUNCTION("""COMPUTED_VALUE"""),45873.0)</f>
        <v>45873</v>
      </c>
      <c r="CV49" s="179">
        <f>IFERROR(__xludf.DUMMYFUNCTION("""COMPUTED_VALUE"""),0.0)</f>
        <v>0</v>
      </c>
      <c r="CW49" s="180">
        <f>IFERROR(__xludf.DUMMYFUNCTION("""COMPUTED_VALUE"""),45872.0)</f>
        <v>45872</v>
      </c>
      <c r="CX49" s="179">
        <f>IFERROR(__xludf.DUMMYFUNCTION("""COMPUTED_VALUE"""),0.0)</f>
        <v>0</v>
      </c>
      <c r="CY49" s="182">
        <f>IFERROR(__xludf.DUMMYFUNCTION("""COMPUTED_VALUE"""),45873.0)</f>
        <v>45873</v>
      </c>
      <c r="CZ49" s="179">
        <f>IFERROR(__xludf.DUMMYFUNCTION("""COMPUTED_VALUE"""),0.0)</f>
        <v>0</v>
      </c>
      <c r="DA49" s="180">
        <f>IFERROR(__xludf.DUMMYFUNCTION("""COMPUTED_VALUE"""),45873.0)</f>
        <v>45873</v>
      </c>
      <c r="DB49" s="179">
        <f>IFERROR(__xludf.DUMMYFUNCTION("""COMPUTED_VALUE"""),0.0)</f>
        <v>0</v>
      </c>
      <c r="DC49" s="180">
        <f>IFERROR(__xludf.DUMMYFUNCTION("""COMPUTED_VALUE"""),45751.0)</f>
        <v>45751</v>
      </c>
      <c r="DD49" s="179">
        <f>IFERROR(__xludf.DUMMYFUNCTION("""COMPUTED_VALUE"""),0.0)</f>
        <v>0</v>
      </c>
      <c r="DE49" s="180">
        <f>IFERROR(__xludf.DUMMYFUNCTION("""COMPUTED_VALUE"""),45781.0)</f>
        <v>45781</v>
      </c>
      <c r="DF49" s="179">
        <f>IFERROR(__xludf.DUMMYFUNCTION("""COMPUTED_VALUE"""),0.0)</f>
        <v>0</v>
      </c>
      <c r="DG49" s="180">
        <f>IFERROR(__xludf.DUMMYFUNCTION("""COMPUTED_VALUE"""),45873.0)</f>
        <v>45873</v>
      </c>
      <c r="DH49" s="179">
        <f>IFERROR(__xludf.DUMMYFUNCTION("""COMPUTED_VALUE"""),0.0)</f>
        <v>0</v>
      </c>
      <c r="DI49" s="180">
        <f>IFERROR(__xludf.DUMMYFUNCTION("""COMPUTED_VALUE"""),45873.0)</f>
        <v>45873</v>
      </c>
      <c r="DJ49" s="179">
        <f>IFERROR(__xludf.DUMMYFUNCTION("""COMPUTED_VALUE"""),0.0)</f>
        <v>0</v>
      </c>
      <c r="DK49" s="180">
        <f>IFERROR(__xludf.DUMMYFUNCTION("""COMPUTED_VALUE"""),45812.0)</f>
        <v>45812</v>
      </c>
      <c r="DL49" s="179">
        <f>IFERROR(__xludf.DUMMYFUNCTION("""COMPUTED_VALUE"""),0.0)</f>
        <v>0</v>
      </c>
      <c r="DM49" s="180">
        <f>IFERROR(__xludf.DUMMYFUNCTION("""COMPUTED_VALUE"""),45812.0)</f>
        <v>45812</v>
      </c>
      <c r="DN49" s="179">
        <f>IFERROR(__xludf.DUMMYFUNCTION("""COMPUTED_VALUE"""),0.0)</f>
        <v>0</v>
      </c>
      <c r="DO49" s="180">
        <f>IFERROR(__xludf.DUMMYFUNCTION("""COMPUTED_VALUE"""),45873.0)</f>
        <v>45873</v>
      </c>
      <c r="DP49" s="179">
        <f>IFERROR(__xludf.DUMMYFUNCTION("""COMPUTED_VALUE"""),0.0)</f>
        <v>0</v>
      </c>
      <c r="DQ49" s="180">
        <f>IFERROR(__xludf.DUMMYFUNCTION("""COMPUTED_VALUE"""),45692.0)</f>
        <v>45692</v>
      </c>
      <c r="DR49" s="179">
        <f>IFERROR(__xludf.DUMMYFUNCTION("""COMPUTED_VALUE"""),0.0)</f>
        <v>0</v>
      </c>
      <c r="DS49" s="182">
        <f>IFERROR(__xludf.DUMMYFUNCTION("""COMPUTED_VALUE"""),45842.0)</f>
        <v>45842</v>
      </c>
      <c r="DT49" s="179">
        <f>IFERROR(__xludf.DUMMYFUNCTION("""COMPUTED_VALUE"""),0.0)</f>
        <v>0</v>
      </c>
      <c r="DU49" s="180">
        <f>IFERROR(__xludf.DUMMYFUNCTION("""COMPUTED_VALUE"""),45812.0)</f>
        <v>45812</v>
      </c>
      <c r="DV49" s="179">
        <f>IFERROR(__xludf.DUMMYFUNCTION("""COMPUTED_VALUE"""),0.0)</f>
        <v>0</v>
      </c>
      <c r="DW49" s="180">
        <f>IFERROR(__xludf.DUMMYFUNCTION("""COMPUTED_VALUE"""),45812.0)</f>
        <v>45812</v>
      </c>
      <c r="DX49" s="179">
        <f>IFERROR(__xludf.DUMMYFUNCTION("""COMPUTED_VALUE"""),0.0)</f>
        <v>0</v>
      </c>
      <c r="DY49" s="180">
        <f>IFERROR(__xludf.DUMMYFUNCTION("""COMPUTED_VALUE"""),45842.0)</f>
        <v>45842</v>
      </c>
      <c r="DZ49" s="179">
        <f>IFERROR(__xludf.DUMMYFUNCTION("""COMPUTED_VALUE"""),0.0)</f>
        <v>0</v>
      </c>
      <c r="EA49" s="180">
        <f>IFERROR(__xludf.DUMMYFUNCTION("""COMPUTED_VALUE"""),45873.0)</f>
        <v>45873</v>
      </c>
      <c r="EB49" s="179">
        <f>IFERROR(__xludf.DUMMYFUNCTION("""COMPUTED_VALUE"""),0.0)</f>
        <v>0</v>
      </c>
      <c r="EC49" s="180">
        <f>IFERROR(__xludf.DUMMYFUNCTION("""COMPUTED_VALUE"""),45842.0)</f>
        <v>45842</v>
      </c>
      <c r="ED49" s="179">
        <f>IFERROR(__xludf.DUMMYFUNCTION("""COMPUTED_VALUE"""),0.0)</f>
        <v>0</v>
      </c>
      <c r="EE49" s="180">
        <f>IFERROR(__xludf.DUMMYFUNCTION("""COMPUTED_VALUE"""),45751.0)</f>
        <v>45751</v>
      </c>
      <c r="EF49" s="179">
        <f>IFERROR(__xludf.DUMMYFUNCTION("""COMPUTED_VALUE"""),0.0)</f>
        <v>0</v>
      </c>
      <c r="EG49" s="180">
        <f>IFERROR(__xludf.DUMMYFUNCTION("""COMPUTED_VALUE"""),45842.0)</f>
        <v>45842</v>
      </c>
      <c r="EH49" s="179">
        <f>IFERROR(__xludf.DUMMYFUNCTION("""COMPUTED_VALUE"""),0.0)</f>
        <v>0</v>
      </c>
      <c r="EI49" s="180">
        <f>IFERROR(__xludf.DUMMYFUNCTION("""COMPUTED_VALUE"""),45842.0)</f>
        <v>45842</v>
      </c>
      <c r="EJ49" s="179">
        <f>IFERROR(__xludf.DUMMYFUNCTION("""COMPUTED_VALUE"""),0.0)</f>
        <v>0</v>
      </c>
      <c r="EK49" s="180">
        <f>IFERROR(__xludf.DUMMYFUNCTION("""COMPUTED_VALUE"""),45781.0)</f>
        <v>45781</v>
      </c>
      <c r="EL49" s="179">
        <f>IFERROR(__xludf.DUMMYFUNCTION("""COMPUTED_VALUE"""),0.0)</f>
        <v>0</v>
      </c>
      <c r="EM49" s="182">
        <f>IFERROR(__xludf.DUMMYFUNCTION("""COMPUTED_VALUE"""),45751.0)</f>
        <v>45751</v>
      </c>
      <c r="EN49" s="179">
        <f>IFERROR(__xludf.DUMMYFUNCTION("""COMPUTED_VALUE"""),0.0)</f>
        <v>0</v>
      </c>
      <c r="EO49" s="180">
        <f>IFERROR(__xludf.DUMMYFUNCTION("""COMPUTED_VALUE"""),45842.0)</f>
        <v>45842</v>
      </c>
      <c r="EP49" s="179">
        <f>IFERROR(__xludf.DUMMYFUNCTION("""COMPUTED_VALUE"""),0.0)</f>
        <v>0</v>
      </c>
      <c r="EQ49" s="180">
        <f>IFERROR(__xludf.DUMMYFUNCTION("""COMPUTED_VALUE"""),45842.0)</f>
        <v>45842</v>
      </c>
      <c r="ER49" s="179">
        <f>IFERROR(__xludf.DUMMYFUNCTION("""COMPUTED_VALUE"""),0.0)</f>
        <v>0</v>
      </c>
      <c r="ES49" s="180">
        <f>IFERROR(__xludf.DUMMYFUNCTION("""COMPUTED_VALUE"""),45873.0)</f>
        <v>45873</v>
      </c>
      <c r="ET49" s="179">
        <f>IFERROR(__xludf.DUMMYFUNCTION("""COMPUTED_VALUE"""),0.0)</f>
        <v>0</v>
      </c>
      <c r="EU49" s="180">
        <f>IFERROR(__xludf.DUMMYFUNCTION("""COMPUTED_VALUE"""),45842.0)</f>
        <v>45842</v>
      </c>
      <c r="EV49" s="179">
        <f>IFERROR(__xludf.DUMMYFUNCTION("""COMPUTED_VALUE"""),0.0)</f>
        <v>0</v>
      </c>
      <c r="EW49" s="180">
        <f>IFERROR(__xludf.DUMMYFUNCTION("""COMPUTED_VALUE"""),45873.0)</f>
        <v>45873</v>
      </c>
      <c r="EX49" s="179">
        <f>IFERROR(__xludf.DUMMYFUNCTION("""COMPUTED_VALUE"""),0.0)</f>
        <v>0</v>
      </c>
      <c r="EY49" s="180">
        <f>IFERROR(__xludf.DUMMYFUNCTION("""COMPUTED_VALUE"""),45873.0)</f>
        <v>45873</v>
      </c>
      <c r="EZ49" s="179">
        <f>IFERROR(__xludf.DUMMYFUNCTION("""COMPUTED_VALUE"""),0.0)</f>
        <v>0</v>
      </c>
      <c r="FA49" s="180">
        <f>IFERROR(__xludf.DUMMYFUNCTION("""COMPUTED_VALUE"""),45842.0)</f>
        <v>45842</v>
      </c>
      <c r="FB49" s="179">
        <f>IFERROR(__xludf.DUMMYFUNCTION("""COMPUTED_VALUE"""),0.0)</f>
        <v>0</v>
      </c>
      <c r="FC49" s="180">
        <f>IFERROR(__xludf.DUMMYFUNCTION("""COMPUTED_VALUE"""),45873.0)</f>
        <v>45873</v>
      </c>
      <c r="FD49" s="179">
        <f>IFERROR(__xludf.DUMMYFUNCTION("""COMPUTED_VALUE"""),0.0)</f>
        <v>0</v>
      </c>
      <c r="FE49" s="180">
        <f>IFERROR(__xludf.DUMMYFUNCTION("""COMPUTED_VALUE"""),45751.0)</f>
        <v>45751</v>
      </c>
      <c r="FF49" s="179">
        <f>IFERROR(__xludf.DUMMYFUNCTION("""COMPUTED_VALUE"""),0.0)</f>
        <v>0</v>
      </c>
      <c r="FG49" s="182">
        <f>IFERROR(__xludf.DUMMYFUNCTION("""COMPUTED_VALUE"""),45751.0)</f>
        <v>45751</v>
      </c>
      <c r="FH49" s="179">
        <f>IFERROR(__xludf.DUMMYFUNCTION("""COMPUTED_VALUE"""),0.0)</f>
        <v>0</v>
      </c>
      <c r="FI49" s="180">
        <f>IFERROR(__xludf.DUMMYFUNCTION("""COMPUTED_VALUE"""),45751.0)</f>
        <v>45751</v>
      </c>
      <c r="FJ49" s="179">
        <f>IFERROR(__xludf.DUMMYFUNCTION("""COMPUTED_VALUE"""),0.0)</f>
        <v>0</v>
      </c>
      <c r="FK49" s="180">
        <f>IFERROR(__xludf.DUMMYFUNCTION("""COMPUTED_VALUE"""),45933.0)</f>
        <v>45933</v>
      </c>
      <c r="FL49" s="179">
        <f>IFERROR(__xludf.DUMMYFUNCTION("""COMPUTED_VALUE"""),0.0)</f>
        <v>0</v>
      </c>
      <c r="FM49" s="180">
        <f>IFERROR(__xludf.DUMMYFUNCTION("""COMPUTED_VALUE"""),45873.0)</f>
        <v>45873</v>
      </c>
      <c r="FN49" s="179">
        <f>IFERROR(__xludf.DUMMYFUNCTION("""COMPUTED_VALUE"""),0.0)</f>
        <v>0</v>
      </c>
      <c r="FO49" s="180">
        <f>IFERROR(__xludf.DUMMYFUNCTION("""COMPUTED_VALUE"""),45873.0)</f>
        <v>45873</v>
      </c>
      <c r="FP49" s="179">
        <f>IFERROR(__xludf.DUMMYFUNCTION("""COMPUTED_VALUE"""),0.0)</f>
        <v>0</v>
      </c>
      <c r="FQ49" s="180">
        <f>IFERROR(__xludf.DUMMYFUNCTION("""COMPUTED_VALUE"""),45873.0)</f>
        <v>45873</v>
      </c>
      <c r="FR49" s="179">
        <f>IFERROR(__xludf.DUMMYFUNCTION("""COMPUTED_VALUE"""),0.0)</f>
        <v>0</v>
      </c>
      <c r="FS49" s="180">
        <f>IFERROR(__xludf.DUMMYFUNCTION("""COMPUTED_VALUE"""),45751.0)</f>
        <v>45751</v>
      </c>
      <c r="FT49" s="179">
        <f>IFERROR(__xludf.DUMMYFUNCTION("""COMPUTED_VALUE"""),0.0)</f>
        <v>0</v>
      </c>
      <c r="FU49" s="180">
        <f>IFERROR(__xludf.DUMMYFUNCTION("""COMPUTED_VALUE"""),45873.0)</f>
        <v>45873</v>
      </c>
      <c r="FV49" s="179">
        <f>IFERROR(__xludf.DUMMYFUNCTION("""COMPUTED_VALUE"""),0.0)</f>
        <v>0</v>
      </c>
      <c r="FW49" s="180">
        <f>IFERROR(__xludf.DUMMYFUNCTION("""COMPUTED_VALUE"""),45873.0)</f>
        <v>45873</v>
      </c>
      <c r="FX49" s="179">
        <f>IFERROR(__xludf.DUMMYFUNCTION("""COMPUTED_VALUE"""),0.0)</f>
        <v>0</v>
      </c>
      <c r="FY49" s="180">
        <f>IFERROR(__xludf.DUMMYFUNCTION("""COMPUTED_VALUE"""),45933.0)</f>
        <v>45933</v>
      </c>
      <c r="FZ49" s="179">
        <f>IFERROR(__xludf.DUMMYFUNCTION("""COMPUTED_VALUE"""),0.0)</f>
        <v>0</v>
      </c>
      <c r="GA49" s="182">
        <f>IFERROR(__xludf.DUMMYFUNCTION("""COMPUTED_VALUE"""),45873.0)</f>
        <v>45873</v>
      </c>
      <c r="GB49" s="179">
        <f>IFERROR(__xludf.DUMMYFUNCTION("""COMPUTED_VALUE"""),0.0)</f>
        <v>0</v>
      </c>
      <c r="GC49" s="180">
        <f>IFERROR(__xludf.DUMMYFUNCTION("""COMPUTED_VALUE"""),45781.0)</f>
        <v>45781</v>
      </c>
      <c r="GD49" s="179">
        <f>IFERROR(__xludf.DUMMYFUNCTION("""COMPUTED_VALUE"""),0.0)</f>
        <v>0</v>
      </c>
      <c r="GE49" s="180">
        <f>IFERROR(__xludf.DUMMYFUNCTION("""COMPUTED_VALUE"""),45781.0)</f>
        <v>45781</v>
      </c>
      <c r="GF49" s="179">
        <f>IFERROR(__xludf.DUMMYFUNCTION("""COMPUTED_VALUE"""),0.0)</f>
        <v>0</v>
      </c>
      <c r="GG49" s="180">
        <f>IFERROR(__xludf.DUMMYFUNCTION("""COMPUTED_VALUE"""),45812.0)</f>
        <v>45812</v>
      </c>
      <c r="GH49" s="179">
        <f>IFERROR(__xludf.DUMMYFUNCTION("""COMPUTED_VALUE"""),0.0)</f>
        <v>0</v>
      </c>
      <c r="GI49" s="180">
        <f>IFERROR(__xludf.DUMMYFUNCTION("""COMPUTED_VALUE"""),45873.0)</f>
        <v>45873</v>
      </c>
      <c r="GJ49" s="179">
        <f>IFERROR(__xludf.DUMMYFUNCTION("""COMPUTED_VALUE"""),0.0)</f>
        <v>0</v>
      </c>
      <c r="GK49" s="180">
        <f>IFERROR(__xludf.DUMMYFUNCTION("""COMPUTED_VALUE"""),45873.0)</f>
        <v>45873</v>
      </c>
      <c r="GL49" s="179">
        <f>IFERROR(__xludf.DUMMYFUNCTION("""COMPUTED_VALUE"""),0.0)</f>
        <v>0</v>
      </c>
      <c r="GM49" s="180">
        <f>IFERROR(__xludf.DUMMYFUNCTION("""COMPUTED_VALUE"""),45692.0)</f>
        <v>45692</v>
      </c>
      <c r="GN49" s="179">
        <f>IFERROR(__xludf.DUMMYFUNCTION("""COMPUTED_VALUE"""),0.0)</f>
        <v>0</v>
      </c>
      <c r="GO49" s="180">
        <f>IFERROR(__xludf.DUMMYFUNCTION("""COMPUTED_VALUE"""),45873.0)</f>
        <v>45873</v>
      </c>
      <c r="GP49" s="179">
        <f>IFERROR(__xludf.DUMMYFUNCTION("""COMPUTED_VALUE"""),0.0)</f>
        <v>0</v>
      </c>
      <c r="GQ49" s="180">
        <f>IFERROR(__xludf.DUMMYFUNCTION("""COMPUTED_VALUE"""),45873.0)</f>
        <v>45873</v>
      </c>
      <c r="GR49" s="179">
        <f>IFERROR(__xludf.DUMMYFUNCTION("""COMPUTED_VALUE"""),0.0)</f>
        <v>0</v>
      </c>
      <c r="GS49" s="180">
        <f>IFERROR(__xludf.DUMMYFUNCTION("""COMPUTED_VALUE"""),45661.0)</f>
        <v>45661</v>
      </c>
      <c r="GT49" s="179">
        <f>IFERROR(__xludf.DUMMYFUNCTION("""COMPUTED_VALUE"""),0.0)</f>
        <v>0</v>
      </c>
    </row>
    <row r="50" ht="31.5" customHeight="1">
      <c r="B50" s="183"/>
      <c r="C50" s="178">
        <f>IFERROR(__xludf.DUMMYFUNCTION("""COMPUTED_VALUE"""),45752.0)</f>
        <v>45752</v>
      </c>
      <c r="D50" s="179">
        <f>IFERROR(__xludf.DUMMYFUNCTION("""COMPUTED_VALUE"""),0.0)</f>
        <v>0</v>
      </c>
      <c r="E50" s="180">
        <f>IFERROR(__xludf.DUMMYFUNCTION("""COMPUTED_VALUE"""),45782.0)</f>
        <v>45782</v>
      </c>
      <c r="F50" s="179">
        <f>IFERROR(__xludf.DUMMYFUNCTION("""COMPUTED_VALUE"""),0.0)</f>
        <v>0</v>
      </c>
      <c r="G50" s="180">
        <f>IFERROR(__xludf.DUMMYFUNCTION("""COMPUTED_VALUE"""),45782.0)</f>
        <v>45782</v>
      </c>
      <c r="H50" s="179">
        <f>IFERROR(__xludf.DUMMYFUNCTION("""COMPUTED_VALUE"""),0.0)</f>
        <v>0</v>
      </c>
      <c r="I50" s="180">
        <f>IFERROR(__xludf.DUMMYFUNCTION("""COMPUTED_VALUE"""),45843.0)</f>
        <v>45843</v>
      </c>
      <c r="J50" s="179">
        <f>IFERROR(__xludf.DUMMYFUNCTION("""COMPUTED_VALUE"""),0.0)</f>
        <v>0</v>
      </c>
      <c r="K50" s="180">
        <f>IFERROR(__xludf.DUMMYFUNCTION("""COMPUTED_VALUE"""),45693.0)</f>
        <v>45693</v>
      </c>
      <c r="L50" s="179">
        <f>IFERROR(__xludf.DUMMYFUNCTION("""COMPUTED_VALUE"""),0.0)</f>
        <v>0</v>
      </c>
      <c r="M50" s="180">
        <f>IFERROR(__xludf.DUMMYFUNCTION("""COMPUTED_VALUE"""),45752.0)</f>
        <v>45752</v>
      </c>
      <c r="N50" s="179">
        <f>IFERROR(__xludf.DUMMYFUNCTION("""COMPUTED_VALUE"""),0.0)</f>
        <v>0</v>
      </c>
      <c r="O50" s="180">
        <f>IFERROR(__xludf.DUMMYFUNCTION("""COMPUTED_VALUE"""),45662.0)</f>
        <v>45662</v>
      </c>
      <c r="P50" s="179">
        <f>IFERROR(__xludf.DUMMYFUNCTION("""COMPUTED_VALUE"""),0.0)</f>
        <v>0</v>
      </c>
      <c r="Q50" s="180">
        <f>IFERROR(__xludf.DUMMYFUNCTION("""COMPUTED_VALUE"""),45662.0)</f>
        <v>45662</v>
      </c>
      <c r="R50" s="179">
        <f>IFERROR(__xludf.DUMMYFUNCTION("""COMPUTED_VALUE"""),0.0)</f>
        <v>0</v>
      </c>
      <c r="S50" s="180">
        <f>IFERROR(__xludf.DUMMYFUNCTION("""COMPUTED_VALUE"""),45813.0)</f>
        <v>45813</v>
      </c>
      <c r="T50" s="179">
        <f>IFERROR(__xludf.DUMMYFUNCTION("""COMPUTED_VALUE"""),0.0)</f>
        <v>0</v>
      </c>
      <c r="U50" s="180">
        <f>IFERROR(__xludf.DUMMYFUNCTION("""COMPUTED_VALUE"""),45934.0)</f>
        <v>45934</v>
      </c>
      <c r="V50" s="181">
        <f>IFERROR(__xludf.DUMMYFUNCTION("""COMPUTED_VALUE"""),0.0)</f>
        <v>0</v>
      </c>
      <c r="W50" s="178">
        <f>IFERROR(__xludf.DUMMYFUNCTION("""COMPUTED_VALUE"""),45874.0)</f>
        <v>45874</v>
      </c>
      <c r="X50" s="179">
        <f>IFERROR(__xludf.DUMMYFUNCTION("""COMPUTED_VALUE"""),0.0)</f>
        <v>0</v>
      </c>
      <c r="Y50" s="180">
        <f>IFERROR(__xludf.DUMMYFUNCTION("""COMPUTED_VALUE"""),45662.0)</f>
        <v>45662</v>
      </c>
      <c r="Z50" s="179">
        <f>IFERROR(__xludf.DUMMYFUNCTION("""COMPUTED_VALUE"""),0.0)</f>
        <v>0</v>
      </c>
      <c r="AA50" s="180">
        <f>IFERROR(__xludf.DUMMYFUNCTION("""COMPUTED_VALUE"""),45813.0)</f>
        <v>45813</v>
      </c>
      <c r="AB50" s="179">
        <f>IFERROR(__xludf.DUMMYFUNCTION("""COMPUTED_VALUE"""),0.0)</f>
        <v>0</v>
      </c>
      <c r="AC50" s="180">
        <f>IFERROR(__xludf.DUMMYFUNCTION("""COMPUTED_VALUE"""),45904.0)</f>
        <v>45904</v>
      </c>
      <c r="AD50" s="179">
        <f>IFERROR(__xludf.DUMMYFUNCTION("""COMPUTED_VALUE"""),0.0)</f>
        <v>0</v>
      </c>
      <c r="AE50" s="180">
        <f>IFERROR(__xludf.DUMMYFUNCTION("""COMPUTED_VALUE"""),45693.0)</f>
        <v>45693</v>
      </c>
      <c r="AF50" s="179">
        <f>IFERROR(__xludf.DUMMYFUNCTION("""COMPUTED_VALUE"""),0.0)</f>
        <v>0</v>
      </c>
      <c r="AG50" s="180">
        <f>IFERROR(__xludf.DUMMYFUNCTION("""COMPUTED_VALUE"""),45874.0)</f>
        <v>45874</v>
      </c>
      <c r="AH50" s="179">
        <f>IFERROR(__xludf.DUMMYFUNCTION("""COMPUTED_VALUE"""),0.0)</f>
        <v>0</v>
      </c>
      <c r="AI50" s="180">
        <f>IFERROR(__xludf.DUMMYFUNCTION("""COMPUTED_VALUE"""),45904.0)</f>
        <v>45904</v>
      </c>
      <c r="AJ50" s="179">
        <f>IFERROR(__xludf.DUMMYFUNCTION("""COMPUTED_VALUE"""),0.0)</f>
        <v>0</v>
      </c>
      <c r="AK50" s="180">
        <f>IFERROR(__xludf.DUMMYFUNCTION("""COMPUTED_VALUE"""),45782.0)</f>
        <v>45782</v>
      </c>
      <c r="AL50" s="179">
        <f>IFERROR(__xludf.DUMMYFUNCTION("""COMPUTED_VALUE"""),0.0)</f>
        <v>0</v>
      </c>
      <c r="AM50" s="180">
        <f>IFERROR(__xludf.DUMMYFUNCTION("""COMPUTED_VALUE"""),45874.0)</f>
        <v>45874</v>
      </c>
      <c r="AN50" s="179">
        <f>IFERROR(__xludf.DUMMYFUNCTION("""COMPUTED_VALUE"""),0.0)</f>
        <v>0</v>
      </c>
      <c r="AO50" s="180">
        <f>IFERROR(__xludf.DUMMYFUNCTION("""COMPUTED_VALUE"""),45721.0)</f>
        <v>45721</v>
      </c>
      <c r="AP50" s="181">
        <f>IFERROR(__xludf.DUMMYFUNCTION("""COMPUTED_VALUE"""),0.0)</f>
        <v>0</v>
      </c>
      <c r="AQ50" s="178">
        <f>IFERROR(__xludf.DUMMYFUNCTION("""COMPUTED_VALUE"""),45874.0)</f>
        <v>45874</v>
      </c>
      <c r="AR50" s="179">
        <f>IFERROR(__xludf.DUMMYFUNCTION("""COMPUTED_VALUE"""),0.0)</f>
        <v>0</v>
      </c>
      <c r="AS50" s="180">
        <f>IFERROR(__xludf.DUMMYFUNCTION("""COMPUTED_VALUE"""),45874.0)</f>
        <v>45874</v>
      </c>
      <c r="AT50" s="179">
        <f>IFERROR(__xludf.DUMMYFUNCTION("""COMPUTED_VALUE"""),0.0)</f>
        <v>0</v>
      </c>
      <c r="AU50" s="180">
        <f>IFERROR(__xludf.DUMMYFUNCTION("""COMPUTED_VALUE"""),45843.0)</f>
        <v>45843</v>
      </c>
      <c r="AV50" s="179">
        <f>IFERROR(__xludf.DUMMYFUNCTION("""COMPUTED_VALUE"""),0.0)</f>
        <v>0</v>
      </c>
      <c r="AW50" s="180">
        <f>IFERROR(__xludf.DUMMYFUNCTION("""COMPUTED_VALUE"""),45843.0)</f>
        <v>45843</v>
      </c>
      <c r="AX50" s="179">
        <f>IFERROR(__xludf.DUMMYFUNCTION("""COMPUTED_VALUE"""),0.0)</f>
        <v>0</v>
      </c>
      <c r="AY50" s="180">
        <f>IFERROR(__xludf.DUMMYFUNCTION("""COMPUTED_VALUE"""),45874.0)</f>
        <v>45874</v>
      </c>
      <c r="AZ50" s="179">
        <f>IFERROR(__xludf.DUMMYFUNCTION("""COMPUTED_VALUE"""),0.0)</f>
        <v>0</v>
      </c>
      <c r="BA50" s="180">
        <f>IFERROR(__xludf.DUMMYFUNCTION("""COMPUTED_VALUE"""),45874.0)</f>
        <v>45874</v>
      </c>
      <c r="BB50" s="179">
        <f>IFERROR(__xludf.DUMMYFUNCTION("""COMPUTED_VALUE"""),0.0)</f>
        <v>0</v>
      </c>
      <c r="BC50" s="180">
        <f>IFERROR(__xludf.DUMMYFUNCTION("""COMPUTED_VALUE"""),45843.0)</f>
        <v>45843</v>
      </c>
      <c r="BD50" s="179">
        <f>IFERROR(__xludf.DUMMYFUNCTION("""COMPUTED_VALUE"""),0.0)</f>
        <v>0</v>
      </c>
      <c r="BE50" s="180">
        <f>IFERROR(__xludf.DUMMYFUNCTION("""COMPUTED_VALUE"""),45874.0)</f>
        <v>45874</v>
      </c>
      <c r="BF50" s="179">
        <f>IFERROR(__xludf.DUMMYFUNCTION("""COMPUTED_VALUE"""),0.0)</f>
        <v>0</v>
      </c>
      <c r="BG50" s="180">
        <f>IFERROR(__xludf.DUMMYFUNCTION("""COMPUTED_VALUE"""),45843.0)</f>
        <v>45843</v>
      </c>
      <c r="BH50" s="179">
        <f>IFERROR(__xludf.DUMMYFUNCTION("""COMPUTED_VALUE"""),0.0)</f>
        <v>0</v>
      </c>
      <c r="BI50" s="180">
        <f>IFERROR(__xludf.DUMMYFUNCTION("""COMPUTED_VALUE"""),45874.0)</f>
        <v>45874</v>
      </c>
      <c r="BJ50" s="179">
        <f>IFERROR(__xludf.DUMMYFUNCTION("""COMPUTED_VALUE"""),0.0)</f>
        <v>0</v>
      </c>
      <c r="BK50" s="182">
        <f>IFERROR(__xludf.DUMMYFUNCTION("""COMPUTED_VALUE"""),45813.0)</f>
        <v>45813</v>
      </c>
      <c r="BL50" s="179">
        <f>IFERROR(__xludf.DUMMYFUNCTION("""COMPUTED_VALUE"""),0.0)</f>
        <v>0</v>
      </c>
      <c r="BM50" s="180">
        <f>IFERROR(__xludf.DUMMYFUNCTION("""COMPUTED_VALUE"""),45874.0)</f>
        <v>45874</v>
      </c>
      <c r="BN50" s="179">
        <f>IFERROR(__xludf.DUMMYFUNCTION("""COMPUTED_VALUE"""),0.0)</f>
        <v>0</v>
      </c>
      <c r="BO50" s="180">
        <f>IFERROR(__xludf.DUMMYFUNCTION("""COMPUTED_VALUE"""),45843.0)</f>
        <v>45843</v>
      </c>
      <c r="BP50" s="179">
        <f>IFERROR(__xludf.DUMMYFUNCTION("""COMPUTED_VALUE"""),0.0)</f>
        <v>0</v>
      </c>
      <c r="BQ50" s="180">
        <f>IFERROR(__xludf.DUMMYFUNCTION("""COMPUTED_VALUE"""),45813.0)</f>
        <v>45813</v>
      </c>
      <c r="BR50" s="179">
        <f>IFERROR(__xludf.DUMMYFUNCTION("""COMPUTED_VALUE"""),0.0)</f>
        <v>0</v>
      </c>
      <c r="BS50" s="180">
        <f>IFERROR(__xludf.DUMMYFUNCTION("""COMPUTED_VALUE"""),45874.0)</f>
        <v>45874</v>
      </c>
      <c r="BT50" s="179">
        <f>IFERROR(__xludf.DUMMYFUNCTION("""COMPUTED_VALUE"""),0.0)</f>
        <v>0</v>
      </c>
      <c r="BU50" s="180">
        <f>IFERROR(__xludf.DUMMYFUNCTION("""COMPUTED_VALUE"""),45843.0)</f>
        <v>45843</v>
      </c>
      <c r="BV50" s="179">
        <f>IFERROR(__xludf.DUMMYFUNCTION("""COMPUTED_VALUE"""),0.0)</f>
        <v>0</v>
      </c>
      <c r="BW50" s="180">
        <f>IFERROR(__xludf.DUMMYFUNCTION("""COMPUTED_VALUE"""),45693.0)</f>
        <v>45693</v>
      </c>
      <c r="BX50" s="179">
        <f>IFERROR(__xludf.DUMMYFUNCTION("""COMPUTED_VALUE"""),0.0)</f>
        <v>0</v>
      </c>
      <c r="BY50" s="180">
        <f>IFERROR(__xludf.DUMMYFUNCTION("""COMPUTED_VALUE"""),45813.0)</f>
        <v>45813</v>
      </c>
      <c r="BZ50" s="179">
        <f>IFERROR(__xludf.DUMMYFUNCTION("""COMPUTED_VALUE"""),0.0)</f>
        <v>0</v>
      </c>
      <c r="CA50" s="180">
        <f>IFERROR(__xludf.DUMMYFUNCTION("""COMPUTED_VALUE"""),45874.0)</f>
        <v>45874</v>
      </c>
      <c r="CB50" s="179">
        <f>IFERROR(__xludf.DUMMYFUNCTION("""COMPUTED_VALUE"""),0.0)</f>
        <v>0</v>
      </c>
      <c r="CC50" s="180">
        <f>IFERROR(__xludf.DUMMYFUNCTION("""COMPUTED_VALUE"""),45843.0)</f>
        <v>45843</v>
      </c>
      <c r="CD50" s="179">
        <f>IFERROR(__xludf.DUMMYFUNCTION("""COMPUTED_VALUE"""),0.0)</f>
        <v>0</v>
      </c>
      <c r="CE50" s="182">
        <f>IFERROR(__xludf.DUMMYFUNCTION("""COMPUTED_VALUE"""),45904.0)</f>
        <v>45904</v>
      </c>
      <c r="CF50" s="179">
        <f>IFERROR(__xludf.DUMMYFUNCTION("""COMPUTED_VALUE"""),0.0)</f>
        <v>0</v>
      </c>
      <c r="CG50" s="180">
        <f>IFERROR(__xludf.DUMMYFUNCTION("""COMPUTED_VALUE"""),45720.0)</f>
        <v>45720</v>
      </c>
      <c r="CH50" s="179">
        <f>IFERROR(__xludf.DUMMYFUNCTION("""COMPUTED_VALUE"""),0.0)</f>
        <v>0</v>
      </c>
      <c r="CI50" s="180">
        <f>IFERROR(__xludf.DUMMYFUNCTION("""COMPUTED_VALUE"""),45751.0)</f>
        <v>45751</v>
      </c>
      <c r="CJ50" s="179">
        <f>IFERROR(__xludf.DUMMYFUNCTION("""COMPUTED_VALUE"""),0.0)</f>
        <v>0</v>
      </c>
      <c r="CK50" s="180">
        <f>IFERROR(__xludf.DUMMYFUNCTION("""COMPUTED_VALUE"""),45781.0)</f>
        <v>45781</v>
      </c>
      <c r="CL50" s="179">
        <f>IFERROR(__xludf.DUMMYFUNCTION("""COMPUTED_VALUE"""),0.0)</f>
        <v>0</v>
      </c>
      <c r="CM50" s="180">
        <f>IFERROR(__xludf.DUMMYFUNCTION("""COMPUTED_VALUE"""),45873.0)</f>
        <v>45873</v>
      </c>
      <c r="CN50" s="179">
        <f>IFERROR(__xludf.DUMMYFUNCTION("""COMPUTED_VALUE"""),0.0)</f>
        <v>0</v>
      </c>
      <c r="CO50" s="180">
        <f>IFERROR(__xludf.DUMMYFUNCTION("""COMPUTED_VALUE"""),45842.0)</f>
        <v>45842</v>
      </c>
      <c r="CP50" s="179">
        <f>IFERROR(__xludf.DUMMYFUNCTION("""COMPUTED_VALUE"""),0.0)</f>
        <v>0</v>
      </c>
      <c r="CQ50" s="180">
        <f>IFERROR(__xludf.DUMMYFUNCTION("""COMPUTED_VALUE"""),45661.0)</f>
        <v>45661</v>
      </c>
      <c r="CR50" s="179">
        <f>IFERROR(__xludf.DUMMYFUNCTION("""COMPUTED_VALUE"""),0.0)</f>
        <v>0</v>
      </c>
      <c r="CS50" s="180">
        <f>IFERROR(__xludf.DUMMYFUNCTION("""COMPUTED_VALUE"""),45842.0)</f>
        <v>45842</v>
      </c>
      <c r="CT50" s="179">
        <f>IFERROR(__xludf.DUMMYFUNCTION("""COMPUTED_VALUE"""),0.0)</f>
        <v>0</v>
      </c>
      <c r="CU50" s="180">
        <f>IFERROR(__xludf.DUMMYFUNCTION("""COMPUTED_VALUE"""),45904.0)</f>
        <v>45904</v>
      </c>
      <c r="CV50" s="179">
        <f>IFERROR(__xludf.DUMMYFUNCTION("""COMPUTED_VALUE"""),0.0)</f>
        <v>0</v>
      </c>
      <c r="CW50" s="180">
        <f>IFERROR(__xludf.DUMMYFUNCTION("""COMPUTED_VALUE"""),45903.0)</f>
        <v>45903</v>
      </c>
      <c r="CX50" s="179">
        <f>IFERROR(__xludf.DUMMYFUNCTION("""COMPUTED_VALUE"""),0.0)</f>
        <v>0</v>
      </c>
      <c r="CY50" s="182">
        <f>IFERROR(__xludf.DUMMYFUNCTION("""COMPUTED_VALUE"""),45904.0)</f>
        <v>45904</v>
      </c>
      <c r="CZ50" s="179">
        <f>IFERROR(__xludf.DUMMYFUNCTION("""COMPUTED_VALUE"""),0.0)</f>
        <v>0</v>
      </c>
      <c r="DA50" s="180">
        <f>IFERROR(__xludf.DUMMYFUNCTION("""COMPUTED_VALUE"""),45904.0)</f>
        <v>45904</v>
      </c>
      <c r="DB50" s="179">
        <f>IFERROR(__xludf.DUMMYFUNCTION("""COMPUTED_VALUE"""),0.0)</f>
        <v>0</v>
      </c>
      <c r="DC50" s="180">
        <f>IFERROR(__xludf.DUMMYFUNCTION("""COMPUTED_VALUE"""),45781.0)</f>
        <v>45781</v>
      </c>
      <c r="DD50" s="179">
        <f>IFERROR(__xludf.DUMMYFUNCTION("""COMPUTED_VALUE"""),0.0)</f>
        <v>0</v>
      </c>
      <c r="DE50" s="180">
        <f>IFERROR(__xludf.DUMMYFUNCTION("""COMPUTED_VALUE"""),45812.0)</f>
        <v>45812</v>
      </c>
      <c r="DF50" s="179">
        <f>IFERROR(__xludf.DUMMYFUNCTION("""COMPUTED_VALUE"""),0.0)</f>
        <v>0</v>
      </c>
      <c r="DG50" s="180">
        <f>IFERROR(__xludf.DUMMYFUNCTION("""COMPUTED_VALUE"""),45904.0)</f>
        <v>45904</v>
      </c>
      <c r="DH50" s="179">
        <f>IFERROR(__xludf.DUMMYFUNCTION("""COMPUTED_VALUE"""),0.0)</f>
        <v>0</v>
      </c>
      <c r="DI50" s="180">
        <f>IFERROR(__xludf.DUMMYFUNCTION("""COMPUTED_VALUE"""),45904.0)</f>
        <v>45904</v>
      </c>
      <c r="DJ50" s="179">
        <f>IFERROR(__xludf.DUMMYFUNCTION("""COMPUTED_VALUE"""),0.0)</f>
        <v>0</v>
      </c>
      <c r="DK50" s="180">
        <f>IFERROR(__xludf.DUMMYFUNCTION("""COMPUTED_VALUE"""),45873.0)</f>
        <v>45873</v>
      </c>
      <c r="DL50" s="179">
        <f>IFERROR(__xludf.DUMMYFUNCTION("""COMPUTED_VALUE"""),0.0)</f>
        <v>0</v>
      </c>
      <c r="DM50" s="180">
        <f>IFERROR(__xludf.DUMMYFUNCTION("""COMPUTED_VALUE"""),45873.0)</f>
        <v>45873</v>
      </c>
      <c r="DN50" s="179">
        <f>IFERROR(__xludf.DUMMYFUNCTION("""COMPUTED_VALUE"""),0.0)</f>
        <v>0</v>
      </c>
      <c r="DO50" s="180">
        <f>IFERROR(__xludf.DUMMYFUNCTION("""COMPUTED_VALUE"""),45904.0)</f>
        <v>45904</v>
      </c>
      <c r="DP50" s="179">
        <f>IFERROR(__xludf.DUMMYFUNCTION("""COMPUTED_VALUE"""),0.0)</f>
        <v>0</v>
      </c>
      <c r="DQ50" s="180">
        <f>IFERROR(__xludf.DUMMYFUNCTION("""COMPUTED_VALUE"""),45720.0)</f>
        <v>45720</v>
      </c>
      <c r="DR50" s="179">
        <f>IFERROR(__xludf.DUMMYFUNCTION("""COMPUTED_VALUE"""),0.0)</f>
        <v>0</v>
      </c>
      <c r="DS50" s="182">
        <f>IFERROR(__xludf.DUMMYFUNCTION("""COMPUTED_VALUE"""),45873.0)</f>
        <v>45873</v>
      </c>
      <c r="DT50" s="179">
        <f>IFERROR(__xludf.DUMMYFUNCTION("""COMPUTED_VALUE"""),0.0)</f>
        <v>0</v>
      </c>
      <c r="DU50" s="180">
        <f>IFERROR(__xludf.DUMMYFUNCTION("""COMPUTED_VALUE"""),45842.0)</f>
        <v>45842</v>
      </c>
      <c r="DV50" s="179">
        <f>IFERROR(__xludf.DUMMYFUNCTION("""COMPUTED_VALUE"""),0.0)</f>
        <v>0</v>
      </c>
      <c r="DW50" s="180">
        <f>IFERROR(__xludf.DUMMYFUNCTION("""COMPUTED_VALUE"""),45842.0)</f>
        <v>45842</v>
      </c>
      <c r="DX50" s="179">
        <f>IFERROR(__xludf.DUMMYFUNCTION("""COMPUTED_VALUE"""),0.0)</f>
        <v>0</v>
      </c>
      <c r="DY50" s="180">
        <f>IFERROR(__xludf.DUMMYFUNCTION("""COMPUTED_VALUE"""),45873.0)</f>
        <v>45873</v>
      </c>
      <c r="DZ50" s="179">
        <f>IFERROR(__xludf.DUMMYFUNCTION("""COMPUTED_VALUE"""),0.0)</f>
        <v>0</v>
      </c>
      <c r="EA50" s="180">
        <f>IFERROR(__xludf.DUMMYFUNCTION("""COMPUTED_VALUE"""),45904.0)</f>
        <v>45904</v>
      </c>
      <c r="EB50" s="179">
        <f>IFERROR(__xludf.DUMMYFUNCTION("""COMPUTED_VALUE"""),0.0)</f>
        <v>0</v>
      </c>
      <c r="EC50" s="180">
        <f>IFERROR(__xludf.DUMMYFUNCTION("""COMPUTED_VALUE"""),45873.0)</f>
        <v>45873</v>
      </c>
      <c r="ED50" s="179">
        <f>IFERROR(__xludf.DUMMYFUNCTION("""COMPUTED_VALUE"""),0.0)</f>
        <v>0</v>
      </c>
      <c r="EE50" s="180">
        <f>IFERROR(__xludf.DUMMYFUNCTION("""COMPUTED_VALUE"""),45781.0)</f>
        <v>45781</v>
      </c>
      <c r="EF50" s="179">
        <f>IFERROR(__xludf.DUMMYFUNCTION("""COMPUTED_VALUE"""),0.0)</f>
        <v>0</v>
      </c>
      <c r="EG50" s="180">
        <f>IFERROR(__xludf.DUMMYFUNCTION("""COMPUTED_VALUE"""),45873.0)</f>
        <v>45873</v>
      </c>
      <c r="EH50" s="179">
        <f>IFERROR(__xludf.DUMMYFUNCTION("""COMPUTED_VALUE"""),0.0)</f>
        <v>0</v>
      </c>
      <c r="EI50" s="180">
        <f>IFERROR(__xludf.DUMMYFUNCTION("""COMPUTED_VALUE"""),45873.0)</f>
        <v>45873</v>
      </c>
      <c r="EJ50" s="179">
        <f>IFERROR(__xludf.DUMMYFUNCTION("""COMPUTED_VALUE"""),0.0)</f>
        <v>0</v>
      </c>
      <c r="EK50" s="180">
        <f>IFERROR(__xludf.DUMMYFUNCTION("""COMPUTED_VALUE"""),45812.0)</f>
        <v>45812</v>
      </c>
      <c r="EL50" s="179">
        <f>IFERROR(__xludf.DUMMYFUNCTION("""COMPUTED_VALUE"""),0.0)</f>
        <v>0</v>
      </c>
      <c r="EM50" s="182">
        <f>IFERROR(__xludf.DUMMYFUNCTION("""COMPUTED_VALUE"""),45781.0)</f>
        <v>45781</v>
      </c>
      <c r="EN50" s="179">
        <f>IFERROR(__xludf.DUMMYFUNCTION("""COMPUTED_VALUE"""),0.0)</f>
        <v>0</v>
      </c>
      <c r="EO50" s="180">
        <f>IFERROR(__xludf.DUMMYFUNCTION("""COMPUTED_VALUE"""),45873.0)</f>
        <v>45873</v>
      </c>
      <c r="EP50" s="179">
        <f>IFERROR(__xludf.DUMMYFUNCTION("""COMPUTED_VALUE"""),0.0)</f>
        <v>0</v>
      </c>
      <c r="EQ50" s="180">
        <f>IFERROR(__xludf.DUMMYFUNCTION("""COMPUTED_VALUE"""),45873.0)</f>
        <v>45873</v>
      </c>
      <c r="ER50" s="179">
        <f>IFERROR(__xludf.DUMMYFUNCTION("""COMPUTED_VALUE"""),0.0)</f>
        <v>0</v>
      </c>
      <c r="ES50" s="180">
        <f>IFERROR(__xludf.DUMMYFUNCTION("""COMPUTED_VALUE"""),45904.0)</f>
        <v>45904</v>
      </c>
      <c r="ET50" s="179">
        <f>IFERROR(__xludf.DUMMYFUNCTION("""COMPUTED_VALUE"""),0.0)</f>
        <v>0</v>
      </c>
      <c r="EU50" s="180">
        <f>IFERROR(__xludf.DUMMYFUNCTION("""COMPUTED_VALUE"""),45873.0)</f>
        <v>45873</v>
      </c>
      <c r="EV50" s="179">
        <f>IFERROR(__xludf.DUMMYFUNCTION("""COMPUTED_VALUE"""),0.0)</f>
        <v>0</v>
      </c>
      <c r="EW50" s="180">
        <f>IFERROR(__xludf.DUMMYFUNCTION("""COMPUTED_VALUE"""),45904.0)</f>
        <v>45904</v>
      </c>
      <c r="EX50" s="179">
        <f>IFERROR(__xludf.DUMMYFUNCTION("""COMPUTED_VALUE"""),0.0)</f>
        <v>0</v>
      </c>
      <c r="EY50" s="180">
        <f>IFERROR(__xludf.DUMMYFUNCTION("""COMPUTED_VALUE"""),45904.0)</f>
        <v>45904</v>
      </c>
      <c r="EZ50" s="179">
        <f>IFERROR(__xludf.DUMMYFUNCTION("""COMPUTED_VALUE"""),0.0)</f>
        <v>0</v>
      </c>
      <c r="FA50" s="180">
        <f>IFERROR(__xludf.DUMMYFUNCTION("""COMPUTED_VALUE"""),45873.0)</f>
        <v>45873</v>
      </c>
      <c r="FB50" s="179">
        <f>IFERROR(__xludf.DUMMYFUNCTION("""COMPUTED_VALUE"""),0.0)</f>
        <v>0</v>
      </c>
      <c r="FC50" s="180">
        <f>IFERROR(__xludf.DUMMYFUNCTION("""COMPUTED_VALUE"""),45904.0)</f>
        <v>45904</v>
      </c>
      <c r="FD50" s="179">
        <f>IFERROR(__xludf.DUMMYFUNCTION("""COMPUTED_VALUE"""),0.0)</f>
        <v>0</v>
      </c>
      <c r="FE50" s="180">
        <f>IFERROR(__xludf.DUMMYFUNCTION("""COMPUTED_VALUE"""),45781.0)</f>
        <v>45781</v>
      </c>
      <c r="FF50" s="179">
        <f>IFERROR(__xludf.DUMMYFUNCTION("""COMPUTED_VALUE"""),0.0)</f>
        <v>0</v>
      </c>
      <c r="FG50" s="182">
        <f>IFERROR(__xludf.DUMMYFUNCTION("""COMPUTED_VALUE"""),45781.0)</f>
        <v>45781</v>
      </c>
      <c r="FH50" s="179">
        <f>IFERROR(__xludf.DUMMYFUNCTION("""COMPUTED_VALUE"""),0.0)</f>
        <v>0</v>
      </c>
      <c r="FI50" s="180">
        <f>IFERROR(__xludf.DUMMYFUNCTION("""COMPUTED_VALUE"""),45781.0)</f>
        <v>45781</v>
      </c>
      <c r="FJ50" s="179">
        <f>IFERROR(__xludf.DUMMYFUNCTION("""COMPUTED_VALUE"""),0.0)</f>
        <v>0</v>
      </c>
      <c r="FK50" s="180">
        <f>IFERROR(__xludf.DUMMYFUNCTION("""COMPUTED_VALUE"""),45661.0)</f>
        <v>45661</v>
      </c>
      <c r="FL50" s="179">
        <f>IFERROR(__xludf.DUMMYFUNCTION("""COMPUTED_VALUE"""),0.0)</f>
        <v>0</v>
      </c>
      <c r="FM50" s="180">
        <f>IFERROR(__xludf.DUMMYFUNCTION("""COMPUTED_VALUE"""),45904.0)</f>
        <v>45904</v>
      </c>
      <c r="FN50" s="179">
        <f>IFERROR(__xludf.DUMMYFUNCTION("""COMPUTED_VALUE"""),0.0)</f>
        <v>0</v>
      </c>
      <c r="FO50" s="180">
        <f>IFERROR(__xludf.DUMMYFUNCTION("""COMPUTED_VALUE"""),45904.0)</f>
        <v>45904</v>
      </c>
      <c r="FP50" s="179">
        <f>IFERROR(__xludf.DUMMYFUNCTION("""COMPUTED_VALUE"""),0.0)</f>
        <v>0</v>
      </c>
      <c r="FQ50" s="180">
        <f>IFERROR(__xludf.DUMMYFUNCTION("""COMPUTED_VALUE"""),45904.0)</f>
        <v>45904</v>
      </c>
      <c r="FR50" s="179">
        <f>IFERROR(__xludf.DUMMYFUNCTION("""COMPUTED_VALUE"""),0.0)</f>
        <v>0</v>
      </c>
      <c r="FS50" s="180">
        <f>IFERROR(__xludf.DUMMYFUNCTION("""COMPUTED_VALUE"""),45781.0)</f>
        <v>45781</v>
      </c>
      <c r="FT50" s="179">
        <f>IFERROR(__xludf.DUMMYFUNCTION("""COMPUTED_VALUE"""),0.0)</f>
        <v>0</v>
      </c>
      <c r="FU50" s="180">
        <f>IFERROR(__xludf.DUMMYFUNCTION("""COMPUTED_VALUE"""),45904.0)</f>
        <v>45904</v>
      </c>
      <c r="FV50" s="179">
        <f>IFERROR(__xludf.DUMMYFUNCTION("""COMPUTED_VALUE"""),0.0)</f>
        <v>0</v>
      </c>
      <c r="FW50" s="180">
        <f>IFERROR(__xludf.DUMMYFUNCTION("""COMPUTED_VALUE"""),45904.0)</f>
        <v>45904</v>
      </c>
      <c r="FX50" s="179">
        <f>IFERROR(__xludf.DUMMYFUNCTION("""COMPUTED_VALUE"""),0.0)</f>
        <v>0</v>
      </c>
      <c r="FY50" s="180">
        <f>IFERROR(__xludf.DUMMYFUNCTION("""COMPUTED_VALUE"""),45661.0)</f>
        <v>45661</v>
      </c>
      <c r="FZ50" s="179">
        <f>IFERROR(__xludf.DUMMYFUNCTION("""COMPUTED_VALUE"""),0.0)</f>
        <v>0</v>
      </c>
      <c r="GA50" s="182">
        <f>IFERROR(__xludf.DUMMYFUNCTION("""COMPUTED_VALUE"""),45904.0)</f>
        <v>45904</v>
      </c>
      <c r="GB50" s="179">
        <f>IFERROR(__xludf.DUMMYFUNCTION("""COMPUTED_VALUE"""),0.0)</f>
        <v>0</v>
      </c>
      <c r="GC50" s="180">
        <f>IFERROR(__xludf.DUMMYFUNCTION("""COMPUTED_VALUE"""),45812.0)</f>
        <v>45812</v>
      </c>
      <c r="GD50" s="179">
        <f>IFERROR(__xludf.DUMMYFUNCTION("""COMPUTED_VALUE"""),0.0)</f>
        <v>0</v>
      </c>
      <c r="GE50" s="180">
        <f>IFERROR(__xludf.DUMMYFUNCTION("""COMPUTED_VALUE"""),45812.0)</f>
        <v>45812</v>
      </c>
      <c r="GF50" s="179">
        <f>IFERROR(__xludf.DUMMYFUNCTION("""COMPUTED_VALUE"""),0.0)</f>
        <v>0</v>
      </c>
      <c r="GG50" s="180">
        <f>IFERROR(__xludf.DUMMYFUNCTION("""COMPUTED_VALUE"""),45842.0)</f>
        <v>45842</v>
      </c>
      <c r="GH50" s="179">
        <f>IFERROR(__xludf.DUMMYFUNCTION("""COMPUTED_VALUE"""),0.0)</f>
        <v>0</v>
      </c>
      <c r="GI50" s="180">
        <f>IFERROR(__xludf.DUMMYFUNCTION("""COMPUTED_VALUE"""),45904.0)</f>
        <v>45904</v>
      </c>
      <c r="GJ50" s="179">
        <f>IFERROR(__xludf.DUMMYFUNCTION("""COMPUTED_VALUE"""),0.0)</f>
        <v>0</v>
      </c>
      <c r="GK50" s="180">
        <f>IFERROR(__xludf.DUMMYFUNCTION("""COMPUTED_VALUE"""),45904.0)</f>
        <v>45904</v>
      </c>
      <c r="GL50" s="179">
        <f>IFERROR(__xludf.DUMMYFUNCTION("""COMPUTED_VALUE"""),0.0)</f>
        <v>0</v>
      </c>
      <c r="GM50" s="180">
        <f>IFERROR(__xludf.DUMMYFUNCTION("""COMPUTED_VALUE"""),45720.0)</f>
        <v>45720</v>
      </c>
      <c r="GN50" s="179">
        <f>IFERROR(__xludf.DUMMYFUNCTION("""COMPUTED_VALUE"""),0.0)</f>
        <v>0</v>
      </c>
      <c r="GO50" s="180">
        <f>IFERROR(__xludf.DUMMYFUNCTION("""COMPUTED_VALUE"""),45904.0)</f>
        <v>45904</v>
      </c>
      <c r="GP50" s="179">
        <f>IFERROR(__xludf.DUMMYFUNCTION("""COMPUTED_VALUE"""),0.0)</f>
        <v>0</v>
      </c>
      <c r="GQ50" s="180">
        <f>IFERROR(__xludf.DUMMYFUNCTION("""COMPUTED_VALUE"""),45904.0)</f>
        <v>45904</v>
      </c>
      <c r="GR50" s="179">
        <f>IFERROR(__xludf.DUMMYFUNCTION("""COMPUTED_VALUE"""),0.0)</f>
        <v>0</v>
      </c>
      <c r="GS50" s="180">
        <f>IFERROR(__xludf.DUMMYFUNCTION("""COMPUTED_VALUE"""),45692.0)</f>
        <v>45692</v>
      </c>
      <c r="GT50" s="179">
        <f>IFERROR(__xludf.DUMMYFUNCTION("""COMPUTED_VALUE"""),0.0)</f>
        <v>0</v>
      </c>
    </row>
    <row r="51" ht="31.5" customHeight="1">
      <c r="B51" s="183"/>
      <c r="C51" s="178">
        <f>IFERROR(__xludf.DUMMYFUNCTION("""COMPUTED_VALUE"""),45782.0)</f>
        <v>45782</v>
      </c>
      <c r="D51" s="179">
        <f>IFERROR(__xludf.DUMMYFUNCTION("""COMPUTED_VALUE"""),0.0)</f>
        <v>0</v>
      </c>
      <c r="E51" s="180">
        <f>IFERROR(__xludf.DUMMYFUNCTION("""COMPUTED_VALUE"""),45813.0)</f>
        <v>45813</v>
      </c>
      <c r="F51" s="179">
        <f>IFERROR(__xludf.DUMMYFUNCTION("""COMPUTED_VALUE"""),0.0)</f>
        <v>0</v>
      </c>
      <c r="G51" s="180">
        <f>IFERROR(__xludf.DUMMYFUNCTION("""COMPUTED_VALUE"""),45813.0)</f>
        <v>45813</v>
      </c>
      <c r="H51" s="179">
        <f>IFERROR(__xludf.DUMMYFUNCTION("""COMPUTED_VALUE"""),0.0)</f>
        <v>0</v>
      </c>
      <c r="I51" s="180">
        <f>IFERROR(__xludf.DUMMYFUNCTION("""COMPUTED_VALUE"""),45905.0)</f>
        <v>45905</v>
      </c>
      <c r="J51" s="179">
        <f>IFERROR(__xludf.DUMMYFUNCTION("""COMPUTED_VALUE"""),0.0)</f>
        <v>0</v>
      </c>
      <c r="K51" s="180">
        <f>IFERROR(__xludf.DUMMYFUNCTION("""COMPUTED_VALUE"""),45721.0)</f>
        <v>45721</v>
      </c>
      <c r="L51" s="179">
        <f>IFERROR(__xludf.DUMMYFUNCTION("""COMPUTED_VALUE"""),0.0)</f>
        <v>0</v>
      </c>
      <c r="M51" s="180">
        <f>IFERROR(__xludf.DUMMYFUNCTION("""COMPUTED_VALUE"""),45782.0)</f>
        <v>45782</v>
      </c>
      <c r="N51" s="179">
        <f>IFERROR(__xludf.DUMMYFUNCTION("""COMPUTED_VALUE"""),0.0)</f>
        <v>0</v>
      </c>
      <c r="O51" s="180">
        <f>IFERROR(__xludf.DUMMYFUNCTION("""COMPUTED_VALUE"""),45693.0)</f>
        <v>45693</v>
      </c>
      <c r="P51" s="179">
        <f>IFERROR(__xludf.DUMMYFUNCTION("""COMPUTED_VALUE"""),0.0)</f>
        <v>0</v>
      </c>
      <c r="Q51" s="180">
        <f>IFERROR(__xludf.DUMMYFUNCTION("""COMPUTED_VALUE"""),45693.0)</f>
        <v>45693</v>
      </c>
      <c r="R51" s="179">
        <f>IFERROR(__xludf.DUMMYFUNCTION("""COMPUTED_VALUE"""),0.0)</f>
        <v>0</v>
      </c>
      <c r="S51" s="180">
        <f>IFERROR(__xludf.DUMMYFUNCTION("""COMPUTED_VALUE"""),45843.0)</f>
        <v>45843</v>
      </c>
      <c r="T51" s="179">
        <f>IFERROR(__xludf.DUMMYFUNCTION("""COMPUTED_VALUE"""),0.0)</f>
        <v>0</v>
      </c>
      <c r="U51" s="180">
        <f>IFERROR(__xludf.DUMMYFUNCTION("""COMPUTED_VALUE"""),45662.0)</f>
        <v>45662</v>
      </c>
      <c r="V51" s="181">
        <f>IFERROR(__xludf.DUMMYFUNCTION("""COMPUTED_VALUE"""),0.0)</f>
        <v>0</v>
      </c>
      <c r="W51" s="178">
        <f>IFERROR(__xludf.DUMMYFUNCTION("""COMPUTED_VALUE"""),45905.0)</f>
        <v>45905</v>
      </c>
      <c r="X51" s="179">
        <f>IFERROR(__xludf.DUMMYFUNCTION("""COMPUTED_VALUE"""),0.0)</f>
        <v>0</v>
      </c>
      <c r="Y51" s="180">
        <f>IFERROR(__xludf.DUMMYFUNCTION("""COMPUTED_VALUE"""),45693.0)</f>
        <v>45693</v>
      </c>
      <c r="Z51" s="179">
        <f>IFERROR(__xludf.DUMMYFUNCTION("""COMPUTED_VALUE"""),0.0)</f>
        <v>0</v>
      </c>
      <c r="AA51" s="180">
        <f>IFERROR(__xludf.DUMMYFUNCTION("""COMPUTED_VALUE"""),45874.0)</f>
        <v>45874</v>
      </c>
      <c r="AB51" s="179">
        <f>IFERROR(__xludf.DUMMYFUNCTION("""COMPUTED_VALUE"""),0.0)</f>
        <v>0</v>
      </c>
      <c r="AC51" s="180">
        <f>IFERROR(__xludf.DUMMYFUNCTION("""COMPUTED_VALUE"""),45934.0)</f>
        <v>45934</v>
      </c>
      <c r="AD51" s="179">
        <f>IFERROR(__xludf.DUMMYFUNCTION("""COMPUTED_VALUE"""),0.0)</f>
        <v>0</v>
      </c>
      <c r="AE51" s="180">
        <f>IFERROR(__xludf.DUMMYFUNCTION("""COMPUTED_VALUE"""),45721.0)</f>
        <v>45721</v>
      </c>
      <c r="AF51" s="179">
        <f>IFERROR(__xludf.DUMMYFUNCTION("""COMPUTED_VALUE"""),0.0)</f>
        <v>0</v>
      </c>
      <c r="AG51" s="180">
        <f>IFERROR(__xludf.DUMMYFUNCTION("""COMPUTED_VALUE"""),45905.0)</f>
        <v>45905</v>
      </c>
      <c r="AH51" s="179">
        <f>IFERROR(__xludf.DUMMYFUNCTION("""COMPUTED_VALUE"""),0.0)</f>
        <v>0</v>
      </c>
      <c r="AI51" s="180">
        <f>IFERROR(__xludf.DUMMYFUNCTION("""COMPUTED_VALUE"""),45934.0)</f>
        <v>45934</v>
      </c>
      <c r="AJ51" s="179">
        <f>IFERROR(__xludf.DUMMYFUNCTION("""COMPUTED_VALUE"""),0.0)</f>
        <v>0</v>
      </c>
      <c r="AK51" s="180">
        <f>IFERROR(__xludf.DUMMYFUNCTION("""COMPUTED_VALUE"""),45813.0)</f>
        <v>45813</v>
      </c>
      <c r="AL51" s="179">
        <f>IFERROR(__xludf.DUMMYFUNCTION("""COMPUTED_VALUE"""),0.0)</f>
        <v>0</v>
      </c>
      <c r="AM51" s="180">
        <f>IFERROR(__xludf.DUMMYFUNCTION("""COMPUTED_VALUE"""),45905.0)</f>
        <v>45905</v>
      </c>
      <c r="AN51" s="179">
        <f>IFERROR(__xludf.DUMMYFUNCTION("""COMPUTED_VALUE"""),0.0)</f>
        <v>0</v>
      </c>
      <c r="AO51" s="180">
        <f>IFERROR(__xludf.DUMMYFUNCTION("""COMPUTED_VALUE"""),45752.0)</f>
        <v>45752</v>
      </c>
      <c r="AP51" s="181">
        <f>IFERROR(__xludf.DUMMYFUNCTION("""COMPUTED_VALUE"""),0.0)</f>
        <v>0</v>
      </c>
      <c r="AQ51" s="178">
        <f>IFERROR(__xludf.DUMMYFUNCTION("""COMPUTED_VALUE"""),45905.0)</f>
        <v>45905</v>
      </c>
      <c r="AR51" s="179">
        <f>IFERROR(__xludf.DUMMYFUNCTION("""COMPUTED_VALUE"""),0.0)</f>
        <v>0</v>
      </c>
      <c r="AS51" s="180">
        <f>IFERROR(__xludf.DUMMYFUNCTION("""COMPUTED_VALUE"""),45905.0)</f>
        <v>45905</v>
      </c>
      <c r="AT51" s="179">
        <f>IFERROR(__xludf.DUMMYFUNCTION("""COMPUTED_VALUE"""),0.0)</f>
        <v>0</v>
      </c>
      <c r="AU51" s="180">
        <f>IFERROR(__xludf.DUMMYFUNCTION("""COMPUTED_VALUE"""),45874.0)</f>
        <v>45874</v>
      </c>
      <c r="AV51" s="179">
        <f>IFERROR(__xludf.DUMMYFUNCTION("""COMPUTED_VALUE"""),0.0)</f>
        <v>0</v>
      </c>
      <c r="AW51" s="180">
        <f>IFERROR(__xludf.DUMMYFUNCTION("""COMPUTED_VALUE"""),45874.0)</f>
        <v>45874</v>
      </c>
      <c r="AX51" s="179">
        <f>IFERROR(__xludf.DUMMYFUNCTION("""COMPUTED_VALUE"""),0.0)</f>
        <v>0</v>
      </c>
      <c r="AY51" s="180">
        <f>IFERROR(__xludf.DUMMYFUNCTION("""COMPUTED_VALUE"""),45905.0)</f>
        <v>45905</v>
      </c>
      <c r="AZ51" s="179">
        <f>IFERROR(__xludf.DUMMYFUNCTION("""COMPUTED_VALUE"""),0.0)</f>
        <v>0</v>
      </c>
      <c r="BA51" s="180">
        <f>IFERROR(__xludf.DUMMYFUNCTION("""COMPUTED_VALUE"""),45905.0)</f>
        <v>45905</v>
      </c>
      <c r="BB51" s="179">
        <f>IFERROR(__xludf.DUMMYFUNCTION("""COMPUTED_VALUE"""),0.0)</f>
        <v>0</v>
      </c>
      <c r="BC51" s="180">
        <f>IFERROR(__xludf.DUMMYFUNCTION("""COMPUTED_VALUE"""),45874.0)</f>
        <v>45874</v>
      </c>
      <c r="BD51" s="179">
        <f>IFERROR(__xludf.DUMMYFUNCTION("""COMPUTED_VALUE"""),0.0)</f>
        <v>0</v>
      </c>
      <c r="BE51" s="180">
        <f>IFERROR(__xludf.DUMMYFUNCTION("""COMPUTED_VALUE"""),45905.0)</f>
        <v>45905</v>
      </c>
      <c r="BF51" s="179">
        <f>IFERROR(__xludf.DUMMYFUNCTION("""COMPUTED_VALUE"""),0.0)</f>
        <v>0</v>
      </c>
      <c r="BG51" s="180">
        <f>IFERROR(__xludf.DUMMYFUNCTION("""COMPUTED_VALUE"""),45874.0)</f>
        <v>45874</v>
      </c>
      <c r="BH51" s="179">
        <f>IFERROR(__xludf.DUMMYFUNCTION("""COMPUTED_VALUE"""),0.0)</f>
        <v>0</v>
      </c>
      <c r="BI51" s="180">
        <f>IFERROR(__xludf.DUMMYFUNCTION("""COMPUTED_VALUE"""),45905.0)</f>
        <v>45905</v>
      </c>
      <c r="BJ51" s="179">
        <f>IFERROR(__xludf.DUMMYFUNCTION("""COMPUTED_VALUE"""),0.0)</f>
        <v>0</v>
      </c>
      <c r="BK51" s="182">
        <f>IFERROR(__xludf.DUMMYFUNCTION("""COMPUTED_VALUE"""),45843.0)</f>
        <v>45843</v>
      </c>
      <c r="BL51" s="179">
        <f>IFERROR(__xludf.DUMMYFUNCTION("""COMPUTED_VALUE"""),0.0)</f>
        <v>0</v>
      </c>
      <c r="BM51" s="180">
        <f>IFERROR(__xludf.DUMMYFUNCTION("""COMPUTED_VALUE"""),45905.0)</f>
        <v>45905</v>
      </c>
      <c r="BN51" s="179">
        <f>IFERROR(__xludf.DUMMYFUNCTION("""COMPUTED_VALUE"""),0.0)</f>
        <v>0</v>
      </c>
      <c r="BO51" s="180">
        <f>IFERROR(__xludf.DUMMYFUNCTION("""COMPUTED_VALUE"""),45874.0)</f>
        <v>45874</v>
      </c>
      <c r="BP51" s="179">
        <f>IFERROR(__xludf.DUMMYFUNCTION("""COMPUTED_VALUE"""),0.0)</f>
        <v>0</v>
      </c>
      <c r="BQ51" s="180">
        <f>IFERROR(__xludf.DUMMYFUNCTION("""COMPUTED_VALUE"""),45843.0)</f>
        <v>45843</v>
      </c>
      <c r="BR51" s="179">
        <f>IFERROR(__xludf.DUMMYFUNCTION("""COMPUTED_VALUE"""),0.0)</f>
        <v>0</v>
      </c>
      <c r="BS51" s="180">
        <f>IFERROR(__xludf.DUMMYFUNCTION("""COMPUTED_VALUE"""),45905.0)</f>
        <v>45905</v>
      </c>
      <c r="BT51" s="179">
        <f>IFERROR(__xludf.DUMMYFUNCTION("""COMPUTED_VALUE"""),0.0)</f>
        <v>0</v>
      </c>
      <c r="BU51" s="180">
        <f>IFERROR(__xludf.DUMMYFUNCTION("""COMPUTED_VALUE"""),45874.0)</f>
        <v>45874</v>
      </c>
      <c r="BV51" s="179">
        <f>IFERROR(__xludf.DUMMYFUNCTION("""COMPUTED_VALUE"""),0.0)</f>
        <v>0</v>
      </c>
      <c r="BW51" s="180">
        <f>IFERROR(__xludf.DUMMYFUNCTION("""COMPUTED_VALUE"""),45721.0)</f>
        <v>45721</v>
      </c>
      <c r="BX51" s="179">
        <f>IFERROR(__xludf.DUMMYFUNCTION("""COMPUTED_VALUE"""),0.0)</f>
        <v>0</v>
      </c>
      <c r="BY51" s="180">
        <f>IFERROR(__xludf.DUMMYFUNCTION("""COMPUTED_VALUE"""),45843.0)</f>
        <v>45843</v>
      </c>
      <c r="BZ51" s="179">
        <f>IFERROR(__xludf.DUMMYFUNCTION("""COMPUTED_VALUE"""),0.0)</f>
        <v>0</v>
      </c>
      <c r="CA51" s="180">
        <f>IFERROR(__xludf.DUMMYFUNCTION("""COMPUTED_VALUE"""),45905.0)</f>
        <v>45905</v>
      </c>
      <c r="CB51" s="179">
        <f>IFERROR(__xludf.DUMMYFUNCTION("""COMPUTED_VALUE"""),0.0)</f>
        <v>0</v>
      </c>
      <c r="CC51" s="180">
        <f>IFERROR(__xludf.DUMMYFUNCTION("""COMPUTED_VALUE"""),45874.0)</f>
        <v>45874</v>
      </c>
      <c r="CD51" s="179">
        <f>IFERROR(__xludf.DUMMYFUNCTION("""COMPUTED_VALUE"""),0.0)</f>
        <v>0</v>
      </c>
      <c r="CE51" s="182">
        <f>IFERROR(__xludf.DUMMYFUNCTION("""COMPUTED_VALUE"""),45934.0)</f>
        <v>45934</v>
      </c>
      <c r="CF51" s="179">
        <f>IFERROR(__xludf.DUMMYFUNCTION("""COMPUTED_VALUE"""),0.0)</f>
        <v>0</v>
      </c>
      <c r="CG51" s="180">
        <f>IFERROR(__xludf.DUMMYFUNCTION("""COMPUTED_VALUE"""),45751.0)</f>
        <v>45751</v>
      </c>
      <c r="CH51" s="179">
        <f>IFERROR(__xludf.DUMMYFUNCTION("""COMPUTED_VALUE"""),0.0)</f>
        <v>0</v>
      </c>
      <c r="CI51" s="180">
        <f>IFERROR(__xludf.DUMMYFUNCTION("""COMPUTED_VALUE"""),45781.0)</f>
        <v>45781</v>
      </c>
      <c r="CJ51" s="179">
        <f>IFERROR(__xludf.DUMMYFUNCTION("""COMPUTED_VALUE"""),0.0)</f>
        <v>0</v>
      </c>
      <c r="CK51" s="180">
        <f>IFERROR(__xludf.DUMMYFUNCTION("""COMPUTED_VALUE"""),45812.0)</f>
        <v>45812</v>
      </c>
      <c r="CL51" s="179">
        <f>IFERROR(__xludf.DUMMYFUNCTION("""COMPUTED_VALUE"""),0.0)</f>
        <v>0</v>
      </c>
      <c r="CM51" s="180">
        <f>IFERROR(__xludf.DUMMYFUNCTION("""COMPUTED_VALUE"""),45904.0)</f>
        <v>45904</v>
      </c>
      <c r="CN51" s="179">
        <f>IFERROR(__xludf.DUMMYFUNCTION("""COMPUTED_VALUE"""),0.0)</f>
        <v>0</v>
      </c>
      <c r="CO51" s="180">
        <f>IFERROR(__xludf.DUMMYFUNCTION("""COMPUTED_VALUE"""),45873.0)</f>
        <v>45873</v>
      </c>
      <c r="CP51" s="179">
        <f>IFERROR(__xludf.DUMMYFUNCTION("""COMPUTED_VALUE"""),0.0)</f>
        <v>0</v>
      </c>
      <c r="CQ51" s="180">
        <f>IFERROR(__xludf.DUMMYFUNCTION("""COMPUTED_VALUE"""),45692.0)</f>
        <v>45692</v>
      </c>
      <c r="CR51" s="179">
        <f>IFERROR(__xludf.DUMMYFUNCTION("""COMPUTED_VALUE"""),0.0)</f>
        <v>0</v>
      </c>
      <c r="CS51" s="180">
        <f>IFERROR(__xludf.DUMMYFUNCTION("""COMPUTED_VALUE"""),45873.0)</f>
        <v>45873</v>
      </c>
      <c r="CT51" s="179">
        <f>IFERROR(__xludf.DUMMYFUNCTION("""COMPUTED_VALUE"""),0.0)</f>
        <v>0</v>
      </c>
      <c r="CU51" s="180">
        <f>IFERROR(__xludf.DUMMYFUNCTION("""COMPUTED_VALUE"""),45934.0)</f>
        <v>45934</v>
      </c>
      <c r="CV51" s="179">
        <f>IFERROR(__xludf.DUMMYFUNCTION("""COMPUTED_VALUE"""),0.0)</f>
        <v>0</v>
      </c>
      <c r="CW51" s="180">
        <f>IFERROR(__xludf.DUMMYFUNCTION("""COMPUTED_VALUE"""),45933.0)</f>
        <v>45933</v>
      </c>
      <c r="CX51" s="179">
        <f>IFERROR(__xludf.DUMMYFUNCTION("""COMPUTED_VALUE"""),0.0)</f>
        <v>0</v>
      </c>
      <c r="CY51" s="182">
        <f>IFERROR(__xludf.DUMMYFUNCTION("""COMPUTED_VALUE"""),45934.0)</f>
        <v>45934</v>
      </c>
      <c r="CZ51" s="179">
        <f>IFERROR(__xludf.DUMMYFUNCTION("""COMPUTED_VALUE"""),0.0)</f>
        <v>0</v>
      </c>
      <c r="DA51" s="180">
        <f>IFERROR(__xludf.DUMMYFUNCTION("""COMPUTED_VALUE"""),45934.0)</f>
        <v>45934</v>
      </c>
      <c r="DB51" s="179">
        <f>IFERROR(__xludf.DUMMYFUNCTION("""COMPUTED_VALUE"""),0.0)</f>
        <v>0</v>
      </c>
      <c r="DC51" s="180">
        <f>IFERROR(__xludf.DUMMYFUNCTION("""COMPUTED_VALUE"""),45812.0)</f>
        <v>45812</v>
      </c>
      <c r="DD51" s="179">
        <f>IFERROR(__xludf.DUMMYFUNCTION("""COMPUTED_VALUE"""),0.0)</f>
        <v>0</v>
      </c>
      <c r="DE51" s="180">
        <f>IFERROR(__xludf.DUMMYFUNCTION("""COMPUTED_VALUE"""),45842.0)</f>
        <v>45842</v>
      </c>
      <c r="DF51" s="179">
        <f>IFERROR(__xludf.DUMMYFUNCTION("""COMPUTED_VALUE"""),0.0)</f>
        <v>0</v>
      </c>
      <c r="DG51" s="180">
        <f>IFERROR(__xludf.DUMMYFUNCTION("""COMPUTED_VALUE"""),45934.0)</f>
        <v>45934</v>
      </c>
      <c r="DH51" s="179">
        <f>IFERROR(__xludf.DUMMYFUNCTION("""COMPUTED_VALUE"""),0.0)</f>
        <v>0</v>
      </c>
      <c r="DI51" s="180">
        <f>IFERROR(__xludf.DUMMYFUNCTION("""COMPUTED_VALUE"""),45934.0)</f>
        <v>45934</v>
      </c>
      <c r="DJ51" s="179">
        <f>IFERROR(__xludf.DUMMYFUNCTION("""COMPUTED_VALUE"""),0.0)</f>
        <v>0</v>
      </c>
      <c r="DK51" s="180">
        <f>IFERROR(__xludf.DUMMYFUNCTION("""COMPUTED_VALUE"""),45904.0)</f>
        <v>45904</v>
      </c>
      <c r="DL51" s="179">
        <f>IFERROR(__xludf.DUMMYFUNCTION("""COMPUTED_VALUE"""),0.0)</f>
        <v>0</v>
      </c>
      <c r="DM51" s="180">
        <f>IFERROR(__xludf.DUMMYFUNCTION("""COMPUTED_VALUE"""),45904.0)</f>
        <v>45904</v>
      </c>
      <c r="DN51" s="179">
        <f>IFERROR(__xludf.DUMMYFUNCTION("""COMPUTED_VALUE"""),0.0)</f>
        <v>0</v>
      </c>
      <c r="DO51" s="180">
        <f>IFERROR(__xludf.DUMMYFUNCTION("""COMPUTED_VALUE"""),45934.0)</f>
        <v>45934</v>
      </c>
      <c r="DP51" s="179">
        <f>IFERROR(__xludf.DUMMYFUNCTION("""COMPUTED_VALUE"""),0.0)</f>
        <v>0</v>
      </c>
      <c r="DQ51" s="180">
        <f>IFERROR(__xludf.DUMMYFUNCTION("""COMPUTED_VALUE"""),45751.0)</f>
        <v>45751</v>
      </c>
      <c r="DR51" s="179">
        <f>IFERROR(__xludf.DUMMYFUNCTION("""COMPUTED_VALUE"""),0.0)</f>
        <v>0</v>
      </c>
      <c r="DS51" s="182">
        <f>IFERROR(__xludf.DUMMYFUNCTION("""COMPUTED_VALUE"""),45904.0)</f>
        <v>45904</v>
      </c>
      <c r="DT51" s="179">
        <f>IFERROR(__xludf.DUMMYFUNCTION("""COMPUTED_VALUE"""),0.0)</f>
        <v>0</v>
      </c>
      <c r="DU51" s="180">
        <f>IFERROR(__xludf.DUMMYFUNCTION("""COMPUTED_VALUE"""),45873.0)</f>
        <v>45873</v>
      </c>
      <c r="DV51" s="179">
        <f>IFERROR(__xludf.DUMMYFUNCTION("""COMPUTED_VALUE"""),0.0)</f>
        <v>0</v>
      </c>
      <c r="DW51" s="180">
        <f>IFERROR(__xludf.DUMMYFUNCTION("""COMPUTED_VALUE"""),45873.0)</f>
        <v>45873</v>
      </c>
      <c r="DX51" s="179">
        <f>IFERROR(__xludf.DUMMYFUNCTION("""COMPUTED_VALUE"""),0.0)</f>
        <v>0</v>
      </c>
      <c r="DY51" s="180">
        <f>IFERROR(__xludf.DUMMYFUNCTION("""COMPUTED_VALUE"""),45904.0)</f>
        <v>45904</v>
      </c>
      <c r="DZ51" s="179">
        <f>IFERROR(__xludf.DUMMYFUNCTION("""COMPUTED_VALUE"""),0.0)</f>
        <v>0</v>
      </c>
      <c r="EA51" s="180">
        <f>IFERROR(__xludf.DUMMYFUNCTION("""COMPUTED_VALUE"""),45934.0)</f>
        <v>45934</v>
      </c>
      <c r="EB51" s="179">
        <f>IFERROR(__xludf.DUMMYFUNCTION("""COMPUTED_VALUE"""),0.0)</f>
        <v>0</v>
      </c>
      <c r="EC51" s="180">
        <f>IFERROR(__xludf.DUMMYFUNCTION("""COMPUTED_VALUE"""),45904.0)</f>
        <v>45904</v>
      </c>
      <c r="ED51" s="179">
        <f>IFERROR(__xludf.DUMMYFUNCTION("""COMPUTED_VALUE"""),0.0)</f>
        <v>0</v>
      </c>
      <c r="EE51" s="180">
        <f>IFERROR(__xludf.DUMMYFUNCTION("""COMPUTED_VALUE"""),45812.0)</f>
        <v>45812</v>
      </c>
      <c r="EF51" s="179">
        <f>IFERROR(__xludf.DUMMYFUNCTION("""COMPUTED_VALUE"""),0.0)</f>
        <v>0</v>
      </c>
      <c r="EG51" s="180">
        <f>IFERROR(__xludf.DUMMYFUNCTION("""COMPUTED_VALUE"""),45904.0)</f>
        <v>45904</v>
      </c>
      <c r="EH51" s="179">
        <f>IFERROR(__xludf.DUMMYFUNCTION("""COMPUTED_VALUE"""),0.0)</f>
        <v>0</v>
      </c>
      <c r="EI51" s="180">
        <f>IFERROR(__xludf.DUMMYFUNCTION("""COMPUTED_VALUE"""),45904.0)</f>
        <v>45904</v>
      </c>
      <c r="EJ51" s="179">
        <f>IFERROR(__xludf.DUMMYFUNCTION("""COMPUTED_VALUE"""),0.0)</f>
        <v>0</v>
      </c>
      <c r="EK51" s="180">
        <f>IFERROR(__xludf.DUMMYFUNCTION("""COMPUTED_VALUE"""),45842.0)</f>
        <v>45842</v>
      </c>
      <c r="EL51" s="179">
        <f>IFERROR(__xludf.DUMMYFUNCTION("""COMPUTED_VALUE"""),0.0)</f>
        <v>0</v>
      </c>
      <c r="EM51" s="182">
        <f>IFERROR(__xludf.DUMMYFUNCTION("""COMPUTED_VALUE"""),45812.0)</f>
        <v>45812</v>
      </c>
      <c r="EN51" s="179">
        <f>IFERROR(__xludf.DUMMYFUNCTION("""COMPUTED_VALUE"""),0.0)</f>
        <v>0</v>
      </c>
      <c r="EO51" s="180">
        <f>IFERROR(__xludf.DUMMYFUNCTION("""COMPUTED_VALUE"""),45904.0)</f>
        <v>45904</v>
      </c>
      <c r="EP51" s="179">
        <f>IFERROR(__xludf.DUMMYFUNCTION("""COMPUTED_VALUE"""),0.0)</f>
        <v>0</v>
      </c>
      <c r="EQ51" s="180">
        <f>IFERROR(__xludf.DUMMYFUNCTION("""COMPUTED_VALUE"""),45904.0)</f>
        <v>45904</v>
      </c>
      <c r="ER51" s="179">
        <f>IFERROR(__xludf.DUMMYFUNCTION("""COMPUTED_VALUE"""),0.0)</f>
        <v>0</v>
      </c>
      <c r="ES51" s="180">
        <f>IFERROR(__xludf.DUMMYFUNCTION("""COMPUTED_VALUE"""),45934.0)</f>
        <v>45934</v>
      </c>
      <c r="ET51" s="179">
        <f>IFERROR(__xludf.DUMMYFUNCTION("""COMPUTED_VALUE"""),0.0)</f>
        <v>0</v>
      </c>
      <c r="EU51" s="180">
        <f>IFERROR(__xludf.DUMMYFUNCTION("""COMPUTED_VALUE"""),45904.0)</f>
        <v>45904</v>
      </c>
      <c r="EV51" s="179">
        <f>IFERROR(__xludf.DUMMYFUNCTION("""COMPUTED_VALUE"""),0.0)</f>
        <v>0</v>
      </c>
      <c r="EW51" s="180">
        <f>IFERROR(__xludf.DUMMYFUNCTION("""COMPUTED_VALUE"""),45934.0)</f>
        <v>45934</v>
      </c>
      <c r="EX51" s="179">
        <f>IFERROR(__xludf.DUMMYFUNCTION("""COMPUTED_VALUE"""),0.0)</f>
        <v>0</v>
      </c>
      <c r="EY51" s="180">
        <f>IFERROR(__xludf.DUMMYFUNCTION("""COMPUTED_VALUE"""),45934.0)</f>
        <v>45934</v>
      </c>
      <c r="EZ51" s="179">
        <f>IFERROR(__xludf.DUMMYFUNCTION("""COMPUTED_VALUE"""),0.0)</f>
        <v>0</v>
      </c>
      <c r="FA51" s="180">
        <f>IFERROR(__xludf.DUMMYFUNCTION("""COMPUTED_VALUE"""),45904.0)</f>
        <v>45904</v>
      </c>
      <c r="FB51" s="179">
        <f>IFERROR(__xludf.DUMMYFUNCTION("""COMPUTED_VALUE"""),0.0)</f>
        <v>0</v>
      </c>
      <c r="FC51" s="180">
        <f>IFERROR(__xludf.DUMMYFUNCTION("""COMPUTED_VALUE"""),45934.0)</f>
        <v>45934</v>
      </c>
      <c r="FD51" s="179">
        <f>IFERROR(__xludf.DUMMYFUNCTION("""COMPUTED_VALUE"""),0.0)</f>
        <v>0</v>
      </c>
      <c r="FE51" s="180">
        <f>IFERROR(__xludf.DUMMYFUNCTION("""COMPUTED_VALUE"""),45812.0)</f>
        <v>45812</v>
      </c>
      <c r="FF51" s="179">
        <f>IFERROR(__xludf.DUMMYFUNCTION("""COMPUTED_VALUE"""),0.0)</f>
        <v>0</v>
      </c>
      <c r="FG51" s="182">
        <f>IFERROR(__xludf.DUMMYFUNCTION("""COMPUTED_VALUE"""),45812.0)</f>
        <v>45812</v>
      </c>
      <c r="FH51" s="179">
        <f>IFERROR(__xludf.DUMMYFUNCTION("""COMPUTED_VALUE"""),0.0)</f>
        <v>0</v>
      </c>
      <c r="FI51" s="180">
        <f>IFERROR(__xludf.DUMMYFUNCTION("""COMPUTED_VALUE"""),45812.0)</f>
        <v>45812</v>
      </c>
      <c r="FJ51" s="179">
        <f>IFERROR(__xludf.DUMMYFUNCTION("""COMPUTED_VALUE"""),0.0)</f>
        <v>0</v>
      </c>
      <c r="FK51" s="180">
        <f>IFERROR(__xludf.DUMMYFUNCTION("""COMPUTED_VALUE"""),45692.0)</f>
        <v>45692</v>
      </c>
      <c r="FL51" s="179">
        <f>IFERROR(__xludf.DUMMYFUNCTION("""COMPUTED_VALUE"""),0.0)</f>
        <v>0</v>
      </c>
      <c r="FM51" s="180">
        <f>IFERROR(__xludf.DUMMYFUNCTION("""COMPUTED_VALUE"""),45934.0)</f>
        <v>45934</v>
      </c>
      <c r="FN51" s="179">
        <f>IFERROR(__xludf.DUMMYFUNCTION("""COMPUTED_VALUE"""),0.0)</f>
        <v>0</v>
      </c>
      <c r="FO51" s="180">
        <f>IFERROR(__xludf.DUMMYFUNCTION("""COMPUTED_VALUE"""),45934.0)</f>
        <v>45934</v>
      </c>
      <c r="FP51" s="179">
        <f>IFERROR(__xludf.DUMMYFUNCTION("""COMPUTED_VALUE"""),0.0)</f>
        <v>0</v>
      </c>
      <c r="FQ51" s="180">
        <f>IFERROR(__xludf.DUMMYFUNCTION("""COMPUTED_VALUE"""),45934.0)</f>
        <v>45934</v>
      </c>
      <c r="FR51" s="179">
        <f>IFERROR(__xludf.DUMMYFUNCTION("""COMPUTED_VALUE"""),0.0)</f>
        <v>0</v>
      </c>
      <c r="FS51" s="180">
        <f>IFERROR(__xludf.DUMMYFUNCTION("""COMPUTED_VALUE"""),45812.0)</f>
        <v>45812</v>
      </c>
      <c r="FT51" s="179">
        <f>IFERROR(__xludf.DUMMYFUNCTION("""COMPUTED_VALUE"""),0.0)</f>
        <v>0</v>
      </c>
      <c r="FU51" s="180">
        <f>IFERROR(__xludf.DUMMYFUNCTION("""COMPUTED_VALUE"""),45934.0)</f>
        <v>45934</v>
      </c>
      <c r="FV51" s="179">
        <f>IFERROR(__xludf.DUMMYFUNCTION("""COMPUTED_VALUE"""),0.0)</f>
        <v>0</v>
      </c>
      <c r="FW51" s="180">
        <f>IFERROR(__xludf.DUMMYFUNCTION("""COMPUTED_VALUE"""),45934.0)</f>
        <v>45934</v>
      </c>
      <c r="FX51" s="179">
        <f>IFERROR(__xludf.DUMMYFUNCTION("""COMPUTED_VALUE"""),0.0)</f>
        <v>0</v>
      </c>
      <c r="FY51" s="180">
        <f>IFERROR(__xludf.DUMMYFUNCTION("""COMPUTED_VALUE"""),45692.0)</f>
        <v>45692</v>
      </c>
      <c r="FZ51" s="179">
        <f>IFERROR(__xludf.DUMMYFUNCTION("""COMPUTED_VALUE"""),0.0)</f>
        <v>0</v>
      </c>
      <c r="GA51" s="182">
        <f>IFERROR(__xludf.DUMMYFUNCTION("""COMPUTED_VALUE"""),45934.0)</f>
        <v>45934</v>
      </c>
      <c r="GB51" s="179">
        <f>IFERROR(__xludf.DUMMYFUNCTION("""COMPUTED_VALUE"""),0.0)</f>
        <v>0</v>
      </c>
      <c r="GC51" s="180">
        <f>IFERROR(__xludf.DUMMYFUNCTION("""COMPUTED_VALUE"""),45842.0)</f>
        <v>45842</v>
      </c>
      <c r="GD51" s="179">
        <f>IFERROR(__xludf.DUMMYFUNCTION("""COMPUTED_VALUE"""),0.0)</f>
        <v>0</v>
      </c>
      <c r="GE51" s="180">
        <f>IFERROR(__xludf.DUMMYFUNCTION("""COMPUTED_VALUE"""),45842.0)</f>
        <v>45842</v>
      </c>
      <c r="GF51" s="179">
        <f>IFERROR(__xludf.DUMMYFUNCTION("""COMPUTED_VALUE"""),0.0)</f>
        <v>0</v>
      </c>
      <c r="GG51" s="180">
        <f>IFERROR(__xludf.DUMMYFUNCTION("""COMPUTED_VALUE"""),45873.0)</f>
        <v>45873</v>
      </c>
      <c r="GH51" s="179">
        <f>IFERROR(__xludf.DUMMYFUNCTION("""COMPUTED_VALUE"""),0.0)</f>
        <v>0</v>
      </c>
      <c r="GI51" s="180">
        <f>IFERROR(__xludf.DUMMYFUNCTION("""COMPUTED_VALUE"""),45934.0)</f>
        <v>45934</v>
      </c>
      <c r="GJ51" s="179">
        <f>IFERROR(__xludf.DUMMYFUNCTION("""COMPUTED_VALUE"""),0.0)</f>
        <v>0</v>
      </c>
      <c r="GK51" s="180">
        <f>IFERROR(__xludf.DUMMYFUNCTION("""COMPUTED_VALUE"""),45934.0)</f>
        <v>45934</v>
      </c>
      <c r="GL51" s="179">
        <f>IFERROR(__xludf.DUMMYFUNCTION("""COMPUTED_VALUE"""),0.0)</f>
        <v>0</v>
      </c>
      <c r="GM51" s="180">
        <f>IFERROR(__xludf.DUMMYFUNCTION("""COMPUTED_VALUE"""),45751.0)</f>
        <v>45751</v>
      </c>
      <c r="GN51" s="179">
        <f>IFERROR(__xludf.DUMMYFUNCTION("""COMPUTED_VALUE"""),0.0)</f>
        <v>0</v>
      </c>
      <c r="GO51" s="180">
        <f>IFERROR(__xludf.DUMMYFUNCTION("""COMPUTED_VALUE"""),45934.0)</f>
        <v>45934</v>
      </c>
      <c r="GP51" s="179">
        <f>IFERROR(__xludf.DUMMYFUNCTION("""COMPUTED_VALUE"""),0.0)</f>
        <v>0</v>
      </c>
      <c r="GQ51" s="180">
        <f>IFERROR(__xludf.DUMMYFUNCTION("""COMPUTED_VALUE"""),45934.0)</f>
        <v>45934</v>
      </c>
      <c r="GR51" s="179">
        <f>IFERROR(__xludf.DUMMYFUNCTION("""COMPUTED_VALUE"""),0.0)</f>
        <v>0</v>
      </c>
      <c r="GS51" s="180">
        <f>IFERROR(__xludf.DUMMYFUNCTION("""COMPUTED_VALUE"""),45720.0)</f>
        <v>45720</v>
      </c>
      <c r="GT51" s="179">
        <f>IFERROR(__xludf.DUMMYFUNCTION("""COMPUTED_VALUE"""),0.0)</f>
        <v>0</v>
      </c>
    </row>
    <row r="52" ht="31.5" customHeight="1">
      <c r="B52" s="183"/>
      <c r="C52" s="178">
        <f>IFERROR(__xludf.DUMMYFUNCTION("""COMPUTED_VALUE"""),45813.0)</f>
        <v>45813</v>
      </c>
      <c r="D52" s="179">
        <f>IFERROR(__xludf.DUMMYFUNCTION("""COMPUTED_VALUE"""),0.0)</f>
        <v>0</v>
      </c>
      <c r="E52" s="180">
        <f>IFERROR(__xludf.DUMMYFUNCTION("""COMPUTED_VALUE"""),45843.0)</f>
        <v>45843</v>
      </c>
      <c r="F52" s="179">
        <f>IFERROR(__xludf.DUMMYFUNCTION("""COMPUTED_VALUE"""),0.0)</f>
        <v>0</v>
      </c>
      <c r="G52" s="180">
        <f>IFERROR(__xludf.DUMMYFUNCTION("""COMPUTED_VALUE"""),45843.0)</f>
        <v>45843</v>
      </c>
      <c r="H52" s="179">
        <f>IFERROR(__xludf.DUMMYFUNCTION("""COMPUTED_VALUE"""),0.0)</f>
        <v>0</v>
      </c>
      <c r="I52" s="180">
        <f>IFERROR(__xludf.DUMMYFUNCTION("""COMPUTED_VALUE"""),45935.0)</f>
        <v>45935</v>
      </c>
      <c r="J52" s="179">
        <f>IFERROR(__xludf.DUMMYFUNCTION("""COMPUTED_VALUE"""),0.0)</f>
        <v>0</v>
      </c>
      <c r="K52" s="180">
        <f>IFERROR(__xludf.DUMMYFUNCTION("""COMPUTED_VALUE"""),45752.0)</f>
        <v>45752</v>
      </c>
      <c r="L52" s="179">
        <f>IFERROR(__xludf.DUMMYFUNCTION("""COMPUTED_VALUE"""),0.0)</f>
        <v>0</v>
      </c>
      <c r="M52" s="180">
        <f>IFERROR(__xludf.DUMMYFUNCTION("""COMPUTED_VALUE"""),45813.0)</f>
        <v>45813</v>
      </c>
      <c r="N52" s="179">
        <f>IFERROR(__xludf.DUMMYFUNCTION("""COMPUTED_VALUE"""),0.0)</f>
        <v>0</v>
      </c>
      <c r="O52" s="180">
        <f>IFERROR(__xludf.DUMMYFUNCTION("""COMPUTED_VALUE"""),45721.0)</f>
        <v>45721</v>
      </c>
      <c r="P52" s="179">
        <f>IFERROR(__xludf.DUMMYFUNCTION("""COMPUTED_VALUE"""),0.0)</f>
        <v>0</v>
      </c>
      <c r="Q52" s="180">
        <f>IFERROR(__xludf.DUMMYFUNCTION("""COMPUTED_VALUE"""),45721.0)</f>
        <v>45721</v>
      </c>
      <c r="R52" s="179">
        <f>IFERROR(__xludf.DUMMYFUNCTION("""COMPUTED_VALUE"""),0.0)</f>
        <v>0</v>
      </c>
      <c r="S52" s="180">
        <f>IFERROR(__xludf.DUMMYFUNCTION("""COMPUTED_VALUE"""),45874.0)</f>
        <v>45874</v>
      </c>
      <c r="T52" s="179">
        <f>IFERROR(__xludf.DUMMYFUNCTION("""COMPUTED_VALUE"""),0.0)</f>
        <v>0</v>
      </c>
      <c r="U52" s="180">
        <f>IFERROR(__xludf.DUMMYFUNCTION("""COMPUTED_VALUE"""),45693.0)</f>
        <v>45693</v>
      </c>
      <c r="V52" s="181">
        <f>IFERROR(__xludf.DUMMYFUNCTION("""COMPUTED_VALUE"""),0.0)</f>
        <v>0</v>
      </c>
      <c r="W52" s="178">
        <f>IFERROR(__xludf.DUMMYFUNCTION("""COMPUTED_VALUE"""),45935.0)</f>
        <v>45935</v>
      </c>
      <c r="X52" s="179">
        <f>IFERROR(__xludf.DUMMYFUNCTION("""COMPUTED_VALUE"""),0.0)</f>
        <v>0</v>
      </c>
      <c r="Y52" s="180">
        <f>IFERROR(__xludf.DUMMYFUNCTION("""COMPUTED_VALUE"""),45721.0)</f>
        <v>45721</v>
      </c>
      <c r="Z52" s="179">
        <f>IFERROR(__xludf.DUMMYFUNCTION("""COMPUTED_VALUE"""),0.0)</f>
        <v>0</v>
      </c>
      <c r="AA52" s="180">
        <f>IFERROR(__xludf.DUMMYFUNCTION("""COMPUTED_VALUE"""),45905.0)</f>
        <v>45905</v>
      </c>
      <c r="AB52" s="179">
        <f>IFERROR(__xludf.DUMMYFUNCTION("""COMPUTED_VALUE"""),0.0)</f>
        <v>0</v>
      </c>
      <c r="AC52" s="180">
        <f>IFERROR(__xludf.DUMMYFUNCTION("""COMPUTED_VALUE"""),45662.0)</f>
        <v>45662</v>
      </c>
      <c r="AD52" s="179">
        <f>IFERROR(__xludf.DUMMYFUNCTION("""COMPUTED_VALUE"""),0.0)</f>
        <v>0</v>
      </c>
      <c r="AE52" s="180">
        <f>IFERROR(__xludf.DUMMYFUNCTION("""COMPUTED_VALUE"""),45752.0)</f>
        <v>45752</v>
      </c>
      <c r="AF52" s="179">
        <f>IFERROR(__xludf.DUMMYFUNCTION("""COMPUTED_VALUE"""),0.0)</f>
        <v>0</v>
      </c>
      <c r="AG52" s="180">
        <f>IFERROR(__xludf.DUMMYFUNCTION("""COMPUTED_VALUE"""),45935.0)</f>
        <v>45935</v>
      </c>
      <c r="AH52" s="179">
        <f>IFERROR(__xludf.DUMMYFUNCTION("""COMPUTED_VALUE"""),0.0)</f>
        <v>0</v>
      </c>
      <c r="AI52" s="180">
        <f>IFERROR(__xludf.DUMMYFUNCTION("""COMPUTED_VALUE"""),45662.0)</f>
        <v>45662</v>
      </c>
      <c r="AJ52" s="179">
        <f>IFERROR(__xludf.DUMMYFUNCTION("""COMPUTED_VALUE"""),0.0)</f>
        <v>0</v>
      </c>
      <c r="AK52" s="180">
        <f>IFERROR(__xludf.DUMMYFUNCTION("""COMPUTED_VALUE"""),45843.0)</f>
        <v>45843</v>
      </c>
      <c r="AL52" s="179">
        <f>IFERROR(__xludf.DUMMYFUNCTION("""COMPUTED_VALUE"""),0.0)</f>
        <v>0</v>
      </c>
      <c r="AM52" s="180">
        <f>IFERROR(__xludf.DUMMYFUNCTION("""COMPUTED_VALUE"""),45935.0)</f>
        <v>45935</v>
      </c>
      <c r="AN52" s="179">
        <f>IFERROR(__xludf.DUMMYFUNCTION("""COMPUTED_VALUE"""),0.0)</f>
        <v>0</v>
      </c>
      <c r="AO52" s="180">
        <f>IFERROR(__xludf.DUMMYFUNCTION("""COMPUTED_VALUE"""),45782.0)</f>
        <v>45782</v>
      </c>
      <c r="AP52" s="181">
        <f>IFERROR(__xludf.DUMMYFUNCTION("""COMPUTED_VALUE"""),0.0)</f>
        <v>0</v>
      </c>
      <c r="AQ52" s="178">
        <f>IFERROR(__xludf.DUMMYFUNCTION("""COMPUTED_VALUE"""),45935.0)</f>
        <v>45935</v>
      </c>
      <c r="AR52" s="179">
        <f>IFERROR(__xludf.DUMMYFUNCTION("""COMPUTED_VALUE"""),0.0)</f>
        <v>0</v>
      </c>
      <c r="AS52" s="180">
        <f>IFERROR(__xludf.DUMMYFUNCTION("""COMPUTED_VALUE"""),45935.0)</f>
        <v>45935</v>
      </c>
      <c r="AT52" s="179">
        <f>IFERROR(__xludf.DUMMYFUNCTION("""COMPUTED_VALUE"""),0.0)</f>
        <v>0</v>
      </c>
      <c r="AU52" s="180">
        <f>IFERROR(__xludf.DUMMYFUNCTION("""COMPUTED_VALUE"""),45905.0)</f>
        <v>45905</v>
      </c>
      <c r="AV52" s="179">
        <f>IFERROR(__xludf.DUMMYFUNCTION("""COMPUTED_VALUE"""),0.0)</f>
        <v>0</v>
      </c>
      <c r="AW52" s="180">
        <f>IFERROR(__xludf.DUMMYFUNCTION("""COMPUTED_VALUE"""),45905.0)</f>
        <v>45905</v>
      </c>
      <c r="AX52" s="179">
        <f>IFERROR(__xludf.DUMMYFUNCTION("""COMPUTED_VALUE"""),0.0)</f>
        <v>0</v>
      </c>
      <c r="AY52" s="180">
        <f>IFERROR(__xludf.DUMMYFUNCTION("""COMPUTED_VALUE"""),45935.0)</f>
        <v>45935</v>
      </c>
      <c r="AZ52" s="179">
        <f>IFERROR(__xludf.DUMMYFUNCTION("""COMPUTED_VALUE"""),0.0)</f>
        <v>0</v>
      </c>
      <c r="BA52" s="180">
        <f>IFERROR(__xludf.DUMMYFUNCTION("""COMPUTED_VALUE"""),45935.0)</f>
        <v>45935</v>
      </c>
      <c r="BB52" s="179">
        <f>IFERROR(__xludf.DUMMYFUNCTION("""COMPUTED_VALUE"""),0.0)</f>
        <v>0</v>
      </c>
      <c r="BC52" s="180">
        <f>IFERROR(__xludf.DUMMYFUNCTION("""COMPUTED_VALUE"""),45905.0)</f>
        <v>45905</v>
      </c>
      <c r="BD52" s="179">
        <f>IFERROR(__xludf.DUMMYFUNCTION("""COMPUTED_VALUE"""),0.0)</f>
        <v>0</v>
      </c>
      <c r="BE52" s="180">
        <f>IFERROR(__xludf.DUMMYFUNCTION("""COMPUTED_VALUE"""),45935.0)</f>
        <v>45935</v>
      </c>
      <c r="BF52" s="179">
        <f>IFERROR(__xludf.DUMMYFUNCTION("""COMPUTED_VALUE"""),0.0)</f>
        <v>0</v>
      </c>
      <c r="BG52" s="180">
        <f>IFERROR(__xludf.DUMMYFUNCTION("""COMPUTED_VALUE"""),45905.0)</f>
        <v>45905</v>
      </c>
      <c r="BH52" s="179">
        <f>IFERROR(__xludf.DUMMYFUNCTION("""COMPUTED_VALUE"""),0.0)</f>
        <v>0</v>
      </c>
      <c r="BI52" s="180">
        <f>IFERROR(__xludf.DUMMYFUNCTION("""COMPUTED_VALUE"""),45935.0)</f>
        <v>45935</v>
      </c>
      <c r="BJ52" s="179">
        <f>IFERROR(__xludf.DUMMYFUNCTION("""COMPUTED_VALUE"""),0.0)</f>
        <v>0</v>
      </c>
      <c r="BK52" s="182">
        <f>IFERROR(__xludf.DUMMYFUNCTION("""COMPUTED_VALUE"""),45874.0)</f>
        <v>45874</v>
      </c>
      <c r="BL52" s="179">
        <f>IFERROR(__xludf.DUMMYFUNCTION("""COMPUTED_VALUE"""),0.0)</f>
        <v>0</v>
      </c>
      <c r="BM52" s="180">
        <f>IFERROR(__xludf.DUMMYFUNCTION("""COMPUTED_VALUE"""),45935.0)</f>
        <v>45935</v>
      </c>
      <c r="BN52" s="179">
        <f>IFERROR(__xludf.DUMMYFUNCTION("""COMPUTED_VALUE"""),0.0)</f>
        <v>0</v>
      </c>
      <c r="BO52" s="180">
        <f>IFERROR(__xludf.DUMMYFUNCTION("""COMPUTED_VALUE"""),45905.0)</f>
        <v>45905</v>
      </c>
      <c r="BP52" s="179">
        <f>IFERROR(__xludf.DUMMYFUNCTION("""COMPUTED_VALUE"""),0.0)</f>
        <v>0</v>
      </c>
      <c r="BQ52" s="180">
        <f>IFERROR(__xludf.DUMMYFUNCTION("""COMPUTED_VALUE"""),45874.0)</f>
        <v>45874</v>
      </c>
      <c r="BR52" s="179">
        <f>IFERROR(__xludf.DUMMYFUNCTION("""COMPUTED_VALUE"""),0.0)</f>
        <v>0</v>
      </c>
      <c r="BS52" s="180">
        <f>IFERROR(__xludf.DUMMYFUNCTION("""COMPUTED_VALUE"""),45935.0)</f>
        <v>45935</v>
      </c>
      <c r="BT52" s="179">
        <f>IFERROR(__xludf.DUMMYFUNCTION("""COMPUTED_VALUE"""),0.0)</f>
        <v>0</v>
      </c>
      <c r="BU52" s="180">
        <f>IFERROR(__xludf.DUMMYFUNCTION("""COMPUTED_VALUE"""),45905.0)</f>
        <v>45905</v>
      </c>
      <c r="BV52" s="179">
        <f>IFERROR(__xludf.DUMMYFUNCTION("""COMPUTED_VALUE"""),0.0)</f>
        <v>0</v>
      </c>
      <c r="BW52" s="180">
        <f>IFERROR(__xludf.DUMMYFUNCTION("""COMPUTED_VALUE"""),45752.0)</f>
        <v>45752</v>
      </c>
      <c r="BX52" s="179">
        <f>IFERROR(__xludf.DUMMYFUNCTION("""COMPUTED_VALUE"""),0.0)</f>
        <v>0</v>
      </c>
      <c r="BY52" s="180">
        <f>IFERROR(__xludf.DUMMYFUNCTION("""COMPUTED_VALUE"""),45874.0)</f>
        <v>45874</v>
      </c>
      <c r="BZ52" s="179">
        <f>IFERROR(__xludf.DUMMYFUNCTION("""COMPUTED_VALUE"""),0.0)</f>
        <v>0</v>
      </c>
      <c r="CA52" s="180">
        <f>IFERROR(__xludf.DUMMYFUNCTION("""COMPUTED_VALUE"""),45935.0)</f>
        <v>45935</v>
      </c>
      <c r="CB52" s="179">
        <f>IFERROR(__xludf.DUMMYFUNCTION("""COMPUTED_VALUE"""),0.0)</f>
        <v>0</v>
      </c>
      <c r="CC52" s="180">
        <f>IFERROR(__xludf.DUMMYFUNCTION("""COMPUTED_VALUE"""),45905.0)</f>
        <v>45905</v>
      </c>
      <c r="CD52" s="179">
        <f>IFERROR(__xludf.DUMMYFUNCTION("""COMPUTED_VALUE"""),0.0)</f>
        <v>0</v>
      </c>
      <c r="CE52" s="182">
        <f>IFERROR(__xludf.DUMMYFUNCTION("""COMPUTED_VALUE"""),45662.0)</f>
        <v>45662</v>
      </c>
      <c r="CF52" s="179">
        <f>IFERROR(__xludf.DUMMYFUNCTION("""COMPUTED_VALUE"""),0.0)</f>
        <v>0</v>
      </c>
      <c r="CG52" s="180">
        <f>IFERROR(__xludf.DUMMYFUNCTION("""COMPUTED_VALUE"""),45781.0)</f>
        <v>45781</v>
      </c>
      <c r="CH52" s="179">
        <f>IFERROR(__xludf.DUMMYFUNCTION("""COMPUTED_VALUE"""),0.0)</f>
        <v>0</v>
      </c>
      <c r="CI52" s="180">
        <f>IFERROR(__xludf.DUMMYFUNCTION("""COMPUTED_VALUE"""),45812.0)</f>
        <v>45812</v>
      </c>
      <c r="CJ52" s="179">
        <f>IFERROR(__xludf.DUMMYFUNCTION("""COMPUTED_VALUE"""),0.0)</f>
        <v>0</v>
      </c>
      <c r="CK52" s="180">
        <f>IFERROR(__xludf.DUMMYFUNCTION("""COMPUTED_VALUE"""),45842.0)</f>
        <v>45842</v>
      </c>
      <c r="CL52" s="179">
        <f>IFERROR(__xludf.DUMMYFUNCTION("""COMPUTED_VALUE"""),0.0)</f>
        <v>0</v>
      </c>
      <c r="CM52" s="180">
        <f>IFERROR(__xludf.DUMMYFUNCTION("""COMPUTED_VALUE"""),45934.0)</f>
        <v>45934</v>
      </c>
      <c r="CN52" s="179">
        <f>IFERROR(__xludf.DUMMYFUNCTION("""COMPUTED_VALUE"""),0.0)</f>
        <v>0</v>
      </c>
      <c r="CO52" s="180">
        <f>IFERROR(__xludf.DUMMYFUNCTION("""COMPUTED_VALUE"""),45904.0)</f>
        <v>45904</v>
      </c>
      <c r="CP52" s="179">
        <f>IFERROR(__xludf.DUMMYFUNCTION("""COMPUTED_VALUE"""),0.0)</f>
        <v>0</v>
      </c>
      <c r="CQ52" s="180">
        <f>IFERROR(__xludf.DUMMYFUNCTION("""COMPUTED_VALUE"""),45720.0)</f>
        <v>45720</v>
      </c>
      <c r="CR52" s="179">
        <f>IFERROR(__xludf.DUMMYFUNCTION("""COMPUTED_VALUE"""),0.0)</f>
        <v>0</v>
      </c>
      <c r="CS52" s="180">
        <f>IFERROR(__xludf.DUMMYFUNCTION("""COMPUTED_VALUE"""),45904.0)</f>
        <v>45904</v>
      </c>
      <c r="CT52" s="179">
        <f>IFERROR(__xludf.DUMMYFUNCTION("""COMPUTED_VALUE"""),0.0)</f>
        <v>0</v>
      </c>
      <c r="CU52" s="180">
        <f>IFERROR(__xludf.DUMMYFUNCTION("""COMPUTED_VALUE"""),45905.0)</f>
        <v>45905</v>
      </c>
      <c r="CV52" s="179">
        <f>IFERROR(__xludf.DUMMYFUNCTION("""COMPUTED_VALUE"""),0.0)</f>
        <v>0</v>
      </c>
      <c r="CW52" s="180">
        <f>IFERROR(__xludf.DUMMYFUNCTION("""COMPUTED_VALUE"""),45661.0)</f>
        <v>45661</v>
      </c>
      <c r="CX52" s="179">
        <f>IFERROR(__xludf.DUMMYFUNCTION("""COMPUTED_VALUE"""),0.0)</f>
        <v>0</v>
      </c>
      <c r="CY52" s="182">
        <f>IFERROR(__xludf.DUMMYFUNCTION("""COMPUTED_VALUE"""),45662.0)</f>
        <v>45662</v>
      </c>
      <c r="CZ52" s="179">
        <f>IFERROR(__xludf.DUMMYFUNCTION("""COMPUTED_VALUE"""),0.0)</f>
        <v>0</v>
      </c>
      <c r="DA52" s="180">
        <f>IFERROR(__xludf.DUMMYFUNCTION("""COMPUTED_VALUE"""),45662.0)</f>
        <v>45662</v>
      </c>
      <c r="DB52" s="179">
        <f>IFERROR(__xludf.DUMMYFUNCTION("""COMPUTED_VALUE"""),0.0)</f>
        <v>0</v>
      </c>
      <c r="DC52" s="180">
        <f>IFERROR(__xludf.DUMMYFUNCTION("""COMPUTED_VALUE"""),45842.0)</f>
        <v>45842</v>
      </c>
      <c r="DD52" s="179">
        <f>IFERROR(__xludf.DUMMYFUNCTION("""COMPUTED_VALUE"""),0.0)</f>
        <v>0</v>
      </c>
      <c r="DE52" s="180">
        <f>IFERROR(__xludf.DUMMYFUNCTION("""COMPUTED_VALUE"""),45873.0)</f>
        <v>45873</v>
      </c>
      <c r="DF52" s="179">
        <f>IFERROR(__xludf.DUMMYFUNCTION("""COMPUTED_VALUE"""),0.0)</f>
        <v>0</v>
      </c>
      <c r="DG52" s="180">
        <f>IFERROR(__xludf.DUMMYFUNCTION("""COMPUTED_VALUE"""),45662.0)</f>
        <v>45662</v>
      </c>
      <c r="DH52" s="179">
        <f>IFERROR(__xludf.DUMMYFUNCTION("""COMPUTED_VALUE"""),0.0)</f>
        <v>0</v>
      </c>
      <c r="DI52" s="180">
        <f>IFERROR(__xludf.DUMMYFUNCTION("""COMPUTED_VALUE"""),45662.0)</f>
        <v>45662</v>
      </c>
      <c r="DJ52" s="179">
        <f>IFERROR(__xludf.DUMMYFUNCTION("""COMPUTED_VALUE"""),0.0)</f>
        <v>0</v>
      </c>
      <c r="DK52" s="180">
        <f>IFERROR(__xludf.DUMMYFUNCTION("""COMPUTED_VALUE"""),45934.0)</f>
        <v>45934</v>
      </c>
      <c r="DL52" s="179">
        <f>IFERROR(__xludf.DUMMYFUNCTION("""COMPUTED_VALUE"""),0.0)</f>
        <v>0</v>
      </c>
      <c r="DM52" s="180">
        <f>IFERROR(__xludf.DUMMYFUNCTION("""COMPUTED_VALUE"""),45934.0)</f>
        <v>45934</v>
      </c>
      <c r="DN52" s="179">
        <f>IFERROR(__xludf.DUMMYFUNCTION("""COMPUTED_VALUE"""),0.0)</f>
        <v>0</v>
      </c>
      <c r="DO52" s="180">
        <f>IFERROR(__xludf.DUMMYFUNCTION("""COMPUTED_VALUE"""),45662.0)</f>
        <v>45662</v>
      </c>
      <c r="DP52" s="179">
        <f>IFERROR(__xludf.DUMMYFUNCTION("""COMPUTED_VALUE"""),0.0)</f>
        <v>0</v>
      </c>
      <c r="DQ52" s="180">
        <f>IFERROR(__xludf.DUMMYFUNCTION("""COMPUTED_VALUE"""),45781.0)</f>
        <v>45781</v>
      </c>
      <c r="DR52" s="179">
        <f>IFERROR(__xludf.DUMMYFUNCTION("""COMPUTED_VALUE"""),0.0)</f>
        <v>0</v>
      </c>
      <c r="DS52" s="182">
        <f>IFERROR(__xludf.DUMMYFUNCTION("""COMPUTED_VALUE"""),45934.0)</f>
        <v>45934</v>
      </c>
      <c r="DT52" s="179">
        <f>IFERROR(__xludf.DUMMYFUNCTION("""COMPUTED_VALUE"""),0.0)</f>
        <v>0</v>
      </c>
      <c r="DU52" s="180">
        <f>IFERROR(__xludf.DUMMYFUNCTION("""COMPUTED_VALUE"""),45904.0)</f>
        <v>45904</v>
      </c>
      <c r="DV52" s="179">
        <f>IFERROR(__xludf.DUMMYFUNCTION("""COMPUTED_VALUE"""),0.0)</f>
        <v>0</v>
      </c>
      <c r="DW52" s="180">
        <f>IFERROR(__xludf.DUMMYFUNCTION("""COMPUTED_VALUE"""),45904.0)</f>
        <v>45904</v>
      </c>
      <c r="DX52" s="179">
        <f>IFERROR(__xludf.DUMMYFUNCTION("""COMPUTED_VALUE"""),0.0)</f>
        <v>0</v>
      </c>
      <c r="DY52" s="180">
        <f>IFERROR(__xludf.DUMMYFUNCTION("""COMPUTED_VALUE"""),45934.0)</f>
        <v>45934</v>
      </c>
      <c r="DZ52" s="179">
        <f>IFERROR(__xludf.DUMMYFUNCTION("""COMPUTED_VALUE"""),0.0)</f>
        <v>0</v>
      </c>
      <c r="EA52" s="180">
        <f>IFERROR(__xludf.DUMMYFUNCTION("""COMPUTED_VALUE"""),45662.0)</f>
        <v>45662</v>
      </c>
      <c r="EB52" s="179">
        <f>IFERROR(__xludf.DUMMYFUNCTION("""COMPUTED_VALUE"""),0.0)</f>
        <v>0</v>
      </c>
      <c r="EC52" s="180">
        <f>IFERROR(__xludf.DUMMYFUNCTION("""COMPUTED_VALUE"""),45934.0)</f>
        <v>45934</v>
      </c>
      <c r="ED52" s="179">
        <f>IFERROR(__xludf.DUMMYFUNCTION("""COMPUTED_VALUE"""),0.0)</f>
        <v>0</v>
      </c>
      <c r="EE52" s="180">
        <f>IFERROR(__xludf.DUMMYFUNCTION("""COMPUTED_VALUE"""),45842.0)</f>
        <v>45842</v>
      </c>
      <c r="EF52" s="179">
        <f>IFERROR(__xludf.DUMMYFUNCTION("""COMPUTED_VALUE"""),0.0)</f>
        <v>0</v>
      </c>
      <c r="EG52" s="180">
        <f>IFERROR(__xludf.DUMMYFUNCTION("""COMPUTED_VALUE"""),45934.0)</f>
        <v>45934</v>
      </c>
      <c r="EH52" s="179">
        <f>IFERROR(__xludf.DUMMYFUNCTION("""COMPUTED_VALUE"""),0.0)</f>
        <v>0</v>
      </c>
      <c r="EI52" s="180">
        <f>IFERROR(__xludf.DUMMYFUNCTION("""COMPUTED_VALUE"""),45934.0)</f>
        <v>45934</v>
      </c>
      <c r="EJ52" s="179">
        <f>IFERROR(__xludf.DUMMYFUNCTION("""COMPUTED_VALUE"""),0.0)</f>
        <v>0</v>
      </c>
      <c r="EK52" s="180">
        <f>IFERROR(__xludf.DUMMYFUNCTION("""COMPUTED_VALUE"""),45873.0)</f>
        <v>45873</v>
      </c>
      <c r="EL52" s="179">
        <f>IFERROR(__xludf.DUMMYFUNCTION("""COMPUTED_VALUE"""),0.0)</f>
        <v>0</v>
      </c>
      <c r="EM52" s="182">
        <f>IFERROR(__xludf.DUMMYFUNCTION("""COMPUTED_VALUE"""),45842.0)</f>
        <v>45842</v>
      </c>
      <c r="EN52" s="179">
        <f>IFERROR(__xludf.DUMMYFUNCTION("""COMPUTED_VALUE"""),0.0)</f>
        <v>0</v>
      </c>
      <c r="EO52" s="180">
        <f>IFERROR(__xludf.DUMMYFUNCTION("""COMPUTED_VALUE"""),45934.0)</f>
        <v>45934</v>
      </c>
      <c r="EP52" s="179">
        <f>IFERROR(__xludf.DUMMYFUNCTION("""COMPUTED_VALUE"""),0.0)</f>
        <v>0</v>
      </c>
      <c r="EQ52" s="180">
        <f>IFERROR(__xludf.DUMMYFUNCTION("""COMPUTED_VALUE"""),45934.0)</f>
        <v>45934</v>
      </c>
      <c r="ER52" s="179">
        <f>IFERROR(__xludf.DUMMYFUNCTION("""COMPUTED_VALUE"""),0.0)</f>
        <v>0</v>
      </c>
      <c r="ES52" s="180">
        <f>IFERROR(__xludf.DUMMYFUNCTION("""COMPUTED_VALUE"""),45662.0)</f>
        <v>45662</v>
      </c>
      <c r="ET52" s="179">
        <f>IFERROR(__xludf.DUMMYFUNCTION("""COMPUTED_VALUE"""),0.0)</f>
        <v>0</v>
      </c>
      <c r="EU52" s="180">
        <f>IFERROR(__xludf.DUMMYFUNCTION("""COMPUTED_VALUE"""),45934.0)</f>
        <v>45934</v>
      </c>
      <c r="EV52" s="179">
        <f>IFERROR(__xludf.DUMMYFUNCTION("""COMPUTED_VALUE"""),0.0)</f>
        <v>0</v>
      </c>
      <c r="EW52" s="180">
        <f>IFERROR(__xludf.DUMMYFUNCTION("""COMPUTED_VALUE"""),45662.0)</f>
        <v>45662</v>
      </c>
      <c r="EX52" s="179">
        <f>IFERROR(__xludf.DUMMYFUNCTION("""COMPUTED_VALUE"""),0.0)</f>
        <v>0</v>
      </c>
      <c r="EY52" s="180">
        <f>IFERROR(__xludf.DUMMYFUNCTION("""COMPUTED_VALUE"""),45662.0)</f>
        <v>45662</v>
      </c>
      <c r="EZ52" s="179">
        <f>IFERROR(__xludf.DUMMYFUNCTION("""COMPUTED_VALUE"""),0.0)</f>
        <v>0</v>
      </c>
      <c r="FA52" s="180">
        <f>IFERROR(__xludf.DUMMYFUNCTION("""COMPUTED_VALUE"""),45934.0)</f>
        <v>45934</v>
      </c>
      <c r="FB52" s="179">
        <f>IFERROR(__xludf.DUMMYFUNCTION("""COMPUTED_VALUE"""),0.0)</f>
        <v>0</v>
      </c>
      <c r="FC52" s="180">
        <f>IFERROR(__xludf.DUMMYFUNCTION("""COMPUTED_VALUE"""),45662.0)</f>
        <v>45662</v>
      </c>
      <c r="FD52" s="179">
        <f>IFERROR(__xludf.DUMMYFUNCTION("""COMPUTED_VALUE"""),0.0)</f>
        <v>0</v>
      </c>
      <c r="FE52" s="180">
        <f>IFERROR(__xludf.DUMMYFUNCTION("""COMPUTED_VALUE"""),45842.0)</f>
        <v>45842</v>
      </c>
      <c r="FF52" s="179">
        <f>IFERROR(__xludf.DUMMYFUNCTION("""COMPUTED_VALUE"""),0.0)</f>
        <v>0</v>
      </c>
      <c r="FG52" s="182">
        <f>IFERROR(__xludf.DUMMYFUNCTION("""COMPUTED_VALUE"""),45842.0)</f>
        <v>45842</v>
      </c>
      <c r="FH52" s="179">
        <f>IFERROR(__xludf.DUMMYFUNCTION("""COMPUTED_VALUE"""),0.0)</f>
        <v>0</v>
      </c>
      <c r="FI52" s="180">
        <f>IFERROR(__xludf.DUMMYFUNCTION("""COMPUTED_VALUE"""),45842.0)</f>
        <v>45842</v>
      </c>
      <c r="FJ52" s="179">
        <f>IFERROR(__xludf.DUMMYFUNCTION("""COMPUTED_VALUE"""),0.0)</f>
        <v>0</v>
      </c>
      <c r="FK52" s="180">
        <f>IFERROR(__xludf.DUMMYFUNCTION("""COMPUTED_VALUE"""),45720.0)</f>
        <v>45720</v>
      </c>
      <c r="FL52" s="179">
        <f>IFERROR(__xludf.DUMMYFUNCTION("""COMPUTED_VALUE"""),0.0)</f>
        <v>0</v>
      </c>
      <c r="FM52" s="180">
        <f>IFERROR(__xludf.DUMMYFUNCTION("""COMPUTED_VALUE"""),45662.0)</f>
        <v>45662</v>
      </c>
      <c r="FN52" s="179">
        <f>IFERROR(__xludf.DUMMYFUNCTION("""COMPUTED_VALUE"""),0.0)</f>
        <v>0</v>
      </c>
      <c r="FO52" s="180">
        <f>IFERROR(__xludf.DUMMYFUNCTION("""COMPUTED_VALUE"""),45662.0)</f>
        <v>45662</v>
      </c>
      <c r="FP52" s="179">
        <f>IFERROR(__xludf.DUMMYFUNCTION("""COMPUTED_VALUE"""),0.0)</f>
        <v>0</v>
      </c>
      <c r="FQ52" s="180">
        <f>IFERROR(__xludf.DUMMYFUNCTION("""COMPUTED_VALUE"""),45662.0)</f>
        <v>45662</v>
      </c>
      <c r="FR52" s="179">
        <f>IFERROR(__xludf.DUMMYFUNCTION("""COMPUTED_VALUE"""),0.0)</f>
        <v>0</v>
      </c>
      <c r="FS52" s="180">
        <f>IFERROR(__xludf.DUMMYFUNCTION("""COMPUTED_VALUE"""),45842.0)</f>
        <v>45842</v>
      </c>
      <c r="FT52" s="179">
        <f>IFERROR(__xludf.DUMMYFUNCTION("""COMPUTED_VALUE"""),0.0)</f>
        <v>0</v>
      </c>
      <c r="FU52" s="180">
        <f>IFERROR(__xludf.DUMMYFUNCTION("""COMPUTED_VALUE"""),45662.0)</f>
        <v>45662</v>
      </c>
      <c r="FV52" s="179">
        <f>IFERROR(__xludf.DUMMYFUNCTION("""COMPUTED_VALUE"""),0.0)</f>
        <v>0</v>
      </c>
      <c r="FW52" s="180">
        <f>IFERROR(__xludf.DUMMYFUNCTION("""COMPUTED_VALUE"""),45662.0)</f>
        <v>45662</v>
      </c>
      <c r="FX52" s="179">
        <f>IFERROR(__xludf.DUMMYFUNCTION("""COMPUTED_VALUE"""),0.0)</f>
        <v>0</v>
      </c>
      <c r="FY52" s="180">
        <f>IFERROR(__xludf.DUMMYFUNCTION("""COMPUTED_VALUE"""),45720.0)</f>
        <v>45720</v>
      </c>
      <c r="FZ52" s="179">
        <f>IFERROR(__xludf.DUMMYFUNCTION("""COMPUTED_VALUE"""),0.0)</f>
        <v>0</v>
      </c>
      <c r="GA52" s="182">
        <f>IFERROR(__xludf.DUMMYFUNCTION("""COMPUTED_VALUE"""),45662.0)</f>
        <v>45662</v>
      </c>
      <c r="GB52" s="179">
        <f>IFERROR(__xludf.DUMMYFUNCTION("""COMPUTED_VALUE"""),0.0)</f>
        <v>0</v>
      </c>
      <c r="GC52" s="180">
        <f>IFERROR(__xludf.DUMMYFUNCTION("""COMPUTED_VALUE"""),45873.0)</f>
        <v>45873</v>
      </c>
      <c r="GD52" s="179">
        <f>IFERROR(__xludf.DUMMYFUNCTION("""COMPUTED_VALUE"""),0.0)</f>
        <v>0</v>
      </c>
      <c r="GE52" s="180">
        <f>IFERROR(__xludf.DUMMYFUNCTION("""COMPUTED_VALUE"""),45873.0)</f>
        <v>45873</v>
      </c>
      <c r="GF52" s="179">
        <f>IFERROR(__xludf.DUMMYFUNCTION("""COMPUTED_VALUE"""),0.0)</f>
        <v>0</v>
      </c>
      <c r="GG52" s="180">
        <f>IFERROR(__xludf.DUMMYFUNCTION("""COMPUTED_VALUE"""),45904.0)</f>
        <v>45904</v>
      </c>
      <c r="GH52" s="179">
        <f>IFERROR(__xludf.DUMMYFUNCTION("""COMPUTED_VALUE"""),0.0)</f>
        <v>0</v>
      </c>
      <c r="GI52" s="180">
        <f>IFERROR(__xludf.DUMMYFUNCTION("""COMPUTED_VALUE"""),45662.0)</f>
        <v>45662</v>
      </c>
      <c r="GJ52" s="179">
        <f>IFERROR(__xludf.DUMMYFUNCTION("""COMPUTED_VALUE"""),0.0)</f>
        <v>0</v>
      </c>
      <c r="GK52" s="180">
        <f>IFERROR(__xludf.DUMMYFUNCTION("""COMPUTED_VALUE"""),45662.0)</f>
        <v>45662</v>
      </c>
      <c r="GL52" s="179">
        <f>IFERROR(__xludf.DUMMYFUNCTION("""COMPUTED_VALUE"""),0.0)</f>
        <v>0</v>
      </c>
      <c r="GM52" s="180">
        <f>IFERROR(__xludf.DUMMYFUNCTION("""COMPUTED_VALUE"""),45781.0)</f>
        <v>45781</v>
      </c>
      <c r="GN52" s="179">
        <f>IFERROR(__xludf.DUMMYFUNCTION("""COMPUTED_VALUE"""),0.0)</f>
        <v>0</v>
      </c>
      <c r="GO52" s="180">
        <f>IFERROR(__xludf.DUMMYFUNCTION("""COMPUTED_VALUE"""),45662.0)</f>
        <v>45662</v>
      </c>
      <c r="GP52" s="179">
        <f>IFERROR(__xludf.DUMMYFUNCTION("""COMPUTED_VALUE"""),0.0)</f>
        <v>0</v>
      </c>
      <c r="GQ52" s="180">
        <f>IFERROR(__xludf.DUMMYFUNCTION("""COMPUTED_VALUE"""),45662.0)</f>
        <v>45662</v>
      </c>
      <c r="GR52" s="179">
        <f>IFERROR(__xludf.DUMMYFUNCTION("""COMPUTED_VALUE"""),0.0)</f>
        <v>0</v>
      </c>
      <c r="GS52" s="180">
        <f>IFERROR(__xludf.DUMMYFUNCTION("""COMPUTED_VALUE"""),45781.0)</f>
        <v>45781</v>
      </c>
      <c r="GT52" s="179">
        <f>IFERROR(__xludf.DUMMYFUNCTION("""COMPUTED_VALUE"""),0.0)</f>
        <v>0</v>
      </c>
    </row>
    <row r="53" ht="31.5" customHeight="1">
      <c r="B53" s="183"/>
      <c r="C53" s="178">
        <f>IFERROR(__xludf.DUMMYFUNCTION("""COMPUTED_VALUE"""),45843.0)</f>
        <v>45843</v>
      </c>
      <c r="D53" s="179">
        <f>IFERROR(__xludf.DUMMYFUNCTION("""COMPUTED_VALUE"""),0.0)</f>
        <v>0</v>
      </c>
      <c r="E53" s="180">
        <f>IFERROR(__xludf.DUMMYFUNCTION("""COMPUTED_VALUE"""),45905.0)</f>
        <v>45905</v>
      </c>
      <c r="F53" s="179">
        <f>IFERROR(__xludf.DUMMYFUNCTION("""COMPUTED_VALUE"""),0.0)</f>
        <v>0</v>
      </c>
      <c r="G53" s="180">
        <f>IFERROR(__xludf.DUMMYFUNCTION("""COMPUTED_VALUE"""),45905.0)</f>
        <v>45905</v>
      </c>
      <c r="H53" s="179">
        <f>IFERROR(__xludf.DUMMYFUNCTION("""COMPUTED_VALUE"""),0.0)</f>
        <v>0</v>
      </c>
      <c r="I53" s="180">
        <f>IFERROR(__xludf.DUMMYFUNCTION("""COMPUTED_VALUE"""),45663.0)</f>
        <v>45663</v>
      </c>
      <c r="J53" s="179">
        <f>IFERROR(__xludf.DUMMYFUNCTION("""COMPUTED_VALUE"""),0.0)</f>
        <v>0</v>
      </c>
      <c r="K53" s="180">
        <f>IFERROR(__xludf.DUMMYFUNCTION("""COMPUTED_VALUE"""),45782.0)</f>
        <v>45782</v>
      </c>
      <c r="L53" s="179">
        <f>IFERROR(__xludf.DUMMYFUNCTION("""COMPUTED_VALUE"""),0.0)</f>
        <v>0</v>
      </c>
      <c r="M53" s="180">
        <f>IFERROR(__xludf.DUMMYFUNCTION("""COMPUTED_VALUE"""),45843.0)</f>
        <v>45843</v>
      </c>
      <c r="N53" s="179">
        <f>IFERROR(__xludf.DUMMYFUNCTION("""COMPUTED_VALUE"""),0.0)</f>
        <v>0</v>
      </c>
      <c r="O53" s="180">
        <f>IFERROR(__xludf.DUMMYFUNCTION("""COMPUTED_VALUE"""),45752.0)</f>
        <v>45752</v>
      </c>
      <c r="P53" s="179">
        <f>IFERROR(__xludf.DUMMYFUNCTION("""COMPUTED_VALUE"""),0.0)</f>
        <v>0</v>
      </c>
      <c r="Q53" s="180">
        <f>IFERROR(__xludf.DUMMYFUNCTION("""COMPUTED_VALUE"""),45752.0)</f>
        <v>45752</v>
      </c>
      <c r="R53" s="179">
        <f>IFERROR(__xludf.DUMMYFUNCTION("""COMPUTED_VALUE"""),0.0)</f>
        <v>0</v>
      </c>
      <c r="S53" s="180">
        <f>IFERROR(__xludf.DUMMYFUNCTION("""COMPUTED_VALUE"""),45905.0)</f>
        <v>45905</v>
      </c>
      <c r="T53" s="179">
        <f>IFERROR(__xludf.DUMMYFUNCTION("""COMPUTED_VALUE"""),0.0)</f>
        <v>0</v>
      </c>
      <c r="U53" s="180">
        <f>IFERROR(__xludf.DUMMYFUNCTION("""COMPUTED_VALUE"""),45721.0)</f>
        <v>45721</v>
      </c>
      <c r="V53" s="181">
        <f>IFERROR(__xludf.DUMMYFUNCTION("""COMPUTED_VALUE"""),0.0)</f>
        <v>0</v>
      </c>
      <c r="W53" s="178">
        <f>IFERROR(__xludf.DUMMYFUNCTION("""COMPUTED_VALUE"""),45663.0)</f>
        <v>45663</v>
      </c>
      <c r="X53" s="179">
        <f>IFERROR(__xludf.DUMMYFUNCTION("""COMPUTED_VALUE"""),0.0)</f>
        <v>0</v>
      </c>
      <c r="Y53" s="180">
        <f>IFERROR(__xludf.DUMMYFUNCTION("""COMPUTED_VALUE"""),45752.0)</f>
        <v>45752</v>
      </c>
      <c r="Z53" s="179">
        <f>IFERROR(__xludf.DUMMYFUNCTION("""COMPUTED_VALUE"""),0.0)</f>
        <v>0</v>
      </c>
      <c r="AA53" s="180">
        <f>IFERROR(__xludf.DUMMYFUNCTION("""COMPUTED_VALUE"""),45935.0)</f>
        <v>45935</v>
      </c>
      <c r="AB53" s="179">
        <f>IFERROR(__xludf.DUMMYFUNCTION("""COMPUTED_VALUE"""),0.0)</f>
        <v>0</v>
      </c>
      <c r="AC53" s="180">
        <f>IFERROR(__xludf.DUMMYFUNCTION("""COMPUTED_VALUE"""),45693.0)</f>
        <v>45693</v>
      </c>
      <c r="AD53" s="179">
        <f>IFERROR(__xludf.DUMMYFUNCTION("""COMPUTED_VALUE"""),0.0)</f>
        <v>0</v>
      </c>
      <c r="AE53" s="180">
        <f>IFERROR(__xludf.DUMMYFUNCTION("""COMPUTED_VALUE"""),45813.0)</f>
        <v>45813</v>
      </c>
      <c r="AF53" s="179">
        <f>IFERROR(__xludf.DUMMYFUNCTION("""COMPUTED_VALUE"""),0.0)</f>
        <v>0</v>
      </c>
      <c r="AG53" s="180">
        <f>IFERROR(__xludf.DUMMYFUNCTION("""COMPUTED_VALUE"""),45663.0)</f>
        <v>45663</v>
      </c>
      <c r="AH53" s="179">
        <f>IFERROR(__xludf.DUMMYFUNCTION("""COMPUTED_VALUE"""),0.0)</f>
        <v>0</v>
      </c>
      <c r="AI53" s="180">
        <f>IFERROR(__xludf.DUMMYFUNCTION("""COMPUTED_VALUE"""),45693.0)</f>
        <v>45693</v>
      </c>
      <c r="AJ53" s="179">
        <f>IFERROR(__xludf.DUMMYFUNCTION("""COMPUTED_VALUE"""),0.0)</f>
        <v>0</v>
      </c>
      <c r="AK53" s="180">
        <f>IFERROR(__xludf.DUMMYFUNCTION("""COMPUTED_VALUE"""),45874.0)</f>
        <v>45874</v>
      </c>
      <c r="AL53" s="179">
        <f>IFERROR(__xludf.DUMMYFUNCTION("""COMPUTED_VALUE"""),0.0)</f>
        <v>0</v>
      </c>
      <c r="AM53" s="180">
        <f>IFERROR(__xludf.DUMMYFUNCTION("""COMPUTED_VALUE"""),45663.0)</f>
        <v>45663</v>
      </c>
      <c r="AN53" s="179">
        <f>IFERROR(__xludf.DUMMYFUNCTION("""COMPUTED_VALUE"""),0.0)</f>
        <v>0</v>
      </c>
      <c r="AO53" s="180">
        <f>IFERROR(__xludf.DUMMYFUNCTION("""COMPUTED_VALUE"""),45813.0)</f>
        <v>45813</v>
      </c>
      <c r="AP53" s="181">
        <f>IFERROR(__xludf.DUMMYFUNCTION("""COMPUTED_VALUE"""),0.0)</f>
        <v>0</v>
      </c>
      <c r="AQ53" s="178">
        <f>IFERROR(__xludf.DUMMYFUNCTION("""COMPUTED_VALUE"""),45663.0)</f>
        <v>45663</v>
      </c>
      <c r="AR53" s="179">
        <f>IFERROR(__xludf.DUMMYFUNCTION("""COMPUTED_VALUE"""),0.0)</f>
        <v>0</v>
      </c>
      <c r="AS53" s="180">
        <f>IFERROR(__xludf.DUMMYFUNCTION("""COMPUTED_VALUE"""),45663.0)</f>
        <v>45663</v>
      </c>
      <c r="AT53" s="179">
        <f>IFERROR(__xludf.DUMMYFUNCTION("""COMPUTED_VALUE"""),0.0)</f>
        <v>0</v>
      </c>
      <c r="AU53" s="180">
        <f>IFERROR(__xludf.DUMMYFUNCTION("""COMPUTED_VALUE"""),45935.0)</f>
        <v>45935</v>
      </c>
      <c r="AV53" s="179">
        <f>IFERROR(__xludf.DUMMYFUNCTION("""COMPUTED_VALUE"""),0.0)</f>
        <v>0</v>
      </c>
      <c r="AW53" s="180">
        <f>IFERROR(__xludf.DUMMYFUNCTION("""COMPUTED_VALUE"""),45935.0)</f>
        <v>45935</v>
      </c>
      <c r="AX53" s="179">
        <f>IFERROR(__xludf.DUMMYFUNCTION("""COMPUTED_VALUE"""),0.0)</f>
        <v>0</v>
      </c>
      <c r="AY53" s="180">
        <f>IFERROR(__xludf.DUMMYFUNCTION("""COMPUTED_VALUE"""),45663.0)</f>
        <v>45663</v>
      </c>
      <c r="AZ53" s="179">
        <f>IFERROR(__xludf.DUMMYFUNCTION("""COMPUTED_VALUE"""),0.0)</f>
        <v>0</v>
      </c>
      <c r="BA53" s="180">
        <f>IFERROR(__xludf.DUMMYFUNCTION("""COMPUTED_VALUE"""),45663.0)</f>
        <v>45663</v>
      </c>
      <c r="BB53" s="179">
        <f>IFERROR(__xludf.DUMMYFUNCTION("""COMPUTED_VALUE"""),0.0)</f>
        <v>0</v>
      </c>
      <c r="BC53" s="180">
        <f>IFERROR(__xludf.DUMMYFUNCTION("""COMPUTED_VALUE"""),45935.0)</f>
        <v>45935</v>
      </c>
      <c r="BD53" s="179">
        <f>IFERROR(__xludf.DUMMYFUNCTION("""COMPUTED_VALUE"""),0.0)</f>
        <v>0</v>
      </c>
      <c r="BE53" s="180">
        <f>IFERROR(__xludf.DUMMYFUNCTION("""COMPUTED_VALUE"""),45663.0)</f>
        <v>45663</v>
      </c>
      <c r="BF53" s="179">
        <f>IFERROR(__xludf.DUMMYFUNCTION("""COMPUTED_VALUE"""),0.0)</f>
        <v>0</v>
      </c>
      <c r="BG53" s="180">
        <f>IFERROR(__xludf.DUMMYFUNCTION("""COMPUTED_VALUE"""),45935.0)</f>
        <v>45935</v>
      </c>
      <c r="BH53" s="179">
        <f>IFERROR(__xludf.DUMMYFUNCTION("""COMPUTED_VALUE"""),0.0)</f>
        <v>0</v>
      </c>
      <c r="BI53" s="180">
        <f>IFERROR(__xludf.DUMMYFUNCTION("""COMPUTED_VALUE"""),45663.0)</f>
        <v>45663</v>
      </c>
      <c r="BJ53" s="179">
        <f>IFERROR(__xludf.DUMMYFUNCTION("""COMPUTED_VALUE"""),0.0)</f>
        <v>0</v>
      </c>
      <c r="BK53" s="182">
        <f>IFERROR(__xludf.DUMMYFUNCTION("""COMPUTED_VALUE"""),45905.0)</f>
        <v>45905</v>
      </c>
      <c r="BL53" s="179">
        <f>IFERROR(__xludf.DUMMYFUNCTION("""COMPUTED_VALUE"""),0.0)</f>
        <v>0</v>
      </c>
      <c r="BM53" s="180">
        <f>IFERROR(__xludf.DUMMYFUNCTION("""COMPUTED_VALUE"""),45663.0)</f>
        <v>45663</v>
      </c>
      <c r="BN53" s="179">
        <f>IFERROR(__xludf.DUMMYFUNCTION("""COMPUTED_VALUE"""),0.0)</f>
        <v>0</v>
      </c>
      <c r="BO53" s="180">
        <f>IFERROR(__xludf.DUMMYFUNCTION("""COMPUTED_VALUE"""),45935.0)</f>
        <v>45935</v>
      </c>
      <c r="BP53" s="179">
        <f>IFERROR(__xludf.DUMMYFUNCTION("""COMPUTED_VALUE"""),0.0)</f>
        <v>0</v>
      </c>
      <c r="BQ53" s="180">
        <f>IFERROR(__xludf.DUMMYFUNCTION("""COMPUTED_VALUE"""),45905.0)</f>
        <v>45905</v>
      </c>
      <c r="BR53" s="179">
        <f>IFERROR(__xludf.DUMMYFUNCTION("""COMPUTED_VALUE"""),0.0)</f>
        <v>0</v>
      </c>
      <c r="BS53" s="180">
        <f>IFERROR(__xludf.DUMMYFUNCTION("""COMPUTED_VALUE"""),45663.0)</f>
        <v>45663</v>
      </c>
      <c r="BT53" s="179">
        <f>IFERROR(__xludf.DUMMYFUNCTION("""COMPUTED_VALUE"""),0.0)</f>
        <v>0</v>
      </c>
      <c r="BU53" s="180">
        <f>IFERROR(__xludf.DUMMYFUNCTION("""COMPUTED_VALUE"""),45935.0)</f>
        <v>45935</v>
      </c>
      <c r="BV53" s="179">
        <f>IFERROR(__xludf.DUMMYFUNCTION("""COMPUTED_VALUE"""),0.0)</f>
        <v>0</v>
      </c>
      <c r="BW53" s="180">
        <f>IFERROR(__xludf.DUMMYFUNCTION("""COMPUTED_VALUE"""),45782.0)</f>
        <v>45782</v>
      </c>
      <c r="BX53" s="179">
        <f>IFERROR(__xludf.DUMMYFUNCTION("""COMPUTED_VALUE"""),0.0)</f>
        <v>0</v>
      </c>
      <c r="BY53" s="180">
        <f>IFERROR(__xludf.DUMMYFUNCTION("""COMPUTED_VALUE"""),45905.0)</f>
        <v>45905</v>
      </c>
      <c r="BZ53" s="179">
        <f>IFERROR(__xludf.DUMMYFUNCTION("""COMPUTED_VALUE"""),0.0)</f>
        <v>0</v>
      </c>
      <c r="CA53" s="180">
        <f>IFERROR(__xludf.DUMMYFUNCTION("""COMPUTED_VALUE"""),45663.0)</f>
        <v>45663</v>
      </c>
      <c r="CB53" s="179">
        <f>IFERROR(__xludf.DUMMYFUNCTION("""COMPUTED_VALUE"""),0.0)</f>
        <v>0</v>
      </c>
      <c r="CC53" s="180">
        <f>IFERROR(__xludf.DUMMYFUNCTION("""COMPUTED_VALUE"""),45935.0)</f>
        <v>45935</v>
      </c>
      <c r="CD53" s="179">
        <f>IFERROR(__xludf.DUMMYFUNCTION("""COMPUTED_VALUE"""),0.0)</f>
        <v>0</v>
      </c>
      <c r="CE53" s="182">
        <f>IFERROR(__xludf.DUMMYFUNCTION("""COMPUTED_VALUE"""),45663.0)</f>
        <v>45663</v>
      </c>
      <c r="CF53" s="179">
        <f>IFERROR(__xludf.DUMMYFUNCTION("""COMPUTED_VALUE"""),0.0)</f>
        <v>0</v>
      </c>
      <c r="CG53" s="180">
        <f>IFERROR(__xludf.DUMMYFUNCTION("""COMPUTED_VALUE"""),45812.0)</f>
        <v>45812</v>
      </c>
      <c r="CH53" s="179">
        <f>IFERROR(__xludf.DUMMYFUNCTION("""COMPUTED_VALUE"""),0.0)</f>
        <v>0</v>
      </c>
      <c r="CI53" s="180">
        <f>IFERROR(__xludf.DUMMYFUNCTION("""COMPUTED_VALUE"""),45842.0)</f>
        <v>45842</v>
      </c>
      <c r="CJ53" s="179">
        <f>IFERROR(__xludf.DUMMYFUNCTION("""COMPUTED_VALUE"""),0.0)</f>
        <v>0</v>
      </c>
      <c r="CK53" s="180">
        <f>IFERROR(__xludf.DUMMYFUNCTION("""COMPUTED_VALUE"""),45873.0)</f>
        <v>45873</v>
      </c>
      <c r="CL53" s="179">
        <f>IFERROR(__xludf.DUMMYFUNCTION("""COMPUTED_VALUE"""),0.0)</f>
        <v>0</v>
      </c>
      <c r="CM53" s="180">
        <f>IFERROR(__xludf.DUMMYFUNCTION("""COMPUTED_VALUE"""),45782.0)</f>
        <v>45782</v>
      </c>
      <c r="CN53" s="179">
        <f>IFERROR(__xludf.DUMMYFUNCTION("""COMPUTED_VALUE"""),0.0)</f>
        <v>0</v>
      </c>
      <c r="CO53" s="180">
        <f>IFERROR(__xludf.DUMMYFUNCTION("""COMPUTED_VALUE"""),45934.0)</f>
        <v>45934</v>
      </c>
      <c r="CP53" s="179">
        <f>IFERROR(__xludf.DUMMYFUNCTION("""COMPUTED_VALUE"""),0.0)</f>
        <v>0</v>
      </c>
      <c r="CQ53" s="180">
        <f>IFERROR(__xludf.DUMMYFUNCTION("""COMPUTED_VALUE"""),45751.0)</f>
        <v>45751</v>
      </c>
      <c r="CR53" s="179">
        <f>IFERROR(__xludf.DUMMYFUNCTION("""COMPUTED_VALUE"""),0.0)</f>
        <v>0</v>
      </c>
      <c r="CS53" s="180">
        <f>IFERROR(__xludf.DUMMYFUNCTION("""COMPUTED_VALUE"""),45934.0)</f>
        <v>45934</v>
      </c>
      <c r="CT53" s="179">
        <f>IFERROR(__xludf.DUMMYFUNCTION("""COMPUTED_VALUE"""),0.0)</f>
        <v>0</v>
      </c>
      <c r="CU53" s="180">
        <f>IFERROR(__xludf.DUMMYFUNCTION("""COMPUTED_VALUE"""),45663.0)</f>
        <v>45663</v>
      </c>
      <c r="CV53" s="179">
        <f>IFERROR(__xludf.DUMMYFUNCTION("""COMPUTED_VALUE"""),0.0)</f>
        <v>0</v>
      </c>
      <c r="CW53" s="180">
        <f>IFERROR(__xludf.DUMMYFUNCTION("""COMPUTED_VALUE"""),45692.0)</f>
        <v>45692</v>
      </c>
      <c r="CX53" s="179">
        <f>IFERROR(__xludf.DUMMYFUNCTION("""COMPUTED_VALUE"""),0.0)</f>
        <v>0</v>
      </c>
      <c r="CY53" s="182">
        <f>IFERROR(__xludf.DUMMYFUNCTION("""COMPUTED_VALUE"""),45693.0)</f>
        <v>45693</v>
      </c>
      <c r="CZ53" s="179">
        <f>IFERROR(__xludf.DUMMYFUNCTION("""COMPUTED_VALUE"""),0.0)</f>
        <v>0</v>
      </c>
      <c r="DA53" s="180">
        <f>IFERROR(__xludf.DUMMYFUNCTION("""COMPUTED_VALUE"""),45693.0)</f>
        <v>45693</v>
      </c>
      <c r="DB53" s="179">
        <f>IFERROR(__xludf.DUMMYFUNCTION("""COMPUTED_VALUE"""),0.0)</f>
        <v>0</v>
      </c>
      <c r="DC53" s="180">
        <f>IFERROR(__xludf.DUMMYFUNCTION("""COMPUTED_VALUE"""),45873.0)</f>
        <v>45873</v>
      </c>
      <c r="DD53" s="179">
        <f>IFERROR(__xludf.DUMMYFUNCTION("""COMPUTED_VALUE"""),0.0)</f>
        <v>0</v>
      </c>
      <c r="DE53" s="180">
        <f>IFERROR(__xludf.DUMMYFUNCTION("""COMPUTED_VALUE"""),45904.0)</f>
        <v>45904</v>
      </c>
      <c r="DF53" s="179">
        <f>IFERROR(__xludf.DUMMYFUNCTION("""COMPUTED_VALUE"""),0.0)</f>
        <v>0</v>
      </c>
      <c r="DG53" s="180">
        <f>IFERROR(__xludf.DUMMYFUNCTION("""COMPUTED_VALUE"""),45693.0)</f>
        <v>45693</v>
      </c>
      <c r="DH53" s="179">
        <f>IFERROR(__xludf.DUMMYFUNCTION("""COMPUTED_VALUE"""),0.0)</f>
        <v>0</v>
      </c>
      <c r="DI53" s="180">
        <f>IFERROR(__xludf.DUMMYFUNCTION("""COMPUTED_VALUE"""),45693.0)</f>
        <v>45693</v>
      </c>
      <c r="DJ53" s="179">
        <f>IFERROR(__xludf.DUMMYFUNCTION("""COMPUTED_VALUE"""),0.0)</f>
        <v>0</v>
      </c>
      <c r="DK53" s="180">
        <f>IFERROR(__xludf.DUMMYFUNCTION("""COMPUTED_VALUE"""),45662.0)</f>
        <v>45662</v>
      </c>
      <c r="DL53" s="179">
        <f>IFERROR(__xludf.DUMMYFUNCTION("""COMPUTED_VALUE"""),0.0)</f>
        <v>0</v>
      </c>
      <c r="DM53" s="180">
        <f>IFERROR(__xludf.DUMMYFUNCTION("""COMPUTED_VALUE"""),45662.0)</f>
        <v>45662</v>
      </c>
      <c r="DN53" s="179">
        <f>IFERROR(__xludf.DUMMYFUNCTION("""COMPUTED_VALUE"""),0.0)</f>
        <v>0</v>
      </c>
      <c r="DO53" s="180">
        <f>IFERROR(__xludf.DUMMYFUNCTION("""COMPUTED_VALUE"""),45693.0)</f>
        <v>45693</v>
      </c>
      <c r="DP53" s="179">
        <f>IFERROR(__xludf.DUMMYFUNCTION("""COMPUTED_VALUE"""),0.0)</f>
        <v>0</v>
      </c>
      <c r="DQ53" s="180">
        <f>IFERROR(__xludf.DUMMYFUNCTION("""COMPUTED_VALUE"""),45812.0)</f>
        <v>45812</v>
      </c>
      <c r="DR53" s="179">
        <f>IFERROR(__xludf.DUMMYFUNCTION("""COMPUTED_VALUE"""),0.0)</f>
        <v>0</v>
      </c>
      <c r="DS53" s="182">
        <f>IFERROR(__xludf.DUMMYFUNCTION("""COMPUTED_VALUE"""),45662.0)</f>
        <v>45662</v>
      </c>
      <c r="DT53" s="179">
        <f>IFERROR(__xludf.DUMMYFUNCTION("""COMPUTED_VALUE"""),0.0)</f>
        <v>0</v>
      </c>
      <c r="DU53" s="180">
        <f>IFERROR(__xludf.DUMMYFUNCTION("""COMPUTED_VALUE"""),45934.0)</f>
        <v>45934</v>
      </c>
      <c r="DV53" s="179">
        <f>IFERROR(__xludf.DUMMYFUNCTION("""COMPUTED_VALUE"""),0.0)</f>
        <v>0</v>
      </c>
      <c r="DW53" s="180">
        <f>IFERROR(__xludf.DUMMYFUNCTION("""COMPUTED_VALUE"""),45934.0)</f>
        <v>45934</v>
      </c>
      <c r="DX53" s="179">
        <f>IFERROR(__xludf.DUMMYFUNCTION("""COMPUTED_VALUE"""),0.0)</f>
        <v>0</v>
      </c>
      <c r="DY53" s="180">
        <f>IFERROR(__xludf.DUMMYFUNCTION("""COMPUTED_VALUE"""),45662.0)</f>
        <v>45662</v>
      </c>
      <c r="DZ53" s="179">
        <f>IFERROR(__xludf.DUMMYFUNCTION("""COMPUTED_VALUE"""),0.0)</f>
        <v>0</v>
      </c>
      <c r="EA53" s="180">
        <f>IFERROR(__xludf.DUMMYFUNCTION("""COMPUTED_VALUE"""),45693.0)</f>
        <v>45693</v>
      </c>
      <c r="EB53" s="179">
        <f>IFERROR(__xludf.DUMMYFUNCTION("""COMPUTED_VALUE"""),0.0)</f>
        <v>0</v>
      </c>
      <c r="EC53" s="180">
        <f>IFERROR(__xludf.DUMMYFUNCTION("""COMPUTED_VALUE"""),45662.0)</f>
        <v>45662</v>
      </c>
      <c r="ED53" s="179">
        <f>IFERROR(__xludf.DUMMYFUNCTION("""COMPUTED_VALUE"""),0.0)</f>
        <v>0</v>
      </c>
      <c r="EE53" s="180">
        <f>IFERROR(__xludf.DUMMYFUNCTION("""COMPUTED_VALUE"""),45873.0)</f>
        <v>45873</v>
      </c>
      <c r="EF53" s="179">
        <f>IFERROR(__xludf.DUMMYFUNCTION("""COMPUTED_VALUE"""),0.0)</f>
        <v>0</v>
      </c>
      <c r="EG53" s="180">
        <f>IFERROR(__xludf.DUMMYFUNCTION("""COMPUTED_VALUE"""),45662.0)</f>
        <v>45662</v>
      </c>
      <c r="EH53" s="179">
        <f>IFERROR(__xludf.DUMMYFUNCTION("""COMPUTED_VALUE"""),0.0)</f>
        <v>0</v>
      </c>
      <c r="EI53" s="180">
        <f>IFERROR(__xludf.DUMMYFUNCTION("""COMPUTED_VALUE"""),45662.0)</f>
        <v>45662</v>
      </c>
      <c r="EJ53" s="179">
        <f>IFERROR(__xludf.DUMMYFUNCTION("""COMPUTED_VALUE"""),0.0)</f>
        <v>0</v>
      </c>
      <c r="EK53" s="180">
        <f>IFERROR(__xludf.DUMMYFUNCTION("""COMPUTED_VALUE"""),45904.0)</f>
        <v>45904</v>
      </c>
      <c r="EL53" s="179">
        <f>IFERROR(__xludf.DUMMYFUNCTION("""COMPUTED_VALUE"""),0.0)</f>
        <v>0</v>
      </c>
      <c r="EM53" s="182">
        <f>IFERROR(__xludf.DUMMYFUNCTION("""COMPUTED_VALUE"""),45873.0)</f>
        <v>45873</v>
      </c>
      <c r="EN53" s="179">
        <f>IFERROR(__xludf.DUMMYFUNCTION("""COMPUTED_VALUE"""),0.0)</f>
        <v>0</v>
      </c>
      <c r="EO53" s="180">
        <f>IFERROR(__xludf.DUMMYFUNCTION("""COMPUTED_VALUE"""),45662.0)</f>
        <v>45662</v>
      </c>
      <c r="EP53" s="179">
        <f>IFERROR(__xludf.DUMMYFUNCTION("""COMPUTED_VALUE"""),0.0)</f>
        <v>0</v>
      </c>
      <c r="EQ53" s="180">
        <f>IFERROR(__xludf.DUMMYFUNCTION("""COMPUTED_VALUE"""),45662.0)</f>
        <v>45662</v>
      </c>
      <c r="ER53" s="179">
        <f>IFERROR(__xludf.DUMMYFUNCTION("""COMPUTED_VALUE"""),0.0)</f>
        <v>0</v>
      </c>
      <c r="ES53" s="180">
        <f>IFERROR(__xludf.DUMMYFUNCTION("""COMPUTED_VALUE"""),45693.0)</f>
        <v>45693</v>
      </c>
      <c r="ET53" s="179">
        <f>IFERROR(__xludf.DUMMYFUNCTION("""COMPUTED_VALUE"""),0.0)</f>
        <v>0</v>
      </c>
      <c r="EU53" s="180">
        <f>IFERROR(__xludf.DUMMYFUNCTION("""COMPUTED_VALUE"""),45662.0)</f>
        <v>45662</v>
      </c>
      <c r="EV53" s="179">
        <f>IFERROR(__xludf.DUMMYFUNCTION("""COMPUTED_VALUE"""),0.0)</f>
        <v>0</v>
      </c>
      <c r="EW53" s="180">
        <f>IFERROR(__xludf.DUMMYFUNCTION("""COMPUTED_VALUE"""),45693.0)</f>
        <v>45693</v>
      </c>
      <c r="EX53" s="179">
        <f>IFERROR(__xludf.DUMMYFUNCTION("""COMPUTED_VALUE"""),0.0)</f>
        <v>0</v>
      </c>
      <c r="EY53" s="180">
        <f>IFERROR(__xludf.DUMMYFUNCTION("""COMPUTED_VALUE"""),45693.0)</f>
        <v>45693</v>
      </c>
      <c r="EZ53" s="179">
        <f>IFERROR(__xludf.DUMMYFUNCTION("""COMPUTED_VALUE"""),0.0)</f>
        <v>0</v>
      </c>
      <c r="FA53" s="180">
        <f>IFERROR(__xludf.DUMMYFUNCTION("""COMPUTED_VALUE"""),45662.0)</f>
        <v>45662</v>
      </c>
      <c r="FB53" s="179">
        <f>IFERROR(__xludf.DUMMYFUNCTION("""COMPUTED_VALUE"""),0.0)</f>
        <v>0</v>
      </c>
      <c r="FC53" s="180">
        <f>IFERROR(__xludf.DUMMYFUNCTION("""COMPUTED_VALUE"""),45693.0)</f>
        <v>45693</v>
      </c>
      <c r="FD53" s="179">
        <f>IFERROR(__xludf.DUMMYFUNCTION("""COMPUTED_VALUE"""),0.0)</f>
        <v>0</v>
      </c>
      <c r="FE53" s="180">
        <f>IFERROR(__xludf.DUMMYFUNCTION("""COMPUTED_VALUE"""),45873.0)</f>
        <v>45873</v>
      </c>
      <c r="FF53" s="179">
        <f>IFERROR(__xludf.DUMMYFUNCTION("""COMPUTED_VALUE"""),0.0)</f>
        <v>0</v>
      </c>
      <c r="FG53" s="182">
        <f>IFERROR(__xludf.DUMMYFUNCTION("""COMPUTED_VALUE"""),45873.0)</f>
        <v>45873</v>
      </c>
      <c r="FH53" s="179">
        <f>IFERROR(__xludf.DUMMYFUNCTION("""COMPUTED_VALUE"""),0.0)</f>
        <v>0</v>
      </c>
      <c r="FI53" s="180">
        <f>IFERROR(__xludf.DUMMYFUNCTION("""COMPUTED_VALUE"""),45873.0)</f>
        <v>45873</v>
      </c>
      <c r="FJ53" s="179">
        <f>IFERROR(__xludf.DUMMYFUNCTION("""COMPUTED_VALUE"""),0.0)</f>
        <v>0</v>
      </c>
      <c r="FK53" s="180">
        <f>IFERROR(__xludf.DUMMYFUNCTION("""COMPUTED_VALUE"""),45751.0)</f>
        <v>45751</v>
      </c>
      <c r="FL53" s="179">
        <f>IFERROR(__xludf.DUMMYFUNCTION("""COMPUTED_VALUE"""),0.0)</f>
        <v>0</v>
      </c>
      <c r="FM53" s="180">
        <f>IFERROR(__xludf.DUMMYFUNCTION("""COMPUTED_VALUE"""),45693.0)</f>
        <v>45693</v>
      </c>
      <c r="FN53" s="179">
        <f>IFERROR(__xludf.DUMMYFUNCTION("""COMPUTED_VALUE"""),0.0)</f>
        <v>0</v>
      </c>
      <c r="FO53" s="180">
        <f>IFERROR(__xludf.DUMMYFUNCTION("""COMPUTED_VALUE"""),45693.0)</f>
        <v>45693</v>
      </c>
      <c r="FP53" s="179">
        <f>IFERROR(__xludf.DUMMYFUNCTION("""COMPUTED_VALUE"""),0.0)</f>
        <v>0</v>
      </c>
      <c r="FQ53" s="180">
        <f>IFERROR(__xludf.DUMMYFUNCTION("""COMPUTED_VALUE"""),45693.0)</f>
        <v>45693</v>
      </c>
      <c r="FR53" s="179">
        <f>IFERROR(__xludf.DUMMYFUNCTION("""COMPUTED_VALUE"""),0.0)</f>
        <v>0</v>
      </c>
      <c r="FS53" s="180">
        <f>IFERROR(__xludf.DUMMYFUNCTION("""COMPUTED_VALUE"""),45873.0)</f>
        <v>45873</v>
      </c>
      <c r="FT53" s="179">
        <f>IFERROR(__xludf.DUMMYFUNCTION("""COMPUTED_VALUE"""),0.0)</f>
        <v>0</v>
      </c>
      <c r="FU53" s="180">
        <f>IFERROR(__xludf.DUMMYFUNCTION("""COMPUTED_VALUE"""),45693.0)</f>
        <v>45693</v>
      </c>
      <c r="FV53" s="179">
        <f>IFERROR(__xludf.DUMMYFUNCTION("""COMPUTED_VALUE"""),0.0)</f>
        <v>0</v>
      </c>
      <c r="FW53" s="180">
        <f>IFERROR(__xludf.DUMMYFUNCTION("""COMPUTED_VALUE"""),45693.0)</f>
        <v>45693</v>
      </c>
      <c r="FX53" s="179">
        <f>IFERROR(__xludf.DUMMYFUNCTION("""COMPUTED_VALUE"""),0.0)</f>
        <v>0</v>
      </c>
      <c r="FY53" s="180">
        <f>IFERROR(__xludf.DUMMYFUNCTION("""COMPUTED_VALUE"""),45751.0)</f>
        <v>45751</v>
      </c>
      <c r="FZ53" s="179">
        <f>IFERROR(__xludf.DUMMYFUNCTION("""COMPUTED_VALUE"""),0.0)</f>
        <v>0</v>
      </c>
      <c r="GA53" s="182">
        <f>IFERROR(__xludf.DUMMYFUNCTION("""COMPUTED_VALUE"""),45693.0)</f>
        <v>45693</v>
      </c>
      <c r="GB53" s="179">
        <f>IFERROR(__xludf.DUMMYFUNCTION("""COMPUTED_VALUE"""),0.0)</f>
        <v>0</v>
      </c>
      <c r="GC53" s="180">
        <f>IFERROR(__xludf.DUMMYFUNCTION("""COMPUTED_VALUE"""),45904.0)</f>
        <v>45904</v>
      </c>
      <c r="GD53" s="179">
        <f>IFERROR(__xludf.DUMMYFUNCTION("""COMPUTED_VALUE"""),0.0)</f>
        <v>0</v>
      </c>
      <c r="GE53" s="180">
        <f>IFERROR(__xludf.DUMMYFUNCTION("""COMPUTED_VALUE"""),45904.0)</f>
        <v>45904</v>
      </c>
      <c r="GF53" s="179">
        <f>IFERROR(__xludf.DUMMYFUNCTION("""COMPUTED_VALUE"""),0.0)</f>
        <v>0</v>
      </c>
      <c r="GG53" s="180">
        <f>IFERROR(__xludf.DUMMYFUNCTION("""COMPUTED_VALUE"""),45934.0)</f>
        <v>45934</v>
      </c>
      <c r="GH53" s="179">
        <f>IFERROR(__xludf.DUMMYFUNCTION("""COMPUTED_VALUE"""),0.0)</f>
        <v>0</v>
      </c>
      <c r="GI53" s="180">
        <f>IFERROR(__xludf.DUMMYFUNCTION("""COMPUTED_VALUE"""),45693.0)</f>
        <v>45693</v>
      </c>
      <c r="GJ53" s="179">
        <f>IFERROR(__xludf.DUMMYFUNCTION("""COMPUTED_VALUE"""),0.0)</f>
        <v>0</v>
      </c>
      <c r="GK53" s="180">
        <f>IFERROR(__xludf.DUMMYFUNCTION("""COMPUTED_VALUE"""),45693.0)</f>
        <v>45693</v>
      </c>
      <c r="GL53" s="179">
        <f>IFERROR(__xludf.DUMMYFUNCTION("""COMPUTED_VALUE"""),0.0)</f>
        <v>0</v>
      </c>
      <c r="GM53" s="180">
        <f>IFERROR(__xludf.DUMMYFUNCTION("""COMPUTED_VALUE"""),45812.0)</f>
        <v>45812</v>
      </c>
      <c r="GN53" s="179">
        <f>IFERROR(__xludf.DUMMYFUNCTION("""COMPUTED_VALUE"""),0.0)</f>
        <v>0</v>
      </c>
      <c r="GO53" s="180">
        <f>IFERROR(__xludf.DUMMYFUNCTION("""COMPUTED_VALUE"""),45693.0)</f>
        <v>45693</v>
      </c>
      <c r="GP53" s="179">
        <f>IFERROR(__xludf.DUMMYFUNCTION("""COMPUTED_VALUE"""),0.0)</f>
        <v>0</v>
      </c>
      <c r="GQ53" s="180">
        <f>IFERROR(__xludf.DUMMYFUNCTION("""COMPUTED_VALUE"""),45693.0)</f>
        <v>45693</v>
      </c>
      <c r="GR53" s="179">
        <f>IFERROR(__xludf.DUMMYFUNCTION("""COMPUTED_VALUE"""),0.0)</f>
        <v>0</v>
      </c>
      <c r="GS53" s="180">
        <f>IFERROR(__xludf.DUMMYFUNCTION("""COMPUTED_VALUE"""),45812.0)</f>
        <v>45812</v>
      </c>
      <c r="GT53" s="179">
        <f>IFERROR(__xludf.DUMMYFUNCTION("""COMPUTED_VALUE"""),0.0)</f>
        <v>0</v>
      </c>
    </row>
    <row r="54" ht="31.5" customHeight="1">
      <c r="B54" s="183"/>
      <c r="C54" s="178">
        <f>IFERROR(__xludf.DUMMYFUNCTION("""COMPUTED_VALUE"""),45874.0)</f>
        <v>45874</v>
      </c>
      <c r="D54" s="179">
        <f>IFERROR(__xludf.DUMMYFUNCTION("""COMPUTED_VALUE"""),0.0)</f>
        <v>0</v>
      </c>
      <c r="E54" s="180">
        <f>IFERROR(__xludf.DUMMYFUNCTION("""COMPUTED_VALUE"""),45935.0)</f>
        <v>45935</v>
      </c>
      <c r="F54" s="179">
        <f>IFERROR(__xludf.DUMMYFUNCTION("""COMPUTED_VALUE"""),0.0)</f>
        <v>0</v>
      </c>
      <c r="G54" s="180">
        <f>IFERROR(__xludf.DUMMYFUNCTION("""COMPUTED_VALUE"""),45935.0)</f>
        <v>45935</v>
      </c>
      <c r="H54" s="179">
        <f>IFERROR(__xludf.DUMMYFUNCTION("""COMPUTED_VALUE"""),0.0)</f>
        <v>0</v>
      </c>
      <c r="I54" s="180">
        <f>IFERROR(__xludf.DUMMYFUNCTION("""COMPUTED_VALUE"""),45694.0)</f>
        <v>45694</v>
      </c>
      <c r="J54" s="179">
        <f>IFERROR(__xludf.DUMMYFUNCTION("""COMPUTED_VALUE"""),0.0)</f>
        <v>0</v>
      </c>
      <c r="K54" s="180">
        <f>IFERROR(__xludf.DUMMYFUNCTION("""COMPUTED_VALUE"""),45813.0)</f>
        <v>45813</v>
      </c>
      <c r="L54" s="179">
        <f>IFERROR(__xludf.DUMMYFUNCTION("""COMPUTED_VALUE"""),0.0)</f>
        <v>0</v>
      </c>
      <c r="M54" s="180">
        <f>IFERROR(__xludf.DUMMYFUNCTION("""COMPUTED_VALUE"""),45874.0)</f>
        <v>45874</v>
      </c>
      <c r="N54" s="179">
        <f>IFERROR(__xludf.DUMMYFUNCTION("""COMPUTED_VALUE"""),0.0)</f>
        <v>0</v>
      </c>
      <c r="O54" s="180">
        <f>IFERROR(__xludf.DUMMYFUNCTION("""COMPUTED_VALUE"""),45782.0)</f>
        <v>45782</v>
      </c>
      <c r="P54" s="179">
        <f>IFERROR(__xludf.DUMMYFUNCTION("""COMPUTED_VALUE"""),0.0)</f>
        <v>0</v>
      </c>
      <c r="Q54" s="180">
        <f>IFERROR(__xludf.DUMMYFUNCTION("""COMPUTED_VALUE"""),45782.0)</f>
        <v>45782</v>
      </c>
      <c r="R54" s="179">
        <f>IFERROR(__xludf.DUMMYFUNCTION("""COMPUTED_VALUE"""),0.0)</f>
        <v>0</v>
      </c>
      <c r="S54" s="180">
        <f>IFERROR(__xludf.DUMMYFUNCTION("""COMPUTED_VALUE"""),45935.0)</f>
        <v>45935</v>
      </c>
      <c r="T54" s="179">
        <f>IFERROR(__xludf.DUMMYFUNCTION("""COMPUTED_VALUE"""),0.0)</f>
        <v>0</v>
      </c>
      <c r="U54" s="180">
        <f>IFERROR(__xludf.DUMMYFUNCTION("""COMPUTED_VALUE"""),45752.0)</f>
        <v>45752</v>
      </c>
      <c r="V54" s="181">
        <f>IFERROR(__xludf.DUMMYFUNCTION("""COMPUTED_VALUE"""),0.0)</f>
        <v>0</v>
      </c>
      <c r="W54" s="178">
        <f>IFERROR(__xludf.DUMMYFUNCTION("""COMPUTED_VALUE"""),45694.0)</f>
        <v>45694</v>
      </c>
      <c r="X54" s="179">
        <f>IFERROR(__xludf.DUMMYFUNCTION("""COMPUTED_VALUE"""),0.0)</f>
        <v>0</v>
      </c>
      <c r="Y54" s="180">
        <f>IFERROR(__xludf.DUMMYFUNCTION("""COMPUTED_VALUE"""),45813.0)</f>
        <v>45813</v>
      </c>
      <c r="Z54" s="179">
        <f>IFERROR(__xludf.DUMMYFUNCTION("""COMPUTED_VALUE"""),0.0)</f>
        <v>0</v>
      </c>
      <c r="AA54" s="180">
        <f>IFERROR(__xludf.DUMMYFUNCTION("""COMPUTED_VALUE"""),45663.0)</f>
        <v>45663</v>
      </c>
      <c r="AB54" s="179">
        <f>IFERROR(__xludf.DUMMYFUNCTION("""COMPUTED_VALUE"""),0.0)</f>
        <v>0</v>
      </c>
      <c r="AC54" s="180">
        <f>IFERROR(__xludf.DUMMYFUNCTION("""COMPUTED_VALUE"""),45721.0)</f>
        <v>45721</v>
      </c>
      <c r="AD54" s="179">
        <f>IFERROR(__xludf.DUMMYFUNCTION("""COMPUTED_VALUE"""),0.0)</f>
        <v>0</v>
      </c>
      <c r="AE54" s="180">
        <f>IFERROR(__xludf.DUMMYFUNCTION("""COMPUTED_VALUE"""),45874.0)</f>
        <v>45874</v>
      </c>
      <c r="AF54" s="179">
        <f>IFERROR(__xludf.DUMMYFUNCTION("""COMPUTED_VALUE"""),0.0)</f>
        <v>0</v>
      </c>
      <c r="AG54" s="180">
        <f>IFERROR(__xludf.DUMMYFUNCTION("""COMPUTED_VALUE"""),45694.0)</f>
        <v>45694</v>
      </c>
      <c r="AH54" s="179">
        <f>IFERROR(__xludf.DUMMYFUNCTION("""COMPUTED_VALUE"""),0.0)</f>
        <v>0</v>
      </c>
      <c r="AI54" s="180">
        <f>IFERROR(__xludf.DUMMYFUNCTION("""COMPUTED_VALUE"""),45721.0)</f>
        <v>45721</v>
      </c>
      <c r="AJ54" s="179">
        <f>IFERROR(__xludf.DUMMYFUNCTION("""COMPUTED_VALUE"""),0.0)</f>
        <v>0</v>
      </c>
      <c r="AK54" s="180">
        <f>IFERROR(__xludf.DUMMYFUNCTION("""COMPUTED_VALUE"""),45905.0)</f>
        <v>45905</v>
      </c>
      <c r="AL54" s="179">
        <f>IFERROR(__xludf.DUMMYFUNCTION("""COMPUTED_VALUE"""),0.0)</f>
        <v>0</v>
      </c>
      <c r="AM54" s="180">
        <f>IFERROR(__xludf.DUMMYFUNCTION("""COMPUTED_VALUE"""),45694.0)</f>
        <v>45694</v>
      </c>
      <c r="AN54" s="179">
        <f>IFERROR(__xludf.DUMMYFUNCTION("""COMPUTED_VALUE"""),0.0)</f>
        <v>0</v>
      </c>
      <c r="AO54" s="180">
        <f>IFERROR(__xludf.DUMMYFUNCTION("""COMPUTED_VALUE"""),45874.0)</f>
        <v>45874</v>
      </c>
      <c r="AP54" s="181">
        <f>IFERROR(__xludf.DUMMYFUNCTION("""COMPUTED_VALUE"""),0.0)</f>
        <v>0</v>
      </c>
      <c r="AQ54" s="178">
        <f>IFERROR(__xludf.DUMMYFUNCTION("""COMPUTED_VALUE"""),45694.0)</f>
        <v>45694</v>
      </c>
      <c r="AR54" s="179">
        <f>IFERROR(__xludf.DUMMYFUNCTION("""COMPUTED_VALUE"""),0.0)</f>
        <v>0</v>
      </c>
      <c r="AS54" s="180">
        <f>IFERROR(__xludf.DUMMYFUNCTION("""COMPUTED_VALUE"""),45694.0)</f>
        <v>45694</v>
      </c>
      <c r="AT54" s="179">
        <f>IFERROR(__xludf.DUMMYFUNCTION("""COMPUTED_VALUE"""),0.0)</f>
        <v>0</v>
      </c>
      <c r="AU54" s="180">
        <f>IFERROR(__xludf.DUMMYFUNCTION("""COMPUTED_VALUE"""),45663.0)</f>
        <v>45663</v>
      </c>
      <c r="AV54" s="179">
        <f>IFERROR(__xludf.DUMMYFUNCTION("""COMPUTED_VALUE"""),0.0)</f>
        <v>0</v>
      </c>
      <c r="AW54" s="180">
        <f>IFERROR(__xludf.DUMMYFUNCTION("""COMPUTED_VALUE"""),45663.0)</f>
        <v>45663</v>
      </c>
      <c r="AX54" s="179">
        <f>IFERROR(__xludf.DUMMYFUNCTION("""COMPUTED_VALUE"""),0.0)</f>
        <v>0</v>
      </c>
      <c r="AY54" s="180">
        <f>IFERROR(__xludf.DUMMYFUNCTION("""COMPUTED_VALUE"""),45694.0)</f>
        <v>45694</v>
      </c>
      <c r="AZ54" s="179">
        <f>IFERROR(__xludf.DUMMYFUNCTION("""COMPUTED_VALUE"""),0.0)</f>
        <v>0</v>
      </c>
      <c r="BA54" s="180">
        <f>IFERROR(__xludf.DUMMYFUNCTION("""COMPUTED_VALUE"""),45694.0)</f>
        <v>45694</v>
      </c>
      <c r="BB54" s="179">
        <f>IFERROR(__xludf.DUMMYFUNCTION("""COMPUTED_VALUE"""),0.0)</f>
        <v>0</v>
      </c>
      <c r="BC54" s="180">
        <f>IFERROR(__xludf.DUMMYFUNCTION("""COMPUTED_VALUE"""),45663.0)</f>
        <v>45663</v>
      </c>
      <c r="BD54" s="179">
        <f>IFERROR(__xludf.DUMMYFUNCTION("""COMPUTED_VALUE"""),0.0)</f>
        <v>0</v>
      </c>
      <c r="BE54" s="180">
        <f>IFERROR(__xludf.DUMMYFUNCTION("""COMPUTED_VALUE"""),45694.0)</f>
        <v>45694</v>
      </c>
      <c r="BF54" s="179">
        <f>IFERROR(__xludf.DUMMYFUNCTION("""COMPUTED_VALUE"""),0.0)</f>
        <v>0</v>
      </c>
      <c r="BG54" s="180">
        <f>IFERROR(__xludf.DUMMYFUNCTION("""COMPUTED_VALUE"""),45663.0)</f>
        <v>45663</v>
      </c>
      <c r="BH54" s="179">
        <f>IFERROR(__xludf.DUMMYFUNCTION("""COMPUTED_VALUE"""),0.0)</f>
        <v>0</v>
      </c>
      <c r="BI54" s="180">
        <f>IFERROR(__xludf.DUMMYFUNCTION("""COMPUTED_VALUE"""),45694.0)</f>
        <v>45694</v>
      </c>
      <c r="BJ54" s="179">
        <f>IFERROR(__xludf.DUMMYFUNCTION("""COMPUTED_VALUE"""),0.0)</f>
        <v>0</v>
      </c>
      <c r="BK54" s="182">
        <f>IFERROR(__xludf.DUMMYFUNCTION("""COMPUTED_VALUE"""),45935.0)</f>
        <v>45935</v>
      </c>
      <c r="BL54" s="179">
        <f>IFERROR(__xludf.DUMMYFUNCTION("""COMPUTED_VALUE"""),0.0)</f>
        <v>0</v>
      </c>
      <c r="BM54" s="180">
        <f>IFERROR(__xludf.DUMMYFUNCTION("""COMPUTED_VALUE"""),45694.0)</f>
        <v>45694</v>
      </c>
      <c r="BN54" s="179">
        <f>IFERROR(__xludf.DUMMYFUNCTION("""COMPUTED_VALUE"""),0.0)</f>
        <v>0</v>
      </c>
      <c r="BO54" s="180">
        <f>IFERROR(__xludf.DUMMYFUNCTION("""COMPUTED_VALUE"""),45663.0)</f>
        <v>45663</v>
      </c>
      <c r="BP54" s="179">
        <f>IFERROR(__xludf.DUMMYFUNCTION("""COMPUTED_VALUE"""),0.0)</f>
        <v>0</v>
      </c>
      <c r="BQ54" s="180">
        <f>IFERROR(__xludf.DUMMYFUNCTION("""COMPUTED_VALUE"""),45663.0)</f>
        <v>45663</v>
      </c>
      <c r="BR54" s="179">
        <f>IFERROR(__xludf.DUMMYFUNCTION("""COMPUTED_VALUE"""),0.0)</f>
        <v>0</v>
      </c>
      <c r="BS54" s="180">
        <f>IFERROR(__xludf.DUMMYFUNCTION("""COMPUTED_VALUE"""),45694.0)</f>
        <v>45694</v>
      </c>
      <c r="BT54" s="179">
        <f>IFERROR(__xludf.DUMMYFUNCTION("""COMPUTED_VALUE"""),0.0)</f>
        <v>0</v>
      </c>
      <c r="BU54" s="180">
        <f>IFERROR(__xludf.DUMMYFUNCTION("""COMPUTED_VALUE"""),45663.0)</f>
        <v>45663</v>
      </c>
      <c r="BV54" s="179">
        <f>IFERROR(__xludf.DUMMYFUNCTION("""COMPUTED_VALUE"""),0.0)</f>
        <v>0</v>
      </c>
      <c r="BW54" s="180">
        <f>IFERROR(__xludf.DUMMYFUNCTION("""COMPUTED_VALUE"""),45813.0)</f>
        <v>45813</v>
      </c>
      <c r="BX54" s="179">
        <f>IFERROR(__xludf.DUMMYFUNCTION("""COMPUTED_VALUE"""),0.0)</f>
        <v>0</v>
      </c>
      <c r="BY54" s="180">
        <f>IFERROR(__xludf.DUMMYFUNCTION("""COMPUTED_VALUE"""),45663.0)</f>
        <v>45663</v>
      </c>
      <c r="BZ54" s="179">
        <f>IFERROR(__xludf.DUMMYFUNCTION("""COMPUTED_VALUE"""),0.0)</f>
        <v>0</v>
      </c>
      <c r="CA54" s="180">
        <f>IFERROR(__xludf.DUMMYFUNCTION("""COMPUTED_VALUE"""),45694.0)</f>
        <v>45694</v>
      </c>
      <c r="CB54" s="179">
        <f>IFERROR(__xludf.DUMMYFUNCTION("""COMPUTED_VALUE"""),0.0)</f>
        <v>0</v>
      </c>
      <c r="CC54" s="180">
        <f>IFERROR(__xludf.DUMMYFUNCTION("""COMPUTED_VALUE"""),45663.0)</f>
        <v>45663</v>
      </c>
      <c r="CD54" s="179">
        <f>IFERROR(__xludf.DUMMYFUNCTION("""COMPUTED_VALUE"""),0.0)</f>
        <v>0</v>
      </c>
      <c r="CE54" s="182">
        <f>IFERROR(__xludf.DUMMYFUNCTION("""COMPUTED_VALUE"""),45694.0)</f>
        <v>45694</v>
      </c>
      <c r="CF54" s="179">
        <f>IFERROR(__xludf.DUMMYFUNCTION("""COMPUTED_VALUE"""),0.0)</f>
        <v>0</v>
      </c>
      <c r="CG54" s="180">
        <f>IFERROR(__xludf.DUMMYFUNCTION("""COMPUTED_VALUE"""),45842.0)</f>
        <v>45842</v>
      </c>
      <c r="CH54" s="179">
        <f>IFERROR(__xludf.DUMMYFUNCTION("""COMPUTED_VALUE"""),0.0)</f>
        <v>0</v>
      </c>
      <c r="CI54" s="180">
        <f>IFERROR(__xludf.DUMMYFUNCTION("""COMPUTED_VALUE"""),45873.0)</f>
        <v>45873</v>
      </c>
      <c r="CJ54" s="179">
        <f>IFERROR(__xludf.DUMMYFUNCTION("""COMPUTED_VALUE"""),0.0)</f>
        <v>0</v>
      </c>
      <c r="CK54" s="180">
        <f>IFERROR(__xludf.DUMMYFUNCTION("""COMPUTED_VALUE"""),45904.0)</f>
        <v>45904</v>
      </c>
      <c r="CL54" s="179">
        <f>IFERROR(__xludf.DUMMYFUNCTION("""COMPUTED_VALUE"""),0.0)</f>
        <v>0</v>
      </c>
      <c r="CM54" s="180">
        <f>IFERROR(__xludf.DUMMYFUNCTION("""COMPUTED_VALUE"""),45663.0)</f>
        <v>45663</v>
      </c>
      <c r="CN54" s="179">
        <f>IFERROR(__xludf.DUMMYFUNCTION("""COMPUTED_VALUE"""),0.0)</f>
        <v>0</v>
      </c>
      <c r="CO54" s="180">
        <f>IFERROR(__xludf.DUMMYFUNCTION("""COMPUTED_VALUE"""),45813.0)</f>
        <v>45813</v>
      </c>
      <c r="CP54" s="179">
        <f>IFERROR(__xludf.DUMMYFUNCTION("""COMPUTED_VALUE"""),0.0)</f>
        <v>0</v>
      </c>
      <c r="CQ54" s="180">
        <f>IFERROR(__xludf.DUMMYFUNCTION("""COMPUTED_VALUE"""),45781.0)</f>
        <v>45781</v>
      </c>
      <c r="CR54" s="179">
        <f>IFERROR(__xludf.DUMMYFUNCTION("""COMPUTED_VALUE"""),0.0)</f>
        <v>0</v>
      </c>
      <c r="CS54" s="180">
        <f>IFERROR(__xludf.DUMMYFUNCTION("""COMPUTED_VALUE"""),45874.0)</f>
        <v>45874</v>
      </c>
      <c r="CT54" s="179">
        <f>IFERROR(__xludf.DUMMYFUNCTION("""COMPUTED_VALUE"""),0.0)</f>
        <v>0</v>
      </c>
      <c r="CU54" s="180">
        <f>IFERROR(__xludf.DUMMYFUNCTION("""COMPUTED_VALUE"""),45694.0)</f>
        <v>45694</v>
      </c>
      <c r="CV54" s="179">
        <f>IFERROR(__xludf.DUMMYFUNCTION("""COMPUTED_VALUE"""),0.0)</f>
        <v>0</v>
      </c>
      <c r="CW54" s="180">
        <f>IFERROR(__xludf.DUMMYFUNCTION("""COMPUTED_VALUE"""),45720.0)</f>
        <v>45720</v>
      </c>
      <c r="CX54" s="179">
        <f>IFERROR(__xludf.DUMMYFUNCTION("""COMPUTED_VALUE"""),0.0)</f>
        <v>0</v>
      </c>
      <c r="CY54" s="182">
        <f>IFERROR(__xludf.DUMMYFUNCTION("""COMPUTED_VALUE"""),45721.0)</f>
        <v>45721</v>
      </c>
      <c r="CZ54" s="179">
        <f>IFERROR(__xludf.DUMMYFUNCTION("""COMPUTED_VALUE"""),0.0)</f>
        <v>0</v>
      </c>
      <c r="DA54" s="180">
        <f>IFERROR(__xludf.DUMMYFUNCTION("""COMPUTED_VALUE"""),45721.0)</f>
        <v>45721</v>
      </c>
      <c r="DB54" s="179">
        <f>IFERROR(__xludf.DUMMYFUNCTION("""COMPUTED_VALUE"""),0.0)</f>
        <v>0</v>
      </c>
      <c r="DC54" s="180">
        <f>IFERROR(__xludf.DUMMYFUNCTION("""COMPUTED_VALUE"""),45904.0)</f>
        <v>45904</v>
      </c>
      <c r="DD54" s="179">
        <f>IFERROR(__xludf.DUMMYFUNCTION("""COMPUTED_VALUE"""),0.0)</f>
        <v>0</v>
      </c>
      <c r="DE54" s="180">
        <f>IFERROR(__xludf.DUMMYFUNCTION("""COMPUTED_VALUE"""),45662.0)</f>
        <v>45662</v>
      </c>
      <c r="DF54" s="179">
        <f>IFERROR(__xludf.DUMMYFUNCTION("""COMPUTED_VALUE"""),0.0)</f>
        <v>0</v>
      </c>
      <c r="DG54" s="180">
        <f>IFERROR(__xludf.DUMMYFUNCTION("""COMPUTED_VALUE"""),45721.0)</f>
        <v>45721</v>
      </c>
      <c r="DH54" s="179">
        <f>IFERROR(__xludf.DUMMYFUNCTION("""COMPUTED_VALUE"""),0.0)</f>
        <v>0</v>
      </c>
      <c r="DI54" s="180">
        <f>IFERROR(__xludf.DUMMYFUNCTION("""COMPUTED_VALUE"""),45721.0)</f>
        <v>45721</v>
      </c>
      <c r="DJ54" s="179">
        <f>IFERROR(__xludf.DUMMYFUNCTION("""COMPUTED_VALUE"""),0.0)</f>
        <v>0</v>
      </c>
      <c r="DK54" s="180">
        <f>IFERROR(__xludf.DUMMYFUNCTION("""COMPUTED_VALUE"""),45693.0)</f>
        <v>45693</v>
      </c>
      <c r="DL54" s="179">
        <f>IFERROR(__xludf.DUMMYFUNCTION("""COMPUTED_VALUE"""),0.0)</f>
        <v>0</v>
      </c>
      <c r="DM54" s="180">
        <f>IFERROR(__xludf.DUMMYFUNCTION("""COMPUTED_VALUE"""),45693.0)</f>
        <v>45693</v>
      </c>
      <c r="DN54" s="179">
        <f>IFERROR(__xludf.DUMMYFUNCTION("""COMPUTED_VALUE"""),0.0)</f>
        <v>0</v>
      </c>
      <c r="DO54" s="180">
        <f>IFERROR(__xludf.DUMMYFUNCTION("""COMPUTED_VALUE"""),45721.0)</f>
        <v>45721</v>
      </c>
      <c r="DP54" s="179">
        <f>IFERROR(__xludf.DUMMYFUNCTION("""COMPUTED_VALUE"""),0.0)</f>
        <v>0</v>
      </c>
      <c r="DQ54" s="180">
        <f>IFERROR(__xludf.DUMMYFUNCTION("""COMPUTED_VALUE"""),45873.0)</f>
        <v>45873</v>
      </c>
      <c r="DR54" s="179">
        <f>IFERROR(__xludf.DUMMYFUNCTION("""COMPUTED_VALUE"""),0.0)</f>
        <v>0</v>
      </c>
      <c r="DS54" s="182">
        <f>IFERROR(__xludf.DUMMYFUNCTION("""COMPUTED_VALUE"""),45693.0)</f>
        <v>45693</v>
      </c>
      <c r="DT54" s="179">
        <f>IFERROR(__xludf.DUMMYFUNCTION("""COMPUTED_VALUE"""),0.0)</f>
        <v>0</v>
      </c>
      <c r="DU54" s="180">
        <f>IFERROR(__xludf.DUMMYFUNCTION("""COMPUTED_VALUE"""),45662.0)</f>
        <v>45662</v>
      </c>
      <c r="DV54" s="179">
        <f>IFERROR(__xludf.DUMMYFUNCTION("""COMPUTED_VALUE"""),0.0)</f>
        <v>0</v>
      </c>
      <c r="DW54" s="180">
        <f>IFERROR(__xludf.DUMMYFUNCTION("""COMPUTED_VALUE"""),45662.0)</f>
        <v>45662</v>
      </c>
      <c r="DX54" s="179">
        <f>IFERROR(__xludf.DUMMYFUNCTION("""COMPUTED_VALUE"""),0.0)</f>
        <v>0</v>
      </c>
      <c r="DY54" s="180">
        <f>IFERROR(__xludf.DUMMYFUNCTION("""COMPUTED_VALUE"""),45693.0)</f>
        <v>45693</v>
      </c>
      <c r="DZ54" s="179">
        <f>IFERROR(__xludf.DUMMYFUNCTION("""COMPUTED_VALUE"""),0.0)</f>
        <v>0</v>
      </c>
      <c r="EA54" s="180">
        <f>IFERROR(__xludf.DUMMYFUNCTION("""COMPUTED_VALUE"""),45721.0)</f>
        <v>45721</v>
      </c>
      <c r="EB54" s="179">
        <f>IFERROR(__xludf.DUMMYFUNCTION("""COMPUTED_VALUE"""),0.0)</f>
        <v>0</v>
      </c>
      <c r="EC54" s="180">
        <f>IFERROR(__xludf.DUMMYFUNCTION("""COMPUTED_VALUE"""),45693.0)</f>
        <v>45693</v>
      </c>
      <c r="ED54" s="179">
        <f>IFERROR(__xludf.DUMMYFUNCTION("""COMPUTED_VALUE"""),0.0)</f>
        <v>0</v>
      </c>
      <c r="EE54" s="180">
        <f>IFERROR(__xludf.DUMMYFUNCTION("""COMPUTED_VALUE"""),45904.0)</f>
        <v>45904</v>
      </c>
      <c r="EF54" s="179">
        <f>IFERROR(__xludf.DUMMYFUNCTION("""COMPUTED_VALUE"""),0.0)</f>
        <v>0</v>
      </c>
      <c r="EG54" s="180">
        <f>IFERROR(__xludf.DUMMYFUNCTION("""COMPUTED_VALUE"""),45693.0)</f>
        <v>45693</v>
      </c>
      <c r="EH54" s="179">
        <f>IFERROR(__xludf.DUMMYFUNCTION("""COMPUTED_VALUE"""),0.0)</f>
        <v>0</v>
      </c>
      <c r="EI54" s="180">
        <f>IFERROR(__xludf.DUMMYFUNCTION("""COMPUTED_VALUE"""),45693.0)</f>
        <v>45693</v>
      </c>
      <c r="EJ54" s="179">
        <f>IFERROR(__xludf.DUMMYFUNCTION("""COMPUTED_VALUE"""),0.0)</f>
        <v>0</v>
      </c>
      <c r="EK54" s="180">
        <f>IFERROR(__xludf.DUMMYFUNCTION("""COMPUTED_VALUE"""),45934.0)</f>
        <v>45934</v>
      </c>
      <c r="EL54" s="179">
        <f>IFERROR(__xludf.DUMMYFUNCTION("""COMPUTED_VALUE"""),0.0)</f>
        <v>0</v>
      </c>
      <c r="EM54" s="182">
        <f>IFERROR(__xludf.DUMMYFUNCTION("""COMPUTED_VALUE"""),45904.0)</f>
        <v>45904</v>
      </c>
      <c r="EN54" s="179">
        <f>IFERROR(__xludf.DUMMYFUNCTION("""COMPUTED_VALUE"""),0.0)</f>
        <v>0</v>
      </c>
      <c r="EO54" s="180">
        <f>IFERROR(__xludf.DUMMYFUNCTION("""COMPUTED_VALUE"""),45693.0)</f>
        <v>45693</v>
      </c>
      <c r="EP54" s="179">
        <f>IFERROR(__xludf.DUMMYFUNCTION("""COMPUTED_VALUE"""),0.0)</f>
        <v>0</v>
      </c>
      <c r="EQ54" s="180">
        <f>IFERROR(__xludf.DUMMYFUNCTION("""COMPUTED_VALUE"""),45693.0)</f>
        <v>45693</v>
      </c>
      <c r="ER54" s="179">
        <f>IFERROR(__xludf.DUMMYFUNCTION("""COMPUTED_VALUE"""),0.0)</f>
        <v>0</v>
      </c>
      <c r="ES54" s="180">
        <f>IFERROR(__xludf.DUMMYFUNCTION("""COMPUTED_VALUE"""),45721.0)</f>
        <v>45721</v>
      </c>
      <c r="ET54" s="179">
        <f>IFERROR(__xludf.DUMMYFUNCTION("""COMPUTED_VALUE"""),0.0)</f>
        <v>0</v>
      </c>
      <c r="EU54" s="180">
        <f>IFERROR(__xludf.DUMMYFUNCTION("""COMPUTED_VALUE"""),45693.0)</f>
        <v>45693</v>
      </c>
      <c r="EV54" s="179">
        <f>IFERROR(__xludf.DUMMYFUNCTION("""COMPUTED_VALUE"""),0.0)</f>
        <v>0</v>
      </c>
      <c r="EW54" s="180">
        <f>IFERROR(__xludf.DUMMYFUNCTION("""COMPUTED_VALUE"""),45721.0)</f>
        <v>45721</v>
      </c>
      <c r="EX54" s="179">
        <f>IFERROR(__xludf.DUMMYFUNCTION("""COMPUTED_VALUE"""),0.0)</f>
        <v>0</v>
      </c>
      <c r="EY54" s="180">
        <f>IFERROR(__xludf.DUMMYFUNCTION("""COMPUTED_VALUE"""),45721.0)</f>
        <v>45721</v>
      </c>
      <c r="EZ54" s="179">
        <f>IFERROR(__xludf.DUMMYFUNCTION("""COMPUTED_VALUE"""),0.0)</f>
        <v>0</v>
      </c>
      <c r="FA54" s="180">
        <f>IFERROR(__xludf.DUMMYFUNCTION("""COMPUTED_VALUE"""),45693.0)</f>
        <v>45693</v>
      </c>
      <c r="FB54" s="179">
        <f>IFERROR(__xludf.DUMMYFUNCTION("""COMPUTED_VALUE"""),0.0)</f>
        <v>0</v>
      </c>
      <c r="FC54" s="180">
        <f>IFERROR(__xludf.DUMMYFUNCTION("""COMPUTED_VALUE"""),45721.0)</f>
        <v>45721</v>
      </c>
      <c r="FD54" s="179">
        <f>IFERROR(__xludf.DUMMYFUNCTION("""COMPUTED_VALUE"""),0.0)</f>
        <v>0</v>
      </c>
      <c r="FE54" s="180">
        <f>IFERROR(__xludf.DUMMYFUNCTION("""COMPUTED_VALUE"""),45904.0)</f>
        <v>45904</v>
      </c>
      <c r="FF54" s="179">
        <f>IFERROR(__xludf.DUMMYFUNCTION("""COMPUTED_VALUE"""),0.0)</f>
        <v>0</v>
      </c>
      <c r="FG54" s="182">
        <f>IFERROR(__xludf.DUMMYFUNCTION("""COMPUTED_VALUE"""),45904.0)</f>
        <v>45904</v>
      </c>
      <c r="FH54" s="179">
        <f>IFERROR(__xludf.DUMMYFUNCTION("""COMPUTED_VALUE"""),0.0)</f>
        <v>0</v>
      </c>
      <c r="FI54" s="180">
        <f>IFERROR(__xludf.DUMMYFUNCTION("""COMPUTED_VALUE"""),45904.0)</f>
        <v>45904</v>
      </c>
      <c r="FJ54" s="179">
        <f>IFERROR(__xludf.DUMMYFUNCTION("""COMPUTED_VALUE"""),0.0)</f>
        <v>0</v>
      </c>
      <c r="FK54" s="180">
        <f>IFERROR(__xludf.DUMMYFUNCTION("""COMPUTED_VALUE"""),45781.0)</f>
        <v>45781</v>
      </c>
      <c r="FL54" s="179">
        <f>IFERROR(__xludf.DUMMYFUNCTION("""COMPUTED_VALUE"""),0.0)</f>
        <v>0</v>
      </c>
      <c r="FM54" s="180">
        <f>IFERROR(__xludf.DUMMYFUNCTION("""COMPUTED_VALUE"""),45721.0)</f>
        <v>45721</v>
      </c>
      <c r="FN54" s="179">
        <f>IFERROR(__xludf.DUMMYFUNCTION("""COMPUTED_VALUE"""),0.0)</f>
        <v>0</v>
      </c>
      <c r="FO54" s="180">
        <f>IFERROR(__xludf.DUMMYFUNCTION("""COMPUTED_VALUE"""),45721.0)</f>
        <v>45721</v>
      </c>
      <c r="FP54" s="179">
        <f>IFERROR(__xludf.DUMMYFUNCTION("""COMPUTED_VALUE"""),0.0)</f>
        <v>0</v>
      </c>
      <c r="FQ54" s="180">
        <f>IFERROR(__xludf.DUMMYFUNCTION("""COMPUTED_VALUE"""),45721.0)</f>
        <v>45721</v>
      </c>
      <c r="FR54" s="179">
        <f>IFERROR(__xludf.DUMMYFUNCTION("""COMPUTED_VALUE"""),0.0)</f>
        <v>0</v>
      </c>
      <c r="FS54" s="180">
        <f>IFERROR(__xludf.DUMMYFUNCTION("""COMPUTED_VALUE"""),45904.0)</f>
        <v>45904</v>
      </c>
      <c r="FT54" s="179">
        <f>IFERROR(__xludf.DUMMYFUNCTION("""COMPUTED_VALUE"""),0.0)</f>
        <v>0</v>
      </c>
      <c r="FU54" s="180">
        <f>IFERROR(__xludf.DUMMYFUNCTION("""COMPUTED_VALUE"""),45721.0)</f>
        <v>45721</v>
      </c>
      <c r="FV54" s="179">
        <f>IFERROR(__xludf.DUMMYFUNCTION("""COMPUTED_VALUE"""),0.0)</f>
        <v>0</v>
      </c>
      <c r="FW54" s="180">
        <f>IFERROR(__xludf.DUMMYFUNCTION("""COMPUTED_VALUE"""),45721.0)</f>
        <v>45721</v>
      </c>
      <c r="FX54" s="179">
        <f>IFERROR(__xludf.DUMMYFUNCTION("""COMPUTED_VALUE"""),0.0)</f>
        <v>0</v>
      </c>
      <c r="FY54" s="180">
        <f>IFERROR(__xludf.DUMMYFUNCTION("""COMPUTED_VALUE"""),45781.0)</f>
        <v>45781</v>
      </c>
      <c r="FZ54" s="179">
        <f>IFERROR(__xludf.DUMMYFUNCTION("""COMPUTED_VALUE"""),0.0)</f>
        <v>0</v>
      </c>
      <c r="GA54" s="182">
        <f>IFERROR(__xludf.DUMMYFUNCTION("""COMPUTED_VALUE"""),45721.0)</f>
        <v>45721</v>
      </c>
      <c r="GB54" s="179">
        <f>IFERROR(__xludf.DUMMYFUNCTION("""COMPUTED_VALUE"""),0.0)</f>
        <v>0</v>
      </c>
      <c r="GC54" s="180">
        <f>IFERROR(__xludf.DUMMYFUNCTION("""COMPUTED_VALUE"""),45934.0)</f>
        <v>45934</v>
      </c>
      <c r="GD54" s="179">
        <f>IFERROR(__xludf.DUMMYFUNCTION("""COMPUTED_VALUE"""),0.0)</f>
        <v>0</v>
      </c>
      <c r="GE54" s="180">
        <f>IFERROR(__xludf.DUMMYFUNCTION("""COMPUTED_VALUE"""),45934.0)</f>
        <v>45934</v>
      </c>
      <c r="GF54" s="179">
        <f>IFERROR(__xludf.DUMMYFUNCTION("""COMPUTED_VALUE"""),0.0)</f>
        <v>0</v>
      </c>
      <c r="GG54" s="180">
        <f>IFERROR(__xludf.DUMMYFUNCTION("""COMPUTED_VALUE"""),45662.0)</f>
        <v>45662</v>
      </c>
      <c r="GH54" s="179">
        <f>IFERROR(__xludf.DUMMYFUNCTION("""COMPUTED_VALUE"""),0.0)</f>
        <v>0</v>
      </c>
      <c r="GI54" s="180">
        <f>IFERROR(__xludf.DUMMYFUNCTION("""COMPUTED_VALUE"""),45721.0)</f>
        <v>45721</v>
      </c>
      <c r="GJ54" s="179">
        <f>IFERROR(__xludf.DUMMYFUNCTION("""COMPUTED_VALUE"""),0.0)</f>
        <v>0</v>
      </c>
      <c r="GK54" s="180">
        <f>IFERROR(__xludf.DUMMYFUNCTION("""COMPUTED_VALUE"""),45721.0)</f>
        <v>45721</v>
      </c>
      <c r="GL54" s="179">
        <f>IFERROR(__xludf.DUMMYFUNCTION("""COMPUTED_VALUE"""),0.0)</f>
        <v>0</v>
      </c>
      <c r="GM54" s="180">
        <f>IFERROR(__xludf.DUMMYFUNCTION("""COMPUTED_VALUE"""),45842.0)</f>
        <v>45842</v>
      </c>
      <c r="GN54" s="179">
        <f>IFERROR(__xludf.DUMMYFUNCTION("""COMPUTED_VALUE"""),0.0)</f>
        <v>0</v>
      </c>
      <c r="GO54" s="180">
        <f>IFERROR(__xludf.DUMMYFUNCTION("""COMPUTED_VALUE"""),45721.0)</f>
        <v>45721</v>
      </c>
      <c r="GP54" s="179">
        <f>IFERROR(__xludf.DUMMYFUNCTION("""COMPUTED_VALUE"""),0.0)</f>
        <v>0</v>
      </c>
      <c r="GQ54" s="180">
        <f>IFERROR(__xludf.DUMMYFUNCTION("""COMPUTED_VALUE"""),45721.0)</f>
        <v>45721</v>
      </c>
      <c r="GR54" s="179">
        <f>IFERROR(__xludf.DUMMYFUNCTION("""COMPUTED_VALUE"""),0.0)</f>
        <v>0</v>
      </c>
      <c r="GS54" s="180">
        <f>IFERROR(__xludf.DUMMYFUNCTION("""COMPUTED_VALUE"""),45842.0)</f>
        <v>45842</v>
      </c>
      <c r="GT54" s="179">
        <f>IFERROR(__xludf.DUMMYFUNCTION("""COMPUTED_VALUE"""),0.0)</f>
        <v>0</v>
      </c>
    </row>
    <row r="55" ht="31.5" customHeight="1">
      <c r="B55" s="183"/>
      <c r="C55" s="178">
        <f>IFERROR(__xludf.DUMMYFUNCTION("""COMPUTED_VALUE"""),45905.0)</f>
        <v>45905</v>
      </c>
      <c r="D55" s="179">
        <f>IFERROR(__xludf.DUMMYFUNCTION("""COMPUTED_VALUE"""),0.0)</f>
        <v>0</v>
      </c>
      <c r="E55" s="180">
        <f>IFERROR(__xludf.DUMMYFUNCTION("""COMPUTED_VALUE"""),45663.0)</f>
        <v>45663</v>
      </c>
      <c r="F55" s="179">
        <f>IFERROR(__xludf.DUMMYFUNCTION("""COMPUTED_VALUE"""),0.0)</f>
        <v>0</v>
      </c>
      <c r="G55" s="180">
        <f>IFERROR(__xludf.DUMMYFUNCTION("""COMPUTED_VALUE"""),45663.0)</f>
        <v>45663</v>
      </c>
      <c r="H55" s="179">
        <f>IFERROR(__xludf.DUMMYFUNCTION("""COMPUTED_VALUE"""),0.0)</f>
        <v>0</v>
      </c>
      <c r="I55" s="180">
        <f>IFERROR(__xludf.DUMMYFUNCTION("""COMPUTED_VALUE"""),45722.0)</f>
        <v>45722</v>
      </c>
      <c r="J55" s="179">
        <f>IFERROR(__xludf.DUMMYFUNCTION("""COMPUTED_VALUE"""),0.0)</f>
        <v>0</v>
      </c>
      <c r="K55" s="180">
        <f>IFERROR(__xludf.DUMMYFUNCTION("""COMPUTED_VALUE"""),45843.0)</f>
        <v>45843</v>
      </c>
      <c r="L55" s="179">
        <f>IFERROR(__xludf.DUMMYFUNCTION("""COMPUTED_VALUE"""),0.0)</f>
        <v>0</v>
      </c>
      <c r="M55" s="180">
        <f>IFERROR(__xludf.DUMMYFUNCTION("""COMPUTED_VALUE"""),45905.0)</f>
        <v>45905</v>
      </c>
      <c r="N55" s="179">
        <f>IFERROR(__xludf.DUMMYFUNCTION("""COMPUTED_VALUE"""),0.0)</f>
        <v>0</v>
      </c>
      <c r="O55" s="180">
        <f>IFERROR(__xludf.DUMMYFUNCTION("""COMPUTED_VALUE"""),45813.0)</f>
        <v>45813</v>
      </c>
      <c r="P55" s="179">
        <f>IFERROR(__xludf.DUMMYFUNCTION("""COMPUTED_VALUE"""),0.0)</f>
        <v>0</v>
      </c>
      <c r="Q55" s="180">
        <f>IFERROR(__xludf.DUMMYFUNCTION("""COMPUTED_VALUE"""),45813.0)</f>
        <v>45813</v>
      </c>
      <c r="R55" s="179">
        <f>IFERROR(__xludf.DUMMYFUNCTION("""COMPUTED_VALUE"""),0.0)</f>
        <v>0</v>
      </c>
      <c r="S55" s="180">
        <f>IFERROR(__xludf.DUMMYFUNCTION("""COMPUTED_VALUE"""),45663.0)</f>
        <v>45663</v>
      </c>
      <c r="T55" s="179">
        <f>IFERROR(__xludf.DUMMYFUNCTION("""COMPUTED_VALUE"""),0.0)</f>
        <v>0</v>
      </c>
      <c r="U55" s="180">
        <f>IFERROR(__xludf.DUMMYFUNCTION("""COMPUTED_VALUE"""),45782.0)</f>
        <v>45782</v>
      </c>
      <c r="V55" s="181">
        <f>IFERROR(__xludf.DUMMYFUNCTION("""COMPUTED_VALUE"""),0.0)</f>
        <v>0</v>
      </c>
      <c r="W55" s="178">
        <f>IFERROR(__xludf.DUMMYFUNCTION("""COMPUTED_VALUE"""),45722.0)</f>
        <v>45722</v>
      </c>
      <c r="X55" s="179">
        <f>IFERROR(__xludf.DUMMYFUNCTION("""COMPUTED_VALUE"""),0.0)</f>
        <v>0</v>
      </c>
      <c r="Y55" s="180">
        <f>IFERROR(__xludf.DUMMYFUNCTION("""COMPUTED_VALUE"""),45874.0)</f>
        <v>45874</v>
      </c>
      <c r="Z55" s="179">
        <f>IFERROR(__xludf.DUMMYFUNCTION("""COMPUTED_VALUE"""),0.0)</f>
        <v>0</v>
      </c>
      <c r="AA55" s="180">
        <f>IFERROR(__xludf.DUMMYFUNCTION("""COMPUTED_VALUE"""),45694.0)</f>
        <v>45694</v>
      </c>
      <c r="AB55" s="179">
        <f>IFERROR(__xludf.DUMMYFUNCTION("""COMPUTED_VALUE"""),0.0)</f>
        <v>0</v>
      </c>
      <c r="AC55" s="180">
        <f>IFERROR(__xludf.DUMMYFUNCTION("""COMPUTED_VALUE"""),45752.0)</f>
        <v>45752</v>
      </c>
      <c r="AD55" s="179">
        <f>IFERROR(__xludf.DUMMYFUNCTION("""COMPUTED_VALUE"""),0.0)</f>
        <v>0</v>
      </c>
      <c r="AE55" s="180">
        <f>IFERROR(__xludf.DUMMYFUNCTION("""COMPUTED_VALUE"""),45905.0)</f>
        <v>45905</v>
      </c>
      <c r="AF55" s="179">
        <f>IFERROR(__xludf.DUMMYFUNCTION("""COMPUTED_VALUE"""),0.0)</f>
        <v>0</v>
      </c>
      <c r="AG55" s="180">
        <f>IFERROR(__xludf.DUMMYFUNCTION("""COMPUTED_VALUE"""),45722.0)</f>
        <v>45722</v>
      </c>
      <c r="AH55" s="179">
        <f>IFERROR(__xludf.DUMMYFUNCTION("""COMPUTED_VALUE"""),0.0)</f>
        <v>0</v>
      </c>
      <c r="AI55" s="180">
        <f>IFERROR(__xludf.DUMMYFUNCTION("""COMPUTED_VALUE"""),45752.0)</f>
        <v>45752</v>
      </c>
      <c r="AJ55" s="179">
        <f>IFERROR(__xludf.DUMMYFUNCTION("""COMPUTED_VALUE"""),0.0)</f>
        <v>0</v>
      </c>
      <c r="AK55" s="180">
        <f>IFERROR(__xludf.DUMMYFUNCTION("""COMPUTED_VALUE"""),45935.0)</f>
        <v>45935</v>
      </c>
      <c r="AL55" s="179">
        <f>IFERROR(__xludf.DUMMYFUNCTION("""COMPUTED_VALUE"""),0.0)</f>
        <v>0</v>
      </c>
      <c r="AM55" s="180">
        <f>IFERROR(__xludf.DUMMYFUNCTION("""COMPUTED_VALUE"""),45722.0)</f>
        <v>45722</v>
      </c>
      <c r="AN55" s="179">
        <f>IFERROR(__xludf.DUMMYFUNCTION("""COMPUTED_VALUE"""),0.0)</f>
        <v>0</v>
      </c>
      <c r="AO55" s="180">
        <f>IFERROR(__xludf.DUMMYFUNCTION("""COMPUTED_VALUE"""),45905.0)</f>
        <v>45905</v>
      </c>
      <c r="AP55" s="181">
        <f>IFERROR(__xludf.DUMMYFUNCTION("""COMPUTED_VALUE"""),0.0)</f>
        <v>0</v>
      </c>
      <c r="AQ55" s="178">
        <f>IFERROR(__xludf.DUMMYFUNCTION("""COMPUTED_VALUE"""),45722.0)</f>
        <v>45722</v>
      </c>
      <c r="AR55" s="179">
        <f>IFERROR(__xludf.DUMMYFUNCTION("""COMPUTED_VALUE"""),0.0)</f>
        <v>0</v>
      </c>
      <c r="AS55" s="180">
        <f>IFERROR(__xludf.DUMMYFUNCTION("""COMPUTED_VALUE"""),45722.0)</f>
        <v>45722</v>
      </c>
      <c r="AT55" s="179">
        <f>IFERROR(__xludf.DUMMYFUNCTION("""COMPUTED_VALUE"""),0.0)</f>
        <v>0</v>
      </c>
      <c r="AU55" s="180">
        <f>IFERROR(__xludf.DUMMYFUNCTION("""COMPUTED_VALUE"""),45694.0)</f>
        <v>45694</v>
      </c>
      <c r="AV55" s="179">
        <f>IFERROR(__xludf.DUMMYFUNCTION("""COMPUTED_VALUE"""),0.0)</f>
        <v>0</v>
      </c>
      <c r="AW55" s="180">
        <f>IFERROR(__xludf.DUMMYFUNCTION("""COMPUTED_VALUE"""),45694.0)</f>
        <v>45694</v>
      </c>
      <c r="AX55" s="179">
        <f>IFERROR(__xludf.DUMMYFUNCTION("""COMPUTED_VALUE"""),0.0)</f>
        <v>0</v>
      </c>
      <c r="AY55" s="180">
        <f>IFERROR(__xludf.DUMMYFUNCTION("""COMPUTED_VALUE"""),45722.0)</f>
        <v>45722</v>
      </c>
      <c r="AZ55" s="179">
        <f>IFERROR(__xludf.DUMMYFUNCTION("""COMPUTED_VALUE"""),0.0)</f>
        <v>0</v>
      </c>
      <c r="BA55" s="180">
        <f>IFERROR(__xludf.DUMMYFUNCTION("""COMPUTED_VALUE"""),45722.0)</f>
        <v>45722</v>
      </c>
      <c r="BB55" s="179">
        <f>IFERROR(__xludf.DUMMYFUNCTION("""COMPUTED_VALUE"""),0.0)</f>
        <v>0</v>
      </c>
      <c r="BC55" s="180">
        <f>IFERROR(__xludf.DUMMYFUNCTION("""COMPUTED_VALUE"""),45694.0)</f>
        <v>45694</v>
      </c>
      <c r="BD55" s="179">
        <f>IFERROR(__xludf.DUMMYFUNCTION("""COMPUTED_VALUE"""),0.0)</f>
        <v>0</v>
      </c>
      <c r="BE55" s="180">
        <f>IFERROR(__xludf.DUMMYFUNCTION("""COMPUTED_VALUE"""),45722.0)</f>
        <v>45722</v>
      </c>
      <c r="BF55" s="179">
        <f>IFERROR(__xludf.DUMMYFUNCTION("""COMPUTED_VALUE"""),0.0)</f>
        <v>0</v>
      </c>
      <c r="BG55" s="180">
        <f>IFERROR(__xludf.DUMMYFUNCTION("""COMPUTED_VALUE"""),45694.0)</f>
        <v>45694</v>
      </c>
      <c r="BH55" s="179">
        <f>IFERROR(__xludf.DUMMYFUNCTION("""COMPUTED_VALUE"""),0.0)</f>
        <v>0</v>
      </c>
      <c r="BI55" s="180">
        <f>IFERROR(__xludf.DUMMYFUNCTION("""COMPUTED_VALUE"""),45722.0)</f>
        <v>45722</v>
      </c>
      <c r="BJ55" s="179">
        <f>IFERROR(__xludf.DUMMYFUNCTION("""COMPUTED_VALUE"""),0.0)</f>
        <v>0</v>
      </c>
      <c r="BK55" s="182">
        <f>IFERROR(__xludf.DUMMYFUNCTION("""COMPUTED_VALUE"""),45694.0)</f>
        <v>45694</v>
      </c>
      <c r="BL55" s="179">
        <f>IFERROR(__xludf.DUMMYFUNCTION("""COMPUTED_VALUE"""),0.0)</f>
        <v>0</v>
      </c>
      <c r="BM55" s="180">
        <f>IFERROR(__xludf.DUMMYFUNCTION("""COMPUTED_VALUE"""),45722.0)</f>
        <v>45722</v>
      </c>
      <c r="BN55" s="179">
        <f>IFERROR(__xludf.DUMMYFUNCTION("""COMPUTED_VALUE"""),0.0)</f>
        <v>0</v>
      </c>
      <c r="BO55" s="180">
        <f>IFERROR(__xludf.DUMMYFUNCTION("""COMPUTED_VALUE"""),45694.0)</f>
        <v>45694</v>
      </c>
      <c r="BP55" s="179">
        <f>IFERROR(__xludf.DUMMYFUNCTION("""COMPUTED_VALUE"""),0.0)</f>
        <v>0</v>
      </c>
      <c r="BQ55" s="180">
        <f>IFERROR(__xludf.DUMMYFUNCTION("""COMPUTED_VALUE"""),45694.0)</f>
        <v>45694</v>
      </c>
      <c r="BR55" s="179">
        <f>IFERROR(__xludf.DUMMYFUNCTION("""COMPUTED_VALUE"""),0.0)</f>
        <v>0</v>
      </c>
      <c r="BS55" s="180">
        <f>IFERROR(__xludf.DUMMYFUNCTION("""COMPUTED_VALUE"""),45722.0)</f>
        <v>45722</v>
      </c>
      <c r="BT55" s="179">
        <f>IFERROR(__xludf.DUMMYFUNCTION("""COMPUTED_VALUE"""),0.0)</f>
        <v>0</v>
      </c>
      <c r="BU55" s="180">
        <f>IFERROR(__xludf.DUMMYFUNCTION("""COMPUTED_VALUE"""),45694.0)</f>
        <v>45694</v>
      </c>
      <c r="BV55" s="179">
        <f>IFERROR(__xludf.DUMMYFUNCTION("""COMPUTED_VALUE"""),0.0)</f>
        <v>0</v>
      </c>
      <c r="BW55" s="180">
        <f>IFERROR(__xludf.DUMMYFUNCTION("""COMPUTED_VALUE"""),45874.0)</f>
        <v>45874</v>
      </c>
      <c r="BX55" s="179">
        <f>IFERROR(__xludf.DUMMYFUNCTION("""COMPUTED_VALUE"""),0.0)</f>
        <v>0</v>
      </c>
      <c r="BY55" s="180">
        <f>IFERROR(__xludf.DUMMYFUNCTION("""COMPUTED_VALUE"""),45694.0)</f>
        <v>45694</v>
      </c>
      <c r="BZ55" s="179">
        <f>IFERROR(__xludf.DUMMYFUNCTION("""COMPUTED_VALUE"""),0.0)</f>
        <v>0</v>
      </c>
      <c r="CA55" s="180">
        <f>IFERROR(__xludf.DUMMYFUNCTION("""COMPUTED_VALUE"""),45722.0)</f>
        <v>45722</v>
      </c>
      <c r="CB55" s="179">
        <f>IFERROR(__xludf.DUMMYFUNCTION("""COMPUTED_VALUE"""),0.0)</f>
        <v>0</v>
      </c>
      <c r="CC55" s="180">
        <f>IFERROR(__xludf.DUMMYFUNCTION("""COMPUTED_VALUE"""),45694.0)</f>
        <v>45694</v>
      </c>
      <c r="CD55" s="179">
        <f>IFERROR(__xludf.DUMMYFUNCTION("""COMPUTED_VALUE"""),0.0)</f>
        <v>0</v>
      </c>
      <c r="CE55" s="182">
        <f>IFERROR(__xludf.DUMMYFUNCTION("""COMPUTED_VALUE"""),45722.0)</f>
        <v>45722</v>
      </c>
      <c r="CF55" s="179">
        <f>IFERROR(__xludf.DUMMYFUNCTION("""COMPUTED_VALUE"""),0.0)</f>
        <v>0</v>
      </c>
      <c r="CG55" s="180">
        <f>IFERROR(__xludf.DUMMYFUNCTION("""COMPUTED_VALUE"""),45873.0)</f>
        <v>45873</v>
      </c>
      <c r="CH55" s="179">
        <f>IFERROR(__xludf.DUMMYFUNCTION("""COMPUTED_VALUE"""),0.0)</f>
        <v>0</v>
      </c>
      <c r="CI55" s="180">
        <f>IFERROR(__xludf.DUMMYFUNCTION("""COMPUTED_VALUE"""),45904.0)</f>
        <v>45904</v>
      </c>
      <c r="CJ55" s="179">
        <f>IFERROR(__xludf.DUMMYFUNCTION("""COMPUTED_VALUE"""),0.0)</f>
        <v>0</v>
      </c>
      <c r="CK55" s="180">
        <f>IFERROR(__xludf.DUMMYFUNCTION("""COMPUTED_VALUE"""),45934.0)</f>
        <v>45934</v>
      </c>
      <c r="CL55" s="179">
        <f>IFERROR(__xludf.DUMMYFUNCTION("""COMPUTED_VALUE"""),0.0)</f>
        <v>0</v>
      </c>
      <c r="CM55" s="180">
        <f>IFERROR(__xludf.DUMMYFUNCTION("""COMPUTED_VALUE"""),45694.0)</f>
        <v>45694</v>
      </c>
      <c r="CN55" s="179">
        <f>IFERROR(__xludf.DUMMYFUNCTION("""COMPUTED_VALUE"""),0.0)</f>
        <v>0</v>
      </c>
      <c r="CO55" s="180">
        <f>IFERROR(__xludf.DUMMYFUNCTION("""COMPUTED_VALUE"""),45663.0)</f>
        <v>45663</v>
      </c>
      <c r="CP55" s="179">
        <f>IFERROR(__xludf.DUMMYFUNCTION("""COMPUTED_VALUE"""),0.0)</f>
        <v>0</v>
      </c>
      <c r="CQ55" s="180">
        <f>IFERROR(__xludf.DUMMYFUNCTION("""COMPUTED_VALUE"""),45812.0)</f>
        <v>45812</v>
      </c>
      <c r="CR55" s="179">
        <f>IFERROR(__xludf.DUMMYFUNCTION("""COMPUTED_VALUE"""),0.0)</f>
        <v>0</v>
      </c>
      <c r="CS55" s="180">
        <f>IFERROR(__xludf.DUMMYFUNCTION("""COMPUTED_VALUE"""),45663.0)</f>
        <v>45663</v>
      </c>
      <c r="CT55" s="179">
        <f>IFERROR(__xludf.DUMMYFUNCTION("""COMPUTED_VALUE"""),0.0)</f>
        <v>0</v>
      </c>
      <c r="CU55" s="180">
        <f>IFERROR(__xludf.DUMMYFUNCTION("""COMPUTED_VALUE"""),45722.0)</f>
        <v>45722</v>
      </c>
      <c r="CV55" s="179">
        <f>IFERROR(__xludf.DUMMYFUNCTION("""COMPUTED_VALUE"""),0.0)</f>
        <v>0</v>
      </c>
      <c r="CW55" s="180">
        <f>IFERROR(__xludf.DUMMYFUNCTION("""COMPUTED_VALUE"""),45781.0)</f>
        <v>45781</v>
      </c>
      <c r="CX55" s="179">
        <f>IFERROR(__xludf.DUMMYFUNCTION("""COMPUTED_VALUE"""),0.0)</f>
        <v>0</v>
      </c>
      <c r="CY55" s="182">
        <f>IFERROR(__xludf.DUMMYFUNCTION("""COMPUTED_VALUE"""),45752.0)</f>
        <v>45752</v>
      </c>
      <c r="CZ55" s="179">
        <f>IFERROR(__xludf.DUMMYFUNCTION("""COMPUTED_VALUE"""),0.0)</f>
        <v>0</v>
      </c>
      <c r="DA55" s="180">
        <f>IFERROR(__xludf.DUMMYFUNCTION("""COMPUTED_VALUE"""),45752.0)</f>
        <v>45752</v>
      </c>
      <c r="DB55" s="179">
        <f>IFERROR(__xludf.DUMMYFUNCTION("""COMPUTED_VALUE"""),0.0)</f>
        <v>0</v>
      </c>
      <c r="DC55" s="180">
        <f>IFERROR(__xludf.DUMMYFUNCTION("""COMPUTED_VALUE"""),45934.0)</f>
        <v>45934</v>
      </c>
      <c r="DD55" s="179">
        <f>IFERROR(__xludf.DUMMYFUNCTION("""COMPUTED_VALUE"""),0.0)</f>
        <v>0</v>
      </c>
      <c r="DE55" s="180">
        <f>IFERROR(__xludf.DUMMYFUNCTION("""COMPUTED_VALUE"""),45721.0)</f>
        <v>45721</v>
      </c>
      <c r="DF55" s="179">
        <f>IFERROR(__xludf.DUMMYFUNCTION("""COMPUTED_VALUE"""),0.0)</f>
        <v>0</v>
      </c>
      <c r="DG55" s="180">
        <f>IFERROR(__xludf.DUMMYFUNCTION("""COMPUTED_VALUE"""),45752.0)</f>
        <v>45752</v>
      </c>
      <c r="DH55" s="179">
        <f>IFERROR(__xludf.DUMMYFUNCTION("""COMPUTED_VALUE"""),0.0)</f>
        <v>0</v>
      </c>
      <c r="DI55" s="180">
        <f>IFERROR(__xludf.DUMMYFUNCTION("""COMPUTED_VALUE"""),45752.0)</f>
        <v>45752</v>
      </c>
      <c r="DJ55" s="179">
        <f>IFERROR(__xludf.DUMMYFUNCTION("""COMPUTED_VALUE"""),0.0)</f>
        <v>0</v>
      </c>
      <c r="DK55" s="180">
        <f>IFERROR(__xludf.DUMMYFUNCTION("""COMPUTED_VALUE"""),45721.0)</f>
        <v>45721</v>
      </c>
      <c r="DL55" s="179">
        <f>IFERROR(__xludf.DUMMYFUNCTION("""COMPUTED_VALUE"""),0.0)</f>
        <v>0</v>
      </c>
      <c r="DM55" s="180">
        <f>IFERROR(__xludf.DUMMYFUNCTION("""COMPUTED_VALUE"""),45721.0)</f>
        <v>45721</v>
      </c>
      <c r="DN55" s="179">
        <f>IFERROR(__xludf.DUMMYFUNCTION("""COMPUTED_VALUE"""),0.0)</f>
        <v>0</v>
      </c>
      <c r="DO55" s="180">
        <f>IFERROR(__xludf.DUMMYFUNCTION("""COMPUTED_VALUE"""),45752.0)</f>
        <v>45752</v>
      </c>
      <c r="DP55" s="179">
        <f>IFERROR(__xludf.DUMMYFUNCTION("""COMPUTED_VALUE"""),0.0)</f>
        <v>0</v>
      </c>
      <c r="DQ55" s="180">
        <f>IFERROR(__xludf.DUMMYFUNCTION("""COMPUTED_VALUE"""),45904.0)</f>
        <v>45904</v>
      </c>
      <c r="DR55" s="179">
        <f>IFERROR(__xludf.DUMMYFUNCTION("""COMPUTED_VALUE"""),0.0)</f>
        <v>0</v>
      </c>
      <c r="DS55" s="182">
        <f>IFERROR(__xludf.DUMMYFUNCTION("""COMPUTED_VALUE"""),45721.0)</f>
        <v>45721</v>
      </c>
      <c r="DT55" s="179">
        <f>IFERROR(__xludf.DUMMYFUNCTION("""COMPUTED_VALUE"""),0.0)</f>
        <v>0</v>
      </c>
      <c r="DU55" s="180">
        <f>IFERROR(__xludf.DUMMYFUNCTION("""COMPUTED_VALUE"""),45693.0)</f>
        <v>45693</v>
      </c>
      <c r="DV55" s="179">
        <f>IFERROR(__xludf.DUMMYFUNCTION("""COMPUTED_VALUE"""),0.0)</f>
        <v>0</v>
      </c>
      <c r="DW55" s="180">
        <f>IFERROR(__xludf.DUMMYFUNCTION("""COMPUTED_VALUE"""),45693.0)</f>
        <v>45693</v>
      </c>
      <c r="DX55" s="179">
        <f>IFERROR(__xludf.DUMMYFUNCTION("""COMPUTED_VALUE"""),0.0)</f>
        <v>0</v>
      </c>
      <c r="DY55" s="180">
        <f>IFERROR(__xludf.DUMMYFUNCTION("""COMPUTED_VALUE"""),45721.0)</f>
        <v>45721</v>
      </c>
      <c r="DZ55" s="179">
        <f>IFERROR(__xludf.DUMMYFUNCTION("""COMPUTED_VALUE"""),0.0)</f>
        <v>0</v>
      </c>
      <c r="EA55" s="180">
        <f>IFERROR(__xludf.DUMMYFUNCTION("""COMPUTED_VALUE"""),45752.0)</f>
        <v>45752</v>
      </c>
      <c r="EB55" s="179">
        <f>IFERROR(__xludf.DUMMYFUNCTION("""COMPUTED_VALUE"""),0.0)</f>
        <v>0</v>
      </c>
      <c r="EC55" s="180">
        <f>IFERROR(__xludf.DUMMYFUNCTION("""COMPUTED_VALUE"""),45721.0)</f>
        <v>45721</v>
      </c>
      <c r="ED55" s="179">
        <f>IFERROR(__xludf.DUMMYFUNCTION("""COMPUTED_VALUE"""),0.0)</f>
        <v>0</v>
      </c>
      <c r="EE55" s="180">
        <f>IFERROR(__xludf.DUMMYFUNCTION("""COMPUTED_VALUE"""),45934.0)</f>
        <v>45934</v>
      </c>
      <c r="EF55" s="179">
        <f>IFERROR(__xludf.DUMMYFUNCTION("""COMPUTED_VALUE"""),0.0)</f>
        <v>0</v>
      </c>
      <c r="EG55" s="180">
        <f>IFERROR(__xludf.DUMMYFUNCTION("""COMPUTED_VALUE"""),45721.0)</f>
        <v>45721</v>
      </c>
      <c r="EH55" s="179">
        <f>IFERROR(__xludf.DUMMYFUNCTION("""COMPUTED_VALUE"""),0.0)</f>
        <v>0</v>
      </c>
      <c r="EI55" s="180">
        <f>IFERROR(__xludf.DUMMYFUNCTION("""COMPUTED_VALUE"""),45721.0)</f>
        <v>45721</v>
      </c>
      <c r="EJ55" s="179">
        <f>IFERROR(__xludf.DUMMYFUNCTION("""COMPUTED_VALUE"""),0.0)</f>
        <v>0</v>
      </c>
      <c r="EK55" s="180">
        <f>IFERROR(__xludf.DUMMYFUNCTION("""COMPUTED_VALUE"""),45662.0)</f>
        <v>45662</v>
      </c>
      <c r="EL55" s="179">
        <f>IFERROR(__xludf.DUMMYFUNCTION("""COMPUTED_VALUE"""),0.0)</f>
        <v>0</v>
      </c>
      <c r="EM55" s="182">
        <f>IFERROR(__xludf.DUMMYFUNCTION("""COMPUTED_VALUE"""),45934.0)</f>
        <v>45934</v>
      </c>
      <c r="EN55" s="179">
        <f>IFERROR(__xludf.DUMMYFUNCTION("""COMPUTED_VALUE"""),0.0)</f>
        <v>0</v>
      </c>
      <c r="EO55" s="180">
        <f>IFERROR(__xludf.DUMMYFUNCTION("""COMPUTED_VALUE"""),45721.0)</f>
        <v>45721</v>
      </c>
      <c r="EP55" s="179">
        <f>IFERROR(__xludf.DUMMYFUNCTION("""COMPUTED_VALUE"""),0.0)</f>
        <v>0</v>
      </c>
      <c r="EQ55" s="180">
        <f>IFERROR(__xludf.DUMMYFUNCTION("""COMPUTED_VALUE"""),45721.0)</f>
        <v>45721</v>
      </c>
      <c r="ER55" s="179">
        <f>IFERROR(__xludf.DUMMYFUNCTION("""COMPUTED_VALUE"""),0.0)</f>
        <v>0</v>
      </c>
      <c r="ES55" s="180">
        <f>IFERROR(__xludf.DUMMYFUNCTION("""COMPUTED_VALUE"""),45752.0)</f>
        <v>45752</v>
      </c>
      <c r="ET55" s="179">
        <f>IFERROR(__xludf.DUMMYFUNCTION("""COMPUTED_VALUE"""),0.0)</f>
        <v>0</v>
      </c>
      <c r="EU55" s="180">
        <f>IFERROR(__xludf.DUMMYFUNCTION("""COMPUTED_VALUE"""),45721.0)</f>
        <v>45721</v>
      </c>
      <c r="EV55" s="179">
        <f>IFERROR(__xludf.DUMMYFUNCTION("""COMPUTED_VALUE"""),0.0)</f>
        <v>0</v>
      </c>
      <c r="EW55" s="180">
        <f>IFERROR(__xludf.DUMMYFUNCTION("""COMPUTED_VALUE"""),45752.0)</f>
        <v>45752</v>
      </c>
      <c r="EX55" s="179">
        <f>IFERROR(__xludf.DUMMYFUNCTION("""COMPUTED_VALUE"""),0.0)</f>
        <v>0</v>
      </c>
      <c r="EY55" s="180">
        <f>IFERROR(__xludf.DUMMYFUNCTION("""COMPUTED_VALUE"""),45752.0)</f>
        <v>45752</v>
      </c>
      <c r="EZ55" s="179">
        <f>IFERROR(__xludf.DUMMYFUNCTION("""COMPUTED_VALUE"""),0.0)</f>
        <v>0</v>
      </c>
      <c r="FA55" s="180">
        <f>IFERROR(__xludf.DUMMYFUNCTION("""COMPUTED_VALUE"""),45721.0)</f>
        <v>45721</v>
      </c>
      <c r="FB55" s="179">
        <f>IFERROR(__xludf.DUMMYFUNCTION("""COMPUTED_VALUE"""),0.0)</f>
        <v>0</v>
      </c>
      <c r="FC55" s="180">
        <f>IFERROR(__xludf.DUMMYFUNCTION("""COMPUTED_VALUE"""),45752.0)</f>
        <v>45752</v>
      </c>
      <c r="FD55" s="179">
        <f>IFERROR(__xludf.DUMMYFUNCTION("""COMPUTED_VALUE"""),0.0)</f>
        <v>0</v>
      </c>
      <c r="FE55" s="180">
        <f>IFERROR(__xludf.DUMMYFUNCTION("""COMPUTED_VALUE"""),45934.0)</f>
        <v>45934</v>
      </c>
      <c r="FF55" s="179">
        <f>IFERROR(__xludf.DUMMYFUNCTION("""COMPUTED_VALUE"""),0.0)</f>
        <v>0</v>
      </c>
      <c r="FG55" s="182">
        <f>IFERROR(__xludf.DUMMYFUNCTION("""COMPUTED_VALUE"""),45934.0)</f>
        <v>45934</v>
      </c>
      <c r="FH55" s="179">
        <f>IFERROR(__xludf.DUMMYFUNCTION("""COMPUTED_VALUE"""),0.0)</f>
        <v>0</v>
      </c>
      <c r="FI55" s="180">
        <f>IFERROR(__xludf.DUMMYFUNCTION("""COMPUTED_VALUE"""),45934.0)</f>
        <v>45934</v>
      </c>
      <c r="FJ55" s="179">
        <f>IFERROR(__xludf.DUMMYFUNCTION("""COMPUTED_VALUE"""),0.0)</f>
        <v>0</v>
      </c>
      <c r="FK55" s="180">
        <f>IFERROR(__xludf.DUMMYFUNCTION("""COMPUTED_VALUE"""),45812.0)</f>
        <v>45812</v>
      </c>
      <c r="FL55" s="179">
        <f>IFERROR(__xludf.DUMMYFUNCTION("""COMPUTED_VALUE"""),0.0)</f>
        <v>0</v>
      </c>
      <c r="FM55" s="180">
        <f>IFERROR(__xludf.DUMMYFUNCTION("""COMPUTED_VALUE"""),45752.0)</f>
        <v>45752</v>
      </c>
      <c r="FN55" s="179">
        <f>IFERROR(__xludf.DUMMYFUNCTION("""COMPUTED_VALUE"""),0.0)</f>
        <v>0</v>
      </c>
      <c r="FO55" s="180">
        <f>IFERROR(__xludf.DUMMYFUNCTION("""COMPUTED_VALUE"""),45752.0)</f>
        <v>45752</v>
      </c>
      <c r="FP55" s="179">
        <f>IFERROR(__xludf.DUMMYFUNCTION("""COMPUTED_VALUE"""),0.0)</f>
        <v>0</v>
      </c>
      <c r="FQ55" s="180">
        <f>IFERROR(__xludf.DUMMYFUNCTION("""COMPUTED_VALUE"""),45752.0)</f>
        <v>45752</v>
      </c>
      <c r="FR55" s="179">
        <f>IFERROR(__xludf.DUMMYFUNCTION("""COMPUTED_VALUE"""),0.0)</f>
        <v>0</v>
      </c>
      <c r="FS55" s="180">
        <f>IFERROR(__xludf.DUMMYFUNCTION("""COMPUTED_VALUE"""),45934.0)</f>
        <v>45934</v>
      </c>
      <c r="FT55" s="179">
        <f>IFERROR(__xludf.DUMMYFUNCTION("""COMPUTED_VALUE"""),0.0)</f>
        <v>0</v>
      </c>
      <c r="FU55" s="180">
        <f>IFERROR(__xludf.DUMMYFUNCTION("""COMPUTED_VALUE"""),45752.0)</f>
        <v>45752</v>
      </c>
      <c r="FV55" s="179">
        <f>IFERROR(__xludf.DUMMYFUNCTION("""COMPUTED_VALUE"""),0.0)</f>
        <v>0</v>
      </c>
      <c r="FW55" s="180">
        <f>IFERROR(__xludf.DUMMYFUNCTION("""COMPUTED_VALUE"""),45752.0)</f>
        <v>45752</v>
      </c>
      <c r="FX55" s="179">
        <f>IFERROR(__xludf.DUMMYFUNCTION("""COMPUTED_VALUE"""),0.0)</f>
        <v>0</v>
      </c>
      <c r="FY55" s="180">
        <f>IFERROR(__xludf.DUMMYFUNCTION("""COMPUTED_VALUE"""),45812.0)</f>
        <v>45812</v>
      </c>
      <c r="FZ55" s="179">
        <f>IFERROR(__xludf.DUMMYFUNCTION("""COMPUTED_VALUE"""),0.0)</f>
        <v>0</v>
      </c>
      <c r="GA55" s="182">
        <f>IFERROR(__xludf.DUMMYFUNCTION("""COMPUTED_VALUE"""),45752.0)</f>
        <v>45752</v>
      </c>
      <c r="GB55" s="179">
        <f>IFERROR(__xludf.DUMMYFUNCTION("""COMPUTED_VALUE"""),0.0)</f>
        <v>0</v>
      </c>
      <c r="GC55" s="180">
        <f>IFERROR(__xludf.DUMMYFUNCTION("""COMPUTED_VALUE"""),45662.0)</f>
        <v>45662</v>
      </c>
      <c r="GD55" s="179">
        <f>IFERROR(__xludf.DUMMYFUNCTION("""COMPUTED_VALUE"""),0.0)</f>
        <v>0</v>
      </c>
      <c r="GE55" s="180">
        <f>IFERROR(__xludf.DUMMYFUNCTION("""COMPUTED_VALUE"""),45662.0)</f>
        <v>45662</v>
      </c>
      <c r="GF55" s="179">
        <f>IFERROR(__xludf.DUMMYFUNCTION("""COMPUTED_VALUE"""),0.0)</f>
        <v>0</v>
      </c>
      <c r="GG55" s="180">
        <f>IFERROR(__xludf.DUMMYFUNCTION("""COMPUTED_VALUE"""),45693.0)</f>
        <v>45693</v>
      </c>
      <c r="GH55" s="179">
        <f>IFERROR(__xludf.DUMMYFUNCTION("""COMPUTED_VALUE"""),0.0)</f>
        <v>0</v>
      </c>
      <c r="GI55" s="180">
        <f>IFERROR(__xludf.DUMMYFUNCTION("""COMPUTED_VALUE"""),45752.0)</f>
        <v>45752</v>
      </c>
      <c r="GJ55" s="179">
        <f>IFERROR(__xludf.DUMMYFUNCTION("""COMPUTED_VALUE"""),0.0)</f>
        <v>0</v>
      </c>
      <c r="GK55" s="180">
        <f>IFERROR(__xludf.DUMMYFUNCTION("""COMPUTED_VALUE"""),45752.0)</f>
        <v>45752</v>
      </c>
      <c r="GL55" s="179">
        <f>IFERROR(__xludf.DUMMYFUNCTION("""COMPUTED_VALUE"""),0.0)</f>
        <v>0</v>
      </c>
      <c r="GM55" s="180">
        <f>IFERROR(__xludf.DUMMYFUNCTION("""COMPUTED_VALUE"""),45873.0)</f>
        <v>45873</v>
      </c>
      <c r="GN55" s="179">
        <f>IFERROR(__xludf.DUMMYFUNCTION("""COMPUTED_VALUE"""),0.0)</f>
        <v>0</v>
      </c>
      <c r="GO55" s="180">
        <f>IFERROR(__xludf.DUMMYFUNCTION("""COMPUTED_VALUE"""),45752.0)</f>
        <v>45752</v>
      </c>
      <c r="GP55" s="179">
        <f>IFERROR(__xludf.DUMMYFUNCTION("""COMPUTED_VALUE"""),0.0)</f>
        <v>0</v>
      </c>
      <c r="GQ55" s="180">
        <f>IFERROR(__xludf.DUMMYFUNCTION("""COMPUTED_VALUE"""),45752.0)</f>
        <v>45752</v>
      </c>
      <c r="GR55" s="179">
        <f>IFERROR(__xludf.DUMMYFUNCTION("""COMPUTED_VALUE"""),0.0)</f>
        <v>0</v>
      </c>
      <c r="GS55" s="180">
        <f>IFERROR(__xludf.DUMMYFUNCTION("""COMPUTED_VALUE"""),45904.0)</f>
        <v>45904</v>
      </c>
      <c r="GT55" s="179">
        <f>IFERROR(__xludf.DUMMYFUNCTION("""COMPUTED_VALUE"""),0.0)</f>
        <v>0</v>
      </c>
    </row>
    <row r="56" ht="31.5" customHeight="1">
      <c r="B56" s="183"/>
      <c r="C56" s="178">
        <f>IFERROR(__xludf.DUMMYFUNCTION("""COMPUTED_VALUE"""),45935.0)</f>
        <v>45935</v>
      </c>
      <c r="D56" s="179">
        <f>IFERROR(__xludf.DUMMYFUNCTION("""COMPUTED_VALUE"""),0.0)</f>
        <v>0</v>
      </c>
      <c r="E56" s="180">
        <f>IFERROR(__xludf.DUMMYFUNCTION("""COMPUTED_VALUE"""),45694.0)</f>
        <v>45694</v>
      </c>
      <c r="F56" s="179">
        <f>IFERROR(__xludf.DUMMYFUNCTION("""COMPUTED_VALUE"""),0.0)</f>
        <v>0</v>
      </c>
      <c r="G56" s="180">
        <f>IFERROR(__xludf.DUMMYFUNCTION("""COMPUTED_VALUE"""),45694.0)</f>
        <v>45694</v>
      </c>
      <c r="H56" s="179">
        <f>IFERROR(__xludf.DUMMYFUNCTION("""COMPUTED_VALUE"""),0.0)</f>
        <v>0</v>
      </c>
      <c r="I56" s="180">
        <f>IFERROR(__xludf.DUMMYFUNCTION("""COMPUTED_VALUE"""),45753.0)</f>
        <v>45753</v>
      </c>
      <c r="J56" s="179">
        <f>IFERROR(__xludf.DUMMYFUNCTION("""COMPUTED_VALUE"""),0.0)</f>
        <v>0</v>
      </c>
      <c r="K56" s="180">
        <f>IFERROR(__xludf.DUMMYFUNCTION("""COMPUTED_VALUE"""),45905.0)</f>
        <v>45905</v>
      </c>
      <c r="L56" s="179">
        <f>IFERROR(__xludf.DUMMYFUNCTION("""COMPUTED_VALUE"""),0.0)</f>
        <v>0</v>
      </c>
      <c r="M56" s="180">
        <f>IFERROR(__xludf.DUMMYFUNCTION("""COMPUTED_VALUE"""),45935.0)</f>
        <v>45935</v>
      </c>
      <c r="N56" s="179">
        <f>IFERROR(__xludf.DUMMYFUNCTION("""COMPUTED_VALUE"""),0.0)</f>
        <v>0</v>
      </c>
      <c r="O56" s="180">
        <f>IFERROR(__xludf.DUMMYFUNCTION("""COMPUTED_VALUE"""),45843.0)</f>
        <v>45843</v>
      </c>
      <c r="P56" s="179">
        <f>IFERROR(__xludf.DUMMYFUNCTION("""COMPUTED_VALUE"""),0.0)</f>
        <v>0</v>
      </c>
      <c r="Q56" s="180">
        <f>IFERROR(__xludf.DUMMYFUNCTION("""COMPUTED_VALUE"""),45874.0)</f>
        <v>45874</v>
      </c>
      <c r="R56" s="179">
        <f>IFERROR(__xludf.DUMMYFUNCTION("""COMPUTED_VALUE"""),0.0)</f>
        <v>0</v>
      </c>
      <c r="S56" s="180">
        <f>IFERROR(__xludf.DUMMYFUNCTION("""COMPUTED_VALUE"""),45694.0)</f>
        <v>45694</v>
      </c>
      <c r="T56" s="179">
        <f>IFERROR(__xludf.DUMMYFUNCTION("""COMPUTED_VALUE"""),0.0)</f>
        <v>0</v>
      </c>
      <c r="U56" s="180">
        <f>IFERROR(__xludf.DUMMYFUNCTION("""COMPUTED_VALUE"""),45813.0)</f>
        <v>45813</v>
      </c>
      <c r="V56" s="181">
        <f>IFERROR(__xludf.DUMMYFUNCTION("""COMPUTED_VALUE"""),0.0)</f>
        <v>0</v>
      </c>
      <c r="W56" s="178">
        <f>IFERROR(__xludf.DUMMYFUNCTION("""COMPUTED_VALUE"""),45753.0)</f>
        <v>45753</v>
      </c>
      <c r="X56" s="179">
        <f>IFERROR(__xludf.DUMMYFUNCTION("""COMPUTED_VALUE"""),0.0)</f>
        <v>0</v>
      </c>
      <c r="Y56" s="180">
        <f>IFERROR(__xludf.DUMMYFUNCTION("""COMPUTED_VALUE"""),45905.0)</f>
        <v>45905</v>
      </c>
      <c r="Z56" s="179">
        <f>IFERROR(__xludf.DUMMYFUNCTION("""COMPUTED_VALUE"""),0.0)</f>
        <v>0</v>
      </c>
      <c r="AA56" s="180">
        <f>IFERROR(__xludf.DUMMYFUNCTION("""COMPUTED_VALUE"""),45722.0)</f>
        <v>45722</v>
      </c>
      <c r="AB56" s="179">
        <f>IFERROR(__xludf.DUMMYFUNCTION("""COMPUTED_VALUE"""),0.0)</f>
        <v>0</v>
      </c>
      <c r="AC56" s="180">
        <f>IFERROR(__xludf.DUMMYFUNCTION("""COMPUTED_VALUE"""),45813.0)</f>
        <v>45813</v>
      </c>
      <c r="AD56" s="179">
        <f>IFERROR(__xludf.DUMMYFUNCTION("""COMPUTED_VALUE"""),0.0)</f>
        <v>0</v>
      </c>
      <c r="AE56" s="180">
        <f>IFERROR(__xludf.DUMMYFUNCTION("""COMPUTED_VALUE"""),45935.0)</f>
        <v>45935</v>
      </c>
      <c r="AF56" s="179">
        <f>IFERROR(__xludf.DUMMYFUNCTION("""COMPUTED_VALUE"""),0.0)</f>
        <v>0</v>
      </c>
      <c r="AG56" s="180">
        <f>IFERROR(__xludf.DUMMYFUNCTION("""COMPUTED_VALUE"""),45753.0)</f>
        <v>45753</v>
      </c>
      <c r="AH56" s="179">
        <f>IFERROR(__xludf.DUMMYFUNCTION("""COMPUTED_VALUE"""),0.0)</f>
        <v>0</v>
      </c>
      <c r="AI56" s="180">
        <f>IFERROR(__xludf.DUMMYFUNCTION("""COMPUTED_VALUE"""),45874.0)</f>
        <v>45874</v>
      </c>
      <c r="AJ56" s="179">
        <f>IFERROR(__xludf.DUMMYFUNCTION("""COMPUTED_VALUE"""),0.0)</f>
        <v>0</v>
      </c>
      <c r="AK56" s="180">
        <f>IFERROR(__xludf.DUMMYFUNCTION("""COMPUTED_VALUE"""),45663.0)</f>
        <v>45663</v>
      </c>
      <c r="AL56" s="179">
        <f>IFERROR(__xludf.DUMMYFUNCTION("""COMPUTED_VALUE"""),0.0)</f>
        <v>0</v>
      </c>
      <c r="AM56" s="180">
        <f>IFERROR(__xludf.DUMMYFUNCTION("""COMPUTED_VALUE"""),45753.0)</f>
        <v>45753</v>
      </c>
      <c r="AN56" s="179">
        <f>IFERROR(__xludf.DUMMYFUNCTION("""COMPUTED_VALUE"""),0.0)</f>
        <v>0</v>
      </c>
      <c r="AO56" s="180">
        <f>IFERROR(__xludf.DUMMYFUNCTION("""COMPUTED_VALUE"""),45935.0)</f>
        <v>45935</v>
      </c>
      <c r="AP56" s="181">
        <f>IFERROR(__xludf.DUMMYFUNCTION("""COMPUTED_VALUE"""),0.0)</f>
        <v>0</v>
      </c>
      <c r="AQ56" s="178">
        <f>IFERROR(__xludf.DUMMYFUNCTION("""COMPUTED_VALUE"""),45753.0)</f>
        <v>45753</v>
      </c>
      <c r="AR56" s="179">
        <f>IFERROR(__xludf.DUMMYFUNCTION("""COMPUTED_VALUE"""),0.0)</f>
        <v>0</v>
      </c>
      <c r="AS56" s="180">
        <f>IFERROR(__xludf.DUMMYFUNCTION("""COMPUTED_VALUE"""),45753.0)</f>
        <v>45753</v>
      </c>
      <c r="AT56" s="179">
        <f>IFERROR(__xludf.DUMMYFUNCTION("""COMPUTED_VALUE"""),0.0)</f>
        <v>0</v>
      </c>
      <c r="AU56" s="180">
        <f>IFERROR(__xludf.DUMMYFUNCTION("""COMPUTED_VALUE"""),45722.0)</f>
        <v>45722</v>
      </c>
      <c r="AV56" s="179">
        <f>IFERROR(__xludf.DUMMYFUNCTION("""COMPUTED_VALUE"""),0.0)</f>
        <v>0</v>
      </c>
      <c r="AW56" s="180">
        <f>IFERROR(__xludf.DUMMYFUNCTION("""COMPUTED_VALUE"""),45722.0)</f>
        <v>45722</v>
      </c>
      <c r="AX56" s="179">
        <f>IFERROR(__xludf.DUMMYFUNCTION("""COMPUTED_VALUE"""),0.0)</f>
        <v>0</v>
      </c>
      <c r="AY56" s="180">
        <f>IFERROR(__xludf.DUMMYFUNCTION("""COMPUTED_VALUE"""),45753.0)</f>
        <v>45753</v>
      </c>
      <c r="AZ56" s="179">
        <f>IFERROR(__xludf.DUMMYFUNCTION("""COMPUTED_VALUE"""),0.0)</f>
        <v>0</v>
      </c>
      <c r="BA56" s="180">
        <f>IFERROR(__xludf.DUMMYFUNCTION("""COMPUTED_VALUE"""),45753.0)</f>
        <v>45753</v>
      </c>
      <c r="BB56" s="179">
        <f>IFERROR(__xludf.DUMMYFUNCTION("""COMPUTED_VALUE"""),0.0)</f>
        <v>0</v>
      </c>
      <c r="BC56" s="180">
        <f>IFERROR(__xludf.DUMMYFUNCTION("""COMPUTED_VALUE"""),45722.0)</f>
        <v>45722</v>
      </c>
      <c r="BD56" s="179">
        <f>IFERROR(__xludf.DUMMYFUNCTION("""COMPUTED_VALUE"""),0.0)</f>
        <v>0</v>
      </c>
      <c r="BE56" s="180">
        <f>IFERROR(__xludf.DUMMYFUNCTION("""COMPUTED_VALUE"""),45753.0)</f>
        <v>45753</v>
      </c>
      <c r="BF56" s="179">
        <f>IFERROR(__xludf.DUMMYFUNCTION("""COMPUTED_VALUE"""),0.0)</f>
        <v>0</v>
      </c>
      <c r="BG56" s="180">
        <f>IFERROR(__xludf.DUMMYFUNCTION("""COMPUTED_VALUE"""),45722.0)</f>
        <v>45722</v>
      </c>
      <c r="BH56" s="179">
        <f>IFERROR(__xludf.DUMMYFUNCTION("""COMPUTED_VALUE"""),0.0)</f>
        <v>0</v>
      </c>
      <c r="BI56" s="180">
        <f>IFERROR(__xludf.DUMMYFUNCTION("""COMPUTED_VALUE"""),45753.0)</f>
        <v>45753</v>
      </c>
      <c r="BJ56" s="179">
        <f>IFERROR(__xludf.DUMMYFUNCTION("""COMPUTED_VALUE"""),0.0)</f>
        <v>0</v>
      </c>
      <c r="BK56" s="182">
        <f>IFERROR(__xludf.DUMMYFUNCTION("""COMPUTED_VALUE"""),45722.0)</f>
        <v>45722</v>
      </c>
      <c r="BL56" s="179">
        <f>IFERROR(__xludf.DUMMYFUNCTION("""COMPUTED_VALUE"""),0.0)</f>
        <v>0</v>
      </c>
      <c r="BM56" s="180">
        <f>IFERROR(__xludf.DUMMYFUNCTION("""COMPUTED_VALUE"""),45753.0)</f>
        <v>45753</v>
      </c>
      <c r="BN56" s="179">
        <f>IFERROR(__xludf.DUMMYFUNCTION("""COMPUTED_VALUE"""),0.0)</f>
        <v>0</v>
      </c>
      <c r="BO56" s="180">
        <f>IFERROR(__xludf.DUMMYFUNCTION("""COMPUTED_VALUE"""),45722.0)</f>
        <v>45722</v>
      </c>
      <c r="BP56" s="179">
        <f>IFERROR(__xludf.DUMMYFUNCTION("""COMPUTED_VALUE"""),0.0)</f>
        <v>0</v>
      </c>
      <c r="BQ56" s="180">
        <f>IFERROR(__xludf.DUMMYFUNCTION("""COMPUTED_VALUE"""),45722.0)</f>
        <v>45722</v>
      </c>
      <c r="BR56" s="179">
        <f>IFERROR(__xludf.DUMMYFUNCTION("""COMPUTED_VALUE"""),0.0)</f>
        <v>0</v>
      </c>
      <c r="BS56" s="180">
        <f>IFERROR(__xludf.DUMMYFUNCTION("""COMPUTED_VALUE"""),45753.0)</f>
        <v>45753</v>
      </c>
      <c r="BT56" s="179">
        <f>IFERROR(__xludf.DUMMYFUNCTION("""COMPUTED_VALUE"""),0.0)</f>
        <v>0</v>
      </c>
      <c r="BU56" s="180">
        <f>IFERROR(__xludf.DUMMYFUNCTION("""COMPUTED_VALUE"""),45722.0)</f>
        <v>45722</v>
      </c>
      <c r="BV56" s="179">
        <f>IFERROR(__xludf.DUMMYFUNCTION("""COMPUTED_VALUE"""),0.0)</f>
        <v>0</v>
      </c>
      <c r="BW56" s="180">
        <f>IFERROR(__xludf.DUMMYFUNCTION("""COMPUTED_VALUE"""),45905.0)</f>
        <v>45905</v>
      </c>
      <c r="BX56" s="179">
        <f>IFERROR(__xludf.DUMMYFUNCTION("""COMPUTED_VALUE"""),0.0)</f>
        <v>0</v>
      </c>
      <c r="BY56" s="180">
        <f>IFERROR(__xludf.DUMMYFUNCTION("""COMPUTED_VALUE"""),45722.0)</f>
        <v>45722</v>
      </c>
      <c r="BZ56" s="179">
        <f>IFERROR(__xludf.DUMMYFUNCTION("""COMPUTED_VALUE"""),0.0)</f>
        <v>0</v>
      </c>
      <c r="CA56" s="180">
        <f>IFERROR(__xludf.DUMMYFUNCTION("""COMPUTED_VALUE"""),45753.0)</f>
        <v>45753</v>
      </c>
      <c r="CB56" s="179">
        <f>IFERROR(__xludf.DUMMYFUNCTION("""COMPUTED_VALUE"""),0.0)</f>
        <v>0</v>
      </c>
      <c r="CC56" s="180">
        <f>IFERROR(__xludf.DUMMYFUNCTION("""COMPUTED_VALUE"""),45722.0)</f>
        <v>45722</v>
      </c>
      <c r="CD56" s="179">
        <f>IFERROR(__xludf.DUMMYFUNCTION("""COMPUTED_VALUE"""),0.0)</f>
        <v>0</v>
      </c>
      <c r="CE56" s="182">
        <f>IFERROR(__xludf.DUMMYFUNCTION("""COMPUTED_VALUE"""),45753.0)</f>
        <v>45753</v>
      </c>
      <c r="CF56" s="179">
        <f>IFERROR(__xludf.DUMMYFUNCTION("""COMPUTED_VALUE"""),0.0)</f>
        <v>0</v>
      </c>
      <c r="CG56" s="180">
        <f>IFERROR(__xludf.DUMMYFUNCTION("""COMPUTED_VALUE"""),45904.0)</f>
        <v>45904</v>
      </c>
      <c r="CH56" s="179">
        <f>IFERROR(__xludf.DUMMYFUNCTION("""COMPUTED_VALUE"""),0.0)</f>
        <v>0</v>
      </c>
      <c r="CI56" s="180">
        <f>IFERROR(__xludf.DUMMYFUNCTION("""COMPUTED_VALUE"""),45721.0)</f>
        <v>45721</v>
      </c>
      <c r="CJ56" s="179">
        <f>IFERROR(__xludf.DUMMYFUNCTION("""COMPUTED_VALUE"""),0.0)</f>
        <v>0</v>
      </c>
      <c r="CK56" s="180">
        <f>IFERROR(__xludf.DUMMYFUNCTION("""COMPUTED_VALUE"""),45752.0)</f>
        <v>45752</v>
      </c>
      <c r="CL56" s="179">
        <f>IFERROR(__xludf.DUMMYFUNCTION("""COMPUTED_VALUE"""),0.0)</f>
        <v>0</v>
      </c>
      <c r="CM56" s="180">
        <f>IFERROR(__xludf.DUMMYFUNCTION("""COMPUTED_VALUE"""),45722.0)</f>
        <v>45722</v>
      </c>
      <c r="CN56" s="179">
        <f>IFERROR(__xludf.DUMMYFUNCTION("""COMPUTED_VALUE"""),0.0)</f>
        <v>0</v>
      </c>
      <c r="CO56" s="180">
        <f>IFERROR(__xludf.DUMMYFUNCTION("""COMPUTED_VALUE"""),45694.0)</f>
        <v>45694</v>
      </c>
      <c r="CP56" s="179">
        <f>IFERROR(__xludf.DUMMYFUNCTION("""COMPUTED_VALUE"""),0.0)</f>
        <v>0</v>
      </c>
      <c r="CQ56" s="180">
        <f>IFERROR(__xludf.DUMMYFUNCTION("""COMPUTED_VALUE"""),45873.0)</f>
        <v>45873</v>
      </c>
      <c r="CR56" s="179">
        <f>IFERROR(__xludf.DUMMYFUNCTION("""COMPUTED_VALUE"""),0.0)</f>
        <v>0</v>
      </c>
      <c r="CS56" s="180">
        <f>IFERROR(__xludf.DUMMYFUNCTION("""COMPUTED_VALUE"""),45694.0)</f>
        <v>45694</v>
      </c>
      <c r="CT56" s="179">
        <f>IFERROR(__xludf.DUMMYFUNCTION("""COMPUTED_VALUE"""),0.0)</f>
        <v>0</v>
      </c>
      <c r="CU56" s="180">
        <f>IFERROR(__xludf.DUMMYFUNCTION("""COMPUTED_VALUE"""),45753.0)</f>
        <v>45753</v>
      </c>
      <c r="CV56" s="179">
        <f>IFERROR(__xludf.DUMMYFUNCTION("""COMPUTED_VALUE"""),0.0)</f>
        <v>0</v>
      </c>
      <c r="CW56" s="180">
        <f>IFERROR(__xludf.DUMMYFUNCTION("""COMPUTED_VALUE"""),45812.0)</f>
        <v>45812</v>
      </c>
      <c r="CX56" s="179">
        <f>IFERROR(__xludf.DUMMYFUNCTION("""COMPUTED_VALUE"""),0.0)</f>
        <v>0</v>
      </c>
      <c r="CY56" s="182">
        <f>IFERROR(__xludf.DUMMYFUNCTION("""COMPUTED_VALUE"""),45782.0)</f>
        <v>45782</v>
      </c>
      <c r="CZ56" s="179">
        <f>IFERROR(__xludf.DUMMYFUNCTION("""COMPUTED_VALUE"""),0.0)</f>
        <v>0</v>
      </c>
      <c r="DA56" s="180">
        <f>IFERROR(__xludf.DUMMYFUNCTION("""COMPUTED_VALUE"""),45782.0)</f>
        <v>45782</v>
      </c>
      <c r="DB56" s="179">
        <f>IFERROR(__xludf.DUMMYFUNCTION("""COMPUTED_VALUE"""),0.0)</f>
        <v>0</v>
      </c>
      <c r="DC56" s="180">
        <f>IFERROR(__xludf.DUMMYFUNCTION("""COMPUTED_VALUE"""),45662.0)</f>
        <v>45662</v>
      </c>
      <c r="DD56" s="179">
        <f>IFERROR(__xludf.DUMMYFUNCTION("""COMPUTED_VALUE"""),0.0)</f>
        <v>0</v>
      </c>
      <c r="DE56" s="180">
        <f>IFERROR(__xludf.DUMMYFUNCTION("""COMPUTED_VALUE"""),45782.0)</f>
        <v>45782</v>
      </c>
      <c r="DF56" s="179">
        <f>IFERROR(__xludf.DUMMYFUNCTION("""COMPUTED_VALUE"""),0.0)</f>
        <v>0</v>
      </c>
      <c r="DG56" s="180">
        <f>IFERROR(__xludf.DUMMYFUNCTION("""COMPUTED_VALUE"""),45782.0)</f>
        <v>45782</v>
      </c>
      <c r="DH56" s="179">
        <f>IFERROR(__xludf.DUMMYFUNCTION("""COMPUTED_VALUE"""),0.0)</f>
        <v>0</v>
      </c>
      <c r="DI56" s="180">
        <f>IFERROR(__xludf.DUMMYFUNCTION("""COMPUTED_VALUE"""),45782.0)</f>
        <v>45782</v>
      </c>
      <c r="DJ56" s="179">
        <f>IFERROR(__xludf.DUMMYFUNCTION("""COMPUTED_VALUE"""),0.0)</f>
        <v>0</v>
      </c>
      <c r="DK56" s="180">
        <f>IFERROR(__xludf.DUMMYFUNCTION("""COMPUTED_VALUE"""),45752.0)</f>
        <v>45752</v>
      </c>
      <c r="DL56" s="179">
        <f>IFERROR(__xludf.DUMMYFUNCTION("""COMPUTED_VALUE"""),0.0)</f>
        <v>0</v>
      </c>
      <c r="DM56" s="180">
        <f>IFERROR(__xludf.DUMMYFUNCTION("""COMPUTED_VALUE"""),45752.0)</f>
        <v>45752</v>
      </c>
      <c r="DN56" s="179">
        <f>IFERROR(__xludf.DUMMYFUNCTION("""COMPUTED_VALUE"""),0.0)</f>
        <v>0</v>
      </c>
      <c r="DO56" s="180">
        <f>IFERROR(__xludf.DUMMYFUNCTION("""COMPUTED_VALUE"""),45782.0)</f>
        <v>45782</v>
      </c>
      <c r="DP56" s="179">
        <f>IFERROR(__xludf.DUMMYFUNCTION("""COMPUTED_VALUE"""),0.0)</f>
        <v>0</v>
      </c>
      <c r="DQ56" s="180">
        <f>IFERROR(__xludf.DUMMYFUNCTION("""COMPUTED_VALUE"""),45934.0)</f>
        <v>45934</v>
      </c>
      <c r="DR56" s="179">
        <f>IFERROR(__xludf.DUMMYFUNCTION("""COMPUTED_VALUE"""),0.0)</f>
        <v>0</v>
      </c>
      <c r="DS56" s="182">
        <f>IFERROR(__xludf.DUMMYFUNCTION("""COMPUTED_VALUE"""),45752.0)</f>
        <v>45752</v>
      </c>
      <c r="DT56" s="179">
        <f>IFERROR(__xludf.DUMMYFUNCTION("""COMPUTED_VALUE"""),0.0)</f>
        <v>0</v>
      </c>
      <c r="DU56" s="180">
        <f>IFERROR(__xludf.DUMMYFUNCTION("""COMPUTED_VALUE"""),45721.0)</f>
        <v>45721</v>
      </c>
      <c r="DV56" s="179">
        <f>IFERROR(__xludf.DUMMYFUNCTION("""COMPUTED_VALUE"""),0.0)</f>
        <v>0</v>
      </c>
      <c r="DW56" s="180">
        <f>IFERROR(__xludf.DUMMYFUNCTION("""COMPUTED_VALUE"""),45721.0)</f>
        <v>45721</v>
      </c>
      <c r="DX56" s="179">
        <f>IFERROR(__xludf.DUMMYFUNCTION("""COMPUTED_VALUE"""),0.0)</f>
        <v>0</v>
      </c>
      <c r="DY56" s="180">
        <f>IFERROR(__xludf.DUMMYFUNCTION("""COMPUTED_VALUE"""),45752.0)</f>
        <v>45752</v>
      </c>
      <c r="DZ56" s="179">
        <f>IFERROR(__xludf.DUMMYFUNCTION("""COMPUTED_VALUE"""),0.0)</f>
        <v>0</v>
      </c>
      <c r="EA56" s="180">
        <f>IFERROR(__xludf.DUMMYFUNCTION("""COMPUTED_VALUE"""),45782.0)</f>
        <v>45782</v>
      </c>
      <c r="EB56" s="179">
        <f>IFERROR(__xludf.DUMMYFUNCTION("""COMPUTED_VALUE"""),0.0)</f>
        <v>0</v>
      </c>
      <c r="EC56" s="180">
        <f>IFERROR(__xludf.DUMMYFUNCTION("""COMPUTED_VALUE"""),45752.0)</f>
        <v>45752</v>
      </c>
      <c r="ED56" s="179">
        <f>IFERROR(__xludf.DUMMYFUNCTION("""COMPUTED_VALUE"""),0.0)</f>
        <v>0</v>
      </c>
      <c r="EE56" s="180">
        <f>IFERROR(__xludf.DUMMYFUNCTION("""COMPUTED_VALUE"""),45662.0)</f>
        <v>45662</v>
      </c>
      <c r="EF56" s="179">
        <f>IFERROR(__xludf.DUMMYFUNCTION("""COMPUTED_VALUE"""),0.0)</f>
        <v>0</v>
      </c>
      <c r="EG56" s="180">
        <f>IFERROR(__xludf.DUMMYFUNCTION("""COMPUTED_VALUE"""),45752.0)</f>
        <v>45752</v>
      </c>
      <c r="EH56" s="179">
        <f>IFERROR(__xludf.DUMMYFUNCTION("""COMPUTED_VALUE"""),0.0)</f>
        <v>0</v>
      </c>
      <c r="EI56" s="180">
        <f>IFERROR(__xludf.DUMMYFUNCTION("""COMPUTED_VALUE"""),45752.0)</f>
        <v>45752</v>
      </c>
      <c r="EJ56" s="179">
        <f>IFERROR(__xludf.DUMMYFUNCTION("""COMPUTED_VALUE"""),0.0)</f>
        <v>0</v>
      </c>
      <c r="EK56" s="180">
        <f>IFERROR(__xludf.DUMMYFUNCTION("""COMPUTED_VALUE"""),45693.0)</f>
        <v>45693</v>
      </c>
      <c r="EL56" s="179">
        <f>IFERROR(__xludf.DUMMYFUNCTION("""COMPUTED_VALUE"""),0.0)</f>
        <v>0</v>
      </c>
      <c r="EM56" s="182">
        <f>IFERROR(__xludf.DUMMYFUNCTION("""COMPUTED_VALUE"""),45662.0)</f>
        <v>45662</v>
      </c>
      <c r="EN56" s="179">
        <f>IFERROR(__xludf.DUMMYFUNCTION("""COMPUTED_VALUE"""),0.0)</f>
        <v>0</v>
      </c>
      <c r="EO56" s="180">
        <f>IFERROR(__xludf.DUMMYFUNCTION("""COMPUTED_VALUE"""),45752.0)</f>
        <v>45752</v>
      </c>
      <c r="EP56" s="179">
        <f>IFERROR(__xludf.DUMMYFUNCTION("""COMPUTED_VALUE"""),0.0)</f>
        <v>0</v>
      </c>
      <c r="EQ56" s="180">
        <f>IFERROR(__xludf.DUMMYFUNCTION("""COMPUTED_VALUE"""),45752.0)</f>
        <v>45752</v>
      </c>
      <c r="ER56" s="179">
        <f>IFERROR(__xludf.DUMMYFUNCTION("""COMPUTED_VALUE"""),0.0)</f>
        <v>0</v>
      </c>
      <c r="ES56" s="180">
        <f>IFERROR(__xludf.DUMMYFUNCTION("""COMPUTED_VALUE"""),45782.0)</f>
        <v>45782</v>
      </c>
      <c r="ET56" s="179">
        <f>IFERROR(__xludf.DUMMYFUNCTION("""COMPUTED_VALUE"""),0.0)</f>
        <v>0</v>
      </c>
      <c r="EU56" s="180">
        <f>IFERROR(__xludf.DUMMYFUNCTION("""COMPUTED_VALUE"""),45752.0)</f>
        <v>45752</v>
      </c>
      <c r="EV56" s="179">
        <f>IFERROR(__xludf.DUMMYFUNCTION("""COMPUTED_VALUE"""),0.0)</f>
        <v>0</v>
      </c>
      <c r="EW56" s="180">
        <f>IFERROR(__xludf.DUMMYFUNCTION("""COMPUTED_VALUE"""),45782.0)</f>
        <v>45782</v>
      </c>
      <c r="EX56" s="179">
        <f>IFERROR(__xludf.DUMMYFUNCTION("""COMPUTED_VALUE"""),0.0)</f>
        <v>0</v>
      </c>
      <c r="EY56" s="180">
        <f>IFERROR(__xludf.DUMMYFUNCTION("""COMPUTED_VALUE"""),45782.0)</f>
        <v>45782</v>
      </c>
      <c r="EZ56" s="179">
        <f>IFERROR(__xludf.DUMMYFUNCTION("""COMPUTED_VALUE"""),0.0)</f>
        <v>0</v>
      </c>
      <c r="FA56" s="180">
        <f>IFERROR(__xludf.DUMMYFUNCTION("""COMPUTED_VALUE"""),45752.0)</f>
        <v>45752</v>
      </c>
      <c r="FB56" s="179">
        <f>IFERROR(__xludf.DUMMYFUNCTION("""COMPUTED_VALUE"""),0.0)</f>
        <v>0</v>
      </c>
      <c r="FC56" s="180">
        <f>IFERROR(__xludf.DUMMYFUNCTION("""COMPUTED_VALUE"""),45782.0)</f>
        <v>45782</v>
      </c>
      <c r="FD56" s="179">
        <f>IFERROR(__xludf.DUMMYFUNCTION("""COMPUTED_VALUE"""),0.0)</f>
        <v>0</v>
      </c>
      <c r="FE56" s="180">
        <f>IFERROR(__xludf.DUMMYFUNCTION("""COMPUTED_VALUE"""),45662.0)</f>
        <v>45662</v>
      </c>
      <c r="FF56" s="179">
        <f>IFERROR(__xludf.DUMMYFUNCTION("""COMPUTED_VALUE"""),0.0)</f>
        <v>0</v>
      </c>
      <c r="FG56" s="182">
        <f>IFERROR(__xludf.DUMMYFUNCTION("""COMPUTED_VALUE"""),45693.0)</f>
        <v>45693</v>
      </c>
      <c r="FH56" s="179">
        <f>IFERROR(__xludf.DUMMYFUNCTION("""COMPUTED_VALUE"""),0.0)</f>
        <v>0</v>
      </c>
      <c r="FI56" s="180">
        <f>IFERROR(__xludf.DUMMYFUNCTION("""COMPUTED_VALUE"""),45662.0)</f>
        <v>45662</v>
      </c>
      <c r="FJ56" s="179">
        <f>IFERROR(__xludf.DUMMYFUNCTION("""COMPUTED_VALUE"""),0.0)</f>
        <v>0</v>
      </c>
      <c r="FK56" s="180">
        <f>IFERROR(__xludf.DUMMYFUNCTION("""COMPUTED_VALUE"""),45842.0)</f>
        <v>45842</v>
      </c>
      <c r="FL56" s="179">
        <f>IFERROR(__xludf.DUMMYFUNCTION("""COMPUTED_VALUE"""),0.0)</f>
        <v>0</v>
      </c>
      <c r="FM56" s="180">
        <f>IFERROR(__xludf.DUMMYFUNCTION("""COMPUTED_VALUE"""),45782.0)</f>
        <v>45782</v>
      </c>
      <c r="FN56" s="179">
        <f>IFERROR(__xludf.DUMMYFUNCTION("""COMPUTED_VALUE"""),0.0)</f>
        <v>0</v>
      </c>
      <c r="FO56" s="180">
        <f>IFERROR(__xludf.DUMMYFUNCTION("""COMPUTED_VALUE"""),45782.0)</f>
        <v>45782</v>
      </c>
      <c r="FP56" s="179">
        <f>IFERROR(__xludf.DUMMYFUNCTION("""COMPUTED_VALUE"""),0.0)</f>
        <v>0</v>
      </c>
      <c r="FQ56" s="180">
        <f>IFERROR(__xludf.DUMMYFUNCTION("""COMPUTED_VALUE"""),45782.0)</f>
        <v>45782</v>
      </c>
      <c r="FR56" s="179">
        <f>IFERROR(__xludf.DUMMYFUNCTION("""COMPUTED_VALUE"""),0.0)</f>
        <v>0</v>
      </c>
      <c r="FS56" s="180">
        <f>IFERROR(__xludf.DUMMYFUNCTION("""COMPUTED_VALUE"""),45662.0)</f>
        <v>45662</v>
      </c>
      <c r="FT56" s="179">
        <f>IFERROR(__xludf.DUMMYFUNCTION("""COMPUTED_VALUE"""),0.0)</f>
        <v>0</v>
      </c>
      <c r="FU56" s="180">
        <f>IFERROR(__xludf.DUMMYFUNCTION("""COMPUTED_VALUE"""),45782.0)</f>
        <v>45782</v>
      </c>
      <c r="FV56" s="179">
        <f>IFERROR(__xludf.DUMMYFUNCTION("""COMPUTED_VALUE"""),0.0)</f>
        <v>0</v>
      </c>
      <c r="FW56" s="180">
        <f>IFERROR(__xludf.DUMMYFUNCTION("""COMPUTED_VALUE"""),45782.0)</f>
        <v>45782</v>
      </c>
      <c r="FX56" s="179">
        <f>IFERROR(__xludf.DUMMYFUNCTION("""COMPUTED_VALUE"""),0.0)</f>
        <v>0</v>
      </c>
      <c r="FY56" s="180">
        <f>IFERROR(__xludf.DUMMYFUNCTION("""COMPUTED_VALUE"""),45842.0)</f>
        <v>45842</v>
      </c>
      <c r="FZ56" s="179">
        <f>IFERROR(__xludf.DUMMYFUNCTION("""COMPUTED_VALUE"""),0.0)</f>
        <v>0</v>
      </c>
      <c r="GA56" s="182">
        <f>IFERROR(__xludf.DUMMYFUNCTION("""COMPUTED_VALUE"""),45782.0)</f>
        <v>45782</v>
      </c>
      <c r="GB56" s="179">
        <f>IFERROR(__xludf.DUMMYFUNCTION("""COMPUTED_VALUE"""),0.0)</f>
        <v>0</v>
      </c>
      <c r="GC56" s="180">
        <f>IFERROR(__xludf.DUMMYFUNCTION("""COMPUTED_VALUE"""),45693.0)</f>
        <v>45693</v>
      </c>
      <c r="GD56" s="179">
        <f>IFERROR(__xludf.DUMMYFUNCTION("""COMPUTED_VALUE"""),0.0)</f>
        <v>0</v>
      </c>
      <c r="GE56" s="180">
        <f>IFERROR(__xludf.DUMMYFUNCTION("""COMPUTED_VALUE"""),45693.0)</f>
        <v>45693</v>
      </c>
      <c r="GF56" s="179">
        <f>IFERROR(__xludf.DUMMYFUNCTION("""COMPUTED_VALUE"""),0.0)</f>
        <v>0</v>
      </c>
      <c r="GG56" s="180">
        <f>IFERROR(__xludf.DUMMYFUNCTION("""COMPUTED_VALUE"""),45721.0)</f>
        <v>45721</v>
      </c>
      <c r="GH56" s="179">
        <f>IFERROR(__xludf.DUMMYFUNCTION("""COMPUTED_VALUE"""),0.0)</f>
        <v>0</v>
      </c>
      <c r="GI56" s="180">
        <f>IFERROR(__xludf.DUMMYFUNCTION("""COMPUTED_VALUE"""),45782.0)</f>
        <v>45782</v>
      </c>
      <c r="GJ56" s="179">
        <f>IFERROR(__xludf.DUMMYFUNCTION("""COMPUTED_VALUE"""),0.0)</f>
        <v>0</v>
      </c>
      <c r="GK56" s="180">
        <f>IFERROR(__xludf.DUMMYFUNCTION("""COMPUTED_VALUE"""),45782.0)</f>
        <v>45782</v>
      </c>
      <c r="GL56" s="179">
        <f>IFERROR(__xludf.DUMMYFUNCTION("""COMPUTED_VALUE"""),0.0)</f>
        <v>0</v>
      </c>
      <c r="GM56" s="180">
        <f>IFERROR(__xludf.DUMMYFUNCTION("""COMPUTED_VALUE"""),45904.0)</f>
        <v>45904</v>
      </c>
      <c r="GN56" s="179">
        <f>IFERROR(__xludf.DUMMYFUNCTION("""COMPUTED_VALUE"""),0.0)</f>
        <v>0</v>
      </c>
      <c r="GO56" s="180">
        <f>IFERROR(__xludf.DUMMYFUNCTION("""COMPUTED_VALUE"""),45782.0)</f>
        <v>45782</v>
      </c>
      <c r="GP56" s="179">
        <f>IFERROR(__xludf.DUMMYFUNCTION("""COMPUTED_VALUE"""),0.0)</f>
        <v>0</v>
      </c>
      <c r="GQ56" s="180">
        <f>IFERROR(__xludf.DUMMYFUNCTION("""COMPUTED_VALUE"""),45782.0)</f>
        <v>45782</v>
      </c>
      <c r="GR56" s="179">
        <f>IFERROR(__xludf.DUMMYFUNCTION("""COMPUTED_VALUE"""),0.0)</f>
        <v>0</v>
      </c>
      <c r="GS56" s="180">
        <f>IFERROR(__xludf.DUMMYFUNCTION("""COMPUTED_VALUE"""),45934.0)</f>
        <v>45934</v>
      </c>
      <c r="GT56" s="179">
        <f>IFERROR(__xludf.DUMMYFUNCTION("""COMPUTED_VALUE"""),0.0)</f>
        <v>0</v>
      </c>
    </row>
    <row r="57" ht="31.5" customHeight="1">
      <c r="B57" s="183"/>
      <c r="C57" s="178">
        <f>IFERROR(__xludf.DUMMYFUNCTION("""COMPUTED_VALUE"""),45694.0)</f>
        <v>45694</v>
      </c>
      <c r="D57" s="179">
        <f>IFERROR(__xludf.DUMMYFUNCTION("""COMPUTED_VALUE"""),0.0)</f>
        <v>0</v>
      </c>
      <c r="E57" s="180">
        <f>IFERROR(__xludf.DUMMYFUNCTION("""COMPUTED_VALUE"""),45722.0)</f>
        <v>45722</v>
      </c>
      <c r="F57" s="179">
        <f>IFERROR(__xludf.DUMMYFUNCTION("""COMPUTED_VALUE"""),0.0)</f>
        <v>0</v>
      </c>
      <c r="G57" s="180">
        <f>IFERROR(__xludf.DUMMYFUNCTION("""COMPUTED_VALUE"""),45722.0)</f>
        <v>45722</v>
      </c>
      <c r="H57" s="179">
        <f>IFERROR(__xludf.DUMMYFUNCTION("""COMPUTED_VALUE"""),0.0)</f>
        <v>0</v>
      </c>
      <c r="I57" s="180">
        <f>IFERROR(__xludf.DUMMYFUNCTION("""COMPUTED_VALUE"""),45783.0)</f>
        <v>45783</v>
      </c>
      <c r="J57" s="179">
        <f>IFERROR(__xludf.DUMMYFUNCTION("""COMPUTED_VALUE"""),0.0)</f>
        <v>0</v>
      </c>
      <c r="K57" s="180">
        <f>IFERROR(__xludf.DUMMYFUNCTION("""COMPUTED_VALUE"""),45935.0)</f>
        <v>45935</v>
      </c>
      <c r="L57" s="179">
        <f>IFERROR(__xludf.DUMMYFUNCTION("""COMPUTED_VALUE"""),0.0)</f>
        <v>0</v>
      </c>
      <c r="M57" s="180">
        <f>IFERROR(__xludf.DUMMYFUNCTION("""COMPUTED_VALUE"""),45694.0)</f>
        <v>45694</v>
      </c>
      <c r="N57" s="179">
        <f>IFERROR(__xludf.DUMMYFUNCTION("""COMPUTED_VALUE"""),0.0)</f>
        <v>0</v>
      </c>
      <c r="O57" s="180">
        <f>IFERROR(__xludf.DUMMYFUNCTION("""COMPUTED_VALUE"""),45874.0)</f>
        <v>45874</v>
      </c>
      <c r="P57" s="179">
        <f>IFERROR(__xludf.DUMMYFUNCTION("""COMPUTED_VALUE"""),0.0)</f>
        <v>0</v>
      </c>
      <c r="Q57" s="180">
        <f>IFERROR(__xludf.DUMMYFUNCTION("""COMPUTED_VALUE"""),45905.0)</f>
        <v>45905</v>
      </c>
      <c r="R57" s="179">
        <f>IFERROR(__xludf.DUMMYFUNCTION("""COMPUTED_VALUE"""),0.0)</f>
        <v>0</v>
      </c>
      <c r="S57" s="180">
        <f>IFERROR(__xludf.DUMMYFUNCTION("""COMPUTED_VALUE"""),45722.0)</f>
        <v>45722</v>
      </c>
      <c r="T57" s="179">
        <f>IFERROR(__xludf.DUMMYFUNCTION("""COMPUTED_VALUE"""),0.0)</f>
        <v>0</v>
      </c>
      <c r="U57" s="180">
        <f>IFERROR(__xludf.DUMMYFUNCTION("""COMPUTED_VALUE"""),45874.0)</f>
        <v>45874</v>
      </c>
      <c r="V57" s="181">
        <f>IFERROR(__xludf.DUMMYFUNCTION("""COMPUTED_VALUE"""),0.0)</f>
        <v>0</v>
      </c>
      <c r="W57" s="178">
        <f>IFERROR(__xludf.DUMMYFUNCTION("""COMPUTED_VALUE"""),45783.0)</f>
        <v>45783</v>
      </c>
      <c r="X57" s="179">
        <f>IFERROR(__xludf.DUMMYFUNCTION("""COMPUTED_VALUE"""),0.0)</f>
        <v>0</v>
      </c>
      <c r="Y57" s="180">
        <f>IFERROR(__xludf.DUMMYFUNCTION("""COMPUTED_VALUE"""),45935.0)</f>
        <v>45935</v>
      </c>
      <c r="Z57" s="179">
        <f>IFERROR(__xludf.DUMMYFUNCTION("""COMPUTED_VALUE"""),0.0)</f>
        <v>0</v>
      </c>
      <c r="AA57" s="180">
        <f>IFERROR(__xludf.DUMMYFUNCTION("""COMPUTED_VALUE"""),45753.0)</f>
        <v>45753</v>
      </c>
      <c r="AB57" s="179">
        <f>IFERROR(__xludf.DUMMYFUNCTION("""COMPUTED_VALUE"""),0.0)</f>
        <v>0</v>
      </c>
      <c r="AC57" s="180">
        <f>IFERROR(__xludf.DUMMYFUNCTION("""COMPUTED_VALUE"""),45874.0)</f>
        <v>45874</v>
      </c>
      <c r="AD57" s="179">
        <f>IFERROR(__xludf.DUMMYFUNCTION("""COMPUTED_VALUE"""),0.0)</f>
        <v>0</v>
      </c>
      <c r="AE57" s="180">
        <f>IFERROR(__xludf.DUMMYFUNCTION("""COMPUTED_VALUE"""),45663.0)</f>
        <v>45663</v>
      </c>
      <c r="AF57" s="179">
        <f>IFERROR(__xludf.DUMMYFUNCTION("""COMPUTED_VALUE"""),0.0)</f>
        <v>0</v>
      </c>
      <c r="AG57" s="180">
        <f>IFERROR(__xludf.DUMMYFUNCTION("""COMPUTED_VALUE"""),45783.0)</f>
        <v>45783</v>
      </c>
      <c r="AH57" s="179">
        <f>IFERROR(__xludf.DUMMYFUNCTION("""COMPUTED_VALUE"""),0.0)</f>
        <v>0</v>
      </c>
      <c r="AI57" s="180">
        <f>IFERROR(__xludf.DUMMYFUNCTION("""COMPUTED_VALUE"""),45905.0)</f>
        <v>45905</v>
      </c>
      <c r="AJ57" s="179">
        <f>IFERROR(__xludf.DUMMYFUNCTION("""COMPUTED_VALUE"""),0.0)</f>
        <v>0</v>
      </c>
      <c r="AK57" s="180">
        <f>IFERROR(__xludf.DUMMYFUNCTION("""COMPUTED_VALUE"""),45694.0)</f>
        <v>45694</v>
      </c>
      <c r="AL57" s="179">
        <f>IFERROR(__xludf.DUMMYFUNCTION("""COMPUTED_VALUE"""),0.0)</f>
        <v>0</v>
      </c>
      <c r="AM57" s="180">
        <f>IFERROR(__xludf.DUMMYFUNCTION("""COMPUTED_VALUE"""),45783.0)</f>
        <v>45783</v>
      </c>
      <c r="AN57" s="179">
        <f>IFERROR(__xludf.DUMMYFUNCTION("""COMPUTED_VALUE"""),0.0)</f>
        <v>0</v>
      </c>
      <c r="AO57" s="180">
        <f>IFERROR(__xludf.DUMMYFUNCTION("""COMPUTED_VALUE"""),45663.0)</f>
        <v>45663</v>
      </c>
      <c r="AP57" s="181">
        <f>IFERROR(__xludf.DUMMYFUNCTION("""COMPUTED_VALUE"""),0.0)</f>
        <v>0</v>
      </c>
      <c r="AQ57" s="178">
        <f>IFERROR(__xludf.DUMMYFUNCTION("""COMPUTED_VALUE"""),45783.0)</f>
        <v>45783</v>
      </c>
      <c r="AR57" s="179">
        <f>IFERROR(__xludf.DUMMYFUNCTION("""COMPUTED_VALUE"""),0.0)</f>
        <v>0</v>
      </c>
      <c r="AS57" s="180">
        <f>IFERROR(__xludf.DUMMYFUNCTION("""COMPUTED_VALUE"""),45783.0)</f>
        <v>45783</v>
      </c>
      <c r="AT57" s="179">
        <f>IFERROR(__xludf.DUMMYFUNCTION("""COMPUTED_VALUE"""),0.0)</f>
        <v>0</v>
      </c>
      <c r="AU57" s="180">
        <f>IFERROR(__xludf.DUMMYFUNCTION("""COMPUTED_VALUE"""),45753.0)</f>
        <v>45753</v>
      </c>
      <c r="AV57" s="179">
        <f>IFERROR(__xludf.DUMMYFUNCTION("""COMPUTED_VALUE"""),0.0)</f>
        <v>0</v>
      </c>
      <c r="AW57" s="180">
        <f>IFERROR(__xludf.DUMMYFUNCTION("""COMPUTED_VALUE"""),45753.0)</f>
        <v>45753</v>
      </c>
      <c r="AX57" s="179">
        <f>IFERROR(__xludf.DUMMYFUNCTION("""COMPUTED_VALUE"""),0.0)</f>
        <v>0</v>
      </c>
      <c r="AY57" s="180">
        <f>IFERROR(__xludf.DUMMYFUNCTION("""COMPUTED_VALUE"""),45783.0)</f>
        <v>45783</v>
      </c>
      <c r="AZ57" s="179">
        <f>IFERROR(__xludf.DUMMYFUNCTION("""COMPUTED_VALUE"""),0.0)</f>
        <v>0</v>
      </c>
      <c r="BA57" s="180">
        <f>IFERROR(__xludf.DUMMYFUNCTION("""COMPUTED_VALUE"""),45783.0)</f>
        <v>45783</v>
      </c>
      <c r="BB57" s="179">
        <f>IFERROR(__xludf.DUMMYFUNCTION("""COMPUTED_VALUE"""),0.0)</f>
        <v>0</v>
      </c>
      <c r="BC57" s="180">
        <f>IFERROR(__xludf.DUMMYFUNCTION("""COMPUTED_VALUE"""),45753.0)</f>
        <v>45753</v>
      </c>
      <c r="BD57" s="179">
        <f>IFERROR(__xludf.DUMMYFUNCTION("""COMPUTED_VALUE"""),0.0)</f>
        <v>0</v>
      </c>
      <c r="BE57" s="180">
        <f>IFERROR(__xludf.DUMMYFUNCTION("""COMPUTED_VALUE"""),45783.0)</f>
        <v>45783</v>
      </c>
      <c r="BF57" s="179">
        <f>IFERROR(__xludf.DUMMYFUNCTION("""COMPUTED_VALUE"""),0.0)</f>
        <v>0</v>
      </c>
      <c r="BG57" s="180">
        <f>IFERROR(__xludf.DUMMYFUNCTION("""COMPUTED_VALUE"""),45753.0)</f>
        <v>45753</v>
      </c>
      <c r="BH57" s="179">
        <f>IFERROR(__xludf.DUMMYFUNCTION("""COMPUTED_VALUE"""),0.0)</f>
        <v>0</v>
      </c>
      <c r="BI57" s="180">
        <f>IFERROR(__xludf.DUMMYFUNCTION("""COMPUTED_VALUE"""),45783.0)</f>
        <v>45783</v>
      </c>
      <c r="BJ57" s="179">
        <f>IFERROR(__xludf.DUMMYFUNCTION("""COMPUTED_VALUE"""),0.0)</f>
        <v>0</v>
      </c>
      <c r="BK57" s="182">
        <f>IFERROR(__xludf.DUMMYFUNCTION("""COMPUTED_VALUE"""),45753.0)</f>
        <v>45753</v>
      </c>
      <c r="BL57" s="179">
        <f>IFERROR(__xludf.DUMMYFUNCTION("""COMPUTED_VALUE"""),0.0)</f>
        <v>0</v>
      </c>
      <c r="BM57" s="180">
        <f>IFERROR(__xludf.DUMMYFUNCTION("""COMPUTED_VALUE"""),45783.0)</f>
        <v>45783</v>
      </c>
      <c r="BN57" s="179">
        <f>IFERROR(__xludf.DUMMYFUNCTION("""COMPUTED_VALUE"""),0.0)</f>
        <v>0</v>
      </c>
      <c r="BO57" s="180">
        <f>IFERROR(__xludf.DUMMYFUNCTION("""COMPUTED_VALUE"""),45753.0)</f>
        <v>45753</v>
      </c>
      <c r="BP57" s="179">
        <f>IFERROR(__xludf.DUMMYFUNCTION("""COMPUTED_VALUE"""),0.0)</f>
        <v>0</v>
      </c>
      <c r="BQ57" s="180">
        <f>IFERROR(__xludf.DUMMYFUNCTION("""COMPUTED_VALUE"""),45753.0)</f>
        <v>45753</v>
      </c>
      <c r="BR57" s="179">
        <f>IFERROR(__xludf.DUMMYFUNCTION("""COMPUTED_VALUE"""),0.0)</f>
        <v>0</v>
      </c>
      <c r="BS57" s="180">
        <f>IFERROR(__xludf.DUMMYFUNCTION("""COMPUTED_VALUE"""),45783.0)</f>
        <v>45783</v>
      </c>
      <c r="BT57" s="179">
        <f>IFERROR(__xludf.DUMMYFUNCTION("""COMPUTED_VALUE"""),0.0)</f>
        <v>0</v>
      </c>
      <c r="BU57" s="180">
        <f>IFERROR(__xludf.DUMMYFUNCTION("""COMPUTED_VALUE"""),45753.0)</f>
        <v>45753</v>
      </c>
      <c r="BV57" s="179">
        <f>IFERROR(__xludf.DUMMYFUNCTION("""COMPUTED_VALUE"""),0.0)</f>
        <v>0</v>
      </c>
      <c r="BW57" s="180">
        <f>IFERROR(__xludf.DUMMYFUNCTION("""COMPUTED_VALUE"""),45935.0)</f>
        <v>45935</v>
      </c>
      <c r="BX57" s="179">
        <f>IFERROR(__xludf.DUMMYFUNCTION("""COMPUTED_VALUE"""),0.0)</f>
        <v>0</v>
      </c>
      <c r="BY57" s="180">
        <f>IFERROR(__xludf.DUMMYFUNCTION("""COMPUTED_VALUE"""),45753.0)</f>
        <v>45753</v>
      </c>
      <c r="BZ57" s="179">
        <f>IFERROR(__xludf.DUMMYFUNCTION("""COMPUTED_VALUE"""),0.0)</f>
        <v>0</v>
      </c>
      <c r="CA57" s="180">
        <f>IFERROR(__xludf.DUMMYFUNCTION("""COMPUTED_VALUE"""),45783.0)</f>
        <v>45783</v>
      </c>
      <c r="CB57" s="179">
        <f>IFERROR(__xludf.DUMMYFUNCTION("""COMPUTED_VALUE"""),0.0)</f>
        <v>0</v>
      </c>
      <c r="CC57" s="180">
        <f>IFERROR(__xludf.DUMMYFUNCTION("""COMPUTED_VALUE"""),45783.0)</f>
        <v>45783</v>
      </c>
      <c r="CD57" s="179">
        <f>IFERROR(__xludf.DUMMYFUNCTION("""COMPUTED_VALUE"""),0.0)</f>
        <v>0</v>
      </c>
      <c r="CE57" s="182">
        <f>IFERROR(__xludf.DUMMYFUNCTION("""COMPUTED_VALUE"""),45783.0)</f>
        <v>45783</v>
      </c>
      <c r="CF57" s="179">
        <f>IFERROR(__xludf.DUMMYFUNCTION("""COMPUTED_VALUE"""),0.0)</f>
        <v>0</v>
      </c>
      <c r="CG57" s="180">
        <f>IFERROR(__xludf.DUMMYFUNCTION("""COMPUTED_VALUE"""),45693.0)</f>
        <v>45693</v>
      </c>
      <c r="CH57" s="179">
        <f>IFERROR(__xludf.DUMMYFUNCTION("""COMPUTED_VALUE"""),0.0)</f>
        <v>0</v>
      </c>
      <c r="CI57" s="180">
        <f>IFERROR(__xludf.DUMMYFUNCTION("""COMPUTED_VALUE"""),45663.0)</f>
        <v>45663</v>
      </c>
      <c r="CJ57" s="179">
        <f>IFERROR(__xludf.DUMMYFUNCTION("""COMPUTED_VALUE"""),0.0)</f>
        <v>0</v>
      </c>
      <c r="CK57" s="180">
        <f>IFERROR(__xludf.DUMMYFUNCTION("""COMPUTED_VALUE"""),45663.0)</f>
        <v>45663</v>
      </c>
      <c r="CL57" s="179">
        <f>IFERROR(__xludf.DUMMYFUNCTION("""COMPUTED_VALUE"""),0.0)</f>
        <v>0</v>
      </c>
      <c r="CM57" s="180">
        <f>IFERROR(__xludf.DUMMYFUNCTION("""COMPUTED_VALUE"""),45753.0)</f>
        <v>45753</v>
      </c>
      <c r="CN57" s="179">
        <f>IFERROR(__xludf.DUMMYFUNCTION("""COMPUTED_VALUE"""),0.0)</f>
        <v>0</v>
      </c>
      <c r="CO57" s="180">
        <f>IFERROR(__xludf.DUMMYFUNCTION("""COMPUTED_VALUE"""),45722.0)</f>
        <v>45722</v>
      </c>
      <c r="CP57" s="179">
        <f>IFERROR(__xludf.DUMMYFUNCTION("""COMPUTED_VALUE"""),0.0)</f>
        <v>0</v>
      </c>
      <c r="CQ57" s="180">
        <f>IFERROR(__xludf.DUMMYFUNCTION("""COMPUTED_VALUE"""),45904.0)</f>
        <v>45904</v>
      </c>
      <c r="CR57" s="179">
        <f>IFERROR(__xludf.DUMMYFUNCTION("""COMPUTED_VALUE"""),0.0)</f>
        <v>0</v>
      </c>
      <c r="CS57" s="180">
        <f>IFERROR(__xludf.DUMMYFUNCTION("""COMPUTED_VALUE"""),45722.0)</f>
        <v>45722</v>
      </c>
      <c r="CT57" s="179">
        <f>IFERROR(__xludf.DUMMYFUNCTION("""COMPUTED_VALUE"""),0.0)</f>
        <v>0</v>
      </c>
      <c r="CU57" s="180">
        <f>IFERROR(__xludf.DUMMYFUNCTION("""COMPUTED_VALUE"""),45783.0)</f>
        <v>45783</v>
      </c>
      <c r="CV57" s="179">
        <f>IFERROR(__xludf.DUMMYFUNCTION("""COMPUTED_VALUE"""),0.0)</f>
        <v>0</v>
      </c>
      <c r="CW57" s="180">
        <f>IFERROR(__xludf.DUMMYFUNCTION("""COMPUTED_VALUE"""),45842.0)</f>
        <v>45842</v>
      </c>
      <c r="CX57" s="179">
        <f>IFERROR(__xludf.DUMMYFUNCTION("""COMPUTED_VALUE"""),0.0)</f>
        <v>0</v>
      </c>
      <c r="CY57" s="182">
        <f>IFERROR(__xludf.DUMMYFUNCTION("""COMPUTED_VALUE"""),45813.0)</f>
        <v>45813</v>
      </c>
      <c r="CZ57" s="179">
        <f>IFERROR(__xludf.DUMMYFUNCTION("""COMPUTED_VALUE"""),0.0)</f>
        <v>0</v>
      </c>
      <c r="DA57" s="180">
        <f>IFERROR(__xludf.DUMMYFUNCTION("""COMPUTED_VALUE"""),45813.0)</f>
        <v>45813</v>
      </c>
      <c r="DB57" s="179">
        <f>IFERROR(__xludf.DUMMYFUNCTION("""COMPUTED_VALUE"""),0.0)</f>
        <v>0</v>
      </c>
      <c r="DC57" s="180">
        <f>IFERROR(__xludf.DUMMYFUNCTION("""COMPUTED_VALUE"""),45693.0)</f>
        <v>45693</v>
      </c>
      <c r="DD57" s="179">
        <f>IFERROR(__xludf.DUMMYFUNCTION("""COMPUTED_VALUE"""),0.0)</f>
        <v>0</v>
      </c>
      <c r="DE57" s="180">
        <f>IFERROR(__xludf.DUMMYFUNCTION("""COMPUTED_VALUE"""),45813.0)</f>
        <v>45813</v>
      </c>
      <c r="DF57" s="179">
        <f>IFERROR(__xludf.DUMMYFUNCTION("""COMPUTED_VALUE"""),0.0)</f>
        <v>0</v>
      </c>
      <c r="DG57" s="180">
        <f>IFERROR(__xludf.DUMMYFUNCTION("""COMPUTED_VALUE"""),45813.0)</f>
        <v>45813</v>
      </c>
      <c r="DH57" s="179">
        <f>IFERROR(__xludf.DUMMYFUNCTION("""COMPUTED_VALUE"""),0.0)</f>
        <v>0</v>
      </c>
      <c r="DI57" s="180">
        <f>IFERROR(__xludf.DUMMYFUNCTION("""COMPUTED_VALUE"""),45813.0)</f>
        <v>45813</v>
      </c>
      <c r="DJ57" s="179">
        <f>IFERROR(__xludf.DUMMYFUNCTION("""COMPUTED_VALUE"""),0.0)</f>
        <v>0</v>
      </c>
      <c r="DK57" s="180">
        <f>IFERROR(__xludf.DUMMYFUNCTION("""COMPUTED_VALUE"""),45782.0)</f>
        <v>45782</v>
      </c>
      <c r="DL57" s="179">
        <f>IFERROR(__xludf.DUMMYFUNCTION("""COMPUTED_VALUE"""),0.0)</f>
        <v>0</v>
      </c>
      <c r="DM57" s="180">
        <f>IFERROR(__xludf.DUMMYFUNCTION("""COMPUTED_VALUE"""),45782.0)</f>
        <v>45782</v>
      </c>
      <c r="DN57" s="179">
        <f>IFERROR(__xludf.DUMMYFUNCTION("""COMPUTED_VALUE"""),0.0)</f>
        <v>0</v>
      </c>
      <c r="DO57" s="180">
        <f>IFERROR(__xludf.DUMMYFUNCTION("""COMPUTED_VALUE"""),45813.0)</f>
        <v>45813</v>
      </c>
      <c r="DP57" s="179">
        <f>IFERROR(__xludf.DUMMYFUNCTION("""COMPUTED_VALUE"""),0.0)</f>
        <v>0</v>
      </c>
      <c r="DQ57" s="180">
        <f>IFERROR(__xludf.DUMMYFUNCTION("""COMPUTED_VALUE"""),45662.0)</f>
        <v>45662</v>
      </c>
      <c r="DR57" s="179">
        <f>IFERROR(__xludf.DUMMYFUNCTION("""COMPUTED_VALUE"""),0.0)</f>
        <v>0</v>
      </c>
      <c r="DS57" s="182">
        <f>IFERROR(__xludf.DUMMYFUNCTION("""COMPUTED_VALUE"""),45782.0)</f>
        <v>45782</v>
      </c>
      <c r="DT57" s="179">
        <f>IFERROR(__xludf.DUMMYFUNCTION("""COMPUTED_VALUE"""),0.0)</f>
        <v>0</v>
      </c>
      <c r="DU57" s="180">
        <f>IFERROR(__xludf.DUMMYFUNCTION("""COMPUTED_VALUE"""),45752.0)</f>
        <v>45752</v>
      </c>
      <c r="DV57" s="179">
        <f>IFERROR(__xludf.DUMMYFUNCTION("""COMPUTED_VALUE"""),0.0)</f>
        <v>0</v>
      </c>
      <c r="DW57" s="180">
        <f>IFERROR(__xludf.DUMMYFUNCTION("""COMPUTED_VALUE"""),45752.0)</f>
        <v>45752</v>
      </c>
      <c r="DX57" s="179">
        <f>IFERROR(__xludf.DUMMYFUNCTION("""COMPUTED_VALUE"""),0.0)</f>
        <v>0</v>
      </c>
      <c r="DY57" s="180">
        <f>IFERROR(__xludf.DUMMYFUNCTION("""COMPUTED_VALUE"""),45782.0)</f>
        <v>45782</v>
      </c>
      <c r="DZ57" s="179">
        <f>IFERROR(__xludf.DUMMYFUNCTION("""COMPUTED_VALUE"""),0.0)</f>
        <v>0</v>
      </c>
      <c r="EA57" s="180">
        <f>IFERROR(__xludf.DUMMYFUNCTION("""COMPUTED_VALUE"""),45813.0)</f>
        <v>45813</v>
      </c>
      <c r="EB57" s="179">
        <f>IFERROR(__xludf.DUMMYFUNCTION("""COMPUTED_VALUE"""),0.0)</f>
        <v>0</v>
      </c>
      <c r="EC57" s="180">
        <f>IFERROR(__xludf.DUMMYFUNCTION("""COMPUTED_VALUE"""),45782.0)</f>
        <v>45782</v>
      </c>
      <c r="ED57" s="179">
        <f>IFERROR(__xludf.DUMMYFUNCTION("""COMPUTED_VALUE"""),0.0)</f>
        <v>0</v>
      </c>
      <c r="EE57" s="180">
        <f>IFERROR(__xludf.DUMMYFUNCTION("""COMPUTED_VALUE"""),45693.0)</f>
        <v>45693</v>
      </c>
      <c r="EF57" s="179">
        <f>IFERROR(__xludf.DUMMYFUNCTION("""COMPUTED_VALUE"""),0.0)</f>
        <v>0</v>
      </c>
      <c r="EG57" s="180">
        <f>IFERROR(__xludf.DUMMYFUNCTION("""COMPUTED_VALUE"""),45782.0)</f>
        <v>45782</v>
      </c>
      <c r="EH57" s="179">
        <f>IFERROR(__xludf.DUMMYFUNCTION("""COMPUTED_VALUE"""),0.0)</f>
        <v>0</v>
      </c>
      <c r="EI57" s="180">
        <f>IFERROR(__xludf.DUMMYFUNCTION("""COMPUTED_VALUE"""),45782.0)</f>
        <v>45782</v>
      </c>
      <c r="EJ57" s="179">
        <f>IFERROR(__xludf.DUMMYFUNCTION("""COMPUTED_VALUE"""),0.0)</f>
        <v>0</v>
      </c>
      <c r="EK57" s="180">
        <f>IFERROR(__xludf.DUMMYFUNCTION("""COMPUTED_VALUE"""),45721.0)</f>
        <v>45721</v>
      </c>
      <c r="EL57" s="179">
        <f>IFERROR(__xludf.DUMMYFUNCTION("""COMPUTED_VALUE"""),0.0)</f>
        <v>0</v>
      </c>
      <c r="EM57" s="182">
        <f>IFERROR(__xludf.DUMMYFUNCTION("""COMPUTED_VALUE"""),45693.0)</f>
        <v>45693</v>
      </c>
      <c r="EN57" s="179">
        <f>IFERROR(__xludf.DUMMYFUNCTION("""COMPUTED_VALUE"""),0.0)</f>
        <v>0</v>
      </c>
      <c r="EO57" s="180">
        <f>IFERROR(__xludf.DUMMYFUNCTION("""COMPUTED_VALUE"""),45782.0)</f>
        <v>45782</v>
      </c>
      <c r="EP57" s="179">
        <f>IFERROR(__xludf.DUMMYFUNCTION("""COMPUTED_VALUE"""),0.0)</f>
        <v>0</v>
      </c>
      <c r="EQ57" s="180">
        <f>IFERROR(__xludf.DUMMYFUNCTION("""COMPUTED_VALUE"""),45782.0)</f>
        <v>45782</v>
      </c>
      <c r="ER57" s="179">
        <f>IFERROR(__xludf.DUMMYFUNCTION("""COMPUTED_VALUE"""),0.0)</f>
        <v>0</v>
      </c>
      <c r="ES57" s="180">
        <f>IFERROR(__xludf.DUMMYFUNCTION("""COMPUTED_VALUE"""),45813.0)</f>
        <v>45813</v>
      </c>
      <c r="ET57" s="179">
        <f>IFERROR(__xludf.DUMMYFUNCTION("""COMPUTED_VALUE"""),0.0)</f>
        <v>0</v>
      </c>
      <c r="EU57" s="180">
        <f>IFERROR(__xludf.DUMMYFUNCTION("""COMPUTED_VALUE"""),45782.0)</f>
        <v>45782</v>
      </c>
      <c r="EV57" s="179">
        <f>IFERROR(__xludf.DUMMYFUNCTION("""COMPUTED_VALUE"""),0.0)</f>
        <v>0</v>
      </c>
      <c r="EW57" s="180">
        <f>IFERROR(__xludf.DUMMYFUNCTION("""COMPUTED_VALUE"""),45813.0)</f>
        <v>45813</v>
      </c>
      <c r="EX57" s="179">
        <f>IFERROR(__xludf.DUMMYFUNCTION("""COMPUTED_VALUE"""),0.0)</f>
        <v>0</v>
      </c>
      <c r="EY57" s="180">
        <f>IFERROR(__xludf.DUMMYFUNCTION("""COMPUTED_VALUE"""),45813.0)</f>
        <v>45813</v>
      </c>
      <c r="EZ57" s="179">
        <f>IFERROR(__xludf.DUMMYFUNCTION("""COMPUTED_VALUE"""),0.0)</f>
        <v>0</v>
      </c>
      <c r="FA57" s="180">
        <f>IFERROR(__xludf.DUMMYFUNCTION("""COMPUTED_VALUE"""),45782.0)</f>
        <v>45782</v>
      </c>
      <c r="FB57" s="179">
        <f>IFERROR(__xludf.DUMMYFUNCTION("""COMPUTED_VALUE"""),0.0)</f>
        <v>0</v>
      </c>
      <c r="FC57" s="180">
        <f>IFERROR(__xludf.DUMMYFUNCTION("""COMPUTED_VALUE"""),45813.0)</f>
        <v>45813</v>
      </c>
      <c r="FD57" s="179">
        <f>IFERROR(__xludf.DUMMYFUNCTION("""COMPUTED_VALUE"""),0.0)</f>
        <v>0</v>
      </c>
      <c r="FE57" s="180">
        <f>IFERROR(__xludf.DUMMYFUNCTION("""COMPUTED_VALUE"""),45693.0)</f>
        <v>45693</v>
      </c>
      <c r="FF57" s="179">
        <f>IFERROR(__xludf.DUMMYFUNCTION("""COMPUTED_VALUE"""),0.0)</f>
        <v>0</v>
      </c>
      <c r="FG57" s="182">
        <f>IFERROR(__xludf.DUMMYFUNCTION("""COMPUTED_VALUE"""),45721.0)</f>
        <v>45721</v>
      </c>
      <c r="FH57" s="179">
        <f>IFERROR(__xludf.DUMMYFUNCTION("""COMPUTED_VALUE"""),0.0)</f>
        <v>0</v>
      </c>
      <c r="FI57" s="180">
        <f>IFERROR(__xludf.DUMMYFUNCTION("""COMPUTED_VALUE"""),45752.0)</f>
        <v>45752</v>
      </c>
      <c r="FJ57" s="179">
        <f>IFERROR(__xludf.DUMMYFUNCTION("""COMPUTED_VALUE"""),0.0)</f>
        <v>0</v>
      </c>
      <c r="FK57" s="180">
        <f>IFERROR(__xludf.DUMMYFUNCTION("""COMPUTED_VALUE"""),45873.0)</f>
        <v>45873</v>
      </c>
      <c r="FL57" s="179">
        <f>IFERROR(__xludf.DUMMYFUNCTION("""COMPUTED_VALUE"""),0.0)</f>
        <v>0</v>
      </c>
      <c r="FM57" s="180">
        <f>IFERROR(__xludf.DUMMYFUNCTION("""COMPUTED_VALUE"""),45813.0)</f>
        <v>45813</v>
      </c>
      <c r="FN57" s="179">
        <f>IFERROR(__xludf.DUMMYFUNCTION("""COMPUTED_VALUE"""),0.0)</f>
        <v>0</v>
      </c>
      <c r="FO57" s="180">
        <f>IFERROR(__xludf.DUMMYFUNCTION("""COMPUTED_VALUE"""),45813.0)</f>
        <v>45813</v>
      </c>
      <c r="FP57" s="179">
        <f>IFERROR(__xludf.DUMMYFUNCTION("""COMPUTED_VALUE"""),0.0)</f>
        <v>0</v>
      </c>
      <c r="FQ57" s="180">
        <f>IFERROR(__xludf.DUMMYFUNCTION("""COMPUTED_VALUE"""),45813.0)</f>
        <v>45813</v>
      </c>
      <c r="FR57" s="179">
        <f>IFERROR(__xludf.DUMMYFUNCTION("""COMPUTED_VALUE"""),0.0)</f>
        <v>0</v>
      </c>
      <c r="FS57" s="180">
        <f>IFERROR(__xludf.DUMMYFUNCTION("""COMPUTED_VALUE"""),45752.0)</f>
        <v>45752</v>
      </c>
      <c r="FT57" s="179">
        <f>IFERROR(__xludf.DUMMYFUNCTION("""COMPUTED_VALUE"""),0.0)</f>
        <v>0</v>
      </c>
      <c r="FU57" s="180">
        <f>IFERROR(__xludf.DUMMYFUNCTION("""COMPUTED_VALUE"""),45813.0)</f>
        <v>45813</v>
      </c>
      <c r="FV57" s="179">
        <f>IFERROR(__xludf.DUMMYFUNCTION("""COMPUTED_VALUE"""),0.0)</f>
        <v>0</v>
      </c>
      <c r="FW57" s="180">
        <f>IFERROR(__xludf.DUMMYFUNCTION("""COMPUTED_VALUE"""),45813.0)</f>
        <v>45813</v>
      </c>
      <c r="FX57" s="179">
        <f>IFERROR(__xludf.DUMMYFUNCTION("""COMPUTED_VALUE"""),0.0)</f>
        <v>0</v>
      </c>
      <c r="FY57" s="180">
        <f>IFERROR(__xludf.DUMMYFUNCTION("""COMPUTED_VALUE"""),45873.0)</f>
        <v>45873</v>
      </c>
      <c r="FZ57" s="179">
        <f>IFERROR(__xludf.DUMMYFUNCTION("""COMPUTED_VALUE"""),0.0)</f>
        <v>0</v>
      </c>
      <c r="GA57" s="182">
        <f>IFERROR(__xludf.DUMMYFUNCTION("""COMPUTED_VALUE"""),45813.0)</f>
        <v>45813</v>
      </c>
      <c r="GB57" s="179">
        <f>IFERROR(__xludf.DUMMYFUNCTION("""COMPUTED_VALUE"""),0.0)</f>
        <v>0</v>
      </c>
      <c r="GC57" s="180">
        <f>IFERROR(__xludf.DUMMYFUNCTION("""COMPUTED_VALUE"""),45721.0)</f>
        <v>45721</v>
      </c>
      <c r="GD57" s="179">
        <f>IFERROR(__xludf.DUMMYFUNCTION("""COMPUTED_VALUE"""),0.0)</f>
        <v>0</v>
      </c>
      <c r="GE57" s="180">
        <f>IFERROR(__xludf.DUMMYFUNCTION("""COMPUTED_VALUE"""),45721.0)</f>
        <v>45721</v>
      </c>
      <c r="GF57" s="179">
        <f>IFERROR(__xludf.DUMMYFUNCTION("""COMPUTED_VALUE"""),0.0)</f>
        <v>0</v>
      </c>
      <c r="GG57" s="180">
        <f>IFERROR(__xludf.DUMMYFUNCTION("""COMPUTED_VALUE"""),45782.0)</f>
        <v>45782</v>
      </c>
      <c r="GH57" s="179">
        <f>IFERROR(__xludf.DUMMYFUNCTION("""COMPUTED_VALUE"""),0.0)</f>
        <v>0</v>
      </c>
      <c r="GI57" s="180">
        <f>IFERROR(__xludf.DUMMYFUNCTION("""COMPUTED_VALUE"""),45813.0)</f>
        <v>45813</v>
      </c>
      <c r="GJ57" s="179">
        <f>IFERROR(__xludf.DUMMYFUNCTION("""COMPUTED_VALUE"""),0.0)</f>
        <v>0</v>
      </c>
      <c r="GK57" s="180">
        <f>IFERROR(__xludf.DUMMYFUNCTION("""COMPUTED_VALUE"""),45813.0)</f>
        <v>45813</v>
      </c>
      <c r="GL57" s="179">
        <f>IFERROR(__xludf.DUMMYFUNCTION("""COMPUTED_VALUE"""),0.0)</f>
        <v>0</v>
      </c>
      <c r="GM57" s="180">
        <f>IFERROR(__xludf.DUMMYFUNCTION("""COMPUTED_VALUE"""),45934.0)</f>
        <v>45934</v>
      </c>
      <c r="GN57" s="179">
        <f>IFERROR(__xludf.DUMMYFUNCTION("""COMPUTED_VALUE"""),0.0)</f>
        <v>0</v>
      </c>
      <c r="GO57" s="180">
        <f>IFERROR(__xludf.DUMMYFUNCTION("""COMPUTED_VALUE"""),45813.0)</f>
        <v>45813</v>
      </c>
      <c r="GP57" s="179">
        <f>IFERROR(__xludf.DUMMYFUNCTION("""COMPUTED_VALUE"""),0.0)</f>
        <v>0</v>
      </c>
      <c r="GQ57" s="180">
        <f>IFERROR(__xludf.DUMMYFUNCTION("""COMPUTED_VALUE"""),45813.0)</f>
        <v>45813</v>
      </c>
      <c r="GR57" s="179">
        <f>IFERROR(__xludf.DUMMYFUNCTION("""COMPUTED_VALUE"""),0.0)</f>
        <v>0</v>
      </c>
      <c r="GS57" s="180">
        <f>IFERROR(__xludf.DUMMYFUNCTION("""COMPUTED_VALUE"""),45662.0)</f>
        <v>45662</v>
      </c>
      <c r="GT57" s="179">
        <f>IFERROR(__xludf.DUMMYFUNCTION("""COMPUTED_VALUE"""),0.0)</f>
        <v>0</v>
      </c>
    </row>
    <row r="58" ht="31.5" customHeight="1">
      <c r="B58" s="183"/>
      <c r="C58" s="178">
        <f>IFERROR(__xludf.DUMMYFUNCTION("""COMPUTED_VALUE"""),45722.0)</f>
        <v>45722</v>
      </c>
      <c r="D58" s="179">
        <f>IFERROR(__xludf.DUMMYFUNCTION("""COMPUTED_VALUE"""),0.0)</f>
        <v>0</v>
      </c>
      <c r="E58" s="180">
        <f>IFERROR(__xludf.DUMMYFUNCTION("""COMPUTED_VALUE"""),45753.0)</f>
        <v>45753</v>
      </c>
      <c r="F58" s="179">
        <f>IFERROR(__xludf.DUMMYFUNCTION("""COMPUTED_VALUE"""),0.0)</f>
        <v>0</v>
      </c>
      <c r="G58" s="180">
        <f>IFERROR(__xludf.DUMMYFUNCTION("""COMPUTED_VALUE"""),45753.0)</f>
        <v>45753</v>
      </c>
      <c r="H58" s="179">
        <f>IFERROR(__xludf.DUMMYFUNCTION("""COMPUTED_VALUE"""),0.0)</f>
        <v>0</v>
      </c>
      <c r="I58" s="180">
        <f>IFERROR(__xludf.DUMMYFUNCTION("""COMPUTED_VALUE"""),45814.0)</f>
        <v>45814</v>
      </c>
      <c r="J58" s="179">
        <f>IFERROR(__xludf.DUMMYFUNCTION("""COMPUTED_VALUE"""),0.0)</f>
        <v>0</v>
      </c>
      <c r="K58" s="180">
        <f>IFERROR(__xludf.DUMMYFUNCTION("""COMPUTED_VALUE"""),45694.0)</f>
        <v>45694</v>
      </c>
      <c r="L58" s="179">
        <f>IFERROR(__xludf.DUMMYFUNCTION("""COMPUTED_VALUE"""),0.0)</f>
        <v>0</v>
      </c>
      <c r="M58" s="180">
        <f>IFERROR(__xludf.DUMMYFUNCTION("""COMPUTED_VALUE"""),45722.0)</f>
        <v>45722</v>
      </c>
      <c r="N58" s="179">
        <f>IFERROR(__xludf.DUMMYFUNCTION("""COMPUTED_VALUE"""),0.0)</f>
        <v>0</v>
      </c>
      <c r="O58" s="180">
        <f>IFERROR(__xludf.DUMMYFUNCTION("""COMPUTED_VALUE"""),45905.0)</f>
        <v>45905</v>
      </c>
      <c r="P58" s="179">
        <f>IFERROR(__xludf.DUMMYFUNCTION("""COMPUTED_VALUE"""),0.0)</f>
        <v>0</v>
      </c>
      <c r="Q58" s="180">
        <f>IFERROR(__xludf.DUMMYFUNCTION("""COMPUTED_VALUE"""),45935.0)</f>
        <v>45935</v>
      </c>
      <c r="R58" s="179">
        <f>IFERROR(__xludf.DUMMYFUNCTION("""COMPUTED_VALUE"""),0.0)</f>
        <v>0</v>
      </c>
      <c r="S58" s="180">
        <f>IFERROR(__xludf.DUMMYFUNCTION("""COMPUTED_VALUE"""),45753.0)</f>
        <v>45753</v>
      </c>
      <c r="T58" s="179">
        <f>IFERROR(__xludf.DUMMYFUNCTION("""COMPUTED_VALUE"""),0.0)</f>
        <v>0</v>
      </c>
      <c r="U58" s="180">
        <f>IFERROR(__xludf.DUMMYFUNCTION("""COMPUTED_VALUE"""),45905.0)</f>
        <v>45905</v>
      </c>
      <c r="V58" s="181">
        <f>IFERROR(__xludf.DUMMYFUNCTION("""COMPUTED_VALUE"""),0.0)</f>
        <v>0</v>
      </c>
      <c r="W58" s="178">
        <f>IFERROR(__xludf.DUMMYFUNCTION("""COMPUTED_VALUE"""),45814.0)</f>
        <v>45814</v>
      </c>
      <c r="X58" s="179">
        <f>IFERROR(__xludf.DUMMYFUNCTION("""COMPUTED_VALUE"""),0.0)</f>
        <v>0</v>
      </c>
      <c r="Y58" s="180">
        <f>IFERROR(__xludf.DUMMYFUNCTION("""COMPUTED_VALUE"""),45663.0)</f>
        <v>45663</v>
      </c>
      <c r="Z58" s="179">
        <f>IFERROR(__xludf.DUMMYFUNCTION("""COMPUTED_VALUE"""),0.0)</f>
        <v>0</v>
      </c>
      <c r="AA58" s="180">
        <f>IFERROR(__xludf.DUMMYFUNCTION("""COMPUTED_VALUE"""),45783.0)</f>
        <v>45783</v>
      </c>
      <c r="AB58" s="179">
        <f>IFERROR(__xludf.DUMMYFUNCTION("""COMPUTED_VALUE"""),0.0)</f>
        <v>0</v>
      </c>
      <c r="AC58" s="180">
        <f>IFERROR(__xludf.DUMMYFUNCTION("""COMPUTED_VALUE"""),45905.0)</f>
        <v>45905</v>
      </c>
      <c r="AD58" s="179">
        <f>IFERROR(__xludf.DUMMYFUNCTION("""COMPUTED_VALUE"""),0.0)</f>
        <v>0</v>
      </c>
      <c r="AE58" s="180">
        <f>IFERROR(__xludf.DUMMYFUNCTION("""COMPUTED_VALUE"""),45694.0)</f>
        <v>45694</v>
      </c>
      <c r="AF58" s="179">
        <f>IFERROR(__xludf.DUMMYFUNCTION("""COMPUTED_VALUE"""),0.0)</f>
        <v>0</v>
      </c>
      <c r="AG58" s="180">
        <f>IFERROR(__xludf.DUMMYFUNCTION("""COMPUTED_VALUE"""),45814.0)</f>
        <v>45814</v>
      </c>
      <c r="AH58" s="179">
        <f>IFERROR(__xludf.DUMMYFUNCTION("""COMPUTED_VALUE"""),0.0)</f>
        <v>0</v>
      </c>
      <c r="AI58" s="180">
        <f>IFERROR(__xludf.DUMMYFUNCTION("""COMPUTED_VALUE"""),45935.0)</f>
        <v>45935</v>
      </c>
      <c r="AJ58" s="179">
        <f>IFERROR(__xludf.DUMMYFUNCTION("""COMPUTED_VALUE"""),0.0)</f>
        <v>0</v>
      </c>
      <c r="AK58" s="180">
        <f>IFERROR(__xludf.DUMMYFUNCTION("""COMPUTED_VALUE"""),45722.0)</f>
        <v>45722</v>
      </c>
      <c r="AL58" s="179">
        <f>IFERROR(__xludf.DUMMYFUNCTION("""COMPUTED_VALUE"""),0.0)</f>
        <v>0</v>
      </c>
      <c r="AM58" s="180">
        <f>IFERROR(__xludf.DUMMYFUNCTION("""COMPUTED_VALUE"""),45814.0)</f>
        <v>45814</v>
      </c>
      <c r="AN58" s="179">
        <f>IFERROR(__xludf.DUMMYFUNCTION("""COMPUTED_VALUE"""),0.0)</f>
        <v>0</v>
      </c>
      <c r="AO58" s="180">
        <f>IFERROR(__xludf.DUMMYFUNCTION("""COMPUTED_VALUE"""),45694.0)</f>
        <v>45694</v>
      </c>
      <c r="AP58" s="181">
        <f>IFERROR(__xludf.DUMMYFUNCTION("""COMPUTED_VALUE"""),0.0)</f>
        <v>0</v>
      </c>
      <c r="AQ58" s="178">
        <f>IFERROR(__xludf.DUMMYFUNCTION("""COMPUTED_VALUE"""),45814.0)</f>
        <v>45814</v>
      </c>
      <c r="AR58" s="179">
        <f>IFERROR(__xludf.DUMMYFUNCTION("""COMPUTED_VALUE"""),0.0)</f>
        <v>0</v>
      </c>
      <c r="AS58" s="180">
        <f>IFERROR(__xludf.DUMMYFUNCTION("""COMPUTED_VALUE"""),45814.0)</f>
        <v>45814</v>
      </c>
      <c r="AT58" s="179">
        <f>IFERROR(__xludf.DUMMYFUNCTION("""COMPUTED_VALUE"""),0.0)</f>
        <v>0</v>
      </c>
      <c r="AU58" s="180">
        <f>IFERROR(__xludf.DUMMYFUNCTION("""COMPUTED_VALUE"""),45783.0)</f>
        <v>45783</v>
      </c>
      <c r="AV58" s="179">
        <f>IFERROR(__xludf.DUMMYFUNCTION("""COMPUTED_VALUE"""),0.0)</f>
        <v>0</v>
      </c>
      <c r="AW58" s="180">
        <f>IFERROR(__xludf.DUMMYFUNCTION("""COMPUTED_VALUE"""),45783.0)</f>
        <v>45783</v>
      </c>
      <c r="AX58" s="179">
        <f>IFERROR(__xludf.DUMMYFUNCTION("""COMPUTED_VALUE"""),0.0)</f>
        <v>0</v>
      </c>
      <c r="AY58" s="180">
        <f>IFERROR(__xludf.DUMMYFUNCTION("""COMPUTED_VALUE"""),45814.0)</f>
        <v>45814</v>
      </c>
      <c r="AZ58" s="179">
        <f>IFERROR(__xludf.DUMMYFUNCTION("""COMPUTED_VALUE"""),0.0)</f>
        <v>0</v>
      </c>
      <c r="BA58" s="180">
        <f>IFERROR(__xludf.DUMMYFUNCTION("""COMPUTED_VALUE"""),45814.0)</f>
        <v>45814</v>
      </c>
      <c r="BB58" s="179">
        <f>IFERROR(__xludf.DUMMYFUNCTION("""COMPUTED_VALUE"""),0.0)</f>
        <v>0</v>
      </c>
      <c r="BC58" s="180">
        <f>IFERROR(__xludf.DUMMYFUNCTION("""COMPUTED_VALUE"""),45783.0)</f>
        <v>45783</v>
      </c>
      <c r="BD58" s="179">
        <f>IFERROR(__xludf.DUMMYFUNCTION("""COMPUTED_VALUE"""),0.0)</f>
        <v>0</v>
      </c>
      <c r="BE58" s="180">
        <f>IFERROR(__xludf.DUMMYFUNCTION("""COMPUTED_VALUE"""),45814.0)</f>
        <v>45814</v>
      </c>
      <c r="BF58" s="179">
        <f>IFERROR(__xludf.DUMMYFUNCTION("""COMPUTED_VALUE"""),0.0)</f>
        <v>0</v>
      </c>
      <c r="BG58" s="180">
        <f>IFERROR(__xludf.DUMMYFUNCTION("""COMPUTED_VALUE"""),45783.0)</f>
        <v>45783</v>
      </c>
      <c r="BH58" s="179">
        <f>IFERROR(__xludf.DUMMYFUNCTION("""COMPUTED_VALUE"""),0.0)</f>
        <v>0</v>
      </c>
      <c r="BI58" s="180">
        <f>IFERROR(__xludf.DUMMYFUNCTION("""COMPUTED_VALUE"""),45814.0)</f>
        <v>45814</v>
      </c>
      <c r="BJ58" s="179">
        <f>IFERROR(__xludf.DUMMYFUNCTION("""COMPUTED_VALUE"""),0.0)</f>
        <v>0</v>
      </c>
      <c r="BK58" s="182">
        <f>IFERROR(__xludf.DUMMYFUNCTION("""COMPUTED_VALUE"""),45783.0)</f>
        <v>45783</v>
      </c>
      <c r="BL58" s="179">
        <f>IFERROR(__xludf.DUMMYFUNCTION("""COMPUTED_VALUE"""),0.0)</f>
        <v>0</v>
      </c>
      <c r="BM58" s="180">
        <f>IFERROR(__xludf.DUMMYFUNCTION("""COMPUTED_VALUE"""),45814.0)</f>
        <v>45814</v>
      </c>
      <c r="BN58" s="179">
        <f>IFERROR(__xludf.DUMMYFUNCTION("""COMPUTED_VALUE"""),0.0)</f>
        <v>0</v>
      </c>
      <c r="BO58" s="180">
        <f>IFERROR(__xludf.DUMMYFUNCTION("""COMPUTED_VALUE"""),45783.0)</f>
        <v>45783</v>
      </c>
      <c r="BP58" s="179">
        <f>IFERROR(__xludf.DUMMYFUNCTION("""COMPUTED_VALUE"""),0.0)</f>
        <v>0</v>
      </c>
      <c r="BQ58" s="180">
        <f>IFERROR(__xludf.DUMMYFUNCTION("""COMPUTED_VALUE"""),45783.0)</f>
        <v>45783</v>
      </c>
      <c r="BR58" s="179">
        <f>IFERROR(__xludf.DUMMYFUNCTION("""COMPUTED_VALUE"""),0.0)</f>
        <v>0</v>
      </c>
      <c r="BS58" s="180">
        <f>IFERROR(__xludf.DUMMYFUNCTION("""COMPUTED_VALUE"""),45814.0)</f>
        <v>45814</v>
      </c>
      <c r="BT58" s="179">
        <f>IFERROR(__xludf.DUMMYFUNCTION("""COMPUTED_VALUE"""),0.0)</f>
        <v>0</v>
      </c>
      <c r="BU58" s="180">
        <f>IFERROR(__xludf.DUMMYFUNCTION("""COMPUTED_VALUE"""),45783.0)</f>
        <v>45783</v>
      </c>
      <c r="BV58" s="179">
        <f>IFERROR(__xludf.DUMMYFUNCTION("""COMPUTED_VALUE"""),0.0)</f>
        <v>0</v>
      </c>
      <c r="BW58" s="180">
        <f>IFERROR(__xludf.DUMMYFUNCTION("""COMPUTED_VALUE"""),45663.0)</f>
        <v>45663</v>
      </c>
      <c r="BX58" s="179">
        <f>IFERROR(__xludf.DUMMYFUNCTION("""COMPUTED_VALUE"""),0.0)</f>
        <v>0</v>
      </c>
      <c r="BY58" s="180">
        <f>IFERROR(__xludf.DUMMYFUNCTION("""COMPUTED_VALUE"""),45783.0)</f>
        <v>45783</v>
      </c>
      <c r="BZ58" s="179">
        <f>IFERROR(__xludf.DUMMYFUNCTION("""COMPUTED_VALUE"""),0.0)</f>
        <v>0</v>
      </c>
      <c r="CA58" s="180">
        <f>IFERROR(__xludf.DUMMYFUNCTION("""COMPUTED_VALUE"""),45814.0)</f>
        <v>45814</v>
      </c>
      <c r="CB58" s="179">
        <f>IFERROR(__xludf.DUMMYFUNCTION("""COMPUTED_VALUE"""),0.0)</f>
        <v>0</v>
      </c>
      <c r="CC58" s="180">
        <f>IFERROR(__xludf.DUMMYFUNCTION("""COMPUTED_VALUE"""),45814.0)</f>
        <v>45814</v>
      </c>
      <c r="CD58" s="179">
        <f>IFERROR(__xludf.DUMMYFUNCTION("""COMPUTED_VALUE"""),0.0)</f>
        <v>0</v>
      </c>
      <c r="CE58" s="182">
        <f>IFERROR(__xludf.DUMMYFUNCTION("""COMPUTED_VALUE"""),45814.0)</f>
        <v>45814</v>
      </c>
      <c r="CF58" s="179">
        <f>IFERROR(__xludf.DUMMYFUNCTION("""COMPUTED_VALUE"""),0.0)</f>
        <v>0</v>
      </c>
      <c r="CG58" s="180">
        <f>IFERROR(__xludf.DUMMYFUNCTION("""COMPUTED_VALUE"""),45663.0)</f>
        <v>45663</v>
      </c>
      <c r="CH58" s="179">
        <f>IFERROR(__xludf.DUMMYFUNCTION("""COMPUTED_VALUE"""),0.0)</f>
        <v>0</v>
      </c>
      <c r="CI58" s="180">
        <f>IFERROR(__xludf.DUMMYFUNCTION("""COMPUTED_VALUE"""),45694.0)</f>
        <v>45694</v>
      </c>
      <c r="CJ58" s="179">
        <f>IFERROR(__xludf.DUMMYFUNCTION("""COMPUTED_VALUE"""),0.0)</f>
        <v>0</v>
      </c>
      <c r="CK58" s="180">
        <f>IFERROR(__xludf.DUMMYFUNCTION("""COMPUTED_VALUE"""),45694.0)</f>
        <v>45694</v>
      </c>
      <c r="CL58" s="179">
        <f>IFERROR(__xludf.DUMMYFUNCTION("""COMPUTED_VALUE"""),0.0)</f>
        <v>0</v>
      </c>
      <c r="CM58" s="180">
        <f>IFERROR(__xludf.DUMMYFUNCTION("""COMPUTED_VALUE"""),45783.0)</f>
        <v>45783</v>
      </c>
      <c r="CN58" s="179">
        <f>IFERROR(__xludf.DUMMYFUNCTION("""COMPUTED_VALUE"""),0.0)</f>
        <v>0</v>
      </c>
      <c r="CO58" s="180">
        <f>IFERROR(__xludf.DUMMYFUNCTION("""COMPUTED_VALUE"""),45753.0)</f>
        <v>45753</v>
      </c>
      <c r="CP58" s="179">
        <f>IFERROR(__xludf.DUMMYFUNCTION("""COMPUTED_VALUE"""),0.0)</f>
        <v>0</v>
      </c>
      <c r="CQ58" s="180">
        <f>IFERROR(__xludf.DUMMYFUNCTION("""COMPUTED_VALUE"""),45934.0)</f>
        <v>45934</v>
      </c>
      <c r="CR58" s="179">
        <f>IFERROR(__xludf.DUMMYFUNCTION("""COMPUTED_VALUE"""),0.0)</f>
        <v>0</v>
      </c>
      <c r="CS58" s="180">
        <f>IFERROR(__xludf.DUMMYFUNCTION("""COMPUTED_VALUE"""),45753.0)</f>
        <v>45753</v>
      </c>
      <c r="CT58" s="179">
        <f>IFERROR(__xludf.DUMMYFUNCTION("""COMPUTED_VALUE"""),0.0)</f>
        <v>0</v>
      </c>
      <c r="CU58" s="180">
        <f>IFERROR(__xludf.DUMMYFUNCTION("""COMPUTED_VALUE"""),45814.0)</f>
        <v>45814</v>
      </c>
      <c r="CV58" s="179">
        <f>IFERROR(__xludf.DUMMYFUNCTION("""COMPUTED_VALUE"""),0.0)</f>
        <v>0</v>
      </c>
      <c r="CW58" s="180">
        <f>IFERROR(__xludf.DUMMYFUNCTION("""COMPUTED_VALUE"""),45904.0)</f>
        <v>45904</v>
      </c>
      <c r="CX58" s="179">
        <f>IFERROR(__xludf.DUMMYFUNCTION("""COMPUTED_VALUE"""),0.0)</f>
        <v>0</v>
      </c>
      <c r="CY58" s="182">
        <f>IFERROR(__xludf.DUMMYFUNCTION("""COMPUTED_VALUE"""),45843.0)</f>
        <v>45843</v>
      </c>
      <c r="CZ58" s="179">
        <f>IFERROR(__xludf.DUMMYFUNCTION("""COMPUTED_VALUE"""),0.0)</f>
        <v>0</v>
      </c>
      <c r="DA58" s="180">
        <f>IFERROR(__xludf.DUMMYFUNCTION("""COMPUTED_VALUE"""),45843.0)</f>
        <v>45843</v>
      </c>
      <c r="DB58" s="179">
        <f>IFERROR(__xludf.DUMMYFUNCTION("""COMPUTED_VALUE"""),0.0)</f>
        <v>0</v>
      </c>
      <c r="DC58" s="180">
        <f>IFERROR(__xludf.DUMMYFUNCTION("""COMPUTED_VALUE"""),45721.0)</f>
        <v>45721</v>
      </c>
      <c r="DD58" s="179">
        <f>IFERROR(__xludf.DUMMYFUNCTION("""COMPUTED_VALUE"""),0.0)</f>
        <v>0</v>
      </c>
      <c r="DE58" s="180">
        <f>IFERROR(__xludf.DUMMYFUNCTION("""COMPUTED_VALUE"""),45843.0)</f>
        <v>45843</v>
      </c>
      <c r="DF58" s="179">
        <f>IFERROR(__xludf.DUMMYFUNCTION("""COMPUTED_VALUE"""),0.0)</f>
        <v>0</v>
      </c>
      <c r="DG58" s="180">
        <f>IFERROR(__xludf.DUMMYFUNCTION("""COMPUTED_VALUE"""),45843.0)</f>
        <v>45843</v>
      </c>
      <c r="DH58" s="179">
        <f>IFERROR(__xludf.DUMMYFUNCTION("""COMPUTED_VALUE"""),0.0)</f>
        <v>0</v>
      </c>
      <c r="DI58" s="180">
        <f>IFERROR(__xludf.DUMMYFUNCTION("""COMPUTED_VALUE"""),45843.0)</f>
        <v>45843</v>
      </c>
      <c r="DJ58" s="179">
        <f>IFERROR(__xludf.DUMMYFUNCTION("""COMPUTED_VALUE"""),0.0)</f>
        <v>0</v>
      </c>
      <c r="DK58" s="180">
        <f>IFERROR(__xludf.DUMMYFUNCTION("""COMPUTED_VALUE"""),45813.0)</f>
        <v>45813</v>
      </c>
      <c r="DL58" s="179">
        <f>IFERROR(__xludf.DUMMYFUNCTION("""COMPUTED_VALUE"""),0.0)</f>
        <v>0</v>
      </c>
      <c r="DM58" s="180">
        <f>IFERROR(__xludf.DUMMYFUNCTION("""COMPUTED_VALUE"""),45813.0)</f>
        <v>45813</v>
      </c>
      <c r="DN58" s="179">
        <f>IFERROR(__xludf.DUMMYFUNCTION("""COMPUTED_VALUE"""),0.0)</f>
        <v>0</v>
      </c>
      <c r="DO58" s="180">
        <f>IFERROR(__xludf.DUMMYFUNCTION("""COMPUTED_VALUE"""),45843.0)</f>
        <v>45843</v>
      </c>
      <c r="DP58" s="179">
        <f>IFERROR(__xludf.DUMMYFUNCTION("""COMPUTED_VALUE"""),0.0)</f>
        <v>0</v>
      </c>
      <c r="DQ58" s="180">
        <f>IFERROR(__xludf.DUMMYFUNCTION("""COMPUTED_VALUE"""),45693.0)</f>
        <v>45693</v>
      </c>
      <c r="DR58" s="179">
        <f>IFERROR(__xludf.DUMMYFUNCTION("""COMPUTED_VALUE"""),0.0)</f>
        <v>0</v>
      </c>
      <c r="DS58" s="182">
        <f>IFERROR(__xludf.DUMMYFUNCTION("""COMPUTED_VALUE"""),45813.0)</f>
        <v>45813</v>
      </c>
      <c r="DT58" s="179">
        <f>IFERROR(__xludf.DUMMYFUNCTION("""COMPUTED_VALUE"""),0.0)</f>
        <v>0</v>
      </c>
      <c r="DU58" s="180">
        <f>IFERROR(__xludf.DUMMYFUNCTION("""COMPUTED_VALUE"""),45782.0)</f>
        <v>45782</v>
      </c>
      <c r="DV58" s="179">
        <f>IFERROR(__xludf.DUMMYFUNCTION("""COMPUTED_VALUE"""),0.0)</f>
        <v>0</v>
      </c>
      <c r="DW58" s="180">
        <f>IFERROR(__xludf.DUMMYFUNCTION("""COMPUTED_VALUE"""),45782.0)</f>
        <v>45782</v>
      </c>
      <c r="DX58" s="179">
        <f>IFERROR(__xludf.DUMMYFUNCTION("""COMPUTED_VALUE"""),0.0)</f>
        <v>0</v>
      </c>
      <c r="DY58" s="180">
        <f>IFERROR(__xludf.DUMMYFUNCTION("""COMPUTED_VALUE"""),45813.0)</f>
        <v>45813</v>
      </c>
      <c r="DZ58" s="179">
        <f>IFERROR(__xludf.DUMMYFUNCTION("""COMPUTED_VALUE"""),0.0)</f>
        <v>0</v>
      </c>
      <c r="EA58" s="180">
        <f>IFERROR(__xludf.DUMMYFUNCTION("""COMPUTED_VALUE"""),45843.0)</f>
        <v>45843</v>
      </c>
      <c r="EB58" s="179">
        <f>IFERROR(__xludf.DUMMYFUNCTION("""COMPUTED_VALUE"""),0.0)</f>
        <v>0</v>
      </c>
      <c r="EC58" s="180">
        <f>IFERROR(__xludf.DUMMYFUNCTION("""COMPUTED_VALUE"""),45813.0)</f>
        <v>45813</v>
      </c>
      <c r="ED58" s="179">
        <f>IFERROR(__xludf.DUMMYFUNCTION("""COMPUTED_VALUE"""),0.0)</f>
        <v>0</v>
      </c>
      <c r="EE58" s="180">
        <f>IFERROR(__xludf.DUMMYFUNCTION("""COMPUTED_VALUE"""),45721.0)</f>
        <v>45721</v>
      </c>
      <c r="EF58" s="179">
        <f>IFERROR(__xludf.DUMMYFUNCTION("""COMPUTED_VALUE"""),0.0)</f>
        <v>0</v>
      </c>
      <c r="EG58" s="180">
        <f>IFERROR(__xludf.DUMMYFUNCTION("""COMPUTED_VALUE"""),45813.0)</f>
        <v>45813</v>
      </c>
      <c r="EH58" s="179">
        <f>IFERROR(__xludf.DUMMYFUNCTION("""COMPUTED_VALUE"""),0.0)</f>
        <v>0</v>
      </c>
      <c r="EI58" s="180">
        <f>IFERROR(__xludf.DUMMYFUNCTION("""COMPUTED_VALUE"""),45813.0)</f>
        <v>45813</v>
      </c>
      <c r="EJ58" s="179">
        <f>IFERROR(__xludf.DUMMYFUNCTION("""COMPUTED_VALUE"""),0.0)</f>
        <v>0</v>
      </c>
      <c r="EK58" s="180">
        <f>IFERROR(__xludf.DUMMYFUNCTION("""COMPUTED_VALUE"""),45752.0)</f>
        <v>45752</v>
      </c>
      <c r="EL58" s="179">
        <f>IFERROR(__xludf.DUMMYFUNCTION("""COMPUTED_VALUE"""),0.0)</f>
        <v>0</v>
      </c>
      <c r="EM58" s="182">
        <f>IFERROR(__xludf.DUMMYFUNCTION("""COMPUTED_VALUE"""),45721.0)</f>
        <v>45721</v>
      </c>
      <c r="EN58" s="179">
        <f>IFERROR(__xludf.DUMMYFUNCTION("""COMPUTED_VALUE"""),0.0)</f>
        <v>0</v>
      </c>
      <c r="EO58" s="180">
        <f>IFERROR(__xludf.DUMMYFUNCTION("""COMPUTED_VALUE"""),45813.0)</f>
        <v>45813</v>
      </c>
      <c r="EP58" s="179">
        <f>IFERROR(__xludf.DUMMYFUNCTION("""COMPUTED_VALUE"""),0.0)</f>
        <v>0</v>
      </c>
      <c r="EQ58" s="180">
        <f>IFERROR(__xludf.DUMMYFUNCTION("""COMPUTED_VALUE"""),45813.0)</f>
        <v>45813</v>
      </c>
      <c r="ER58" s="179">
        <f>IFERROR(__xludf.DUMMYFUNCTION("""COMPUTED_VALUE"""),0.0)</f>
        <v>0</v>
      </c>
      <c r="ES58" s="180">
        <f>IFERROR(__xludf.DUMMYFUNCTION("""COMPUTED_VALUE"""),45843.0)</f>
        <v>45843</v>
      </c>
      <c r="ET58" s="179">
        <f>IFERROR(__xludf.DUMMYFUNCTION("""COMPUTED_VALUE"""),0.0)</f>
        <v>0</v>
      </c>
      <c r="EU58" s="180">
        <f>IFERROR(__xludf.DUMMYFUNCTION("""COMPUTED_VALUE"""),45813.0)</f>
        <v>45813</v>
      </c>
      <c r="EV58" s="179">
        <f>IFERROR(__xludf.DUMMYFUNCTION("""COMPUTED_VALUE"""),0.0)</f>
        <v>0</v>
      </c>
      <c r="EW58" s="180">
        <f>IFERROR(__xludf.DUMMYFUNCTION("""COMPUTED_VALUE"""),45843.0)</f>
        <v>45843</v>
      </c>
      <c r="EX58" s="179">
        <f>IFERROR(__xludf.DUMMYFUNCTION("""COMPUTED_VALUE"""),0.0)</f>
        <v>0</v>
      </c>
      <c r="EY58" s="180">
        <f>IFERROR(__xludf.DUMMYFUNCTION("""COMPUTED_VALUE"""),45843.0)</f>
        <v>45843</v>
      </c>
      <c r="EZ58" s="179">
        <f>IFERROR(__xludf.DUMMYFUNCTION("""COMPUTED_VALUE"""),0.0)</f>
        <v>0</v>
      </c>
      <c r="FA58" s="180">
        <f>IFERROR(__xludf.DUMMYFUNCTION("""COMPUTED_VALUE"""),45813.0)</f>
        <v>45813</v>
      </c>
      <c r="FB58" s="179">
        <f>IFERROR(__xludf.DUMMYFUNCTION("""COMPUTED_VALUE"""),0.0)</f>
        <v>0</v>
      </c>
      <c r="FC58" s="180">
        <f>IFERROR(__xludf.DUMMYFUNCTION("""COMPUTED_VALUE"""),45843.0)</f>
        <v>45843</v>
      </c>
      <c r="FD58" s="179">
        <f>IFERROR(__xludf.DUMMYFUNCTION("""COMPUTED_VALUE"""),0.0)</f>
        <v>0</v>
      </c>
      <c r="FE58" s="180">
        <f>IFERROR(__xludf.DUMMYFUNCTION("""COMPUTED_VALUE"""),45721.0)</f>
        <v>45721</v>
      </c>
      <c r="FF58" s="179">
        <f>IFERROR(__xludf.DUMMYFUNCTION("""COMPUTED_VALUE"""),0.0)</f>
        <v>0</v>
      </c>
      <c r="FG58" s="182">
        <f>IFERROR(__xludf.DUMMYFUNCTION("""COMPUTED_VALUE"""),45752.0)</f>
        <v>45752</v>
      </c>
      <c r="FH58" s="179">
        <f>IFERROR(__xludf.DUMMYFUNCTION("""COMPUTED_VALUE"""),0.0)</f>
        <v>0</v>
      </c>
      <c r="FI58" s="180">
        <f>IFERROR(__xludf.DUMMYFUNCTION("""COMPUTED_VALUE"""),45782.0)</f>
        <v>45782</v>
      </c>
      <c r="FJ58" s="179">
        <f>IFERROR(__xludf.DUMMYFUNCTION("""COMPUTED_VALUE"""),0.0)</f>
        <v>0</v>
      </c>
      <c r="FK58" s="180">
        <f>IFERROR(__xludf.DUMMYFUNCTION("""COMPUTED_VALUE"""),45904.0)</f>
        <v>45904</v>
      </c>
      <c r="FL58" s="179">
        <f>IFERROR(__xludf.DUMMYFUNCTION("""COMPUTED_VALUE"""),0.0)</f>
        <v>0</v>
      </c>
      <c r="FM58" s="180">
        <f>IFERROR(__xludf.DUMMYFUNCTION("""COMPUTED_VALUE"""),45843.0)</f>
        <v>45843</v>
      </c>
      <c r="FN58" s="179">
        <f>IFERROR(__xludf.DUMMYFUNCTION("""COMPUTED_VALUE"""),0.0)</f>
        <v>0</v>
      </c>
      <c r="FO58" s="180">
        <f>IFERROR(__xludf.DUMMYFUNCTION("""COMPUTED_VALUE"""),45843.0)</f>
        <v>45843</v>
      </c>
      <c r="FP58" s="179">
        <f>IFERROR(__xludf.DUMMYFUNCTION("""COMPUTED_VALUE"""),0.0)</f>
        <v>0</v>
      </c>
      <c r="FQ58" s="180">
        <f>IFERROR(__xludf.DUMMYFUNCTION("""COMPUTED_VALUE"""),45843.0)</f>
        <v>45843</v>
      </c>
      <c r="FR58" s="179">
        <f>IFERROR(__xludf.DUMMYFUNCTION("""COMPUTED_VALUE"""),0.0)</f>
        <v>0</v>
      </c>
      <c r="FS58" s="180">
        <f>IFERROR(__xludf.DUMMYFUNCTION("""COMPUTED_VALUE"""),45782.0)</f>
        <v>45782</v>
      </c>
      <c r="FT58" s="179">
        <f>IFERROR(__xludf.DUMMYFUNCTION("""COMPUTED_VALUE"""),0.0)</f>
        <v>0</v>
      </c>
      <c r="FU58" s="180">
        <f>IFERROR(__xludf.DUMMYFUNCTION("""COMPUTED_VALUE"""),45843.0)</f>
        <v>45843</v>
      </c>
      <c r="FV58" s="179">
        <f>IFERROR(__xludf.DUMMYFUNCTION("""COMPUTED_VALUE"""),0.0)</f>
        <v>0</v>
      </c>
      <c r="FW58" s="180">
        <f>IFERROR(__xludf.DUMMYFUNCTION("""COMPUTED_VALUE"""),45843.0)</f>
        <v>45843</v>
      </c>
      <c r="FX58" s="179">
        <f>IFERROR(__xludf.DUMMYFUNCTION("""COMPUTED_VALUE"""),0.0)</f>
        <v>0</v>
      </c>
      <c r="FY58" s="180">
        <f>IFERROR(__xludf.DUMMYFUNCTION("""COMPUTED_VALUE"""),45904.0)</f>
        <v>45904</v>
      </c>
      <c r="FZ58" s="179">
        <f>IFERROR(__xludf.DUMMYFUNCTION("""COMPUTED_VALUE"""),0.0)</f>
        <v>0</v>
      </c>
      <c r="GA58" s="182">
        <f>IFERROR(__xludf.DUMMYFUNCTION("""COMPUTED_VALUE"""),45843.0)</f>
        <v>45843</v>
      </c>
      <c r="GB58" s="179">
        <f>IFERROR(__xludf.DUMMYFUNCTION("""COMPUTED_VALUE"""),0.0)</f>
        <v>0</v>
      </c>
      <c r="GC58" s="180">
        <f>IFERROR(__xludf.DUMMYFUNCTION("""COMPUTED_VALUE"""),45752.0)</f>
        <v>45752</v>
      </c>
      <c r="GD58" s="179">
        <f>IFERROR(__xludf.DUMMYFUNCTION("""COMPUTED_VALUE"""),0.0)</f>
        <v>0</v>
      </c>
      <c r="GE58" s="180">
        <f>IFERROR(__xludf.DUMMYFUNCTION("""COMPUTED_VALUE"""),45752.0)</f>
        <v>45752</v>
      </c>
      <c r="GF58" s="179">
        <f>IFERROR(__xludf.DUMMYFUNCTION("""COMPUTED_VALUE"""),0.0)</f>
        <v>0</v>
      </c>
      <c r="GG58" s="180">
        <f>IFERROR(__xludf.DUMMYFUNCTION("""COMPUTED_VALUE"""),45813.0)</f>
        <v>45813</v>
      </c>
      <c r="GH58" s="179">
        <f>IFERROR(__xludf.DUMMYFUNCTION("""COMPUTED_VALUE"""),0.0)</f>
        <v>0</v>
      </c>
      <c r="GI58" s="180">
        <f>IFERROR(__xludf.DUMMYFUNCTION("""COMPUTED_VALUE"""),45843.0)</f>
        <v>45843</v>
      </c>
      <c r="GJ58" s="179">
        <f>IFERROR(__xludf.DUMMYFUNCTION("""COMPUTED_VALUE"""),0.0)</f>
        <v>0</v>
      </c>
      <c r="GK58" s="180">
        <f>IFERROR(__xludf.DUMMYFUNCTION("""COMPUTED_VALUE"""),45843.0)</f>
        <v>45843</v>
      </c>
      <c r="GL58" s="179">
        <f>IFERROR(__xludf.DUMMYFUNCTION("""COMPUTED_VALUE"""),0.0)</f>
        <v>0</v>
      </c>
      <c r="GM58" s="180">
        <f>IFERROR(__xludf.DUMMYFUNCTION("""COMPUTED_VALUE"""),45662.0)</f>
        <v>45662</v>
      </c>
      <c r="GN58" s="179">
        <f>IFERROR(__xludf.DUMMYFUNCTION("""COMPUTED_VALUE"""),0.0)</f>
        <v>0</v>
      </c>
      <c r="GO58" s="180">
        <f>IFERROR(__xludf.DUMMYFUNCTION("""COMPUTED_VALUE"""),45843.0)</f>
        <v>45843</v>
      </c>
      <c r="GP58" s="179">
        <f>IFERROR(__xludf.DUMMYFUNCTION("""COMPUTED_VALUE"""),0.0)</f>
        <v>0</v>
      </c>
      <c r="GQ58" s="180">
        <f>IFERROR(__xludf.DUMMYFUNCTION("""COMPUTED_VALUE"""),45843.0)</f>
        <v>45843</v>
      </c>
      <c r="GR58" s="179">
        <f>IFERROR(__xludf.DUMMYFUNCTION("""COMPUTED_VALUE"""),0.0)</f>
        <v>0</v>
      </c>
      <c r="GS58" s="180">
        <f>IFERROR(__xludf.DUMMYFUNCTION("""COMPUTED_VALUE"""),45693.0)</f>
        <v>45693</v>
      </c>
      <c r="GT58" s="179">
        <f>IFERROR(__xludf.DUMMYFUNCTION("""COMPUTED_VALUE"""),0.0)</f>
        <v>0</v>
      </c>
    </row>
    <row r="59" ht="31.5" customHeight="1">
      <c r="B59" s="183"/>
      <c r="C59" s="178">
        <f>IFERROR(__xludf.DUMMYFUNCTION("""COMPUTED_VALUE"""),45753.0)</f>
        <v>45753</v>
      </c>
      <c r="D59" s="179">
        <f>IFERROR(__xludf.DUMMYFUNCTION("""COMPUTED_VALUE"""),0.0)</f>
        <v>0</v>
      </c>
      <c r="E59" s="180">
        <f>IFERROR(__xludf.DUMMYFUNCTION("""COMPUTED_VALUE"""),45783.0)</f>
        <v>45783</v>
      </c>
      <c r="F59" s="179">
        <f>IFERROR(__xludf.DUMMYFUNCTION("""COMPUTED_VALUE"""),0.0)</f>
        <v>0</v>
      </c>
      <c r="G59" s="180">
        <f>IFERROR(__xludf.DUMMYFUNCTION("""COMPUTED_VALUE"""),45783.0)</f>
        <v>45783</v>
      </c>
      <c r="H59" s="179">
        <f>IFERROR(__xludf.DUMMYFUNCTION("""COMPUTED_VALUE"""),0.0)</f>
        <v>0</v>
      </c>
      <c r="I59" s="180">
        <f>IFERROR(__xludf.DUMMYFUNCTION("""COMPUTED_VALUE"""),45844.0)</f>
        <v>45844</v>
      </c>
      <c r="J59" s="179">
        <f>IFERROR(__xludf.DUMMYFUNCTION("""COMPUTED_VALUE"""),0.0)</f>
        <v>0</v>
      </c>
      <c r="K59" s="180">
        <f>IFERROR(__xludf.DUMMYFUNCTION("""COMPUTED_VALUE"""),45722.0)</f>
        <v>45722</v>
      </c>
      <c r="L59" s="179">
        <f>IFERROR(__xludf.DUMMYFUNCTION("""COMPUTED_VALUE"""),0.0)</f>
        <v>0</v>
      </c>
      <c r="M59" s="180">
        <f>IFERROR(__xludf.DUMMYFUNCTION("""COMPUTED_VALUE"""),45753.0)</f>
        <v>45753</v>
      </c>
      <c r="N59" s="179">
        <f>IFERROR(__xludf.DUMMYFUNCTION("""COMPUTED_VALUE"""),0.0)</f>
        <v>0</v>
      </c>
      <c r="O59" s="180">
        <f>IFERROR(__xludf.DUMMYFUNCTION("""COMPUTED_VALUE"""),45935.0)</f>
        <v>45935</v>
      </c>
      <c r="P59" s="179">
        <f>IFERROR(__xludf.DUMMYFUNCTION("""COMPUTED_VALUE"""),0.0)</f>
        <v>0</v>
      </c>
      <c r="Q59" s="180">
        <f>IFERROR(__xludf.DUMMYFUNCTION("""COMPUTED_VALUE"""),45663.0)</f>
        <v>45663</v>
      </c>
      <c r="R59" s="179">
        <f>IFERROR(__xludf.DUMMYFUNCTION("""COMPUTED_VALUE"""),0.0)</f>
        <v>0</v>
      </c>
      <c r="S59" s="180">
        <f>IFERROR(__xludf.DUMMYFUNCTION("""COMPUTED_VALUE"""),45783.0)</f>
        <v>45783</v>
      </c>
      <c r="T59" s="179">
        <f>IFERROR(__xludf.DUMMYFUNCTION("""COMPUTED_VALUE"""),0.0)</f>
        <v>0</v>
      </c>
      <c r="U59" s="180">
        <f>IFERROR(__xludf.DUMMYFUNCTION("""COMPUTED_VALUE"""),45935.0)</f>
        <v>45935</v>
      </c>
      <c r="V59" s="181">
        <f>IFERROR(__xludf.DUMMYFUNCTION("""COMPUTED_VALUE"""),0.0)</f>
        <v>0</v>
      </c>
      <c r="W59" s="178">
        <f>IFERROR(__xludf.DUMMYFUNCTION("""COMPUTED_VALUE"""),45844.0)</f>
        <v>45844</v>
      </c>
      <c r="X59" s="179">
        <f>IFERROR(__xludf.DUMMYFUNCTION("""COMPUTED_VALUE"""),0.0)</f>
        <v>0</v>
      </c>
      <c r="Y59" s="180">
        <f>IFERROR(__xludf.DUMMYFUNCTION("""COMPUTED_VALUE"""),45694.0)</f>
        <v>45694</v>
      </c>
      <c r="Z59" s="179">
        <f>IFERROR(__xludf.DUMMYFUNCTION("""COMPUTED_VALUE"""),0.0)</f>
        <v>0</v>
      </c>
      <c r="AA59" s="180">
        <f>IFERROR(__xludf.DUMMYFUNCTION("""COMPUTED_VALUE"""),45814.0)</f>
        <v>45814</v>
      </c>
      <c r="AB59" s="179">
        <f>IFERROR(__xludf.DUMMYFUNCTION("""COMPUTED_VALUE"""),0.0)</f>
        <v>0</v>
      </c>
      <c r="AC59" s="180">
        <f>IFERROR(__xludf.DUMMYFUNCTION("""COMPUTED_VALUE"""),45935.0)</f>
        <v>45935</v>
      </c>
      <c r="AD59" s="179">
        <f>IFERROR(__xludf.DUMMYFUNCTION("""COMPUTED_VALUE"""),0.0)</f>
        <v>0</v>
      </c>
      <c r="AE59" s="180">
        <f>IFERROR(__xludf.DUMMYFUNCTION("""COMPUTED_VALUE"""),45722.0)</f>
        <v>45722</v>
      </c>
      <c r="AF59" s="179">
        <f>IFERROR(__xludf.DUMMYFUNCTION("""COMPUTED_VALUE"""),0.0)</f>
        <v>0</v>
      </c>
      <c r="AG59" s="180">
        <f>IFERROR(__xludf.DUMMYFUNCTION("""COMPUTED_VALUE"""),45844.0)</f>
        <v>45844</v>
      </c>
      <c r="AH59" s="179">
        <f>IFERROR(__xludf.DUMMYFUNCTION("""COMPUTED_VALUE"""),0.0)</f>
        <v>0</v>
      </c>
      <c r="AI59" s="180">
        <f>IFERROR(__xludf.DUMMYFUNCTION("""COMPUTED_VALUE"""),45663.0)</f>
        <v>45663</v>
      </c>
      <c r="AJ59" s="179">
        <f>IFERROR(__xludf.DUMMYFUNCTION("""COMPUTED_VALUE"""),0.0)</f>
        <v>0</v>
      </c>
      <c r="AK59" s="180">
        <f>IFERROR(__xludf.DUMMYFUNCTION("""COMPUTED_VALUE"""),45753.0)</f>
        <v>45753</v>
      </c>
      <c r="AL59" s="179">
        <f>IFERROR(__xludf.DUMMYFUNCTION("""COMPUTED_VALUE"""),0.0)</f>
        <v>0</v>
      </c>
      <c r="AM59" s="180">
        <f>IFERROR(__xludf.DUMMYFUNCTION("""COMPUTED_VALUE"""),45844.0)</f>
        <v>45844</v>
      </c>
      <c r="AN59" s="179">
        <f>IFERROR(__xludf.DUMMYFUNCTION("""COMPUTED_VALUE"""),0.0)</f>
        <v>0</v>
      </c>
      <c r="AO59" s="180">
        <f>IFERROR(__xludf.DUMMYFUNCTION("""COMPUTED_VALUE"""),45722.0)</f>
        <v>45722</v>
      </c>
      <c r="AP59" s="181">
        <f>IFERROR(__xludf.DUMMYFUNCTION("""COMPUTED_VALUE"""),0.0)</f>
        <v>0</v>
      </c>
      <c r="AQ59" s="178">
        <f>IFERROR(__xludf.DUMMYFUNCTION("""COMPUTED_VALUE"""),45844.0)</f>
        <v>45844</v>
      </c>
      <c r="AR59" s="179">
        <f>IFERROR(__xludf.DUMMYFUNCTION("""COMPUTED_VALUE"""),0.0)</f>
        <v>0</v>
      </c>
      <c r="AS59" s="180">
        <f>IFERROR(__xludf.DUMMYFUNCTION("""COMPUTED_VALUE"""),45844.0)</f>
        <v>45844</v>
      </c>
      <c r="AT59" s="179">
        <f>IFERROR(__xludf.DUMMYFUNCTION("""COMPUTED_VALUE"""),0.0)</f>
        <v>0</v>
      </c>
      <c r="AU59" s="180">
        <f>IFERROR(__xludf.DUMMYFUNCTION("""COMPUTED_VALUE"""),45814.0)</f>
        <v>45814</v>
      </c>
      <c r="AV59" s="179">
        <f>IFERROR(__xludf.DUMMYFUNCTION("""COMPUTED_VALUE"""),0.0)</f>
        <v>0</v>
      </c>
      <c r="AW59" s="180">
        <f>IFERROR(__xludf.DUMMYFUNCTION("""COMPUTED_VALUE"""),45814.0)</f>
        <v>45814</v>
      </c>
      <c r="AX59" s="179">
        <f>IFERROR(__xludf.DUMMYFUNCTION("""COMPUTED_VALUE"""),0.0)</f>
        <v>0</v>
      </c>
      <c r="AY59" s="180">
        <f>IFERROR(__xludf.DUMMYFUNCTION("""COMPUTED_VALUE"""),45844.0)</f>
        <v>45844</v>
      </c>
      <c r="AZ59" s="179">
        <f>IFERROR(__xludf.DUMMYFUNCTION("""COMPUTED_VALUE"""),0.0)</f>
        <v>0</v>
      </c>
      <c r="BA59" s="180">
        <f>IFERROR(__xludf.DUMMYFUNCTION("""COMPUTED_VALUE"""),45844.0)</f>
        <v>45844</v>
      </c>
      <c r="BB59" s="179">
        <f>IFERROR(__xludf.DUMMYFUNCTION("""COMPUTED_VALUE"""),0.0)</f>
        <v>0</v>
      </c>
      <c r="BC59" s="180">
        <f>IFERROR(__xludf.DUMMYFUNCTION("""COMPUTED_VALUE"""),45814.0)</f>
        <v>45814</v>
      </c>
      <c r="BD59" s="179">
        <f>IFERROR(__xludf.DUMMYFUNCTION("""COMPUTED_VALUE"""),0.0)</f>
        <v>0</v>
      </c>
      <c r="BE59" s="180">
        <f>IFERROR(__xludf.DUMMYFUNCTION("""COMPUTED_VALUE"""),45844.0)</f>
        <v>45844</v>
      </c>
      <c r="BF59" s="179">
        <f>IFERROR(__xludf.DUMMYFUNCTION("""COMPUTED_VALUE"""),0.0)</f>
        <v>0</v>
      </c>
      <c r="BG59" s="180">
        <f>IFERROR(__xludf.DUMMYFUNCTION("""COMPUTED_VALUE"""),45814.0)</f>
        <v>45814</v>
      </c>
      <c r="BH59" s="179">
        <f>IFERROR(__xludf.DUMMYFUNCTION("""COMPUTED_VALUE"""),0.0)</f>
        <v>0</v>
      </c>
      <c r="BI59" s="180">
        <f>IFERROR(__xludf.DUMMYFUNCTION("""COMPUTED_VALUE"""),45844.0)</f>
        <v>45844</v>
      </c>
      <c r="BJ59" s="179">
        <f>IFERROR(__xludf.DUMMYFUNCTION("""COMPUTED_VALUE"""),0.0)</f>
        <v>0</v>
      </c>
      <c r="BK59" s="182">
        <f>IFERROR(__xludf.DUMMYFUNCTION("""COMPUTED_VALUE"""),45814.0)</f>
        <v>45814</v>
      </c>
      <c r="BL59" s="179">
        <f>IFERROR(__xludf.DUMMYFUNCTION("""COMPUTED_VALUE"""),0.0)</f>
        <v>0</v>
      </c>
      <c r="BM59" s="180">
        <f>IFERROR(__xludf.DUMMYFUNCTION("""COMPUTED_VALUE"""),45844.0)</f>
        <v>45844</v>
      </c>
      <c r="BN59" s="179">
        <f>IFERROR(__xludf.DUMMYFUNCTION("""COMPUTED_VALUE"""),0.0)</f>
        <v>0</v>
      </c>
      <c r="BO59" s="180">
        <f>IFERROR(__xludf.DUMMYFUNCTION("""COMPUTED_VALUE"""),45814.0)</f>
        <v>45814</v>
      </c>
      <c r="BP59" s="179">
        <f>IFERROR(__xludf.DUMMYFUNCTION("""COMPUTED_VALUE"""),0.0)</f>
        <v>0</v>
      </c>
      <c r="BQ59" s="180">
        <f>IFERROR(__xludf.DUMMYFUNCTION("""COMPUTED_VALUE"""),45814.0)</f>
        <v>45814</v>
      </c>
      <c r="BR59" s="179">
        <f>IFERROR(__xludf.DUMMYFUNCTION("""COMPUTED_VALUE"""),0.0)</f>
        <v>0</v>
      </c>
      <c r="BS59" s="180">
        <f>IFERROR(__xludf.DUMMYFUNCTION("""COMPUTED_VALUE"""),45844.0)</f>
        <v>45844</v>
      </c>
      <c r="BT59" s="179">
        <f>IFERROR(__xludf.DUMMYFUNCTION("""COMPUTED_VALUE"""),0.0)</f>
        <v>0</v>
      </c>
      <c r="BU59" s="180">
        <f>IFERROR(__xludf.DUMMYFUNCTION("""COMPUTED_VALUE"""),45814.0)</f>
        <v>45814</v>
      </c>
      <c r="BV59" s="179">
        <f>IFERROR(__xludf.DUMMYFUNCTION("""COMPUTED_VALUE"""),0.0)</f>
        <v>0</v>
      </c>
      <c r="BW59" s="180">
        <f>IFERROR(__xludf.DUMMYFUNCTION("""COMPUTED_VALUE"""),45722.0)</f>
        <v>45722</v>
      </c>
      <c r="BX59" s="179">
        <f>IFERROR(__xludf.DUMMYFUNCTION("""COMPUTED_VALUE"""),0.0)</f>
        <v>0</v>
      </c>
      <c r="BY59" s="180">
        <f>IFERROR(__xludf.DUMMYFUNCTION("""COMPUTED_VALUE"""),45814.0)</f>
        <v>45814</v>
      </c>
      <c r="BZ59" s="179">
        <f>IFERROR(__xludf.DUMMYFUNCTION("""COMPUTED_VALUE"""),0.0)</f>
        <v>0</v>
      </c>
      <c r="CA59" s="180">
        <f>IFERROR(__xludf.DUMMYFUNCTION("""COMPUTED_VALUE"""),45844.0)</f>
        <v>45844</v>
      </c>
      <c r="CB59" s="179">
        <f>IFERROR(__xludf.DUMMYFUNCTION("""COMPUTED_VALUE"""),0.0)</f>
        <v>0</v>
      </c>
      <c r="CC59" s="180">
        <f>IFERROR(__xludf.DUMMYFUNCTION("""COMPUTED_VALUE"""),45844.0)</f>
        <v>45844</v>
      </c>
      <c r="CD59" s="179">
        <f>IFERROR(__xludf.DUMMYFUNCTION("""COMPUTED_VALUE"""),0.0)</f>
        <v>0</v>
      </c>
      <c r="CE59" s="182">
        <f>IFERROR(__xludf.DUMMYFUNCTION("""COMPUTED_VALUE"""),45844.0)</f>
        <v>45844</v>
      </c>
      <c r="CF59" s="179">
        <f>IFERROR(__xludf.DUMMYFUNCTION("""COMPUTED_VALUE"""),0.0)</f>
        <v>0</v>
      </c>
      <c r="CG59" s="180">
        <f>IFERROR(__xludf.DUMMYFUNCTION("""COMPUTED_VALUE"""),45694.0)</f>
        <v>45694</v>
      </c>
      <c r="CH59" s="179">
        <f>IFERROR(__xludf.DUMMYFUNCTION("""COMPUTED_VALUE"""),0.0)</f>
        <v>0</v>
      </c>
      <c r="CI59" s="180">
        <f>IFERROR(__xludf.DUMMYFUNCTION("""COMPUTED_VALUE"""),45722.0)</f>
        <v>45722</v>
      </c>
      <c r="CJ59" s="179">
        <f>IFERROR(__xludf.DUMMYFUNCTION("""COMPUTED_VALUE"""),0.0)</f>
        <v>0</v>
      </c>
      <c r="CK59" s="180">
        <f>IFERROR(__xludf.DUMMYFUNCTION("""COMPUTED_VALUE"""),45722.0)</f>
        <v>45722</v>
      </c>
      <c r="CL59" s="179">
        <f>IFERROR(__xludf.DUMMYFUNCTION("""COMPUTED_VALUE"""),0.0)</f>
        <v>0</v>
      </c>
      <c r="CM59" s="180">
        <f>IFERROR(__xludf.DUMMYFUNCTION("""COMPUTED_VALUE"""),45814.0)</f>
        <v>45814</v>
      </c>
      <c r="CN59" s="179">
        <f>IFERROR(__xludf.DUMMYFUNCTION("""COMPUTED_VALUE"""),0.0)</f>
        <v>0</v>
      </c>
      <c r="CO59" s="180">
        <f>IFERROR(__xludf.DUMMYFUNCTION("""COMPUTED_VALUE"""),45783.0)</f>
        <v>45783</v>
      </c>
      <c r="CP59" s="179">
        <f>IFERROR(__xludf.DUMMYFUNCTION("""COMPUTED_VALUE"""),0.0)</f>
        <v>0</v>
      </c>
      <c r="CQ59" s="180">
        <f>IFERROR(__xludf.DUMMYFUNCTION("""COMPUTED_VALUE"""),45843.0)</f>
        <v>45843</v>
      </c>
      <c r="CR59" s="179">
        <f>IFERROR(__xludf.DUMMYFUNCTION("""COMPUTED_VALUE"""),0.0)</f>
        <v>0</v>
      </c>
      <c r="CS59" s="180">
        <f>IFERROR(__xludf.DUMMYFUNCTION("""COMPUTED_VALUE"""),45783.0)</f>
        <v>45783</v>
      </c>
      <c r="CT59" s="179">
        <f>IFERROR(__xludf.DUMMYFUNCTION("""COMPUTED_VALUE"""),0.0)</f>
        <v>0</v>
      </c>
      <c r="CU59" s="180">
        <f>IFERROR(__xludf.DUMMYFUNCTION("""COMPUTED_VALUE"""),45844.0)</f>
        <v>45844</v>
      </c>
      <c r="CV59" s="179">
        <f>IFERROR(__xludf.DUMMYFUNCTION("""COMPUTED_VALUE"""),0.0)</f>
        <v>0</v>
      </c>
      <c r="CW59" s="180">
        <f>IFERROR(__xludf.DUMMYFUNCTION("""COMPUTED_VALUE"""),45934.0)</f>
        <v>45934</v>
      </c>
      <c r="CX59" s="179">
        <f>IFERROR(__xludf.DUMMYFUNCTION("""COMPUTED_VALUE"""),0.0)</f>
        <v>0</v>
      </c>
      <c r="CY59" s="182">
        <f>IFERROR(__xludf.DUMMYFUNCTION("""COMPUTED_VALUE"""),45874.0)</f>
        <v>45874</v>
      </c>
      <c r="CZ59" s="179">
        <f>IFERROR(__xludf.DUMMYFUNCTION("""COMPUTED_VALUE"""),0.0)</f>
        <v>0</v>
      </c>
      <c r="DA59" s="180">
        <f>IFERROR(__xludf.DUMMYFUNCTION("""COMPUTED_VALUE"""),45874.0)</f>
        <v>45874</v>
      </c>
      <c r="DB59" s="179">
        <f>IFERROR(__xludf.DUMMYFUNCTION("""COMPUTED_VALUE"""),0.0)</f>
        <v>0</v>
      </c>
      <c r="DC59" s="180">
        <f>IFERROR(__xludf.DUMMYFUNCTION("""COMPUTED_VALUE"""),45752.0)</f>
        <v>45752</v>
      </c>
      <c r="DD59" s="179">
        <f>IFERROR(__xludf.DUMMYFUNCTION("""COMPUTED_VALUE"""),0.0)</f>
        <v>0</v>
      </c>
      <c r="DE59" s="180">
        <f>IFERROR(__xludf.DUMMYFUNCTION("""COMPUTED_VALUE"""),45874.0)</f>
        <v>45874</v>
      </c>
      <c r="DF59" s="179">
        <f>IFERROR(__xludf.DUMMYFUNCTION("""COMPUTED_VALUE"""),0.0)</f>
        <v>0</v>
      </c>
      <c r="DG59" s="180">
        <f>IFERROR(__xludf.DUMMYFUNCTION("""COMPUTED_VALUE"""),45874.0)</f>
        <v>45874</v>
      </c>
      <c r="DH59" s="179">
        <f>IFERROR(__xludf.DUMMYFUNCTION("""COMPUTED_VALUE"""),0.0)</f>
        <v>0</v>
      </c>
      <c r="DI59" s="180">
        <f>IFERROR(__xludf.DUMMYFUNCTION("""COMPUTED_VALUE"""),45874.0)</f>
        <v>45874</v>
      </c>
      <c r="DJ59" s="179">
        <f>IFERROR(__xludf.DUMMYFUNCTION("""COMPUTED_VALUE"""),0.0)</f>
        <v>0</v>
      </c>
      <c r="DK59" s="180">
        <f>IFERROR(__xludf.DUMMYFUNCTION("""COMPUTED_VALUE"""),45874.0)</f>
        <v>45874</v>
      </c>
      <c r="DL59" s="179">
        <f>IFERROR(__xludf.DUMMYFUNCTION("""COMPUTED_VALUE"""),0.0)</f>
        <v>0</v>
      </c>
      <c r="DM59" s="180">
        <f>IFERROR(__xludf.DUMMYFUNCTION("""COMPUTED_VALUE"""),45874.0)</f>
        <v>45874</v>
      </c>
      <c r="DN59" s="179">
        <f>IFERROR(__xludf.DUMMYFUNCTION("""COMPUTED_VALUE"""),0.0)</f>
        <v>0</v>
      </c>
      <c r="DO59" s="180">
        <f>IFERROR(__xludf.DUMMYFUNCTION("""COMPUTED_VALUE"""),45874.0)</f>
        <v>45874</v>
      </c>
      <c r="DP59" s="179">
        <f>IFERROR(__xludf.DUMMYFUNCTION("""COMPUTED_VALUE"""),0.0)</f>
        <v>0</v>
      </c>
      <c r="DQ59" s="180">
        <f>IFERROR(__xludf.DUMMYFUNCTION("""COMPUTED_VALUE"""),45721.0)</f>
        <v>45721</v>
      </c>
      <c r="DR59" s="179">
        <f>IFERROR(__xludf.DUMMYFUNCTION("""COMPUTED_VALUE"""),0.0)</f>
        <v>0</v>
      </c>
      <c r="DS59" s="182">
        <f>IFERROR(__xludf.DUMMYFUNCTION("""COMPUTED_VALUE"""),45843.0)</f>
        <v>45843</v>
      </c>
      <c r="DT59" s="179">
        <f>IFERROR(__xludf.DUMMYFUNCTION("""COMPUTED_VALUE"""),0.0)</f>
        <v>0</v>
      </c>
      <c r="DU59" s="180">
        <f>IFERROR(__xludf.DUMMYFUNCTION("""COMPUTED_VALUE"""),45813.0)</f>
        <v>45813</v>
      </c>
      <c r="DV59" s="179">
        <f>IFERROR(__xludf.DUMMYFUNCTION("""COMPUTED_VALUE"""),0.0)</f>
        <v>0</v>
      </c>
      <c r="DW59" s="180">
        <f>IFERROR(__xludf.DUMMYFUNCTION("""COMPUTED_VALUE"""),45813.0)</f>
        <v>45813</v>
      </c>
      <c r="DX59" s="179">
        <f>IFERROR(__xludf.DUMMYFUNCTION("""COMPUTED_VALUE"""),0.0)</f>
        <v>0</v>
      </c>
      <c r="DY59" s="180">
        <f>IFERROR(__xludf.DUMMYFUNCTION("""COMPUTED_VALUE"""),45843.0)</f>
        <v>45843</v>
      </c>
      <c r="DZ59" s="179">
        <f>IFERROR(__xludf.DUMMYFUNCTION("""COMPUTED_VALUE"""),0.0)</f>
        <v>0</v>
      </c>
      <c r="EA59" s="180">
        <f>IFERROR(__xludf.DUMMYFUNCTION("""COMPUTED_VALUE"""),45874.0)</f>
        <v>45874</v>
      </c>
      <c r="EB59" s="179">
        <f>IFERROR(__xludf.DUMMYFUNCTION("""COMPUTED_VALUE"""),0.0)</f>
        <v>0</v>
      </c>
      <c r="EC59" s="180">
        <f>IFERROR(__xludf.DUMMYFUNCTION("""COMPUTED_VALUE"""),45843.0)</f>
        <v>45843</v>
      </c>
      <c r="ED59" s="179">
        <f>IFERROR(__xludf.DUMMYFUNCTION("""COMPUTED_VALUE"""),0.0)</f>
        <v>0</v>
      </c>
      <c r="EE59" s="180">
        <f>IFERROR(__xludf.DUMMYFUNCTION("""COMPUTED_VALUE"""),45752.0)</f>
        <v>45752</v>
      </c>
      <c r="EF59" s="179">
        <f>IFERROR(__xludf.DUMMYFUNCTION("""COMPUTED_VALUE"""),0.0)</f>
        <v>0</v>
      </c>
      <c r="EG59" s="180">
        <f>IFERROR(__xludf.DUMMYFUNCTION("""COMPUTED_VALUE"""),45843.0)</f>
        <v>45843</v>
      </c>
      <c r="EH59" s="179">
        <f>IFERROR(__xludf.DUMMYFUNCTION("""COMPUTED_VALUE"""),0.0)</f>
        <v>0</v>
      </c>
      <c r="EI59" s="180">
        <f>IFERROR(__xludf.DUMMYFUNCTION("""COMPUTED_VALUE"""),45843.0)</f>
        <v>45843</v>
      </c>
      <c r="EJ59" s="179">
        <f>IFERROR(__xludf.DUMMYFUNCTION("""COMPUTED_VALUE"""),0.0)</f>
        <v>0</v>
      </c>
      <c r="EK59" s="180">
        <f>IFERROR(__xludf.DUMMYFUNCTION("""COMPUTED_VALUE"""),45782.0)</f>
        <v>45782</v>
      </c>
      <c r="EL59" s="179">
        <f>IFERROR(__xludf.DUMMYFUNCTION("""COMPUTED_VALUE"""),0.0)</f>
        <v>0</v>
      </c>
      <c r="EM59" s="182">
        <f>IFERROR(__xludf.DUMMYFUNCTION("""COMPUTED_VALUE"""),45752.0)</f>
        <v>45752</v>
      </c>
      <c r="EN59" s="179">
        <f>IFERROR(__xludf.DUMMYFUNCTION("""COMPUTED_VALUE"""),0.0)</f>
        <v>0</v>
      </c>
      <c r="EO59" s="180">
        <f>IFERROR(__xludf.DUMMYFUNCTION("""COMPUTED_VALUE"""),45843.0)</f>
        <v>45843</v>
      </c>
      <c r="EP59" s="179">
        <f>IFERROR(__xludf.DUMMYFUNCTION("""COMPUTED_VALUE"""),0.0)</f>
        <v>0</v>
      </c>
      <c r="EQ59" s="180">
        <f>IFERROR(__xludf.DUMMYFUNCTION("""COMPUTED_VALUE"""),45843.0)</f>
        <v>45843</v>
      </c>
      <c r="ER59" s="179">
        <f>IFERROR(__xludf.DUMMYFUNCTION("""COMPUTED_VALUE"""),0.0)</f>
        <v>0</v>
      </c>
      <c r="ES59" s="180">
        <f>IFERROR(__xludf.DUMMYFUNCTION("""COMPUTED_VALUE"""),45874.0)</f>
        <v>45874</v>
      </c>
      <c r="ET59" s="179">
        <f>IFERROR(__xludf.DUMMYFUNCTION("""COMPUTED_VALUE"""),0.0)</f>
        <v>0</v>
      </c>
      <c r="EU59" s="180">
        <f>IFERROR(__xludf.DUMMYFUNCTION("""COMPUTED_VALUE"""),45843.0)</f>
        <v>45843</v>
      </c>
      <c r="EV59" s="179">
        <f>IFERROR(__xludf.DUMMYFUNCTION("""COMPUTED_VALUE"""),0.0)</f>
        <v>0</v>
      </c>
      <c r="EW59" s="180">
        <f>IFERROR(__xludf.DUMMYFUNCTION("""COMPUTED_VALUE"""),45874.0)</f>
        <v>45874</v>
      </c>
      <c r="EX59" s="179">
        <f>IFERROR(__xludf.DUMMYFUNCTION("""COMPUTED_VALUE"""),0.0)</f>
        <v>0</v>
      </c>
      <c r="EY59" s="180">
        <f>IFERROR(__xludf.DUMMYFUNCTION("""COMPUTED_VALUE"""),45874.0)</f>
        <v>45874</v>
      </c>
      <c r="EZ59" s="179">
        <f>IFERROR(__xludf.DUMMYFUNCTION("""COMPUTED_VALUE"""),0.0)</f>
        <v>0</v>
      </c>
      <c r="FA59" s="180">
        <f>IFERROR(__xludf.DUMMYFUNCTION("""COMPUTED_VALUE"""),45843.0)</f>
        <v>45843</v>
      </c>
      <c r="FB59" s="179">
        <f>IFERROR(__xludf.DUMMYFUNCTION("""COMPUTED_VALUE"""),0.0)</f>
        <v>0</v>
      </c>
      <c r="FC59" s="180">
        <f>IFERROR(__xludf.DUMMYFUNCTION("""COMPUTED_VALUE"""),45874.0)</f>
        <v>45874</v>
      </c>
      <c r="FD59" s="179">
        <f>IFERROR(__xludf.DUMMYFUNCTION("""COMPUTED_VALUE"""),0.0)</f>
        <v>0</v>
      </c>
      <c r="FE59" s="180">
        <f>IFERROR(__xludf.DUMMYFUNCTION("""COMPUTED_VALUE"""),45752.0)</f>
        <v>45752</v>
      </c>
      <c r="FF59" s="179">
        <f>IFERROR(__xludf.DUMMYFUNCTION("""COMPUTED_VALUE"""),0.0)</f>
        <v>0</v>
      </c>
      <c r="FG59" s="182">
        <f>IFERROR(__xludf.DUMMYFUNCTION("""COMPUTED_VALUE"""),45843.0)</f>
        <v>45843</v>
      </c>
      <c r="FH59" s="179">
        <f>IFERROR(__xludf.DUMMYFUNCTION("""COMPUTED_VALUE"""),0.0)</f>
        <v>0</v>
      </c>
      <c r="FI59" s="180">
        <f>IFERROR(__xludf.DUMMYFUNCTION("""COMPUTED_VALUE"""),45813.0)</f>
        <v>45813</v>
      </c>
      <c r="FJ59" s="179">
        <f>IFERROR(__xludf.DUMMYFUNCTION("""COMPUTED_VALUE"""),0.0)</f>
        <v>0</v>
      </c>
      <c r="FK59" s="180">
        <f>IFERROR(__xludf.DUMMYFUNCTION("""COMPUTED_VALUE"""),45934.0)</f>
        <v>45934</v>
      </c>
      <c r="FL59" s="179">
        <f>IFERROR(__xludf.DUMMYFUNCTION("""COMPUTED_VALUE"""),0.0)</f>
        <v>0</v>
      </c>
      <c r="FM59" s="180">
        <f>IFERROR(__xludf.DUMMYFUNCTION("""COMPUTED_VALUE"""),45874.0)</f>
        <v>45874</v>
      </c>
      <c r="FN59" s="179">
        <f>IFERROR(__xludf.DUMMYFUNCTION("""COMPUTED_VALUE"""),0.0)</f>
        <v>0</v>
      </c>
      <c r="FO59" s="180">
        <f>IFERROR(__xludf.DUMMYFUNCTION("""COMPUTED_VALUE"""),45874.0)</f>
        <v>45874</v>
      </c>
      <c r="FP59" s="179">
        <f>IFERROR(__xludf.DUMMYFUNCTION("""COMPUTED_VALUE"""),0.0)</f>
        <v>0</v>
      </c>
      <c r="FQ59" s="180">
        <f>IFERROR(__xludf.DUMMYFUNCTION("""COMPUTED_VALUE"""),45874.0)</f>
        <v>45874</v>
      </c>
      <c r="FR59" s="179">
        <f>IFERROR(__xludf.DUMMYFUNCTION("""COMPUTED_VALUE"""),0.0)</f>
        <v>0</v>
      </c>
      <c r="FS59" s="180">
        <f>IFERROR(__xludf.DUMMYFUNCTION("""COMPUTED_VALUE"""),45813.0)</f>
        <v>45813</v>
      </c>
      <c r="FT59" s="179">
        <f>IFERROR(__xludf.DUMMYFUNCTION("""COMPUTED_VALUE"""),0.0)</f>
        <v>0</v>
      </c>
      <c r="FU59" s="180">
        <f>IFERROR(__xludf.DUMMYFUNCTION("""COMPUTED_VALUE"""),45874.0)</f>
        <v>45874</v>
      </c>
      <c r="FV59" s="179">
        <f>IFERROR(__xludf.DUMMYFUNCTION("""COMPUTED_VALUE"""),0.0)</f>
        <v>0</v>
      </c>
      <c r="FW59" s="180">
        <f>IFERROR(__xludf.DUMMYFUNCTION("""COMPUTED_VALUE"""),45874.0)</f>
        <v>45874</v>
      </c>
      <c r="FX59" s="179">
        <f>IFERROR(__xludf.DUMMYFUNCTION("""COMPUTED_VALUE"""),0.0)</f>
        <v>0</v>
      </c>
      <c r="FY59" s="180">
        <f>IFERROR(__xludf.DUMMYFUNCTION("""COMPUTED_VALUE"""),45934.0)</f>
        <v>45934</v>
      </c>
      <c r="FZ59" s="179">
        <f>IFERROR(__xludf.DUMMYFUNCTION("""COMPUTED_VALUE"""),0.0)</f>
        <v>0</v>
      </c>
      <c r="GA59" s="182">
        <f>IFERROR(__xludf.DUMMYFUNCTION("""COMPUTED_VALUE"""),45874.0)</f>
        <v>45874</v>
      </c>
      <c r="GB59" s="179">
        <f>IFERROR(__xludf.DUMMYFUNCTION("""COMPUTED_VALUE"""),0.0)</f>
        <v>0</v>
      </c>
      <c r="GC59" s="180">
        <f>IFERROR(__xludf.DUMMYFUNCTION("""COMPUTED_VALUE"""),45782.0)</f>
        <v>45782</v>
      </c>
      <c r="GD59" s="179">
        <f>IFERROR(__xludf.DUMMYFUNCTION("""COMPUTED_VALUE"""),0.0)</f>
        <v>0</v>
      </c>
      <c r="GE59" s="180">
        <f>IFERROR(__xludf.DUMMYFUNCTION("""COMPUTED_VALUE"""),45782.0)</f>
        <v>45782</v>
      </c>
      <c r="GF59" s="179">
        <f>IFERROR(__xludf.DUMMYFUNCTION("""COMPUTED_VALUE"""),0.0)</f>
        <v>0</v>
      </c>
      <c r="GG59" s="180">
        <f>IFERROR(__xludf.DUMMYFUNCTION("""COMPUTED_VALUE"""),45843.0)</f>
        <v>45843</v>
      </c>
      <c r="GH59" s="179">
        <f>IFERROR(__xludf.DUMMYFUNCTION("""COMPUTED_VALUE"""),0.0)</f>
        <v>0</v>
      </c>
      <c r="GI59" s="180">
        <f>IFERROR(__xludf.DUMMYFUNCTION("""COMPUTED_VALUE"""),45874.0)</f>
        <v>45874</v>
      </c>
      <c r="GJ59" s="179">
        <f>IFERROR(__xludf.DUMMYFUNCTION("""COMPUTED_VALUE"""),0.0)</f>
        <v>0</v>
      </c>
      <c r="GK59" s="180">
        <f>IFERROR(__xludf.DUMMYFUNCTION("""COMPUTED_VALUE"""),45874.0)</f>
        <v>45874</v>
      </c>
      <c r="GL59" s="179">
        <f>IFERROR(__xludf.DUMMYFUNCTION("""COMPUTED_VALUE"""),0.0)</f>
        <v>0</v>
      </c>
      <c r="GM59" s="180">
        <f>IFERROR(__xludf.DUMMYFUNCTION("""COMPUTED_VALUE"""),45782.0)</f>
        <v>45782</v>
      </c>
      <c r="GN59" s="179">
        <f>IFERROR(__xludf.DUMMYFUNCTION("""COMPUTED_VALUE"""),0.0)</f>
        <v>0</v>
      </c>
      <c r="GO59" s="180">
        <f>IFERROR(__xludf.DUMMYFUNCTION("""COMPUTED_VALUE"""),45874.0)</f>
        <v>45874</v>
      </c>
      <c r="GP59" s="179">
        <f>IFERROR(__xludf.DUMMYFUNCTION("""COMPUTED_VALUE"""),0.0)</f>
        <v>0</v>
      </c>
      <c r="GQ59" s="180">
        <f>IFERROR(__xludf.DUMMYFUNCTION("""COMPUTED_VALUE"""),45874.0)</f>
        <v>45874</v>
      </c>
      <c r="GR59" s="179">
        <f>IFERROR(__xludf.DUMMYFUNCTION("""COMPUTED_VALUE"""),0.0)</f>
        <v>0</v>
      </c>
      <c r="GS59" s="180">
        <f>IFERROR(__xludf.DUMMYFUNCTION("""COMPUTED_VALUE"""),45721.0)</f>
        <v>45721</v>
      </c>
      <c r="GT59" s="179">
        <f>IFERROR(__xludf.DUMMYFUNCTION("""COMPUTED_VALUE"""),0.0)</f>
        <v>0</v>
      </c>
    </row>
    <row r="60" ht="31.5" customHeight="1">
      <c r="B60" s="183"/>
      <c r="C60" s="178">
        <f>IFERROR(__xludf.DUMMYFUNCTION("""COMPUTED_VALUE"""),45844.0)</f>
        <v>45844</v>
      </c>
      <c r="D60" s="179">
        <f>IFERROR(__xludf.DUMMYFUNCTION("""COMPUTED_VALUE"""),0.0)</f>
        <v>0</v>
      </c>
      <c r="E60" s="180">
        <f>IFERROR(__xludf.DUMMYFUNCTION("""COMPUTED_VALUE"""),45814.0)</f>
        <v>45814</v>
      </c>
      <c r="F60" s="179">
        <f>IFERROR(__xludf.DUMMYFUNCTION("""COMPUTED_VALUE"""),0.0)</f>
        <v>0</v>
      </c>
      <c r="G60" s="180">
        <f>IFERROR(__xludf.DUMMYFUNCTION("""COMPUTED_VALUE"""),45814.0)</f>
        <v>45814</v>
      </c>
      <c r="H60" s="179">
        <f>IFERROR(__xludf.DUMMYFUNCTION("""COMPUTED_VALUE"""),0.0)</f>
        <v>0</v>
      </c>
      <c r="I60" s="180">
        <f>IFERROR(__xludf.DUMMYFUNCTION("""COMPUTED_VALUE"""),45875.0)</f>
        <v>45875</v>
      </c>
      <c r="J60" s="179">
        <f>IFERROR(__xludf.DUMMYFUNCTION("""COMPUTED_VALUE"""),0.0)</f>
        <v>0</v>
      </c>
      <c r="K60" s="180">
        <f>IFERROR(__xludf.DUMMYFUNCTION("""COMPUTED_VALUE"""),45753.0)</f>
        <v>45753</v>
      </c>
      <c r="L60" s="179">
        <f>IFERROR(__xludf.DUMMYFUNCTION("""COMPUTED_VALUE"""),0.0)</f>
        <v>0</v>
      </c>
      <c r="M60" s="180">
        <f>IFERROR(__xludf.DUMMYFUNCTION("""COMPUTED_VALUE"""),45844.0)</f>
        <v>45844</v>
      </c>
      <c r="N60" s="179">
        <f>IFERROR(__xludf.DUMMYFUNCTION("""COMPUTED_VALUE"""),0.0)</f>
        <v>0</v>
      </c>
      <c r="O60" s="180">
        <f>IFERROR(__xludf.DUMMYFUNCTION("""COMPUTED_VALUE"""),45722.0)</f>
        <v>45722</v>
      </c>
      <c r="P60" s="179">
        <f>IFERROR(__xludf.DUMMYFUNCTION("""COMPUTED_VALUE"""),0.0)</f>
        <v>0</v>
      </c>
      <c r="Q60" s="180">
        <f>IFERROR(__xludf.DUMMYFUNCTION("""COMPUTED_VALUE"""),45753.0)</f>
        <v>45753</v>
      </c>
      <c r="R60" s="179">
        <f>IFERROR(__xludf.DUMMYFUNCTION("""COMPUTED_VALUE"""),0.0)</f>
        <v>0</v>
      </c>
      <c r="S60" s="180">
        <f>IFERROR(__xludf.DUMMYFUNCTION("""COMPUTED_VALUE"""),45814.0)</f>
        <v>45814</v>
      </c>
      <c r="T60" s="179">
        <f>IFERROR(__xludf.DUMMYFUNCTION("""COMPUTED_VALUE"""),0.0)</f>
        <v>0</v>
      </c>
      <c r="U60" s="180">
        <f>IFERROR(__xludf.DUMMYFUNCTION("""COMPUTED_VALUE"""),45694.0)</f>
        <v>45694</v>
      </c>
      <c r="V60" s="181">
        <f>IFERROR(__xludf.DUMMYFUNCTION("""COMPUTED_VALUE"""),0.0)</f>
        <v>0</v>
      </c>
      <c r="W60" s="178">
        <f>IFERROR(__xludf.DUMMYFUNCTION("""COMPUTED_VALUE"""),45875.0)</f>
        <v>45875</v>
      </c>
      <c r="X60" s="179">
        <f>IFERROR(__xludf.DUMMYFUNCTION("""COMPUTED_VALUE"""),0.0)</f>
        <v>0</v>
      </c>
      <c r="Y60" s="180">
        <f>IFERROR(__xludf.DUMMYFUNCTION("""COMPUTED_VALUE"""),45722.0)</f>
        <v>45722</v>
      </c>
      <c r="Z60" s="179">
        <f>IFERROR(__xludf.DUMMYFUNCTION("""COMPUTED_VALUE"""),0.0)</f>
        <v>0</v>
      </c>
      <c r="AA60" s="180">
        <f>IFERROR(__xludf.DUMMYFUNCTION("""COMPUTED_VALUE"""),45844.0)</f>
        <v>45844</v>
      </c>
      <c r="AB60" s="179">
        <f>IFERROR(__xludf.DUMMYFUNCTION("""COMPUTED_VALUE"""),0.0)</f>
        <v>0</v>
      </c>
      <c r="AC60" s="180">
        <f>IFERROR(__xludf.DUMMYFUNCTION("""COMPUTED_VALUE"""),45663.0)</f>
        <v>45663</v>
      </c>
      <c r="AD60" s="179">
        <f>IFERROR(__xludf.DUMMYFUNCTION("""COMPUTED_VALUE"""),0.0)</f>
        <v>0</v>
      </c>
      <c r="AE60" s="180">
        <f>IFERROR(__xludf.DUMMYFUNCTION("""COMPUTED_VALUE"""),45753.0)</f>
        <v>45753</v>
      </c>
      <c r="AF60" s="179">
        <f>IFERROR(__xludf.DUMMYFUNCTION("""COMPUTED_VALUE"""),0.0)</f>
        <v>0</v>
      </c>
      <c r="AG60" s="180">
        <f>IFERROR(__xludf.DUMMYFUNCTION("""COMPUTED_VALUE"""),45875.0)</f>
        <v>45875</v>
      </c>
      <c r="AH60" s="179">
        <f>IFERROR(__xludf.DUMMYFUNCTION("""COMPUTED_VALUE"""),0.0)</f>
        <v>0</v>
      </c>
      <c r="AI60" s="180">
        <f>IFERROR(__xludf.DUMMYFUNCTION("""COMPUTED_VALUE"""),45694.0)</f>
        <v>45694</v>
      </c>
      <c r="AJ60" s="179">
        <f>IFERROR(__xludf.DUMMYFUNCTION("""COMPUTED_VALUE"""),0.0)</f>
        <v>0</v>
      </c>
      <c r="AK60" s="180">
        <f>IFERROR(__xludf.DUMMYFUNCTION("""COMPUTED_VALUE"""),45783.0)</f>
        <v>45783</v>
      </c>
      <c r="AL60" s="179">
        <f>IFERROR(__xludf.DUMMYFUNCTION("""COMPUTED_VALUE"""),0.0)</f>
        <v>0</v>
      </c>
      <c r="AM60" s="180">
        <f>IFERROR(__xludf.DUMMYFUNCTION("""COMPUTED_VALUE"""),45875.0)</f>
        <v>45875</v>
      </c>
      <c r="AN60" s="179">
        <f>IFERROR(__xludf.DUMMYFUNCTION("""COMPUTED_VALUE"""),0.0)</f>
        <v>0</v>
      </c>
      <c r="AO60" s="180">
        <f>IFERROR(__xludf.DUMMYFUNCTION("""COMPUTED_VALUE"""),45753.0)</f>
        <v>45753</v>
      </c>
      <c r="AP60" s="181">
        <f>IFERROR(__xludf.DUMMYFUNCTION("""COMPUTED_VALUE"""),0.0)</f>
        <v>0</v>
      </c>
      <c r="AQ60" s="178">
        <f>IFERROR(__xludf.DUMMYFUNCTION("""COMPUTED_VALUE"""),45875.0)</f>
        <v>45875</v>
      </c>
      <c r="AR60" s="179">
        <f>IFERROR(__xludf.DUMMYFUNCTION("""COMPUTED_VALUE"""),0.0)</f>
        <v>0</v>
      </c>
      <c r="AS60" s="180">
        <f>IFERROR(__xludf.DUMMYFUNCTION("""COMPUTED_VALUE"""),45875.0)</f>
        <v>45875</v>
      </c>
      <c r="AT60" s="179">
        <f>IFERROR(__xludf.DUMMYFUNCTION("""COMPUTED_VALUE"""),0.0)</f>
        <v>0</v>
      </c>
      <c r="AU60" s="180">
        <f>IFERROR(__xludf.DUMMYFUNCTION("""COMPUTED_VALUE"""),45844.0)</f>
        <v>45844</v>
      </c>
      <c r="AV60" s="179">
        <f>IFERROR(__xludf.DUMMYFUNCTION("""COMPUTED_VALUE"""),0.0)</f>
        <v>0</v>
      </c>
      <c r="AW60" s="180">
        <f>IFERROR(__xludf.DUMMYFUNCTION("""COMPUTED_VALUE"""),45844.0)</f>
        <v>45844</v>
      </c>
      <c r="AX60" s="179">
        <f>IFERROR(__xludf.DUMMYFUNCTION("""COMPUTED_VALUE"""),0.0)</f>
        <v>0</v>
      </c>
      <c r="AY60" s="180">
        <f>IFERROR(__xludf.DUMMYFUNCTION("""COMPUTED_VALUE"""),45875.0)</f>
        <v>45875</v>
      </c>
      <c r="AZ60" s="179">
        <f>IFERROR(__xludf.DUMMYFUNCTION("""COMPUTED_VALUE"""),0.0)</f>
        <v>0</v>
      </c>
      <c r="BA60" s="180">
        <f>IFERROR(__xludf.DUMMYFUNCTION("""COMPUTED_VALUE"""),45875.0)</f>
        <v>45875</v>
      </c>
      <c r="BB60" s="179">
        <f>IFERROR(__xludf.DUMMYFUNCTION("""COMPUTED_VALUE"""),0.0)</f>
        <v>0</v>
      </c>
      <c r="BC60" s="180">
        <f>IFERROR(__xludf.DUMMYFUNCTION("""COMPUTED_VALUE"""),45844.0)</f>
        <v>45844</v>
      </c>
      <c r="BD60" s="179">
        <f>IFERROR(__xludf.DUMMYFUNCTION("""COMPUTED_VALUE"""),0.0)</f>
        <v>0</v>
      </c>
      <c r="BE60" s="180">
        <f>IFERROR(__xludf.DUMMYFUNCTION("""COMPUTED_VALUE"""),45875.0)</f>
        <v>45875</v>
      </c>
      <c r="BF60" s="179">
        <f>IFERROR(__xludf.DUMMYFUNCTION("""COMPUTED_VALUE"""),0.0)</f>
        <v>0</v>
      </c>
      <c r="BG60" s="180">
        <f>IFERROR(__xludf.DUMMYFUNCTION("""COMPUTED_VALUE"""),45844.0)</f>
        <v>45844</v>
      </c>
      <c r="BH60" s="179">
        <f>IFERROR(__xludf.DUMMYFUNCTION("""COMPUTED_VALUE"""),0.0)</f>
        <v>0</v>
      </c>
      <c r="BI60" s="180">
        <f>IFERROR(__xludf.DUMMYFUNCTION("""COMPUTED_VALUE"""),45875.0)</f>
        <v>45875</v>
      </c>
      <c r="BJ60" s="179">
        <f>IFERROR(__xludf.DUMMYFUNCTION("""COMPUTED_VALUE"""),0.0)</f>
        <v>0</v>
      </c>
      <c r="BK60" s="182">
        <f>IFERROR(__xludf.DUMMYFUNCTION("""COMPUTED_VALUE"""),45875.0)</f>
        <v>45875</v>
      </c>
      <c r="BL60" s="179">
        <f>IFERROR(__xludf.DUMMYFUNCTION("""COMPUTED_VALUE"""),0.0)</f>
        <v>0</v>
      </c>
      <c r="BM60" s="180">
        <f>IFERROR(__xludf.DUMMYFUNCTION("""COMPUTED_VALUE"""),45875.0)</f>
        <v>45875</v>
      </c>
      <c r="BN60" s="179">
        <f>IFERROR(__xludf.DUMMYFUNCTION("""COMPUTED_VALUE"""),0.0)</f>
        <v>0</v>
      </c>
      <c r="BO60" s="180">
        <f>IFERROR(__xludf.DUMMYFUNCTION("""COMPUTED_VALUE"""),45844.0)</f>
        <v>45844</v>
      </c>
      <c r="BP60" s="179">
        <f>IFERROR(__xludf.DUMMYFUNCTION("""COMPUTED_VALUE"""),0.0)</f>
        <v>0</v>
      </c>
      <c r="BQ60" s="180">
        <f>IFERROR(__xludf.DUMMYFUNCTION("""COMPUTED_VALUE"""),45844.0)</f>
        <v>45844</v>
      </c>
      <c r="BR60" s="179">
        <f>IFERROR(__xludf.DUMMYFUNCTION("""COMPUTED_VALUE"""),0.0)</f>
        <v>0</v>
      </c>
      <c r="BS60" s="180">
        <f>IFERROR(__xludf.DUMMYFUNCTION("""COMPUTED_VALUE"""),45875.0)</f>
        <v>45875</v>
      </c>
      <c r="BT60" s="179">
        <f>IFERROR(__xludf.DUMMYFUNCTION("""COMPUTED_VALUE"""),0.0)</f>
        <v>0</v>
      </c>
      <c r="BU60" s="180">
        <f>IFERROR(__xludf.DUMMYFUNCTION("""COMPUTED_VALUE"""),45844.0)</f>
        <v>45844</v>
      </c>
      <c r="BV60" s="179">
        <f>IFERROR(__xludf.DUMMYFUNCTION("""COMPUTED_VALUE"""),0.0)</f>
        <v>0</v>
      </c>
      <c r="BW60" s="180">
        <f>IFERROR(__xludf.DUMMYFUNCTION("""COMPUTED_VALUE"""),45753.0)</f>
        <v>45753</v>
      </c>
      <c r="BX60" s="179">
        <f>IFERROR(__xludf.DUMMYFUNCTION("""COMPUTED_VALUE"""),0.0)</f>
        <v>0</v>
      </c>
      <c r="BY60" s="180">
        <f>IFERROR(__xludf.DUMMYFUNCTION("""COMPUTED_VALUE"""),45844.0)</f>
        <v>45844</v>
      </c>
      <c r="BZ60" s="179">
        <f>IFERROR(__xludf.DUMMYFUNCTION("""COMPUTED_VALUE"""),0.0)</f>
        <v>0</v>
      </c>
      <c r="CA60" s="180">
        <f>IFERROR(__xludf.DUMMYFUNCTION("""COMPUTED_VALUE"""),45875.0)</f>
        <v>45875</v>
      </c>
      <c r="CB60" s="179">
        <f>IFERROR(__xludf.DUMMYFUNCTION("""COMPUTED_VALUE"""),0.0)</f>
        <v>0</v>
      </c>
      <c r="CC60" s="180">
        <f>IFERROR(__xludf.DUMMYFUNCTION("""COMPUTED_VALUE"""),45875.0)</f>
        <v>45875</v>
      </c>
      <c r="CD60" s="179">
        <f>IFERROR(__xludf.DUMMYFUNCTION("""COMPUTED_VALUE"""),0.0)</f>
        <v>0</v>
      </c>
      <c r="CE60" s="182">
        <f>IFERROR(__xludf.DUMMYFUNCTION("""COMPUTED_VALUE"""),45875.0)</f>
        <v>45875</v>
      </c>
      <c r="CF60" s="179">
        <f>IFERROR(__xludf.DUMMYFUNCTION("""COMPUTED_VALUE"""),0.0)</f>
        <v>0</v>
      </c>
      <c r="CG60" s="180">
        <f>IFERROR(__xludf.DUMMYFUNCTION("""COMPUTED_VALUE"""),45722.0)</f>
        <v>45722</v>
      </c>
      <c r="CH60" s="179">
        <f>IFERROR(__xludf.DUMMYFUNCTION("""COMPUTED_VALUE"""),0.0)</f>
        <v>0</v>
      </c>
      <c r="CI60" s="180">
        <f>IFERROR(__xludf.DUMMYFUNCTION("""COMPUTED_VALUE"""),45753.0)</f>
        <v>45753</v>
      </c>
      <c r="CJ60" s="179">
        <f>IFERROR(__xludf.DUMMYFUNCTION("""COMPUTED_VALUE"""),0.0)</f>
        <v>0</v>
      </c>
      <c r="CK60" s="180">
        <f>IFERROR(__xludf.DUMMYFUNCTION("""COMPUTED_VALUE"""),45783.0)</f>
        <v>45783</v>
      </c>
      <c r="CL60" s="179">
        <f>IFERROR(__xludf.DUMMYFUNCTION("""COMPUTED_VALUE"""),0.0)</f>
        <v>0</v>
      </c>
      <c r="CM60" s="180">
        <f>IFERROR(__xludf.DUMMYFUNCTION("""COMPUTED_VALUE"""),45844.0)</f>
        <v>45844</v>
      </c>
      <c r="CN60" s="179">
        <f>IFERROR(__xludf.DUMMYFUNCTION("""COMPUTED_VALUE"""),0.0)</f>
        <v>0</v>
      </c>
      <c r="CO60" s="180">
        <f>IFERROR(__xludf.DUMMYFUNCTION("""COMPUTED_VALUE"""),45814.0)</f>
        <v>45814</v>
      </c>
      <c r="CP60" s="179">
        <f>IFERROR(__xludf.DUMMYFUNCTION("""COMPUTED_VALUE"""),0.0)</f>
        <v>0</v>
      </c>
      <c r="CQ60" s="180">
        <f>IFERROR(__xludf.DUMMYFUNCTION("""COMPUTED_VALUE"""),45663.0)</f>
        <v>45663</v>
      </c>
      <c r="CR60" s="179">
        <f>IFERROR(__xludf.DUMMYFUNCTION("""COMPUTED_VALUE"""),0.0)</f>
        <v>0</v>
      </c>
      <c r="CS60" s="180">
        <f>IFERROR(__xludf.DUMMYFUNCTION("""COMPUTED_VALUE"""),45814.0)</f>
        <v>45814</v>
      </c>
      <c r="CT60" s="179">
        <f>IFERROR(__xludf.DUMMYFUNCTION("""COMPUTED_VALUE"""),0.0)</f>
        <v>0</v>
      </c>
      <c r="CU60" s="180">
        <f>IFERROR(__xludf.DUMMYFUNCTION("""COMPUTED_VALUE"""),45875.0)</f>
        <v>45875</v>
      </c>
      <c r="CV60" s="179">
        <f>IFERROR(__xludf.DUMMYFUNCTION("""COMPUTED_VALUE"""),0.0)</f>
        <v>0</v>
      </c>
      <c r="CW60" s="180">
        <f>IFERROR(__xludf.DUMMYFUNCTION("""COMPUTED_VALUE"""),45935.0)</f>
        <v>45935</v>
      </c>
      <c r="CX60" s="179">
        <f>IFERROR(__xludf.DUMMYFUNCTION("""COMPUTED_VALUE"""),0.0)</f>
        <v>0</v>
      </c>
      <c r="CY60" s="182">
        <f>IFERROR(__xludf.DUMMYFUNCTION("""COMPUTED_VALUE"""),45905.0)</f>
        <v>45905</v>
      </c>
      <c r="CZ60" s="179">
        <f>IFERROR(__xludf.DUMMYFUNCTION("""COMPUTED_VALUE"""),0.0)</f>
        <v>0</v>
      </c>
      <c r="DA60" s="180">
        <f>IFERROR(__xludf.DUMMYFUNCTION("""COMPUTED_VALUE"""),45905.0)</f>
        <v>45905</v>
      </c>
      <c r="DB60" s="179">
        <f>IFERROR(__xludf.DUMMYFUNCTION("""COMPUTED_VALUE"""),0.0)</f>
        <v>0</v>
      </c>
      <c r="DC60" s="180">
        <f>IFERROR(__xludf.DUMMYFUNCTION("""COMPUTED_VALUE"""),45782.0)</f>
        <v>45782</v>
      </c>
      <c r="DD60" s="179">
        <f>IFERROR(__xludf.DUMMYFUNCTION("""COMPUTED_VALUE"""),0.0)</f>
        <v>0</v>
      </c>
      <c r="DE60" s="180">
        <f>IFERROR(__xludf.DUMMYFUNCTION("""COMPUTED_VALUE"""),45905.0)</f>
        <v>45905</v>
      </c>
      <c r="DF60" s="179">
        <f>IFERROR(__xludf.DUMMYFUNCTION("""COMPUTED_VALUE"""),0.0)</f>
        <v>0</v>
      </c>
      <c r="DG60" s="180">
        <f>IFERROR(__xludf.DUMMYFUNCTION("""COMPUTED_VALUE"""),45905.0)</f>
        <v>45905</v>
      </c>
      <c r="DH60" s="179">
        <f>IFERROR(__xludf.DUMMYFUNCTION("""COMPUTED_VALUE"""),0.0)</f>
        <v>0</v>
      </c>
      <c r="DI60" s="180">
        <f>IFERROR(__xludf.DUMMYFUNCTION("""COMPUTED_VALUE"""),45905.0)</f>
        <v>45905</v>
      </c>
      <c r="DJ60" s="179">
        <f>IFERROR(__xludf.DUMMYFUNCTION("""COMPUTED_VALUE"""),0.0)</f>
        <v>0</v>
      </c>
      <c r="DK60" s="180">
        <f>IFERROR(__xludf.DUMMYFUNCTION("""COMPUTED_VALUE"""),45905.0)</f>
        <v>45905</v>
      </c>
      <c r="DL60" s="179">
        <f>IFERROR(__xludf.DUMMYFUNCTION("""COMPUTED_VALUE"""),0.0)</f>
        <v>0</v>
      </c>
      <c r="DM60" s="180">
        <f>IFERROR(__xludf.DUMMYFUNCTION("""COMPUTED_VALUE"""),45905.0)</f>
        <v>45905</v>
      </c>
      <c r="DN60" s="179">
        <f>IFERROR(__xludf.DUMMYFUNCTION("""COMPUTED_VALUE"""),0.0)</f>
        <v>0</v>
      </c>
      <c r="DO60" s="180">
        <f>IFERROR(__xludf.DUMMYFUNCTION("""COMPUTED_VALUE"""),45905.0)</f>
        <v>45905</v>
      </c>
      <c r="DP60" s="179">
        <f>IFERROR(__xludf.DUMMYFUNCTION("""COMPUTED_VALUE"""),0.0)</f>
        <v>0</v>
      </c>
      <c r="DQ60" s="180">
        <f>IFERROR(__xludf.DUMMYFUNCTION("""COMPUTED_VALUE"""),45752.0)</f>
        <v>45752</v>
      </c>
      <c r="DR60" s="179">
        <f>IFERROR(__xludf.DUMMYFUNCTION("""COMPUTED_VALUE"""),0.0)</f>
        <v>0</v>
      </c>
      <c r="DS60" s="182">
        <f>IFERROR(__xludf.DUMMYFUNCTION("""COMPUTED_VALUE"""),45874.0)</f>
        <v>45874</v>
      </c>
      <c r="DT60" s="179">
        <f>IFERROR(__xludf.DUMMYFUNCTION("""COMPUTED_VALUE"""),0.0)</f>
        <v>0</v>
      </c>
      <c r="DU60" s="180">
        <f>IFERROR(__xludf.DUMMYFUNCTION("""COMPUTED_VALUE"""),45843.0)</f>
        <v>45843</v>
      </c>
      <c r="DV60" s="179">
        <f>IFERROR(__xludf.DUMMYFUNCTION("""COMPUTED_VALUE"""),0.0)</f>
        <v>0</v>
      </c>
      <c r="DW60" s="180">
        <f>IFERROR(__xludf.DUMMYFUNCTION("""COMPUTED_VALUE"""),45843.0)</f>
        <v>45843</v>
      </c>
      <c r="DX60" s="179">
        <f>IFERROR(__xludf.DUMMYFUNCTION("""COMPUTED_VALUE"""),0.0)</f>
        <v>0</v>
      </c>
      <c r="DY60" s="180">
        <f>IFERROR(__xludf.DUMMYFUNCTION("""COMPUTED_VALUE"""),45874.0)</f>
        <v>45874</v>
      </c>
      <c r="DZ60" s="179">
        <f>IFERROR(__xludf.DUMMYFUNCTION("""COMPUTED_VALUE"""),0.0)</f>
        <v>0</v>
      </c>
      <c r="EA60" s="180">
        <f>IFERROR(__xludf.DUMMYFUNCTION("""COMPUTED_VALUE"""),45905.0)</f>
        <v>45905</v>
      </c>
      <c r="EB60" s="179">
        <f>IFERROR(__xludf.DUMMYFUNCTION("""COMPUTED_VALUE"""),0.0)</f>
        <v>0</v>
      </c>
      <c r="EC60" s="180">
        <f>IFERROR(__xludf.DUMMYFUNCTION("""COMPUTED_VALUE"""),45874.0)</f>
        <v>45874</v>
      </c>
      <c r="ED60" s="179">
        <f>IFERROR(__xludf.DUMMYFUNCTION("""COMPUTED_VALUE"""),0.0)</f>
        <v>0</v>
      </c>
      <c r="EE60" s="180">
        <f>IFERROR(__xludf.DUMMYFUNCTION("""COMPUTED_VALUE"""),45782.0)</f>
        <v>45782</v>
      </c>
      <c r="EF60" s="179">
        <f>IFERROR(__xludf.DUMMYFUNCTION("""COMPUTED_VALUE"""),0.0)</f>
        <v>0</v>
      </c>
      <c r="EG60" s="180">
        <f>IFERROR(__xludf.DUMMYFUNCTION("""COMPUTED_VALUE"""),45874.0)</f>
        <v>45874</v>
      </c>
      <c r="EH60" s="179">
        <f>IFERROR(__xludf.DUMMYFUNCTION("""COMPUTED_VALUE"""),0.0)</f>
        <v>0</v>
      </c>
      <c r="EI60" s="180">
        <f>IFERROR(__xludf.DUMMYFUNCTION("""COMPUTED_VALUE"""),45874.0)</f>
        <v>45874</v>
      </c>
      <c r="EJ60" s="179">
        <f>IFERROR(__xludf.DUMMYFUNCTION("""COMPUTED_VALUE"""),0.0)</f>
        <v>0</v>
      </c>
      <c r="EK60" s="180">
        <f>IFERROR(__xludf.DUMMYFUNCTION("""COMPUTED_VALUE"""),45813.0)</f>
        <v>45813</v>
      </c>
      <c r="EL60" s="179">
        <f>IFERROR(__xludf.DUMMYFUNCTION("""COMPUTED_VALUE"""),0.0)</f>
        <v>0</v>
      </c>
      <c r="EM60" s="182">
        <f>IFERROR(__xludf.DUMMYFUNCTION("""COMPUTED_VALUE"""),45782.0)</f>
        <v>45782</v>
      </c>
      <c r="EN60" s="179">
        <f>IFERROR(__xludf.DUMMYFUNCTION("""COMPUTED_VALUE"""),0.0)</f>
        <v>0</v>
      </c>
      <c r="EO60" s="180">
        <f>IFERROR(__xludf.DUMMYFUNCTION("""COMPUTED_VALUE"""),45905.0)</f>
        <v>45905</v>
      </c>
      <c r="EP60" s="179">
        <f>IFERROR(__xludf.DUMMYFUNCTION("""COMPUTED_VALUE"""),0.0)</f>
        <v>0</v>
      </c>
      <c r="EQ60" s="180">
        <f>IFERROR(__xludf.DUMMYFUNCTION("""COMPUTED_VALUE"""),45874.0)</f>
        <v>45874</v>
      </c>
      <c r="ER60" s="179">
        <f>IFERROR(__xludf.DUMMYFUNCTION("""COMPUTED_VALUE"""),0.0)</f>
        <v>0</v>
      </c>
      <c r="ES60" s="180">
        <f>IFERROR(__xludf.DUMMYFUNCTION("""COMPUTED_VALUE"""),45905.0)</f>
        <v>45905</v>
      </c>
      <c r="ET60" s="179">
        <f>IFERROR(__xludf.DUMMYFUNCTION("""COMPUTED_VALUE"""),0.0)</f>
        <v>0</v>
      </c>
      <c r="EU60" s="180">
        <f>IFERROR(__xludf.DUMMYFUNCTION("""COMPUTED_VALUE"""),45874.0)</f>
        <v>45874</v>
      </c>
      <c r="EV60" s="179">
        <f>IFERROR(__xludf.DUMMYFUNCTION("""COMPUTED_VALUE"""),0.0)</f>
        <v>0</v>
      </c>
      <c r="EW60" s="180">
        <f>IFERROR(__xludf.DUMMYFUNCTION("""COMPUTED_VALUE"""),45905.0)</f>
        <v>45905</v>
      </c>
      <c r="EX60" s="179">
        <f>IFERROR(__xludf.DUMMYFUNCTION("""COMPUTED_VALUE"""),0.0)</f>
        <v>0</v>
      </c>
      <c r="EY60" s="180">
        <f>IFERROR(__xludf.DUMMYFUNCTION("""COMPUTED_VALUE"""),45905.0)</f>
        <v>45905</v>
      </c>
      <c r="EZ60" s="179">
        <f>IFERROR(__xludf.DUMMYFUNCTION("""COMPUTED_VALUE"""),0.0)</f>
        <v>0</v>
      </c>
      <c r="FA60" s="180">
        <f>IFERROR(__xludf.DUMMYFUNCTION("""COMPUTED_VALUE"""),45874.0)</f>
        <v>45874</v>
      </c>
      <c r="FB60" s="179">
        <f>IFERROR(__xludf.DUMMYFUNCTION("""COMPUTED_VALUE"""),0.0)</f>
        <v>0</v>
      </c>
      <c r="FC60" s="180">
        <f>IFERROR(__xludf.DUMMYFUNCTION("""COMPUTED_VALUE"""),45905.0)</f>
        <v>45905</v>
      </c>
      <c r="FD60" s="179">
        <f>IFERROR(__xludf.DUMMYFUNCTION("""COMPUTED_VALUE"""),0.0)</f>
        <v>0</v>
      </c>
      <c r="FE60" s="180">
        <f>IFERROR(__xludf.DUMMYFUNCTION("""COMPUTED_VALUE"""),45782.0)</f>
        <v>45782</v>
      </c>
      <c r="FF60" s="179">
        <f>IFERROR(__xludf.DUMMYFUNCTION("""COMPUTED_VALUE"""),0.0)</f>
        <v>0</v>
      </c>
      <c r="FG60" s="182">
        <f>IFERROR(__xludf.DUMMYFUNCTION("""COMPUTED_VALUE"""),45874.0)</f>
        <v>45874</v>
      </c>
      <c r="FH60" s="179">
        <f>IFERROR(__xludf.DUMMYFUNCTION("""COMPUTED_VALUE"""),0.0)</f>
        <v>0</v>
      </c>
      <c r="FI60" s="180">
        <f>IFERROR(__xludf.DUMMYFUNCTION("""COMPUTED_VALUE"""),45843.0)</f>
        <v>45843</v>
      </c>
      <c r="FJ60" s="179">
        <f>IFERROR(__xludf.DUMMYFUNCTION("""COMPUTED_VALUE"""),0.0)</f>
        <v>0</v>
      </c>
      <c r="FK60" s="180">
        <f>IFERROR(__xludf.DUMMYFUNCTION("""COMPUTED_VALUE"""),45662.0)</f>
        <v>45662</v>
      </c>
      <c r="FL60" s="179">
        <f>IFERROR(__xludf.DUMMYFUNCTION("""COMPUTED_VALUE"""),0.0)</f>
        <v>0</v>
      </c>
      <c r="FM60" s="180">
        <f>IFERROR(__xludf.DUMMYFUNCTION("""COMPUTED_VALUE"""),45905.0)</f>
        <v>45905</v>
      </c>
      <c r="FN60" s="179">
        <f>IFERROR(__xludf.DUMMYFUNCTION("""COMPUTED_VALUE"""),0.0)</f>
        <v>0</v>
      </c>
      <c r="FO60" s="180">
        <f>IFERROR(__xludf.DUMMYFUNCTION("""COMPUTED_VALUE"""),45905.0)</f>
        <v>45905</v>
      </c>
      <c r="FP60" s="179">
        <f>IFERROR(__xludf.DUMMYFUNCTION("""COMPUTED_VALUE"""),0.0)</f>
        <v>0</v>
      </c>
      <c r="FQ60" s="180">
        <f>IFERROR(__xludf.DUMMYFUNCTION("""COMPUTED_VALUE"""),45905.0)</f>
        <v>45905</v>
      </c>
      <c r="FR60" s="179">
        <f>IFERROR(__xludf.DUMMYFUNCTION("""COMPUTED_VALUE"""),0.0)</f>
        <v>0</v>
      </c>
      <c r="FS60" s="180">
        <f>IFERROR(__xludf.DUMMYFUNCTION("""COMPUTED_VALUE"""),45843.0)</f>
        <v>45843</v>
      </c>
      <c r="FT60" s="179">
        <f>IFERROR(__xludf.DUMMYFUNCTION("""COMPUTED_VALUE"""),0.0)</f>
        <v>0</v>
      </c>
      <c r="FU60" s="180">
        <f>IFERROR(__xludf.DUMMYFUNCTION("""COMPUTED_VALUE"""),45905.0)</f>
        <v>45905</v>
      </c>
      <c r="FV60" s="179">
        <f>IFERROR(__xludf.DUMMYFUNCTION("""COMPUTED_VALUE"""),0.0)</f>
        <v>0</v>
      </c>
      <c r="FW60" s="180">
        <f>IFERROR(__xludf.DUMMYFUNCTION("""COMPUTED_VALUE"""),45905.0)</f>
        <v>45905</v>
      </c>
      <c r="FX60" s="179">
        <f>IFERROR(__xludf.DUMMYFUNCTION("""COMPUTED_VALUE"""),0.0)</f>
        <v>0</v>
      </c>
      <c r="FY60" s="180">
        <f>IFERROR(__xludf.DUMMYFUNCTION("""COMPUTED_VALUE"""),45662.0)</f>
        <v>45662</v>
      </c>
      <c r="FZ60" s="179">
        <f>IFERROR(__xludf.DUMMYFUNCTION("""COMPUTED_VALUE"""),0.0)</f>
        <v>0</v>
      </c>
      <c r="GA60" s="182">
        <f>IFERROR(__xludf.DUMMYFUNCTION("""COMPUTED_VALUE"""),45905.0)</f>
        <v>45905</v>
      </c>
      <c r="GB60" s="179">
        <f>IFERROR(__xludf.DUMMYFUNCTION("""COMPUTED_VALUE"""),0.0)</f>
        <v>0</v>
      </c>
      <c r="GC60" s="180">
        <f>IFERROR(__xludf.DUMMYFUNCTION("""COMPUTED_VALUE"""),45813.0)</f>
        <v>45813</v>
      </c>
      <c r="GD60" s="179">
        <f>IFERROR(__xludf.DUMMYFUNCTION("""COMPUTED_VALUE"""),0.0)</f>
        <v>0</v>
      </c>
      <c r="GE60" s="180">
        <f>IFERROR(__xludf.DUMMYFUNCTION("""COMPUTED_VALUE"""),45813.0)</f>
        <v>45813</v>
      </c>
      <c r="GF60" s="179">
        <f>IFERROR(__xludf.DUMMYFUNCTION("""COMPUTED_VALUE"""),0.0)</f>
        <v>0</v>
      </c>
      <c r="GG60" s="180">
        <f>IFERROR(__xludf.DUMMYFUNCTION("""COMPUTED_VALUE"""),45874.0)</f>
        <v>45874</v>
      </c>
      <c r="GH60" s="179">
        <f>IFERROR(__xludf.DUMMYFUNCTION("""COMPUTED_VALUE"""),0.0)</f>
        <v>0</v>
      </c>
      <c r="GI60" s="180">
        <f>IFERROR(__xludf.DUMMYFUNCTION("""COMPUTED_VALUE"""),45905.0)</f>
        <v>45905</v>
      </c>
      <c r="GJ60" s="179">
        <f>IFERROR(__xludf.DUMMYFUNCTION("""COMPUTED_VALUE"""),0.0)</f>
        <v>0</v>
      </c>
      <c r="GK60" s="180">
        <f>IFERROR(__xludf.DUMMYFUNCTION("""COMPUTED_VALUE"""),45905.0)</f>
        <v>45905</v>
      </c>
      <c r="GL60" s="179">
        <f>IFERROR(__xludf.DUMMYFUNCTION("""COMPUTED_VALUE"""),0.0)</f>
        <v>0</v>
      </c>
      <c r="GM60" s="180">
        <f>IFERROR(__xludf.DUMMYFUNCTION("""COMPUTED_VALUE"""),45813.0)</f>
        <v>45813</v>
      </c>
      <c r="GN60" s="179">
        <f>IFERROR(__xludf.DUMMYFUNCTION("""COMPUTED_VALUE"""),0.0)</f>
        <v>0</v>
      </c>
      <c r="GO60" s="180">
        <f>IFERROR(__xludf.DUMMYFUNCTION("""COMPUTED_VALUE"""),45905.0)</f>
        <v>45905</v>
      </c>
      <c r="GP60" s="179">
        <f>IFERROR(__xludf.DUMMYFUNCTION("""COMPUTED_VALUE"""),0.0)</f>
        <v>0</v>
      </c>
      <c r="GQ60" s="180">
        <f>IFERROR(__xludf.DUMMYFUNCTION("""COMPUTED_VALUE"""),45905.0)</f>
        <v>45905</v>
      </c>
      <c r="GR60" s="179">
        <f>IFERROR(__xludf.DUMMYFUNCTION("""COMPUTED_VALUE"""),0.0)</f>
        <v>0</v>
      </c>
      <c r="GS60" s="180">
        <f>IFERROR(__xludf.DUMMYFUNCTION("""COMPUTED_VALUE"""),45782.0)</f>
        <v>45782</v>
      </c>
      <c r="GT60" s="179">
        <f>IFERROR(__xludf.DUMMYFUNCTION("""COMPUTED_VALUE"""),0.0)</f>
        <v>0</v>
      </c>
    </row>
    <row r="61" ht="31.5" customHeight="1">
      <c r="B61" s="183"/>
      <c r="C61" s="178">
        <f>IFERROR(__xludf.DUMMYFUNCTION("""COMPUTED_VALUE"""),45875.0)</f>
        <v>45875</v>
      </c>
      <c r="D61" s="179">
        <f>IFERROR(__xludf.DUMMYFUNCTION("""COMPUTED_VALUE"""),0.0)</f>
        <v>0</v>
      </c>
      <c r="E61" s="180">
        <f>IFERROR(__xludf.DUMMYFUNCTION("""COMPUTED_VALUE"""),45844.0)</f>
        <v>45844</v>
      </c>
      <c r="F61" s="179">
        <f>IFERROR(__xludf.DUMMYFUNCTION("""COMPUTED_VALUE"""),0.0)</f>
        <v>0</v>
      </c>
      <c r="G61" s="180">
        <f>IFERROR(__xludf.DUMMYFUNCTION("""COMPUTED_VALUE"""),45844.0)</f>
        <v>45844</v>
      </c>
      <c r="H61" s="179">
        <f>IFERROR(__xludf.DUMMYFUNCTION("""COMPUTED_VALUE"""),0.0)</f>
        <v>0</v>
      </c>
      <c r="I61" s="180">
        <f>IFERROR(__xludf.DUMMYFUNCTION("""COMPUTED_VALUE"""),45906.0)</f>
        <v>45906</v>
      </c>
      <c r="J61" s="179">
        <f>IFERROR(__xludf.DUMMYFUNCTION("""COMPUTED_VALUE"""),0.0)</f>
        <v>0</v>
      </c>
      <c r="K61" s="180">
        <f>IFERROR(__xludf.DUMMYFUNCTION("""COMPUTED_VALUE"""),45844.0)</f>
        <v>45844</v>
      </c>
      <c r="L61" s="179">
        <f>IFERROR(__xludf.DUMMYFUNCTION("""COMPUTED_VALUE"""),0.0)</f>
        <v>0</v>
      </c>
      <c r="M61" s="180">
        <f>IFERROR(__xludf.DUMMYFUNCTION("""COMPUTED_VALUE"""),45875.0)</f>
        <v>45875</v>
      </c>
      <c r="N61" s="179">
        <f>IFERROR(__xludf.DUMMYFUNCTION("""COMPUTED_VALUE"""),0.0)</f>
        <v>0</v>
      </c>
      <c r="O61" s="180">
        <f>IFERROR(__xludf.DUMMYFUNCTION("""COMPUTED_VALUE"""),45814.0)</f>
        <v>45814</v>
      </c>
      <c r="P61" s="179">
        <f>IFERROR(__xludf.DUMMYFUNCTION("""COMPUTED_VALUE"""),0.0)</f>
        <v>0</v>
      </c>
      <c r="Q61" s="180">
        <f>IFERROR(__xludf.DUMMYFUNCTION("""COMPUTED_VALUE"""),45814.0)</f>
        <v>45814</v>
      </c>
      <c r="R61" s="179">
        <f>IFERROR(__xludf.DUMMYFUNCTION("""COMPUTED_VALUE"""),0.0)</f>
        <v>0</v>
      </c>
      <c r="S61" s="180">
        <f>IFERROR(__xludf.DUMMYFUNCTION("""COMPUTED_VALUE"""),45844.0)</f>
        <v>45844</v>
      </c>
      <c r="T61" s="179">
        <f>IFERROR(__xludf.DUMMYFUNCTION("""COMPUTED_VALUE"""),0.0)</f>
        <v>0</v>
      </c>
      <c r="U61" s="180">
        <f>IFERROR(__xludf.DUMMYFUNCTION("""COMPUTED_VALUE"""),45722.0)</f>
        <v>45722</v>
      </c>
      <c r="V61" s="181">
        <f>IFERROR(__xludf.DUMMYFUNCTION("""COMPUTED_VALUE"""),0.0)</f>
        <v>0</v>
      </c>
      <c r="W61" s="178">
        <f>IFERROR(__xludf.DUMMYFUNCTION("""COMPUTED_VALUE"""),45906.0)</f>
        <v>45906</v>
      </c>
      <c r="X61" s="179">
        <f>IFERROR(__xludf.DUMMYFUNCTION("""COMPUTED_VALUE"""),0.0)</f>
        <v>0</v>
      </c>
      <c r="Y61" s="180">
        <f>IFERROR(__xludf.DUMMYFUNCTION("""COMPUTED_VALUE"""),45753.0)</f>
        <v>45753</v>
      </c>
      <c r="Z61" s="179">
        <f>IFERROR(__xludf.DUMMYFUNCTION("""COMPUTED_VALUE"""),0.0)</f>
        <v>0</v>
      </c>
      <c r="AA61" s="180">
        <f>IFERROR(__xludf.DUMMYFUNCTION("""COMPUTED_VALUE"""),45875.0)</f>
        <v>45875</v>
      </c>
      <c r="AB61" s="179">
        <f>IFERROR(__xludf.DUMMYFUNCTION("""COMPUTED_VALUE"""),0.0)</f>
        <v>0</v>
      </c>
      <c r="AC61" s="180">
        <f>IFERROR(__xludf.DUMMYFUNCTION("""COMPUTED_VALUE"""),45694.0)</f>
        <v>45694</v>
      </c>
      <c r="AD61" s="179">
        <f>IFERROR(__xludf.DUMMYFUNCTION("""COMPUTED_VALUE"""),0.0)</f>
        <v>0</v>
      </c>
      <c r="AE61" s="180">
        <f>IFERROR(__xludf.DUMMYFUNCTION("""COMPUTED_VALUE"""),45783.0)</f>
        <v>45783</v>
      </c>
      <c r="AF61" s="179">
        <f>IFERROR(__xludf.DUMMYFUNCTION("""COMPUTED_VALUE"""),0.0)</f>
        <v>0</v>
      </c>
      <c r="AG61" s="180">
        <f>IFERROR(__xludf.DUMMYFUNCTION("""COMPUTED_VALUE"""),45906.0)</f>
        <v>45906</v>
      </c>
      <c r="AH61" s="179">
        <f>IFERROR(__xludf.DUMMYFUNCTION("""COMPUTED_VALUE"""),0.0)</f>
        <v>0</v>
      </c>
      <c r="AI61" s="180">
        <f>IFERROR(__xludf.DUMMYFUNCTION("""COMPUTED_VALUE"""),45722.0)</f>
        <v>45722</v>
      </c>
      <c r="AJ61" s="179">
        <f>IFERROR(__xludf.DUMMYFUNCTION("""COMPUTED_VALUE"""),0.0)</f>
        <v>0</v>
      </c>
      <c r="AK61" s="180">
        <f>IFERROR(__xludf.DUMMYFUNCTION("""COMPUTED_VALUE"""),45814.0)</f>
        <v>45814</v>
      </c>
      <c r="AL61" s="179">
        <f>IFERROR(__xludf.DUMMYFUNCTION("""COMPUTED_VALUE"""),0.0)</f>
        <v>0</v>
      </c>
      <c r="AM61" s="180">
        <f>IFERROR(__xludf.DUMMYFUNCTION("""COMPUTED_VALUE"""),45906.0)</f>
        <v>45906</v>
      </c>
      <c r="AN61" s="179">
        <f>IFERROR(__xludf.DUMMYFUNCTION("""COMPUTED_VALUE"""),0.0)</f>
        <v>0</v>
      </c>
      <c r="AO61" s="180">
        <f>IFERROR(__xludf.DUMMYFUNCTION("""COMPUTED_VALUE"""),45783.0)</f>
        <v>45783</v>
      </c>
      <c r="AP61" s="181">
        <f>IFERROR(__xludf.DUMMYFUNCTION("""COMPUTED_VALUE"""),0.0)</f>
        <v>0</v>
      </c>
      <c r="AQ61" s="178">
        <f>IFERROR(__xludf.DUMMYFUNCTION("""COMPUTED_VALUE"""),45906.0)</f>
        <v>45906</v>
      </c>
      <c r="AR61" s="179">
        <f>IFERROR(__xludf.DUMMYFUNCTION("""COMPUTED_VALUE"""),0.0)</f>
        <v>0</v>
      </c>
      <c r="AS61" s="180">
        <f>IFERROR(__xludf.DUMMYFUNCTION("""COMPUTED_VALUE"""),45906.0)</f>
        <v>45906</v>
      </c>
      <c r="AT61" s="179">
        <f>IFERROR(__xludf.DUMMYFUNCTION("""COMPUTED_VALUE"""),0.0)</f>
        <v>0</v>
      </c>
      <c r="AU61" s="180">
        <f>IFERROR(__xludf.DUMMYFUNCTION("""COMPUTED_VALUE"""),45875.0)</f>
        <v>45875</v>
      </c>
      <c r="AV61" s="179">
        <f>IFERROR(__xludf.DUMMYFUNCTION("""COMPUTED_VALUE"""),0.0)</f>
        <v>0</v>
      </c>
      <c r="AW61" s="180">
        <f>IFERROR(__xludf.DUMMYFUNCTION("""COMPUTED_VALUE"""),45875.0)</f>
        <v>45875</v>
      </c>
      <c r="AX61" s="179">
        <f>IFERROR(__xludf.DUMMYFUNCTION("""COMPUTED_VALUE"""),0.0)</f>
        <v>0</v>
      </c>
      <c r="AY61" s="180">
        <f>IFERROR(__xludf.DUMMYFUNCTION("""COMPUTED_VALUE"""),45906.0)</f>
        <v>45906</v>
      </c>
      <c r="AZ61" s="179">
        <f>IFERROR(__xludf.DUMMYFUNCTION("""COMPUTED_VALUE"""),0.0)</f>
        <v>0</v>
      </c>
      <c r="BA61" s="180">
        <f>IFERROR(__xludf.DUMMYFUNCTION("""COMPUTED_VALUE"""),45906.0)</f>
        <v>45906</v>
      </c>
      <c r="BB61" s="179">
        <f>IFERROR(__xludf.DUMMYFUNCTION("""COMPUTED_VALUE"""),0.0)</f>
        <v>0</v>
      </c>
      <c r="BC61" s="180">
        <f>IFERROR(__xludf.DUMMYFUNCTION("""COMPUTED_VALUE"""),45875.0)</f>
        <v>45875</v>
      </c>
      <c r="BD61" s="179">
        <f>IFERROR(__xludf.DUMMYFUNCTION("""COMPUTED_VALUE"""),0.0)</f>
        <v>0</v>
      </c>
      <c r="BE61" s="180">
        <f>IFERROR(__xludf.DUMMYFUNCTION("""COMPUTED_VALUE"""),45906.0)</f>
        <v>45906</v>
      </c>
      <c r="BF61" s="179">
        <f>IFERROR(__xludf.DUMMYFUNCTION("""COMPUTED_VALUE"""),0.0)</f>
        <v>0</v>
      </c>
      <c r="BG61" s="180">
        <f>IFERROR(__xludf.DUMMYFUNCTION("""COMPUTED_VALUE"""),45875.0)</f>
        <v>45875</v>
      </c>
      <c r="BH61" s="179">
        <f>IFERROR(__xludf.DUMMYFUNCTION("""COMPUTED_VALUE"""),0.0)</f>
        <v>0</v>
      </c>
      <c r="BI61" s="180">
        <f>IFERROR(__xludf.DUMMYFUNCTION("""COMPUTED_VALUE"""),45906.0)</f>
        <v>45906</v>
      </c>
      <c r="BJ61" s="179">
        <f>IFERROR(__xludf.DUMMYFUNCTION("""COMPUTED_VALUE"""),0.0)</f>
        <v>0</v>
      </c>
      <c r="BK61" s="182">
        <f>IFERROR(__xludf.DUMMYFUNCTION("""COMPUTED_VALUE"""),45906.0)</f>
        <v>45906</v>
      </c>
      <c r="BL61" s="179">
        <f>IFERROR(__xludf.DUMMYFUNCTION("""COMPUTED_VALUE"""),0.0)</f>
        <v>0</v>
      </c>
      <c r="BM61" s="180">
        <f>IFERROR(__xludf.DUMMYFUNCTION("""COMPUTED_VALUE"""),45906.0)</f>
        <v>45906</v>
      </c>
      <c r="BN61" s="179">
        <f>IFERROR(__xludf.DUMMYFUNCTION("""COMPUTED_VALUE"""),0.0)</f>
        <v>0</v>
      </c>
      <c r="BO61" s="180">
        <f>IFERROR(__xludf.DUMMYFUNCTION("""COMPUTED_VALUE"""),45875.0)</f>
        <v>45875</v>
      </c>
      <c r="BP61" s="179">
        <f>IFERROR(__xludf.DUMMYFUNCTION("""COMPUTED_VALUE"""),0.0)</f>
        <v>0</v>
      </c>
      <c r="BQ61" s="180">
        <f>IFERROR(__xludf.DUMMYFUNCTION("""COMPUTED_VALUE"""),45875.0)</f>
        <v>45875</v>
      </c>
      <c r="BR61" s="179">
        <f>IFERROR(__xludf.DUMMYFUNCTION("""COMPUTED_VALUE"""),0.0)</f>
        <v>0</v>
      </c>
      <c r="BS61" s="180">
        <f>IFERROR(__xludf.DUMMYFUNCTION("""COMPUTED_VALUE"""),45906.0)</f>
        <v>45906</v>
      </c>
      <c r="BT61" s="179">
        <f>IFERROR(__xludf.DUMMYFUNCTION("""COMPUTED_VALUE"""),0.0)</f>
        <v>0</v>
      </c>
      <c r="BU61" s="180">
        <f>IFERROR(__xludf.DUMMYFUNCTION("""COMPUTED_VALUE"""),45875.0)</f>
        <v>45875</v>
      </c>
      <c r="BV61" s="179">
        <f>IFERROR(__xludf.DUMMYFUNCTION("""COMPUTED_VALUE"""),0.0)</f>
        <v>0</v>
      </c>
      <c r="BW61" s="180">
        <f>IFERROR(__xludf.DUMMYFUNCTION("""COMPUTED_VALUE"""),45783.0)</f>
        <v>45783</v>
      </c>
      <c r="BX61" s="179">
        <f>IFERROR(__xludf.DUMMYFUNCTION("""COMPUTED_VALUE"""),0.0)</f>
        <v>0</v>
      </c>
      <c r="BY61" s="180">
        <f>IFERROR(__xludf.DUMMYFUNCTION("""COMPUTED_VALUE"""),45875.0)</f>
        <v>45875</v>
      </c>
      <c r="BZ61" s="179">
        <f>IFERROR(__xludf.DUMMYFUNCTION("""COMPUTED_VALUE"""),0.0)</f>
        <v>0</v>
      </c>
      <c r="CA61" s="180">
        <f>IFERROR(__xludf.DUMMYFUNCTION("""COMPUTED_VALUE"""),45906.0)</f>
        <v>45906</v>
      </c>
      <c r="CB61" s="179">
        <f>IFERROR(__xludf.DUMMYFUNCTION("""COMPUTED_VALUE"""),0.0)</f>
        <v>0</v>
      </c>
      <c r="CC61" s="180">
        <f>IFERROR(__xludf.DUMMYFUNCTION("""COMPUTED_VALUE"""),45906.0)</f>
        <v>45906</v>
      </c>
      <c r="CD61" s="179">
        <f>IFERROR(__xludf.DUMMYFUNCTION("""COMPUTED_VALUE"""),0.0)</f>
        <v>0</v>
      </c>
      <c r="CE61" s="182">
        <f>IFERROR(__xludf.DUMMYFUNCTION("""COMPUTED_VALUE"""),45906.0)</f>
        <v>45906</v>
      </c>
      <c r="CF61" s="179">
        <f>IFERROR(__xludf.DUMMYFUNCTION("""COMPUTED_VALUE"""),0.0)</f>
        <v>0</v>
      </c>
      <c r="CG61" s="180">
        <f>IFERROR(__xludf.DUMMYFUNCTION("""COMPUTED_VALUE"""),45783.0)</f>
        <v>45783</v>
      </c>
      <c r="CH61" s="179">
        <f>IFERROR(__xludf.DUMMYFUNCTION("""COMPUTED_VALUE"""),0.0)</f>
        <v>0</v>
      </c>
      <c r="CI61" s="180">
        <f>IFERROR(__xludf.DUMMYFUNCTION("""COMPUTED_VALUE"""),45783.0)</f>
        <v>45783</v>
      </c>
      <c r="CJ61" s="179">
        <f>IFERROR(__xludf.DUMMYFUNCTION("""COMPUTED_VALUE"""),0.0)</f>
        <v>0</v>
      </c>
      <c r="CK61" s="180">
        <f>IFERROR(__xludf.DUMMYFUNCTION("""COMPUTED_VALUE"""),45814.0)</f>
        <v>45814</v>
      </c>
      <c r="CL61" s="179">
        <f>IFERROR(__xludf.DUMMYFUNCTION("""COMPUTED_VALUE"""),0.0)</f>
        <v>0</v>
      </c>
      <c r="CM61" s="180">
        <f>IFERROR(__xludf.DUMMYFUNCTION("""COMPUTED_VALUE"""),45875.0)</f>
        <v>45875</v>
      </c>
      <c r="CN61" s="179">
        <f>IFERROR(__xludf.DUMMYFUNCTION("""COMPUTED_VALUE"""),0.0)</f>
        <v>0</v>
      </c>
      <c r="CO61" s="180">
        <f>IFERROR(__xludf.DUMMYFUNCTION("""COMPUTED_VALUE"""),45844.0)</f>
        <v>45844</v>
      </c>
      <c r="CP61" s="179">
        <f>IFERROR(__xludf.DUMMYFUNCTION("""COMPUTED_VALUE"""),0.0)</f>
        <v>0</v>
      </c>
      <c r="CQ61" s="180">
        <f>IFERROR(__xludf.DUMMYFUNCTION("""COMPUTED_VALUE"""),45694.0)</f>
        <v>45694</v>
      </c>
      <c r="CR61" s="179">
        <f>IFERROR(__xludf.DUMMYFUNCTION("""COMPUTED_VALUE"""),0.0)</f>
        <v>0</v>
      </c>
      <c r="CS61" s="180">
        <f>IFERROR(__xludf.DUMMYFUNCTION("""COMPUTED_VALUE"""),45844.0)</f>
        <v>45844</v>
      </c>
      <c r="CT61" s="179">
        <f>IFERROR(__xludf.DUMMYFUNCTION("""COMPUTED_VALUE"""),0.0)</f>
        <v>0</v>
      </c>
      <c r="CU61" s="180">
        <f>IFERROR(__xludf.DUMMYFUNCTION("""COMPUTED_VALUE"""),45906.0)</f>
        <v>45906</v>
      </c>
      <c r="CV61" s="179">
        <f>IFERROR(__xludf.DUMMYFUNCTION("""COMPUTED_VALUE"""),0.0)</f>
        <v>0</v>
      </c>
      <c r="CW61" s="180">
        <f>IFERROR(__xludf.DUMMYFUNCTION("""COMPUTED_VALUE"""),45663.0)</f>
        <v>45663</v>
      </c>
      <c r="CX61" s="179">
        <f>IFERROR(__xludf.DUMMYFUNCTION("""COMPUTED_VALUE"""),0.0)</f>
        <v>0</v>
      </c>
      <c r="CY61" s="182">
        <f>IFERROR(__xludf.DUMMYFUNCTION("""COMPUTED_VALUE"""),45935.0)</f>
        <v>45935</v>
      </c>
      <c r="CZ61" s="179">
        <f>IFERROR(__xludf.DUMMYFUNCTION("""COMPUTED_VALUE"""),0.0)</f>
        <v>0</v>
      </c>
      <c r="DA61" s="180">
        <f>IFERROR(__xludf.DUMMYFUNCTION("""COMPUTED_VALUE"""),45935.0)</f>
        <v>45935</v>
      </c>
      <c r="DB61" s="179">
        <f>IFERROR(__xludf.DUMMYFUNCTION("""COMPUTED_VALUE"""),0.0)</f>
        <v>0</v>
      </c>
      <c r="DC61" s="180">
        <f>IFERROR(__xludf.DUMMYFUNCTION("""COMPUTED_VALUE"""),45813.0)</f>
        <v>45813</v>
      </c>
      <c r="DD61" s="179">
        <f>IFERROR(__xludf.DUMMYFUNCTION("""COMPUTED_VALUE"""),0.0)</f>
        <v>0</v>
      </c>
      <c r="DE61" s="180">
        <f>IFERROR(__xludf.DUMMYFUNCTION("""COMPUTED_VALUE"""),45935.0)</f>
        <v>45935</v>
      </c>
      <c r="DF61" s="179">
        <f>IFERROR(__xludf.DUMMYFUNCTION("""COMPUTED_VALUE"""),0.0)</f>
        <v>0</v>
      </c>
      <c r="DG61" s="180">
        <f>IFERROR(__xludf.DUMMYFUNCTION("""COMPUTED_VALUE"""),45935.0)</f>
        <v>45935</v>
      </c>
      <c r="DH61" s="179">
        <f>IFERROR(__xludf.DUMMYFUNCTION("""COMPUTED_VALUE"""),0.0)</f>
        <v>0</v>
      </c>
      <c r="DI61" s="180">
        <f>IFERROR(__xludf.DUMMYFUNCTION("""COMPUTED_VALUE"""),45935.0)</f>
        <v>45935</v>
      </c>
      <c r="DJ61" s="179">
        <f>IFERROR(__xludf.DUMMYFUNCTION("""COMPUTED_VALUE"""),0.0)</f>
        <v>0</v>
      </c>
      <c r="DK61" s="180">
        <f>IFERROR(__xludf.DUMMYFUNCTION("""COMPUTED_VALUE"""),45935.0)</f>
        <v>45935</v>
      </c>
      <c r="DL61" s="179">
        <f>IFERROR(__xludf.DUMMYFUNCTION("""COMPUTED_VALUE"""),0.0)</f>
        <v>0</v>
      </c>
      <c r="DM61" s="180">
        <f>IFERROR(__xludf.DUMMYFUNCTION("""COMPUTED_VALUE"""),45935.0)</f>
        <v>45935</v>
      </c>
      <c r="DN61" s="179">
        <f>IFERROR(__xludf.DUMMYFUNCTION("""COMPUTED_VALUE"""),0.0)</f>
        <v>0</v>
      </c>
      <c r="DO61" s="180">
        <f>IFERROR(__xludf.DUMMYFUNCTION("""COMPUTED_VALUE"""),45935.0)</f>
        <v>45935</v>
      </c>
      <c r="DP61" s="179">
        <f>IFERROR(__xludf.DUMMYFUNCTION("""COMPUTED_VALUE"""),0.0)</f>
        <v>0</v>
      </c>
      <c r="DQ61" s="180">
        <f>IFERROR(__xludf.DUMMYFUNCTION("""COMPUTED_VALUE"""),45782.0)</f>
        <v>45782</v>
      </c>
      <c r="DR61" s="179">
        <f>IFERROR(__xludf.DUMMYFUNCTION("""COMPUTED_VALUE"""),0.0)</f>
        <v>0</v>
      </c>
      <c r="DS61" s="182">
        <f>IFERROR(__xludf.DUMMYFUNCTION("""COMPUTED_VALUE"""),45905.0)</f>
        <v>45905</v>
      </c>
      <c r="DT61" s="179">
        <f>IFERROR(__xludf.DUMMYFUNCTION("""COMPUTED_VALUE"""),0.0)</f>
        <v>0</v>
      </c>
      <c r="DU61" s="180">
        <f>IFERROR(__xludf.DUMMYFUNCTION("""COMPUTED_VALUE"""),45874.0)</f>
        <v>45874</v>
      </c>
      <c r="DV61" s="179">
        <f>IFERROR(__xludf.DUMMYFUNCTION("""COMPUTED_VALUE"""),0.0)</f>
        <v>0</v>
      </c>
      <c r="DW61" s="180">
        <f>IFERROR(__xludf.DUMMYFUNCTION("""COMPUTED_VALUE"""),45874.0)</f>
        <v>45874</v>
      </c>
      <c r="DX61" s="179">
        <f>IFERROR(__xludf.DUMMYFUNCTION("""COMPUTED_VALUE"""),0.0)</f>
        <v>0</v>
      </c>
      <c r="DY61" s="180">
        <f>IFERROR(__xludf.DUMMYFUNCTION("""COMPUTED_VALUE"""),45905.0)</f>
        <v>45905</v>
      </c>
      <c r="DZ61" s="179">
        <f>IFERROR(__xludf.DUMMYFUNCTION("""COMPUTED_VALUE"""),0.0)</f>
        <v>0</v>
      </c>
      <c r="EA61" s="180">
        <f>IFERROR(__xludf.DUMMYFUNCTION("""COMPUTED_VALUE"""),45935.0)</f>
        <v>45935</v>
      </c>
      <c r="EB61" s="179">
        <f>IFERROR(__xludf.DUMMYFUNCTION("""COMPUTED_VALUE"""),0.0)</f>
        <v>0</v>
      </c>
      <c r="EC61" s="180">
        <f>IFERROR(__xludf.DUMMYFUNCTION("""COMPUTED_VALUE"""),45905.0)</f>
        <v>45905</v>
      </c>
      <c r="ED61" s="179">
        <f>IFERROR(__xludf.DUMMYFUNCTION("""COMPUTED_VALUE"""),0.0)</f>
        <v>0</v>
      </c>
      <c r="EE61" s="180">
        <f>IFERROR(__xludf.DUMMYFUNCTION("""COMPUTED_VALUE"""),45813.0)</f>
        <v>45813</v>
      </c>
      <c r="EF61" s="179">
        <f>IFERROR(__xludf.DUMMYFUNCTION("""COMPUTED_VALUE"""),0.0)</f>
        <v>0</v>
      </c>
      <c r="EG61" s="180">
        <f>IFERROR(__xludf.DUMMYFUNCTION("""COMPUTED_VALUE"""),45905.0)</f>
        <v>45905</v>
      </c>
      <c r="EH61" s="179">
        <f>IFERROR(__xludf.DUMMYFUNCTION("""COMPUTED_VALUE"""),0.0)</f>
        <v>0</v>
      </c>
      <c r="EI61" s="180">
        <f>IFERROR(__xludf.DUMMYFUNCTION("""COMPUTED_VALUE"""),45905.0)</f>
        <v>45905</v>
      </c>
      <c r="EJ61" s="179">
        <f>IFERROR(__xludf.DUMMYFUNCTION("""COMPUTED_VALUE"""),0.0)</f>
        <v>0</v>
      </c>
      <c r="EK61" s="180">
        <f>IFERROR(__xludf.DUMMYFUNCTION("""COMPUTED_VALUE"""),45843.0)</f>
        <v>45843</v>
      </c>
      <c r="EL61" s="179">
        <f>IFERROR(__xludf.DUMMYFUNCTION("""COMPUTED_VALUE"""),0.0)</f>
        <v>0</v>
      </c>
      <c r="EM61" s="182">
        <f>IFERROR(__xludf.DUMMYFUNCTION("""COMPUTED_VALUE"""),45813.0)</f>
        <v>45813</v>
      </c>
      <c r="EN61" s="179">
        <f>IFERROR(__xludf.DUMMYFUNCTION("""COMPUTED_VALUE"""),0.0)</f>
        <v>0</v>
      </c>
      <c r="EO61" s="180">
        <f>IFERROR(__xludf.DUMMYFUNCTION("""COMPUTED_VALUE"""),45935.0)</f>
        <v>45935</v>
      </c>
      <c r="EP61" s="179">
        <f>IFERROR(__xludf.DUMMYFUNCTION("""COMPUTED_VALUE"""),0.0)</f>
        <v>0</v>
      </c>
      <c r="EQ61" s="180">
        <f>IFERROR(__xludf.DUMMYFUNCTION("""COMPUTED_VALUE"""),45905.0)</f>
        <v>45905</v>
      </c>
      <c r="ER61" s="179">
        <f>IFERROR(__xludf.DUMMYFUNCTION("""COMPUTED_VALUE"""),0.0)</f>
        <v>0</v>
      </c>
      <c r="ES61" s="180">
        <f>IFERROR(__xludf.DUMMYFUNCTION("""COMPUTED_VALUE"""),45935.0)</f>
        <v>45935</v>
      </c>
      <c r="ET61" s="179">
        <f>IFERROR(__xludf.DUMMYFUNCTION("""COMPUTED_VALUE"""),0.0)</f>
        <v>0</v>
      </c>
      <c r="EU61" s="180">
        <f>IFERROR(__xludf.DUMMYFUNCTION("""COMPUTED_VALUE"""),45905.0)</f>
        <v>45905</v>
      </c>
      <c r="EV61" s="179">
        <f>IFERROR(__xludf.DUMMYFUNCTION("""COMPUTED_VALUE"""),0.0)</f>
        <v>0</v>
      </c>
      <c r="EW61" s="180">
        <f>IFERROR(__xludf.DUMMYFUNCTION("""COMPUTED_VALUE"""),45935.0)</f>
        <v>45935</v>
      </c>
      <c r="EX61" s="179">
        <f>IFERROR(__xludf.DUMMYFUNCTION("""COMPUTED_VALUE"""),0.0)</f>
        <v>0</v>
      </c>
      <c r="EY61" s="180">
        <f>IFERROR(__xludf.DUMMYFUNCTION("""COMPUTED_VALUE"""),45935.0)</f>
        <v>45935</v>
      </c>
      <c r="EZ61" s="179">
        <f>IFERROR(__xludf.DUMMYFUNCTION("""COMPUTED_VALUE"""),0.0)</f>
        <v>0</v>
      </c>
      <c r="FA61" s="180">
        <f>IFERROR(__xludf.DUMMYFUNCTION("""COMPUTED_VALUE"""),45905.0)</f>
        <v>45905</v>
      </c>
      <c r="FB61" s="179">
        <f>IFERROR(__xludf.DUMMYFUNCTION("""COMPUTED_VALUE"""),0.0)</f>
        <v>0</v>
      </c>
      <c r="FC61" s="180">
        <f>IFERROR(__xludf.DUMMYFUNCTION("""COMPUTED_VALUE"""),45935.0)</f>
        <v>45935</v>
      </c>
      <c r="FD61" s="179">
        <f>IFERROR(__xludf.DUMMYFUNCTION("""COMPUTED_VALUE"""),0.0)</f>
        <v>0</v>
      </c>
      <c r="FE61" s="180">
        <f>IFERROR(__xludf.DUMMYFUNCTION("""COMPUTED_VALUE"""),45813.0)</f>
        <v>45813</v>
      </c>
      <c r="FF61" s="179">
        <f>IFERROR(__xludf.DUMMYFUNCTION("""COMPUTED_VALUE"""),0.0)</f>
        <v>0</v>
      </c>
      <c r="FG61" s="182">
        <f>IFERROR(__xludf.DUMMYFUNCTION("""COMPUTED_VALUE"""),45905.0)</f>
        <v>45905</v>
      </c>
      <c r="FH61" s="179">
        <f>IFERROR(__xludf.DUMMYFUNCTION("""COMPUTED_VALUE"""),0.0)</f>
        <v>0</v>
      </c>
      <c r="FI61" s="180">
        <f>IFERROR(__xludf.DUMMYFUNCTION("""COMPUTED_VALUE"""),45874.0)</f>
        <v>45874</v>
      </c>
      <c r="FJ61" s="179">
        <f>IFERROR(__xludf.DUMMYFUNCTION("""COMPUTED_VALUE"""),0.0)</f>
        <v>0</v>
      </c>
      <c r="FK61" s="180">
        <f>IFERROR(__xludf.DUMMYFUNCTION("""COMPUTED_VALUE"""),45693.0)</f>
        <v>45693</v>
      </c>
      <c r="FL61" s="179">
        <f>IFERROR(__xludf.DUMMYFUNCTION("""COMPUTED_VALUE"""),0.0)</f>
        <v>0</v>
      </c>
      <c r="FM61" s="180">
        <f>IFERROR(__xludf.DUMMYFUNCTION("""COMPUTED_VALUE"""),45935.0)</f>
        <v>45935</v>
      </c>
      <c r="FN61" s="179">
        <f>IFERROR(__xludf.DUMMYFUNCTION("""COMPUTED_VALUE"""),0.0)</f>
        <v>0</v>
      </c>
      <c r="FO61" s="180">
        <f>IFERROR(__xludf.DUMMYFUNCTION("""COMPUTED_VALUE"""),45935.0)</f>
        <v>45935</v>
      </c>
      <c r="FP61" s="179">
        <f>IFERROR(__xludf.DUMMYFUNCTION("""COMPUTED_VALUE"""),0.0)</f>
        <v>0</v>
      </c>
      <c r="FQ61" s="180">
        <f>IFERROR(__xludf.DUMMYFUNCTION("""COMPUTED_VALUE"""),45935.0)</f>
        <v>45935</v>
      </c>
      <c r="FR61" s="179">
        <f>IFERROR(__xludf.DUMMYFUNCTION("""COMPUTED_VALUE"""),0.0)</f>
        <v>0</v>
      </c>
      <c r="FS61" s="180">
        <f>IFERROR(__xludf.DUMMYFUNCTION("""COMPUTED_VALUE"""),45874.0)</f>
        <v>45874</v>
      </c>
      <c r="FT61" s="179">
        <f>IFERROR(__xludf.DUMMYFUNCTION("""COMPUTED_VALUE"""),0.0)</f>
        <v>0</v>
      </c>
      <c r="FU61" s="180">
        <f>IFERROR(__xludf.DUMMYFUNCTION("""COMPUTED_VALUE"""),45935.0)</f>
        <v>45935</v>
      </c>
      <c r="FV61" s="179">
        <f>IFERROR(__xludf.DUMMYFUNCTION("""COMPUTED_VALUE"""),0.0)</f>
        <v>0</v>
      </c>
      <c r="FW61" s="180">
        <f>IFERROR(__xludf.DUMMYFUNCTION("""COMPUTED_VALUE"""),45935.0)</f>
        <v>45935</v>
      </c>
      <c r="FX61" s="179">
        <f>IFERROR(__xludf.DUMMYFUNCTION("""COMPUTED_VALUE"""),0.0)</f>
        <v>0</v>
      </c>
      <c r="FY61" s="180">
        <f>IFERROR(__xludf.DUMMYFUNCTION("""COMPUTED_VALUE"""),45752.0)</f>
        <v>45752</v>
      </c>
      <c r="FZ61" s="179">
        <f>IFERROR(__xludf.DUMMYFUNCTION("""COMPUTED_VALUE"""),0.0)</f>
        <v>0</v>
      </c>
      <c r="GA61" s="182">
        <f>IFERROR(__xludf.DUMMYFUNCTION("""COMPUTED_VALUE"""),45935.0)</f>
        <v>45935</v>
      </c>
      <c r="GB61" s="179">
        <f>IFERROR(__xludf.DUMMYFUNCTION("""COMPUTED_VALUE"""),0.0)</f>
        <v>0</v>
      </c>
      <c r="GC61" s="180">
        <f>IFERROR(__xludf.DUMMYFUNCTION("""COMPUTED_VALUE"""),45874.0)</f>
        <v>45874</v>
      </c>
      <c r="GD61" s="179">
        <f>IFERROR(__xludf.DUMMYFUNCTION("""COMPUTED_VALUE"""),0.0)</f>
        <v>0</v>
      </c>
      <c r="GE61" s="180">
        <f>IFERROR(__xludf.DUMMYFUNCTION("""COMPUTED_VALUE"""),45874.0)</f>
        <v>45874</v>
      </c>
      <c r="GF61" s="179">
        <f>IFERROR(__xludf.DUMMYFUNCTION("""COMPUTED_VALUE"""),0.0)</f>
        <v>0</v>
      </c>
      <c r="GG61" s="180">
        <f>IFERROR(__xludf.DUMMYFUNCTION("""COMPUTED_VALUE"""),45905.0)</f>
        <v>45905</v>
      </c>
      <c r="GH61" s="179">
        <f>IFERROR(__xludf.DUMMYFUNCTION("""COMPUTED_VALUE"""),0.0)</f>
        <v>0</v>
      </c>
      <c r="GI61" s="180">
        <f>IFERROR(__xludf.DUMMYFUNCTION("""COMPUTED_VALUE"""),45935.0)</f>
        <v>45935</v>
      </c>
      <c r="GJ61" s="179">
        <f>IFERROR(__xludf.DUMMYFUNCTION("""COMPUTED_VALUE"""),0.0)</f>
        <v>0</v>
      </c>
      <c r="GK61" s="180">
        <f>IFERROR(__xludf.DUMMYFUNCTION("""COMPUTED_VALUE"""),45935.0)</f>
        <v>45935</v>
      </c>
      <c r="GL61" s="179">
        <f>IFERROR(__xludf.DUMMYFUNCTION("""COMPUTED_VALUE"""),0.0)</f>
        <v>0</v>
      </c>
      <c r="GM61" s="180">
        <f>IFERROR(__xludf.DUMMYFUNCTION("""COMPUTED_VALUE"""),45843.0)</f>
        <v>45843</v>
      </c>
      <c r="GN61" s="179">
        <f>IFERROR(__xludf.DUMMYFUNCTION("""COMPUTED_VALUE"""),0.0)</f>
        <v>0</v>
      </c>
      <c r="GO61" s="180">
        <f>IFERROR(__xludf.DUMMYFUNCTION("""COMPUTED_VALUE"""),45935.0)</f>
        <v>45935</v>
      </c>
      <c r="GP61" s="179">
        <f>IFERROR(__xludf.DUMMYFUNCTION("""COMPUTED_VALUE"""),0.0)</f>
        <v>0</v>
      </c>
      <c r="GQ61" s="180">
        <f>IFERROR(__xludf.DUMMYFUNCTION("""COMPUTED_VALUE"""),45935.0)</f>
        <v>45935</v>
      </c>
      <c r="GR61" s="179">
        <f>IFERROR(__xludf.DUMMYFUNCTION("""COMPUTED_VALUE"""),0.0)</f>
        <v>0</v>
      </c>
      <c r="GS61" s="180">
        <f>IFERROR(__xludf.DUMMYFUNCTION("""COMPUTED_VALUE"""),45813.0)</f>
        <v>45813</v>
      </c>
      <c r="GT61" s="179">
        <f>IFERROR(__xludf.DUMMYFUNCTION("""COMPUTED_VALUE"""),0.0)</f>
        <v>0</v>
      </c>
    </row>
    <row r="62" ht="31.5" customHeight="1">
      <c r="B62" s="183"/>
      <c r="C62" s="178">
        <f>IFERROR(__xludf.DUMMYFUNCTION("""COMPUTED_VALUE"""),45906.0)</f>
        <v>45906</v>
      </c>
      <c r="D62" s="179">
        <f>IFERROR(__xludf.DUMMYFUNCTION("""COMPUTED_VALUE"""),0.0)</f>
        <v>0</v>
      </c>
      <c r="E62" s="180">
        <f>IFERROR(__xludf.DUMMYFUNCTION("""COMPUTED_VALUE"""),45875.0)</f>
        <v>45875</v>
      </c>
      <c r="F62" s="179">
        <f>IFERROR(__xludf.DUMMYFUNCTION("""COMPUTED_VALUE"""),0.0)</f>
        <v>0</v>
      </c>
      <c r="G62" s="180">
        <f>IFERROR(__xludf.DUMMYFUNCTION("""COMPUTED_VALUE"""),45875.0)</f>
        <v>45875</v>
      </c>
      <c r="H62" s="179">
        <f>IFERROR(__xludf.DUMMYFUNCTION("""COMPUTED_VALUE"""),0.0)</f>
        <v>0</v>
      </c>
      <c r="I62" s="180">
        <f>IFERROR(__xludf.DUMMYFUNCTION("""COMPUTED_VALUE"""),45936.0)</f>
        <v>45936</v>
      </c>
      <c r="J62" s="179">
        <f>IFERROR(__xludf.DUMMYFUNCTION("""COMPUTED_VALUE"""),0.0)</f>
        <v>0</v>
      </c>
      <c r="K62" s="180">
        <f>IFERROR(__xludf.DUMMYFUNCTION("""COMPUTED_VALUE"""),45875.0)</f>
        <v>45875</v>
      </c>
      <c r="L62" s="179">
        <f>IFERROR(__xludf.DUMMYFUNCTION("""COMPUTED_VALUE"""),0.0)</f>
        <v>0</v>
      </c>
      <c r="M62" s="180">
        <f>IFERROR(__xludf.DUMMYFUNCTION("""COMPUTED_VALUE"""),45906.0)</f>
        <v>45906</v>
      </c>
      <c r="N62" s="179">
        <f>IFERROR(__xludf.DUMMYFUNCTION("""COMPUTED_VALUE"""),0.0)</f>
        <v>0</v>
      </c>
      <c r="O62" s="180">
        <f>IFERROR(__xludf.DUMMYFUNCTION("""COMPUTED_VALUE"""),45875.0)</f>
        <v>45875</v>
      </c>
      <c r="P62" s="179">
        <f>IFERROR(__xludf.DUMMYFUNCTION("""COMPUTED_VALUE"""),0.0)</f>
        <v>0</v>
      </c>
      <c r="Q62" s="180">
        <f>IFERROR(__xludf.DUMMYFUNCTION("""COMPUTED_VALUE"""),45906.0)</f>
        <v>45906</v>
      </c>
      <c r="R62" s="179">
        <f>IFERROR(__xludf.DUMMYFUNCTION("""COMPUTED_VALUE"""),0.0)</f>
        <v>0</v>
      </c>
      <c r="S62" s="180">
        <f>IFERROR(__xludf.DUMMYFUNCTION("""COMPUTED_VALUE"""),45875.0)</f>
        <v>45875</v>
      </c>
      <c r="T62" s="179">
        <f>IFERROR(__xludf.DUMMYFUNCTION("""COMPUTED_VALUE"""),0.0)</f>
        <v>0</v>
      </c>
      <c r="U62" s="180">
        <f>IFERROR(__xludf.DUMMYFUNCTION("""COMPUTED_VALUE"""),45753.0)</f>
        <v>45753</v>
      </c>
      <c r="V62" s="181">
        <f>IFERROR(__xludf.DUMMYFUNCTION("""COMPUTED_VALUE"""),0.0)</f>
        <v>0</v>
      </c>
      <c r="W62" s="178">
        <f>IFERROR(__xludf.DUMMYFUNCTION("""COMPUTED_VALUE"""),45936.0)</f>
        <v>45936</v>
      </c>
      <c r="X62" s="179">
        <f>IFERROR(__xludf.DUMMYFUNCTION("""COMPUTED_VALUE"""),0.0)</f>
        <v>0</v>
      </c>
      <c r="Y62" s="180">
        <f>IFERROR(__xludf.DUMMYFUNCTION("""COMPUTED_VALUE"""),45783.0)</f>
        <v>45783</v>
      </c>
      <c r="Z62" s="179">
        <f>IFERROR(__xludf.DUMMYFUNCTION("""COMPUTED_VALUE"""),0.0)</f>
        <v>0</v>
      </c>
      <c r="AA62" s="180">
        <f>IFERROR(__xludf.DUMMYFUNCTION("""COMPUTED_VALUE"""),45906.0)</f>
        <v>45906</v>
      </c>
      <c r="AB62" s="179">
        <f>IFERROR(__xludf.DUMMYFUNCTION("""COMPUTED_VALUE"""),0.0)</f>
        <v>0</v>
      </c>
      <c r="AC62" s="180">
        <f>IFERROR(__xludf.DUMMYFUNCTION("""COMPUTED_VALUE"""),45722.0)</f>
        <v>45722</v>
      </c>
      <c r="AD62" s="179">
        <f>IFERROR(__xludf.DUMMYFUNCTION("""COMPUTED_VALUE"""),0.0)</f>
        <v>0</v>
      </c>
      <c r="AE62" s="180">
        <f>IFERROR(__xludf.DUMMYFUNCTION("""COMPUTED_VALUE"""),45814.0)</f>
        <v>45814</v>
      </c>
      <c r="AF62" s="179">
        <f>IFERROR(__xludf.DUMMYFUNCTION("""COMPUTED_VALUE"""),0.0)</f>
        <v>0</v>
      </c>
      <c r="AG62" s="180">
        <f>IFERROR(__xludf.DUMMYFUNCTION("""COMPUTED_VALUE"""),45936.0)</f>
        <v>45936</v>
      </c>
      <c r="AH62" s="179">
        <f>IFERROR(__xludf.DUMMYFUNCTION("""COMPUTED_VALUE"""),0.0)</f>
        <v>0</v>
      </c>
      <c r="AI62" s="180">
        <f>IFERROR(__xludf.DUMMYFUNCTION("""COMPUTED_VALUE"""),45753.0)</f>
        <v>45753</v>
      </c>
      <c r="AJ62" s="179">
        <f>IFERROR(__xludf.DUMMYFUNCTION("""COMPUTED_VALUE"""),0.0)</f>
        <v>0</v>
      </c>
      <c r="AK62" s="180">
        <f>IFERROR(__xludf.DUMMYFUNCTION("""COMPUTED_VALUE"""),45844.0)</f>
        <v>45844</v>
      </c>
      <c r="AL62" s="179">
        <f>IFERROR(__xludf.DUMMYFUNCTION("""COMPUTED_VALUE"""),0.0)</f>
        <v>0</v>
      </c>
      <c r="AM62" s="180">
        <f>IFERROR(__xludf.DUMMYFUNCTION("""COMPUTED_VALUE"""),45936.0)</f>
        <v>45936</v>
      </c>
      <c r="AN62" s="179">
        <f>IFERROR(__xludf.DUMMYFUNCTION("""COMPUTED_VALUE"""),0.0)</f>
        <v>0</v>
      </c>
      <c r="AO62" s="180">
        <f>IFERROR(__xludf.DUMMYFUNCTION("""COMPUTED_VALUE"""),45814.0)</f>
        <v>45814</v>
      </c>
      <c r="AP62" s="181">
        <f>IFERROR(__xludf.DUMMYFUNCTION("""COMPUTED_VALUE"""),0.0)</f>
        <v>0</v>
      </c>
      <c r="AQ62" s="178">
        <f>IFERROR(__xludf.DUMMYFUNCTION("""COMPUTED_VALUE"""),45936.0)</f>
        <v>45936</v>
      </c>
      <c r="AR62" s="179">
        <f>IFERROR(__xludf.DUMMYFUNCTION("""COMPUTED_VALUE"""),0.0)</f>
        <v>0</v>
      </c>
      <c r="AS62" s="180">
        <f>IFERROR(__xludf.DUMMYFUNCTION("""COMPUTED_VALUE"""),45936.0)</f>
        <v>45936</v>
      </c>
      <c r="AT62" s="179">
        <f>IFERROR(__xludf.DUMMYFUNCTION("""COMPUTED_VALUE"""),0.0)</f>
        <v>0</v>
      </c>
      <c r="AU62" s="180">
        <f>IFERROR(__xludf.DUMMYFUNCTION("""COMPUTED_VALUE"""),45906.0)</f>
        <v>45906</v>
      </c>
      <c r="AV62" s="179">
        <f>IFERROR(__xludf.DUMMYFUNCTION("""COMPUTED_VALUE"""),0.0)</f>
        <v>0</v>
      </c>
      <c r="AW62" s="180">
        <f>IFERROR(__xludf.DUMMYFUNCTION("""COMPUTED_VALUE"""),45906.0)</f>
        <v>45906</v>
      </c>
      <c r="AX62" s="179">
        <f>IFERROR(__xludf.DUMMYFUNCTION("""COMPUTED_VALUE"""),0.0)</f>
        <v>0</v>
      </c>
      <c r="AY62" s="180">
        <f>IFERROR(__xludf.DUMMYFUNCTION("""COMPUTED_VALUE"""),45936.0)</f>
        <v>45936</v>
      </c>
      <c r="AZ62" s="179">
        <f>IFERROR(__xludf.DUMMYFUNCTION("""COMPUTED_VALUE"""),0.0)</f>
        <v>0</v>
      </c>
      <c r="BA62" s="180">
        <f>IFERROR(__xludf.DUMMYFUNCTION("""COMPUTED_VALUE"""),45936.0)</f>
        <v>45936</v>
      </c>
      <c r="BB62" s="179">
        <f>IFERROR(__xludf.DUMMYFUNCTION("""COMPUTED_VALUE"""),0.0)</f>
        <v>0</v>
      </c>
      <c r="BC62" s="180">
        <f>IFERROR(__xludf.DUMMYFUNCTION("""COMPUTED_VALUE"""),45906.0)</f>
        <v>45906</v>
      </c>
      <c r="BD62" s="179">
        <f>IFERROR(__xludf.DUMMYFUNCTION("""COMPUTED_VALUE"""),0.0)</f>
        <v>0</v>
      </c>
      <c r="BE62" s="180">
        <f>IFERROR(__xludf.DUMMYFUNCTION("""COMPUTED_VALUE"""),45936.0)</f>
        <v>45936</v>
      </c>
      <c r="BF62" s="179">
        <f>IFERROR(__xludf.DUMMYFUNCTION("""COMPUTED_VALUE"""),0.0)</f>
        <v>0</v>
      </c>
      <c r="BG62" s="180">
        <f>IFERROR(__xludf.DUMMYFUNCTION("""COMPUTED_VALUE"""),45906.0)</f>
        <v>45906</v>
      </c>
      <c r="BH62" s="179">
        <f>IFERROR(__xludf.DUMMYFUNCTION("""COMPUTED_VALUE"""),0.0)</f>
        <v>0</v>
      </c>
      <c r="BI62" s="180">
        <f>IFERROR(__xludf.DUMMYFUNCTION("""COMPUTED_VALUE"""),45936.0)</f>
        <v>45936</v>
      </c>
      <c r="BJ62" s="179">
        <f>IFERROR(__xludf.DUMMYFUNCTION("""COMPUTED_VALUE"""),0.0)</f>
        <v>0</v>
      </c>
      <c r="BK62" s="182">
        <f>IFERROR(__xludf.DUMMYFUNCTION("""COMPUTED_VALUE"""),45936.0)</f>
        <v>45936</v>
      </c>
      <c r="BL62" s="179">
        <f>IFERROR(__xludf.DUMMYFUNCTION("""COMPUTED_VALUE"""),0.0)</f>
        <v>0</v>
      </c>
      <c r="BM62" s="180">
        <f>IFERROR(__xludf.DUMMYFUNCTION("""COMPUTED_VALUE"""),45936.0)</f>
        <v>45936</v>
      </c>
      <c r="BN62" s="179">
        <f>IFERROR(__xludf.DUMMYFUNCTION("""COMPUTED_VALUE"""),0.0)</f>
        <v>0</v>
      </c>
      <c r="BO62" s="180">
        <f>IFERROR(__xludf.DUMMYFUNCTION("""COMPUTED_VALUE"""),45906.0)</f>
        <v>45906</v>
      </c>
      <c r="BP62" s="179">
        <f>IFERROR(__xludf.DUMMYFUNCTION("""COMPUTED_VALUE"""),0.0)</f>
        <v>0</v>
      </c>
      <c r="BQ62" s="180">
        <f>IFERROR(__xludf.DUMMYFUNCTION("""COMPUTED_VALUE"""),45906.0)</f>
        <v>45906</v>
      </c>
      <c r="BR62" s="179">
        <f>IFERROR(__xludf.DUMMYFUNCTION("""COMPUTED_VALUE"""),0.0)</f>
        <v>0</v>
      </c>
      <c r="BS62" s="180">
        <f>IFERROR(__xludf.DUMMYFUNCTION("""COMPUTED_VALUE"""),45936.0)</f>
        <v>45936</v>
      </c>
      <c r="BT62" s="179">
        <f>IFERROR(__xludf.DUMMYFUNCTION("""COMPUTED_VALUE"""),0.0)</f>
        <v>0</v>
      </c>
      <c r="BU62" s="180">
        <f>IFERROR(__xludf.DUMMYFUNCTION("""COMPUTED_VALUE"""),45936.0)</f>
        <v>45936</v>
      </c>
      <c r="BV62" s="179">
        <f>IFERROR(__xludf.DUMMYFUNCTION("""COMPUTED_VALUE"""),0.0)</f>
        <v>0</v>
      </c>
      <c r="BW62" s="180">
        <f>IFERROR(__xludf.DUMMYFUNCTION("""COMPUTED_VALUE"""),45814.0)</f>
        <v>45814</v>
      </c>
      <c r="BX62" s="179">
        <f>IFERROR(__xludf.DUMMYFUNCTION("""COMPUTED_VALUE"""),0.0)</f>
        <v>0</v>
      </c>
      <c r="BY62" s="180">
        <f>IFERROR(__xludf.DUMMYFUNCTION("""COMPUTED_VALUE"""),45906.0)</f>
        <v>45906</v>
      </c>
      <c r="BZ62" s="179">
        <f>IFERROR(__xludf.DUMMYFUNCTION("""COMPUTED_VALUE"""),0.0)</f>
        <v>0</v>
      </c>
      <c r="CA62" s="180">
        <f>IFERROR(__xludf.DUMMYFUNCTION("""COMPUTED_VALUE"""),45936.0)</f>
        <v>45936</v>
      </c>
      <c r="CB62" s="179">
        <f>IFERROR(__xludf.DUMMYFUNCTION("""COMPUTED_VALUE"""),0.0)</f>
        <v>0</v>
      </c>
      <c r="CC62" s="180">
        <f>IFERROR(__xludf.DUMMYFUNCTION("""COMPUTED_VALUE"""),45936.0)</f>
        <v>45936</v>
      </c>
      <c r="CD62" s="179">
        <f>IFERROR(__xludf.DUMMYFUNCTION("""COMPUTED_VALUE"""),0.0)</f>
        <v>0</v>
      </c>
      <c r="CE62" s="182">
        <f>IFERROR(__xludf.DUMMYFUNCTION("""COMPUTED_VALUE"""),45936.0)</f>
        <v>45936</v>
      </c>
      <c r="CF62" s="179">
        <f>IFERROR(__xludf.DUMMYFUNCTION("""COMPUTED_VALUE"""),0.0)</f>
        <v>0</v>
      </c>
      <c r="CG62" s="180">
        <f>IFERROR(__xludf.DUMMYFUNCTION("""COMPUTED_VALUE"""),45814.0)</f>
        <v>45814</v>
      </c>
      <c r="CH62" s="179">
        <f>IFERROR(__xludf.DUMMYFUNCTION("""COMPUTED_VALUE"""),0.0)</f>
        <v>0</v>
      </c>
      <c r="CI62" s="180">
        <f>IFERROR(__xludf.DUMMYFUNCTION("""COMPUTED_VALUE"""),45814.0)</f>
        <v>45814</v>
      </c>
      <c r="CJ62" s="179">
        <f>IFERROR(__xludf.DUMMYFUNCTION("""COMPUTED_VALUE"""),0.0)</f>
        <v>0</v>
      </c>
      <c r="CK62" s="180">
        <f>IFERROR(__xludf.DUMMYFUNCTION("""COMPUTED_VALUE"""),45844.0)</f>
        <v>45844</v>
      </c>
      <c r="CL62" s="179">
        <f>IFERROR(__xludf.DUMMYFUNCTION("""COMPUTED_VALUE"""),0.0)</f>
        <v>0</v>
      </c>
      <c r="CM62" s="180">
        <f>IFERROR(__xludf.DUMMYFUNCTION("""COMPUTED_VALUE"""),45906.0)</f>
        <v>45906</v>
      </c>
      <c r="CN62" s="179">
        <f>IFERROR(__xludf.DUMMYFUNCTION("""COMPUTED_VALUE"""),0.0)</f>
        <v>0</v>
      </c>
      <c r="CO62" s="180">
        <f>IFERROR(__xludf.DUMMYFUNCTION("""COMPUTED_VALUE"""),45875.0)</f>
        <v>45875</v>
      </c>
      <c r="CP62" s="179">
        <f>IFERROR(__xludf.DUMMYFUNCTION("""COMPUTED_VALUE"""),0.0)</f>
        <v>0</v>
      </c>
      <c r="CQ62" s="180">
        <f>IFERROR(__xludf.DUMMYFUNCTION("""COMPUTED_VALUE"""),45722.0)</f>
        <v>45722</v>
      </c>
      <c r="CR62" s="179">
        <f>IFERROR(__xludf.DUMMYFUNCTION("""COMPUTED_VALUE"""),0.0)</f>
        <v>0</v>
      </c>
      <c r="CS62" s="180">
        <f>IFERROR(__xludf.DUMMYFUNCTION("""COMPUTED_VALUE"""),45875.0)</f>
        <v>45875</v>
      </c>
      <c r="CT62" s="179">
        <f>IFERROR(__xludf.DUMMYFUNCTION("""COMPUTED_VALUE"""),0.0)</f>
        <v>0</v>
      </c>
      <c r="CU62" s="180">
        <f>IFERROR(__xludf.DUMMYFUNCTION("""COMPUTED_VALUE"""),45936.0)</f>
        <v>45936</v>
      </c>
      <c r="CV62" s="179">
        <f>IFERROR(__xludf.DUMMYFUNCTION("""COMPUTED_VALUE"""),0.0)</f>
        <v>0</v>
      </c>
      <c r="CW62" s="180">
        <f>IFERROR(__xludf.DUMMYFUNCTION("""COMPUTED_VALUE"""),45694.0)</f>
        <v>45694</v>
      </c>
      <c r="CX62" s="179">
        <f>IFERROR(__xludf.DUMMYFUNCTION("""COMPUTED_VALUE"""),0.0)</f>
        <v>0</v>
      </c>
      <c r="CY62" s="182">
        <f>IFERROR(__xludf.DUMMYFUNCTION("""COMPUTED_VALUE"""),45663.0)</f>
        <v>45663</v>
      </c>
      <c r="CZ62" s="179">
        <f>IFERROR(__xludf.DUMMYFUNCTION("""COMPUTED_VALUE"""),0.0)</f>
        <v>0</v>
      </c>
      <c r="DA62" s="180">
        <f>IFERROR(__xludf.DUMMYFUNCTION("""COMPUTED_VALUE"""),45694.0)</f>
        <v>45694</v>
      </c>
      <c r="DB62" s="179">
        <f>IFERROR(__xludf.DUMMYFUNCTION("""COMPUTED_VALUE"""),0.0)</f>
        <v>0</v>
      </c>
      <c r="DC62" s="180">
        <f>IFERROR(__xludf.DUMMYFUNCTION("""COMPUTED_VALUE"""),45843.0)</f>
        <v>45843</v>
      </c>
      <c r="DD62" s="179">
        <f>IFERROR(__xludf.DUMMYFUNCTION("""COMPUTED_VALUE"""),0.0)</f>
        <v>0</v>
      </c>
      <c r="DE62" s="180">
        <f>IFERROR(__xludf.DUMMYFUNCTION("""COMPUTED_VALUE"""),45753.0)</f>
        <v>45753</v>
      </c>
      <c r="DF62" s="179">
        <f>IFERROR(__xludf.DUMMYFUNCTION("""COMPUTED_VALUE"""),0.0)</f>
        <v>0</v>
      </c>
      <c r="DG62" s="180">
        <f>IFERROR(__xludf.DUMMYFUNCTION("""COMPUTED_VALUE"""),45783.0)</f>
        <v>45783</v>
      </c>
      <c r="DH62" s="179">
        <f>IFERROR(__xludf.DUMMYFUNCTION("""COMPUTED_VALUE"""),0.0)</f>
        <v>0</v>
      </c>
      <c r="DI62" s="180">
        <f>IFERROR(__xludf.DUMMYFUNCTION("""COMPUTED_VALUE"""),45814.0)</f>
        <v>45814</v>
      </c>
      <c r="DJ62" s="179">
        <f>IFERROR(__xludf.DUMMYFUNCTION("""COMPUTED_VALUE"""),0.0)</f>
        <v>0</v>
      </c>
      <c r="DK62" s="180">
        <f>IFERROR(__xludf.DUMMYFUNCTION("""COMPUTED_VALUE"""),45844.0)</f>
        <v>45844</v>
      </c>
      <c r="DL62" s="179">
        <f>IFERROR(__xludf.DUMMYFUNCTION("""COMPUTED_VALUE"""),0.0)</f>
        <v>0</v>
      </c>
      <c r="DM62" s="180">
        <f>IFERROR(__xludf.DUMMYFUNCTION("""COMPUTED_VALUE"""),45875.0)</f>
        <v>45875</v>
      </c>
      <c r="DN62" s="179">
        <f>IFERROR(__xludf.DUMMYFUNCTION("""COMPUTED_VALUE"""),0.0)</f>
        <v>0</v>
      </c>
      <c r="DO62" s="180">
        <f>IFERROR(__xludf.DUMMYFUNCTION("""COMPUTED_VALUE"""),45906.0)</f>
        <v>45906</v>
      </c>
      <c r="DP62" s="179">
        <f>IFERROR(__xludf.DUMMYFUNCTION("""COMPUTED_VALUE"""),0.0)</f>
        <v>0</v>
      </c>
      <c r="DQ62" s="180">
        <f>IFERROR(__xludf.DUMMYFUNCTION("""COMPUTED_VALUE"""),45813.0)</f>
        <v>45813</v>
      </c>
      <c r="DR62" s="179">
        <f>IFERROR(__xludf.DUMMYFUNCTION("""COMPUTED_VALUE"""),0.0)</f>
        <v>0</v>
      </c>
      <c r="DS62" s="182">
        <f>IFERROR(__xludf.DUMMYFUNCTION("""COMPUTED_VALUE"""),45935.0)</f>
        <v>45935</v>
      </c>
      <c r="DT62" s="179">
        <f>IFERROR(__xludf.DUMMYFUNCTION("""COMPUTED_VALUE"""),0.0)</f>
        <v>0</v>
      </c>
      <c r="DU62" s="180">
        <f>IFERROR(__xludf.DUMMYFUNCTION("""COMPUTED_VALUE"""),45905.0)</f>
        <v>45905</v>
      </c>
      <c r="DV62" s="179">
        <f>IFERROR(__xludf.DUMMYFUNCTION("""COMPUTED_VALUE"""),0.0)</f>
        <v>0</v>
      </c>
      <c r="DW62" s="180">
        <f>IFERROR(__xludf.DUMMYFUNCTION("""COMPUTED_VALUE"""),45905.0)</f>
        <v>45905</v>
      </c>
      <c r="DX62" s="179">
        <f>IFERROR(__xludf.DUMMYFUNCTION("""COMPUTED_VALUE"""),0.0)</f>
        <v>0</v>
      </c>
      <c r="DY62" s="180">
        <f>IFERROR(__xludf.DUMMYFUNCTION("""COMPUTED_VALUE"""),45935.0)</f>
        <v>45935</v>
      </c>
      <c r="DZ62" s="179">
        <f>IFERROR(__xludf.DUMMYFUNCTION("""COMPUTED_VALUE"""),0.0)</f>
        <v>0</v>
      </c>
      <c r="EA62" s="180">
        <f>IFERROR(__xludf.DUMMYFUNCTION("""COMPUTED_VALUE"""),45663.0)</f>
        <v>45663</v>
      </c>
      <c r="EB62" s="179">
        <f>IFERROR(__xludf.DUMMYFUNCTION("""COMPUTED_VALUE"""),0.0)</f>
        <v>0</v>
      </c>
      <c r="EC62" s="180">
        <f>IFERROR(__xludf.DUMMYFUNCTION("""COMPUTED_VALUE"""),45935.0)</f>
        <v>45935</v>
      </c>
      <c r="ED62" s="179">
        <f>IFERROR(__xludf.DUMMYFUNCTION("""COMPUTED_VALUE"""),0.0)</f>
        <v>0</v>
      </c>
      <c r="EE62" s="180">
        <f>IFERROR(__xludf.DUMMYFUNCTION("""COMPUTED_VALUE"""),45843.0)</f>
        <v>45843</v>
      </c>
      <c r="EF62" s="179">
        <f>IFERROR(__xludf.DUMMYFUNCTION("""COMPUTED_VALUE"""),0.0)</f>
        <v>0</v>
      </c>
      <c r="EG62" s="180">
        <f>IFERROR(__xludf.DUMMYFUNCTION("""COMPUTED_VALUE"""),45935.0)</f>
        <v>45935</v>
      </c>
      <c r="EH62" s="179">
        <f>IFERROR(__xludf.DUMMYFUNCTION("""COMPUTED_VALUE"""),0.0)</f>
        <v>0</v>
      </c>
      <c r="EI62" s="180">
        <f>IFERROR(__xludf.DUMMYFUNCTION("""COMPUTED_VALUE"""),45935.0)</f>
        <v>45935</v>
      </c>
      <c r="EJ62" s="179">
        <f>IFERROR(__xludf.DUMMYFUNCTION("""COMPUTED_VALUE"""),0.0)</f>
        <v>0</v>
      </c>
      <c r="EK62" s="180">
        <f>IFERROR(__xludf.DUMMYFUNCTION("""COMPUTED_VALUE"""),45874.0)</f>
        <v>45874</v>
      </c>
      <c r="EL62" s="179">
        <f>IFERROR(__xludf.DUMMYFUNCTION("""COMPUTED_VALUE"""),0.0)</f>
        <v>0</v>
      </c>
      <c r="EM62" s="182">
        <f>IFERROR(__xludf.DUMMYFUNCTION("""COMPUTED_VALUE"""),45843.0)</f>
        <v>45843</v>
      </c>
      <c r="EN62" s="179">
        <f>IFERROR(__xludf.DUMMYFUNCTION("""COMPUTED_VALUE"""),0.0)</f>
        <v>0</v>
      </c>
      <c r="EO62" s="180">
        <f>IFERROR(__xludf.DUMMYFUNCTION("""COMPUTED_VALUE"""),45663.0)</f>
        <v>45663</v>
      </c>
      <c r="EP62" s="179">
        <f>IFERROR(__xludf.DUMMYFUNCTION("""COMPUTED_VALUE"""),0.0)</f>
        <v>0</v>
      </c>
      <c r="EQ62" s="180">
        <f>IFERROR(__xludf.DUMMYFUNCTION("""COMPUTED_VALUE"""),45935.0)</f>
        <v>45935</v>
      </c>
      <c r="ER62" s="179">
        <f>IFERROR(__xludf.DUMMYFUNCTION("""COMPUTED_VALUE"""),0.0)</f>
        <v>0</v>
      </c>
      <c r="ES62" s="180">
        <f>IFERROR(__xludf.DUMMYFUNCTION("""COMPUTED_VALUE"""),45663.0)</f>
        <v>45663</v>
      </c>
      <c r="ET62" s="179">
        <f>IFERROR(__xludf.DUMMYFUNCTION("""COMPUTED_VALUE"""),0.0)</f>
        <v>0</v>
      </c>
      <c r="EU62" s="180">
        <f>IFERROR(__xludf.DUMMYFUNCTION("""COMPUTED_VALUE"""),45935.0)</f>
        <v>45935</v>
      </c>
      <c r="EV62" s="179">
        <f>IFERROR(__xludf.DUMMYFUNCTION("""COMPUTED_VALUE"""),0.0)</f>
        <v>0</v>
      </c>
      <c r="EW62" s="180">
        <f>IFERROR(__xludf.DUMMYFUNCTION("""COMPUTED_VALUE"""),45663.0)</f>
        <v>45663</v>
      </c>
      <c r="EX62" s="179">
        <f>IFERROR(__xludf.DUMMYFUNCTION("""COMPUTED_VALUE"""),0.0)</f>
        <v>0</v>
      </c>
      <c r="EY62" s="180">
        <f>IFERROR(__xludf.DUMMYFUNCTION("""COMPUTED_VALUE"""),45663.0)</f>
        <v>45663</v>
      </c>
      <c r="EZ62" s="179">
        <f>IFERROR(__xludf.DUMMYFUNCTION("""COMPUTED_VALUE"""),0.0)</f>
        <v>0</v>
      </c>
      <c r="FA62" s="180">
        <f>IFERROR(__xludf.DUMMYFUNCTION("""COMPUTED_VALUE"""),45935.0)</f>
        <v>45935</v>
      </c>
      <c r="FB62" s="179">
        <f>IFERROR(__xludf.DUMMYFUNCTION("""COMPUTED_VALUE"""),0.0)</f>
        <v>0</v>
      </c>
      <c r="FC62" s="180">
        <f>IFERROR(__xludf.DUMMYFUNCTION("""COMPUTED_VALUE"""),45663.0)</f>
        <v>45663</v>
      </c>
      <c r="FD62" s="179">
        <f>IFERROR(__xludf.DUMMYFUNCTION("""COMPUTED_VALUE"""),0.0)</f>
        <v>0</v>
      </c>
      <c r="FE62" s="180">
        <f>IFERROR(__xludf.DUMMYFUNCTION("""COMPUTED_VALUE"""),45843.0)</f>
        <v>45843</v>
      </c>
      <c r="FF62" s="179">
        <f>IFERROR(__xludf.DUMMYFUNCTION("""COMPUTED_VALUE"""),0.0)</f>
        <v>0</v>
      </c>
      <c r="FG62" s="182">
        <f>IFERROR(__xludf.DUMMYFUNCTION("""COMPUTED_VALUE"""),45663.0)</f>
        <v>45663</v>
      </c>
      <c r="FH62" s="179">
        <f>IFERROR(__xludf.DUMMYFUNCTION("""COMPUTED_VALUE"""),0.0)</f>
        <v>0</v>
      </c>
      <c r="FI62" s="180">
        <f>IFERROR(__xludf.DUMMYFUNCTION("""COMPUTED_VALUE"""),45905.0)</f>
        <v>45905</v>
      </c>
      <c r="FJ62" s="179">
        <f>IFERROR(__xludf.DUMMYFUNCTION("""COMPUTED_VALUE"""),0.0)</f>
        <v>0</v>
      </c>
      <c r="FK62" s="180">
        <f>IFERROR(__xludf.DUMMYFUNCTION("""COMPUTED_VALUE"""),45721.0)</f>
        <v>45721</v>
      </c>
      <c r="FL62" s="179">
        <f>IFERROR(__xludf.DUMMYFUNCTION("""COMPUTED_VALUE"""),0.0)</f>
        <v>0</v>
      </c>
      <c r="FM62" s="180">
        <f>IFERROR(__xludf.DUMMYFUNCTION("""COMPUTED_VALUE"""),45663.0)</f>
        <v>45663</v>
      </c>
      <c r="FN62" s="179">
        <f>IFERROR(__xludf.DUMMYFUNCTION("""COMPUTED_VALUE"""),0.0)</f>
        <v>0</v>
      </c>
      <c r="FO62" s="180">
        <f>IFERROR(__xludf.DUMMYFUNCTION("""COMPUTED_VALUE"""),45663.0)</f>
        <v>45663</v>
      </c>
      <c r="FP62" s="179">
        <f>IFERROR(__xludf.DUMMYFUNCTION("""COMPUTED_VALUE"""),0.0)</f>
        <v>0</v>
      </c>
      <c r="FQ62" s="180">
        <f>IFERROR(__xludf.DUMMYFUNCTION("""COMPUTED_VALUE"""),45663.0)</f>
        <v>45663</v>
      </c>
      <c r="FR62" s="179">
        <f>IFERROR(__xludf.DUMMYFUNCTION("""COMPUTED_VALUE"""),0.0)</f>
        <v>0</v>
      </c>
      <c r="FS62" s="180">
        <f>IFERROR(__xludf.DUMMYFUNCTION("""COMPUTED_VALUE"""),45905.0)</f>
        <v>45905</v>
      </c>
      <c r="FT62" s="179">
        <f>IFERROR(__xludf.DUMMYFUNCTION("""COMPUTED_VALUE"""),0.0)</f>
        <v>0</v>
      </c>
      <c r="FU62" s="180">
        <f>IFERROR(__xludf.DUMMYFUNCTION("""COMPUTED_VALUE"""),45663.0)</f>
        <v>45663</v>
      </c>
      <c r="FV62" s="179">
        <f>IFERROR(__xludf.DUMMYFUNCTION("""COMPUTED_VALUE"""),0.0)</f>
        <v>0</v>
      </c>
      <c r="FW62" s="180">
        <f>IFERROR(__xludf.DUMMYFUNCTION("""COMPUTED_VALUE"""),45663.0)</f>
        <v>45663</v>
      </c>
      <c r="FX62" s="179">
        <f>IFERROR(__xludf.DUMMYFUNCTION("""COMPUTED_VALUE"""),0.0)</f>
        <v>0</v>
      </c>
      <c r="FY62" s="180">
        <f>IFERROR(__xludf.DUMMYFUNCTION("""COMPUTED_VALUE"""),45782.0)</f>
        <v>45782</v>
      </c>
      <c r="FZ62" s="179">
        <f>IFERROR(__xludf.DUMMYFUNCTION("""COMPUTED_VALUE"""),0.0)</f>
        <v>0</v>
      </c>
      <c r="GA62" s="182">
        <f>IFERROR(__xludf.DUMMYFUNCTION("""COMPUTED_VALUE"""),45663.0)</f>
        <v>45663</v>
      </c>
      <c r="GB62" s="179">
        <f>IFERROR(__xludf.DUMMYFUNCTION("""COMPUTED_VALUE"""),0.0)</f>
        <v>0</v>
      </c>
      <c r="GC62" s="180">
        <f>IFERROR(__xludf.DUMMYFUNCTION("""COMPUTED_VALUE"""),45905.0)</f>
        <v>45905</v>
      </c>
      <c r="GD62" s="179">
        <f>IFERROR(__xludf.DUMMYFUNCTION("""COMPUTED_VALUE"""),0.0)</f>
        <v>0</v>
      </c>
      <c r="GE62" s="180">
        <f>IFERROR(__xludf.DUMMYFUNCTION("""COMPUTED_VALUE"""),45905.0)</f>
        <v>45905</v>
      </c>
      <c r="GF62" s="179">
        <f>IFERROR(__xludf.DUMMYFUNCTION("""COMPUTED_VALUE"""),0.0)</f>
        <v>0</v>
      </c>
      <c r="GG62" s="180">
        <f>IFERROR(__xludf.DUMMYFUNCTION("""COMPUTED_VALUE"""),45935.0)</f>
        <v>45935</v>
      </c>
      <c r="GH62" s="179">
        <f>IFERROR(__xludf.DUMMYFUNCTION("""COMPUTED_VALUE"""),0.0)</f>
        <v>0</v>
      </c>
      <c r="GI62" s="180">
        <f>IFERROR(__xludf.DUMMYFUNCTION("""COMPUTED_VALUE"""),45663.0)</f>
        <v>45663</v>
      </c>
      <c r="GJ62" s="179">
        <f>IFERROR(__xludf.DUMMYFUNCTION("""COMPUTED_VALUE"""),0.0)</f>
        <v>0</v>
      </c>
      <c r="GK62" s="180">
        <f>IFERROR(__xludf.DUMMYFUNCTION("""COMPUTED_VALUE"""),45663.0)</f>
        <v>45663</v>
      </c>
      <c r="GL62" s="179">
        <f>IFERROR(__xludf.DUMMYFUNCTION("""COMPUTED_VALUE"""),0.0)</f>
        <v>0</v>
      </c>
      <c r="GM62" s="180">
        <f>IFERROR(__xludf.DUMMYFUNCTION("""COMPUTED_VALUE"""),45874.0)</f>
        <v>45874</v>
      </c>
      <c r="GN62" s="179">
        <f>IFERROR(__xludf.DUMMYFUNCTION("""COMPUTED_VALUE"""),0.0)</f>
        <v>0</v>
      </c>
      <c r="GO62" s="180">
        <f>IFERROR(__xludf.DUMMYFUNCTION("""COMPUTED_VALUE"""),45663.0)</f>
        <v>45663</v>
      </c>
      <c r="GP62" s="179">
        <f>IFERROR(__xludf.DUMMYFUNCTION("""COMPUTED_VALUE"""),0.0)</f>
        <v>0</v>
      </c>
      <c r="GQ62" s="180">
        <f>IFERROR(__xludf.DUMMYFUNCTION("""COMPUTED_VALUE"""),45663.0)</f>
        <v>45663</v>
      </c>
      <c r="GR62" s="179">
        <f>IFERROR(__xludf.DUMMYFUNCTION("""COMPUTED_VALUE"""),0.0)</f>
        <v>0</v>
      </c>
      <c r="GS62" s="180">
        <f>IFERROR(__xludf.DUMMYFUNCTION("""COMPUTED_VALUE"""),45874.0)</f>
        <v>45874</v>
      </c>
      <c r="GT62" s="179">
        <f>IFERROR(__xludf.DUMMYFUNCTION("""COMPUTED_VALUE"""),0.0)</f>
        <v>0</v>
      </c>
    </row>
    <row r="63" ht="31.5" customHeight="1">
      <c r="B63" s="183"/>
      <c r="C63" s="178">
        <f>IFERROR(__xludf.DUMMYFUNCTION("""COMPUTED_VALUE"""),45664.0)</f>
        <v>45664</v>
      </c>
      <c r="D63" s="179">
        <f>IFERROR(__xludf.DUMMYFUNCTION("""COMPUTED_VALUE"""),0.0)</f>
        <v>0</v>
      </c>
      <c r="E63" s="180">
        <f>IFERROR(__xludf.DUMMYFUNCTION("""COMPUTED_VALUE"""),45906.0)</f>
        <v>45906</v>
      </c>
      <c r="F63" s="179">
        <f>IFERROR(__xludf.DUMMYFUNCTION("""COMPUTED_VALUE"""),0.0)</f>
        <v>0</v>
      </c>
      <c r="G63" s="180">
        <f>IFERROR(__xludf.DUMMYFUNCTION("""COMPUTED_VALUE"""),45906.0)</f>
        <v>45906</v>
      </c>
      <c r="H63" s="179">
        <f>IFERROR(__xludf.DUMMYFUNCTION("""COMPUTED_VALUE"""),0.0)</f>
        <v>0</v>
      </c>
      <c r="I63" s="180">
        <f>IFERROR(__xludf.DUMMYFUNCTION("""COMPUTED_VALUE"""),45664.0)</f>
        <v>45664</v>
      </c>
      <c r="J63" s="179">
        <f>IFERROR(__xludf.DUMMYFUNCTION("""COMPUTED_VALUE"""),0.0)</f>
        <v>0</v>
      </c>
      <c r="K63" s="180">
        <f>IFERROR(__xludf.DUMMYFUNCTION("""COMPUTED_VALUE"""),45906.0)</f>
        <v>45906</v>
      </c>
      <c r="L63" s="179">
        <f>IFERROR(__xludf.DUMMYFUNCTION("""COMPUTED_VALUE"""),0.0)</f>
        <v>0</v>
      </c>
      <c r="M63" s="180">
        <f>IFERROR(__xludf.DUMMYFUNCTION("""COMPUTED_VALUE"""),45664.0)</f>
        <v>45664</v>
      </c>
      <c r="N63" s="179">
        <f>IFERROR(__xludf.DUMMYFUNCTION("""COMPUTED_VALUE"""),0.0)</f>
        <v>0</v>
      </c>
      <c r="O63" s="180">
        <f>IFERROR(__xludf.DUMMYFUNCTION("""COMPUTED_VALUE"""),45906.0)</f>
        <v>45906</v>
      </c>
      <c r="P63" s="179">
        <f>IFERROR(__xludf.DUMMYFUNCTION("""COMPUTED_VALUE"""),0.0)</f>
        <v>0</v>
      </c>
      <c r="Q63" s="180">
        <f>IFERROR(__xludf.DUMMYFUNCTION("""COMPUTED_VALUE"""),45664.0)</f>
        <v>45664</v>
      </c>
      <c r="R63" s="179">
        <f>IFERROR(__xludf.DUMMYFUNCTION("""COMPUTED_VALUE"""),0.0)</f>
        <v>0</v>
      </c>
      <c r="S63" s="180">
        <f>IFERROR(__xludf.DUMMYFUNCTION("""COMPUTED_VALUE"""),45906.0)</f>
        <v>45906</v>
      </c>
      <c r="T63" s="179">
        <f>IFERROR(__xludf.DUMMYFUNCTION("""COMPUTED_VALUE"""),0.0)</f>
        <v>0</v>
      </c>
      <c r="U63" s="180">
        <f>IFERROR(__xludf.DUMMYFUNCTION("""COMPUTED_VALUE"""),45906.0)</f>
        <v>45906</v>
      </c>
      <c r="V63" s="181">
        <f>IFERROR(__xludf.DUMMYFUNCTION("""COMPUTED_VALUE"""),0.0)</f>
        <v>0</v>
      </c>
      <c r="W63" s="178">
        <f>IFERROR(__xludf.DUMMYFUNCTION("""COMPUTED_VALUE"""),45664.0)</f>
        <v>45664</v>
      </c>
      <c r="X63" s="179">
        <f>IFERROR(__xludf.DUMMYFUNCTION("""COMPUTED_VALUE"""),0.0)</f>
        <v>0</v>
      </c>
      <c r="Y63" s="180">
        <f>IFERROR(__xludf.DUMMYFUNCTION("""COMPUTED_VALUE"""),45814.0)</f>
        <v>45814</v>
      </c>
      <c r="Z63" s="179">
        <f>IFERROR(__xludf.DUMMYFUNCTION("""COMPUTED_VALUE"""),0.0)</f>
        <v>0</v>
      </c>
      <c r="AA63" s="180">
        <f>IFERROR(__xludf.DUMMYFUNCTION("""COMPUTED_VALUE"""),45936.0)</f>
        <v>45936</v>
      </c>
      <c r="AB63" s="179">
        <f>IFERROR(__xludf.DUMMYFUNCTION("""COMPUTED_VALUE"""),0.0)</f>
        <v>0</v>
      </c>
      <c r="AC63" s="180">
        <f>IFERROR(__xludf.DUMMYFUNCTION("""COMPUTED_VALUE"""),45753.0)</f>
        <v>45753</v>
      </c>
      <c r="AD63" s="179">
        <f>IFERROR(__xludf.DUMMYFUNCTION("""COMPUTED_VALUE"""),0.0)</f>
        <v>0</v>
      </c>
      <c r="AE63" s="180">
        <f>IFERROR(__xludf.DUMMYFUNCTION("""COMPUTED_VALUE"""),45844.0)</f>
        <v>45844</v>
      </c>
      <c r="AF63" s="179">
        <f>IFERROR(__xludf.DUMMYFUNCTION("""COMPUTED_VALUE"""),0.0)</f>
        <v>0</v>
      </c>
      <c r="AG63" s="180">
        <f>IFERROR(__xludf.DUMMYFUNCTION("""COMPUTED_VALUE"""),45664.0)</f>
        <v>45664</v>
      </c>
      <c r="AH63" s="179">
        <f>IFERROR(__xludf.DUMMYFUNCTION("""COMPUTED_VALUE"""),0.0)</f>
        <v>0</v>
      </c>
      <c r="AI63" s="180">
        <f>IFERROR(__xludf.DUMMYFUNCTION("""COMPUTED_VALUE"""),45783.0)</f>
        <v>45783</v>
      </c>
      <c r="AJ63" s="179">
        <f>IFERROR(__xludf.DUMMYFUNCTION("""COMPUTED_VALUE"""),0.0)</f>
        <v>0</v>
      </c>
      <c r="AK63" s="180">
        <f>IFERROR(__xludf.DUMMYFUNCTION("""COMPUTED_VALUE"""),45875.0)</f>
        <v>45875</v>
      </c>
      <c r="AL63" s="179">
        <f>IFERROR(__xludf.DUMMYFUNCTION("""COMPUTED_VALUE"""),0.0)</f>
        <v>0</v>
      </c>
      <c r="AM63" s="180">
        <f>IFERROR(__xludf.DUMMYFUNCTION("""COMPUTED_VALUE"""),45664.0)</f>
        <v>45664</v>
      </c>
      <c r="AN63" s="179">
        <f>IFERROR(__xludf.DUMMYFUNCTION("""COMPUTED_VALUE"""),0.0)</f>
        <v>0</v>
      </c>
      <c r="AO63" s="180">
        <f>IFERROR(__xludf.DUMMYFUNCTION("""COMPUTED_VALUE"""),45844.0)</f>
        <v>45844</v>
      </c>
      <c r="AP63" s="181">
        <f>IFERROR(__xludf.DUMMYFUNCTION("""COMPUTED_VALUE"""),0.0)</f>
        <v>0</v>
      </c>
      <c r="AQ63" s="178">
        <f>IFERROR(__xludf.DUMMYFUNCTION("""COMPUTED_VALUE"""),45664.0)</f>
        <v>45664</v>
      </c>
      <c r="AR63" s="179">
        <f>IFERROR(__xludf.DUMMYFUNCTION("""COMPUTED_VALUE"""),0.0)</f>
        <v>0</v>
      </c>
      <c r="AS63" s="180">
        <f>IFERROR(__xludf.DUMMYFUNCTION("""COMPUTED_VALUE"""),45664.0)</f>
        <v>45664</v>
      </c>
      <c r="AT63" s="179">
        <f>IFERROR(__xludf.DUMMYFUNCTION("""COMPUTED_VALUE"""),0.0)</f>
        <v>0</v>
      </c>
      <c r="AU63" s="180">
        <f>IFERROR(__xludf.DUMMYFUNCTION("""COMPUTED_VALUE"""),45936.0)</f>
        <v>45936</v>
      </c>
      <c r="AV63" s="179">
        <f>IFERROR(__xludf.DUMMYFUNCTION("""COMPUTED_VALUE"""),0.0)</f>
        <v>0</v>
      </c>
      <c r="AW63" s="180">
        <f>IFERROR(__xludf.DUMMYFUNCTION("""COMPUTED_VALUE"""),45936.0)</f>
        <v>45936</v>
      </c>
      <c r="AX63" s="179">
        <f>IFERROR(__xludf.DUMMYFUNCTION("""COMPUTED_VALUE"""),0.0)</f>
        <v>0</v>
      </c>
      <c r="AY63" s="180">
        <f>IFERROR(__xludf.DUMMYFUNCTION("""COMPUTED_VALUE"""),45664.0)</f>
        <v>45664</v>
      </c>
      <c r="AZ63" s="179">
        <f>IFERROR(__xludf.DUMMYFUNCTION("""COMPUTED_VALUE"""),0.0)</f>
        <v>0</v>
      </c>
      <c r="BA63" s="180">
        <f>IFERROR(__xludf.DUMMYFUNCTION("""COMPUTED_VALUE"""),45664.0)</f>
        <v>45664</v>
      </c>
      <c r="BB63" s="179">
        <f>IFERROR(__xludf.DUMMYFUNCTION("""COMPUTED_VALUE"""),0.0)</f>
        <v>0</v>
      </c>
      <c r="BC63" s="180">
        <f>IFERROR(__xludf.DUMMYFUNCTION("""COMPUTED_VALUE"""),45936.0)</f>
        <v>45936</v>
      </c>
      <c r="BD63" s="179">
        <f>IFERROR(__xludf.DUMMYFUNCTION("""COMPUTED_VALUE"""),0.0)</f>
        <v>0</v>
      </c>
      <c r="BE63" s="180">
        <f>IFERROR(__xludf.DUMMYFUNCTION("""COMPUTED_VALUE"""),45664.0)</f>
        <v>45664</v>
      </c>
      <c r="BF63" s="179">
        <f>IFERROR(__xludf.DUMMYFUNCTION("""COMPUTED_VALUE"""),0.0)</f>
        <v>0</v>
      </c>
      <c r="BG63" s="180">
        <f>IFERROR(__xludf.DUMMYFUNCTION("""COMPUTED_VALUE"""),45936.0)</f>
        <v>45936</v>
      </c>
      <c r="BH63" s="179">
        <f>IFERROR(__xludf.DUMMYFUNCTION("""COMPUTED_VALUE"""),0.0)</f>
        <v>0</v>
      </c>
      <c r="BI63" s="180">
        <f>IFERROR(__xludf.DUMMYFUNCTION("""COMPUTED_VALUE"""),45664.0)</f>
        <v>45664</v>
      </c>
      <c r="BJ63" s="179">
        <f>IFERROR(__xludf.DUMMYFUNCTION("""COMPUTED_VALUE"""),0.0)</f>
        <v>0</v>
      </c>
      <c r="BK63" s="182">
        <f>IFERROR(__xludf.DUMMYFUNCTION("""COMPUTED_VALUE"""),45664.0)</f>
        <v>45664</v>
      </c>
      <c r="BL63" s="179">
        <f>IFERROR(__xludf.DUMMYFUNCTION("""COMPUTED_VALUE"""),0.0)</f>
        <v>0</v>
      </c>
      <c r="BM63" s="180">
        <f>IFERROR(__xludf.DUMMYFUNCTION("""COMPUTED_VALUE"""),45664.0)</f>
        <v>45664</v>
      </c>
      <c r="BN63" s="179">
        <f>IFERROR(__xludf.DUMMYFUNCTION("""COMPUTED_VALUE"""),0.0)</f>
        <v>0</v>
      </c>
      <c r="BO63" s="180">
        <f>IFERROR(__xludf.DUMMYFUNCTION("""COMPUTED_VALUE"""),45936.0)</f>
        <v>45936</v>
      </c>
      <c r="BP63" s="179">
        <f>IFERROR(__xludf.DUMMYFUNCTION("""COMPUTED_VALUE"""),0.0)</f>
        <v>0</v>
      </c>
      <c r="BQ63" s="180">
        <f>IFERROR(__xludf.DUMMYFUNCTION("""COMPUTED_VALUE"""),45936.0)</f>
        <v>45936</v>
      </c>
      <c r="BR63" s="179">
        <f>IFERROR(__xludf.DUMMYFUNCTION("""COMPUTED_VALUE"""),0.0)</f>
        <v>0</v>
      </c>
      <c r="BS63" s="180">
        <f>IFERROR(__xludf.DUMMYFUNCTION("""COMPUTED_VALUE"""),45664.0)</f>
        <v>45664</v>
      </c>
      <c r="BT63" s="179">
        <f>IFERROR(__xludf.DUMMYFUNCTION("""COMPUTED_VALUE"""),0.0)</f>
        <v>0</v>
      </c>
      <c r="BU63" s="180">
        <f>IFERROR(__xludf.DUMMYFUNCTION("""COMPUTED_VALUE"""),45664.0)</f>
        <v>45664</v>
      </c>
      <c r="BV63" s="179">
        <f>IFERROR(__xludf.DUMMYFUNCTION("""COMPUTED_VALUE"""),0.0)</f>
        <v>0</v>
      </c>
      <c r="BW63" s="180">
        <f>IFERROR(__xludf.DUMMYFUNCTION("""COMPUTED_VALUE"""),45664.0)</f>
        <v>45664</v>
      </c>
      <c r="BX63" s="179">
        <f>IFERROR(__xludf.DUMMYFUNCTION("""COMPUTED_VALUE"""),0.0)</f>
        <v>0</v>
      </c>
      <c r="BY63" s="180">
        <f>IFERROR(__xludf.DUMMYFUNCTION("""COMPUTED_VALUE"""),45936.0)</f>
        <v>45936</v>
      </c>
      <c r="BZ63" s="179">
        <f>IFERROR(__xludf.DUMMYFUNCTION("""COMPUTED_VALUE"""),0.0)</f>
        <v>0</v>
      </c>
      <c r="CA63" s="180">
        <f>IFERROR(__xludf.DUMMYFUNCTION("""COMPUTED_VALUE"""),45664.0)</f>
        <v>45664</v>
      </c>
      <c r="CB63" s="179">
        <f>IFERROR(__xludf.DUMMYFUNCTION("""COMPUTED_VALUE"""),0.0)</f>
        <v>0</v>
      </c>
      <c r="CC63" s="180">
        <f>IFERROR(__xludf.DUMMYFUNCTION("""COMPUTED_VALUE"""),45664.0)</f>
        <v>45664</v>
      </c>
      <c r="CD63" s="179">
        <f>IFERROR(__xludf.DUMMYFUNCTION("""COMPUTED_VALUE"""),0.0)</f>
        <v>0</v>
      </c>
      <c r="CE63" s="182">
        <f>IFERROR(__xludf.DUMMYFUNCTION("""COMPUTED_VALUE"""),45664.0)</f>
        <v>45664</v>
      </c>
      <c r="CF63" s="179">
        <f>IFERROR(__xludf.DUMMYFUNCTION("""COMPUTED_VALUE"""),0.0)</f>
        <v>0</v>
      </c>
      <c r="CG63" s="180">
        <f>IFERROR(__xludf.DUMMYFUNCTION("""COMPUTED_VALUE"""),45844.0)</f>
        <v>45844</v>
      </c>
      <c r="CH63" s="179">
        <f>IFERROR(__xludf.DUMMYFUNCTION("""COMPUTED_VALUE"""),0.0)</f>
        <v>0</v>
      </c>
      <c r="CI63" s="180">
        <f>IFERROR(__xludf.DUMMYFUNCTION("""COMPUTED_VALUE"""),45844.0)</f>
        <v>45844</v>
      </c>
      <c r="CJ63" s="179">
        <f>IFERROR(__xludf.DUMMYFUNCTION("""COMPUTED_VALUE"""),0.0)</f>
        <v>0</v>
      </c>
      <c r="CK63" s="180">
        <f>IFERROR(__xludf.DUMMYFUNCTION("""COMPUTED_VALUE"""),45875.0)</f>
        <v>45875</v>
      </c>
      <c r="CL63" s="179">
        <f>IFERROR(__xludf.DUMMYFUNCTION("""COMPUTED_VALUE"""),0.0)</f>
        <v>0</v>
      </c>
      <c r="CM63" s="180">
        <f>IFERROR(__xludf.DUMMYFUNCTION("""COMPUTED_VALUE"""),45936.0)</f>
        <v>45936</v>
      </c>
      <c r="CN63" s="179">
        <f>IFERROR(__xludf.DUMMYFUNCTION("""COMPUTED_VALUE"""),0.0)</f>
        <v>0</v>
      </c>
      <c r="CO63" s="180">
        <f>IFERROR(__xludf.DUMMYFUNCTION("""COMPUTED_VALUE"""),45906.0)</f>
        <v>45906</v>
      </c>
      <c r="CP63" s="179">
        <f>IFERROR(__xludf.DUMMYFUNCTION("""COMPUTED_VALUE"""),0.0)</f>
        <v>0</v>
      </c>
      <c r="CQ63" s="180">
        <f>IFERROR(__xludf.DUMMYFUNCTION("""COMPUTED_VALUE"""),45753.0)</f>
        <v>45753</v>
      </c>
      <c r="CR63" s="179">
        <f>IFERROR(__xludf.DUMMYFUNCTION("""COMPUTED_VALUE"""),0.0)</f>
        <v>0</v>
      </c>
      <c r="CS63" s="180">
        <f>IFERROR(__xludf.DUMMYFUNCTION("""COMPUTED_VALUE"""),45906.0)</f>
        <v>45906</v>
      </c>
      <c r="CT63" s="179">
        <f>IFERROR(__xludf.DUMMYFUNCTION("""COMPUTED_VALUE"""),0.0)</f>
        <v>0</v>
      </c>
      <c r="CU63" s="180">
        <f>IFERROR(__xludf.DUMMYFUNCTION("""COMPUTED_VALUE"""),45664.0)</f>
        <v>45664</v>
      </c>
      <c r="CV63" s="179">
        <f>IFERROR(__xludf.DUMMYFUNCTION("""COMPUTED_VALUE"""),0.0)</f>
        <v>0</v>
      </c>
      <c r="CW63" s="180">
        <f>IFERROR(__xludf.DUMMYFUNCTION("""COMPUTED_VALUE"""),45722.0)</f>
        <v>45722</v>
      </c>
      <c r="CX63" s="179">
        <f>IFERROR(__xludf.DUMMYFUNCTION("""COMPUTED_VALUE"""),0.0)</f>
        <v>0</v>
      </c>
      <c r="CY63" s="182">
        <f>IFERROR(__xludf.DUMMYFUNCTION("""COMPUTED_VALUE"""),45664.0)</f>
        <v>45664</v>
      </c>
      <c r="CZ63" s="179">
        <f>IFERROR(__xludf.DUMMYFUNCTION("""COMPUTED_VALUE"""),0.0)</f>
        <v>0</v>
      </c>
      <c r="DA63" s="180">
        <f>IFERROR(__xludf.DUMMYFUNCTION("""COMPUTED_VALUE"""),45664.0)</f>
        <v>45664</v>
      </c>
      <c r="DB63" s="179">
        <f>IFERROR(__xludf.DUMMYFUNCTION("""COMPUTED_VALUE"""),0.0)</f>
        <v>0</v>
      </c>
      <c r="DC63" s="180">
        <f>IFERROR(__xludf.DUMMYFUNCTION("""COMPUTED_VALUE"""),45874.0)</f>
        <v>45874</v>
      </c>
      <c r="DD63" s="179">
        <f>IFERROR(__xludf.DUMMYFUNCTION("""COMPUTED_VALUE"""),0.0)</f>
        <v>0</v>
      </c>
      <c r="DE63" s="180">
        <f>IFERROR(__xludf.DUMMYFUNCTION("""COMPUTED_VALUE"""),45664.0)</f>
        <v>45664</v>
      </c>
      <c r="DF63" s="179">
        <f>IFERROR(__xludf.DUMMYFUNCTION("""COMPUTED_VALUE"""),0.0)</f>
        <v>0</v>
      </c>
      <c r="DG63" s="180">
        <f>IFERROR(__xludf.DUMMYFUNCTION("""COMPUTED_VALUE"""),45664.0)</f>
        <v>45664</v>
      </c>
      <c r="DH63" s="179">
        <f>IFERROR(__xludf.DUMMYFUNCTION("""COMPUTED_VALUE"""),0.0)</f>
        <v>0</v>
      </c>
      <c r="DI63" s="180">
        <f>IFERROR(__xludf.DUMMYFUNCTION("""COMPUTED_VALUE"""),45664.0)</f>
        <v>45664</v>
      </c>
      <c r="DJ63" s="179">
        <f>IFERROR(__xludf.DUMMYFUNCTION("""COMPUTED_VALUE"""),0.0)</f>
        <v>0</v>
      </c>
      <c r="DK63" s="180">
        <f>IFERROR(__xludf.DUMMYFUNCTION("""COMPUTED_VALUE"""),45664.0)</f>
        <v>45664</v>
      </c>
      <c r="DL63" s="179">
        <f>IFERROR(__xludf.DUMMYFUNCTION("""COMPUTED_VALUE"""),0.0)</f>
        <v>0</v>
      </c>
      <c r="DM63" s="180">
        <f>IFERROR(__xludf.DUMMYFUNCTION("""COMPUTED_VALUE"""),45664.0)</f>
        <v>45664</v>
      </c>
      <c r="DN63" s="179">
        <f>IFERROR(__xludf.DUMMYFUNCTION("""COMPUTED_VALUE"""),0.0)</f>
        <v>0</v>
      </c>
      <c r="DO63" s="180">
        <f>IFERROR(__xludf.DUMMYFUNCTION("""COMPUTED_VALUE"""),45664.0)</f>
        <v>45664</v>
      </c>
      <c r="DP63" s="179">
        <f>IFERROR(__xludf.DUMMYFUNCTION("""COMPUTED_VALUE"""),0.0)</f>
        <v>0</v>
      </c>
      <c r="DQ63" s="180">
        <f>IFERROR(__xludf.DUMMYFUNCTION("""COMPUTED_VALUE"""),45874.0)</f>
        <v>45874</v>
      </c>
      <c r="DR63" s="179">
        <f>IFERROR(__xludf.DUMMYFUNCTION("""COMPUTED_VALUE"""),0.0)</f>
        <v>0</v>
      </c>
      <c r="DS63" s="182">
        <f>IFERROR(__xludf.DUMMYFUNCTION("""COMPUTED_VALUE"""),45663.0)</f>
        <v>45663</v>
      </c>
      <c r="DT63" s="179">
        <f>IFERROR(__xludf.DUMMYFUNCTION("""COMPUTED_VALUE"""),0.0)</f>
        <v>0</v>
      </c>
      <c r="DU63" s="180">
        <f>IFERROR(__xludf.DUMMYFUNCTION("""COMPUTED_VALUE"""),45935.0)</f>
        <v>45935</v>
      </c>
      <c r="DV63" s="179">
        <f>IFERROR(__xludf.DUMMYFUNCTION("""COMPUTED_VALUE"""),0.0)</f>
        <v>0</v>
      </c>
      <c r="DW63" s="180">
        <f>IFERROR(__xludf.DUMMYFUNCTION("""COMPUTED_VALUE"""),45935.0)</f>
        <v>45935</v>
      </c>
      <c r="DX63" s="179">
        <f>IFERROR(__xludf.DUMMYFUNCTION("""COMPUTED_VALUE"""),0.0)</f>
        <v>0</v>
      </c>
      <c r="DY63" s="180">
        <f>IFERROR(__xludf.DUMMYFUNCTION("""COMPUTED_VALUE"""),45663.0)</f>
        <v>45663</v>
      </c>
      <c r="DZ63" s="179">
        <f>IFERROR(__xludf.DUMMYFUNCTION("""COMPUTED_VALUE"""),0.0)</f>
        <v>0</v>
      </c>
      <c r="EA63" s="180">
        <f>IFERROR(__xludf.DUMMYFUNCTION("""COMPUTED_VALUE"""),45694.0)</f>
        <v>45694</v>
      </c>
      <c r="EB63" s="179">
        <f>IFERROR(__xludf.DUMMYFUNCTION("""COMPUTED_VALUE"""),0.0)</f>
        <v>0</v>
      </c>
      <c r="EC63" s="180">
        <f>IFERROR(__xludf.DUMMYFUNCTION("""COMPUTED_VALUE"""),45663.0)</f>
        <v>45663</v>
      </c>
      <c r="ED63" s="179">
        <f>IFERROR(__xludf.DUMMYFUNCTION("""COMPUTED_VALUE"""),0.0)</f>
        <v>0</v>
      </c>
      <c r="EE63" s="180">
        <f>IFERROR(__xludf.DUMMYFUNCTION("""COMPUTED_VALUE"""),45874.0)</f>
        <v>45874</v>
      </c>
      <c r="EF63" s="179">
        <f>IFERROR(__xludf.DUMMYFUNCTION("""COMPUTED_VALUE"""),0.0)</f>
        <v>0</v>
      </c>
      <c r="EG63" s="180">
        <f>IFERROR(__xludf.DUMMYFUNCTION("""COMPUTED_VALUE"""),45663.0)</f>
        <v>45663</v>
      </c>
      <c r="EH63" s="179">
        <f>IFERROR(__xludf.DUMMYFUNCTION("""COMPUTED_VALUE"""),0.0)</f>
        <v>0</v>
      </c>
      <c r="EI63" s="180">
        <f>IFERROR(__xludf.DUMMYFUNCTION("""COMPUTED_VALUE"""),45663.0)</f>
        <v>45663</v>
      </c>
      <c r="EJ63" s="179">
        <f>IFERROR(__xludf.DUMMYFUNCTION("""COMPUTED_VALUE"""),0.0)</f>
        <v>0</v>
      </c>
      <c r="EK63" s="180">
        <f>IFERROR(__xludf.DUMMYFUNCTION("""COMPUTED_VALUE"""),45905.0)</f>
        <v>45905</v>
      </c>
      <c r="EL63" s="179">
        <f>IFERROR(__xludf.DUMMYFUNCTION("""COMPUTED_VALUE"""),0.0)</f>
        <v>0</v>
      </c>
      <c r="EM63" s="182">
        <f>IFERROR(__xludf.DUMMYFUNCTION("""COMPUTED_VALUE"""),45874.0)</f>
        <v>45874</v>
      </c>
      <c r="EN63" s="179">
        <f>IFERROR(__xludf.DUMMYFUNCTION("""COMPUTED_VALUE"""),0.0)</f>
        <v>0</v>
      </c>
      <c r="EO63" s="180">
        <f>IFERROR(__xludf.DUMMYFUNCTION("""COMPUTED_VALUE"""),45694.0)</f>
        <v>45694</v>
      </c>
      <c r="EP63" s="179">
        <f>IFERROR(__xludf.DUMMYFUNCTION("""COMPUTED_VALUE"""),0.0)</f>
        <v>0</v>
      </c>
      <c r="EQ63" s="180">
        <f>IFERROR(__xludf.DUMMYFUNCTION("""COMPUTED_VALUE"""),45663.0)</f>
        <v>45663</v>
      </c>
      <c r="ER63" s="179">
        <f>IFERROR(__xludf.DUMMYFUNCTION("""COMPUTED_VALUE"""),0.0)</f>
        <v>0</v>
      </c>
      <c r="ES63" s="180">
        <f>IFERROR(__xludf.DUMMYFUNCTION("""COMPUTED_VALUE"""),45694.0)</f>
        <v>45694</v>
      </c>
      <c r="ET63" s="179">
        <f>IFERROR(__xludf.DUMMYFUNCTION("""COMPUTED_VALUE"""),0.0)</f>
        <v>0</v>
      </c>
      <c r="EU63" s="180">
        <f>IFERROR(__xludf.DUMMYFUNCTION("""COMPUTED_VALUE"""),45663.0)</f>
        <v>45663</v>
      </c>
      <c r="EV63" s="179">
        <f>IFERROR(__xludf.DUMMYFUNCTION("""COMPUTED_VALUE"""),0.0)</f>
        <v>0</v>
      </c>
      <c r="EW63" s="180">
        <f>IFERROR(__xludf.DUMMYFUNCTION("""COMPUTED_VALUE"""),45694.0)</f>
        <v>45694</v>
      </c>
      <c r="EX63" s="179">
        <f>IFERROR(__xludf.DUMMYFUNCTION("""COMPUTED_VALUE"""),0.0)</f>
        <v>0</v>
      </c>
      <c r="EY63" s="180">
        <f>IFERROR(__xludf.DUMMYFUNCTION("""COMPUTED_VALUE"""),45694.0)</f>
        <v>45694</v>
      </c>
      <c r="EZ63" s="179">
        <f>IFERROR(__xludf.DUMMYFUNCTION("""COMPUTED_VALUE"""),0.0)</f>
        <v>0</v>
      </c>
      <c r="FA63" s="180">
        <f>IFERROR(__xludf.DUMMYFUNCTION("""COMPUTED_VALUE"""),45663.0)</f>
        <v>45663</v>
      </c>
      <c r="FB63" s="179">
        <f>IFERROR(__xludf.DUMMYFUNCTION("""COMPUTED_VALUE"""),0.0)</f>
        <v>0</v>
      </c>
      <c r="FC63" s="180">
        <f>IFERROR(__xludf.DUMMYFUNCTION("""COMPUTED_VALUE"""),45694.0)</f>
        <v>45694</v>
      </c>
      <c r="FD63" s="179">
        <f>IFERROR(__xludf.DUMMYFUNCTION("""COMPUTED_VALUE"""),0.0)</f>
        <v>0</v>
      </c>
      <c r="FE63" s="180">
        <f>IFERROR(__xludf.DUMMYFUNCTION("""COMPUTED_VALUE"""),45874.0)</f>
        <v>45874</v>
      </c>
      <c r="FF63" s="179">
        <f>IFERROR(__xludf.DUMMYFUNCTION("""COMPUTED_VALUE"""),0.0)</f>
        <v>0</v>
      </c>
      <c r="FG63" s="182">
        <f>IFERROR(__xludf.DUMMYFUNCTION("""COMPUTED_VALUE"""),45694.0)</f>
        <v>45694</v>
      </c>
      <c r="FH63" s="179">
        <f>IFERROR(__xludf.DUMMYFUNCTION("""COMPUTED_VALUE"""),0.0)</f>
        <v>0</v>
      </c>
      <c r="FI63" s="180">
        <f>IFERROR(__xludf.DUMMYFUNCTION("""COMPUTED_VALUE"""),45663.0)</f>
        <v>45663</v>
      </c>
      <c r="FJ63" s="179">
        <f>IFERROR(__xludf.DUMMYFUNCTION("""COMPUTED_VALUE"""),0.0)</f>
        <v>0</v>
      </c>
      <c r="FK63" s="180">
        <f>IFERROR(__xludf.DUMMYFUNCTION("""COMPUTED_VALUE"""),45752.0)</f>
        <v>45752</v>
      </c>
      <c r="FL63" s="179">
        <f>IFERROR(__xludf.DUMMYFUNCTION("""COMPUTED_VALUE"""),0.0)</f>
        <v>0</v>
      </c>
      <c r="FM63" s="180">
        <f>IFERROR(__xludf.DUMMYFUNCTION("""COMPUTED_VALUE"""),45694.0)</f>
        <v>45694</v>
      </c>
      <c r="FN63" s="179">
        <f>IFERROR(__xludf.DUMMYFUNCTION("""COMPUTED_VALUE"""),0.0)</f>
        <v>0</v>
      </c>
      <c r="FO63" s="180">
        <f>IFERROR(__xludf.DUMMYFUNCTION("""COMPUTED_VALUE"""),45694.0)</f>
        <v>45694</v>
      </c>
      <c r="FP63" s="179">
        <f>IFERROR(__xludf.DUMMYFUNCTION("""COMPUTED_VALUE"""),0.0)</f>
        <v>0</v>
      </c>
      <c r="FQ63" s="180">
        <f>IFERROR(__xludf.DUMMYFUNCTION("""COMPUTED_VALUE"""),45694.0)</f>
        <v>45694</v>
      </c>
      <c r="FR63" s="179">
        <f>IFERROR(__xludf.DUMMYFUNCTION("""COMPUTED_VALUE"""),0.0)</f>
        <v>0</v>
      </c>
      <c r="FS63" s="180">
        <f>IFERROR(__xludf.DUMMYFUNCTION("""COMPUTED_VALUE"""),45663.0)</f>
        <v>45663</v>
      </c>
      <c r="FT63" s="179">
        <f>IFERROR(__xludf.DUMMYFUNCTION("""COMPUTED_VALUE"""),0.0)</f>
        <v>0</v>
      </c>
      <c r="FU63" s="180">
        <f>IFERROR(__xludf.DUMMYFUNCTION("""COMPUTED_VALUE"""),45694.0)</f>
        <v>45694</v>
      </c>
      <c r="FV63" s="179">
        <f>IFERROR(__xludf.DUMMYFUNCTION("""COMPUTED_VALUE"""),0.0)</f>
        <v>0</v>
      </c>
      <c r="FW63" s="180">
        <f>IFERROR(__xludf.DUMMYFUNCTION("""COMPUTED_VALUE"""),45694.0)</f>
        <v>45694</v>
      </c>
      <c r="FX63" s="179">
        <f>IFERROR(__xludf.DUMMYFUNCTION("""COMPUTED_VALUE"""),0.0)</f>
        <v>0</v>
      </c>
      <c r="FY63" s="180">
        <f>IFERROR(__xludf.DUMMYFUNCTION("""COMPUTED_VALUE"""),45843.0)</f>
        <v>45843</v>
      </c>
      <c r="FZ63" s="179">
        <f>IFERROR(__xludf.DUMMYFUNCTION("""COMPUTED_VALUE"""),0.0)</f>
        <v>0</v>
      </c>
      <c r="GA63" s="182">
        <f>IFERROR(__xludf.DUMMYFUNCTION("""COMPUTED_VALUE"""),45694.0)</f>
        <v>45694</v>
      </c>
      <c r="GB63" s="179">
        <f>IFERROR(__xludf.DUMMYFUNCTION("""COMPUTED_VALUE"""),0.0)</f>
        <v>0</v>
      </c>
      <c r="GC63" s="180">
        <f>IFERROR(__xludf.DUMMYFUNCTION("""COMPUTED_VALUE"""),45663.0)</f>
        <v>45663</v>
      </c>
      <c r="GD63" s="179">
        <f>IFERROR(__xludf.DUMMYFUNCTION("""COMPUTED_VALUE"""),0.0)</f>
        <v>0</v>
      </c>
      <c r="GE63" s="180">
        <f>IFERROR(__xludf.DUMMYFUNCTION("""COMPUTED_VALUE"""),45663.0)</f>
        <v>45663</v>
      </c>
      <c r="GF63" s="179">
        <f>IFERROR(__xludf.DUMMYFUNCTION("""COMPUTED_VALUE"""),0.0)</f>
        <v>0</v>
      </c>
      <c r="GG63" s="180">
        <f>IFERROR(__xludf.DUMMYFUNCTION("""COMPUTED_VALUE"""),45663.0)</f>
        <v>45663</v>
      </c>
      <c r="GH63" s="179">
        <f>IFERROR(__xludf.DUMMYFUNCTION("""COMPUTED_VALUE"""),0.0)</f>
        <v>0</v>
      </c>
      <c r="GI63" s="180">
        <f>IFERROR(__xludf.DUMMYFUNCTION("""COMPUTED_VALUE"""),45694.0)</f>
        <v>45694</v>
      </c>
      <c r="GJ63" s="179">
        <f>IFERROR(__xludf.DUMMYFUNCTION("""COMPUTED_VALUE"""),0.0)</f>
        <v>0</v>
      </c>
      <c r="GK63" s="180">
        <f>IFERROR(__xludf.DUMMYFUNCTION("""COMPUTED_VALUE"""),45694.0)</f>
        <v>45694</v>
      </c>
      <c r="GL63" s="179">
        <f>IFERROR(__xludf.DUMMYFUNCTION("""COMPUTED_VALUE"""),0.0)</f>
        <v>0</v>
      </c>
      <c r="GM63" s="180">
        <f>IFERROR(__xludf.DUMMYFUNCTION("""COMPUTED_VALUE"""),45905.0)</f>
        <v>45905</v>
      </c>
      <c r="GN63" s="179">
        <f>IFERROR(__xludf.DUMMYFUNCTION("""COMPUTED_VALUE"""),0.0)</f>
        <v>0</v>
      </c>
      <c r="GO63" s="180">
        <f>IFERROR(__xludf.DUMMYFUNCTION("""COMPUTED_VALUE"""),45694.0)</f>
        <v>45694</v>
      </c>
      <c r="GP63" s="179">
        <f>IFERROR(__xludf.DUMMYFUNCTION("""COMPUTED_VALUE"""),0.0)</f>
        <v>0</v>
      </c>
      <c r="GQ63" s="180">
        <f>IFERROR(__xludf.DUMMYFUNCTION("""COMPUTED_VALUE"""),45694.0)</f>
        <v>45694</v>
      </c>
      <c r="GR63" s="179">
        <f>IFERROR(__xludf.DUMMYFUNCTION("""COMPUTED_VALUE"""),0.0)</f>
        <v>0</v>
      </c>
      <c r="GS63" s="180">
        <f>IFERROR(__xludf.DUMMYFUNCTION("""COMPUTED_VALUE"""),45905.0)</f>
        <v>45905</v>
      </c>
      <c r="GT63" s="179">
        <f>IFERROR(__xludf.DUMMYFUNCTION("""COMPUTED_VALUE"""),0.0)</f>
        <v>0</v>
      </c>
    </row>
    <row r="64" ht="31.5" customHeight="1">
      <c r="B64" s="183"/>
      <c r="C64" s="178">
        <f>IFERROR(__xludf.DUMMYFUNCTION("""COMPUTED_VALUE"""),45695.0)</f>
        <v>45695</v>
      </c>
      <c r="D64" s="179">
        <f>IFERROR(__xludf.DUMMYFUNCTION("""COMPUTED_VALUE"""),0.0)</f>
        <v>0</v>
      </c>
      <c r="E64" s="180">
        <f>IFERROR(__xludf.DUMMYFUNCTION("""COMPUTED_VALUE"""),45936.0)</f>
        <v>45936</v>
      </c>
      <c r="F64" s="179">
        <f>IFERROR(__xludf.DUMMYFUNCTION("""COMPUTED_VALUE"""),0.0)</f>
        <v>0</v>
      </c>
      <c r="G64" s="180">
        <f>IFERROR(__xludf.DUMMYFUNCTION("""COMPUTED_VALUE"""),45936.0)</f>
        <v>45936</v>
      </c>
      <c r="H64" s="179">
        <f>IFERROR(__xludf.DUMMYFUNCTION("""COMPUTED_VALUE"""),0.0)</f>
        <v>0</v>
      </c>
      <c r="I64" s="180">
        <f>IFERROR(__xludf.DUMMYFUNCTION("""COMPUTED_VALUE"""),45695.0)</f>
        <v>45695</v>
      </c>
      <c r="J64" s="179">
        <f>IFERROR(__xludf.DUMMYFUNCTION("""COMPUTED_VALUE"""),0.0)</f>
        <v>0</v>
      </c>
      <c r="K64" s="180">
        <f>IFERROR(__xludf.DUMMYFUNCTION("""COMPUTED_VALUE"""),45664.0)</f>
        <v>45664</v>
      </c>
      <c r="L64" s="179">
        <f>IFERROR(__xludf.DUMMYFUNCTION("""COMPUTED_VALUE"""),0.0)</f>
        <v>0</v>
      </c>
      <c r="M64" s="180">
        <f>IFERROR(__xludf.DUMMYFUNCTION("""COMPUTED_VALUE"""),45695.0)</f>
        <v>45695</v>
      </c>
      <c r="N64" s="179">
        <f>IFERROR(__xludf.DUMMYFUNCTION("""COMPUTED_VALUE"""),0.0)</f>
        <v>0</v>
      </c>
      <c r="O64" s="180">
        <f>IFERROR(__xludf.DUMMYFUNCTION("""COMPUTED_VALUE"""),45936.0)</f>
        <v>45936</v>
      </c>
      <c r="P64" s="179">
        <f>IFERROR(__xludf.DUMMYFUNCTION("""COMPUTED_VALUE"""),0.0)</f>
        <v>0</v>
      </c>
      <c r="Q64" s="180">
        <f>IFERROR(__xludf.DUMMYFUNCTION("""COMPUTED_VALUE"""),45695.0)</f>
        <v>45695</v>
      </c>
      <c r="R64" s="179">
        <f>IFERROR(__xludf.DUMMYFUNCTION("""COMPUTED_VALUE"""),0.0)</f>
        <v>0</v>
      </c>
      <c r="S64" s="180">
        <f>IFERROR(__xludf.DUMMYFUNCTION("""COMPUTED_VALUE"""),45936.0)</f>
        <v>45936</v>
      </c>
      <c r="T64" s="179">
        <f>IFERROR(__xludf.DUMMYFUNCTION("""COMPUTED_VALUE"""),0.0)</f>
        <v>0</v>
      </c>
      <c r="U64" s="180">
        <f>IFERROR(__xludf.DUMMYFUNCTION("""COMPUTED_VALUE"""),45664.0)</f>
        <v>45664</v>
      </c>
      <c r="V64" s="181">
        <f>IFERROR(__xludf.DUMMYFUNCTION("""COMPUTED_VALUE"""),0.0)</f>
        <v>0</v>
      </c>
      <c r="W64" s="178">
        <f>IFERROR(__xludf.DUMMYFUNCTION("""COMPUTED_VALUE"""),45695.0)</f>
        <v>45695</v>
      </c>
      <c r="X64" s="179">
        <f>IFERROR(__xludf.DUMMYFUNCTION("""COMPUTED_VALUE"""),0.0)</f>
        <v>0</v>
      </c>
      <c r="Y64" s="180">
        <f>IFERROR(__xludf.DUMMYFUNCTION("""COMPUTED_VALUE"""),45844.0)</f>
        <v>45844</v>
      </c>
      <c r="Z64" s="179">
        <f>IFERROR(__xludf.DUMMYFUNCTION("""COMPUTED_VALUE"""),0.0)</f>
        <v>0</v>
      </c>
      <c r="AA64" s="180">
        <f>IFERROR(__xludf.DUMMYFUNCTION("""COMPUTED_VALUE"""),45664.0)</f>
        <v>45664</v>
      </c>
      <c r="AB64" s="179">
        <f>IFERROR(__xludf.DUMMYFUNCTION("""COMPUTED_VALUE"""),0.0)</f>
        <v>0</v>
      </c>
      <c r="AC64" s="180">
        <f>IFERROR(__xludf.DUMMYFUNCTION("""COMPUTED_VALUE"""),45783.0)</f>
        <v>45783</v>
      </c>
      <c r="AD64" s="179">
        <f>IFERROR(__xludf.DUMMYFUNCTION("""COMPUTED_VALUE"""),0.0)</f>
        <v>0</v>
      </c>
      <c r="AE64" s="180">
        <f>IFERROR(__xludf.DUMMYFUNCTION("""COMPUTED_VALUE"""),45875.0)</f>
        <v>45875</v>
      </c>
      <c r="AF64" s="179">
        <f>IFERROR(__xludf.DUMMYFUNCTION("""COMPUTED_VALUE"""),0.0)</f>
        <v>0</v>
      </c>
      <c r="AG64" s="180">
        <f>IFERROR(__xludf.DUMMYFUNCTION("""COMPUTED_VALUE"""),45695.0)</f>
        <v>45695</v>
      </c>
      <c r="AH64" s="179">
        <f>IFERROR(__xludf.DUMMYFUNCTION("""COMPUTED_VALUE"""),0.0)</f>
        <v>0</v>
      </c>
      <c r="AI64" s="180">
        <f>IFERROR(__xludf.DUMMYFUNCTION("""COMPUTED_VALUE"""),45814.0)</f>
        <v>45814</v>
      </c>
      <c r="AJ64" s="179">
        <f>IFERROR(__xludf.DUMMYFUNCTION("""COMPUTED_VALUE"""),0.0)</f>
        <v>0</v>
      </c>
      <c r="AK64" s="180">
        <f>IFERROR(__xludf.DUMMYFUNCTION("""COMPUTED_VALUE"""),45906.0)</f>
        <v>45906</v>
      </c>
      <c r="AL64" s="179">
        <f>IFERROR(__xludf.DUMMYFUNCTION("""COMPUTED_VALUE"""),0.0)</f>
        <v>0</v>
      </c>
      <c r="AM64" s="180">
        <f>IFERROR(__xludf.DUMMYFUNCTION("""COMPUTED_VALUE"""),45695.0)</f>
        <v>45695</v>
      </c>
      <c r="AN64" s="179">
        <f>IFERROR(__xludf.DUMMYFUNCTION("""COMPUTED_VALUE"""),0.0)</f>
        <v>0</v>
      </c>
      <c r="AO64" s="180">
        <f>IFERROR(__xludf.DUMMYFUNCTION("""COMPUTED_VALUE"""),45875.0)</f>
        <v>45875</v>
      </c>
      <c r="AP64" s="181">
        <f>IFERROR(__xludf.DUMMYFUNCTION("""COMPUTED_VALUE"""),0.0)</f>
        <v>0</v>
      </c>
      <c r="AQ64" s="178">
        <f>IFERROR(__xludf.DUMMYFUNCTION("""COMPUTED_VALUE"""),45695.0)</f>
        <v>45695</v>
      </c>
      <c r="AR64" s="179">
        <f>IFERROR(__xludf.DUMMYFUNCTION("""COMPUTED_VALUE"""),0.0)</f>
        <v>0</v>
      </c>
      <c r="AS64" s="180">
        <f>IFERROR(__xludf.DUMMYFUNCTION("""COMPUTED_VALUE"""),45695.0)</f>
        <v>45695</v>
      </c>
      <c r="AT64" s="179">
        <f>IFERROR(__xludf.DUMMYFUNCTION("""COMPUTED_VALUE"""),0.0)</f>
        <v>0</v>
      </c>
      <c r="AU64" s="180">
        <f>IFERROR(__xludf.DUMMYFUNCTION("""COMPUTED_VALUE"""),45664.0)</f>
        <v>45664</v>
      </c>
      <c r="AV64" s="179">
        <f>IFERROR(__xludf.DUMMYFUNCTION("""COMPUTED_VALUE"""),0.0)</f>
        <v>0</v>
      </c>
      <c r="AW64" s="180">
        <f>IFERROR(__xludf.DUMMYFUNCTION("""COMPUTED_VALUE"""),45664.0)</f>
        <v>45664</v>
      </c>
      <c r="AX64" s="179">
        <f>IFERROR(__xludf.DUMMYFUNCTION("""COMPUTED_VALUE"""),0.0)</f>
        <v>0</v>
      </c>
      <c r="AY64" s="180">
        <f>IFERROR(__xludf.DUMMYFUNCTION("""COMPUTED_VALUE"""),45695.0)</f>
        <v>45695</v>
      </c>
      <c r="AZ64" s="179">
        <f>IFERROR(__xludf.DUMMYFUNCTION("""COMPUTED_VALUE"""),0.0)</f>
        <v>0</v>
      </c>
      <c r="BA64" s="180">
        <f>IFERROR(__xludf.DUMMYFUNCTION("""COMPUTED_VALUE"""),45695.0)</f>
        <v>45695</v>
      </c>
      <c r="BB64" s="179">
        <f>IFERROR(__xludf.DUMMYFUNCTION("""COMPUTED_VALUE"""),0.0)</f>
        <v>0</v>
      </c>
      <c r="BC64" s="180">
        <f>IFERROR(__xludf.DUMMYFUNCTION("""COMPUTED_VALUE"""),45664.0)</f>
        <v>45664</v>
      </c>
      <c r="BD64" s="179">
        <f>IFERROR(__xludf.DUMMYFUNCTION("""COMPUTED_VALUE"""),0.0)</f>
        <v>0</v>
      </c>
      <c r="BE64" s="180">
        <f>IFERROR(__xludf.DUMMYFUNCTION("""COMPUTED_VALUE"""),45695.0)</f>
        <v>45695</v>
      </c>
      <c r="BF64" s="179">
        <f>IFERROR(__xludf.DUMMYFUNCTION("""COMPUTED_VALUE"""),0.0)</f>
        <v>0</v>
      </c>
      <c r="BG64" s="180">
        <f>IFERROR(__xludf.DUMMYFUNCTION("""COMPUTED_VALUE"""),45664.0)</f>
        <v>45664</v>
      </c>
      <c r="BH64" s="179">
        <f>IFERROR(__xludf.DUMMYFUNCTION("""COMPUTED_VALUE"""),0.0)</f>
        <v>0</v>
      </c>
      <c r="BI64" s="180">
        <f>IFERROR(__xludf.DUMMYFUNCTION("""COMPUTED_VALUE"""),45695.0)</f>
        <v>45695</v>
      </c>
      <c r="BJ64" s="179">
        <f>IFERROR(__xludf.DUMMYFUNCTION("""COMPUTED_VALUE"""),0.0)</f>
        <v>0</v>
      </c>
      <c r="BK64" s="182">
        <f>IFERROR(__xludf.DUMMYFUNCTION("""COMPUTED_VALUE"""),45695.0)</f>
        <v>45695</v>
      </c>
      <c r="BL64" s="179">
        <f>IFERROR(__xludf.DUMMYFUNCTION("""COMPUTED_VALUE"""),0.0)</f>
        <v>0</v>
      </c>
      <c r="BM64" s="180">
        <f>IFERROR(__xludf.DUMMYFUNCTION("""COMPUTED_VALUE"""),45695.0)</f>
        <v>45695</v>
      </c>
      <c r="BN64" s="179">
        <f>IFERROR(__xludf.DUMMYFUNCTION("""COMPUTED_VALUE"""),0.0)</f>
        <v>0</v>
      </c>
      <c r="BO64" s="180">
        <f>IFERROR(__xludf.DUMMYFUNCTION("""COMPUTED_VALUE"""),45664.0)</f>
        <v>45664</v>
      </c>
      <c r="BP64" s="179">
        <f>IFERROR(__xludf.DUMMYFUNCTION("""COMPUTED_VALUE"""),0.0)</f>
        <v>0</v>
      </c>
      <c r="BQ64" s="180">
        <f>IFERROR(__xludf.DUMMYFUNCTION("""COMPUTED_VALUE"""),45664.0)</f>
        <v>45664</v>
      </c>
      <c r="BR64" s="179">
        <f>IFERROR(__xludf.DUMMYFUNCTION("""COMPUTED_VALUE"""),0.0)</f>
        <v>0</v>
      </c>
      <c r="BS64" s="180">
        <f>IFERROR(__xludf.DUMMYFUNCTION("""COMPUTED_VALUE"""),45695.0)</f>
        <v>45695</v>
      </c>
      <c r="BT64" s="179">
        <f>IFERROR(__xludf.DUMMYFUNCTION("""COMPUTED_VALUE"""),0.0)</f>
        <v>0</v>
      </c>
      <c r="BU64" s="180">
        <f>IFERROR(__xludf.DUMMYFUNCTION("""COMPUTED_VALUE"""),45695.0)</f>
        <v>45695</v>
      </c>
      <c r="BV64" s="179">
        <f>IFERROR(__xludf.DUMMYFUNCTION("""COMPUTED_VALUE"""),0.0)</f>
        <v>0</v>
      </c>
      <c r="BW64" s="180">
        <f>IFERROR(__xludf.DUMMYFUNCTION("""COMPUTED_VALUE"""),45695.0)</f>
        <v>45695</v>
      </c>
      <c r="BX64" s="179">
        <f>IFERROR(__xludf.DUMMYFUNCTION("""COMPUTED_VALUE"""),0.0)</f>
        <v>0</v>
      </c>
      <c r="BY64" s="180">
        <f>IFERROR(__xludf.DUMMYFUNCTION("""COMPUTED_VALUE"""),45664.0)</f>
        <v>45664</v>
      </c>
      <c r="BZ64" s="179">
        <f>IFERROR(__xludf.DUMMYFUNCTION("""COMPUTED_VALUE"""),0.0)</f>
        <v>0</v>
      </c>
      <c r="CA64" s="180">
        <f>IFERROR(__xludf.DUMMYFUNCTION("""COMPUTED_VALUE"""),45695.0)</f>
        <v>45695</v>
      </c>
      <c r="CB64" s="179">
        <f>IFERROR(__xludf.DUMMYFUNCTION("""COMPUTED_VALUE"""),0.0)</f>
        <v>0</v>
      </c>
      <c r="CC64" s="180">
        <f>IFERROR(__xludf.DUMMYFUNCTION("""COMPUTED_VALUE"""),45695.0)</f>
        <v>45695</v>
      </c>
      <c r="CD64" s="179">
        <f>IFERROR(__xludf.DUMMYFUNCTION("""COMPUTED_VALUE"""),0.0)</f>
        <v>0</v>
      </c>
      <c r="CE64" s="182">
        <f>IFERROR(__xludf.DUMMYFUNCTION("""COMPUTED_VALUE"""),45695.0)</f>
        <v>45695</v>
      </c>
      <c r="CF64" s="179">
        <f>IFERROR(__xludf.DUMMYFUNCTION("""COMPUTED_VALUE"""),0.0)</f>
        <v>0</v>
      </c>
      <c r="CG64" s="180">
        <f>IFERROR(__xludf.DUMMYFUNCTION("""COMPUTED_VALUE"""),45875.0)</f>
        <v>45875</v>
      </c>
      <c r="CH64" s="179">
        <f>IFERROR(__xludf.DUMMYFUNCTION("""COMPUTED_VALUE"""),0.0)</f>
        <v>0</v>
      </c>
      <c r="CI64" s="180">
        <f>IFERROR(__xludf.DUMMYFUNCTION("""COMPUTED_VALUE"""),45875.0)</f>
        <v>45875</v>
      </c>
      <c r="CJ64" s="179">
        <f>IFERROR(__xludf.DUMMYFUNCTION("""COMPUTED_VALUE"""),0.0)</f>
        <v>0</v>
      </c>
      <c r="CK64" s="180">
        <f>IFERROR(__xludf.DUMMYFUNCTION("""COMPUTED_VALUE"""),45906.0)</f>
        <v>45906</v>
      </c>
      <c r="CL64" s="179">
        <f>IFERROR(__xludf.DUMMYFUNCTION("""COMPUTED_VALUE"""),0.0)</f>
        <v>0</v>
      </c>
      <c r="CM64" s="180">
        <f>IFERROR(__xludf.DUMMYFUNCTION("""COMPUTED_VALUE"""),45664.0)</f>
        <v>45664</v>
      </c>
      <c r="CN64" s="179">
        <f>IFERROR(__xludf.DUMMYFUNCTION("""COMPUTED_VALUE"""),0.0)</f>
        <v>0</v>
      </c>
      <c r="CO64" s="180">
        <f>IFERROR(__xludf.DUMMYFUNCTION("""COMPUTED_VALUE"""),45936.0)</f>
        <v>45936</v>
      </c>
      <c r="CP64" s="179">
        <f>IFERROR(__xludf.DUMMYFUNCTION("""COMPUTED_VALUE"""),0.0)</f>
        <v>0</v>
      </c>
      <c r="CQ64" s="180">
        <f>IFERROR(__xludf.DUMMYFUNCTION("""COMPUTED_VALUE"""),45783.0)</f>
        <v>45783</v>
      </c>
      <c r="CR64" s="179">
        <f>IFERROR(__xludf.DUMMYFUNCTION("""COMPUTED_VALUE"""),0.0)</f>
        <v>0</v>
      </c>
      <c r="CS64" s="180">
        <f>IFERROR(__xludf.DUMMYFUNCTION("""COMPUTED_VALUE"""),45936.0)</f>
        <v>45936</v>
      </c>
      <c r="CT64" s="179">
        <f>IFERROR(__xludf.DUMMYFUNCTION("""COMPUTED_VALUE"""),0.0)</f>
        <v>0</v>
      </c>
      <c r="CU64" s="180">
        <f>IFERROR(__xludf.DUMMYFUNCTION("""COMPUTED_VALUE"""),45695.0)</f>
        <v>45695</v>
      </c>
      <c r="CV64" s="179">
        <f>IFERROR(__xludf.DUMMYFUNCTION("""COMPUTED_VALUE"""),0.0)</f>
        <v>0</v>
      </c>
      <c r="CW64" s="180">
        <f>IFERROR(__xludf.DUMMYFUNCTION("""COMPUTED_VALUE"""),45753.0)</f>
        <v>45753</v>
      </c>
      <c r="CX64" s="179">
        <f>IFERROR(__xludf.DUMMYFUNCTION("""COMPUTED_VALUE"""),0.0)</f>
        <v>0</v>
      </c>
      <c r="CY64" s="182">
        <f>IFERROR(__xludf.DUMMYFUNCTION("""COMPUTED_VALUE"""),45695.0)</f>
        <v>45695</v>
      </c>
      <c r="CZ64" s="179">
        <f>IFERROR(__xludf.DUMMYFUNCTION("""COMPUTED_VALUE"""),0.0)</f>
        <v>0</v>
      </c>
      <c r="DA64" s="180">
        <f>IFERROR(__xludf.DUMMYFUNCTION("""COMPUTED_VALUE"""),45695.0)</f>
        <v>45695</v>
      </c>
      <c r="DB64" s="179">
        <f>IFERROR(__xludf.DUMMYFUNCTION("""COMPUTED_VALUE"""),0.0)</f>
        <v>0</v>
      </c>
      <c r="DC64" s="180">
        <f>IFERROR(__xludf.DUMMYFUNCTION("""COMPUTED_VALUE"""),45905.0)</f>
        <v>45905</v>
      </c>
      <c r="DD64" s="179">
        <f>IFERROR(__xludf.DUMMYFUNCTION("""COMPUTED_VALUE"""),0.0)</f>
        <v>0</v>
      </c>
      <c r="DE64" s="180">
        <f>IFERROR(__xludf.DUMMYFUNCTION("""COMPUTED_VALUE"""),45695.0)</f>
        <v>45695</v>
      </c>
      <c r="DF64" s="179">
        <f>IFERROR(__xludf.DUMMYFUNCTION("""COMPUTED_VALUE"""),0.0)</f>
        <v>0</v>
      </c>
      <c r="DG64" s="180">
        <f>IFERROR(__xludf.DUMMYFUNCTION("""COMPUTED_VALUE"""),45695.0)</f>
        <v>45695</v>
      </c>
      <c r="DH64" s="179">
        <f>IFERROR(__xludf.DUMMYFUNCTION("""COMPUTED_VALUE"""),0.0)</f>
        <v>0</v>
      </c>
      <c r="DI64" s="180">
        <f>IFERROR(__xludf.DUMMYFUNCTION("""COMPUTED_VALUE"""),45695.0)</f>
        <v>45695</v>
      </c>
      <c r="DJ64" s="179">
        <f>IFERROR(__xludf.DUMMYFUNCTION("""COMPUTED_VALUE"""),0.0)</f>
        <v>0</v>
      </c>
      <c r="DK64" s="180">
        <f>IFERROR(__xludf.DUMMYFUNCTION("""COMPUTED_VALUE"""),45695.0)</f>
        <v>45695</v>
      </c>
      <c r="DL64" s="179">
        <f>IFERROR(__xludf.DUMMYFUNCTION("""COMPUTED_VALUE"""),0.0)</f>
        <v>0</v>
      </c>
      <c r="DM64" s="180">
        <f>IFERROR(__xludf.DUMMYFUNCTION("""COMPUTED_VALUE"""),45695.0)</f>
        <v>45695</v>
      </c>
      <c r="DN64" s="179">
        <f>IFERROR(__xludf.DUMMYFUNCTION("""COMPUTED_VALUE"""),0.0)</f>
        <v>0</v>
      </c>
      <c r="DO64" s="180">
        <f>IFERROR(__xludf.DUMMYFUNCTION("""COMPUTED_VALUE"""),45695.0)</f>
        <v>45695</v>
      </c>
      <c r="DP64" s="179">
        <f>IFERROR(__xludf.DUMMYFUNCTION("""COMPUTED_VALUE"""),0.0)</f>
        <v>0</v>
      </c>
      <c r="DQ64" s="180">
        <f>IFERROR(__xludf.DUMMYFUNCTION("""COMPUTED_VALUE"""),45905.0)</f>
        <v>45905</v>
      </c>
      <c r="DR64" s="179">
        <f>IFERROR(__xludf.DUMMYFUNCTION("""COMPUTED_VALUE"""),0.0)</f>
        <v>0</v>
      </c>
      <c r="DS64" s="182">
        <f>IFERROR(__xludf.DUMMYFUNCTION("""COMPUTED_VALUE"""),45694.0)</f>
        <v>45694</v>
      </c>
      <c r="DT64" s="179">
        <f>IFERROR(__xludf.DUMMYFUNCTION("""COMPUTED_VALUE"""),0.0)</f>
        <v>0</v>
      </c>
      <c r="DU64" s="180">
        <f>IFERROR(__xludf.DUMMYFUNCTION("""COMPUTED_VALUE"""),45663.0)</f>
        <v>45663</v>
      </c>
      <c r="DV64" s="179">
        <f>IFERROR(__xludf.DUMMYFUNCTION("""COMPUTED_VALUE"""),0.0)</f>
        <v>0</v>
      </c>
      <c r="DW64" s="180">
        <f>IFERROR(__xludf.DUMMYFUNCTION("""COMPUTED_VALUE"""),45663.0)</f>
        <v>45663</v>
      </c>
      <c r="DX64" s="179">
        <f>IFERROR(__xludf.DUMMYFUNCTION("""COMPUTED_VALUE"""),0.0)</f>
        <v>0</v>
      </c>
      <c r="DY64" s="180">
        <f>IFERROR(__xludf.DUMMYFUNCTION("""COMPUTED_VALUE"""),45694.0)</f>
        <v>45694</v>
      </c>
      <c r="DZ64" s="179">
        <f>IFERROR(__xludf.DUMMYFUNCTION("""COMPUTED_VALUE"""),0.0)</f>
        <v>0</v>
      </c>
      <c r="EA64" s="180">
        <f>IFERROR(__xludf.DUMMYFUNCTION("""COMPUTED_VALUE"""),45722.0)</f>
        <v>45722</v>
      </c>
      <c r="EB64" s="179">
        <f>IFERROR(__xludf.DUMMYFUNCTION("""COMPUTED_VALUE"""),0.0)</f>
        <v>0</v>
      </c>
      <c r="EC64" s="180">
        <f>IFERROR(__xludf.DUMMYFUNCTION("""COMPUTED_VALUE"""),45694.0)</f>
        <v>45694</v>
      </c>
      <c r="ED64" s="179">
        <f>IFERROR(__xludf.DUMMYFUNCTION("""COMPUTED_VALUE"""),0.0)</f>
        <v>0</v>
      </c>
      <c r="EE64" s="180">
        <f>IFERROR(__xludf.DUMMYFUNCTION("""COMPUTED_VALUE"""),45905.0)</f>
        <v>45905</v>
      </c>
      <c r="EF64" s="179">
        <f>IFERROR(__xludf.DUMMYFUNCTION("""COMPUTED_VALUE"""),0.0)</f>
        <v>0</v>
      </c>
      <c r="EG64" s="180">
        <f>IFERROR(__xludf.DUMMYFUNCTION("""COMPUTED_VALUE"""),45694.0)</f>
        <v>45694</v>
      </c>
      <c r="EH64" s="179">
        <f>IFERROR(__xludf.DUMMYFUNCTION("""COMPUTED_VALUE"""),0.0)</f>
        <v>0</v>
      </c>
      <c r="EI64" s="180">
        <f>IFERROR(__xludf.DUMMYFUNCTION("""COMPUTED_VALUE"""),45694.0)</f>
        <v>45694</v>
      </c>
      <c r="EJ64" s="179">
        <f>IFERROR(__xludf.DUMMYFUNCTION("""COMPUTED_VALUE"""),0.0)</f>
        <v>0</v>
      </c>
      <c r="EK64" s="180">
        <f>IFERROR(__xludf.DUMMYFUNCTION("""COMPUTED_VALUE"""),45935.0)</f>
        <v>45935</v>
      </c>
      <c r="EL64" s="179">
        <f>IFERROR(__xludf.DUMMYFUNCTION("""COMPUTED_VALUE"""),0.0)</f>
        <v>0</v>
      </c>
      <c r="EM64" s="182">
        <f>IFERROR(__xludf.DUMMYFUNCTION("""COMPUTED_VALUE"""),45905.0)</f>
        <v>45905</v>
      </c>
      <c r="EN64" s="179">
        <f>IFERROR(__xludf.DUMMYFUNCTION("""COMPUTED_VALUE"""),0.0)</f>
        <v>0</v>
      </c>
      <c r="EO64" s="180">
        <f>IFERROR(__xludf.DUMMYFUNCTION("""COMPUTED_VALUE"""),45722.0)</f>
        <v>45722</v>
      </c>
      <c r="EP64" s="179">
        <f>IFERROR(__xludf.DUMMYFUNCTION("""COMPUTED_VALUE"""),0.0)</f>
        <v>0</v>
      </c>
      <c r="EQ64" s="180">
        <f>IFERROR(__xludf.DUMMYFUNCTION("""COMPUTED_VALUE"""),45694.0)</f>
        <v>45694</v>
      </c>
      <c r="ER64" s="179">
        <f>IFERROR(__xludf.DUMMYFUNCTION("""COMPUTED_VALUE"""),0.0)</f>
        <v>0</v>
      </c>
      <c r="ES64" s="180">
        <f>IFERROR(__xludf.DUMMYFUNCTION("""COMPUTED_VALUE"""),45722.0)</f>
        <v>45722</v>
      </c>
      <c r="ET64" s="179">
        <f>IFERROR(__xludf.DUMMYFUNCTION("""COMPUTED_VALUE"""),0.0)</f>
        <v>0</v>
      </c>
      <c r="EU64" s="180">
        <f>IFERROR(__xludf.DUMMYFUNCTION("""COMPUTED_VALUE"""),45694.0)</f>
        <v>45694</v>
      </c>
      <c r="EV64" s="179">
        <f>IFERROR(__xludf.DUMMYFUNCTION("""COMPUTED_VALUE"""),0.0)</f>
        <v>0</v>
      </c>
      <c r="EW64" s="180">
        <f>IFERROR(__xludf.DUMMYFUNCTION("""COMPUTED_VALUE"""),45722.0)</f>
        <v>45722</v>
      </c>
      <c r="EX64" s="179">
        <f>IFERROR(__xludf.DUMMYFUNCTION("""COMPUTED_VALUE"""),0.0)</f>
        <v>0</v>
      </c>
      <c r="EY64" s="180">
        <f>IFERROR(__xludf.DUMMYFUNCTION("""COMPUTED_VALUE"""),45722.0)</f>
        <v>45722</v>
      </c>
      <c r="EZ64" s="179">
        <f>IFERROR(__xludf.DUMMYFUNCTION("""COMPUTED_VALUE"""),0.0)</f>
        <v>0</v>
      </c>
      <c r="FA64" s="180">
        <f>IFERROR(__xludf.DUMMYFUNCTION("""COMPUTED_VALUE"""),45694.0)</f>
        <v>45694</v>
      </c>
      <c r="FB64" s="179">
        <f>IFERROR(__xludf.DUMMYFUNCTION("""COMPUTED_VALUE"""),0.0)</f>
        <v>0</v>
      </c>
      <c r="FC64" s="180">
        <f>IFERROR(__xludf.DUMMYFUNCTION("""COMPUTED_VALUE"""),45722.0)</f>
        <v>45722</v>
      </c>
      <c r="FD64" s="179">
        <f>IFERROR(__xludf.DUMMYFUNCTION("""COMPUTED_VALUE"""),0.0)</f>
        <v>0</v>
      </c>
      <c r="FE64" s="180">
        <f>IFERROR(__xludf.DUMMYFUNCTION("""COMPUTED_VALUE"""),45905.0)</f>
        <v>45905</v>
      </c>
      <c r="FF64" s="179">
        <f>IFERROR(__xludf.DUMMYFUNCTION("""COMPUTED_VALUE"""),0.0)</f>
        <v>0</v>
      </c>
      <c r="FG64" s="182">
        <f>IFERROR(__xludf.DUMMYFUNCTION("""COMPUTED_VALUE"""),45722.0)</f>
        <v>45722</v>
      </c>
      <c r="FH64" s="179">
        <f>IFERROR(__xludf.DUMMYFUNCTION("""COMPUTED_VALUE"""),0.0)</f>
        <v>0</v>
      </c>
      <c r="FI64" s="180">
        <f>IFERROR(__xludf.DUMMYFUNCTION("""COMPUTED_VALUE"""),45694.0)</f>
        <v>45694</v>
      </c>
      <c r="FJ64" s="179">
        <f>IFERROR(__xludf.DUMMYFUNCTION("""COMPUTED_VALUE"""),0.0)</f>
        <v>0</v>
      </c>
      <c r="FK64" s="180">
        <f>IFERROR(__xludf.DUMMYFUNCTION("""COMPUTED_VALUE"""),45782.0)</f>
        <v>45782</v>
      </c>
      <c r="FL64" s="179">
        <f>IFERROR(__xludf.DUMMYFUNCTION("""COMPUTED_VALUE"""),0.0)</f>
        <v>0</v>
      </c>
      <c r="FM64" s="180">
        <f>IFERROR(__xludf.DUMMYFUNCTION("""COMPUTED_VALUE"""),45722.0)</f>
        <v>45722</v>
      </c>
      <c r="FN64" s="179">
        <f>IFERROR(__xludf.DUMMYFUNCTION("""COMPUTED_VALUE"""),0.0)</f>
        <v>0</v>
      </c>
      <c r="FO64" s="180">
        <f>IFERROR(__xludf.DUMMYFUNCTION("""COMPUTED_VALUE"""),45722.0)</f>
        <v>45722</v>
      </c>
      <c r="FP64" s="179">
        <f>IFERROR(__xludf.DUMMYFUNCTION("""COMPUTED_VALUE"""),0.0)</f>
        <v>0</v>
      </c>
      <c r="FQ64" s="180">
        <f>IFERROR(__xludf.DUMMYFUNCTION("""COMPUTED_VALUE"""),45722.0)</f>
        <v>45722</v>
      </c>
      <c r="FR64" s="179">
        <f>IFERROR(__xludf.DUMMYFUNCTION("""COMPUTED_VALUE"""),0.0)</f>
        <v>0</v>
      </c>
      <c r="FS64" s="180">
        <f>IFERROR(__xludf.DUMMYFUNCTION("""COMPUTED_VALUE"""),45694.0)</f>
        <v>45694</v>
      </c>
      <c r="FT64" s="179">
        <f>IFERROR(__xludf.DUMMYFUNCTION("""COMPUTED_VALUE"""),0.0)</f>
        <v>0</v>
      </c>
      <c r="FU64" s="180">
        <f>IFERROR(__xludf.DUMMYFUNCTION("""COMPUTED_VALUE"""),45722.0)</f>
        <v>45722</v>
      </c>
      <c r="FV64" s="179">
        <f>IFERROR(__xludf.DUMMYFUNCTION("""COMPUTED_VALUE"""),0.0)</f>
        <v>0</v>
      </c>
      <c r="FW64" s="180">
        <f>IFERROR(__xludf.DUMMYFUNCTION("""COMPUTED_VALUE"""),45722.0)</f>
        <v>45722</v>
      </c>
      <c r="FX64" s="179">
        <f>IFERROR(__xludf.DUMMYFUNCTION("""COMPUTED_VALUE"""),0.0)</f>
        <v>0</v>
      </c>
      <c r="FY64" s="180">
        <f>IFERROR(__xludf.DUMMYFUNCTION("""COMPUTED_VALUE"""),45905.0)</f>
        <v>45905</v>
      </c>
      <c r="FZ64" s="179">
        <f>IFERROR(__xludf.DUMMYFUNCTION("""COMPUTED_VALUE"""),0.0)</f>
        <v>0</v>
      </c>
      <c r="GA64" s="182">
        <f>IFERROR(__xludf.DUMMYFUNCTION("""COMPUTED_VALUE"""),45722.0)</f>
        <v>45722</v>
      </c>
      <c r="GB64" s="179">
        <f>IFERROR(__xludf.DUMMYFUNCTION("""COMPUTED_VALUE"""),0.0)</f>
        <v>0</v>
      </c>
      <c r="GC64" s="180">
        <f>IFERROR(__xludf.DUMMYFUNCTION("""COMPUTED_VALUE"""),45694.0)</f>
        <v>45694</v>
      </c>
      <c r="GD64" s="179">
        <f>IFERROR(__xludf.DUMMYFUNCTION("""COMPUTED_VALUE"""),0.0)</f>
        <v>0</v>
      </c>
      <c r="GE64" s="180">
        <f>IFERROR(__xludf.DUMMYFUNCTION("""COMPUTED_VALUE"""),45694.0)</f>
        <v>45694</v>
      </c>
      <c r="GF64" s="179">
        <f>IFERROR(__xludf.DUMMYFUNCTION("""COMPUTED_VALUE"""),0.0)</f>
        <v>0</v>
      </c>
      <c r="GG64" s="180">
        <f>IFERROR(__xludf.DUMMYFUNCTION("""COMPUTED_VALUE"""),45694.0)</f>
        <v>45694</v>
      </c>
      <c r="GH64" s="179">
        <f>IFERROR(__xludf.DUMMYFUNCTION("""COMPUTED_VALUE"""),0.0)</f>
        <v>0</v>
      </c>
      <c r="GI64" s="180">
        <f>IFERROR(__xludf.DUMMYFUNCTION("""COMPUTED_VALUE"""),45722.0)</f>
        <v>45722</v>
      </c>
      <c r="GJ64" s="179">
        <f>IFERROR(__xludf.DUMMYFUNCTION("""COMPUTED_VALUE"""),0.0)</f>
        <v>0</v>
      </c>
      <c r="GK64" s="180">
        <f>IFERROR(__xludf.DUMMYFUNCTION("""COMPUTED_VALUE"""),45722.0)</f>
        <v>45722</v>
      </c>
      <c r="GL64" s="179">
        <f>IFERROR(__xludf.DUMMYFUNCTION("""COMPUTED_VALUE"""),0.0)</f>
        <v>0</v>
      </c>
      <c r="GM64" s="180">
        <f>IFERROR(__xludf.DUMMYFUNCTION("""COMPUTED_VALUE"""),45935.0)</f>
        <v>45935</v>
      </c>
      <c r="GN64" s="179">
        <f>IFERROR(__xludf.DUMMYFUNCTION("""COMPUTED_VALUE"""),0.0)</f>
        <v>0</v>
      </c>
      <c r="GO64" s="180">
        <f>IFERROR(__xludf.DUMMYFUNCTION("""COMPUTED_VALUE"""),45722.0)</f>
        <v>45722</v>
      </c>
      <c r="GP64" s="179">
        <f>IFERROR(__xludf.DUMMYFUNCTION("""COMPUTED_VALUE"""),0.0)</f>
        <v>0</v>
      </c>
      <c r="GQ64" s="180">
        <f>IFERROR(__xludf.DUMMYFUNCTION("""COMPUTED_VALUE"""),45722.0)</f>
        <v>45722</v>
      </c>
      <c r="GR64" s="179">
        <f>IFERROR(__xludf.DUMMYFUNCTION("""COMPUTED_VALUE"""),0.0)</f>
        <v>0</v>
      </c>
      <c r="GS64" s="180">
        <f>IFERROR(__xludf.DUMMYFUNCTION("""COMPUTED_VALUE"""),45663.0)</f>
        <v>45663</v>
      </c>
      <c r="GT64" s="179">
        <f>IFERROR(__xludf.DUMMYFUNCTION("""COMPUTED_VALUE"""),0.0)</f>
        <v>0</v>
      </c>
    </row>
    <row r="65" ht="31.5" customHeight="1">
      <c r="B65" s="183"/>
      <c r="C65" s="178">
        <f>IFERROR(__xludf.DUMMYFUNCTION("""COMPUTED_VALUE"""),45723.0)</f>
        <v>45723</v>
      </c>
      <c r="D65" s="179">
        <f>IFERROR(__xludf.DUMMYFUNCTION("""COMPUTED_VALUE"""),0.0)</f>
        <v>0</v>
      </c>
      <c r="E65" s="180">
        <f>IFERROR(__xludf.DUMMYFUNCTION("""COMPUTED_VALUE"""),45664.0)</f>
        <v>45664</v>
      </c>
      <c r="F65" s="179">
        <f>IFERROR(__xludf.DUMMYFUNCTION("""COMPUTED_VALUE"""),0.0)</f>
        <v>0</v>
      </c>
      <c r="G65" s="180">
        <f>IFERROR(__xludf.DUMMYFUNCTION("""COMPUTED_VALUE"""),45664.0)</f>
        <v>45664</v>
      </c>
      <c r="H65" s="179">
        <f>IFERROR(__xludf.DUMMYFUNCTION("""COMPUTED_VALUE"""),0.0)</f>
        <v>0</v>
      </c>
      <c r="I65" s="180">
        <f>IFERROR(__xludf.DUMMYFUNCTION("""COMPUTED_VALUE"""),45723.0)</f>
        <v>45723</v>
      </c>
      <c r="J65" s="179">
        <f>IFERROR(__xludf.DUMMYFUNCTION("""COMPUTED_VALUE"""),0.0)</f>
        <v>0</v>
      </c>
      <c r="K65" s="180">
        <f>IFERROR(__xludf.DUMMYFUNCTION("""COMPUTED_VALUE"""),45695.0)</f>
        <v>45695</v>
      </c>
      <c r="L65" s="179">
        <f>IFERROR(__xludf.DUMMYFUNCTION("""COMPUTED_VALUE"""),0.0)</f>
        <v>0</v>
      </c>
      <c r="M65" s="180">
        <f>IFERROR(__xludf.DUMMYFUNCTION("""COMPUTED_VALUE"""),45723.0)</f>
        <v>45723</v>
      </c>
      <c r="N65" s="179">
        <f>IFERROR(__xludf.DUMMYFUNCTION("""COMPUTED_VALUE"""),0.0)</f>
        <v>0</v>
      </c>
      <c r="O65" s="180">
        <f>IFERROR(__xludf.DUMMYFUNCTION("""COMPUTED_VALUE"""),45664.0)</f>
        <v>45664</v>
      </c>
      <c r="P65" s="179">
        <f>IFERROR(__xludf.DUMMYFUNCTION("""COMPUTED_VALUE"""),0.0)</f>
        <v>0</v>
      </c>
      <c r="Q65" s="180">
        <f>IFERROR(__xludf.DUMMYFUNCTION("""COMPUTED_VALUE"""),45723.0)</f>
        <v>45723</v>
      </c>
      <c r="R65" s="179">
        <f>IFERROR(__xludf.DUMMYFUNCTION("""COMPUTED_VALUE"""),0.0)</f>
        <v>0</v>
      </c>
      <c r="S65" s="180">
        <f>IFERROR(__xludf.DUMMYFUNCTION("""COMPUTED_VALUE"""),45664.0)</f>
        <v>45664</v>
      </c>
      <c r="T65" s="179">
        <f>IFERROR(__xludf.DUMMYFUNCTION("""COMPUTED_VALUE"""),0.0)</f>
        <v>0</v>
      </c>
      <c r="U65" s="180">
        <f>IFERROR(__xludf.DUMMYFUNCTION("""COMPUTED_VALUE"""),45695.0)</f>
        <v>45695</v>
      </c>
      <c r="V65" s="181">
        <f>IFERROR(__xludf.DUMMYFUNCTION("""COMPUTED_VALUE"""),0.0)</f>
        <v>0</v>
      </c>
      <c r="W65" s="178">
        <f>IFERROR(__xludf.DUMMYFUNCTION("""COMPUTED_VALUE"""),45723.0)</f>
        <v>45723</v>
      </c>
      <c r="X65" s="179">
        <f>IFERROR(__xludf.DUMMYFUNCTION("""COMPUTED_VALUE"""),0.0)</f>
        <v>0</v>
      </c>
      <c r="Y65" s="180">
        <f>IFERROR(__xludf.DUMMYFUNCTION("""COMPUTED_VALUE"""),45875.0)</f>
        <v>45875</v>
      </c>
      <c r="Z65" s="179">
        <f>IFERROR(__xludf.DUMMYFUNCTION("""COMPUTED_VALUE"""),0.0)</f>
        <v>0</v>
      </c>
      <c r="AA65" s="180">
        <f>IFERROR(__xludf.DUMMYFUNCTION("""COMPUTED_VALUE"""),45695.0)</f>
        <v>45695</v>
      </c>
      <c r="AB65" s="179">
        <f>IFERROR(__xludf.DUMMYFUNCTION("""COMPUTED_VALUE"""),0.0)</f>
        <v>0</v>
      </c>
      <c r="AC65" s="180">
        <f>IFERROR(__xludf.DUMMYFUNCTION("""COMPUTED_VALUE"""),45814.0)</f>
        <v>45814</v>
      </c>
      <c r="AD65" s="179">
        <f>IFERROR(__xludf.DUMMYFUNCTION("""COMPUTED_VALUE"""),0.0)</f>
        <v>0</v>
      </c>
      <c r="AE65" s="180">
        <f>IFERROR(__xludf.DUMMYFUNCTION("""COMPUTED_VALUE"""),45906.0)</f>
        <v>45906</v>
      </c>
      <c r="AF65" s="179">
        <f>IFERROR(__xludf.DUMMYFUNCTION("""COMPUTED_VALUE"""),0.0)</f>
        <v>0</v>
      </c>
      <c r="AG65" s="180">
        <f>IFERROR(__xludf.DUMMYFUNCTION("""COMPUTED_VALUE"""),45723.0)</f>
        <v>45723</v>
      </c>
      <c r="AH65" s="179">
        <f>IFERROR(__xludf.DUMMYFUNCTION("""COMPUTED_VALUE"""),0.0)</f>
        <v>0</v>
      </c>
      <c r="AI65" s="180">
        <f>IFERROR(__xludf.DUMMYFUNCTION("""COMPUTED_VALUE"""),45844.0)</f>
        <v>45844</v>
      </c>
      <c r="AJ65" s="179">
        <f>IFERROR(__xludf.DUMMYFUNCTION("""COMPUTED_VALUE"""),0.0)</f>
        <v>0</v>
      </c>
      <c r="AK65" s="180">
        <f>IFERROR(__xludf.DUMMYFUNCTION("""COMPUTED_VALUE"""),45936.0)</f>
        <v>45936</v>
      </c>
      <c r="AL65" s="179">
        <f>IFERROR(__xludf.DUMMYFUNCTION("""COMPUTED_VALUE"""),0.0)</f>
        <v>0</v>
      </c>
      <c r="AM65" s="180">
        <f>IFERROR(__xludf.DUMMYFUNCTION("""COMPUTED_VALUE"""),45723.0)</f>
        <v>45723</v>
      </c>
      <c r="AN65" s="179">
        <f>IFERROR(__xludf.DUMMYFUNCTION("""COMPUTED_VALUE"""),0.0)</f>
        <v>0</v>
      </c>
      <c r="AO65" s="180">
        <f>IFERROR(__xludf.DUMMYFUNCTION("""COMPUTED_VALUE"""),45906.0)</f>
        <v>45906</v>
      </c>
      <c r="AP65" s="181">
        <f>IFERROR(__xludf.DUMMYFUNCTION("""COMPUTED_VALUE"""),0.0)</f>
        <v>0</v>
      </c>
      <c r="AQ65" s="178">
        <f>IFERROR(__xludf.DUMMYFUNCTION("""COMPUTED_VALUE"""),45723.0)</f>
        <v>45723</v>
      </c>
      <c r="AR65" s="179">
        <f>IFERROR(__xludf.DUMMYFUNCTION("""COMPUTED_VALUE"""),0.0)</f>
        <v>0</v>
      </c>
      <c r="AS65" s="180">
        <f>IFERROR(__xludf.DUMMYFUNCTION("""COMPUTED_VALUE"""),45723.0)</f>
        <v>45723</v>
      </c>
      <c r="AT65" s="179">
        <f>IFERROR(__xludf.DUMMYFUNCTION("""COMPUTED_VALUE"""),0.0)</f>
        <v>0</v>
      </c>
      <c r="AU65" s="180">
        <f>IFERROR(__xludf.DUMMYFUNCTION("""COMPUTED_VALUE"""),45695.0)</f>
        <v>45695</v>
      </c>
      <c r="AV65" s="179">
        <f>IFERROR(__xludf.DUMMYFUNCTION("""COMPUTED_VALUE"""),0.0)</f>
        <v>0</v>
      </c>
      <c r="AW65" s="180">
        <f>IFERROR(__xludf.DUMMYFUNCTION("""COMPUTED_VALUE"""),45695.0)</f>
        <v>45695</v>
      </c>
      <c r="AX65" s="179">
        <f>IFERROR(__xludf.DUMMYFUNCTION("""COMPUTED_VALUE"""),0.0)</f>
        <v>0</v>
      </c>
      <c r="AY65" s="180">
        <f>IFERROR(__xludf.DUMMYFUNCTION("""COMPUTED_VALUE"""),45723.0)</f>
        <v>45723</v>
      </c>
      <c r="AZ65" s="179">
        <f>IFERROR(__xludf.DUMMYFUNCTION("""COMPUTED_VALUE"""),0.0)</f>
        <v>0</v>
      </c>
      <c r="BA65" s="180">
        <f>IFERROR(__xludf.DUMMYFUNCTION("""COMPUTED_VALUE"""),45723.0)</f>
        <v>45723</v>
      </c>
      <c r="BB65" s="179">
        <f>IFERROR(__xludf.DUMMYFUNCTION("""COMPUTED_VALUE"""),0.0)</f>
        <v>0</v>
      </c>
      <c r="BC65" s="180">
        <f>IFERROR(__xludf.DUMMYFUNCTION("""COMPUTED_VALUE"""),45695.0)</f>
        <v>45695</v>
      </c>
      <c r="BD65" s="179">
        <f>IFERROR(__xludf.DUMMYFUNCTION("""COMPUTED_VALUE"""),0.0)</f>
        <v>0</v>
      </c>
      <c r="BE65" s="180">
        <f>IFERROR(__xludf.DUMMYFUNCTION("""COMPUTED_VALUE"""),45723.0)</f>
        <v>45723</v>
      </c>
      <c r="BF65" s="179">
        <f>IFERROR(__xludf.DUMMYFUNCTION("""COMPUTED_VALUE"""),0.0)</f>
        <v>0</v>
      </c>
      <c r="BG65" s="180">
        <f>IFERROR(__xludf.DUMMYFUNCTION("""COMPUTED_VALUE"""),45695.0)</f>
        <v>45695</v>
      </c>
      <c r="BH65" s="179">
        <f>IFERROR(__xludf.DUMMYFUNCTION("""COMPUTED_VALUE"""),0.0)</f>
        <v>0</v>
      </c>
      <c r="BI65" s="180">
        <f>IFERROR(__xludf.DUMMYFUNCTION("""COMPUTED_VALUE"""),45723.0)</f>
        <v>45723</v>
      </c>
      <c r="BJ65" s="179">
        <f>IFERROR(__xludf.DUMMYFUNCTION("""COMPUTED_VALUE"""),0.0)</f>
        <v>0</v>
      </c>
      <c r="BK65" s="182">
        <f>IFERROR(__xludf.DUMMYFUNCTION("""COMPUTED_VALUE"""),45723.0)</f>
        <v>45723</v>
      </c>
      <c r="BL65" s="179">
        <f>IFERROR(__xludf.DUMMYFUNCTION("""COMPUTED_VALUE"""),0.0)</f>
        <v>0</v>
      </c>
      <c r="BM65" s="180">
        <f>IFERROR(__xludf.DUMMYFUNCTION("""COMPUTED_VALUE"""),45723.0)</f>
        <v>45723</v>
      </c>
      <c r="BN65" s="179">
        <f>IFERROR(__xludf.DUMMYFUNCTION("""COMPUTED_VALUE"""),0.0)</f>
        <v>0</v>
      </c>
      <c r="BO65" s="180">
        <f>IFERROR(__xludf.DUMMYFUNCTION("""COMPUTED_VALUE"""),45695.0)</f>
        <v>45695</v>
      </c>
      <c r="BP65" s="179">
        <f>IFERROR(__xludf.DUMMYFUNCTION("""COMPUTED_VALUE"""),0.0)</f>
        <v>0</v>
      </c>
      <c r="BQ65" s="180">
        <f>IFERROR(__xludf.DUMMYFUNCTION("""COMPUTED_VALUE"""),45695.0)</f>
        <v>45695</v>
      </c>
      <c r="BR65" s="179">
        <f>IFERROR(__xludf.DUMMYFUNCTION("""COMPUTED_VALUE"""),0.0)</f>
        <v>0</v>
      </c>
      <c r="BS65" s="180">
        <f>IFERROR(__xludf.DUMMYFUNCTION("""COMPUTED_VALUE"""),45723.0)</f>
        <v>45723</v>
      </c>
      <c r="BT65" s="179">
        <f>IFERROR(__xludf.DUMMYFUNCTION("""COMPUTED_VALUE"""),0.0)</f>
        <v>0</v>
      </c>
      <c r="BU65" s="180">
        <f>IFERROR(__xludf.DUMMYFUNCTION("""COMPUTED_VALUE"""),45723.0)</f>
        <v>45723</v>
      </c>
      <c r="BV65" s="179">
        <f>IFERROR(__xludf.DUMMYFUNCTION("""COMPUTED_VALUE"""),0.0)</f>
        <v>0</v>
      </c>
      <c r="BW65" s="180">
        <f>IFERROR(__xludf.DUMMYFUNCTION("""COMPUTED_VALUE"""),45723.0)</f>
        <v>45723</v>
      </c>
      <c r="BX65" s="179">
        <f>IFERROR(__xludf.DUMMYFUNCTION("""COMPUTED_VALUE"""),0.0)</f>
        <v>0</v>
      </c>
      <c r="BY65" s="180">
        <f>IFERROR(__xludf.DUMMYFUNCTION("""COMPUTED_VALUE"""),45695.0)</f>
        <v>45695</v>
      </c>
      <c r="BZ65" s="179">
        <f>IFERROR(__xludf.DUMMYFUNCTION("""COMPUTED_VALUE"""),0.0)</f>
        <v>0</v>
      </c>
      <c r="CA65" s="180">
        <f>IFERROR(__xludf.DUMMYFUNCTION("""COMPUTED_VALUE"""),45723.0)</f>
        <v>45723</v>
      </c>
      <c r="CB65" s="179">
        <f>IFERROR(__xludf.DUMMYFUNCTION("""COMPUTED_VALUE"""),0.0)</f>
        <v>0</v>
      </c>
      <c r="CC65" s="180">
        <f>IFERROR(__xludf.DUMMYFUNCTION("""COMPUTED_VALUE"""),45723.0)</f>
        <v>45723</v>
      </c>
      <c r="CD65" s="179">
        <f>IFERROR(__xludf.DUMMYFUNCTION("""COMPUTED_VALUE"""),0.0)</f>
        <v>0</v>
      </c>
      <c r="CE65" s="182">
        <f>IFERROR(__xludf.DUMMYFUNCTION("""COMPUTED_VALUE"""),45723.0)</f>
        <v>45723</v>
      </c>
      <c r="CF65" s="179">
        <f>IFERROR(__xludf.DUMMYFUNCTION("""COMPUTED_VALUE"""),0.0)</f>
        <v>0</v>
      </c>
      <c r="CG65" s="180">
        <f>IFERROR(__xludf.DUMMYFUNCTION("""COMPUTED_VALUE"""),45906.0)</f>
        <v>45906</v>
      </c>
      <c r="CH65" s="179">
        <f>IFERROR(__xludf.DUMMYFUNCTION("""COMPUTED_VALUE"""),0.0)</f>
        <v>0</v>
      </c>
      <c r="CI65" s="180">
        <f>IFERROR(__xludf.DUMMYFUNCTION("""COMPUTED_VALUE"""),45906.0)</f>
        <v>45906</v>
      </c>
      <c r="CJ65" s="179">
        <f>IFERROR(__xludf.DUMMYFUNCTION("""COMPUTED_VALUE"""),0.0)</f>
        <v>0</v>
      </c>
      <c r="CK65" s="180">
        <f>IFERROR(__xludf.DUMMYFUNCTION("""COMPUTED_VALUE"""),45936.0)</f>
        <v>45936</v>
      </c>
      <c r="CL65" s="179">
        <f>IFERROR(__xludf.DUMMYFUNCTION("""COMPUTED_VALUE"""),0.0)</f>
        <v>0</v>
      </c>
      <c r="CM65" s="180">
        <f>IFERROR(__xludf.DUMMYFUNCTION("""COMPUTED_VALUE"""),45695.0)</f>
        <v>45695</v>
      </c>
      <c r="CN65" s="179">
        <f>IFERROR(__xludf.DUMMYFUNCTION("""COMPUTED_VALUE"""),0.0)</f>
        <v>0</v>
      </c>
      <c r="CO65" s="180">
        <f>IFERROR(__xludf.DUMMYFUNCTION("""COMPUTED_VALUE"""),45664.0)</f>
        <v>45664</v>
      </c>
      <c r="CP65" s="179">
        <f>IFERROR(__xludf.DUMMYFUNCTION("""COMPUTED_VALUE"""),0.0)</f>
        <v>0</v>
      </c>
      <c r="CQ65" s="180">
        <f>IFERROR(__xludf.DUMMYFUNCTION("""COMPUTED_VALUE"""),45814.0)</f>
        <v>45814</v>
      </c>
      <c r="CR65" s="179">
        <f>IFERROR(__xludf.DUMMYFUNCTION("""COMPUTED_VALUE"""),0.0)</f>
        <v>0</v>
      </c>
      <c r="CS65" s="180">
        <f>IFERROR(__xludf.DUMMYFUNCTION("""COMPUTED_VALUE"""),45664.0)</f>
        <v>45664</v>
      </c>
      <c r="CT65" s="179">
        <f>IFERROR(__xludf.DUMMYFUNCTION("""COMPUTED_VALUE"""),0.0)</f>
        <v>0</v>
      </c>
      <c r="CU65" s="180">
        <f>IFERROR(__xludf.DUMMYFUNCTION("""COMPUTED_VALUE"""),45723.0)</f>
        <v>45723</v>
      </c>
      <c r="CV65" s="179">
        <f>IFERROR(__xludf.DUMMYFUNCTION("""COMPUTED_VALUE"""),0.0)</f>
        <v>0</v>
      </c>
      <c r="CW65" s="180">
        <f>IFERROR(__xludf.DUMMYFUNCTION("""COMPUTED_VALUE"""),45783.0)</f>
        <v>45783</v>
      </c>
      <c r="CX65" s="179">
        <f>IFERROR(__xludf.DUMMYFUNCTION("""COMPUTED_VALUE"""),0.0)</f>
        <v>0</v>
      </c>
      <c r="CY65" s="182">
        <f>IFERROR(__xludf.DUMMYFUNCTION("""COMPUTED_VALUE"""),45723.0)</f>
        <v>45723</v>
      </c>
      <c r="CZ65" s="179">
        <f>IFERROR(__xludf.DUMMYFUNCTION("""COMPUTED_VALUE"""),0.0)</f>
        <v>0</v>
      </c>
      <c r="DA65" s="180">
        <f>IFERROR(__xludf.DUMMYFUNCTION("""COMPUTED_VALUE"""),45723.0)</f>
        <v>45723</v>
      </c>
      <c r="DB65" s="179">
        <f>IFERROR(__xludf.DUMMYFUNCTION("""COMPUTED_VALUE"""),0.0)</f>
        <v>0</v>
      </c>
      <c r="DC65" s="180">
        <f>IFERROR(__xludf.DUMMYFUNCTION("""COMPUTED_VALUE"""),45935.0)</f>
        <v>45935</v>
      </c>
      <c r="DD65" s="179">
        <f>IFERROR(__xludf.DUMMYFUNCTION("""COMPUTED_VALUE"""),0.0)</f>
        <v>0</v>
      </c>
      <c r="DE65" s="180">
        <f>IFERROR(__xludf.DUMMYFUNCTION("""COMPUTED_VALUE"""),45723.0)</f>
        <v>45723</v>
      </c>
      <c r="DF65" s="179">
        <f>IFERROR(__xludf.DUMMYFUNCTION("""COMPUTED_VALUE"""),0.0)</f>
        <v>0</v>
      </c>
      <c r="DG65" s="180">
        <f>IFERROR(__xludf.DUMMYFUNCTION("""COMPUTED_VALUE"""),45723.0)</f>
        <v>45723</v>
      </c>
      <c r="DH65" s="179">
        <f>IFERROR(__xludf.DUMMYFUNCTION("""COMPUTED_VALUE"""),0.0)</f>
        <v>0</v>
      </c>
      <c r="DI65" s="180">
        <f>IFERROR(__xludf.DUMMYFUNCTION("""COMPUTED_VALUE"""),45723.0)</f>
        <v>45723</v>
      </c>
      <c r="DJ65" s="179">
        <f>IFERROR(__xludf.DUMMYFUNCTION("""COMPUTED_VALUE"""),0.0)</f>
        <v>0</v>
      </c>
      <c r="DK65" s="180">
        <f>IFERROR(__xludf.DUMMYFUNCTION("""COMPUTED_VALUE"""),45723.0)</f>
        <v>45723</v>
      </c>
      <c r="DL65" s="179">
        <f>IFERROR(__xludf.DUMMYFUNCTION("""COMPUTED_VALUE"""),0.0)</f>
        <v>0</v>
      </c>
      <c r="DM65" s="180">
        <f>IFERROR(__xludf.DUMMYFUNCTION("""COMPUTED_VALUE"""),45723.0)</f>
        <v>45723</v>
      </c>
      <c r="DN65" s="179">
        <f>IFERROR(__xludf.DUMMYFUNCTION("""COMPUTED_VALUE"""),0.0)</f>
        <v>0</v>
      </c>
      <c r="DO65" s="180">
        <f>IFERROR(__xludf.DUMMYFUNCTION("""COMPUTED_VALUE"""),45723.0)</f>
        <v>45723</v>
      </c>
      <c r="DP65" s="179">
        <f>IFERROR(__xludf.DUMMYFUNCTION("""COMPUTED_VALUE"""),0.0)</f>
        <v>0</v>
      </c>
      <c r="DQ65" s="180">
        <f>IFERROR(__xludf.DUMMYFUNCTION("""COMPUTED_VALUE"""),45935.0)</f>
        <v>45935</v>
      </c>
      <c r="DR65" s="179">
        <f>IFERROR(__xludf.DUMMYFUNCTION("""COMPUTED_VALUE"""),0.0)</f>
        <v>0</v>
      </c>
      <c r="DS65" s="182">
        <f>IFERROR(__xludf.DUMMYFUNCTION("""COMPUTED_VALUE"""),45722.0)</f>
        <v>45722</v>
      </c>
      <c r="DT65" s="179">
        <f>IFERROR(__xludf.DUMMYFUNCTION("""COMPUTED_VALUE"""),0.0)</f>
        <v>0</v>
      </c>
      <c r="DU65" s="180">
        <f>IFERROR(__xludf.DUMMYFUNCTION("""COMPUTED_VALUE"""),45694.0)</f>
        <v>45694</v>
      </c>
      <c r="DV65" s="179">
        <f>IFERROR(__xludf.DUMMYFUNCTION("""COMPUTED_VALUE"""),0.0)</f>
        <v>0</v>
      </c>
      <c r="DW65" s="180">
        <f>IFERROR(__xludf.DUMMYFUNCTION("""COMPUTED_VALUE"""),45694.0)</f>
        <v>45694</v>
      </c>
      <c r="DX65" s="179">
        <f>IFERROR(__xludf.DUMMYFUNCTION("""COMPUTED_VALUE"""),0.0)</f>
        <v>0</v>
      </c>
      <c r="DY65" s="180">
        <f>IFERROR(__xludf.DUMMYFUNCTION("""COMPUTED_VALUE"""),45722.0)</f>
        <v>45722</v>
      </c>
      <c r="DZ65" s="179">
        <f>IFERROR(__xludf.DUMMYFUNCTION("""COMPUTED_VALUE"""),0.0)</f>
        <v>0</v>
      </c>
      <c r="EA65" s="180">
        <f>IFERROR(__xludf.DUMMYFUNCTION("""COMPUTED_VALUE"""),45753.0)</f>
        <v>45753</v>
      </c>
      <c r="EB65" s="179">
        <f>IFERROR(__xludf.DUMMYFUNCTION("""COMPUTED_VALUE"""),0.0)</f>
        <v>0</v>
      </c>
      <c r="EC65" s="180">
        <f>IFERROR(__xludf.DUMMYFUNCTION("""COMPUTED_VALUE"""),45722.0)</f>
        <v>45722</v>
      </c>
      <c r="ED65" s="179">
        <f>IFERROR(__xludf.DUMMYFUNCTION("""COMPUTED_VALUE"""),0.0)</f>
        <v>0</v>
      </c>
      <c r="EE65" s="180">
        <f>IFERROR(__xludf.DUMMYFUNCTION("""COMPUTED_VALUE"""),45935.0)</f>
        <v>45935</v>
      </c>
      <c r="EF65" s="179">
        <f>IFERROR(__xludf.DUMMYFUNCTION("""COMPUTED_VALUE"""),0.0)</f>
        <v>0</v>
      </c>
      <c r="EG65" s="180">
        <f>IFERROR(__xludf.DUMMYFUNCTION("""COMPUTED_VALUE"""),45722.0)</f>
        <v>45722</v>
      </c>
      <c r="EH65" s="179">
        <f>IFERROR(__xludf.DUMMYFUNCTION("""COMPUTED_VALUE"""),0.0)</f>
        <v>0</v>
      </c>
      <c r="EI65" s="180">
        <f>IFERROR(__xludf.DUMMYFUNCTION("""COMPUTED_VALUE"""),45722.0)</f>
        <v>45722</v>
      </c>
      <c r="EJ65" s="179">
        <f>IFERROR(__xludf.DUMMYFUNCTION("""COMPUTED_VALUE"""),0.0)</f>
        <v>0</v>
      </c>
      <c r="EK65" s="180">
        <f>IFERROR(__xludf.DUMMYFUNCTION("""COMPUTED_VALUE"""),45663.0)</f>
        <v>45663</v>
      </c>
      <c r="EL65" s="179">
        <f>IFERROR(__xludf.DUMMYFUNCTION("""COMPUTED_VALUE"""),0.0)</f>
        <v>0</v>
      </c>
      <c r="EM65" s="182">
        <f>IFERROR(__xludf.DUMMYFUNCTION("""COMPUTED_VALUE"""),45935.0)</f>
        <v>45935</v>
      </c>
      <c r="EN65" s="179">
        <f>IFERROR(__xludf.DUMMYFUNCTION("""COMPUTED_VALUE"""),0.0)</f>
        <v>0</v>
      </c>
      <c r="EO65" s="180">
        <f>IFERROR(__xludf.DUMMYFUNCTION("""COMPUTED_VALUE"""),45753.0)</f>
        <v>45753</v>
      </c>
      <c r="EP65" s="179">
        <f>IFERROR(__xludf.DUMMYFUNCTION("""COMPUTED_VALUE"""),0.0)</f>
        <v>0</v>
      </c>
      <c r="EQ65" s="180">
        <f>IFERROR(__xludf.DUMMYFUNCTION("""COMPUTED_VALUE"""),45722.0)</f>
        <v>45722</v>
      </c>
      <c r="ER65" s="179">
        <f>IFERROR(__xludf.DUMMYFUNCTION("""COMPUTED_VALUE"""),0.0)</f>
        <v>0</v>
      </c>
      <c r="ES65" s="180">
        <f>IFERROR(__xludf.DUMMYFUNCTION("""COMPUTED_VALUE"""),45753.0)</f>
        <v>45753</v>
      </c>
      <c r="ET65" s="179">
        <f>IFERROR(__xludf.DUMMYFUNCTION("""COMPUTED_VALUE"""),0.0)</f>
        <v>0</v>
      </c>
      <c r="EU65" s="180">
        <f>IFERROR(__xludf.DUMMYFUNCTION("""COMPUTED_VALUE"""),45722.0)</f>
        <v>45722</v>
      </c>
      <c r="EV65" s="179">
        <f>IFERROR(__xludf.DUMMYFUNCTION("""COMPUTED_VALUE"""),0.0)</f>
        <v>0</v>
      </c>
      <c r="EW65" s="180">
        <f>IFERROR(__xludf.DUMMYFUNCTION("""COMPUTED_VALUE"""),45753.0)</f>
        <v>45753</v>
      </c>
      <c r="EX65" s="179">
        <f>IFERROR(__xludf.DUMMYFUNCTION("""COMPUTED_VALUE"""),0.0)</f>
        <v>0</v>
      </c>
      <c r="EY65" s="180">
        <f>IFERROR(__xludf.DUMMYFUNCTION("""COMPUTED_VALUE"""),45753.0)</f>
        <v>45753</v>
      </c>
      <c r="EZ65" s="179">
        <f>IFERROR(__xludf.DUMMYFUNCTION("""COMPUTED_VALUE"""),0.0)</f>
        <v>0</v>
      </c>
      <c r="FA65" s="180">
        <f>IFERROR(__xludf.DUMMYFUNCTION("""COMPUTED_VALUE"""),45722.0)</f>
        <v>45722</v>
      </c>
      <c r="FB65" s="179">
        <f>IFERROR(__xludf.DUMMYFUNCTION("""COMPUTED_VALUE"""),0.0)</f>
        <v>0</v>
      </c>
      <c r="FC65" s="180">
        <f>IFERROR(__xludf.DUMMYFUNCTION("""COMPUTED_VALUE"""),45753.0)</f>
        <v>45753</v>
      </c>
      <c r="FD65" s="179">
        <f>IFERROR(__xludf.DUMMYFUNCTION("""COMPUTED_VALUE"""),0.0)</f>
        <v>0</v>
      </c>
      <c r="FE65" s="180">
        <f>IFERROR(__xludf.DUMMYFUNCTION("""COMPUTED_VALUE"""),45935.0)</f>
        <v>45935</v>
      </c>
      <c r="FF65" s="179">
        <f>IFERROR(__xludf.DUMMYFUNCTION("""COMPUTED_VALUE"""),0.0)</f>
        <v>0</v>
      </c>
      <c r="FG65" s="182">
        <f>IFERROR(__xludf.DUMMYFUNCTION("""COMPUTED_VALUE"""),45753.0)</f>
        <v>45753</v>
      </c>
      <c r="FH65" s="179">
        <f>IFERROR(__xludf.DUMMYFUNCTION("""COMPUTED_VALUE"""),0.0)</f>
        <v>0</v>
      </c>
      <c r="FI65" s="180">
        <f>IFERROR(__xludf.DUMMYFUNCTION("""COMPUTED_VALUE"""),45722.0)</f>
        <v>45722</v>
      </c>
      <c r="FJ65" s="179">
        <f>IFERROR(__xludf.DUMMYFUNCTION("""COMPUTED_VALUE"""),0.0)</f>
        <v>0</v>
      </c>
      <c r="FK65" s="180">
        <f>IFERROR(__xludf.DUMMYFUNCTION("""COMPUTED_VALUE"""),45813.0)</f>
        <v>45813</v>
      </c>
      <c r="FL65" s="179">
        <f>IFERROR(__xludf.DUMMYFUNCTION("""COMPUTED_VALUE"""),0.0)</f>
        <v>0</v>
      </c>
      <c r="FM65" s="180">
        <f>IFERROR(__xludf.DUMMYFUNCTION("""COMPUTED_VALUE"""),45753.0)</f>
        <v>45753</v>
      </c>
      <c r="FN65" s="179">
        <f>IFERROR(__xludf.DUMMYFUNCTION("""COMPUTED_VALUE"""),0.0)</f>
        <v>0</v>
      </c>
      <c r="FO65" s="180">
        <f>IFERROR(__xludf.DUMMYFUNCTION("""COMPUTED_VALUE"""),45753.0)</f>
        <v>45753</v>
      </c>
      <c r="FP65" s="179">
        <f>IFERROR(__xludf.DUMMYFUNCTION("""COMPUTED_VALUE"""),0.0)</f>
        <v>0</v>
      </c>
      <c r="FQ65" s="180">
        <f>IFERROR(__xludf.DUMMYFUNCTION("""COMPUTED_VALUE"""),45753.0)</f>
        <v>45753</v>
      </c>
      <c r="FR65" s="179">
        <f>IFERROR(__xludf.DUMMYFUNCTION("""COMPUTED_VALUE"""),0.0)</f>
        <v>0</v>
      </c>
      <c r="FS65" s="180">
        <f>IFERROR(__xludf.DUMMYFUNCTION("""COMPUTED_VALUE"""),45722.0)</f>
        <v>45722</v>
      </c>
      <c r="FT65" s="179">
        <f>IFERROR(__xludf.DUMMYFUNCTION("""COMPUTED_VALUE"""),0.0)</f>
        <v>0</v>
      </c>
      <c r="FU65" s="180">
        <f>IFERROR(__xludf.DUMMYFUNCTION("""COMPUTED_VALUE"""),45753.0)</f>
        <v>45753</v>
      </c>
      <c r="FV65" s="179">
        <f>IFERROR(__xludf.DUMMYFUNCTION("""COMPUTED_VALUE"""),0.0)</f>
        <v>0</v>
      </c>
      <c r="FW65" s="180">
        <f>IFERROR(__xludf.DUMMYFUNCTION("""COMPUTED_VALUE"""),45753.0)</f>
        <v>45753</v>
      </c>
      <c r="FX65" s="179">
        <f>IFERROR(__xludf.DUMMYFUNCTION("""COMPUTED_VALUE"""),0.0)</f>
        <v>0</v>
      </c>
      <c r="FY65" s="180">
        <f>IFERROR(__xludf.DUMMYFUNCTION("""COMPUTED_VALUE"""),45663.0)</f>
        <v>45663</v>
      </c>
      <c r="FZ65" s="179">
        <f>IFERROR(__xludf.DUMMYFUNCTION("""COMPUTED_VALUE"""),0.0)</f>
        <v>0</v>
      </c>
      <c r="GA65" s="182">
        <f>IFERROR(__xludf.DUMMYFUNCTION("""COMPUTED_VALUE"""),45753.0)</f>
        <v>45753</v>
      </c>
      <c r="GB65" s="179">
        <f>IFERROR(__xludf.DUMMYFUNCTION("""COMPUTED_VALUE"""),0.0)</f>
        <v>0</v>
      </c>
      <c r="GC65" s="180">
        <f>IFERROR(__xludf.DUMMYFUNCTION("""COMPUTED_VALUE"""),45722.0)</f>
        <v>45722</v>
      </c>
      <c r="GD65" s="179">
        <f>IFERROR(__xludf.DUMMYFUNCTION("""COMPUTED_VALUE"""),0.0)</f>
        <v>0</v>
      </c>
      <c r="GE65" s="180">
        <f>IFERROR(__xludf.DUMMYFUNCTION("""COMPUTED_VALUE"""),45722.0)</f>
        <v>45722</v>
      </c>
      <c r="GF65" s="179">
        <f>IFERROR(__xludf.DUMMYFUNCTION("""COMPUTED_VALUE"""),0.0)</f>
        <v>0</v>
      </c>
      <c r="GG65" s="180">
        <f>IFERROR(__xludf.DUMMYFUNCTION("""COMPUTED_VALUE"""),45722.0)</f>
        <v>45722</v>
      </c>
      <c r="GH65" s="179">
        <f>IFERROR(__xludf.DUMMYFUNCTION("""COMPUTED_VALUE"""),0.0)</f>
        <v>0</v>
      </c>
      <c r="GI65" s="180">
        <f>IFERROR(__xludf.DUMMYFUNCTION("""COMPUTED_VALUE"""),45753.0)</f>
        <v>45753</v>
      </c>
      <c r="GJ65" s="179">
        <f>IFERROR(__xludf.DUMMYFUNCTION("""COMPUTED_VALUE"""),0.0)</f>
        <v>0</v>
      </c>
      <c r="GK65" s="180">
        <f>IFERROR(__xludf.DUMMYFUNCTION("""COMPUTED_VALUE"""),45753.0)</f>
        <v>45753</v>
      </c>
      <c r="GL65" s="179">
        <f>IFERROR(__xludf.DUMMYFUNCTION("""COMPUTED_VALUE"""),0.0)</f>
        <v>0</v>
      </c>
      <c r="GM65" s="180">
        <f>IFERROR(__xludf.DUMMYFUNCTION("""COMPUTED_VALUE"""),45663.0)</f>
        <v>45663</v>
      </c>
      <c r="GN65" s="179">
        <f>IFERROR(__xludf.DUMMYFUNCTION("""COMPUTED_VALUE"""),0.0)</f>
        <v>0</v>
      </c>
      <c r="GO65" s="180">
        <f>IFERROR(__xludf.DUMMYFUNCTION("""COMPUTED_VALUE"""),45753.0)</f>
        <v>45753</v>
      </c>
      <c r="GP65" s="179">
        <f>IFERROR(__xludf.DUMMYFUNCTION("""COMPUTED_VALUE"""),0.0)</f>
        <v>0</v>
      </c>
      <c r="GQ65" s="180">
        <f>IFERROR(__xludf.DUMMYFUNCTION("""COMPUTED_VALUE"""),45753.0)</f>
        <v>45753</v>
      </c>
      <c r="GR65" s="179">
        <f>IFERROR(__xludf.DUMMYFUNCTION("""COMPUTED_VALUE"""),0.0)</f>
        <v>0</v>
      </c>
      <c r="GS65" s="180">
        <f>IFERROR(__xludf.DUMMYFUNCTION("""COMPUTED_VALUE"""),45694.0)</f>
        <v>45694</v>
      </c>
      <c r="GT65" s="179">
        <f>IFERROR(__xludf.DUMMYFUNCTION("""COMPUTED_VALUE"""),0.0)</f>
        <v>0</v>
      </c>
    </row>
    <row r="66" ht="31.5" customHeight="1">
      <c r="B66" s="183"/>
      <c r="C66" s="178">
        <f>IFERROR(__xludf.DUMMYFUNCTION("""COMPUTED_VALUE"""),45754.0)</f>
        <v>45754</v>
      </c>
      <c r="D66" s="179">
        <f>IFERROR(__xludf.DUMMYFUNCTION("""COMPUTED_VALUE"""),0.0)</f>
        <v>0</v>
      </c>
      <c r="E66" s="180">
        <f>IFERROR(__xludf.DUMMYFUNCTION("""COMPUTED_VALUE"""),45695.0)</f>
        <v>45695</v>
      </c>
      <c r="F66" s="179">
        <f>IFERROR(__xludf.DUMMYFUNCTION("""COMPUTED_VALUE"""),0.0)</f>
        <v>0</v>
      </c>
      <c r="G66" s="180">
        <f>IFERROR(__xludf.DUMMYFUNCTION("""COMPUTED_VALUE"""),45695.0)</f>
        <v>45695</v>
      </c>
      <c r="H66" s="179">
        <f>IFERROR(__xludf.DUMMYFUNCTION("""COMPUTED_VALUE"""),0.0)</f>
        <v>0</v>
      </c>
      <c r="I66" s="180">
        <f>IFERROR(__xludf.DUMMYFUNCTION("""COMPUTED_VALUE"""),45754.0)</f>
        <v>45754</v>
      </c>
      <c r="J66" s="179">
        <f>IFERROR(__xludf.DUMMYFUNCTION("""COMPUTED_VALUE"""),0.0)</f>
        <v>0</v>
      </c>
      <c r="K66" s="180">
        <f>IFERROR(__xludf.DUMMYFUNCTION("""COMPUTED_VALUE"""),45723.0)</f>
        <v>45723</v>
      </c>
      <c r="L66" s="179">
        <f>IFERROR(__xludf.DUMMYFUNCTION("""COMPUTED_VALUE"""),0.0)</f>
        <v>0</v>
      </c>
      <c r="M66" s="180">
        <f>IFERROR(__xludf.DUMMYFUNCTION("""COMPUTED_VALUE"""),45754.0)</f>
        <v>45754</v>
      </c>
      <c r="N66" s="179">
        <f>IFERROR(__xludf.DUMMYFUNCTION("""COMPUTED_VALUE"""),0.0)</f>
        <v>0</v>
      </c>
      <c r="O66" s="180">
        <f>IFERROR(__xludf.DUMMYFUNCTION("""COMPUTED_VALUE"""),45695.0)</f>
        <v>45695</v>
      </c>
      <c r="P66" s="179">
        <f>IFERROR(__xludf.DUMMYFUNCTION("""COMPUTED_VALUE"""),0.0)</f>
        <v>0</v>
      </c>
      <c r="Q66" s="180">
        <f>IFERROR(__xludf.DUMMYFUNCTION("""COMPUTED_VALUE"""),45754.0)</f>
        <v>45754</v>
      </c>
      <c r="R66" s="179">
        <f>IFERROR(__xludf.DUMMYFUNCTION("""COMPUTED_VALUE"""),0.0)</f>
        <v>0</v>
      </c>
      <c r="S66" s="180">
        <f>IFERROR(__xludf.DUMMYFUNCTION("""COMPUTED_VALUE"""),45695.0)</f>
        <v>45695</v>
      </c>
      <c r="T66" s="179">
        <f>IFERROR(__xludf.DUMMYFUNCTION("""COMPUTED_VALUE"""),0.0)</f>
        <v>0</v>
      </c>
      <c r="U66" s="180">
        <f>IFERROR(__xludf.DUMMYFUNCTION("""COMPUTED_VALUE"""),45723.0)</f>
        <v>45723</v>
      </c>
      <c r="V66" s="181">
        <f>IFERROR(__xludf.DUMMYFUNCTION("""COMPUTED_VALUE"""),0.0)</f>
        <v>0</v>
      </c>
      <c r="W66" s="178">
        <f>IFERROR(__xludf.DUMMYFUNCTION("""COMPUTED_VALUE"""),45754.0)</f>
        <v>45754</v>
      </c>
      <c r="X66" s="179">
        <f>IFERROR(__xludf.DUMMYFUNCTION("""COMPUTED_VALUE"""),0.0)</f>
        <v>0</v>
      </c>
      <c r="Y66" s="180">
        <f>IFERROR(__xludf.DUMMYFUNCTION("""COMPUTED_VALUE"""),45906.0)</f>
        <v>45906</v>
      </c>
      <c r="Z66" s="179">
        <f>IFERROR(__xludf.DUMMYFUNCTION("""COMPUTED_VALUE"""),0.0)</f>
        <v>0</v>
      </c>
      <c r="AA66" s="180">
        <f>IFERROR(__xludf.DUMMYFUNCTION("""COMPUTED_VALUE"""),45723.0)</f>
        <v>45723</v>
      </c>
      <c r="AB66" s="179">
        <f>IFERROR(__xludf.DUMMYFUNCTION("""COMPUTED_VALUE"""),0.0)</f>
        <v>0</v>
      </c>
      <c r="AC66" s="180">
        <f>IFERROR(__xludf.DUMMYFUNCTION("""COMPUTED_VALUE"""),45844.0)</f>
        <v>45844</v>
      </c>
      <c r="AD66" s="179">
        <f>IFERROR(__xludf.DUMMYFUNCTION("""COMPUTED_VALUE"""),0.0)</f>
        <v>0</v>
      </c>
      <c r="AE66" s="180">
        <f>IFERROR(__xludf.DUMMYFUNCTION("""COMPUTED_VALUE"""),45936.0)</f>
        <v>45936</v>
      </c>
      <c r="AF66" s="179">
        <f>IFERROR(__xludf.DUMMYFUNCTION("""COMPUTED_VALUE"""),0.0)</f>
        <v>0</v>
      </c>
      <c r="AG66" s="180">
        <f>IFERROR(__xludf.DUMMYFUNCTION("""COMPUTED_VALUE"""),45754.0)</f>
        <v>45754</v>
      </c>
      <c r="AH66" s="179">
        <f>IFERROR(__xludf.DUMMYFUNCTION("""COMPUTED_VALUE"""),0.0)</f>
        <v>0</v>
      </c>
      <c r="AI66" s="180">
        <f>IFERROR(__xludf.DUMMYFUNCTION("""COMPUTED_VALUE"""),45875.0)</f>
        <v>45875</v>
      </c>
      <c r="AJ66" s="179">
        <f>IFERROR(__xludf.DUMMYFUNCTION("""COMPUTED_VALUE"""),0.0)</f>
        <v>0</v>
      </c>
      <c r="AK66" s="180">
        <f>IFERROR(__xludf.DUMMYFUNCTION("""COMPUTED_VALUE"""),45664.0)</f>
        <v>45664</v>
      </c>
      <c r="AL66" s="179">
        <f>IFERROR(__xludf.DUMMYFUNCTION("""COMPUTED_VALUE"""),0.0)</f>
        <v>0</v>
      </c>
      <c r="AM66" s="180">
        <f>IFERROR(__xludf.DUMMYFUNCTION("""COMPUTED_VALUE"""),45754.0)</f>
        <v>45754</v>
      </c>
      <c r="AN66" s="179">
        <f>IFERROR(__xludf.DUMMYFUNCTION("""COMPUTED_VALUE"""),0.0)</f>
        <v>0</v>
      </c>
      <c r="AO66" s="180">
        <f>IFERROR(__xludf.DUMMYFUNCTION("""COMPUTED_VALUE"""),45936.0)</f>
        <v>45936</v>
      </c>
      <c r="AP66" s="181">
        <f>IFERROR(__xludf.DUMMYFUNCTION("""COMPUTED_VALUE"""),0.0)</f>
        <v>0</v>
      </c>
      <c r="AQ66" s="178">
        <f>IFERROR(__xludf.DUMMYFUNCTION("""COMPUTED_VALUE"""),45754.0)</f>
        <v>45754</v>
      </c>
      <c r="AR66" s="179">
        <f>IFERROR(__xludf.DUMMYFUNCTION("""COMPUTED_VALUE"""),0.0)</f>
        <v>0</v>
      </c>
      <c r="AS66" s="180">
        <f>IFERROR(__xludf.DUMMYFUNCTION("""COMPUTED_VALUE"""),45754.0)</f>
        <v>45754</v>
      </c>
      <c r="AT66" s="179">
        <f>IFERROR(__xludf.DUMMYFUNCTION("""COMPUTED_VALUE"""),0.0)</f>
        <v>0</v>
      </c>
      <c r="AU66" s="180">
        <f>IFERROR(__xludf.DUMMYFUNCTION("""COMPUTED_VALUE"""),45723.0)</f>
        <v>45723</v>
      </c>
      <c r="AV66" s="179">
        <f>IFERROR(__xludf.DUMMYFUNCTION("""COMPUTED_VALUE"""),0.0)</f>
        <v>0</v>
      </c>
      <c r="AW66" s="180">
        <f>IFERROR(__xludf.DUMMYFUNCTION("""COMPUTED_VALUE"""),45723.0)</f>
        <v>45723</v>
      </c>
      <c r="AX66" s="179">
        <f>IFERROR(__xludf.DUMMYFUNCTION("""COMPUTED_VALUE"""),0.0)</f>
        <v>0</v>
      </c>
      <c r="AY66" s="180">
        <f>IFERROR(__xludf.DUMMYFUNCTION("""COMPUTED_VALUE"""),45754.0)</f>
        <v>45754</v>
      </c>
      <c r="AZ66" s="179">
        <f>IFERROR(__xludf.DUMMYFUNCTION("""COMPUTED_VALUE"""),0.0)</f>
        <v>0</v>
      </c>
      <c r="BA66" s="180">
        <f>IFERROR(__xludf.DUMMYFUNCTION("""COMPUTED_VALUE"""),45754.0)</f>
        <v>45754</v>
      </c>
      <c r="BB66" s="179">
        <f>IFERROR(__xludf.DUMMYFUNCTION("""COMPUTED_VALUE"""),0.0)</f>
        <v>0</v>
      </c>
      <c r="BC66" s="180">
        <f>IFERROR(__xludf.DUMMYFUNCTION("""COMPUTED_VALUE"""),45723.0)</f>
        <v>45723</v>
      </c>
      <c r="BD66" s="179">
        <f>IFERROR(__xludf.DUMMYFUNCTION("""COMPUTED_VALUE"""),0.0)</f>
        <v>0</v>
      </c>
      <c r="BE66" s="180">
        <f>IFERROR(__xludf.DUMMYFUNCTION("""COMPUTED_VALUE"""),45754.0)</f>
        <v>45754</v>
      </c>
      <c r="BF66" s="179">
        <f>IFERROR(__xludf.DUMMYFUNCTION("""COMPUTED_VALUE"""),0.0)</f>
        <v>0</v>
      </c>
      <c r="BG66" s="180">
        <f>IFERROR(__xludf.DUMMYFUNCTION("""COMPUTED_VALUE"""),45723.0)</f>
        <v>45723</v>
      </c>
      <c r="BH66" s="179">
        <f>IFERROR(__xludf.DUMMYFUNCTION("""COMPUTED_VALUE"""),0.0)</f>
        <v>0</v>
      </c>
      <c r="BI66" s="180">
        <f>IFERROR(__xludf.DUMMYFUNCTION("""COMPUTED_VALUE"""),45754.0)</f>
        <v>45754</v>
      </c>
      <c r="BJ66" s="179">
        <f>IFERROR(__xludf.DUMMYFUNCTION("""COMPUTED_VALUE"""),0.0)</f>
        <v>0</v>
      </c>
      <c r="BK66" s="182">
        <f>IFERROR(__xludf.DUMMYFUNCTION("""COMPUTED_VALUE"""),45754.0)</f>
        <v>45754</v>
      </c>
      <c r="BL66" s="179">
        <f>IFERROR(__xludf.DUMMYFUNCTION("""COMPUTED_VALUE"""),0.0)</f>
        <v>0</v>
      </c>
      <c r="BM66" s="180">
        <f>IFERROR(__xludf.DUMMYFUNCTION("""COMPUTED_VALUE"""),45754.0)</f>
        <v>45754</v>
      </c>
      <c r="BN66" s="179">
        <f>IFERROR(__xludf.DUMMYFUNCTION("""COMPUTED_VALUE"""),0.0)</f>
        <v>0</v>
      </c>
      <c r="BO66" s="180">
        <f>IFERROR(__xludf.DUMMYFUNCTION("""COMPUTED_VALUE"""),45723.0)</f>
        <v>45723</v>
      </c>
      <c r="BP66" s="179">
        <f>IFERROR(__xludf.DUMMYFUNCTION("""COMPUTED_VALUE"""),0.0)</f>
        <v>0</v>
      </c>
      <c r="BQ66" s="180">
        <f>IFERROR(__xludf.DUMMYFUNCTION("""COMPUTED_VALUE"""),45723.0)</f>
        <v>45723</v>
      </c>
      <c r="BR66" s="179">
        <f>IFERROR(__xludf.DUMMYFUNCTION("""COMPUTED_VALUE"""),0.0)</f>
        <v>0</v>
      </c>
      <c r="BS66" s="180">
        <f>IFERROR(__xludf.DUMMYFUNCTION("""COMPUTED_VALUE"""),45754.0)</f>
        <v>45754</v>
      </c>
      <c r="BT66" s="179">
        <f>IFERROR(__xludf.DUMMYFUNCTION("""COMPUTED_VALUE"""),0.0)</f>
        <v>0</v>
      </c>
      <c r="BU66" s="180">
        <f>IFERROR(__xludf.DUMMYFUNCTION("""COMPUTED_VALUE"""),45754.0)</f>
        <v>45754</v>
      </c>
      <c r="BV66" s="179">
        <f>IFERROR(__xludf.DUMMYFUNCTION("""COMPUTED_VALUE"""),0.0)</f>
        <v>0</v>
      </c>
      <c r="BW66" s="180">
        <f>IFERROR(__xludf.DUMMYFUNCTION("""COMPUTED_VALUE"""),45754.0)</f>
        <v>45754</v>
      </c>
      <c r="BX66" s="179">
        <f>IFERROR(__xludf.DUMMYFUNCTION("""COMPUTED_VALUE"""),0.0)</f>
        <v>0</v>
      </c>
      <c r="BY66" s="180">
        <f>IFERROR(__xludf.DUMMYFUNCTION("""COMPUTED_VALUE"""),45723.0)</f>
        <v>45723</v>
      </c>
      <c r="BZ66" s="179">
        <f>IFERROR(__xludf.DUMMYFUNCTION("""COMPUTED_VALUE"""),0.0)</f>
        <v>0</v>
      </c>
      <c r="CA66" s="180">
        <f>IFERROR(__xludf.DUMMYFUNCTION("""COMPUTED_VALUE"""),45754.0)</f>
        <v>45754</v>
      </c>
      <c r="CB66" s="179">
        <f>IFERROR(__xludf.DUMMYFUNCTION("""COMPUTED_VALUE"""),0.0)</f>
        <v>0</v>
      </c>
      <c r="CC66" s="180">
        <f>IFERROR(__xludf.DUMMYFUNCTION("""COMPUTED_VALUE"""),45754.0)</f>
        <v>45754</v>
      </c>
      <c r="CD66" s="179">
        <f>IFERROR(__xludf.DUMMYFUNCTION("""COMPUTED_VALUE"""),0.0)</f>
        <v>0</v>
      </c>
      <c r="CE66" s="182">
        <f>IFERROR(__xludf.DUMMYFUNCTION("""COMPUTED_VALUE"""),45754.0)</f>
        <v>45754</v>
      </c>
      <c r="CF66" s="179">
        <f>IFERROR(__xludf.DUMMYFUNCTION("""COMPUTED_VALUE"""),0.0)</f>
        <v>0</v>
      </c>
      <c r="CG66" s="180">
        <f>IFERROR(__xludf.DUMMYFUNCTION("""COMPUTED_VALUE"""),45936.0)</f>
        <v>45936</v>
      </c>
      <c r="CH66" s="179">
        <f>IFERROR(__xludf.DUMMYFUNCTION("""COMPUTED_VALUE"""),0.0)</f>
        <v>0</v>
      </c>
      <c r="CI66" s="180">
        <f>IFERROR(__xludf.DUMMYFUNCTION("""COMPUTED_VALUE"""),45936.0)</f>
        <v>45936</v>
      </c>
      <c r="CJ66" s="179">
        <f>IFERROR(__xludf.DUMMYFUNCTION("""COMPUTED_VALUE"""),0.0)</f>
        <v>0</v>
      </c>
      <c r="CK66" s="180">
        <f>IFERROR(__xludf.DUMMYFUNCTION("""COMPUTED_VALUE"""),45664.0)</f>
        <v>45664</v>
      </c>
      <c r="CL66" s="179">
        <f>IFERROR(__xludf.DUMMYFUNCTION("""COMPUTED_VALUE"""),0.0)</f>
        <v>0</v>
      </c>
      <c r="CM66" s="180">
        <f>IFERROR(__xludf.DUMMYFUNCTION("""COMPUTED_VALUE"""),45723.0)</f>
        <v>45723</v>
      </c>
      <c r="CN66" s="179">
        <f>IFERROR(__xludf.DUMMYFUNCTION("""COMPUTED_VALUE"""),0.0)</f>
        <v>0</v>
      </c>
      <c r="CO66" s="180">
        <f>IFERROR(__xludf.DUMMYFUNCTION("""COMPUTED_VALUE"""),45695.0)</f>
        <v>45695</v>
      </c>
      <c r="CP66" s="179">
        <f>IFERROR(__xludf.DUMMYFUNCTION("""COMPUTED_VALUE"""),0.0)</f>
        <v>0</v>
      </c>
      <c r="CQ66" s="180">
        <f>IFERROR(__xludf.DUMMYFUNCTION("""COMPUTED_VALUE"""),45906.0)</f>
        <v>45906</v>
      </c>
      <c r="CR66" s="179">
        <f>IFERROR(__xludf.DUMMYFUNCTION("""COMPUTED_VALUE"""),0.0)</f>
        <v>0</v>
      </c>
      <c r="CS66" s="180">
        <f>IFERROR(__xludf.DUMMYFUNCTION("""COMPUTED_VALUE"""),45695.0)</f>
        <v>45695</v>
      </c>
      <c r="CT66" s="179">
        <f>IFERROR(__xludf.DUMMYFUNCTION("""COMPUTED_VALUE"""),0.0)</f>
        <v>0</v>
      </c>
      <c r="CU66" s="180">
        <f>IFERROR(__xludf.DUMMYFUNCTION("""COMPUTED_VALUE"""),45754.0)</f>
        <v>45754</v>
      </c>
      <c r="CV66" s="179">
        <f>IFERROR(__xludf.DUMMYFUNCTION("""COMPUTED_VALUE"""),0.0)</f>
        <v>0</v>
      </c>
      <c r="CW66" s="180">
        <f>IFERROR(__xludf.DUMMYFUNCTION("""COMPUTED_VALUE"""),45814.0)</f>
        <v>45814</v>
      </c>
      <c r="CX66" s="179">
        <f>IFERROR(__xludf.DUMMYFUNCTION("""COMPUTED_VALUE"""),0.0)</f>
        <v>0</v>
      </c>
      <c r="CY66" s="182">
        <f>IFERROR(__xludf.DUMMYFUNCTION("""COMPUTED_VALUE"""),45754.0)</f>
        <v>45754</v>
      </c>
      <c r="CZ66" s="179">
        <f>IFERROR(__xludf.DUMMYFUNCTION("""COMPUTED_VALUE"""),0.0)</f>
        <v>0</v>
      </c>
      <c r="DA66" s="180">
        <f>IFERROR(__xludf.DUMMYFUNCTION("""COMPUTED_VALUE"""),45754.0)</f>
        <v>45754</v>
      </c>
      <c r="DB66" s="179">
        <f>IFERROR(__xludf.DUMMYFUNCTION("""COMPUTED_VALUE"""),0.0)</f>
        <v>0</v>
      </c>
      <c r="DC66" s="180">
        <f>IFERROR(__xludf.DUMMYFUNCTION("""COMPUTED_VALUE"""),45722.0)</f>
        <v>45722</v>
      </c>
      <c r="DD66" s="179">
        <f>IFERROR(__xludf.DUMMYFUNCTION("""COMPUTED_VALUE"""),0.0)</f>
        <v>0</v>
      </c>
      <c r="DE66" s="180">
        <f>IFERROR(__xludf.DUMMYFUNCTION("""COMPUTED_VALUE"""),45754.0)</f>
        <v>45754</v>
      </c>
      <c r="DF66" s="179">
        <f>IFERROR(__xludf.DUMMYFUNCTION("""COMPUTED_VALUE"""),0.0)</f>
        <v>0</v>
      </c>
      <c r="DG66" s="180">
        <f>IFERROR(__xludf.DUMMYFUNCTION("""COMPUTED_VALUE"""),45754.0)</f>
        <v>45754</v>
      </c>
      <c r="DH66" s="179">
        <f>IFERROR(__xludf.DUMMYFUNCTION("""COMPUTED_VALUE"""),0.0)</f>
        <v>0</v>
      </c>
      <c r="DI66" s="180">
        <f>IFERROR(__xludf.DUMMYFUNCTION("""COMPUTED_VALUE"""),45754.0)</f>
        <v>45754</v>
      </c>
      <c r="DJ66" s="179">
        <f>IFERROR(__xludf.DUMMYFUNCTION("""COMPUTED_VALUE"""),0.0)</f>
        <v>0</v>
      </c>
      <c r="DK66" s="180">
        <f>IFERROR(__xludf.DUMMYFUNCTION("""COMPUTED_VALUE"""),45754.0)</f>
        <v>45754</v>
      </c>
      <c r="DL66" s="179">
        <f>IFERROR(__xludf.DUMMYFUNCTION("""COMPUTED_VALUE"""),0.0)</f>
        <v>0</v>
      </c>
      <c r="DM66" s="180">
        <f>IFERROR(__xludf.DUMMYFUNCTION("""COMPUTED_VALUE"""),45754.0)</f>
        <v>45754</v>
      </c>
      <c r="DN66" s="179">
        <f>IFERROR(__xludf.DUMMYFUNCTION("""COMPUTED_VALUE"""),0.0)</f>
        <v>0</v>
      </c>
      <c r="DO66" s="180">
        <f>IFERROR(__xludf.DUMMYFUNCTION("""COMPUTED_VALUE"""),45754.0)</f>
        <v>45754</v>
      </c>
      <c r="DP66" s="179">
        <f>IFERROR(__xludf.DUMMYFUNCTION("""COMPUTED_VALUE"""),0.0)</f>
        <v>0</v>
      </c>
      <c r="DQ66" s="180">
        <f>IFERROR(__xludf.DUMMYFUNCTION("""COMPUTED_VALUE"""),45936.0)</f>
        <v>45936</v>
      </c>
      <c r="DR66" s="179">
        <f>IFERROR(__xludf.DUMMYFUNCTION("""COMPUTED_VALUE"""),0.0)</f>
        <v>0</v>
      </c>
      <c r="DS66" s="182">
        <f>IFERROR(__xludf.DUMMYFUNCTION("""COMPUTED_VALUE"""),45753.0)</f>
        <v>45753</v>
      </c>
      <c r="DT66" s="179">
        <f>IFERROR(__xludf.DUMMYFUNCTION("""COMPUTED_VALUE"""),0.0)</f>
        <v>0</v>
      </c>
      <c r="DU66" s="180">
        <f>IFERROR(__xludf.DUMMYFUNCTION("""COMPUTED_VALUE"""),45753.0)</f>
        <v>45753</v>
      </c>
      <c r="DV66" s="179">
        <f>IFERROR(__xludf.DUMMYFUNCTION("""COMPUTED_VALUE"""),0.0)</f>
        <v>0</v>
      </c>
      <c r="DW66" s="180">
        <f>IFERROR(__xludf.DUMMYFUNCTION("""COMPUTED_VALUE"""),45753.0)</f>
        <v>45753</v>
      </c>
      <c r="DX66" s="179">
        <f>IFERROR(__xludf.DUMMYFUNCTION("""COMPUTED_VALUE"""),0.0)</f>
        <v>0</v>
      </c>
      <c r="DY66" s="180">
        <f>IFERROR(__xludf.DUMMYFUNCTION("""COMPUTED_VALUE"""),45753.0)</f>
        <v>45753</v>
      </c>
      <c r="DZ66" s="179">
        <f>IFERROR(__xludf.DUMMYFUNCTION("""COMPUTED_VALUE"""),0.0)</f>
        <v>0</v>
      </c>
      <c r="EA66" s="180">
        <f>IFERROR(__xludf.DUMMYFUNCTION("""COMPUTED_VALUE"""),45783.0)</f>
        <v>45783</v>
      </c>
      <c r="EB66" s="179">
        <f>IFERROR(__xludf.DUMMYFUNCTION("""COMPUTED_VALUE"""),0.0)</f>
        <v>0</v>
      </c>
      <c r="EC66" s="180">
        <f>IFERROR(__xludf.DUMMYFUNCTION("""COMPUTED_VALUE"""),45753.0)</f>
        <v>45753</v>
      </c>
      <c r="ED66" s="179">
        <f>IFERROR(__xludf.DUMMYFUNCTION("""COMPUTED_VALUE"""),0.0)</f>
        <v>0</v>
      </c>
      <c r="EE66" s="180">
        <f>IFERROR(__xludf.DUMMYFUNCTION("""COMPUTED_VALUE"""),45663.0)</f>
        <v>45663</v>
      </c>
      <c r="EF66" s="179">
        <f>IFERROR(__xludf.DUMMYFUNCTION("""COMPUTED_VALUE"""),0.0)</f>
        <v>0</v>
      </c>
      <c r="EG66" s="180">
        <f>IFERROR(__xludf.DUMMYFUNCTION("""COMPUTED_VALUE"""),45753.0)</f>
        <v>45753</v>
      </c>
      <c r="EH66" s="179">
        <f>IFERROR(__xludf.DUMMYFUNCTION("""COMPUTED_VALUE"""),0.0)</f>
        <v>0</v>
      </c>
      <c r="EI66" s="180">
        <f>IFERROR(__xludf.DUMMYFUNCTION("""COMPUTED_VALUE"""),45753.0)</f>
        <v>45753</v>
      </c>
      <c r="EJ66" s="179">
        <f>IFERROR(__xludf.DUMMYFUNCTION("""COMPUTED_VALUE"""),0.0)</f>
        <v>0</v>
      </c>
      <c r="EK66" s="180">
        <f>IFERROR(__xludf.DUMMYFUNCTION("""COMPUTED_VALUE"""),45694.0)</f>
        <v>45694</v>
      </c>
      <c r="EL66" s="179">
        <f>IFERROR(__xludf.DUMMYFUNCTION("""COMPUTED_VALUE"""),0.0)</f>
        <v>0</v>
      </c>
      <c r="EM66" s="182">
        <f>IFERROR(__xludf.DUMMYFUNCTION("""COMPUTED_VALUE"""),45663.0)</f>
        <v>45663</v>
      </c>
      <c r="EN66" s="179">
        <f>IFERROR(__xludf.DUMMYFUNCTION("""COMPUTED_VALUE"""),0.0)</f>
        <v>0</v>
      </c>
      <c r="EO66" s="180">
        <f>IFERROR(__xludf.DUMMYFUNCTION("""COMPUTED_VALUE"""),45783.0)</f>
        <v>45783</v>
      </c>
      <c r="EP66" s="179">
        <f>IFERROR(__xludf.DUMMYFUNCTION("""COMPUTED_VALUE"""),0.0)</f>
        <v>0</v>
      </c>
      <c r="EQ66" s="180">
        <f>IFERROR(__xludf.DUMMYFUNCTION("""COMPUTED_VALUE"""),45753.0)</f>
        <v>45753</v>
      </c>
      <c r="ER66" s="179">
        <f>IFERROR(__xludf.DUMMYFUNCTION("""COMPUTED_VALUE"""),0.0)</f>
        <v>0</v>
      </c>
      <c r="ES66" s="180">
        <f>IFERROR(__xludf.DUMMYFUNCTION("""COMPUTED_VALUE"""),45783.0)</f>
        <v>45783</v>
      </c>
      <c r="ET66" s="179">
        <f>IFERROR(__xludf.DUMMYFUNCTION("""COMPUTED_VALUE"""),0.0)</f>
        <v>0</v>
      </c>
      <c r="EU66" s="180">
        <f>IFERROR(__xludf.DUMMYFUNCTION("""COMPUTED_VALUE"""),45753.0)</f>
        <v>45753</v>
      </c>
      <c r="EV66" s="179">
        <f>IFERROR(__xludf.DUMMYFUNCTION("""COMPUTED_VALUE"""),0.0)</f>
        <v>0</v>
      </c>
      <c r="EW66" s="180">
        <f>IFERROR(__xludf.DUMMYFUNCTION("""COMPUTED_VALUE"""),45783.0)</f>
        <v>45783</v>
      </c>
      <c r="EX66" s="179">
        <f>IFERROR(__xludf.DUMMYFUNCTION("""COMPUTED_VALUE"""),0.0)</f>
        <v>0</v>
      </c>
      <c r="EY66" s="180">
        <f>IFERROR(__xludf.DUMMYFUNCTION("""COMPUTED_VALUE"""),45783.0)</f>
        <v>45783</v>
      </c>
      <c r="EZ66" s="179">
        <f>IFERROR(__xludf.DUMMYFUNCTION("""COMPUTED_VALUE"""),0.0)</f>
        <v>0</v>
      </c>
      <c r="FA66" s="180">
        <f>IFERROR(__xludf.DUMMYFUNCTION("""COMPUTED_VALUE"""),45753.0)</f>
        <v>45753</v>
      </c>
      <c r="FB66" s="179">
        <f>IFERROR(__xludf.DUMMYFUNCTION("""COMPUTED_VALUE"""),0.0)</f>
        <v>0</v>
      </c>
      <c r="FC66" s="180">
        <f>IFERROR(__xludf.DUMMYFUNCTION("""COMPUTED_VALUE"""),45783.0)</f>
        <v>45783</v>
      </c>
      <c r="FD66" s="179">
        <f>IFERROR(__xludf.DUMMYFUNCTION("""COMPUTED_VALUE"""),0.0)</f>
        <v>0</v>
      </c>
      <c r="FE66" s="180">
        <f>IFERROR(__xludf.DUMMYFUNCTION("""COMPUTED_VALUE"""),45663.0)</f>
        <v>45663</v>
      </c>
      <c r="FF66" s="179">
        <f>IFERROR(__xludf.DUMMYFUNCTION("""COMPUTED_VALUE"""),0.0)</f>
        <v>0</v>
      </c>
      <c r="FG66" s="182">
        <f>IFERROR(__xludf.DUMMYFUNCTION("""COMPUTED_VALUE"""),45783.0)</f>
        <v>45783</v>
      </c>
      <c r="FH66" s="179">
        <f>IFERROR(__xludf.DUMMYFUNCTION("""COMPUTED_VALUE"""),0.0)</f>
        <v>0</v>
      </c>
      <c r="FI66" s="180">
        <f>IFERROR(__xludf.DUMMYFUNCTION("""COMPUTED_VALUE"""),45753.0)</f>
        <v>45753</v>
      </c>
      <c r="FJ66" s="179">
        <f>IFERROR(__xludf.DUMMYFUNCTION("""COMPUTED_VALUE"""),0.0)</f>
        <v>0</v>
      </c>
      <c r="FK66" s="180">
        <f>IFERROR(__xludf.DUMMYFUNCTION("""COMPUTED_VALUE"""),45874.0)</f>
        <v>45874</v>
      </c>
      <c r="FL66" s="179">
        <f>IFERROR(__xludf.DUMMYFUNCTION("""COMPUTED_VALUE"""),0.0)</f>
        <v>0</v>
      </c>
      <c r="FM66" s="180">
        <f>IFERROR(__xludf.DUMMYFUNCTION("""COMPUTED_VALUE"""),45783.0)</f>
        <v>45783</v>
      </c>
      <c r="FN66" s="179">
        <f>IFERROR(__xludf.DUMMYFUNCTION("""COMPUTED_VALUE"""),0.0)</f>
        <v>0</v>
      </c>
      <c r="FO66" s="180">
        <f>IFERROR(__xludf.DUMMYFUNCTION("""COMPUTED_VALUE"""),45783.0)</f>
        <v>45783</v>
      </c>
      <c r="FP66" s="179">
        <f>IFERROR(__xludf.DUMMYFUNCTION("""COMPUTED_VALUE"""),0.0)</f>
        <v>0</v>
      </c>
      <c r="FQ66" s="180">
        <f>IFERROR(__xludf.DUMMYFUNCTION("""COMPUTED_VALUE"""),45783.0)</f>
        <v>45783</v>
      </c>
      <c r="FR66" s="179">
        <f>IFERROR(__xludf.DUMMYFUNCTION("""COMPUTED_VALUE"""),0.0)</f>
        <v>0</v>
      </c>
      <c r="FS66" s="180">
        <f>IFERROR(__xludf.DUMMYFUNCTION("""COMPUTED_VALUE"""),45753.0)</f>
        <v>45753</v>
      </c>
      <c r="FT66" s="179">
        <f>IFERROR(__xludf.DUMMYFUNCTION("""COMPUTED_VALUE"""),0.0)</f>
        <v>0</v>
      </c>
      <c r="FU66" s="180">
        <f>IFERROR(__xludf.DUMMYFUNCTION("""COMPUTED_VALUE"""),45783.0)</f>
        <v>45783</v>
      </c>
      <c r="FV66" s="179">
        <f>IFERROR(__xludf.DUMMYFUNCTION("""COMPUTED_VALUE"""),0.0)</f>
        <v>0</v>
      </c>
      <c r="FW66" s="180">
        <f>IFERROR(__xludf.DUMMYFUNCTION("""COMPUTED_VALUE"""),45783.0)</f>
        <v>45783</v>
      </c>
      <c r="FX66" s="179">
        <f>IFERROR(__xludf.DUMMYFUNCTION("""COMPUTED_VALUE"""),0.0)</f>
        <v>0</v>
      </c>
      <c r="FY66" s="180">
        <f>IFERROR(__xludf.DUMMYFUNCTION("""COMPUTED_VALUE"""),45694.0)</f>
        <v>45694</v>
      </c>
      <c r="FZ66" s="179">
        <f>IFERROR(__xludf.DUMMYFUNCTION("""COMPUTED_VALUE"""),0.0)</f>
        <v>0</v>
      </c>
      <c r="GA66" s="182">
        <f>IFERROR(__xludf.DUMMYFUNCTION("""COMPUTED_VALUE"""),45783.0)</f>
        <v>45783</v>
      </c>
      <c r="GB66" s="179">
        <f>IFERROR(__xludf.DUMMYFUNCTION("""COMPUTED_VALUE"""),0.0)</f>
        <v>0</v>
      </c>
      <c r="GC66" s="180">
        <f>IFERROR(__xludf.DUMMYFUNCTION("""COMPUTED_VALUE"""),45753.0)</f>
        <v>45753</v>
      </c>
      <c r="GD66" s="179">
        <f>IFERROR(__xludf.DUMMYFUNCTION("""COMPUTED_VALUE"""),0.0)</f>
        <v>0</v>
      </c>
      <c r="GE66" s="180">
        <f>IFERROR(__xludf.DUMMYFUNCTION("""COMPUTED_VALUE"""),45753.0)</f>
        <v>45753</v>
      </c>
      <c r="GF66" s="179">
        <f>IFERROR(__xludf.DUMMYFUNCTION("""COMPUTED_VALUE"""),0.0)</f>
        <v>0</v>
      </c>
      <c r="GG66" s="180">
        <f>IFERROR(__xludf.DUMMYFUNCTION("""COMPUTED_VALUE"""),45753.0)</f>
        <v>45753</v>
      </c>
      <c r="GH66" s="179">
        <f>IFERROR(__xludf.DUMMYFUNCTION("""COMPUTED_VALUE"""),0.0)</f>
        <v>0</v>
      </c>
      <c r="GI66" s="180">
        <f>IFERROR(__xludf.DUMMYFUNCTION("""COMPUTED_VALUE"""),45783.0)</f>
        <v>45783</v>
      </c>
      <c r="GJ66" s="179">
        <f>IFERROR(__xludf.DUMMYFUNCTION("""COMPUTED_VALUE"""),0.0)</f>
        <v>0</v>
      </c>
      <c r="GK66" s="180">
        <f>IFERROR(__xludf.DUMMYFUNCTION("""COMPUTED_VALUE"""),45783.0)</f>
        <v>45783</v>
      </c>
      <c r="GL66" s="179">
        <f>IFERROR(__xludf.DUMMYFUNCTION("""COMPUTED_VALUE"""),0.0)</f>
        <v>0</v>
      </c>
      <c r="GM66" s="180">
        <f>IFERROR(__xludf.DUMMYFUNCTION("""COMPUTED_VALUE"""),45694.0)</f>
        <v>45694</v>
      </c>
      <c r="GN66" s="179">
        <f>IFERROR(__xludf.DUMMYFUNCTION("""COMPUTED_VALUE"""),0.0)</f>
        <v>0</v>
      </c>
      <c r="GO66" s="180">
        <f>IFERROR(__xludf.DUMMYFUNCTION("""COMPUTED_VALUE"""),45783.0)</f>
        <v>45783</v>
      </c>
      <c r="GP66" s="179">
        <f>IFERROR(__xludf.DUMMYFUNCTION("""COMPUTED_VALUE"""),0.0)</f>
        <v>0</v>
      </c>
      <c r="GQ66" s="180">
        <f>IFERROR(__xludf.DUMMYFUNCTION("""COMPUTED_VALUE"""),45783.0)</f>
        <v>45783</v>
      </c>
      <c r="GR66" s="179">
        <f>IFERROR(__xludf.DUMMYFUNCTION("""COMPUTED_VALUE"""),0.0)</f>
        <v>0</v>
      </c>
      <c r="GS66" s="180">
        <f>IFERROR(__xludf.DUMMYFUNCTION("""COMPUTED_VALUE"""),45722.0)</f>
        <v>45722</v>
      </c>
      <c r="GT66" s="179">
        <f>IFERROR(__xludf.DUMMYFUNCTION("""COMPUTED_VALUE"""),0.0)</f>
        <v>0</v>
      </c>
    </row>
    <row r="67" ht="31.5" customHeight="1">
      <c r="B67" s="183"/>
      <c r="C67" s="178">
        <f>IFERROR(__xludf.DUMMYFUNCTION("""COMPUTED_VALUE"""),45784.0)</f>
        <v>45784</v>
      </c>
      <c r="D67" s="179">
        <f>IFERROR(__xludf.DUMMYFUNCTION("""COMPUTED_VALUE"""),0.0)</f>
        <v>0</v>
      </c>
      <c r="E67" s="180">
        <f>IFERROR(__xludf.DUMMYFUNCTION("""COMPUTED_VALUE"""),45723.0)</f>
        <v>45723</v>
      </c>
      <c r="F67" s="179">
        <f>IFERROR(__xludf.DUMMYFUNCTION("""COMPUTED_VALUE"""),0.0)</f>
        <v>0</v>
      </c>
      <c r="G67" s="180">
        <f>IFERROR(__xludf.DUMMYFUNCTION("""COMPUTED_VALUE"""),45723.0)</f>
        <v>45723</v>
      </c>
      <c r="H67" s="179">
        <f>IFERROR(__xludf.DUMMYFUNCTION("""COMPUTED_VALUE"""),0.0)</f>
        <v>0</v>
      </c>
      <c r="I67" s="180">
        <f>IFERROR(__xludf.DUMMYFUNCTION("""COMPUTED_VALUE"""),45784.0)</f>
        <v>45784</v>
      </c>
      <c r="J67" s="179">
        <f>IFERROR(__xludf.DUMMYFUNCTION("""COMPUTED_VALUE"""),0.0)</f>
        <v>0</v>
      </c>
      <c r="K67" s="180">
        <f>IFERROR(__xludf.DUMMYFUNCTION("""COMPUTED_VALUE"""),45754.0)</f>
        <v>45754</v>
      </c>
      <c r="L67" s="179">
        <f>IFERROR(__xludf.DUMMYFUNCTION("""COMPUTED_VALUE"""),0.0)</f>
        <v>0</v>
      </c>
      <c r="M67" s="180">
        <f>IFERROR(__xludf.DUMMYFUNCTION("""COMPUTED_VALUE"""),45784.0)</f>
        <v>45784</v>
      </c>
      <c r="N67" s="179">
        <f>IFERROR(__xludf.DUMMYFUNCTION("""COMPUTED_VALUE"""),0.0)</f>
        <v>0</v>
      </c>
      <c r="O67" s="180">
        <f>IFERROR(__xludf.DUMMYFUNCTION("""COMPUTED_VALUE"""),45723.0)</f>
        <v>45723</v>
      </c>
      <c r="P67" s="179">
        <f>IFERROR(__xludf.DUMMYFUNCTION("""COMPUTED_VALUE"""),0.0)</f>
        <v>0</v>
      </c>
      <c r="Q67" s="180">
        <f>IFERROR(__xludf.DUMMYFUNCTION("""COMPUTED_VALUE"""),45784.0)</f>
        <v>45784</v>
      </c>
      <c r="R67" s="179">
        <f>IFERROR(__xludf.DUMMYFUNCTION("""COMPUTED_VALUE"""),0.0)</f>
        <v>0</v>
      </c>
      <c r="S67" s="180">
        <f>IFERROR(__xludf.DUMMYFUNCTION("""COMPUTED_VALUE"""),45723.0)</f>
        <v>45723</v>
      </c>
      <c r="T67" s="179">
        <f>IFERROR(__xludf.DUMMYFUNCTION("""COMPUTED_VALUE"""),0.0)</f>
        <v>0</v>
      </c>
      <c r="U67" s="180">
        <f>IFERROR(__xludf.DUMMYFUNCTION("""COMPUTED_VALUE"""),45754.0)</f>
        <v>45754</v>
      </c>
      <c r="V67" s="181">
        <f>IFERROR(__xludf.DUMMYFUNCTION("""COMPUTED_VALUE"""),0.0)</f>
        <v>0</v>
      </c>
      <c r="W67" s="178">
        <f>IFERROR(__xludf.DUMMYFUNCTION("""COMPUTED_VALUE"""),45784.0)</f>
        <v>45784</v>
      </c>
      <c r="X67" s="179">
        <f>IFERROR(__xludf.DUMMYFUNCTION("""COMPUTED_VALUE"""),0.0)</f>
        <v>0</v>
      </c>
      <c r="Y67" s="180">
        <f>IFERROR(__xludf.DUMMYFUNCTION("""COMPUTED_VALUE"""),45936.0)</f>
        <v>45936</v>
      </c>
      <c r="Z67" s="179">
        <f>IFERROR(__xludf.DUMMYFUNCTION("""COMPUTED_VALUE"""),0.0)</f>
        <v>0</v>
      </c>
      <c r="AA67" s="180">
        <f>IFERROR(__xludf.DUMMYFUNCTION("""COMPUTED_VALUE"""),45754.0)</f>
        <v>45754</v>
      </c>
      <c r="AB67" s="179">
        <f>IFERROR(__xludf.DUMMYFUNCTION("""COMPUTED_VALUE"""),0.0)</f>
        <v>0</v>
      </c>
      <c r="AC67" s="180">
        <f>IFERROR(__xludf.DUMMYFUNCTION("""COMPUTED_VALUE"""),45875.0)</f>
        <v>45875</v>
      </c>
      <c r="AD67" s="179">
        <f>IFERROR(__xludf.DUMMYFUNCTION("""COMPUTED_VALUE"""),0.0)</f>
        <v>0</v>
      </c>
      <c r="AE67" s="180">
        <f>IFERROR(__xludf.DUMMYFUNCTION("""COMPUTED_VALUE"""),45664.0)</f>
        <v>45664</v>
      </c>
      <c r="AF67" s="179">
        <f>IFERROR(__xludf.DUMMYFUNCTION("""COMPUTED_VALUE"""),0.0)</f>
        <v>0</v>
      </c>
      <c r="AG67" s="180">
        <f>IFERROR(__xludf.DUMMYFUNCTION("""COMPUTED_VALUE"""),45784.0)</f>
        <v>45784</v>
      </c>
      <c r="AH67" s="179">
        <f>IFERROR(__xludf.DUMMYFUNCTION("""COMPUTED_VALUE"""),0.0)</f>
        <v>0</v>
      </c>
      <c r="AI67" s="180">
        <f>IFERROR(__xludf.DUMMYFUNCTION("""COMPUTED_VALUE"""),45906.0)</f>
        <v>45906</v>
      </c>
      <c r="AJ67" s="179">
        <f>IFERROR(__xludf.DUMMYFUNCTION("""COMPUTED_VALUE"""),0.0)</f>
        <v>0</v>
      </c>
      <c r="AK67" s="180">
        <f>IFERROR(__xludf.DUMMYFUNCTION("""COMPUTED_VALUE"""),45695.0)</f>
        <v>45695</v>
      </c>
      <c r="AL67" s="179">
        <f>IFERROR(__xludf.DUMMYFUNCTION("""COMPUTED_VALUE"""),0.0)</f>
        <v>0</v>
      </c>
      <c r="AM67" s="180">
        <f>IFERROR(__xludf.DUMMYFUNCTION("""COMPUTED_VALUE"""),45784.0)</f>
        <v>45784</v>
      </c>
      <c r="AN67" s="179">
        <f>IFERROR(__xludf.DUMMYFUNCTION("""COMPUTED_VALUE"""),0.0)</f>
        <v>0</v>
      </c>
      <c r="AO67" s="180">
        <f>IFERROR(__xludf.DUMMYFUNCTION("""COMPUTED_VALUE"""),45664.0)</f>
        <v>45664</v>
      </c>
      <c r="AP67" s="181">
        <f>IFERROR(__xludf.DUMMYFUNCTION("""COMPUTED_VALUE"""),0.0)</f>
        <v>0</v>
      </c>
      <c r="AQ67" s="178">
        <f>IFERROR(__xludf.DUMMYFUNCTION("""COMPUTED_VALUE"""),45784.0)</f>
        <v>45784</v>
      </c>
      <c r="AR67" s="179">
        <f>IFERROR(__xludf.DUMMYFUNCTION("""COMPUTED_VALUE"""),0.0)</f>
        <v>0</v>
      </c>
      <c r="AS67" s="180">
        <f>IFERROR(__xludf.DUMMYFUNCTION("""COMPUTED_VALUE"""),45784.0)</f>
        <v>45784</v>
      </c>
      <c r="AT67" s="179">
        <f>IFERROR(__xludf.DUMMYFUNCTION("""COMPUTED_VALUE"""),0.0)</f>
        <v>0</v>
      </c>
      <c r="AU67" s="180">
        <f>IFERROR(__xludf.DUMMYFUNCTION("""COMPUTED_VALUE"""),45754.0)</f>
        <v>45754</v>
      </c>
      <c r="AV67" s="179">
        <f>IFERROR(__xludf.DUMMYFUNCTION("""COMPUTED_VALUE"""),0.0)</f>
        <v>0</v>
      </c>
      <c r="AW67" s="180">
        <f>IFERROR(__xludf.DUMMYFUNCTION("""COMPUTED_VALUE"""),45754.0)</f>
        <v>45754</v>
      </c>
      <c r="AX67" s="179">
        <f>IFERROR(__xludf.DUMMYFUNCTION("""COMPUTED_VALUE"""),0.0)</f>
        <v>0</v>
      </c>
      <c r="AY67" s="180">
        <f>IFERROR(__xludf.DUMMYFUNCTION("""COMPUTED_VALUE"""),45784.0)</f>
        <v>45784</v>
      </c>
      <c r="AZ67" s="179">
        <f>IFERROR(__xludf.DUMMYFUNCTION("""COMPUTED_VALUE"""),0.0)</f>
        <v>0</v>
      </c>
      <c r="BA67" s="180">
        <f>IFERROR(__xludf.DUMMYFUNCTION("""COMPUTED_VALUE"""),45784.0)</f>
        <v>45784</v>
      </c>
      <c r="BB67" s="179">
        <f>IFERROR(__xludf.DUMMYFUNCTION("""COMPUTED_VALUE"""),0.0)</f>
        <v>0</v>
      </c>
      <c r="BC67" s="180">
        <f>IFERROR(__xludf.DUMMYFUNCTION("""COMPUTED_VALUE"""),45754.0)</f>
        <v>45754</v>
      </c>
      <c r="BD67" s="179">
        <f>IFERROR(__xludf.DUMMYFUNCTION("""COMPUTED_VALUE"""),0.0)</f>
        <v>0</v>
      </c>
      <c r="BE67" s="180">
        <f>IFERROR(__xludf.DUMMYFUNCTION("""COMPUTED_VALUE"""),45784.0)</f>
        <v>45784</v>
      </c>
      <c r="BF67" s="179">
        <f>IFERROR(__xludf.DUMMYFUNCTION("""COMPUTED_VALUE"""),0.0)</f>
        <v>0</v>
      </c>
      <c r="BG67" s="180">
        <f>IFERROR(__xludf.DUMMYFUNCTION("""COMPUTED_VALUE"""),45754.0)</f>
        <v>45754</v>
      </c>
      <c r="BH67" s="179">
        <f>IFERROR(__xludf.DUMMYFUNCTION("""COMPUTED_VALUE"""),0.0)</f>
        <v>0</v>
      </c>
      <c r="BI67" s="180">
        <f>IFERROR(__xludf.DUMMYFUNCTION("""COMPUTED_VALUE"""),45784.0)</f>
        <v>45784</v>
      </c>
      <c r="BJ67" s="179">
        <f>IFERROR(__xludf.DUMMYFUNCTION("""COMPUTED_VALUE"""),0.0)</f>
        <v>0</v>
      </c>
      <c r="BK67" s="182">
        <f>IFERROR(__xludf.DUMMYFUNCTION("""COMPUTED_VALUE"""),45784.0)</f>
        <v>45784</v>
      </c>
      <c r="BL67" s="179">
        <f>IFERROR(__xludf.DUMMYFUNCTION("""COMPUTED_VALUE"""),0.0)</f>
        <v>0</v>
      </c>
      <c r="BM67" s="180">
        <f>IFERROR(__xludf.DUMMYFUNCTION("""COMPUTED_VALUE"""),45784.0)</f>
        <v>45784</v>
      </c>
      <c r="BN67" s="179">
        <f>IFERROR(__xludf.DUMMYFUNCTION("""COMPUTED_VALUE"""),0.0)</f>
        <v>0</v>
      </c>
      <c r="BO67" s="180">
        <f>IFERROR(__xludf.DUMMYFUNCTION("""COMPUTED_VALUE"""),45754.0)</f>
        <v>45754</v>
      </c>
      <c r="BP67" s="179">
        <f>IFERROR(__xludf.DUMMYFUNCTION("""COMPUTED_VALUE"""),0.0)</f>
        <v>0</v>
      </c>
      <c r="BQ67" s="180">
        <f>IFERROR(__xludf.DUMMYFUNCTION("""COMPUTED_VALUE"""),45754.0)</f>
        <v>45754</v>
      </c>
      <c r="BR67" s="179">
        <f>IFERROR(__xludf.DUMMYFUNCTION("""COMPUTED_VALUE"""),0.0)</f>
        <v>0</v>
      </c>
      <c r="BS67" s="180">
        <f>IFERROR(__xludf.DUMMYFUNCTION("""COMPUTED_VALUE"""),45784.0)</f>
        <v>45784</v>
      </c>
      <c r="BT67" s="179">
        <f>IFERROR(__xludf.DUMMYFUNCTION("""COMPUTED_VALUE"""),0.0)</f>
        <v>0</v>
      </c>
      <c r="BU67" s="180">
        <f>IFERROR(__xludf.DUMMYFUNCTION("""COMPUTED_VALUE"""),45784.0)</f>
        <v>45784</v>
      </c>
      <c r="BV67" s="179">
        <f>IFERROR(__xludf.DUMMYFUNCTION("""COMPUTED_VALUE"""),0.0)</f>
        <v>0</v>
      </c>
      <c r="BW67" s="180">
        <f>IFERROR(__xludf.DUMMYFUNCTION("""COMPUTED_VALUE"""),45784.0)</f>
        <v>45784</v>
      </c>
      <c r="BX67" s="179">
        <f>IFERROR(__xludf.DUMMYFUNCTION("""COMPUTED_VALUE"""),0.0)</f>
        <v>0</v>
      </c>
      <c r="BY67" s="180">
        <f>IFERROR(__xludf.DUMMYFUNCTION("""COMPUTED_VALUE"""),45754.0)</f>
        <v>45754</v>
      </c>
      <c r="BZ67" s="179">
        <f>IFERROR(__xludf.DUMMYFUNCTION("""COMPUTED_VALUE"""),0.0)</f>
        <v>0</v>
      </c>
      <c r="CA67" s="180">
        <f>IFERROR(__xludf.DUMMYFUNCTION("""COMPUTED_VALUE"""),45784.0)</f>
        <v>45784</v>
      </c>
      <c r="CB67" s="179">
        <f>IFERROR(__xludf.DUMMYFUNCTION("""COMPUTED_VALUE"""),0.0)</f>
        <v>0</v>
      </c>
      <c r="CC67" s="180">
        <f>IFERROR(__xludf.DUMMYFUNCTION("""COMPUTED_VALUE"""),45784.0)</f>
        <v>45784</v>
      </c>
      <c r="CD67" s="179">
        <f>IFERROR(__xludf.DUMMYFUNCTION("""COMPUTED_VALUE"""),0.0)</f>
        <v>0</v>
      </c>
      <c r="CE67" s="182">
        <f>IFERROR(__xludf.DUMMYFUNCTION("""COMPUTED_VALUE"""),45784.0)</f>
        <v>45784</v>
      </c>
      <c r="CF67" s="179">
        <f>IFERROR(__xludf.DUMMYFUNCTION("""COMPUTED_VALUE"""),0.0)</f>
        <v>0</v>
      </c>
      <c r="CG67" s="180">
        <f>IFERROR(__xludf.DUMMYFUNCTION("""COMPUTED_VALUE"""),45664.0)</f>
        <v>45664</v>
      </c>
      <c r="CH67" s="179">
        <f>IFERROR(__xludf.DUMMYFUNCTION("""COMPUTED_VALUE"""),0.0)</f>
        <v>0</v>
      </c>
      <c r="CI67" s="180">
        <f>IFERROR(__xludf.DUMMYFUNCTION("""COMPUTED_VALUE"""),45664.0)</f>
        <v>45664</v>
      </c>
      <c r="CJ67" s="179">
        <f>IFERROR(__xludf.DUMMYFUNCTION("""COMPUTED_VALUE"""),0.0)</f>
        <v>0</v>
      </c>
      <c r="CK67" s="180">
        <f>IFERROR(__xludf.DUMMYFUNCTION("""COMPUTED_VALUE"""),45695.0)</f>
        <v>45695</v>
      </c>
      <c r="CL67" s="179">
        <f>IFERROR(__xludf.DUMMYFUNCTION("""COMPUTED_VALUE"""),0.0)</f>
        <v>0</v>
      </c>
      <c r="CM67" s="180">
        <f>IFERROR(__xludf.DUMMYFUNCTION("""COMPUTED_VALUE"""),45754.0)</f>
        <v>45754</v>
      </c>
      <c r="CN67" s="179">
        <f>IFERROR(__xludf.DUMMYFUNCTION("""COMPUTED_VALUE"""),0.0)</f>
        <v>0</v>
      </c>
      <c r="CO67" s="180">
        <f>IFERROR(__xludf.DUMMYFUNCTION("""COMPUTED_VALUE"""),45723.0)</f>
        <v>45723</v>
      </c>
      <c r="CP67" s="179">
        <f>IFERROR(__xludf.DUMMYFUNCTION("""COMPUTED_VALUE"""),0.0)</f>
        <v>0</v>
      </c>
      <c r="CQ67" s="180">
        <f>IFERROR(__xludf.DUMMYFUNCTION("""COMPUTED_VALUE"""),45664.0)</f>
        <v>45664</v>
      </c>
      <c r="CR67" s="179">
        <f>IFERROR(__xludf.DUMMYFUNCTION("""COMPUTED_VALUE"""),0.0)</f>
        <v>0</v>
      </c>
      <c r="CS67" s="180">
        <f>IFERROR(__xludf.DUMMYFUNCTION("""COMPUTED_VALUE"""),45723.0)</f>
        <v>45723</v>
      </c>
      <c r="CT67" s="179">
        <f>IFERROR(__xludf.DUMMYFUNCTION("""COMPUTED_VALUE"""),0.0)</f>
        <v>0</v>
      </c>
      <c r="CU67" s="180">
        <f>IFERROR(__xludf.DUMMYFUNCTION("""COMPUTED_VALUE"""),45784.0)</f>
        <v>45784</v>
      </c>
      <c r="CV67" s="179">
        <f>IFERROR(__xludf.DUMMYFUNCTION("""COMPUTED_VALUE"""),0.0)</f>
        <v>0</v>
      </c>
      <c r="CW67" s="180">
        <f>IFERROR(__xludf.DUMMYFUNCTION("""COMPUTED_VALUE"""),45844.0)</f>
        <v>45844</v>
      </c>
      <c r="CX67" s="179">
        <f>IFERROR(__xludf.DUMMYFUNCTION("""COMPUTED_VALUE"""),0.0)</f>
        <v>0</v>
      </c>
      <c r="CY67" s="182">
        <f>IFERROR(__xludf.DUMMYFUNCTION("""COMPUTED_VALUE"""),45784.0)</f>
        <v>45784</v>
      </c>
      <c r="CZ67" s="179">
        <f>IFERROR(__xludf.DUMMYFUNCTION("""COMPUTED_VALUE"""),0.0)</f>
        <v>0</v>
      </c>
      <c r="DA67" s="180">
        <f>IFERROR(__xludf.DUMMYFUNCTION("""COMPUTED_VALUE"""),45784.0)</f>
        <v>45784</v>
      </c>
      <c r="DB67" s="179">
        <f>IFERROR(__xludf.DUMMYFUNCTION("""COMPUTED_VALUE"""),0.0)</f>
        <v>0</v>
      </c>
      <c r="DC67" s="180">
        <f>IFERROR(__xludf.DUMMYFUNCTION("""COMPUTED_VALUE"""),45664.0)</f>
        <v>45664</v>
      </c>
      <c r="DD67" s="179">
        <f>IFERROR(__xludf.DUMMYFUNCTION("""COMPUTED_VALUE"""),0.0)</f>
        <v>0</v>
      </c>
      <c r="DE67" s="180">
        <f>IFERROR(__xludf.DUMMYFUNCTION("""COMPUTED_VALUE"""),45784.0)</f>
        <v>45784</v>
      </c>
      <c r="DF67" s="179">
        <f>IFERROR(__xludf.DUMMYFUNCTION("""COMPUTED_VALUE"""),0.0)</f>
        <v>0</v>
      </c>
      <c r="DG67" s="180">
        <f>IFERROR(__xludf.DUMMYFUNCTION("""COMPUTED_VALUE"""),45784.0)</f>
        <v>45784</v>
      </c>
      <c r="DH67" s="179">
        <f>IFERROR(__xludf.DUMMYFUNCTION("""COMPUTED_VALUE"""),0.0)</f>
        <v>0</v>
      </c>
      <c r="DI67" s="180">
        <f>IFERROR(__xludf.DUMMYFUNCTION("""COMPUTED_VALUE"""),45784.0)</f>
        <v>45784</v>
      </c>
      <c r="DJ67" s="179">
        <f>IFERROR(__xludf.DUMMYFUNCTION("""COMPUTED_VALUE"""),0.0)</f>
        <v>0</v>
      </c>
      <c r="DK67" s="180">
        <f>IFERROR(__xludf.DUMMYFUNCTION("""COMPUTED_VALUE"""),45784.0)</f>
        <v>45784</v>
      </c>
      <c r="DL67" s="179">
        <f>IFERROR(__xludf.DUMMYFUNCTION("""COMPUTED_VALUE"""),0.0)</f>
        <v>0</v>
      </c>
      <c r="DM67" s="180">
        <f>IFERROR(__xludf.DUMMYFUNCTION("""COMPUTED_VALUE"""),45784.0)</f>
        <v>45784</v>
      </c>
      <c r="DN67" s="179">
        <f>IFERROR(__xludf.DUMMYFUNCTION("""COMPUTED_VALUE"""),0.0)</f>
        <v>0</v>
      </c>
      <c r="DO67" s="180">
        <f>IFERROR(__xludf.DUMMYFUNCTION("""COMPUTED_VALUE"""),45784.0)</f>
        <v>45784</v>
      </c>
      <c r="DP67" s="179">
        <f>IFERROR(__xludf.DUMMYFUNCTION("""COMPUTED_VALUE"""),0.0)</f>
        <v>0</v>
      </c>
      <c r="DQ67" s="180">
        <f>IFERROR(__xludf.DUMMYFUNCTION("""COMPUTED_VALUE"""),45664.0)</f>
        <v>45664</v>
      </c>
      <c r="DR67" s="179">
        <f>IFERROR(__xludf.DUMMYFUNCTION("""COMPUTED_VALUE"""),0.0)</f>
        <v>0</v>
      </c>
      <c r="DS67" s="182">
        <f>IFERROR(__xludf.DUMMYFUNCTION("""COMPUTED_VALUE"""),45783.0)</f>
        <v>45783</v>
      </c>
      <c r="DT67" s="179">
        <f>IFERROR(__xludf.DUMMYFUNCTION("""COMPUTED_VALUE"""),0.0)</f>
        <v>0</v>
      </c>
      <c r="DU67" s="180">
        <f>IFERROR(__xludf.DUMMYFUNCTION("""COMPUTED_VALUE"""),45783.0)</f>
        <v>45783</v>
      </c>
      <c r="DV67" s="179">
        <f>IFERROR(__xludf.DUMMYFUNCTION("""COMPUTED_VALUE"""),0.0)</f>
        <v>0</v>
      </c>
      <c r="DW67" s="180">
        <f>IFERROR(__xludf.DUMMYFUNCTION("""COMPUTED_VALUE"""),45783.0)</f>
        <v>45783</v>
      </c>
      <c r="DX67" s="179">
        <f>IFERROR(__xludf.DUMMYFUNCTION("""COMPUTED_VALUE"""),0.0)</f>
        <v>0</v>
      </c>
      <c r="DY67" s="180">
        <f>IFERROR(__xludf.DUMMYFUNCTION("""COMPUTED_VALUE"""),45783.0)</f>
        <v>45783</v>
      </c>
      <c r="DZ67" s="179">
        <f>IFERROR(__xludf.DUMMYFUNCTION("""COMPUTED_VALUE"""),0.0)</f>
        <v>0</v>
      </c>
      <c r="EA67" s="180">
        <f>IFERROR(__xludf.DUMMYFUNCTION("""COMPUTED_VALUE"""),45814.0)</f>
        <v>45814</v>
      </c>
      <c r="EB67" s="179">
        <f>IFERROR(__xludf.DUMMYFUNCTION("""COMPUTED_VALUE"""),0.0)</f>
        <v>0</v>
      </c>
      <c r="EC67" s="180">
        <f>IFERROR(__xludf.DUMMYFUNCTION("""COMPUTED_VALUE"""),45783.0)</f>
        <v>45783</v>
      </c>
      <c r="ED67" s="179">
        <f>IFERROR(__xludf.DUMMYFUNCTION("""COMPUTED_VALUE"""),0.0)</f>
        <v>0</v>
      </c>
      <c r="EE67" s="180">
        <f>IFERROR(__xludf.DUMMYFUNCTION("""COMPUTED_VALUE"""),45694.0)</f>
        <v>45694</v>
      </c>
      <c r="EF67" s="179">
        <f>IFERROR(__xludf.DUMMYFUNCTION("""COMPUTED_VALUE"""),0.0)</f>
        <v>0</v>
      </c>
      <c r="EG67" s="180">
        <f>IFERROR(__xludf.DUMMYFUNCTION("""COMPUTED_VALUE"""),45783.0)</f>
        <v>45783</v>
      </c>
      <c r="EH67" s="179">
        <f>IFERROR(__xludf.DUMMYFUNCTION("""COMPUTED_VALUE"""),0.0)</f>
        <v>0</v>
      </c>
      <c r="EI67" s="180">
        <f>IFERROR(__xludf.DUMMYFUNCTION("""COMPUTED_VALUE"""),45783.0)</f>
        <v>45783</v>
      </c>
      <c r="EJ67" s="179">
        <f>IFERROR(__xludf.DUMMYFUNCTION("""COMPUTED_VALUE"""),0.0)</f>
        <v>0</v>
      </c>
      <c r="EK67" s="180">
        <f>IFERROR(__xludf.DUMMYFUNCTION("""COMPUTED_VALUE"""),45753.0)</f>
        <v>45753</v>
      </c>
      <c r="EL67" s="179">
        <f>IFERROR(__xludf.DUMMYFUNCTION("""COMPUTED_VALUE"""),0.0)</f>
        <v>0</v>
      </c>
      <c r="EM67" s="182">
        <f>IFERROR(__xludf.DUMMYFUNCTION("""COMPUTED_VALUE"""),45694.0)</f>
        <v>45694</v>
      </c>
      <c r="EN67" s="179">
        <f>IFERROR(__xludf.DUMMYFUNCTION("""COMPUTED_VALUE"""),0.0)</f>
        <v>0</v>
      </c>
      <c r="EO67" s="180">
        <f>IFERROR(__xludf.DUMMYFUNCTION("""COMPUTED_VALUE"""),45814.0)</f>
        <v>45814</v>
      </c>
      <c r="EP67" s="179">
        <f>IFERROR(__xludf.DUMMYFUNCTION("""COMPUTED_VALUE"""),0.0)</f>
        <v>0</v>
      </c>
      <c r="EQ67" s="180">
        <f>IFERROR(__xludf.DUMMYFUNCTION("""COMPUTED_VALUE"""),45783.0)</f>
        <v>45783</v>
      </c>
      <c r="ER67" s="179">
        <f>IFERROR(__xludf.DUMMYFUNCTION("""COMPUTED_VALUE"""),0.0)</f>
        <v>0</v>
      </c>
      <c r="ES67" s="180">
        <f>IFERROR(__xludf.DUMMYFUNCTION("""COMPUTED_VALUE"""),45814.0)</f>
        <v>45814</v>
      </c>
      <c r="ET67" s="179">
        <f>IFERROR(__xludf.DUMMYFUNCTION("""COMPUTED_VALUE"""),0.0)</f>
        <v>0</v>
      </c>
      <c r="EU67" s="180">
        <f>IFERROR(__xludf.DUMMYFUNCTION("""COMPUTED_VALUE"""),45783.0)</f>
        <v>45783</v>
      </c>
      <c r="EV67" s="179">
        <f>IFERROR(__xludf.DUMMYFUNCTION("""COMPUTED_VALUE"""),0.0)</f>
        <v>0</v>
      </c>
      <c r="EW67" s="180">
        <f>IFERROR(__xludf.DUMMYFUNCTION("""COMPUTED_VALUE"""),45814.0)</f>
        <v>45814</v>
      </c>
      <c r="EX67" s="179">
        <f>IFERROR(__xludf.DUMMYFUNCTION("""COMPUTED_VALUE"""),0.0)</f>
        <v>0</v>
      </c>
      <c r="EY67" s="180">
        <f>IFERROR(__xludf.DUMMYFUNCTION("""COMPUTED_VALUE"""),45814.0)</f>
        <v>45814</v>
      </c>
      <c r="EZ67" s="179">
        <f>IFERROR(__xludf.DUMMYFUNCTION("""COMPUTED_VALUE"""),0.0)</f>
        <v>0</v>
      </c>
      <c r="FA67" s="180">
        <f>IFERROR(__xludf.DUMMYFUNCTION("""COMPUTED_VALUE"""),45783.0)</f>
        <v>45783</v>
      </c>
      <c r="FB67" s="179">
        <f>IFERROR(__xludf.DUMMYFUNCTION("""COMPUTED_VALUE"""),0.0)</f>
        <v>0</v>
      </c>
      <c r="FC67" s="180">
        <f>IFERROR(__xludf.DUMMYFUNCTION("""COMPUTED_VALUE"""),45814.0)</f>
        <v>45814</v>
      </c>
      <c r="FD67" s="179">
        <f>IFERROR(__xludf.DUMMYFUNCTION("""COMPUTED_VALUE"""),0.0)</f>
        <v>0</v>
      </c>
      <c r="FE67" s="180">
        <f>IFERROR(__xludf.DUMMYFUNCTION("""COMPUTED_VALUE"""),45694.0)</f>
        <v>45694</v>
      </c>
      <c r="FF67" s="179">
        <f>IFERROR(__xludf.DUMMYFUNCTION("""COMPUTED_VALUE"""),0.0)</f>
        <v>0</v>
      </c>
      <c r="FG67" s="182">
        <f>IFERROR(__xludf.DUMMYFUNCTION("""COMPUTED_VALUE"""),45814.0)</f>
        <v>45814</v>
      </c>
      <c r="FH67" s="179">
        <f>IFERROR(__xludf.DUMMYFUNCTION("""COMPUTED_VALUE"""),0.0)</f>
        <v>0</v>
      </c>
      <c r="FI67" s="180">
        <f>IFERROR(__xludf.DUMMYFUNCTION("""COMPUTED_VALUE"""),45783.0)</f>
        <v>45783</v>
      </c>
      <c r="FJ67" s="179">
        <f>IFERROR(__xludf.DUMMYFUNCTION("""COMPUTED_VALUE"""),0.0)</f>
        <v>0</v>
      </c>
      <c r="FK67" s="180">
        <f>IFERROR(__xludf.DUMMYFUNCTION("""COMPUTED_VALUE"""),45905.0)</f>
        <v>45905</v>
      </c>
      <c r="FL67" s="179">
        <f>IFERROR(__xludf.DUMMYFUNCTION("""COMPUTED_VALUE"""),0.0)</f>
        <v>0</v>
      </c>
      <c r="FM67" s="180">
        <f>IFERROR(__xludf.DUMMYFUNCTION("""COMPUTED_VALUE"""),45814.0)</f>
        <v>45814</v>
      </c>
      <c r="FN67" s="179">
        <f>IFERROR(__xludf.DUMMYFUNCTION("""COMPUTED_VALUE"""),0.0)</f>
        <v>0</v>
      </c>
      <c r="FO67" s="180">
        <f>IFERROR(__xludf.DUMMYFUNCTION("""COMPUTED_VALUE"""),45814.0)</f>
        <v>45814</v>
      </c>
      <c r="FP67" s="179">
        <f>IFERROR(__xludf.DUMMYFUNCTION("""COMPUTED_VALUE"""),0.0)</f>
        <v>0</v>
      </c>
      <c r="FQ67" s="180">
        <f>IFERROR(__xludf.DUMMYFUNCTION("""COMPUTED_VALUE"""),45814.0)</f>
        <v>45814</v>
      </c>
      <c r="FR67" s="179">
        <f>IFERROR(__xludf.DUMMYFUNCTION("""COMPUTED_VALUE"""),0.0)</f>
        <v>0</v>
      </c>
      <c r="FS67" s="180">
        <f>IFERROR(__xludf.DUMMYFUNCTION("""COMPUTED_VALUE"""),45783.0)</f>
        <v>45783</v>
      </c>
      <c r="FT67" s="179">
        <f>IFERROR(__xludf.DUMMYFUNCTION("""COMPUTED_VALUE"""),0.0)</f>
        <v>0</v>
      </c>
      <c r="FU67" s="180">
        <f>IFERROR(__xludf.DUMMYFUNCTION("""COMPUTED_VALUE"""),45814.0)</f>
        <v>45814</v>
      </c>
      <c r="FV67" s="179">
        <f>IFERROR(__xludf.DUMMYFUNCTION("""COMPUTED_VALUE"""),0.0)</f>
        <v>0</v>
      </c>
      <c r="FW67" s="180">
        <f>IFERROR(__xludf.DUMMYFUNCTION("""COMPUTED_VALUE"""),45814.0)</f>
        <v>45814</v>
      </c>
      <c r="FX67" s="179">
        <f>IFERROR(__xludf.DUMMYFUNCTION("""COMPUTED_VALUE"""),0.0)</f>
        <v>0</v>
      </c>
      <c r="FY67" s="180">
        <f>IFERROR(__xludf.DUMMYFUNCTION("""COMPUTED_VALUE"""),45722.0)</f>
        <v>45722</v>
      </c>
      <c r="FZ67" s="179">
        <f>IFERROR(__xludf.DUMMYFUNCTION("""COMPUTED_VALUE"""),0.0)</f>
        <v>0</v>
      </c>
      <c r="GA67" s="182">
        <f>IFERROR(__xludf.DUMMYFUNCTION("""COMPUTED_VALUE"""),45814.0)</f>
        <v>45814</v>
      </c>
      <c r="GB67" s="179">
        <f>IFERROR(__xludf.DUMMYFUNCTION("""COMPUTED_VALUE"""),0.0)</f>
        <v>0</v>
      </c>
      <c r="GC67" s="180">
        <f>IFERROR(__xludf.DUMMYFUNCTION("""COMPUTED_VALUE"""),45783.0)</f>
        <v>45783</v>
      </c>
      <c r="GD67" s="179">
        <f>IFERROR(__xludf.DUMMYFUNCTION("""COMPUTED_VALUE"""),0.0)</f>
        <v>0</v>
      </c>
      <c r="GE67" s="180">
        <f>IFERROR(__xludf.DUMMYFUNCTION("""COMPUTED_VALUE"""),45783.0)</f>
        <v>45783</v>
      </c>
      <c r="GF67" s="179">
        <f>IFERROR(__xludf.DUMMYFUNCTION("""COMPUTED_VALUE"""),0.0)</f>
        <v>0</v>
      </c>
      <c r="GG67" s="180">
        <f>IFERROR(__xludf.DUMMYFUNCTION("""COMPUTED_VALUE"""),45783.0)</f>
        <v>45783</v>
      </c>
      <c r="GH67" s="179">
        <f>IFERROR(__xludf.DUMMYFUNCTION("""COMPUTED_VALUE"""),0.0)</f>
        <v>0</v>
      </c>
      <c r="GI67" s="180">
        <f>IFERROR(__xludf.DUMMYFUNCTION("""COMPUTED_VALUE"""),45814.0)</f>
        <v>45814</v>
      </c>
      <c r="GJ67" s="179">
        <f>IFERROR(__xludf.DUMMYFUNCTION("""COMPUTED_VALUE"""),0.0)</f>
        <v>0</v>
      </c>
      <c r="GK67" s="180">
        <f>IFERROR(__xludf.DUMMYFUNCTION("""COMPUTED_VALUE"""),45814.0)</f>
        <v>45814</v>
      </c>
      <c r="GL67" s="179">
        <f>IFERROR(__xludf.DUMMYFUNCTION("""COMPUTED_VALUE"""),0.0)</f>
        <v>0</v>
      </c>
      <c r="GM67" s="180">
        <f>IFERROR(__xludf.DUMMYFUNCTION("""COMPUTED_VALUE"""),45722.0)</f>
        <v>45722</v>
      </c>
      <c r="GN67" s="179">
        <f>IFERROR(__xludf.DUMMYFUNCTION("""COMPUTED_VALUE"""),0.0)</f>
        <v>0</v>
      </c>
      <c r="GO67" s="180">
        <f>IFERROR(__xludf.DUMMYFUNCTION("""COMPUTED_VALUE"""),45814.0)</f>
        <v>45814</v>
      </c>
      <c r="GP67" s="179">
        <f>IFERROR(__xludf.DUMMYFUNCTION("""COMPUTED_VALUE"""),0.0)</f>
        <v>0</v>
      </c>
      <c r="GQ67" s="180">
        <f>IFERROR(__xludf.DUMMYFUNCTION("""COMPUTED_VALUE"""),45814.0)</f>
        <v>45814</v>
      </c>
      <c r="GR67" s="179">
        <f>IFERROR(__xludf.DUMMYFUNCTION("""COMPUTED_VALUE"""),0.0)</f>
        <v>0</v>
      </c>
      <c r="GS67" s="180">
        <f>IFERROR(__xludf.DUMMYFUNCTION("""COMPUTED_VALUE"""),45753.0)</f>
        <v>45753</v>
      </c>
      <c r="GT67" s="179">
        <f>IFERROR(__xludf.DUMMYFUNCTION("""COMPUTED_VALUE"""),0.0)</f>
        <v>0</v>
      </c>
    </row>
    <row r="68" ht="31.5" customHeight="1">
      <c r="B68" s="183"/>
      <c r="C68" s="178">
        <f>IFERROR(__xludf.DUMMYFUNCTION("""COMPUTED_VALUE"""),45815.0)</f>
        <v>45815</v>
      </c>
      <c r="D68" s="179">
        <f>IFERROR(__xludf.DUMMYFUNCTION("""COMPUTED_VALUE"""),0.0)</f>
        <v>0</v>
      </c>
      <c r="E68" s="180">
        <f>IFERROR(__xludf.DUMMYFUNCTION("""COMPUTED_VALUE"""),45754.0)</f>
        <v>45754</v>
      </c>
      <c r="F68" s="179">
        <f>IFERROR(__xludf.DUMMYFUNCTION("""COMPUTED_VALUE"""),0.0)</f>
        <v>0</v>
      </c>
      <c r="G68" s="180">
        <f>IFERROR(__xludf.DUMMYFUNCTION("""COMPUTED_VALUE"""),45754.0)</f>
        <v>45754</v>
      </c>
      <c r="H68" s="179">
        <f>IFERROR(__xludf.DUMMYFUNCTION("""COMPUTED_VALUE"""),0.0)</f>
        <v>0</v>
      </c>
      <c r="I68" s="180">
        <f>IFERROR(__xludf.DUMMYFUNCTION("""COMPUTED_VALUE"""),45815.0)</f>
        <v>45815</v>
      </c>
      <c r="J68" s="179">
        <f>IFERROR(__xludf.DUMMYFUNCTION("""COMPUTED_VALUE"""),0.0)</f>
        <v>0</v>
      </c>
      <c r="K68" s="180">
        <f>IFERROR(__xludf.DUMMYFUNCTION("""COMPUTED_VALUE"""),45784.0)</f>
        <v>45784</v>
      </c>
      <c r="L68" s="179">
        <f>IFERROR(__xludf.DUMMYFUNCTION("""COMPUTED_VALUE"""),0.0)</f>
        <v>0</v>
      </c>
      <c r="M68" s="180">
        <f>IFERROR(__xludf.DUMMYFUNCTION("""COMPUTED_VALUE"""),45815.0)</f>
        <v>45815</v>
      </c>
      <c r="N68" s="179">
        <f>IFERROR(__xludf.DUMMYFUNCTION("""COMPUTED_VALUE"""),0.0)</f>
        <v>0</v>
      </c>
      <c r="O68" s="180">
        <f>IFERROR(__xludf.DUMMYFUNCTION("""COMPUTED_VALUE"""),45754.0)</f>
        <v>45754</v>
      </c>
      <c r="P68" s="179">
        <f>IFERROR(__xludf.DUMMYFUNCTION("""COMPUTED_VALUE"""),0.0)</f>
        <v>0</v>
      </c>
      <c r="Q68" s="180">
        <f>IFERROR(__xludf.DUMMYFUNCTION("""COMPUTED_VALUE"""),45815.0)</f>
        <v>45815</v>
      </c>
      <c r="R68" s="179">
        <f>IFERROR(__xludf.DUMMYFUNCTION("""COMPUTED_VALUE"""),0.0)</f>
        <v>0</v>
      </c>
      <c r="S68" s="180">
        <f>IFERROR(__xludf.DUMMYFUNCTION("""COMPUTED_VALUE"""),45754.0)</f>
        <v>45754</v>
      </c>
      <c r="T68" s="179">
        <f>IFERROR(__xludf.DUMMYFUNCTION("""COMPUTED_VALUE"""),0.0)</f>
        <v>0</v>
      </c>
      <c r="U68" s="180">
        <f>IFERROR(__xludf.DUMMYFUNCTION("""COMPUTED_VALUE"""),45784.0)</f>
        <v>45784</v>
      </c>
      <c r="V68" s="181">
        <f>IFERROR(__xludf.DUMMYFUNCTION("""COMPUTED_VALUE"""),0.0)</f>
        <v>0</v>
      </c>
      <c r="W68" s="178">
        <f>IFERROR(__xludf.DUMMYFUNCTION("""COMPUTED_VALUE"""),45815.0)</f>
        <v>45815</v>
      </c>
      <c r="X68" s="179">
        <f>IFERROR(__xludf.DUMMYFUNCTION("""COMPUTED_VALUE"""),0.0)</f>
        <v>0</v>
      </c>
      <c r="Y68" s="180">
        <f>IFERROR(__xludf.DUMMYFUNCTION("""COMPUTED_VALUE"""),45664.0)</f>
        <v>45664</v>
      </c>
      <c r="Z68" s="179">
        <f>IFERROR(__xludf.DUMMYFUNCTION("""COMPUTED_VALUE"""),0.0)</f>
        <v>0</v>
      </c>
      <c r="AA68" s="180">
        <f>IFERROR(__xludf.DUMMYFUNCTION("""COMPUTED_VALUE"""),45784.0)</f>
        <v>45784</v>
      </c>
      <c r="AB68" s="179">
        <f>IFERROR(__xludf.DUMMYFUNCTION("""COMPUTED_VALUE"""),0.0)</f>
        <v>0</v>
      </c>
      <c r="AC68" s="180">
        <f>IFERROR(__xludf.DUMMYFUNCTION("""COMPUTED_VALUE"""),45906.0)</f>
        <v>45906</v>
      </c>
      <c r="AD68" s="179">
        <f>IFERROR(__xludf.DUMMYFUNCTION("""COMPUTED_VALUE"""),0.0)</f>
        <v>0</v>
      </c>
      <c r="AE68" s="180">
        <f>IFERROR(__xludf.DUMMYFUNCTION("""COMPUTED_VALUE"""),45695.0)</f>
        <v>45695</v>
      </c>
      <c r="AF68" s="179">
        <f>IFERROR(__xludf.DUMMYFUNCTION("""COMPUTED_VALUE"""),0.0)</f>
        <v>0</v>
      </c>
      <c r="AG68" s="180">
        <f>IFERROR(__xludf.DUMMYFUNCTION("""COMPUTED_VALUE"""),45815.0)</f>
        <v>45815</v>
      </c>
      <c r="AH68" s="179">
        <f>IFERROR(__xludf.DUMMYFUNCTION("""COMPUTED_VALUE"""),0.0)</f>
        <v>0</v>
      </c>
      <c r="AI68" s="180">
        <f>IFERROR(__xludf.DUMMYFUNCTION("""COMPUTED_VALUE"""),45936.0)</f>
        <v>45936</v>
      </c>
      <c r="AJ68" s="179">
        <f>IFERROR(__xludf.DUMMYFUNCTION("""COMPUTED_VALUE"""),0.0)</f>
        <v>0</v>
      </c>
      <c r="AK68" s="180">
        <f>IFERROR(__xludf.DUMMYFUNCTION("""COMPUTED_VALUE"""),45723.0)</f>
        <v>45723</v>
      </c>
      <c r="AL68" s="179">
        <f>IFERROR(__xludf.DUMMYFUNCTION("""COMPUTED_VALUE"""),0.0)</f>
        <v>0</v>
      </c>
      <c r="AM68" s="180">
        <f>IFERROR(__xludf.DUMMYFUNCTION("""COMPUTED_VALUE"""),45815.0)</f>
        <v>45815</v>
      </c>
      <c r="AN68" s="179">
        <f>IFERROR(__xludf.DUMMYFUNCTION("""COMPUTED_VALUE"""),0.0)</f>
        <v>0</v>
      </c>
      <c r="AO68" s="180">
        <f>IFERROR(__xludf.DUMMYFUNCTION("""COMPUTED_VALUE"""),45695.0)</f>
        <v>45695</v>
      </c>
      <c r="AP68" s="181">
        <f>IFERROR(__xludf.DUMMYFUNCTION("""COMPUTED_VALUE"""),0.0)</f>
        <v>0</v>
      </c>
      <c r="AQ68" s="178">
        <f>IFERROR(__xludf.DUMMYFUNCTION("""COMPUTED_VALUE"""),45815.0)</f>
        <v>45815</v>
      </c>
      <c r="AR68" s="179">
        <f>IFERROR(__xludf.DUMMYFUNCTION("""COMPUTED_VALUE"""),0.0)</f>
        <v>0</v>
      </c>
      <c r="AS68" s="180">
        <f>IFERROR(__xludf.DUMMYFUNCTION("""COMPUTED_VALUE"""),45815.0)</f>
        <v>45815</v>
      </c>
      <c r="AT68" s="179">
        <f>IFERROR(__xludf.DUMMYFUNCTION("""COMPUTED_VALUE"""),0.0)</f>
        <v>0</v>
      </c>
      <c r="AU68" s="180">
        <f>IFERROR(__xludf.DUMMYFUNCTION("""COMPUTED_VALUE"""),45784.0)</f>
        <v>45784</v>
      </c>
      <c r="AV68" s="179">
        <f>IFERROR(__xludf.DUMMYFUNCTION("""COMPUTED_VALUE"""),0.0)</f>
        <v>0</v>
      </c>
      <c r="AW68" s="180">
        <f>IFERROR(__xludf.DUMMYFUNCTION("""COMPUTED_VALUE"""),45784.0)</f>
        <v>45784</v>
      </c>
      <c r="AX68" s="179">
        <f>IFERROR(__xludf.DUMMYFUNCTION("""COMPUTED_VALUE"""),0.0)</f>
        <v>0</v>
      </c>
      <c r="AY68" s="180">
        <f>IFERROR(__xludf.DUMMYFUNCTION("""COMPUTED_VALUE"""),45815.0)</f>
        <v>45815</v>
      </c>
      <c r="AZ68" s="179">
        <f>IFERROR(__xludf.DUMMYFUNCTION("""COMPUTED_VALUE"""),0.0)</f>
        <v>0</v>
      </c>
      <c r="BA68" s="180">
        <f>IFERROR(__xludf.DUMMYFUNCTION("""COMPUTED_VALUE"""),45815.0)</f>
        <v>45815</v>
      </c>
      <c r="BB68" s="179">
        <f>IFERROR(__xludf.DUMMYFUNCTION("""COMPUTED_VALUE"""),0.0)</f>
        <v>0</v>
      </c>
      <c r="BC68" s="180">
        <f>IFERROR(__xludf.DUMMYFUNCTION("""COMPUTED_VALUE"""),45784.0)</f>
        <v>45784</v>
      </c>
      <c r="BD68" s="179">
        <f>IFERROR(__xludf.DUMMYFUNCTION("""COMPUTED_VALUE"""),0.0)</f>
        <v>0</v>
      </c>
      <c r="BE68" s="180">
        <f>IFERROR(__xludf.DUMMYFUNCTION("""COMPUTED_VALUE"""),45815.0)</f>
        <v>45815</v>
      </c>
      <c r="BF68" s="179">
        <f>IFERROR(__xludf.DUMMYFUNCTION("""COMPUTED_VALUE"""),0.0)</f>
        <v>0</v>
      </c>
      <c r="BG68" s="180">
        <f>IFERROR(__xludf.DUMMYFUNCTION("""COMPUTED_VALUE"""),45784.0)</f>
        <v>45784</v>
      </c>
      <c r="BH68" s="179">
        <f>IFERROR(__xludf.DUMMYFUNCTION("""COMPUTED_VALUE"""),0.0)</f>
        <v>0</v>
      </c>
      <c r="BI68" s="180">
        <f>IFERROR(__xludf.DUMMYFUNCTION("""COMPUTED_VALUE"""),45815.0)</f>
        <v>45815</v>
      </c>
      <c r="BJ68" s="179">
        <f>IFERROR(__xludf.DUMMYFUNCTION("""COMPUTED_VALUE"""),0.0)</f>
        <v>0</v>
      </c>
      <c r="BK68" s="182">
        <f>IFERROR(__xludf.DUMMYFUNCTION("""COMPUTED_VALUE"""),45815.0)</f>
        <v>45815</v>
      </c>
      <c r="BL68" s="179">
        <f>IFERROR(__xludf.DUMMYFUNCTION("""COMPUTED_VALUE"""),0.0)</f>
        <v>0</v>
      </c>
      <c r="BM68" s="180">
        <f>IFERROR(__xludf.DUMMYFUNCTION("""COMPUTED_VALUE"""),45815.0)</f>
        <v>45815</v>
      </c>
      <c r="BN68" s="179">
        <f>IFERROR(__xludf.DUMMYFUNCTION("""COMPUTED_VALUE"""),0.0)</f>
        <v>0</v>
      </c>
      <c r="BO68" s="180">
        <f>IFERROR(__xludf.DUMMYFUNCTION("""COMPUTED_VALUE"""),45784.0)</f>
        <v>45784</v>
      </c>
      <c r="BP68" s="179">
        <f>IFERROR(__xludf.DUMMYFUNCTION("""COMPUTED_VALUE"""),0.0)</f>
        <v>0</v>
      </c>
      <c r="BQ68" s="180">
        <f>IFERROR(__xludf.DUMMYFUNCTION("""COMPUTED_VALUE"""),45784.0)</f>
        <v>45784</v>
      </c>
      <c r="BR68" s="179">
        <f>IFERROR(__xludf.DUMMYFUNCTION("""COMPUTED_VALUE"""),0.0)</f>
        <v>0</v>
      </c>
      <c r="BS68" s="180">
        <f>IFERROR(__xludf.DUMMYFUNCTION("""COMPUTED_VALUE"""),45815.0)</f>
        <v>45815</v>
      </c>
      <c r="BT68" s="179">
        <f>IFERROR(__xludf.DUMMYFUNCTION("""COMPUTED_VALUE"""),0.0)</f>
        <v>0</v>
      </c>
      <c r="BU68" s="180">
        <f>IFERROR(__xludf.DUMMYFUNCTION("""COMPUTED_VALUE"""),45815.0)</f>
        <v>45815</v>
      </c>
      <c r="BV68" s="179">
        <f>IFERROR(__xludf.DUMMYFUNCTION("""COMPUTED_VALUE"""),0.0)</f>
        <v>0</v>
      </c>
      <c r="BW68" s="180">
        <f>IFERROR(__xludf.DUMMYFUNCTION("""COMPUTED_VALUE"""),45815.0)</f>
        <v>45815</v>
      </c>
      <c r="BX68" s="179">
        <f>IFERROR(__xludf.DUMMYFUNCTION("""COMPUTED_VALUE"""),0.0)</f>
        <v>0</v>
      </c>
      <c r="BY68" s="180">
        <f>IFERROR(__xludf.DUMMYFUNCTION("""COMPUTED_VALUE"""),45784.0)</f>
        <v>45784</v>
      </c>
      <c r="BZ68" s="179">
        <f>IFERROR(__xludf.DUMMYFUNCTION("""COMPUTED_VALUE"""),0.0)</f>
        <v>0</v>
      </c>
      <c r="CA68" s="180">
        <f>IFERROR(__xludf.DUMMYFUNCTION("""COMPUTED_VALUE"""),45815.0)</f>
        <v>45815</v>
      </c>
      <c r="CB68" s="179">
        <f>IFERROR(__xludf.DUMMYFUNCTION("""COMPUTED_VALUE"""),0.0)</f>
        <v>0</v>
      </c>
      <c r="CC68" s="180">
        <f>IFERROR(__xludf.DUMMYFUNCTION("""COMPUTED_VALUE"""),45815.0)</f>
        <v>45815</v>
      </c>
      <c r="CD68" s="179">
        <f>IFERROR(__xludf.DUMMYFUNCTION("""COMPUTED_VALUE"""),0.0)</f>
        <v>0</v>
      </c>
      <c r="CE68" s="182">
        <f>IFERROR(__xludf.DUMMYFUNCTION("""COMPUTED_VALUE"""),45815.0)</f>
        <v>45815</v>
      </c>
      <c r="CF68" s="179">
        <f>IFERROR(__xludf.DUMMYFUNCTION("""COMPUTED_VALUE"""),0.0)</f>
        <v>0</v>
      </c>
      <c r="CG68" s="180">
        <f>IFERROR(__xludf.DUMMYFUNCTION("""COMPUTED_VALUE"""),45695.0)</f>
        <v>45695</v>
      </c>
      <c r="CH68" s="179">
        <f>IFERROR(__xludf.DUMMYFUNCTION("""COMPUTED_VALUE"""),0.0)</f>
        <v>0</v>
      </c>
      <c r="CI68" s="180">
        <f>IFERROR(__xludf.DUMMYFUNCTION("""COMPUTED_VALUE"""),45695.0)</f>
        <v>45695</v>
      </c>
      <c r="CJ68" s="179">
        <f>IFERROR(__xludf.DUMMYFUNCTION("""COMPUTED_VALUE"""),0.0)</f>
        <v>0</v>
      </c>
      <c r="CK68" s="180">
        <f>IFERROR(__xludf.DUMMYFUNCTION("""COMPUTED_VALUE"""),45723.0)</f>
        <v>45723</v>
      </c>
      <c r="CL68" s="179">
        <f>IFERROR(__xludf.DUMMYFUNCTION("""COMPUTED_VALUE"""),0.0)</f>
        <v>0</v>
      </c>
      <c r="CM68" s="180">
        <f>IFERROR(__xludf.DUMMYFUNCTION("""COMPUTED_VALUE"""),45784.0)</f>
        <v>45784</v>
      </c>
      <c r="CN68" s="179">
        <f>IFERROR(__xludf.DUMMYFUNCTION("""COMPUTED_VALUE"""),0.0)</f>
        <v>0</v>
      </c>
      <c r="CO68" s="180">
        <f>IFERROR(__xludf.DUMMYFUNCTION("""COMPUTED_VALUE"""),45754.0)</f>
        <v>45754</v>
      </c>
      <c r="CP68" s="179">
        <f>IFERROR(__xludf.DUMMYFUNCTION("""COMPUTED_VALUE"""),0.0)</f>
        <v>0</v>
      </c>
      <c r="CQ68" s="180">
        <f>IFERROR(__xludf.DUMMYFUNCTION("""COMPUTED_VALUE"""),45695.0)</f>
        <v>45695</v>
      </c>
      <c r="CR68" s="179">
        <f>IFERROR(__xludf.DUMMYFUNCTION("""COMPUTED_VALUE"""),0.0)</f>
        <v>0</v>
      </c>
      <c r="CS68" s="180">
        <f>IFERROR(__xludf.DUMMYFUNCTION("""COMPUTED_VALUE"""),45754.0)</f>
        <v>45754</v>
      </c>
      <c r="CT68" s="179">
        <f>IFERROR(__xludf.DUMMYFUNCTION("""COMPUTED_VALUE"""),0.0)</f>
        <v>0</v>
      </c>
      <c r="CU68" s="180">
        <f>IFERROR(__xludf.DUMMYFUNCTION("""COMPUTED_VALUE"""),45815.0)</f>
        <v>45815</v>
      </c>
      <c r="CV68" s="179">
        <f>IFERROR(__xludf.DUMMYFUNCTION("""COMPUTED_VALUE"""),0.0)</f>
        <v>0</v>
      </c>
      <c r="CW68" s="180">
        <f>IFERROR(__xludf.DUMMYFUNCTION("""COMPUTED_VALUE"""),45875.0)</f>
        <v>45875</v>
      </c>
      <c r="CX68" s="179">
        <f>IFERROR(__xludf.DUMMYFUNCTION("""COMPUTED_VALUE"""),0.0)</f>
        <v>0</v>
      </c>
      <c r="CY68" s="182">
        <f>IFERROR(__xludf.DUMMYFUNCTION("""COMPUTED_VALUE"""),45815.0)</f>
        <v>45815</v>
      </c>
      <c r="CZ68" s="179">
        <f>IFERROR(__xludf.DUMMYFUNCTION("""COMPUTED_VALUE"""),0.0)</f>
        <v>0</v>
      </c>
      <c r="DA68" s="180">
        <f>IFERROR(__xludf.DUMMYFUNCTION("""COMPUTED_VALUE"""),45815.0)</f>
        <v>45815</v>
      </c>
      <c r="DB68" s="179">
        <f>IFERROR(__xludf.DUMMYFUNCTION("""COMPUTED_VALUE"""),0.0)</f>
        <v>0</v>
      </c>
      <c r="DC68" s="180">
        <f>IFERROR(__xludf.DUMMYFUNCTION("""COMPUTED_VALUE"""),45754.0)</f>
        <v>45754</v>
      </c>
      <c r="DD68" s="179">
        <f>IFERROR(__xludf.DUMMYFUNCTION("""COMPUTED_VALUE"""),0.0)</f>
        <v>0</v>
      </c>
      <c r="DE68" s="180">
        <f>IFERROR(__xludf.DUMMYFUNCTION("""COMPUTED_VALUE"""),45815.0)</f>
        <v>45815</v>
      </c>
      <c r="DF68" s="179">
        <f>IFERROR(__xludf.DUMMYFUNCTION("""COMPUTED_VALUE"""),0.0)</f>
        <v>0</v>
      </c>
      <c r="DG68" s="180">
        <f>IFERROR(__xludf.DUMMYFUNCTION("""COMPUTED_VALUE"""),45815.0)</f>
        <v>45815</v>
      </c>
      <c r="DH68" s="179">
        <f>IFERROR(__xludf.DUMMYFUNCTION("""COMPUTED_VALUE"""),0.0)</f>
        <v>0</v>
      </c>
      <c r="DI68" s="180">
        <f>IFERROR(__xludf.DUMMYFUNCTION("""COMPUTED_VALUE"""),45815.0)</f>
        <v>45815</v>
      </c>
      <c r="DJ68" s="179">
        <f>IFERROR(__xludf.DUMMYFUNCTION("""COMPUTED_VALUE"""),0.0)</f>
        <v>0</v>
      </c>
      <c r="DK68" s="180">
        <f>IFERROR(__xludf.DUMMYFUNCTION("""COMPUTED_VALUE"""),45815.0)</f>
        <v>45815</v>
      </c>
      <c r="DL68" s="179">
        <f>IFERROR(__xludf.DUMMYFUNCTION("""COMPUTED_VALUE"""),0.0)</f>
        <v>0</v>
      </c>
      <c r="DM68" s="180">
        <f>IFERROR(__xludf.DUMMYFUNCTION("""COMPUTED_VALUE"""),45815.0)</f>
        <v>45815</v>
      </c>
      <c r="DN68" s="179">
        <f>IFERROR(__xludf.DUMMYFUNCTION("""COMPUTED_VALUE"""),0.0)</f>
        <v>0</v>
      </c>
      <c r="DO68" s="180">
        <f>IFERROR(__xludf.DUMMYFUNCTION("""COMPUTED_VALUE"""),45815.0)</f>
        <v>45815</v>
      </c>
      <c r="DP68" s="179">
        <f>IFERROR(__xludf.DUMMYFUNCTION("""COMPUTED_VALUE"""),0.0)</f>
        <v>0</v>
      </c>
      <c r="DQ68" s="180">
        <f>IFERROR(__xludf.DUMMYFUNCTION("""COMPUTED_VALUE"""),45754.0)</f>
        <v>45754</v>
      </c>
      <c r="DR68" s="179">
        <f>IFERROR(__xludf.DUMMYFUNCTION("""COMPUTED_VALUE"""),0.0)</f>
        <v>0</v>
      </c>
      <c r="DS68" s="182">
        <f>IFERROR(__xludf.DUMMYFUNCTION("""COMPUTED_VALUE"""),45814.0)</f>
        <v>45814</v>
      </c>
      <c r="DT68" s="179">
        <f>IFERROR(__xludf.DUMMYFUNCTION("""COMPUTED_VALUE"""),0.0)</f>
        <v>0</v>
      </c>
      <c r="DU68" s="180">
        <f>IFERROR(__xludf.DUMMYFUNCTION("""COMPUTED_VALUE"""),45814.0)</f>
        <v>45814</v>
      </c>
      <c r="DV68" s="179">
        <f>IFERROR(__xludf.DUMMYFUNCTION("""COMPUTED_VALUE"""),0.0)</f>
        <v>0</v>
      </c>
      <c r="DW68" s="180">
        <f>IFERROR(__xludf.DUMMYFUNCTION("""COMPUTED_VALUE"""),45814.0)</f>
        <v>45814</v>
      </c>
      <c r="DX68" s="179">
        <f>IFERROR(__xludf.DUMMYFUNCTION("""COMPUTED_VALUE"""),0.0)</f>
        <v>0</v>
      </c>
      <c r="DY68" s="180">
        <f>IFERROR(__xludf.DUMMYFUNCTION("""COMPUTED_VALUE"""),45814.0)</f>
        <v>45814</v>
      </c>
      <c r="DZ68" s="179">
        <f>IFERROR(__xludf.DUMMYFUNCTION("""COMPUTED_VALUE"""),0.0)</f>
        <v>0</v>
      </c>
      <c r="EA68" s="180">
        <f>IFERROR(__xludf.DUMMYFUNCTION("""COMPUTED_VALUE"""),45844.0)</f>
        <v>45844</v>
      </c>
      <c r="EB68" s="179">
        <f>IFERROR(__xludf.DUMMYFUNCTION("""COMPUTED_VALUE"""),0.0)</f>
        <v>0</v>
      </c>
      <c r="EC68" s="180">
        <f>IFERROR(__xludf.DUMMYFUNCTION("""COMPUTED_VALUE"""),45814.0)</f>
        <v>45814</v>
      </c>
      <c r="ED68" s="179">
        <f>IFERROR(__xludf.DUMMYFUNCTION("""COMPUTED_VALUE"""),0.0)</f>
        <v>0</v>
      </c>
      <c r="EE68" s="180">
        <f>IFERROR(__xludf.DUMMYFUNCTION("""COMPUTED_VALUE"""),45753.0)</f>
        <v>45753</v>
      </c>
      <c r="EF68" s="179">
        <f>IFERROR(__xludf.DUMMYFUNCTION("""COMPUTED_VALUE"""),0.0)</f>
        <v>0</v>
      </c>
      <c r="EG68" s="180">
        <f>IFERROR(__xludf.DUMMYFUNCTION("""COMPUTED_VALUE"""),45814.0)</f>
        <v>45814</v>
      </c>
      <c r="EH68" s="179">
        <f>IFERROR(__xludf.DUMMYFUNCTION("""COMPUTED_VALUE"""),0.0)</f>
        <v>0</v>
      </c>
      <c r="EI68" s="180">
        <f>IFERROR(__xludf.DUMMYFUNCTION("""COMPUTED_VALUE"""),45814.0)</f>
        <v>45814</v>
      </c>
      <c r="EJ68" s="179">
        <f>IFERROR(__xludf.DUMMYFUNCTION("""COMPUTED_VALUE"""),0.0)</f>
        <v>0</v>
      </c>
      <c r="EK68" s="180">
        <f>IFERROR(__xludf.DUMMYFUNCTION("""COMPUTED_VALUE"""),45783.0)</f>
        <v>45783</v>
      </c>
      <c r="EL68" s="179">
        <f>IFERROR(__xludf.DUMMYFUNCTION("""COMPUTED_VALUE"""),0.0)</f>
        <v>0</v>
      </c>
      <c r="EM68" s="182">
        <f>IFERROR(__xludf.DUMMYFUNCTION("""COMPUTED_VALUE"""),45722.0)</f>
        <v>45722</v>
      </c>
      <c r="EN68" s="179">
        <f>IFERROR(__xludf.DUMMYFUNCTION("""COMPUTED_VALUE"""),0.0)</f>
        <v>0</v>
      </c>
      <c r="EO68" s="180">
        <f>IFERROR(__xludf.DUMMYFUNCTION("""COMPUTED_VALUE"""),45844.0)</f>
        <v>45844</v>
      </c>
      <c r="EP68" s="179">
        <f>IFERROR(__xludf.DUMMYFUNCTION("""COMPUTED_VALUE"""),0.0)</f>
        <v>0</v>
      </c>
      <c r="EQ68" s="180">
        <f>IFERROR(__xludf.DUMMYFUNCTION("""COMPUTED_VALUE"""),45814.0)</f>
        <v>45814</v>
      </c>
      <c r="ER68" s="179">
        <f>IFERROR(__xludf.DUMMYFUNCTION("""COMPUTED_VALUE"""),0.0)</f>
        <v>0</v>
      </c>
      <c r="ES68" s="180">
        <f>IFERROR(__xludf.DUMMYFUNCTION("""COMPUTED_VALUE"""),45844.0)</f>
        <v>45844</v>
      </c>
      <c r="ET68" s="179">
        <f>IFERROR(__xludf.DUMMYFUNCTION("""COMPUTED_VALUE"""),0.0)</f>
        <v>0</v>
      </c>
      <c r="EU68" s="180">
        <f>IFERROR(__xludf.DUMMYFUNCTION("""COMPUTED_VALUE"""),45814.0)</f>
        <v>45814</v>
      </c>
      <c r="EV68" s="179">
        <f>IFERROR(__xludf.DUMMYFUNCTION("""COMPUTED_VALUE"""),0.0)</f>
        <v>0</v>
      </c>
      <c r="EW68" s="180">
        <f>IFERROR(__xludf.DUMMYFUNCTION("""COMPUTED_VALUE"""),45844.0)</f>
        <v>45844</v>
      </c>
      <c r="EX68" s="179">
        <f>IFERROR(__xludf.DUMMYFUNCTION("""COMPUTED_VALUE"""),0.0)</f>
        <v>0</v>
      </c>
      <c r="EY68" s="180">
        <f>IFERROR(__xludf.DUMMYFUNCTION("""COMPUTED_VALUE"""),45844.0)</f>
        <v>45844</v>
      </c>
      <c r="EZ68" s="179">
        <f>IFERROR(__xludf.DUMMYFUNCTION("""COMPUTED_VALUE"""),0.0)</f>
        <v>0</v>
      </c>
      <c r="FA68" s="180">
        <f>IFERROR(__xludf.DUMMYFUNCTION("""COMPUTED_VALUE"""),45814.0)</f>
        <v>45814</v>
      </c>
      <c r="FB68" s="179">
        <f>IFERROR(__xludf.DUMMYFUNCTION("""COMPUTED_VALUE"""),0.0)</f>
        <v>0</v>
      </c>
      <c r="FC68" s="180">
        <f>IFERROR(__xludf.DUMMYFUNCTION("""COMPUTED_VALUE"""),45844.0)</f>
        <v>45844</v>
      </c>
      <c r="FD68" s="179">
        <f>IFERROR(__xludf.DUMMYFUNCTION("""COMPUTED_VALUE"""),0.0)</f>
        <v>0</v>
      </c>
      <c r="FE68" s="180">
        <f>IFERROR(__xludf.DUMMYFUNCTION("""COMPUTED_VALUE"""),45722.0)</f>
        <v>45722</v>
      </c>
      <c r="FF68" s="179">
        <f>IFERROR(__xludf.DUMMYFUNCTION("""COMPUTED_VALUE"""),0.0)</f>
        <v>0</v>
      </c>
      <c r="FG68" s="182">
        <f>IFERROR(__xludf.DUMMYFUNCTION("""COMPUTED_VALUE"""),45844.0)</f>
        <v>45844</v>
      </c>
      <c r="FH68" s="179">
        <f>IFERROR(__xludf.DUMMYFUNCTION("""COMPUTED_VALUE"""),0.0)</f>
        <v>0</v>
      </c>
      <c r="FI68" s="180">
        <f>IFERROR(__xludf.DUMMYFUNCTION("""COMPUTED_VALUE"""),45814.0)</f>
        <v>45814</v>
      </c>
      <c r="FJ68" s="179">
        <f>IFERROR(__xludf.DUMMYFUNCTION("""COMPUTED_VALUE"""),0.0)</f>
        <v>0</v>
      </c>
      <c r="FK68" s="180">
        <f>IFERROR(__xludf.DUMMYFUNCTION("""COMPUTED_VALUE"""),45663.0)</f>
        <v>45663</v>
      </c>
      <c r="FL68" s="179">
        <f>IFERROR(__xludf.DUMMYFUNCTION("""COMPUTED_VALUE"""),0.0)</f>
        <v>0</v>
      </c>
      <c r="FM68" s="180">
        <f>IFERROR(__xludf.DUMMYFUNCTION("""COMPUTED_VALUE"""),45844.0)</f>
        <v>45844</v>
      </c>
      <c r="FN68" s="179">
        <f>IFERROR(__xludf.DUMMYFUNCTION("""COMPUTED_VALUE"""),0.0)</f>
        <v>0</v>
      </c>
      <c r="FO68" s="180">
        <f>IFERROR(__xludf.DUMMYFUNCTION("""COMPUTED_VALUE"""),45844.0)</f>
        <v>45844</v>
      </c>
      <c r="FP68" s="179">
        <f>IFERROR(__xludf.DUMMYFUNCTION("""COMPUTED_VALUE"""),0.0)</f>
        <v>0</v>
      </c>
      <c r="FQ68" s="180">
        <f>IFERROR(__xludf.DUMMYFUNCTION("""COMPUTED_VALUE"""),45844.0)</f>
        <v>45844</v>
      </c>
      <c r="FR68" s="179">
        <f>IFERROR(__xludf.DUMMYFUNCTION("""COMPUTED_VALUE"""),0.0)</f>
        <v>0</v>
      </c>
      <c r="FS68" s="180">
        <f>IFERROR(__xludf.DUMMYFUNCTION("""COMPUTED_VALUE"""),45814.0)</f>
        <v>45814</v>
      </c>
      <c r="FT68" s="179">
        <f>IFERROR(__xludf.DUMMYFUNCTION("""COMPUTED_VALUE"""),0.0)</f>
        <v>0</v>
      </c>
      <c r="FU68" s="180">
        <f>IFERROR(__xludf.DUMMYFUNCTION("""COMPUTED_VALUE"""),45844.0)</f>
        <v>45844</v>
      </c>
      <c r="FV68" s="179">
        <f>IFERROR(__xludf.DUMMYFUNCTION("""COMPUTED_VALUE"""),0.0)</f>
        <v>0</v>
      </c>
      <c r="FW68" s="180">
        <f>IFERROR(__xludf.DUMMYFUNCTION("""COMPUTED_VALUE"""),45844.0)</f>
        <v>45844</v>
      </c>
      <c r="FX68" s="179">
        <f>IFERROR(__xludf.DUMMYFUNCTION("""COMPUTED_VALUE"""),0.0)</f>
        <v>0</v>
      </c>
      <c r="FY68" s="180">
        <f>IFERROR(__xludf.DUMMYFUNCTION("""COMPUTED_VALUE"""),45753.0)</f>
        <v>45753</v>
      </c>
      <c r="FZ68" s="179">
        <f>IFERROR(__xludf.DUMMYFUNCTION("""COMPUTED_VALUE"""),0.0)</f>
        <v>0</v>
      </c>
      <c r="GA68" s="182">
        <f>IFERROR(__xludf.DUMMYFUNCTION("""COMPUTED_VALUE"""),45844.0)</f>
        <v>45844</v>
      </c>
      <c r="GB68" s="179">
        <f>IFERROR(__xludf.DUMMYFUNCTION("""COMPUTED_VALUE"""),0.0)</f>
        <v>0</v>
      </c>
      <c r="GC68" s="180">
        <f>IFERROR(__xludf.DUMMYFUNCTION("""COMPUTED_VALUE"""),45814.0)</f>
        <v>45814</v>
      </c>
      <c r="GD68" s="179">
        <f>IFERROR(__xludf.DUMMYFUNCTION("""COMPUTED_VALUE"""),0.0)</f>
        <v>0</v>
      </c>
      <c r="GE68" s="180">
        <f>IFERROR(__xludf.DUMMYFUNCTION("""COMPUTED_VALUE"""),45814.0)</f>
        <v>45814</v>
      </c>
      <c r="GF68" s="179">
        <f>IFERROR(__xludf.DUMMYFUNCTION("""COMPUTED_VALUE"""),0.0)</f>
        <v>0</v>
      </c>
      <c r="GG68" s="180">
        <f>IFERROR(__xludf.DUMMYFUNCTION("""COMPUTED_VALUE"""),45814.0)</f>
        <v>45814</v>
      </c>
      <c r="GH68" s="179">
        <f>IFERROR(__xludf.DUMMYFUNCTION("""COMPUTED_VALUE"""),0.0)</f>
        <v>0</v>
      </c>
      <c r="GI68" s="180">
        <f>IFERROR(__xludf.DUMMYFUNCTION("""COMPUTED_VALUE"""),45844.0)</f>
        <v>45844</v>
      </c>
      <c r="GJ68" s="179">
        <f>IFERROR(__xludf.DUMMYFUNCTION("""COMPUTED_VALUE"""),0.0)</f>
        <v>0</v>
      </c>
      <c r="GK68" s="180">
        <f>IFERROR(__xludf.DUMMYFUNCTION("""COMPUTED_VALUE"""),45844.0)</f>
        <v>45844</v>
      </c>
      <c r="GL68" s="179">
        <f>IFERROR(__xludf.DUMMYFUNCTION("""COMPUTED_VALUE"""),0.0)</f>
        <v>0</v>
      </c>
      <c r="GM68" s="180">
        <f>IFERROR(__xludf.DUMMYFUNCTION("""COMPUTED_VALUE"""),45753.0)</f>
        <v>45753</v>
      </c>
      <c r="GN68" s="179">
        <f>IFERROR(__xludf.DUMMYFUNCTION("""COMPUTED_VALUE"""),0.0)</f>
        <v>0</v>
      </c>
      <c r="GO68" s="180">
        <f>IFERROR(__xludf.DUMMYFUNCTION("""COMPUTED_VALUE"""),45844.0)</f>
        <v>45844</v>
      </c>
      <c r="GP68" s="179">
        <f>IFERROR(__xludf.DUMMYFUNCTION("""COMPUTED_VALUE"""),0.0)</f>
        <v>0</v>
      </c>
      <c r="GQ68" s="180">
        <f>IFERROR(__xludf.DUMMYFUNCTION("""COMPUTED_VALUE"""),45844.0)</f>
        <v>45844</v>
      </c>
      <c r="GR68" s="179">
        <f>IFERROR(__xludf.DUMMYFUNCTION("""COMPUTED_VALUE"""),0.0)</f>
        <v>0</v>
      </c>
      <c r="GS68" s="180">
        <f>IFERROR(__xludf.DUMMYFUNCTION("""COMPUTED_VALUE"""),45783.0)</f>
        <v>45783</v>
      </c>
      <c r="GT68" s="179">
        <f>IFERROR(__xludf.DUMMYFUNCTION("""COMPUTED_VALUE"""),0.0)</f>
        <v>0</v>
      </c>
    </row>
    <row r="69" ht="31.5" customHeight="1">
      <c r="B69" s="183"/>
      <c r="C69" s="178">
        <f>IFERROR(__xludf.DUMMYFUNCTION("""COMPUTED_VALUE"""),45845.0)</f>
        <v>45845</v>
      </c>
      <c r="D69" s="179">
        <f>IFERROR(__xludf.DUMMYFUNCTION("""COMPUTED_VALUE"""),0.0)</f>
        <v>0</v>
      </c>
      <c r="E69" s="180">
        <f>IFERROR(__xludf.DUMMYFUNCTION("""COMPUTED_VALUE"""),45784.0)</f>
        <v>45784</v>
      </c>
      <c r="F69" s="179">
        <f>IFERROR(__xludf.DUMMYFUNCTION("""COMPUTED_VALUE"""),0.0)</f>
        <v>0</v>
      </c>
      <c r="G69" s="180">
        <f>IFERROR(__xludf.DUMMYFUNCTION("""COMPUTED_VALUE"""),45784.0)</f>
        <v>45784</v>
      </c>
      <c r="H69" s="179">
        <f>IFERROR(__xludf.DUMMYFUNCTION("""COMPUTED_VALUE"""),0.0)</f>
        <v>0</v>
      </c>
      <c r="I69" s="180">
        <f>IFERROR(__xludf.DUMMYFUNCTION("""COMPUTED_VALUE"""),45845.0)</f>
        <v>45845</v>
      </c>
      <c r="J69" s="179">
        <f>IFERROR(__xludf.DUMMYFUNCTION("""COMPUTED_VALUE"""),0.0)</f>
        <v>0</v>
      </c>
      <c r="K69" s="180">
        <f>IFERROR(__xludf.DUMMYFUNCTION("""COMPUTED_VALUE"""),45815.0)</f>
        <v>45815</v>
      </c>
      <c r="L69" s="179">
        <f>IFERROR(__xludf.DUMMYFUNCTION("""COMPUTED_VALUE"""),0.0)</f>
        <v>0</v>
      </c>
      <c r="M69" s="180">
        <f>IFERROR(__xludf.DUMMYFUNCTION("""COMPUTED_VALUE"""),45845.0)</f>
        <v>45845</v>
      </c>
      <c r="N69" s="179">
        <f>IFERROR(__xludf.DUMMYFUNCTION("""COMPUTED_VALUE"""),0.0)</f>
        <v>0</v>
      </c>
      <c r="O69" s="180">
        <f>IFERROR(__xludf.DUMMYFUNCTION("""COMPUTED_VALUE"""),45784.0)</f>
        <v>45784</v>
      </c>
      <c r="P69" s="179">
        <f>IFERROR(__xludf.DUMMYFUNCTION("""COMPUTED_VALUE"""),0.0)</f>
        <v>0</v>
      </c>
      <c r="Q69" s="180">
        <f>IFERROR(__xludf.DUMMYFUNCTION("""COMPUTED_VALUE"""),45845.0)</f>
        <v>45845</v>
      </c>
      <c r="R69" s="179">
        <f>IFERROR(__xludf.DUMMYFUNCTION("""COMPUTED_VALUE"""),0.0)</f>
        <v>0</v>
      </c>
      <c r="S69" s="180">
        <f>IFERROR(__xludf.DUMMYFUNCTION("""COMPUTED_VALUE"""),45784.0)</f>
        <v>45784</v>
      </c>
      <c r="T69" s="179">
        <f>IFERROR(__xludf.DUMMYFUNCTION("""COMPUTED_VALUE"""),0.0)</f>
        <v>0</v>
      </c>
      <c r="U69" s="180">
        <f>IFERROR(__xludf.DUMMYFUNCTION("""COMPUTED_VALUE"""),45815.0)</f>
        <v>45815</v>
      </c>
      <c r="V69" s="181">
        <f>IFERROR(__xludf.DUMMYFUNCTION("""COMPUTED_VALUE"""),0.0)</f>
        <v>0</v>
      </c>
      <c r="W69" s="178">
        <f>IFERROR(__xludf.DUMMYFUNCTION("""COMPUTED_VALUE"""),45845.0)</f>
        <v>45845</v>
      </c>
      <c r="X69" s="179">
        <f>IFERROR(__xludf.DUMMYFUNCTION("""COMPUTED_VALUE"""),0.0)</f>
        <v>0</v>
      </c>
      <c r="Y69" s="180">
        <f>IFERROR(__xludf.DUMMYFUNCTION("""COMPUTED_VALUE"""),45695.0)</f>
        <v>45695</v>
      </c>
      <c r="Z69" s="179">
        <f>IFERROR(__xludf.DUMMYFUNCTION("""COMPUTED_VALUE"""),0.0)</f>
        <v>0</v>
      </c>
      <c r="AA69" s="180">
        <f>IFERROR(__xludf.DUMMYFUNCTION("""COMPUTED_VALUE"""),45815.0)</f>
        <v>45815</v>
      </c>
      <c r="AB69" s="179">
        <f>IFERROR(__xludf.DUMMYFUNCTION("""COMPUTED_VALUE"""),0.0)</f>
        <v>0</v>
      </c>
      <c r="AC69" s="180">
        <f>IFERROR(__xludf.DUMMYFUNCTION("""COMPUTED_VALUE"""),45936.0)</f>
        <v>45936</v>
      </c>
      <c r="AD69" s="179">
        <f>IFERROR(__xludf.DUMMYFUNCTION("""COMPUTED_VALUE"""),0.0)</f>
        <v>0</v>
      </c>
      <c r="AE69" s="180">
        <f>IFERROR(__xludf.DUMMYFUNCTION("""COMPUTED_VALUE"""),45723.0)</f>
        <v>45723</v>
      </c>
      <c r="AF69" s="179">
        <f>IFERROR(__xludf.DUMMYFUNCTION("""COMPUTED_VALUE"""),0.0)</f>
        <v>0</v>
      </c>
      <c r="AG69" s="180">
        <f>IFERROR(__xludf.DUMMYFUNCTION("""COMPUTED_VALUE"""),45845.0)</f>
        <v>45845</v>
      </c>
      <c r="AH69" s="179">
        <f>IFERROR(__xludf.DUMMYFUNCTION("""COMPUTED_VALUE"""),0.0)</f>
        <v>0</v>
      </c>
      <c r="AI69" s="180">
        <f>IFERROR(__xludf.DUMMYFUNCTION("""COMPUTED_VALUE"""),45664.0)</f>
        <v>45664</v>
      </c>
      <c r="AJ69" s="179">
        <f>IFERROR(__xludf.DUMMYFUNCTION("""COMPUTED_VALUE"""),0.0)</f>
        <v>0</v>
      </c>
      <c r="AK69" s="180">
        <f>IFERROR(__xludf.DUMMYFUNCTION("""COMPUTED_VALUE"""),45754.0)</f>
        <v>45754</v>
      </c>
      <c r="AL69" s="179">
        <f>IFERROR(__xludf.DUMMYFUNCTION("""COMPUTED_VALUE"""),0.0)</f>
        <v>0</v>
      </c>
      <c r="AM69" s="180">
        <f>IFERROR(__xludf.DUMMYFUNCTION("""COMPUTED_VALUE"""),45845.0)</f>
        <v>45845</v>
      </c>
      <c r="AN69" s="179">
        <f>IFERROR(__xludf.DUMMYFUNCTION("""COMPUTED_VALUE"""),0.0)</f>
        <v>0</v>
      </c>
      <c r="AO69" s="180">
        <f>IFERROR(__xludf.DUMMYFUNCTION("""COMPUTED_VALUE"""),45723.0)</f>
        <v>45723</v>
      </c>
      <c r="AP69" s="181">
        <f>IFERROR(__xludf.DUMMYFUNCTION("""COMPUTED_VALUE"""),0.0)</f>
        <v>0</v>
      </c>
      <c r="AQ69" s="178">
        <f>IFERROR(__xludf.DUMMYFUNCTION("""COMPUTED_VALUE"""),45845.0)</f>
        <v>45845</v>
      </c>
      <c r="AR69" s="179">
        <f>IFERROR(__xludf.DUMMYFUNCTION("""COMPUTED_VALUE"""),0.0)</f>
        <v>0</v>
      </c>
      <c r="AS69" s="180">
        <f>IFERROR(__xludf.DUMMYFUNCTION("""COMPUTED_VALUE"""),45845.0)</f>
        <v>45845</v>
      </c>
      <c r="AT69" s="179">
        <f>IFERROR(__xludf.DUMMYFUNCTION("""COMPUTED_VALUE"""),0.0)</f>
        <v>0</v>
      </c>
      <c r="AU69" s="180">
        <f>IFERROR(__xludf.DUMMYFUNCTION("""COMPUTED_VALUE"""),45815.0)</f>
        <v>45815</v>
      </c>
      <c r="AV69" s="179">
        <f>IFERROR(__xludf.DUMMYFUNCTION("""COMPUTED_VALUE"""),0.0)</f>
        <v>0</v>
      </c>
      <c r="AW69" s="180">
        <f>IFERROR(__xludf.DUMMYFUNCTION("""COMPUTED_VALUE"""),45815.0)</f>
        <v>45815</v>
      </c>
      <c r="AX69" s="179">
        <f>IFERROR(__xludf.DUMMYFUNCTION("""COMPUTED_VALUE"""),0.0)</f>
        <v>0</v>
      </c>
      <c r="AY69" s="180">
        <f>IFERROR(__xludf.DUMMYFUNCTION("""COMPUTED_VALUE"""),45845.0)</f>
        <v>45845</v>
      </c>
      <c r="AZ69" s="179">
        <f>IFERROR(__xludf.DUMMYFUNCTION("""COMPUTED_VALUE"""),0.0)</f>
        <v>0</v>
      </c>
      <c r="BA69" s="180">
        <f>IFERROR(__xludf.DUMMYFUNCTION("""COMPUTED_VALUE"""),45845.0)</f>
        <v>45845</v>
      </c>
      <c r="BB69" s="179">
        <f>IFERROR(__xludf.DUMMYFUNCTION("""COMPUTED_VALUE"""),0.0)</f>
        <v>0</v>
      </c>
      <c r="BC69" s="180">
        <f>IFERROR(__xludf.DUMMYFUNCTION("""COMPUTED_VALUE"""),45815.0)</f>
        <v>45815</v>
      </c>
      <c r="BD69" s="179">
        <f>IFERROR(__xludf.DUMMYFUNCTION("""COMPUTED_VALUE"""),0.0)</f>
        <v>0</v>
      </c>
      <c r="BE69" s="180">
        <f>IFERROR(__xludf.DUMMYFUNCTION("""COMPUTED_VALUE"""),45845.0)</f>
        <v>45845</v>
      </c>
      <c r="BF69" s="179">
        <f>IFERROR(__xludf.DUMMYFUNCTION("""COMPUTED_VALUE"""),0.0)</f>
        <v>0</v>
      </c>
      <c r="BG69" s="180">
        <f>IFERROR(__xludf.DUMMYFUNCTION("""COMPUTED_VALUE"""),45815.0)</f>
        <v>45815</v>
      </c>
      <c r="BH69" s="179">
        <f>IFERROR(__xludf.DUMMYFUNCTION("""COMPUTED_VALUE"""),0.0)</f>
        <v>0</v>
      </c>
      <c r="BI69" s="180">
        <f>IFERROR(__xludf.DUMMYFUNCTION("""COMPUTED_VALUE"""),45845.0)</f>
        <v>45845</v>
      </c>
      <c r="BJ69" s="179">
        <f>IFERROR(__xludf.DUMMYFUNCTION("""COMPUTED_VALUE"""),0.0)</f>
        <v>0</v>
      </c>
      <c r="BK69" s="182">
        <f>IFERROR(__xludf.DUMMYFUNCTION("""COMPUTED_VALUE"""),45845.0)</f>
        <v>45845</v>
      </c>
      <c r="BL69" s="179">
        <f>IFERROR(__xludf.DUMMYFUNCTION("""COMPUTED_VALUE"""),0.0)</f>
        <v>0</v>
      </c>
      <c r="BM69" s="180">
        <f>IFERROR(__xludf.DUMMYFUNCTION("""COMPUTED_VALUE"""),45845.0)</f>
        <v>45845</v>
      </c>
      <c r="BN69" s="179">
        <f>IFERROR(__xludf.DUMMYFUNCTION("""COMPUTED_VALUE"""),0.0)</f>
        <v>0</v>
      </c>
      <c r="BO69" s="180">
        <f>IFERROR(__xludf.DUMMYFUNCTION("""COMPUTED_VALUE"""),45815.0)</f>
        <v>45815</v>
      </c>
      <c r="BP69" s="179">
        <f>IFERROR(__xludf.DUMMYFUNCTION("""COMPUTED_VALUE"""),0.0)</f>
        <v>0</v>
      </c>
      <c r="BQ69" s="180">
        <f>IFERROR(__xludf.DUMMYFUNCTION("""COMPUTED_VALUE"""),45815.0)</f>
        <v>45815</v>
      </c>
      <c r="BR69" s="179">
        <f>IFERROR(__xludf.DUMMYFUNCTION("""COMPUTED_VALUE"""),0.0)</f>
        <v>0</v>
      </c>
      <c r="BS69" s="180">
        <f>IFERROR(__xludf.DUMMYFUNCTION("""COMPUTED_VALUE"""),45845.0)</f>
        <v>45845</v>
      </c>
      <c r="BT69" s="179">
        <f>IFERROR(__xludf.DUMMYFUNCTION("""COMPUTED_VALUE"""),0.0)</f>
        <v>0</v>
      </c>
      <c r="BU69" s="180">
        <f>IFERROR(__xludf.DUMMYFUNCTION("""COMPUTED_VALUE"""),45845.0)</f>
        <v>45845</v>
      </c>
      <c r="BV69" s="179">
        <f>IFERROR(__xludf.DUMMYFUNCTION("""COMPUTED_VALUE"""),0.0)</f>
        <v>0</v>
      </c>
      <c r="BW69" s="180">
        <f>IFERROR(__xludf.DUMMYFUNCTION("""COMPUTED_VALUE"""),45845.0)</f>
        <v>45845</v>
      </c>
      <c r="BX69" s="179">
        <f>IFERROR(__xludf.DUMMYFUNCTION("""COMPUTED_VALUE"""),0.0)</f>
        <v>0</v>
      </c>
      <c r="BY69" s="180">
        <f>IFERROR(__xludf.DUMMYFUNCTION("""COMPUTED_VALUE"""),45815.0)</f>
        <v>45815</v>
      </c>
      <c r="BZ69" s="179">
        <f>IFERROR(__xludf.DUMMYFUNCTION("""COMPUTED_VALUE"""),0.0)</f>
        <v>0</v>
      </c>
      <c r="CA69" s="180">
        <f>IFERROR(__xludf.DUMMYFUNCTION("""COMPUTED_VALUE"""),45845.0)</f>
        <v>45845</v>
      </c>
      <c r="CB69" s="179">
        <f>IFERROR(__xludf.DUMMYFUNCTION("""COMPUTED_VALUE"""),0.0)</f>
        <v>0</v>
      </c>
      <c r="CC69" s="180">
        <f>IFERROR(__xludf.DUMMYFUNCTION("""COMPUTED_VALUE"""),45845.0)</f>
        <v>45845</v>
      </c>
      <c r="CD69" s="179">
        <f>IFERROR(__xludf.DUMMYFUNCTION("""COMPUTED_VALUE"""),0.0)</f>
        <v>0</v>
      </c>
      <c r="CE69" s="182">
        <f>IFERROR(__xludf.DUMMYFUNCTION("""COMPUTED_VALUE"""),45845.0)</f>
        <v>45845</v>
      </c>
      <c r="CF69" s="179">
        <f>IFERROR(__xludf.DUMMYFUNCTION("""COMPUTED_VALUE"""),0.0)</f>
        <v>0</v>
      </c>
      <c r="CG69" s="180">
        <f>IFERROR(__xludf.DUMMYFUNCTION("""COMPUTED_VALUE"""),45723.0)</f>
        <v>45723</v>
      </c>
      <c r="CH69" s="179">
        <f>IFERROR(__xludf.DUMMYFUNCTION("""COMPUTED_VALUE"""),0.0)</f>
        <v>0</v>
      </c>
      <c r="CI69" s="180">
        <f>IFERROR(__xludf.DUMMYFUNCTION("""COMPUTED_VALUE"""),45723.0)</f>
        <v>45723</v>
      </c>
      <c r="CJ69" s="179">
        <f>IFERROR(__xludf.DUMMYFUNCTION("""COMPUTED_VALUE"""),0.0)</f>
        <v>0</v>
      </c>
      <c r="CK69" s="180">
        <f>IFERROR(__xludf.DUMMYFUNCTION("""COMPUTED_VALUE"""),45754.0)</f>
        <v>45754</v>
      </c>
      <c r="CL69" s="179">
        <f>IFERROR(__xludf.DUMMYFUNCTION("""COMPUTED_VALUE"""),0.0)</f>
        <v>0</v>
      </c>
      <c r="CM69" s="180">
        <f>IFERROR(__xludf.DUMMYFUNCTION("""COMPUTED_VALUE"""),45815.0)</f>
        <v>45815</v>
      </c>
      <c r="CN69" s="179">
        <f>IFERROR(__xludf.DUMMYFUNCTION("""COMPUTED_VALUE"""),0.0)</f>
        <v>0</v>
      </c>
      <c r="CO69" s="180">
        <f>IFERROR(__xludf.DUMMYFUNCTION("""COMPUTED_VALUE"""),45784.0)</f>
        <v>45784</v>
      </c>
      <c r="CP69" s="179">
        <f>IFERROR(__xludf.DUMMYFUNCTION("""COMPUTED_VALUE"""),0.0)</f>
        <v>0</v>
      </c>
      <c r="CQ69" s="180">
        <f>IFERROR(__xludf.DUMMYFUNCTION("""COMPUTED_VALUE"""),45723.0)</f>
        <v>45723</v>
      </c>
      <c r="CR69" s="179">
        <f>IFERROR(__xludf.DUMMYFUNCTION("""COMPUTED_VALUE"""),0.0)</f>
        <v>0</v>
      </c>
      <c r="CS69" s="180">
        <f>IFERROR(__xludf.DUMMYFUNCTION("""COMPUTED_VALUE"""),45784.0)</f>
        <v>45784</v>
      </c>
      <c r="CT69" s="179">
        <f>IFERROR(__xludf.DUMMYFUNCTION("""COMPUTED_VALUE"""),0.0)</f>
        <v>0</v>
      </c>
      <c r="CU69" s="180">
        <f>IFERROR(__xludf.DUMMYFUNCTION("""COMPUTED_VALUE"""),45845.0)</f>
        <v>45845</v>
      </c>
      <c r="CV69" s="179">
        <f>IFERROR(__xludf.DUMMYFUNCTION("""COMPUTED_VALUE"""),0.0)</f>
        <v>0</v>
      </c>
      <c r="CW69" s="180">
        <f>IFERROR(__xludf.DUMMYFUNCTION("""COMPUTED_VALUE"""),45906.0)</f>
        <v>45906</v>
      </c>
      <c r="CX69" s="179">
        <f>IFERROR(__xludf.DUMMYFUNCTION("""COMPUTED_VALUE"""),0.0)</f>
        <v>0</v>
      </c>
      <c r="CY69" s="182">
        <f>IFERROR(__xludf.DUMMYFUNCTION("""COMPUTED_VALUE"""),45845.0)</f>
        <v>45845</v>
      </c>
      <c r="CZ69" s="179">
        <f>IFERROR(__xludf.DUMMYFUNCTION("""COMPUTED_VALUE"""),0.0)</f>
        <v>0</v>
      </c>
      <c r="DA69" s="180">
        <f>IFERROR(__xludf.DUMMYFUNCTION("""COMPUTED_VALUE"""),45845.0)</f>
        <v>45845</v>
      </c>
      <c r="DB69" s="179">
        <f>IFERROR(__xludf.DUMMYFUNCTION("""COMPUTED_VALUE"""),0.0)</f>
        <v>0</v>
      </c>
      <c r="DC69" s="180">
        <f>IFERROR(__xludf.DUMMYFUNCTION("""COMPUTED_VALUE"""),45784.0)</f>
        <v>45784</v>
      </c>
      <c r="DD69" s="179">
        <f>IFERROR(__xludf.DUMMYFUNCTION("""COMPUTED_VALUE"""),0.0)</f>
        <v>0</v>
      </c>
      <c r="DE69" s="180">
        <f>IFERROR(__xludf.DUMMYFUNCTION("""COMPUTED_VALUE"""),45845.0)</f>
        <v>45845</v>
      </c>
      <c r="DF69" s="179">
        <f>IFERROR(__xludf.DUMMYFUNCTION("""COMPUTED_VALUE"""),0.0)</f>
        <v>0</v>
      </c>
      <c r="DG69" s="180">
        <f>IFERROR(__xludf.DUMMYFUNCTION("""COMPUTED_VALUE"""),45845.0)</f>
        <v>45845</v>
      </c>
      <c r="DH69" s="179">
        <f>IFERROR(__xludf.DUMMYFUNCTION("""COMPUTED_VALUE"""),0.0)</f>
        <v>0</v>
      </c>
      <c r="DI69" s="180">
        <f>IFERROR(__xludf.DUMMYFUNCTION("""COMPUTED_VALUE"""),45845.0)</f>
        <v>45845</v>
      </c>
      <c r="DJ69" s="179">
        <f>IFERROR(__xludf.DUMMYFUNCTION("""COMPUTED_VALUE"""),0.0)</f>
        <v>0</v>
      </c>
      <c r="DK69" s="180">
        <f>IFERROR(__xludf.DUMMYFUNCTION("""COMPUTED_VALUE"""),45845.0)</f>
        <v>45845</v>
      </c>
      <c r="DL69" s="179">
        <f>IFERROR(__xludf.DUMMYFUNCTION("""COMPUTED_VALUE"""),0.0)</f>
        <v>0</v>
      </c>
      <c r="DM69" s="180">
        <f>IFERROR(__xludf.DUMMYFUNCTION("""COMPUTED_VALUE"""),45845.0)</f>
        <v>45845</v>
      </c>
      <c r="DN69" s="179">
        <f>IFERROR(__xludf.DUMMYFUNCTION("""COMPUTED_VALUE"""),0.0)</f>
        <v>0</v>
      </c>
      <c r="DO69" s="180">
        <f>IFERROR(__xludf.DUMMYFUNCTION("""COMPUTED_VALUE"""),45845.0)</f>
        <v>45845</v>
      </c>
      <c r="DP69" s="179">
        <f>IFERROR(__xludf.DUMMYFUNCTION("""COMPUTED_VALUE"""),0.0)</f>
        <v>0</v>
      </c>
      <c r="DQ69" s="180">
        <f>IFERROR(__xludf.DUMMYFUNCTION("""COMPUTED_VALUE"""),45784.0)</f>
        <v>45784</v>
      </c>
      <c r="DR69" s="179">
        <f>IFERROR(__xludf.DUMMYFUNCTION("""COMPUTED_VALUE"""),0.0)</f>
        <v>0</v>
      </c>
      <c r="DS69" s="182">
        <f>IFERROR(__xludf.DUMMYFUNCTION("""COMPUTED_VALUE"""),45844.0)</f>
        <v>45844</v>
      </c>
      <c r="DT69" s="179">
        <f>IFERROR(__xludf.DUMMYFUNCTION("""COMPUTED_VALUE"""),0.0)</f>
        <v>0</v>
      </c>
      <c r="DU69" s="180">
        <f>IFERROR(__xludf.DUMMYFUNCTION("""COMPUTED_VALUE"""),45844.0)</f>
        <v>45844</v>
      </c>
      <c r="DV69" s="179">
        <f>IFERROR(__xludf.DUMMYFUNCTION("""COMPUTED_VALUE"""),0.0)</f>
        <v>0</v>
      </c>
      <c r="DW69" s="180">
        <f>IFERROR(__xludf.DUMMYFUNCTION("""COMPUTED_VALUE"""),45844.0)</f>
        <v>45844</v>
      </c>
      <c r="DX69" s="179">
        <f>IFERROR(__xludf.DUMMYFUNCTION("""COMPUTED_VALUE"""),0.0)</f>
        <v>0</v>
      </c>
      <c r="DY69" s="180">
        <f>IFERROR(__xludf.DUMMYFUNCTION("""COMPUTED_VALUE"""),45844.0)</f>
        <v>45844</v>
      </c>
      <c r="DZ69" s="179">
        <f>IFERROR(__xludf.DUMMYFUNCTION("""COMPUTED_VALUE"""),0.0)</f>
        <v>0</v>
      </c>
      <c r="EA69" s="180">
        <f>IFERROR(__xludf.DUMMYFUNCTION("""COMPUTED_VALUE"""),45875.0)</f>
        <v>45875</v>
      </c>
      <c r="EB69" s="179">
        <f>IFERROR(__xludf.DUMMYFUNCTION("""COMPUTED_VALUE"""),0.0)</f>
        <v>0</v>
      </c>
      <c r="EC69" s="180">
        <f>IFERROR(__xludf.DUMMYFUNCTION("""COMPUTED_VALUE"""),45844.0)</f>
        <v>45844</v>
      </c>
      <c r="ED69" s="179">
        <f>IFERROR(__xludf.DUMMYFUNCTION("""COMPUTED_VALUE"""),0.0)</f>
        <v>0</v>
      </c>
      <c r="EE69" s="180">
        <f>IFERROR(__xludf.DUMMYFUNCTION("""COMPUTED_VALUE"""),45783.0)</f>
        <v>45783</v>
      </c>
      <c r="EF69" s="179">
        <f>IFERROR(__xludf.DUMMYFUNCTION("""COMPUTED_VALUE"""),0.0)</f>
        <v>0</v>
      </c>
      <c r="EG69" s="180">
        <f>IFERROR(__xludf.DUMMYFUNCTION("""COMPUTED_VALUE"""),45844.0)</f>
        <v>45844</v>
      </c>
      <c r="EH69" s="179">
        <f>IFERROR(__xludf.DUMMYFUNCTION("""COMPUTED_VALUE"""),0.0)</f>
        <v>0</v>
      </c>
      <c r="EI69" s="180">
        <f>IFERROR(__xludf.DUMMYFUNCTION("""COMPUTED_VALUE"""),45844.0)</f>
        <v>45844</v>
      </c>
      <c r="EJ69" s="179">
        <f>IFERROR(__xludf.DUMMYFUNCTION("""COMPUTED_VALUE"""),0.0)</f>
        <v>0</v>
      </c>
      <c r="EK69" s="180">
        <f>IFERROR(__xludf.DUMMYFUNCTION("""COMPUTED_VALUE"""),45814.0)</f>
        <v>45814</v>
      </c>
      <c r="EL69" s="179">
        <f>IFERROR(__xludf.DUMMYFUNCTION("""COMPUTED_VALUE"""),0.0)</f>
        <v>0</v>
      </c>
      <c r="EM69" s="182">
        <f>IFERROR(__xludf.DUMMYFUNCTION("""COMPUTED_VALUE"""),45753.0)</f>
        <v>45753</v>
      </c>
      <c r="EN69" s="179">
        <f>IFERROR(__xludf.DUMMYFUNCTION("""COMPUTED_VALUE"""),0.0)</f>
        <v>0</v>
      </c>
      <c r="EO69" s="180">
        <f>IFERROR(__xludf.DUMMYFUNCTION("""COMPUTED_VALUE"""),45875.0)</f>
        <v>45875</v>
      </c>
      <c r="EP69" s="179">
        <f>IFERROR(__xludf.DUMMYFUNCTION("""COMPUTED_VALUE"""),0.0)</f>
        <v>0</v>
      </c>
      <c r="EQ69" s="180">
        <f>IFERROR(__xludf.DUMMYFUNCTION("""COMPUTED_VALUE"""),45844.0)</f>
        <v>45844</v>
      </c>
      <c r="ER69" s="179">
        <f>IFERROR(__xludf.DUMMYFUNCTION("""COMPUTED_VALUE"""),0.0)</f>
        <v>0</v>
      </c>
      <c r="ES69" s="180">
        <f>IFERROR(__xludf.DUMMYFUNCTION("""COMPUTED_VALUE"""),45875.0)</f>
        <v>45875</v>
      </c>
      <c r="ET69" s="179">
        <f>IFERROR(__xludf.DUMMYFUNCTION("""COMPUTED_VALUE"""),0.0)</f>
        <v>0</v>
      </c>
      <c r="EU69" s="180">
        <f>IFERROR(__xludf.DUMMYFUNCTION("""COMPUTED_VALUE"""),45844.0)</f>
        <v>45844</v>
      </c>
      <c r="EV69" s="179">
        <f>IFERROR(__xludf.DUMMYFUNCTION("""COMPUTED_VALUE"""),0.0)</f>
        <v>0</v>
      </c>
      <c r="EW69" s="180">
        <f>IFERROR(__xludf.DUMMYFUNCTION("""COMPUTED_VALUE"""),45875.0)</f>
        <v>45875</v>
      </c>
      <c r="EX69" s="179">
        <f>IFERROR(__xludf.DUMMYFUNCTION("""COMPUTED_VALUE"""),0.0)</f>
        <v>0</v>
      </c>
      <c r="EY69" s="180">
        <f>IFERROR(__xludf.DUMMYFUNCTION("""COMPUTED_VALUE"""),45875.0)</f>
        <v>45875</v>
      </c>
      <c r="EZ69" s="179">
        <f>IFERROR(__xludf.DUMMYFUNCTION("""COMPUTED_VALUE"""),0.0)</f>
        <v>0</v>
      </c>
      <c r="FA69" s="180">
        <f>IFERROR(__xludf.DUMMYFUNCTION("""COMPUTED_VALUE"""),45844.0)</f>
        <v>45844</v>
      </c>
      <c r="FB69" s="179">
        <f>IFERROR(__xludf.DUMMYFUNCTION("""COMPUTED_VALUE"""),0.0)</f>
        <v>0</v>
      </c>
      <c r="FC69" s="180">
        <f>IFERROR(__xludf.DUMMYFUNCTION("""COMPUTED_VALUE"""),45875.0)</f>
        <v>45875</v>
      </c>
      <c r="FD69" s="179">
        <f>IFERROR(__xludf.DUMMYFUNCTION("""COMPUTED_VALUE"""),0.0)</f>
        <v>0</v>
      </c>
      <c r="FE69" s="180">
        <f>IFERROR(__xludf.DUMMYFUNCTION("""COMPUTED_VALUE"""),45753.0)</f>
        <v>45753</v>
      </c>
      <c r="FF69" s="179">
        <f>IFERROR(__xludf.DUMMYFUNCTION("""COMPUTED_VALUE"""),0.0)</f>
        <v>0</v>
      </c>
      <c r="FG69" s="182">
        <f>IFERROR(__xludf.DUMMYFUNCTION("""COMPUTED_VALUE"""),45875.0)</f>
        <v>45875</v>
      </c>
      <c r="FH69" s="179">
        <f>IFERROR(__xludf.DUMMYFUNCTION("""COMPUTED_VALUE"""),0.0)</f>
        <v>0</v>
      </c>
      <c r="FI69" s="180">
        <f>IFERROR(__xludf.DUMMYFUNCTION("""COMPUTED_VALUE"""),45844.0)</f>
        <v>45844</v>
      </c>
      <c r="FJ69" s="179">
        <f>IFERROR(__xludf.DUMMYFUNCTION("""COMPUTED_VALUE"""),0.0)</f>
        <v>0</v>
      </c>
      <c r="FK69" s="180">
        <f>IFERROR(__xludf.DUMMYFUNCTION("""COMPUTED_VALUE"""),45694.0)</f>
        <v>45694</v>
      </c>
      <c r="FL69" s="179">
        <f>IFERROR(__xludf.DUMMYFUNCTION("""COMPUTED_VALUE"""),0.0)</f>
        <v>0</v>
      </c>
      <c r="FM69" s="180">
        <f>IFERROR(__xludf.DUMMYFUNCTION("""COMPUTED_VALUE"""),45875.0)</f>
        <v>45875</v>
      </c>
      <c r="FN69" s="179">
        <f>IFERROR(__xludf.DUMMYFUNCTION("""COMPUTED_VALUE"""),0.0)</f>
        <v>0</v>
      </c>
      <c r="FO69" s="180">
        <f>IFERROR(__xludf.DUMMYFUNCTION("""COMPUTED_VALUE"""),45875.0)</f>
        <v>45875</v>
      </c>
      <c r="FP69" s="179">
        <f>IFERROR(__xludf.DUMMYFUNCTION("""COMPUTED_VALUE"""),0.0)</f>
        <v>0</v>
      </c>
      <c r="FQ69" s="180">
        <f>IFERROR(__xludf.DUMMYFUNCTION("""COMPUTED_VALUE"""),45875.0)</f>
        <v>45875</v>
      </c>
      <c r="FR69" s="179">
        <f>IFERROR(__xludf.DUMMYFUNCTION("""COMPUTED_VALUE"""),0.0)</f>
        <v>0</v>
      </c>
      <c r="FS69" s="180">
        <f>IFERROR(__xludf.DUMMYFUNCTION("""COMPUTED_VALUE"""),45844.0)</f>
        <v>45844</v>
      </c>
      <c r="FT69" s="179">
        <f>IFERROR(__xludf.DUMMYFUNCTION("""COMPUTED_VALUE"""),0.0)</f>
        <v>0</v>
      </c>
      <c r="FU69" s="180">
        <f>IFERROR(__xludf.DUMMYFUNCTION("""COMPUTED_VALUE"""),45875.0)</f>
        <v>45875</v>
      </c>
      <c r="FV69" s="179">
        <f>IFERROR(__xludf.DUMMYFUNCTION("""COMPUTED_VALUE"""),0.0)</f>
        <v>0</v>
      </c>
      <c r="FW69" s="180">
        <f>IFERROR(__xludf.DUMMYFUNCTION("""COMPUTED_VALUE"""),45875.0)</f>
        <v>45875</v>
      </c>
      <c r="FX69" s="179">
        <f>IFERROR(__xludf.DUMMYFUNCTION("""COMPUTED_VALUE"""),0.0)</f>
        <v>0</v>
      </c>
      <c r="FY69" s="180">
        <f>IFERROR(__xludf.DUMMYFUNCTION("""COMPUTED_VALUE"""),45783.0)</f>
        <v>45783</v>
      </c>
      <c r="FZ69" s="179">
        <f>IFERROR(__xludf.DUMMYFUNCTION("""COMPUTED_VALUE"""),0.0)</f>
        <v>0</v>
      </c>
      <c r="GA69" s="182">
        <f>IFERROR(__xludf.DUMMYFUNCTION("""COMPUTED_VALUE"""),45875.0)</f>
        <v>45875</v>
      </c>
      <c r="GB69" s="179">
        <f>IFERROR(__xludf.DUMMYFUNCTION("""COMPUTED_VALUE"""),0.0)</f>
        <v>0</v>
      </c>
      <c r="GC69" s="180">
        <f>IFERROR(__xludf.DUMMYFUNCTION("""COMPUTED_VALUE"""),45844.0)</f>
        <v>45844</v>
      </c>
      <c r="GD69" s="179">
        <f>IFERROR(__xludf.DUMMYFUNCTION("""COMPUTED_VALUE"""),0.0)</f>
        <v>0</v>
      </c>
      <c r="GE69" s="180">
        <f>IFERROR(__xludf.DUMMYFUNCTION("""COMPUTED_VALUE"""),45844.0)</f>
        <v>45844</v>
      </c>
      <c r="GF69" s="179">
        <f>IFERROR(__xludf.DUMMYFUNCTION("""COMPUTED_VALUE"""),0.0)</f>
        <v>0</v>
      </c>
      <c r="GG69" s="180">
        <f>IFERROR(__xludf.DUMMYFUNCTION("""COMPUTED_VALUE"""),45844.0)</f>
        <v>45844</v>
      </c>
      <c r="GH69" s="179">
        <f>IFERROR(__xludf.DUMMYFUNCTION("""COMPUTED_VALUE"""),0.0)</f>
        <v>0</v>
      </c>
      <c r="GI69" s="180">
        <f>IFERROR(__xludf.DUMMYFUNCTION("""COMPUTED_VALUE"""),45875.0)</f>
        <v>45875</v>
      </c>
      <c r="GJ69" s="179">
        <f>IFERROR(__xludf.DUMMYFUNCTION("""COMPUTED_VALUE"""),0.0)</f>
        <v>0</v>
      </c>
      <c r="GK69" s="180">
        <f>IFERROR(__xludf.DUMMYFUNCTION("""COMPUTED_VALUE"""),45875.0)</f>
        <v>45875</v>
      </c>
      <c r="GL69" s="179">
        <f>IFERROR(__xludf.DUMMYFUNCTION("""COMPUTED_VALUE"""),0.0)</f>
        <v>0</v>
      </c>
      <c r="GM69" s="180">
        <f>IFERROR(__xludf.DUMMYFUNCTION("""COMPUTED_VALUE"""),45783.0)</f>
        <v>45783</v>
      </c>
      <c r="GN69" s="179">
        <f>IFERROR(__xludf.DUMMYFUNCTION("""COMPUTED_VALUE"""),0.0)</f>
        <v>0</v>
      </c>
      <c r="GO69" s="180">
        <f>IFERROR(__xludf.DUMMYFUNCTION("""COMPUTED_VALUE"""),45875.0)</f>
        <v>45875</v>
      </c>
      <c r="GP69" s="179">
        <f>IFERROR(__xludf.DUMMYFUNCTION("""COMPUTED_VALUE"""),0.0)</f>
        <v>0</v>
      </c>
      <c r="GQ69" s="180">
        <f>IFERROR(__xludf.DUMMYFUNCTION("""COMPUTED_VALUE"""),45875.0)</f>
        <v>45875</v>
      </c>
      <c r="GR69" s="179">
        <f>IFERROR(__xludf.DUMMYFUNCTION("""COMPUTED_VALUE"""),0.0)</f>
        <v>0</v>
      </c>
      <c r="GS69" s="180">
        <f>IFERROR(__xludf.DUMMYFUNCTION("""COMPUTED_VALUE"""),45814.0)</f>
        <v>45814</v>
      </c>
      <c r="GT69" s="179">
        <f>IFERROR(__xludf.DUMMYFUNCTION("""COMPUTED_VALUE"""),0.0)</f>
        <v>0</v>
      </c>
    </row>
    <row r="70" ht="31.5" customHeight="1">
      <c r="B70" s="183"/>
      <c r="C70" s="178">
        <f>IFERROR(__xludf.DUMMYFUNCTION("""COMPUTED_VALUE"""),45876.0)</f>
        <v>45876</v>
      </c>
      <c r="D70" s="179">
        <f>IFERROR(__xludf.DUMMYFUNCTION("""COMPUTED_VALUE"""),0.0)</f>
        <v>0</v>
      </c>
      <c r="E70" s="180">
        <f>IFERROR(__xludf.DUMMYFUNCTION("""COMPUTED_VALUE"""),45815.0)</f>
        <v>45815</v>
      </c>
      <c r="F70" s="179">
        <f>IFERROR(__xludf.DUMMYFUNCTION("""COMPUTED_VALUE"""),0.0)</f>
        <v>0</v>
      </c>
      <c r="G70" s="180">
        <f>IFERROR(__xludf.DUMMYFUNCTION("""COMPUTED_VALUE"""),45815.0)</f>
        <v>45815</v>
      </c>
      <c r="H70" s="179">
        <f>IFERROR(__xludf.DUMMYFUNCTION("""COMPUTED_VALUE"""),0.0)</f>
        <v>0</v>
      </c>
      <c r="I70" s="180">
        <f>IFERROR(__xludf.DUMMYFUNCTION("""COMPUTED_VALUE"""),45876.0)</f>
        <v>45876</v>
      </c>
      <c r="J70" s="179">
        <f>IFERROR(__xludf.DUMMYFUNCTION("""COMPUTED_VALUE"""),0.0)</f>
        <v>0</v>
      </c>
      <c r="K70" s="180">
        <f>IFERROR(__xludf.DUMMYFUNCTION("""COMPUTED_VALUE"""),45845.0)</f>
        <v>45845</v>
      </c>
      <c r="L70" s="179">
        <f>IFERROR(__xludf.DUMMYFUNCTION("""COMPUTED_VALUE"""),0.0)</f>
        <v>0</v>
      </c>
      <c r="M70" s="180">
        <f>IFERROR(__xludf.DUMMYFUNCTION("""COMPUTED_VALUE"""),45876.0)</f>
        <v>45876</v>
      </c>
      <c r="N70" s="179">
        <f>IFERROR(__xludf.DUMMYFUNCTION("""COMPUTED_VALUE"""),0.0)</f>
        <v>0</v>
      </c>
      <c r="O70" s="180">
        <f>IFERROR(__xludf.DUMMYFUNCTION("""COMPUTED_VALUE"""),45815.0)</f>
        <v>45815</v>
      </c>
      <c r="P70" s="179">
        <f>IFERROR(__xludf.DUMMYFUNCTION("""COMPUTED_VALUE"""),0.0)</f>
        <v>0</v>
      </c>
      <c r="Q70" s="180">
        <f>IFERROR(__xludf.DUMMYFUNCTION("""COMPUTED_VALUE"""),45876.0)</f>
        <v>45876</v>
      </c>
      <c r="R70" s="179">
        <f>IFERROR(__xludf.DUMMYFUNCTION("""COMPUTED_VALUE"""),0.0)</f>
        <v>0</v>
      </c>
      <c r="S70" s="180">
        <f>IFERROR(__xludf.DUMMYFUNCTION("""COMPUTED_VALUE"""),45815.0)</f>
        <v>45815</v>
      </c>
      <c r="T70" s="179">
        <f>IFERROR(__xludf.DUMMYFUNCTION("""COMPUTED_VALUE"""),0.0)</f>
        <v>0</v>
      </c>
      <c r="U70" s="180">
        <f>IFERROR(__xludf.DUMMYFUNCTION("""COMPUTED_VALUE"""),45845.0)</f>
        <v>45845</v>
      </c>
      <c r="V70" s="181">
        <f>IFERROR(__xludf.DUMMYFUNCTION("""COMPUTED_VALUE"""),0.0)</f>
        <v>0</v>
      </c>
      <c r="W70" s="178">
        <f>IFERROR(__xludf.DUMMYFUNCTION("""COMPUTED_VALUE"""),45876.0)</f>
        <v>45876</v>
      </c>
      <c r="X70" s="179">
        <f>IFERROR(__xludf.DUMMYFUNCTION("""COMPUTED_VALUE"""),0.0)</f>
        <v>0</v>
      </c>
      <c r="Y70" s="180">
        <f>IFERROR(__xludf.DUMMYFUNCTION("""COMPUTED_VALUE"""),45723.0)</f>
        <v>45723</v>
      </c>
      <c r="Z70" s="179">
        <f>IFERROR(__xludf.DUMMYFUNCTION("""COMPUTED_VALUE"""),0.0)</f>
        <v>0</v>
      </c>
      <c r="AA70" s="180">
        <f>IFERROR(__xludf.DUMMYFUNCTION("""COMPUTED_VALUE"""),45845.0)</f>
        <v>45845</v>
      </c>
      <c r="AB70" s="179">
        <f>IFERROR(__xludf.DUMMYFUNCTION("""COMPUTED_VALUE"""),0.0)</f>
        <v>0</v>
      </c>
      <c r="AC70" s="180">
        <f>IFERROR(__xludf.DUMMYFUNCTION("""COMPUTED_VALUE"""),45664.0)</f>
        <v>45664</v>
      </c>
      <c r="AD70" s="179">
        <f>IFERROR(__xludf.DUMMYFUNCTION("""COMPUTED_VALUE"""),0.0)</f>
        <v>0</v>
      </c>
      <c r="AE70" s="180">
        <f>IFERROR(__xludf.DUMMYFUNCTION("""COMPUTED_VALUE"""),45754.0)</f>
        <v>45754</v>
      </c>
      <c r="AF70" s="179">
        <f>IFERROR(__xludf.DUMMYFUNCTION("""COMPUTED_VALUE"""),0.0)</f>
        <v>0</v>
      </c>
      <c r="AG70" s="180">
        <f>IFERROR(__xludf.DUMMYFUNCTION("""COMPUTED_VALUE"""),45876.0)</f>
        <v>45876</v>
      </c>
      <c r="AH70" s="179">
        <f>IFERROR(__xludf.DUMMYFUNCTION("""COMPUTED_VALUE"""),0.0)</f>
        <v>0</v>
      </c>
      <c r="AI70" s="180">
        <f>IFERROR(__xludf.DUMMYFUNCTION("""COMPUTED_VALUE"""),45695.0)</f>
        <v>45695</v>
      </c>
      <c r="AJ70" s="179">
        <f>IFERROR(__xludf.DUMMYFUNCTION("""COMPUTED_VALUE"""),0.0)</f>
        <v>0</v>
      </c>
      <c r="AK70" s="180">
        <f>IFERROR(__xludf.DUMMYFUNCTION("""COMPUTED_VALUE"""),45784.0)</f>
        <v>45784</v>
      </c>
      <c r="AL70" s="179">
        <f>IFERROR(__xludf.DUMMYFUNCTION("""COMPUTED_VALUE"""),0.0)</f>
        <v>0</v>
      </c>
      <c r="AM70" s="180">
        <f>IFERROR(__xludf.DUMMYFUNCTION("""COMPUTED_VALUE"""),45876.0)</f>
        <v>45876</v>
      </c>
      <c r="AN70" s="179">
        <f>IFERROR(__xludf.DUMMYFUNCTION("""COMPUTED_VALUE"""),0.0)</f>
        <v>0</v>
      </c>
      <c r="AO70" s="180">
        <f>IFERROR(__xludf.DUMMYFUNCTION("""COMPUTED_VALUE"""),45754.0)</f>
        <v>45754</v>
      </c>
      <c r="AP70" s="181">
        <f>IFERROR(__xludf.DUMMYFUNCTION("""COMPUTED_VALUE"""),0.0)</f>
        <v>0</v>
      </c>
      <c r="AQ70" s="178">
        <f>IFERROR(__xludf.DUMMYFUNCTION("""COMPUTED_VALUE"""),45876.0)</f>
        <v>45876</v>
      </c>
      <c r="AR70" s="179">
        <f>IFERROR(__xludf.DUMMYFUNCTION("""COMPUTED_VALUE"""),0.0)</f>
        <v>0</v>
      </c>
      <c r="AS70" s="180">
        <f>IFERROR(__xludf.DUMMYFUNCTION("""COMPUTED_VALUE"""),45876.0)</f>
        <v>45876</v>
      </c>
      <c r="AT70" s="179">
        <f>IFERROR(__xludf.DUMMYFUNCTION("""COMPUTED_VALUE"""),0.0)</f>
        <v>0</v>
      </c>
      <c r="AU70" s="180">
        <f>IFERROR(__xludf.DUMMYFUNCTION("""COMPUTED_VALUE"""),45845.0)</f>
        <v>45845</v>
      </c>
      <c r="AV70" s="179">
        <f>IFERROR(__xludf.DUMMYFUNCTION("""COMPUTED_VALUE"""),0.0)</f>
        <v>0</v>
      </c>
      <c r="AW70" s="180">
        <f>IFERROR(__xludf.DUMMYFUNCTION("""COMPUTED_VALUE"""),45845.0)</f>
        <v>45845</v>
      </c>
      <c r="AX70" s="179">
        <f>IFERROR(__xludf.DUMMYFUNCTION("""COMPUTED_VALUE"""),0.0)</f>
        <v>0</v>
      </c>
      <c r="AY70" s="180">
        <f>IFERROR(__xludf.DUMMYFUNCTION("""COMPUTED_VALUE"""),45876.0)</f>
        <v>45876</v>
      </c>
      <c r="AZ70" s="179">
        <f>IFERROR(__xludf.DUMMYFUNCTION("""COMPUTED_VALUE"""),0.0)</f>
        <v>0</v>
      </c>
      <c r="BA70" s="180">
        <f>IFERROR(__xludf.DUMMYFUNCTION("""COMPUTED_VALUE"""),45876.0)</f>
        <v>45876</v>
      </c>
      <c r="BB70" s="179">
        <f>IFERROR(__xludf.DUMMYFUNCTION("""COMPUTED_VALUE"""),0.0)</f>
        <v>0</v>
      </c>
      <c r="BC70" s="180">
        <f>IFERROR(__xludf.DUMMYFUNCTION("""COMPUTED_VALUE"""),45845.0)</f>
        <v>45845</v>
      </c>
      <c r="BD70" s="179">
        <f>IFERROR(__xludf.DUMMYFUNCTION("""COMPUTED_VALUE"""),0.0)</f>
        <v>0</v>
      </c>
      <c r="BE70" s="180">
        <f>IFERROR(__xludf.DUMMYFUNCTION("""COMPUTED_VALUE"""),45876.0)</f>
        <v>45876</v>
      </c>
      <c r="BF70" s="179">
        <f>IFERROR(__xludf.DUMMYFUNCTION("""COMPUTED_VALUE"""),0.0)</f>
        <v>0</v>
      </c>
      <c r="BG70" s="180">
        <f>IFERROR(__xludf.DUMMYFUNCTION("""COMPUTED_VALUE"""),45845.0)</f>
        <v>45845</v>
      </c>
      <c r="BH70" s="179">
        <f>IFERROR(__xludf.DUMMYFUNCTION("""COMPUTED_VALUE"""),0.0)</f>
        <v>0</v>
      </c>
      <c r="BI70" s="180">
        <f>IFERROR(__xludf.DUMMYFUNCTION("""COMPUTED_VALUE"""),45876.0)</f>
        <v>45876</v>
      </c>
      <c r="BJ70" s="179">
        <f>IFERROR(__xludf.DUMMYFUNCTION("""COMPUTED_VALUE"""),0.0)</f>
        <v>0</v>
      </c>
      <c r="BK70" s="182">
        <f>IFERROR(__xludf.DUMMYFUNCTION("""COMPUTED_VALUE"""),45876.0)</f>
        <v>45876</v>
      </c>
      <c r="BL70" s="179">
        <f>IFERROR(__xludf.DUMMYFUNCTION("""COMPUTED_VALUE"""),0.0)</f>
        <v>0</v>
      </c>
      <c r="BM70" s="180">
        <f>IFERROR(__xludf.DUMMYFUNCTION("""COMPUTED_VALUE"""),45876.0)</f>
        <v>45876</v>
      </c>
      <c r="BN70" s="179">
        <f>IFERROR(__xludf.DUMMYFUNCTION("""COMPUTED_VALUE"""),0.0)</f>
        <v>0</v>
      </c>
      <c r="BO70" s="180">
        <f>IFERROR(__xludf.DUMMYFUNCTION("""COMPUTED_VALUE"""),45845.0)</f>
        <v>45845</v>
      </c>
      <c r="BP70" s="179">
        <f>IFERROR(__xludf.DUMMYFUNCTION("""COMPUTED_VALUE"""),0.0)</f>
        <v>0</v>
      </c>
      <c r="BQ70" s="180">
        <f>IFERROR(__xludf.DUMMYFUNCTION("""COMPUTED_VALUE"""),45845.0)</f>
        <v>45845</v>
      </c>
      <c r="BR70" s="179">
        <f>IFERROR(__xludf.DUMMYFUNCTION("""COMPUTED_VALUE"""),0.0)</f>
        <v>0</v>
      </c>
      <c r="BS70" s="180">
        <f>IFERROR(__xludf.DUMMYFUNCTION("""COMPUTED_VALUE"""),45876.0)</f>
        <v>45876</v>
      </c>
      <c r="BT70" s="179">
        <f>IFERROR(__xludf.DUMMYFUNCTION("""COMPUTED_VALUE"""),0.0)</f>
        <v>0</v>
      </c>
      <c r="BU70" s="180">
        <f>IFERROR(__xludf.DUMMYFUNCTION("""COMPUTED_VALUE"""),45876.0)</f>
        <v>45876</v>
      </c>
      <c r="BV70" s="179">
        <f>IFERROR(__xludf.DUMMYFUNCTION("""COMPUTED_VALUE"""),0.0)</f>
        <v>0</v>
      </c>
      <c r="BW70" s="180">
        <f>IFERROR(__xludf.DUMMYFUNCTION("""COMPUTED_VALUE"""),45876.0)</f>
        <v>45876</v>
      </c>
      <c r="BX70" s="179">
        <f>IFERROR(__xludf.DUMMYFUNCTION("""COMPUTED_VALUE"""),0.0)</f>
        <v>0</v>
      </c>
      <c r="BY70" s="180">
        <f>IFERROR(__xludf.DUMMYFUNCTION("""COMPUTED_VALUE"""),45845.0)</f>
        <v>45845</v>
      </c>
      <c r="BZ70" s="179">
        <f>IFERROR(__xludf.DUMMYFUNCTION("""COMPUTED_VALUE"""),0.0)</f>
        <v>0</v>
      </c>
      <c r="CA70" s="180">
        <f>IFERROR(__xludf.DUMMYFUNCTION("""COMPUTED_VALUE"""),45876.0)</f>
        <v>45876</v>
      </c>
      <c r="CB70" s="179">
        <f>IFERROR(__xludf.DUMMYFUNCTION("""COMPUTED_VALUE"""),0.0)</f>
        <v>0</v>
      </c>
      <c r="CC70" s="180">
        <f>IFERROR(__xludf.DUMMYFUNCTION("""COMPUTED_VALUE"""),45876.0)</f>
        <v>45876</v>
      </c>
      <c r="CD70" s="179">
        <f>IFERROR(__xludf.DUMMYFUNCTION("""COMPUTED_VALUE"""),0.0)</f>
        <v>0</v>
      </c>
      <c r="CE70" s="182">
        <f>IFERROR(__xludf.DUMMYFUNCTION("""COMPUTED_VALUE"""),45876.0)</f>
        <v>45876</v>
      </c>
      <c r="CF70" s="179">
        <f>IFERROR(__xludf.DUMMYFUNCTION("""COMPUTED_VALUE"""),0.0)</f>
        <v>0</v>
      </c>
      <c r="CG70" s="180">
        <f>IFERROR(__xludf.DUMMYFUNCTION("""COMPUTED_VALUE"""),45754.0)</f>
        <v>45754</v>
      </c>
      <c r="CH70" s="179">
        <f>IFERROR(__xludf.DUMMYFUNCTION("""COMPUTED_VALUE"""),0.0)</f>
        <v>0</v>
      </c>
      <c r="CI70" s="180">
        <f>IFERROR(__xludf.DUMMYFUNCTION("""COMPUTED_VALUE"""),45754.0)</f>
        <v>45754</v>
      </c>
      <c r="CJ70" s="179">
        <f>IFERROR(__xludf.DUMMYFUNCTION("""COMPUTED_VALUE"""),0.0)</f>
        <v>0</v>
      </c>
      <c r="CK70" s="180">
        <f>IFERROR(__xludf.DUMMYFUNCTION("""COMPUTED_VALUE"""),45784.0)</f>
        <v>45784</v>
      </c>
      <c r="CL70" s="179">
        <f>IFERROR(__xludf.DUMMYFUNCTION("""COMPUTED_VALUE"""),0.0)</f>
        <v>0</v>
      </c>
      <c r="CM70" s="180">
        <f>IFERROR(__xludf.DUMMYFUNCTION("""COMPUTED_VALUE"""),45845.0)</f>
        <v>45845</v>
      </c>
      <c r="CN70" s="179">
        <f>IFERROR(__xludf.DUMMYFUNCTION("""COMPUTED_VALUE"""),0.0)</f>
        <v>0</v>
      </c>
      <c r="CO70" s="180">
        <f>IFERROR(__xludf.DUMMYFUNCTION("""COMPUTED_VALUE"""),45815.0)</f>
        <v>45815</v>
      </c>
      <c r="CP70" s="179">
        <f>IFERROR(__xludf.DUMMYFUNCTION("""COMPUTED_VALUE"""),0.0)</f>
        <v>0</v>
      </c>
      <c r="CQ70" s="180">
        <f>IFERROR(__xludf.DUMMYFUNCTION("""COMPUTED_VALUE"""),45754.0)</f>
        <v>45754</v>
      </c>
      <c r="CR70" s="179">
        <f>IFERROR(__xludf.DUMMYFUNCTION("""COMPUTED_VALUE"""),0.0)</f>
        <v>0</v>
      </c>
      <c r="CS70" s="180">
        <f>IFERROR(__xludf.DUMMYFUNCTION("""COMPUTED_VALUE"""),45815.0)</f>
        <v>45815</v>
      </c>
      <c r="CT70" s="179">
        <f>IFERROR(__xludf.DUMMYFUNCTION("""COMPUTED_VALUE"""),0.0)</f>
        <v>0</v>
      </c>
      <c r="CU70" s="180">
        <f>IFERROR(__xludf.DUMMYFUNCTION("""COMPUTED_VALUE"""),45876.0)</f>
        <v>45876</v>
      </c>
      <c r="CV70" s="179">
        <f>IFERROR(__xludf.DUMMYFUNCTION("""COMPUTED_VALUE"""),0.0)</f>
        <v>0</v>
      </c>
      <c r="CW70" s="180">
        <f>IFERROR(__xludf.DUMMYFUNCTION("""COMPUTED_VALUE"""),45936.0)</f>
        <v>45936</v>
      </c>
      <c r="CX70" s="179">
        <f>IFERROR(__xludf.DUMMYFUNCTION("""COMPUTED_VALUE"""),0.0)</f>
        <v>0</v>
      </c>
      <c r="CY70" s="182">
        <f>IFERROR(__xludf.DUMMYFUNCTION("""COMPUTED_VALUE"""),45876.0)</f>
        <v>45876</v>
      </c>
      <c r="CZ70" s="179">
        <f>IFERROR(__xludf.DUMMYFUNCTION("""COMPUTED_VALUE"""),0.0)</f>
        <v>0</v>
      </c>
      <c r="DA70" s="180">
        <f>IFERROR(__xludf.DUMMYFUNCTION("""COMPUTED_VALUE"""),45876.0)</f>
        <v>45876</v>
      </c>
      <c r="DB70" s="179">
        <f>IFERROR(__xludf.DUMMYFUNCTION("""COMPUTED_VALUE"""),0.0)</f>
        <v>0</v>
      </c>
      <c r="DC70" s="180">
        <f>IFERROR(__xludf.DUMMYFUNCTION("""COMPUTED_VALUE"""),45815.0)</f>
        <v>45815</v>
      </c>
      <c r="DD70" s="179">
        <f>IFERROR(__xludf.DUMMYFUNCTION("""COMPUTED_VALUE"""),0.0)</f>
        <v>0</v>
      </c>
      <c r="DE70" s="180">
        <f>IFERROR(__xludf.DUMMYFUNCTION("""COMPUTED_VALUE"""),45876.0)</f>
        <v>45876</v>
      </c>
      <c r="DF70" s="179">
        <f>IFERROR(__xludf.DUMMYFUNCTION("""COMPUTED_VALUE"""),0.0)</f>
        <v>0</v>
      </c>
      <c r="DG70" s="180">
        <f>IFERROR(__xludf.DUMMYFUNCTION("""COMPUTED_VALUE"""),45876.0)</f>
        <v>45876</v>
      </c>
      <c r="DH70" s="179">
        <f>IFERROR(__xludf.DUMMYFUNCTION("""COMPUTED_VALUE"""),0.0)</f>
        <v>0</v>
      </c>
      <c r="DI70" s="180">
        <f>IFERROR(__xludf.DUMMYFUNCTION("""COMPUTED_VALUE"""),45876.0)</f>
        <v>45876</v>
      </c>
      <c r="DJ70" s="179">
        <f>IFERROR(__xludf.DUMMYFUNCTION("""COMPUTED_VALUE"""),0.0)</f>
        <v>0</v>
      </c>
      <c r="DK70" s="180">
        <f>IFERROR(__xludf.DUMMYFUNCTION("""COMPUTED_VALUE"""),45876.0)</f>
        <v>45876</v>
      </c>
      <c r="DL70" s="179">
        <f>IFERROR(__xludf.DUMMYFUNCTION("""COMPUTED_VALUE"""),0.0)</f>
        <v>0</v>
      </c>
      <c r="DM70" s="180">
        <f>IFERROR(__xludf.DUMMYFUNCTION("""COMPUTED_VALUE"""),45876.0)</f>
        <v>45876</v>
      </c>
      <c r="DN70" s="179">
        <f>IFERROR(__xludf.DUMMYFUNCTION("""COMPUTED_VALUE"""),0.0)</f>
        <v>0</v>
      </c>
      <c r="DO70" s="180">
        <f>IFERROR(__xludf.DUMMYFUNCTION("""COMPUTED_VALUE"""),45876.0)</f>
        <v>45876</v>
      </c>
      <c r="DP70" s="179">
        <f>IFERROR(__xludf.DUMMYFUNCTION("""COMPUTED_VALUE"""),0.0)</f>
        <v>0</v>
      </c>
      <c r="DQ70" s="180">
        <f>IFERROR(__xludf.DUMMYFUNCTION("""COMPUTED_VALUE"""),45815.0)</f>
        <v>45815</v>
      </c>
      <c r="DR70" s="179">
        <f>IFERROR(__xludf.DUMMYFUNCTION("""COMPUTED_VALUE"""),0.0)</f>
        <v>0</v>
      </c>
      <c r="DS70" s="182">
        <f>IFERROR(__xludf.DUMMYFUNCTION("""COMPUTED_VALUE"""),45875.0)</f>
        <v>45875</v>
      </c>
      <c r="DT70" s="179">
        <f>IFERROR(__xludf.DUMMYFUNCTION("""COMPUTED_VALUE"""),0.0)</f>
        <v>0</v>
      </c>
      <c r="DU70" s="180">
        <f>IFERROR(__xludf.DUMMYFUNCTION("""COMPUTED_VALUE"""),45875.0)</f>
        <v>45875</v>
      </c>
      <c r="DV70" s="179">
        <f>IFERROR(__xludf.DUMMYFUNCTION("""COMPUTED_VALUE"""),0.0)</f>
        <v>0</v>
      </c>
      <c r="DW70" s="180">
        <f>IFERROR(__xludf.DUMMYFUNCTION("""COMPUTED_VALUE"""),45875.0)</f>
        <v>45875</v>
      </c>
      <c r="DX70" s="179">
        <f>IFERROR(__xludf.DUMMYFUNCTION("""COMPUTED_VALUE"""),0.0)</f>
        <v>0</v>
      </c>
      <c r="DY70" s="180">
        <f>IFERROR(__xludf.DUMMYFUNCTION("""COMPUTED_VALUE"""),45875.0)</f>
        <v>45875</v>
      </c>
      <c r="DZ70" s="179">
        <f>IFERROR(__xludf.DUMMYFUNCTION("""COMPUTED_VALUE"""),0.0)</f>
        <v>0</v>
      </c>
      <c r="EA70" s="180">
        <f>IFERROR(__xludf.DUMMYFUNCTION("""COMPUTED_VALUE"""),45906.0)</f>
        <v>45906</v>
      </c>
      <c r="EB70" s="179">
        <f>IFERROR(__xludf.DUMMYFUNCTION("""COMPUTED_VALUE"""),0.0)</f>
        <v>0</v>
      </c>
      <c r="EC70" s="180">
        <f>IFERROR(__xludf.DUMMYFUNCTION("""COMPUTED_VALUE"""),45875.0)</f>
        <v>45875</v>
      </c>
      <c r="ED70" s="179">
        <f>IFERROR(__xludf.DUMMYFUNCTION("""COMPUTED_VALUE"""),0.0)</f>
        <v>0</v>
      </c>
      <c r="EE70" s="180">
        <f>IFERROR(__xludf.DUMMYFUNCTION("""COMPUTED_VALUE"""),45814.0)</f>
        <v>45814</v>
      </c>
      <c r="EF70" s="179">
        <f>IFERROR(__xludf.DUMMYFUNCTION("""COMPUTED_VALUE"""),0.0)</f>
        <v>0</v>
      </c>
      <c r="EG70" s="180">
        <f>IFERROR(__xludf.DUMMYFUNCTION("""COMPUTED_VALUE"""),45875.0)</f>
        <v>45875</v>
      </c>
      <c r="EH70" s="179">
        <f>IFERROR(__xludf.DUMMYFUNCTION("""COMPUTED_VALUE"""),0.0)</f>
        <v>0</v>
      </c>
      <c r="EI70" s="180">
        <f>IFERROR(__xludf.DUMMYFUNCTION("""COMPUTED_VALUE"""),45875.0)</f>
        <v>45875</v>
      </c>
      <c r="EJ70" s="179">
        <f>IFERROR(__xludf.DUMMYFUNCTION("""COMPUTED_VALUE"""),0.0)</f>
        <v>0</v>
      </c>
      <c r="EK70" s="180">
        <f>IFERROR(__xludf.DUMMYFUNCTION("""COMPUTED_VALUE"""),45844.0)</f>
        <v>45844</v>
      </c>
      <c r="EL70" s="179">
        <f>IFERROR(__xludf.DUMMYFUNCTION("""COMPUTED_VALUE"""),0.0)</f>
        <v>0</v>
      </c>
      <c r="EM70" s="182">
        <f>IFERROR(__xludf.DUMMYFUNCTION("""COMPUTED_VALUE"""),45783.0)</f>
        <v>45783</v>
      </c>
      <c r="EN70" s="179">
        <f>IFERROR(__xludf.DUMMYFUNCTION("""COMPUTED_VALUE"""),0.0)</f>
        <v>0</v>
      </c>
      <c r="EO70" s="180">
        <f>IFERROR(__xludf.DUMMYFUNCTION("""COMPUTED_VALUE"""),45906.0)</f>
        <v>45906</v>
      </c>
      <c r="EP70" s="179">
        <f>IFERROR(__xludf.DUMMYFUNCTION("""COMPUTED_VALUE"""),0.0)</f>
        <v>0</v>
      </c>
      <c r="EQ70" s="180">
        <f>IFERROR(__xludf.DUMMYFUNCTION("""COMPUTED_VALUE"""),45875.0)</f>
        <v>45875</v>
      </c>
      <c r="ER70" s="179">
        <f>IFERROR(__xludf.DUMMYFUNCTION("""COMPUTED_VALUE"""),0.0)</f>
        <v>0</v>
      </c>
      <c r="ES70" s="180">
        <f>IFERROR(__xludf.DUMMYFUNCTION("""COMPUTED_VALUE"""),45906.0)</f>
        <v>45906</v>
      </c>
      <c r="ET70" s="179">
        <f>IFERROR(__xludf.DUMMYFUNCTION("""COMPUTED_VALUE"""),0.0)</f>
        <v>0</v>
      </c>
      <c r="EU70" s="180">
        <f>IFERROR(__xludf.DUMMYFUNCTION("""COMPUTED_VALUE"""),45875.0)</f>
        <v>45875</v>
      </c>
      <c r="EV70" s="179">
        <f>IFERROR(__xludf.DUMMYFUNCTION("""COMPUTED_VALUE"""),0.0)</f>
        <v>0</v>
      </c>
      <c r="EW70" s="180">
        <f>IFERROR(__xludf.DUMMYFUNCTION("""COMPUTED_VALUE"""),45906.0)</f>
        <v>45906</v>
      </c>
      <c r="EX70" s="179">
        <f>IFERROR(__xludf.DUMMYFUNCTION("""COMPUTED_VALUE"""),0.0)</f>
        <v>0</v>
      </c>
      <c r="EY70" s="180">
        <f>IFERROR(__xludf.DUMMYFUNCTION("""COMPUTED_VALUE"""),45906.0)</f>
        <v>45906</v>
      </c>
      <c r="EZ70" s="179">
        <f>IFERROR(__xludf.DUMMYFUNCTION("""COMPUTED_VALUE"""),0.0)</f>
        <v>0</v>
      </c>
      <c r="FA70" s="180">
        <f>IFERROR(__xludf.DUMMYFUNCTION("""COMPUTED_VALUE"""),45875.0)</f>
        <v>45875</v>
      </c>
      <c r="FB70" s="179">
        <f>IFERROR(__xludf.DUMMYFUNCTION("""COMPUTED_VALUE"""),0.0)</f>
        <v>0</v>
      </c>
      <c r="FC70" s="180">
        <f>IFERROR(__xludf.DUMMYFUNCTION("""COMPUTED_VALUE"""),45906.0)</f>
        <v>45906</v>
      </c>
      <c r="FD70" s="179">
        <f>IFERROR(__xludf.DUMMYFUNCTION("""COMPUTED_VALUE"""),0.0)</f>
        <v>0</v>
      </c>
      <c r="FE70" s="180">
        <f>IFERROR(__xludf.DUMMYFUNCTION("""COMPUTED_VALUE"""),45783.0)</f>
        <v>45783</v>
      </c>
      <c r="FF70" s="179">
        <f>IFERROR(__xludf.DUMMYFUNCTION("""COMPUTED_VALUE"""),0.0)</f>
        <v>0</v>
      </c>
      <c r="FG70" s="182">
        <f>IFERROR(__xludf.DUMMYFUNCTION("""COMPUTED_VALUE"""),45906.0)</f>
        <v>45906</v>
      </c>
      <c r="FH70" s="179">
        <f>IFERROR(__xludf.DUMMYFUNCTION("""COMPUTED_VALUE"""),0.0)</f>
        <v>0</v>
      </c>
      <c r="FI70" s="180">
        <f>IFERROR(__xludf.DUMMYFUNCTION("""COMPUTED_VALUE"""),45875.0)</f>
        <v>45875</v>
      </c>
      <c r="FJ70" s="179">
        <f>IFERROR(__xludf.DUMMYFUNCTION("""COMPUTED_VALUE"""),0.0)</f>
        <v>0</v>
      </c>
      <c r="FK70" s="180">
        <f>IFERROR(__xludf.DUMMYFUNCTION("""COMPUTED_VALUE"""),45722.0)</f>
        <v>45722</v>
      </c>
      <c r="FL70" s="179">
        <f>IFERROR(__xludf.DUMMYFUNCTION("""COMPUTED_VALUE"""),0.0)</f>
        <v>0</v>
      </c>
      <c r="FM70" s="180">
        <f>IFERROR(__xludf.DUMMYFUNCTION("""COMPUTED_VALUE"""),45906.0)</f>
        <v>45906</v>
      </c>
      <c r="FN70" s="179">
        <f>IFERROR(__xludf.DUMMYFUNCTION("""COMPUTED_VALUE"""),0.0)</f>
        <v>0</v>
      </c>
      <c r="FO70" s="180">
        <f>IFERROR(__xludf.DUMMYFUNCTION("""COMPUTED_VALUE"""),45906.0)</f>
        <v>45906</v>
      </c>
      <c r="FP70" s="179">
        <f>IFERROR(__xludf.DUMMYFUNCTION("""COMPUTED_VALUE"""),0.0)</f>
        <v>0</v>
      </c>
      <c r="FQ70" s="180">
        <f>IFERROR(__xludf.DUMMYFUNCTION("""COMPUTED_VALUE"""),45906.0)</f>
        <v>45906</v>
      </c>
      <c r="FR70" s="179">
        <f>IFERROR(__xludf.DUMMYFUNCTION("""COMPUTED_VALUE"""),0.0)</f>
        <v>0</v>
      </c>
      <c r="FS70" s="180">
        <f>IFERROR(__xludf.DUMMYFUNCTION("""COMPUTED_VALUE"""),45875.0)</f>
        <v>45875</v>
      </c>
      <c r="FT70" s="179">
        <f>IFERROR(__xludf.DUMMYFUNCTION("""COMPUTED_VALUE"""),0.0)</f>
        <v>0</v>
      </c>
      <c r="FU70" s="180">
        <f>IFERROR(__xludf.DUMMYFUNCTION("""COMPUTED_VALUE"""),45906.0)</f>
        <v>45906</v>
      </c>
      <c r="FV70" s="179">
        <f>IFERROR(__xludf.DUMMYFUNCTION("""COMPUTED_VALUE"""),0.0)</f>
        <v>0</v>
      </c>
      <c r="FW70" s="180">
        <f>IFERROR(__xludf.DUMMYFUNCTION("""COMPUTED_VALUE"""),45906.0)</f>
        <v>45906</v>
      </c>
      <c r="FX70" s="179">
        <f>IFERROR(__xludf.DUMMYFUNCTION("""COMPUTED_VALUE"""),0.0)</f>
        <v>0</v>
      </c>
      <c r="FY70" s="180">
        <f>IFERROR(__xludf.DUMMYFUNCTION("""COMPUTED_VALUE"""),45814.0)</f>
        <v>45814</v>
      </c>
      <c r="FZ70" s="179">
        <f>IFERROR(__xludf.DUMMYFUNCTION("""COMPUTED_VALUE"""),0.0)</f>
        <v>0</v>
      </c>
      <c r="GA70" s="182">
        <f>IFERROR(__xludf.DUMMYFUNCTION("""COMPUTED_VALUE"""),45906.0)</f>
        <v>45906</v>
      </c>
      <c r="GB70" s="179">
        <f>IFERROR(__xludf.DUMMYFUNCTION("""COMPUTED_VALUE"""),0.0)</f>
        <v>0</v>
      </c>
      <c r="GC70" s="180">
        <f>IFERROR(__xludf.DUMMYFUNCTION("""COMPUTED_VALUE"""),45875.0)</f>
        <v>45875</v>
      </c>
      <c r="GD70" s="179">
        <f>IFERROR(__xludf.DUMMYFUNCTION("""COMPUTED_VALUE"""),0.0)</f>
        <v>0</v>
      </c>
      <c r="GE70" s="180">
        <f>IFERROR(__xludf.DUMMYFUNCTION("""COMPUTED_VALUE"""),45875.0)</f>
        <v>45875</v>
      </c>
      <c r="GF70" s="179">
        <f>IFERROR(__xludf.DUMMYFUNCTION("""COMPUTED_VALUE"""),0.0)</f>
        <v>0</v>
      </c>
      <c r="GG70" s="180">
        <f>IFERROR(__xludf.DUMMYFUNCTION("""COMPUTED_VALUE"""),45875.0)</f>
        <v>45875</v>
      </c>
      <c r="GH70" s="179">
        <f>IFERROR(__xludf.DUMMYFUNCTION("""COMPUTED_VALUE"""),0.0)</f>
        <v>0</v>
      </c>
      <c r="GI70" s="180">
        <f>IFERROR(__xludf.DUMMYFUNCTION("""COMPUTED_VALUE"""),45906.0)</f>
        <v>45906</v>
      </c>
      <c r="GJ70" s="179">
        <f>IFERROR(__xludf.DUMMYFUNCTION("""COMPUTED_VALUE"""),0.0)</f>
        <v>0</v>
      </c>
      <c r="GK70" s="180">
        <f>IFERROR(__xludf.DUMMYFUNCTION("""COMPUTED_VALUE"""),45906.0)</f>
        <v>45906</v>
      </c>
      <c r="GL70" s="179">
        <f>IFERROR(__xludf.DUMMYFUNCTION("""COMPUTED_VALUE"""),0.0)</f>
        <v>0</v>
      </c>
      <c r="GM70" s="180">
        <f>IFERROR(__xludf.DUMMYFUNCTION("""COMPUTED_VALUE"""),45814.0)</f>
        <v>45814</v>
      </c>
      <c r="GN70" s="179">
        <f>IFERROR(__xludf.DUMMYFUNCTION("""COMPUTED_VALUE"""),0.0)</f>
        <v>0</v>
      </c>
      <c r="GO70" s="180">
        <f>IFERROR(__xludf.DUMMYFUNCTION("""COMPUTED_VALUE"""),45906.0)</f>
        <v>45906</v>
      </c>
      <c r="GP70" s="179">
        <f>IFERROR(__xludf.DUMMYFUNCTION("""COMPUTED_VALUE"""),0.0)</f>
        <v>0</v>
      </c>
      <c r="GQ70" s="180">
        <f>IFERROR(__xludf.DUMMYFUNCTION("""COMPUTED_VALUE"""),45906.0)</f>
        <v>45906</v>
      </c>
      <c r="GR70" s="179">
        <f>IFERROR(__xludf.DUMMYFUNCTION("""COMPUTED_VALUE"""),0.0)</f>
        <v>0</v>
      </c>
      <c r="GS70" s="180">
        <f>IFERROR(__xludf.DUMMYFUNCTION("""COMPUTED_VALUE"""),45844.0)</f>
        <v>45844</v>
      </c>
      <c r="GT70" s="179">
        <f>IFERROR(__xludf.DUMMYFUNCTION("""COMPUTED_VALUE"""),0.0)</f>
        <v>0</v>
      </c>
    </row>
    <row r="71" ht="31.5" customHeight="1">
      <c r="B71" s="183"/>
      <c r="C71" s="178">
        <f>IFERROR(__xludf.DUMMYFUNCTION("""COMPUTED_VALUE"""),45907.0)</f>
        <v>45907</v>
      </c>
      <c r="D71" s="179">
        <f>IFERROR(__xludf.DUMMYFUNCTION("""COMPUTED_VALUE"""),0.0)</f>
        <v>0</v>
      </c>
      <c r="E71" s="180">
        <f>IFERROR(__xludf.DUMMYFUNCTION("""COMPUTED_VALUE"""),45845.0)</f>
        <v>45845</v>
      </c>
      <c r="F71" s="179">
        <f>IFERROR(__xludf.DUMMYFUNCTION("""COMPUTED_VALUE"""),0.0)</f>
        <v>0</v>
      </c>
      <c r="G71" s="180">
        <f>IFERROR(__xludf.DUMMYFUNCTION("""COMPUTED_VALUE"""),45845.0)</f>
        <v>45845</v>
      </c>
      <c r="H71" s="179">
        <f>IFERROR(__xludf.DUMMYFUNCTION("""COMPUTED_VALUE"""),0.0)</f>
        <v>0</v>
      </c>
      <c r="I71" s="180">
        <f>IFERROR(__xludf.DUMMYFUNCTION("""COMPUTED_VALUE"""),45907.0)</f>
        <v>45907</v>
      </c>
      <c r="J71" s="179">
        <f>IFERROR(__xludf.DUMMYFUNCTION("""COMPUTED_VALUE"""),0.0)</f>
        <v>0</v>
      </c>
      <c r="K71" s="180">
        <f>IFERROR(__xludf.DUMMYFUNCTION("""COMPUTED_VALUE"""),45876.0)</f>
        <v>45876</v>
      </c>
      <c r="L71" s="179">
        <f>IFERROR(__xludf.DUMMYFUNCTION("""COMPUTED_VALUE"""),0.0)</f>
        <v>0</v>
      </c>
      <c r="M71" s="180">
        <f>IFERROR(__xludf.DUMMYFUNCTION("""COMPUTED_VALUE"""),45907.0)</f>
        <v>45907</v>
      </c>
      <c r="N71" s="179">
        <f>IFERROR(__xludf.DUMMYFUNCTION("""COMPUTED_VALUE"""),0.0)</f>
        <v>0</v>
      </c>
      <c r="O71" s="180">
        <f>IFERROR(__xludf.DUMMYFUNCTION("""COMPUTED_VALUE"""),45845.0)</f>
        <v>45845</v>
      </c>
      <c r="P71" s="179">
        <f>IFERROR(__xludf.DUMMYFUNCTION("""COMPUTED_VALUE"""),0.0)</f>
        <v>0</v>
      </c>
      <c r="Q71" s="180">
        <f>IFERROR(__xludf.DUMMYFUNCTION("""COMPUTED_VALUE"""),45907.0)</f>
        <v>45907</v>
      </c>
      <c r="R71" s="179">
        <f>IFERROR(__xludf.DUMMYFUNCTION("""COMPUTED_VALUE"""),0.0)</f>
        <v>0</v>
      </c>
      <c r="S71" s="180">
        <f>IFERROR(__xludf.DUMMYFUNCTION("""COMPUTED_VALUE"""),45845.0)</f>
        <v>45845</v>
      </c>
      <c r="T71" s="179">
        <f>IFERROR(__xludf.DUMMYFUNCTION("""COMPUTED_VALUE"""),0.0)</f>
        <v>0</v>
      </c>
      <c r="U71" s="180">
        <f>IFERROR(__xludf.DUMMYFUNCTION("""COMPUTED_VALUE"""),45876.0)</f>
        <v>45876</v>
      </c>
      <c r="V71" s="181">
        <f>IFERROR(__xludf.DUMMYFUNCTION("""COMPUTED_VALUE"""),0.0)</f>
        <v>0</v>
      </c>
      <c r="W71" s="178">
        <f>IFERROR(__xludf.DUMMYFUNCTION("""COMPUTED_VALUE"""),45907.0)</f>
        <v>45907</v>
      </c>
      <c r="X71" s="179">
        <f>IFERROR(__xludf.DUMMYFUNCTION("""COMPUTED_VALUE"""),0.0)</f>
        <v>0</v>
      </c>
      <c r="Y71" s="180">
        <f>IFERROR(__xludf.DUMMYFUNCTION("""COMPUTED_VALUE"""),45754.0)</f>
        <v>45754</v>
      </c>
      <c r="Z71" s="179">
        <f>IFERROR(__xludf.DUMMYFUNCTION("""COMPUTED_VALUE"""),0.0)</f>
        <v>0</v>
      </c>
      <c r="AA71" s="180">
        <f>IFERROR(__xludf.DUMMYFUNCTION("""COMPUTED_VALUE"""),45876.0)</f>
        <v>45876</v>
      </c>
      <c r="AB71" s="179">
        <f>IFERROR(__xludf.DUMMYFUNCTION("""COMPUTED_VALUE"""),0.0)</f>
        <v>0</v>
      </c>
      <c r="AC71" s="180">
        <f>IFERROR(__xludf.DUMMYFUNCTION("""COMPUTED_VALUE"""),45695.0)</f>
        <v>45695</v>
      </c>
      <c r="AD71" s="179">
        <f>IFERROR(__xludf.DUMMYFUNCTION("""COMPUTED_VALUE"""),0.0)</f>
        <v>0</v>
      </c>
      <c r="AE71" s="180">
        <f>IFERROR(__xludf.DUMMYFUNCTION("""COMPUTED_VALUE"""),45784.0)</f>
        <v>45784</v>
      </c>
      <c r="AF71" s="179">
        <f>IFERROR(__xludf.DUMMYFUNCTION("""COMPUTED_VALUE"""),0.0)</f>
        <v>0</v>
      </c>
      <c r="AG71" s="180">
        <f>IFERROR(__xludf.DUMMYFUNCTION("""COMPUTED_VALUE"""),45907.0)</f>
        <v>45907</v>
      </c>
      <c r="AH71" s="179">
        <f>IFERROR(__xludf.DUMMYFUNCTION("""COMPUTED_VALUE"""),0.0)</f>
        <v>0</v>
      </c>
      <c r="AI71" s="180">
        <f>IFERROR(__xludf.DUMMYFUNCTION("""COMPUTED_VALUE"""),45723.0)</f>
        <v>45723</v>
      </c>
      <c r="AJ71" s="179">
        <f>IFERROR(__xludf.DUMMYFUNCTION("""COMPUTED_VALUE"""),0.0)</f>
        <v>0</v>
      </c>
      <c r="AK71" s="180">
        <f>IFERROR(__xludf.DUMMYFUNCTION("""COMPUTED_VALUE"""),45815.0)</f>
        <v>45815</v>
      </c>
      <c r="AL71" s="179">
        <f>IFERROR(__xludf.DUMMYFUNCTION("""COMPUTED_VALUE"""),0.0)</f>
        <v>0</v>
      </c>
      <c r="AM71" s="180">
        <f>IFERROR(__xludf.DUMMYFUNCTION("""COMPUTED_VALUE"""),45907.0)</f>
        <v>45907</v>
      </c>
      <c r="AN71" s="179">
        <f>IFERROR(__xludf.DUMMYFUNCTION("""COMPUTED_VALUE"""),0.0)</f>
        <v>0</v>
      </c>
      <c r="AO71" s="180">
        <f>IFERROR(__xludf.DUMMYFUNCTION("""COMPUTED_VALUE"""),45784.0)</f>
        <v>45784</v>
      </c>
      <c r="AP71" s="181">
        <f>IFERROR(__xludf.DUMMYFUNCTION("""COMPUTED_VALUE"""),0.0)</f>
        <v>0</v>
      </c>
      <c r="AQ71" s="178">
        <f>IFERROR(__xludf.DUMMYFUNCTION("""COMPUTED_VALUE"""),45907.0)</f>
        <v>45907</v>
      </c>
      <c r="AR71" s="179">
        <f>IFERROR(__xludf.DUMMYFUNCTION("""COMPUTED_VALUE"""),0.0)</f>
        <v>0</v>
      </c>
      <c r="AS71" s="180">
        <f>IFERROR(__xludf.DUMMYFUNCTION("""COMPUTED_VALUE"""),45907.0)</f>
        <v>45907</v>
      </c>
      <c r="AT71" s="179">
        <f>IFERROR(__xludf.DUMMYFUNCTION("""COMPUTED_VALUE"""),0.0)</f>
        <v>0</v>
      </c>
      <c r="AU71" s="180">
        <f>IFERROR(__xludf.DUMMYFUNCTION("""COMPUTED_VALUE"""),45876.0)</f>
        <v>45876</v>
      </c>
      <c r="AV71" s="179">
        <f>IFERROR(__xludf.DUMMYFUNCTION("""COMPUTED_VALUE"""),0.0)</f>
        <v>0</v>
      </c>
      <c r="AW71" s="180">
        <f>IFERROR(__xludf.DUMMYFUNCTION("""COMPUTED_VALUE"""),45876.0)</f>
        <v>45876</v>
      </c>
      <c r="AX71" s="179">
        <f>IFERROR(__xludf.DUMMYFUNCTION("""COMPUTED_VALUE"""),0.0)</f>
        <v>0</v>
      </c>
      <c r="AY71" s="180">
        <f>IFERROR(__xludf.DUMMYFUNCTION("""COMPUTED_VALUE"""),45907.0)</f>
        <v>45907</v>
      </c>
      <c r="AZ71" s="179">
        <f>IFERROR(__xludf.DUMMYFUNCTION("""COMPUTED_VALUE"""),0.0)</f>
        <v>0</v>
      </c>
      <c r="BA71" s="180">
        <f>IFERROR(__xludf.DUMMYFUNCTION("""COMPUTED_VALUE"""),45907.0)</f>
        <v>45907</v>
      </c>
      <c r="BB71" s="179">
        <f>IFERROR(__xludf.DUMMYFUNCTION("""COMPUTED_VALUE"""),0.0)</f>
        <v>0</v>
      </c>
      <c r="BC71" s="180">
        <f>IFERROR(__xludf.DUMMYFUNCTION("""COMPUTED_VALUE"""),45876.0)</f>
        <v>45876</v>
      </c>
      <c r="BD71" s="179">
        <f>IFERROR(__xludf.DUMMYFUNCTION("""COMPUTED_VALUE"""),0.0)</f>
        <v>0</v>
      </c>
      <c r="BE71" s="180">
        <f>IFERROR(__xludf.DUMMYFUNCTION("""COMPUTED_VALUE"""),45907.0)</f>
        <v>45907</v>
      </c>
      <c r="BF71" s="179">
        <f>IFERROR(__xludf.DUMMYFUNCTION("""COMPUTED_VALUE"""),0.0)</f>
        <v>0</v>
      </c>
      <c r="BG71" s="180">
        <f>IFERROR(__xludf.DUMMYFUNCTION("""COMPUTED_VALUE"""),45876.0)</f>
        <v>45876</v>
      </c>
      <c r="BH71" s="179">
        <f>IFERROR(__xludf.DUMMYFUNCTION("""COMPUTED_VALUE"""),0.0)</f>
        <v>0</v>
      </c>
      <c r="BI71" s="180">
        <f>IFERROR(__xludf.DUMMYFUNCTION("""COMPUTED_VALUE"""),45907.0)</f>
        <v>45907</v>
      </c>
      <c r="BJ71" s="179">
        <f>IFERROR(__xludf.DUMMYFUNCTION("""COMPUTED_VALUE"""),0.0)</f>
        <v>0</v>
      </c>
      <c r="BK71" s="182">
        <f>IFERROR(__xludf.DUMMYFUNCTION("""COMPUTED_VALUE"""),45907.0)</f>
        <v>45907</v>
      </c>
      <c r="BL71" s="179">
        <f>IFERROR(__xludf.DUMMYFUNCTION("""COMPUTED_VALUE"""),0.0)</f>
        <v>0</v>
      </c>
      <c r="BM71" s="180">
        <f>IFERROR(__xludf.DUMMYFUNCTION("""COMPUTED_VALUE"""),45907.0)</f>
        <v>45907</v>
      </c>
      <c r="BN71" s="179">
        <f>IFERROR(__xludf.DUMMYFUNCTION("""COMPUTED_VALUE"""),0.0)</f>
        <v>0</v>
      </c>
      <c r="BO71" s="180">
        <f>IFERROR(__xludf.DUMMYFUNCTION("""COMPUTED_VALUE"""),45876.0)</f>
        <v>45876</v>
      </c>
      <c r="BP71" s="179">
        <f>IFERROR(__xludf.DUMMYFUNCTION("""COMPUTED_VALUE"""),0.0)</f>
        <v>0</v>
      </c>
      <c r="BQ71" s="180">
        <f>IFERROR(__xludf.DUMMYFUNCTION("""COMPUTED_VALUE"""),45876.0)</f>
        <v>45876</v>
      </c>
      <c r="BR71" s="179">
        <f>IFERROR(__xludf.DUMMYFUNCTION("""COMPUTED_VALUE"""),0.0)</f>
        <v>0</v>
      </c>
      <c r="BS71" s="180">
        <f>IFERROR(__xludf.DUMMYFUNCTION("""COMPUTED_VALUE"""),45907.0)</f>
        <v>45907</v>
      </c>
      <c r="BT71" s="179">
        <f>IFERROR(__xludf.DUMMYFUNCTION("""COMPUTED_VALUE"""),0.0)</f>
        <v>0</v>
      </c>
      <c r="BU71" s="180">
        <f>IFERROR(__xludf.DUMMYFUNCTION("""COMPUTED_VALUE"""),45907.0)</f>
        <v>45907</v>
      </c>
      <c r="BV71" s="179">
        <f>IFERROR(__xludf.DUMMYFUNCTION("""COMPUTED_VALUE"""),0.0)</f>
        <v>0</v>
      </c>
      <c r="BW71" s="180">
        <f>IFERROR(__xludf.DUMMYFUNCTION("""COMPUTED_VALUE"""),45907.0)</f>
        <v>45907</v>
      </c>
      <c r="BX71" s="179">
        <f>IFERROR(__xludf.DUMMYFUNCTION("""COMPUTED_VALUE"""),0.0)</f>
        <v>0</v>
      </c>
      <c r="BY71" s="180">
        <f>IFERROR(__xludf.DUMMYFUNCTION("""COMPUTED_VALUE"""),45876.0)</f>
        <v>45876</v>
      </c>
      <c r="BZ71" s="179">
        <f>IFERROR(__xludf.DUMMYFUNCTION("""COMPUTED_VALUE"""),0.0)</f>
        <v>0</v>
      </c>
      <c r="CA71" s="180">
        <f>IFERROR(__xludf.DUMMYFUNCTION("""COMPUTED_VALUE"""),45907.0)</f>
        <v>45907</v>
      </c>
      <c r="CB71" s="179">
        <f>IFERROR(__xludf.DUMMYFUNCTION("""COMPUTED_VALUE"""),0.0)</f>
        <v>0</v>
      </c>
      <c r="CC71" s="180">
        <f>IFERROR(__xludf.DUMMYFUNCTION("""COMPUTED_VALUE"""),45907.0)</f>
        <v>45907</v>
      </c>
      <c r="CD71" s="179">
        <f>IFERROR(__xludf.DUMMYFUNCTION("""COMPUTED_VALUE"""),0.0)</f>
        <v>0</v>
      </c>
      <c r="CE71" s="182">
        <f>IFERROR(__xludf.DUMMYFUNCTION("""COMPUTED_VALUE"""),45907.0)</f>
        <v>45907</v>
      </c>
      <c r="CF71" s="179">
        <f>IFERROR(__xludf.DUMMYFUNCTION("""COMPUTED_VALUE"""),0.0)</f>
        <v>0</v>
      </c>
      <c r="CG71" s="180">
        <f>IFERROR(__xludf.DUMMYFUNCTION("""COMPUTED_VALUE"""),45784.0)</f>
        <v>45784</v>
      </c>
      <c r="CH71" s="179">
        <f>IFERROR(__xludf.DUMMYFUNCTION("""COMPUTED_VALUE"""),0.0)</f>
        <v>0</v>
      </c>
      <c r="CI71" s="180">
        <f>IFERROR(__xludf.DUMMYFUNCTION("""COMPUTED_VALUE"""),45784.0)</f>
        <v>45784</v>
      </c>
      <c r="CJ71" s="179">
        <f>IFERROR(__xludf.DUMMYFUNCTION("""COMPUTED_VALUE"""),0.0)</f>
        <v>0</v>
      </c>
      <c r="CK71" s="180">
        <f>IFERROR(__xludf.DUMMYFUNCTION("""COMPUTED_VALUE"""),45815.0)</f>
        <v>45815</v>
      </c>
      <c r="CL71" s="179">
        <f>IFERROR(__xludf.DUMMYFUNCTION("""COMPUTED_VALUE"""),0.0)</f>
        <v>0</v>
      </c>
      <c r="CM71" s="180">
        <f>IFERROR(__xludf.DUMMYFUNCTION("""COMPUTED_VALUE"""),45876.0)</f>
        <v>45876</v>
      </c>
      <c r="CN71" s="179">
        <f>IFERROR(__xludf.DUMMYFUNCTION("""COMPUTED_VALUE"""),0.0)</f>
        <v>0</v>
      </c>
      <c r="CO71" s="180">
        <f>IFERROR(__xludf.DUMMYFUNCTION("""COMPUTED_VALUE"""),45845.0)</f>
        <v>45845</v>
      </c>
      <c r="CP71" s="179">
        <f>IFERROR(__xludf.DUMMYFUNCTION("""COMPUTED_VALUE"""),0.0)</f>
        <v>0</v>
      </c>
      <c r="CQ71" s="180">
        <f>IFERROR(__xludf.DUMMYFUNCTION("""COMPUTED_VALUE"""),45784.0)</f>
        <v>45784</v>
      </c>
      <c r="CR71" s="179">
        <f>IFERROR(__xludf.DUMMYFUNCTION("""COMPUTED_VALUE"""),0.0)</f>
        <v>0</v>
      </c>
      <c r="CS71" s="180">
        <f>IFERROR(__xludf.DUMMYFUNCTION("""COMPUTED_VALUE"""),45845.0)</f>
        <v>45845</v>
      </c>
      <c r="CT71" s="179">
        <f>IFERROR(__xludf.DUMMYFUNCTION("""COMPUTED_VALUE"""),0.0)</f>
        <v>0</v>
      </c>
      <c r="CU71" s="180">
        <f>IFERROR(__xludf.DUMMYFUNCTION("""COMPUTED_VALUE"""),45907.0)</f>
        <v>45907</v>
      </c>
      <c r="CV71" s="179">
        <f>IFERROR(__xludf.DUMMYFUNCTION("""COMPUTED_VALUE"""),0.0)</f>
        <v>0</v>
      </c>
      <c r="CW71" s="180">
        <f>IFERROR(__xludf.DUMMYFUNCTION("""COMPUTED_VALUE"""),45664.0)</f>
        <v>45664</v>
      </c>
      <c r="CX71" s="179">
        <f>IFERROR(__xludf.DUMMYFUNCTION("""COMPUTED_VALUE"""),0.0)</f>
        <v>0</v>
      </c>
      <c r="CY71" s="182">
        <f>IFERROR(__xludf.DUMMYFUNCTION("""COMPUTED_VALUE"""),45907.0)</f>
        <v>45907</v>
      </c>
      <c r="CZ71" s="179">
        <f>IFERROR(__xludf.DUMMYFUNCTION("""COMPUTED_VALUE"""),0.0)</f>
        <v>0</v>
      </c>
      <c r="DA71" s="180">
        <f>IFERROR(__xludf.DUMMYFUNCTION("""COMPUTED_VALUE"""),45907.0)</f>
        <v>45907</v>
      </c>
      <c r="DB71" s="179">
        <f>IFERROR(__xludf.DUMMYFUNCTION("""COMPUTED_VALUE"""),0.0)</f>
        <v>0</v>
      </c>
      <c r="DC71" s="180">
        <f>IFERROR(__xludf.DUMMYFUNCTION("""COMPUTED_VALUE"""),45876.0)</f>
        <v>45876</v>
      </c>
      <c r="DD71" s="179">
        <f>IFERROR(__xludf.DUMMYFUNCTION("""COMPUTED_VALUE"""),0.0)</f>
        <v>0</v>
      </c>
      <c r="DE71" s="180">
        <f>IFERROR(__xludf.DUMMYFUNCTION("""COMPUTED_VALUE"""),45907.0)</f>
        <v>45907</v>
      </c>
      <c r="DF71" s="179">
        <f>IFERROR(__xludf.DUMMYFUNCTION("""COMPUTED_VALUE"""),0.0)</f>
        <v>0</v>
      </c>
      <c r="DG71" s="180">
        <f>IFERROR(__xludf.DUMMYFUNCTION("""COMPUTED_VALUE"""),45907.0)</f>
        <v>45907</v>
      </c>
      <c r="DH71" s="179">
        <f>IFERROR(__xludf.DUMMYFUNCTION("""COMPUTED_VALUE"""),0.0)</f>
        <v>0</v>
      </c>
      <c r="DI71" s="180">
        <f>IFERROR(__xludf.DUMMYFUNCTION("""COMPUTED_VALUE"""),45907.0)</f>
        <v>45907</v>
      </c>
      <c r="DJ71" s="179">
        <f>IFERROR(__xludf.DUMMYFUNCTION("""COMPUTED_VALUE"""),0.0)</f>
        <v>0</v>
      </c>
      <c r="DK71" s="180">
        <f>IFERROR(__xludf.DUMMYFUNCTION("""COMPUTED_VALUE"""),45907.0)</f>
        <v>45907</v>
      </c>
      <c r="DL71" s="179">
        <f>IFERROR(__xludf.DUMMYFUNCTION("""COMPUTED_VALUE"""),0.0)</f>
        <v>0</v>
      </c>
      <c r="DM71" s="180">
        <f>IFERROR(__xludf.DUMMYFUNCTION("""COMPUTED_VALUE"""),45907.0)</f>
        <v>45907</v>
      </c>
      <c r="DN71" s="179">
        <f>IFERROR(__xludf.DUMMYFUNCTION("""COMPUTED_VALUE"""),0.0)</f>
        <v>0</v>
      </c>
      <c r="DO71" s="180">
        <f>IFERROR(__xludf.DUMMYFUNCTION("""COMPUTED_VALUE"""),45907.0)</f>
        <v>45907</v>
      </c>
      <c r="DP71" s="179">
        <f>IFERROR(__xludf.DUMMYFUNCTION("""COMPUTED_VALUE"""),0.0)</f>
        <v>0</v>
      </c>
      <c r="DQ71" s="180">
        <f>IFERROR(__xludf.DUMMYFUNCTION("""COMPUTED_VALUE"""),45876.0)</f>
        <v>45876</v>
      </c>
      <c r="DR71" s="179">
        <f>IFERROR(__xludf.DUMMYFUNCTION("""COMPUTED_VALUE"""),0.0)</f>
        <v>0</v>
      </c>
      <c r="DS71" s="182">
        <f>IFERROR(__xludf.DUMMYFUNCTION("""COMPUTED_VALUE"""),45906.0)</f>
        <v>45906</v>
      </c>
      <c r="DT71" s="179">
        <f>IFERROR(__xludf.DUMMYFUNCTION("""COMPUTED_VALUE"""),0.0)</f>
        <v>0</v>
      </c>
      <c r="DU71" s="180">
        <f>IFERROR(__xludf.DUMMYFUNCTION("""COMPUTED_VALUE"""),45906.0)</f>
        <v>45906</v>
      </c>
      <c r="DV71" s="179">
        <f>IFERROR(__xludf.DUMMYFUNCTION("""COMPUTED_VALUE"""),0.0)</f>
        <v>0</v>
      </c>
      <c r="DW71" s="180">
        <f>IFERROR(__xludf.DUMMYFUNCTION("""COMPUTED_VALUE"""),45906.0)</f>
        <v>45906</v>
      </c>
      <c r="DX71" s="179">
        <f>IFERROR(__xludf.DUMMYFUNCTION("""COMPUTED_VALUE"""),0.0)</f>
        <v>0</v>
      </c>
      <c r="DY71" s="180">
        <f>IFERROR(__xludf.DUMMYFUNCTION("""COMPUTED_VALUE"""),45906.0)</f>
        <v>45906</v>
      </c>
      <c r="DZ71" s="179">
        <f>IFERROR(__xludf.DUMMYFUNCTION("""COMPUTED_VALUE"""),0.0)</f>
        <v>0</v>
      </c>
      <c r="EA71" s="180">
        <f>IFERROR(__xludf.DUMMYFUNCTION("""COMPUTED_VALUE"""),45936.0)</f>
        <v>45936</v>
      </c>
      <c r="EB71" s="179">
        <f>IFERROR(__xludf.DUMMYFUNCTION("""COMPUTED_VALUE"""),0.0)</f>
        <v>0</v>
      </c>
      <c r="EC71" s="180">
        <f>IFERROR(__xludf.DUMMYFUNCTION("""COMPUTED_VALUE"""),45906.0)</f>
        <v>45906</v>
      </c>
      <c r="ED71" s="179">
        <f>IFERROR(__xludf.DUMMYFUNCTION("""COMPUTED_VALUE"""),0.0)</f>
        <v>0</v>
      </c>
      <c r="EE71" s="180">
        <f>IFERROR(__xludf.DUMMYFUNCTION("""COMPUTED_VALUE"""),45844.0)</f>
        <v>45844</v>
      </c>
      <c r="EF71" s="179">
        <f>IFERROR(__xludf.DUMMYFUNCTION("""COMPUTED_VALUE"""),0.0)</f>
        <v>0</v>
      </c>
      <c r="EG71" s="180">
        <f>IFERROR(__xludf.DUMMYFUNCTION("""COMPUTED_VALUE"""),45906.0)</f>
        <v>45906</v>
      </c>
      <c r="EH71" s="179">
        <f>IFERROR(__xludf.DUMMYFUNCTION("""COMPUTED_VALUE"""),0.0)</f>
        <v>0</v>
      </c>
      <c r="EI71" s="180">
        <f>IFERROR(__xludf.DUMMYFUNCTION("""COMPUTED_VALUE"""),45906.0)</f>
        <v>45906</v>
      </c>
      <c r="EJ71" s="179">
        <f>IFERROR(__xludf.DUMMYFUNCTION("""COMPUTED_VALUE"""),0.0)</f>
        <v>0</v>
      </c>
      <c r="EK71" s="180">
        <f>IFERROR(__xludf.DUMMYFUNCTION("""COMPUTED_VALUE"""),45875.0)</f>
        <v>45875</v>
      </c>
      <c r="EL71" s="179">
        <f>IFERROR(__xludf.DUMMYFUNCTION("""COMPUTED_VALUE"""),0.0)</f>
        <v>0</v>
      </c>
      <c r="EM71" s="182">
        <f>IFERROR(__xludf.DUMMYFUNCTION("""COMPUTED_VALUE"""),45814.0)</f>
        <v>45814</v>
      </c>
      <c r="EN71" s="179">
        <f>IFERROR(__xludf.DUMMYFUNCTION("""COMPUTED_VALUE"""),0.0)</f>
        <v>0</v>
      </c>
      <c r="EO71" s="180">
        <f>IFERROR(__xludf.DUMMYFUNCTION("""COMPUTED_VALUE"""),45936.0)</f>
        <v>45936</v>
      </c>
      <c r="EP71" s="179">
        <f>IFERROR(__xludf.DUMMYFUNCTION("""COMPUTED_VALUE"""),0.0)</f>
        <v>0</v>
      </c>
      <c r="EQ71" s="180">
        <f>IFERROR(__xludf.DUMMYFUNCTION("""COMPUTED_VALUE"""),45906.0)</f>
        <v>45906</v>
      </c>
      <c r="ER71" s="179">
        <f>IFERROR(__xludf.DUMMYFUNCTION("""COMPUTED_VALUE"""),0.0)</f>
        <v>0</v>
      </c>
      <c r="ES71" s="180">
        <f>IFERROR(__xludf.DUMMYFUNCTION("""COMPUTED_VALUE"""),45936.0)</f>
        <v>45936</v>
      </c>
      <c r="ET71" s="179">
        <f>IFERROR(__xludf.DUMMYFUNCTION("""COMPUTED_VALUE"""),0.0)</f>
        <v>0</v>
      </c>
      <c r="EU71" s="180">
        <f>IFERROR(__xludf.DUMMYFUNCTION("""COMPUTED_VALUE"""),45906.0)</f>
        <v>45906</v>
      </c>
      <c r="EV71" s="179">
        <f>IFERROR(__xludf.DUMMYFUNCTION("""COMPUTED_VALUE"""),0.0)</f>
        <v>0</v>
      </c>
      <c r="EW71" s="180">
        <f>IFERROR(__xludf.DUMMYFUNCTION("""COMPUTED_VALUE"""),45936.0)</f>
        <v>45936</v>
      </c>
      <c r="EX71" s="179">
        <f>IFERROR(__xludf.DUMMYFUNCTION("""COMPUTED_VALUE"""),0.0)</f>
        <v>0</v>
      </c>
      <c r="EY71" s="180">
        <f>IFERROR(__xludf.DUMMYFUNCTION("""COMPUTED_VALUE"""),45936.0)</f>
        <v>45936</v>
      </c>
      <c r="EZ71" s="179">
        <f>IFERROR(__xludf.DUMMYFUNCTION("""COMPUTED_VALUE"""),0.0)</f>
        <v>0</v>
      </c>
      <c r="FA71" s="180">
        <f>IFERROR(__xludf.DUMMYFUNCTION("""COMPUTED_VALUE"""),45906.0)</f>
        <v>45906</v>
      </c>
      <c r="FB71" s="179">
        <f>IFERROR(__xludf.DUMMYFUNCTION("""COMPUTED_VALUE"""),0.0)</f>
        <v>0</v>
      </c>
      <c r="FC71" s="180">
        <f>IFERROR(__xludf.DUMMYFUNCTION("""COMPUTED_VALUE"""),45936.0)</f>
        <v>45936</v>
      </c>
      <c r="FD71" s="179">
        <f>IFERROR(__xludf.DUMMYFUNCTION("""COMPUTED_VALUE"""),0.0)</f>
        <v>0</v>
      </c>
      <c r="FE71" s="180">
        <f>IFERROR(__xludf.DUMMYFUNCTION("""COMPUTED_VALUE"""),45814.0)</f>
        <v>45814</v>
      </c>
      <c r="FF71" s="179">
        <f>IFERROR(__xludf.DUMMYFUNCTION("""COMPUTED_VALUE"""),0.0)</f>
        <v>0</v>
      </c>
      <c r="FG71" s="182">
        <f>IFERROR(__xludf.DUMMYFUNCTION("""COMPUTED_VALUE"""),45936.0)</f>
        <v>45936</v>
      </c>
      <c r="FH71" s="179">
        <f>IFERROR(__xludf.DUMMYFUNCTION("""COMPUTED_VALUE"""),0.0)</f>
        <v>0</v>
      </c>
      <c r="FI71" s="180">
        <f>IFERROR(__xludf.DUMMYFUNCTION("""COMPUTED_VALUE"""),45906.0)</f>
        <v>45906</v>
      </c>
      <c r="FJ71" s="179">
        <f>IFERROR(__xludf.DUMMYFUNCTION("""COMPUTED_VALUE"""),0.0)</f>
        <v>0</v>
      </c>
      <c r="FK71" s="180">
        <f>IFERROR(__xludf.DUMMYFUNCTION("""COMPUTED_VALUE"""),45753.0)</f>
        <v>45753</v>
      </c>
      <c r="FL71" s="179">
        <f>IFERROR(__xludf.DUMMYFUNCTION("""COMPUTED_VALUE"""),0.0)</f>
        <v>0</v>
      </c>
      <c r="FM71" s="180">
        <f>IFERROR(__xludf.DUMMYFUNCTION("""COMPUTED_VALUE"""),45936.0)</f>
        <v>45936</v>
      </c>
      <c r="FN71" s="179">
        <f>IFERROR(__xludf.DUMMYFUNCTION("""COMPUTED_VALUE"""),0.0)</f>
        <v>0</v>
      </c>
      <c r="FO71" s="180">
        <f>IFERROR(__xludf.DUMMYFUNCTION("""COMPUTED_VALUE"""),45936.0)</f>
        <v>45936</v>
      </c>
      <c r="FP71" s="179">
        <f>IFERROR(__xludf.DUMMYFUNCTION("""COMPUTED_VALUE"""),0.0)</f>
        <v>0</v>
      </c>
      <c r="FQ71" s="180">
        <f>IFERROR(__xludf.DUMMYFUNCTION("""COMPUTED_VALUE"""),45936.0)</f>
        <v>45936</v>
      </c>
      <c r="FR71" s="179">
        <f>IFERROR(__xludf.DUMMYFUNCTION("""COMPUTED_VALUE"""),0.0)</f>
        <v>0</v>
      </c>
      <c r="FS71" s="180">
        <f>IFERROR(__xludf.DUMMYFUNCTION("""COMPUTED_VALUE"""),45906.0)</f>
        <v>45906</v>
      </c>
      <c r="FT71" s="179">
        <f>IFERROR(__xludf.DUMMYFUNCTION("""COMPUTED_VALUE"""),0.0)</f>
        <v>0</v>
      </c>
      <c r="FU71" s="180">
        <f>IFERROR(__xludf.DUMMYFUNCTION("""COMPUTED_VALUE"""),45936.0)</f>
        <v>45936</v>
      </c>
      <c r="FV71" s="179">
        <f>IFERROR(__xludf.DUMMYFUNCTION("""COMPUTED_VALUE"""),0.0)</f>
        <v>0</v>
      </c>
      <c r="FW71" s="180">
        <f>IFERROR(__xludf.DUMMYFUNCTION("""COMPUTED_VALUE"""),45936.0)</f>
        <v>45936</v>
      </c>
      <c r="FX71" s="179">
        <f>IFERROR(__xludf.DUMMYFUNCTION("""COMPUTED_VALUE"""),0.0)</f>
        <v>0</v>
      </c>
      <c r="FY71" s="180">
        <f>IFERROR(__xludf.DUMMYFUNCTION("""COMPUTED_VALUE"""),45844.0)</f>
        <v>45844</v>
      </c>
      <c r="FZ71" s="179">
        <f>IFERROR(__xludf.DUMMYFUNCTION("""COMPUTED_VALUE"""),0.0)</f>
        <v>0</v>
      </c>
      <c r="GA71" s="182">
        <f>IFERROR(__xludf.DUMMYFUNCTION("""COMPUTED_VALUE"""),45936.0)</f>
        <v>45936</v>
      </c>
      <c r="GB71" s="179">
        <f>IFERROR(__xludf.DUMMYFUNCTION("""COMPUTED_VALUE"""),0.0)</f>
        <v>0</v>
      </c>
      <c r="GC71" s="180">
        <f>IFERROR(__xludf.DUMMYFUNCTION("""COMPUTED_VALUE"""),45906.0)</f>
        <v>45906</v>
      </c>
      <c r="GD71" s="179">
        <f>IFERROR(__xludf.DUMMYFUNCTION("""COMPUTED_VALUE"""),0.0)</f>
        <v>0</v>
      </c>
      <c r="GE71" s="180">
        <f>IFERROR(__xludf.DUMMYFUNCTION("""COMPUTED_VALUE"""),45906.0)</f>
        <v>45906</v>
      </c>
      <c r="GF71" s="179">
        <f>IFERROR(__xludf.DUMMYFUNCTION("""COMPUTED_VALUE"""),0.0)</f>
        <v>0</v>
      </c>
      <c r="GG71" s="180">
        <f>IFERROR(__xludf.DUMMYFUNCTION("""COMPUTED_VALUE"""),45906.0)</f>
        <v>45906</v>
      </c>
      <c r="GH71" s="179">
        <f>IFERROR(__xludf.DUMMYFUNCTION("""COMPUTED_VALUE"""),0.0)</f>
        <v>0</v>
      </c>
      <c r="GI71" s="180">
        <f>IFERROR(__xludf.DUMMYFUNCTION("""COMPUTED_VALUE"""),45936.0)</f>
        <v>45936</v>
      </c>
      <c r="GJ71" s="179">
        <f>IFERROR(__xludf.DUMMYFUNCTION("""COMPUTED_VALUE"""),0.0)</f>
        <v>0</v>
      </c>
      <c r="GK71" s="180">
        <f>IFERROR(__xludf.DUMMYFUNCTION("""COMPUTED_VALUE"""),45936.0)</f>
        <v>45936</v>
      </c>
      <c r="GL71" s="179">
        <f>IFERROR(__xludf.DUMMYFUNCTION("""COMPUTED_VALUE"""),0.0)</f>
        <v>0</v>
      </c>
      <c r="GM71" s="180">
        <f>IFERROR(__xludf.DUMMYFUNCTION("""COMPUTED_VALUE"""),45844.0)</f>
        <v>45844</v>
      </c>
      <c r="GN71" s="179">
        <f>IFERROR(__xludf.DUMMYFUNCTION("""COMPUTED_VALUE"""),0.0)</f>
        <v>0</v>
      </c>
      <c r="GO71" s="180">
        <f>IFERROR(__xludf.DUMMYFUNCTION("""COMPUTED_VALUE"""),45936.0)</f>
        <v>45936</v>
      </c>
      <c r="GP71" s="179">
        <f>IFERROR(__xludf.DUMMYFUNCTION("""COMPUTED_VALUE"""),0.0)</f>
        <v>0</v>
      </c>
      <c r="GQ71" s="180">
        <f>IFERROR(__xludf.DUMMYFUNCTION("""COMPUTED_VALUE"""),45936.0)</f>
        <v>45936</v>
      </c>
      <c r="GR71" s="179">
        <f>IFERROR(__xludf.DUMMYFUNCTION("""COMPUTED_VALUE"""),0.0)</f>
        <v>0</v>
      </c>
      <c r="GS71" s="180">
        <f>IFERROR(__xludf.DUMMYFUNCTION("""COMPUTED_VALUE"""),45875.0)</f>
        <v>45875</v>
      </c>
      <c r="GT71" s="179">
        <f>IFERROR(__xludf.DUMMYFUNCTION("""COMPUTED_VALUE"""),0.0)</f>
        <v>0</v>
      </c>
    </row>
    <row r="72" ht="31.5" customHeight="1">
      <c r="B72" s="183"/>
      <c r="C72" s="178">
        <f>IFERROR(__xludf.DUMMYFUNCTION("""COMPUTED_VALUE"""),45937.0)</f>
        <v>45937</v>
      </c>
      <c r="D72" s="179">
        <f>IFERROR(__xludf.DUMMYFUNCTION("""COMPUTED_VALUE"""),0.0)</f>
        <v>0</v>
      </c>
      <c r="E72" s="180">
        <f>IFERROR(__xludf.DUMMYFUNCTION("""COMPUTED_VALUE"""),45876.0)</f>
        <v>45876</v>
      </c>
      <c r="F72" s="179">
        <f>IFERROR(__xludf.DUMMYFUNCTION("""COMPUTED_VALUE"""),0.0)</f>
        <v>0</v>
      </c>
      <c r="G72" s="180">
        <f>IFERROR(__xludf.DUMMYFUNCTION("""COMPUTED_VALUE"""),45876.0)</f>
        <v>45876</v>
      </c>
      <c r="H72" s="179">
        <f>IFERROR(__xludf.DUMMYFUNCTION("""COMPUTED_VALUE"""),0.0)</f>
        <v>0</v>
      </c>
      <c r="I72" s="180">
        <f>IFERROR(__xludf.DUMMYFUNCTION("""COMPUTED_VALUE"""),45937.0)</f>
        <v>45937</v>
      </c>
      <c r="J72" s="179">
        <f>IFERROR(__xludf.DUMMYFUNCTION("""COMPUTED_VALUE"""),0.0)</f>
        <v>0</v>
      </c>
      <c r="K72" s="180">
        <f>IFERROR(__xludf.DUMMYFUNCTION("""COMPUTED_VALUE"""),45907.0)</f>
        <v>45907</v>
      </c>
      <c r="L72" s="179">
        <f>IFERROR(__xludf.DUMMYFUNCTION("""COMPUTED_VALUE"""),0.0)</f>
        <v>0</v>
      </c>
      <c r="M72" s="180">
        <f>IFERROR(__xludf.DUMMYFUNCTION("""COMPUTED_VALUE"""),45937.0)</f>
        <v>45937</v>
      </c>
      <c r="N72" s="179">
        <f>IFERROR(__xludf.DUMMYFUNCTION("""COMPUTED_VALUE"""),0.0)</f>
        <v>0</v>
      </c>
      <c r="O72" s="180">
        <f>IFERROR(__xludf.DUMMYFUNCTION("""COMPUTED_VALUE"""),45876.0)</f>
        <v>45876</v>
      </c>
      <c r="P72" s="179">
        <f>IFERROR(__xludf.DUMMYFUNCTION("""COMPUTED_VALUE"""),0.0)</f>
        <v>0</v>
      </c>
      <c r="Q72" s="180">
        <f>IFERROR(__xludf.DUMMYFUNCTION("""COMPUTED_VALUE"""),45937.0)</f>
        <v>45937</v>
      </c>
      <c r="R72" s="179">
        <f>IFERROR(__xludf.DUMMYFUNCTION("""COMPUTED_VALUE"""),0.0)</f>
        <v>0</v>
      </c>
      <c r="S72" s="180">
        <f>IFERROR(__xludf.DUMMYFUNCTION("""COMPUTED_VALUE"""),45876.0)</f>
        <v>45876</v>
      </c>
      <c r="T72" s="179">
        <f>IFERROR(__xludf.DUMMYFUNCTION("""COMPUTED_VALUE"""),0.0)</f>
        <v>0</v>
      </c>
      <c r="U72" s="180">
        <f>IFERROR(__xludf.DUMMYFUNCTION("""COMPUTED_VALUE"""),45907.0)</f>
        <v>45907</v>
      </c>
      <c r="V72" s="181">
        <f>IFERROR(__xludf.DUMMYFUNCTION("""COMPUTED_VALUE"""),0.0)</f>
        <v>0</v>
      </c>
      <c r="W72" s="178">
        <f>IFERROR(__xludf.DUMMYFUNCTION("""COMPUTED_VALUE"""),45937.0)</f>
        <v>45937</v>
      </c>
      <c r="X72" s="179">
        <f>IFERROR(__xludf.DUMMYFUNCTION("""COMPUTED_VALUE"""),0.0)</f>
        <v>0</v>
      </c>
      <c r="Y72" s="180">
        <f>IFERROR(__xludf.DUMMYFUNCTION("""COMPUTED_VALUE"""),45784.0)</f>
        <v>45784</v>
      </c>
      <c r="Z72" s="179">
        <f>IFERROR(__xludf.DUMMYFUNCTION("""COMPUTED_VALUE"""),0.0)</f>
        <v>0</v>
      </c>
      <c r="AA72" s="180">
        <f>IFERROR(__xludf.DUMMYFUNCTION("""COMPUTED_VALUE"""),45907.0)</f>
        <v>45907</v>
      </c>
      <c r="AB72" s="179">
        <f>IFERROR(__xludf.DUMMYFUNCTION("""COMPUTED_VALUE"""),0.0)</f>
        <v>0</v>
      </c>
      <c r="AC72" s="180">
        <f>IFERROR(__xludf.DUMMYFUNCTION("""COMPUTED_VALUE"""),45723.0)</f>
        <v>45723</v>
      </c>
      <c r="AD72" s="179">
        <f>IFERROR(__xludf.DUMMYFUNCTION("""COMPUTED_VALUE"""),0.0)</f>
        <v>0</v>
      </c>
      <c r="AE72" s="180">
        <f>IFERROR(__xludf.DUMMYFUNCTION("""COMPUTED_VALUE"""),45815.0)</f>
        <v>45815</v>
      </c>
      <c r="AF72" s="179">
        <f>IFERROR(__xludf.DUMMYFUNCTION("""COMPUTED_VALUE"""),0.0)</f>
        <v>0</v>
      </c>
      <c r="AG72" s="180">
        <f>IFERROR(__xludf.DUMMYFUNCTION("""COMPUTED_VALUE"""),45937.0)</f>
        <v>45937</v>
      </c>
      <c r="AH72" s="179">
        <f>IFERROR(__xludf.DUMMYFUNCTION("""COMPUTED_VALUE"""),0.0)</f>
        <v>0</v>
      </c>
      <c r="AI72" s="180">
        <f>IFERROR(__xludf.DUMMYFUNCTION("""COMPUTED_VALUE"""),45754.0)</f>
        <v>45754</v>
      </c>
      <c r="AJ72" s="179">
        <f>IFERROR(__xludf.DUMMYFUNCTION("""COMPUTED_VALUE"""),0.0)</f>
        <v>0</v>
      </c>
      <c r="AK72" s="180">
        <f>IFERROR(__xludf.DUMMYFUNCTION("""COMPUTED_VALUE"""),45845.0)</f>
        <v>45845</v>
      </c>
      <c r="AL72" s="179">
        <f>IFERROR(__xludf.DUMMYFUNCTION("""COMPUTED_VALUE"""),0.0)</f>
        <v>0</v>
      </c>
      <c r="AM72" s="180">
        <f>IFERROR(__xludf.DUMMYFUNCTION("""COMPUTED_VALUE"""),45937.0)</f>
        <v>45937</v>
      </c>
      <c r="AN72" s="179">
        <f>IFERROR(__xludf.DUMMYFUNCTION("""COMPUTED_VALUE"""),0.0)</f>
        <v>0</v>
      </c>
      <c r="AO72" s="180">
        <f>IFERROR(__xludf.DUMMYFUNCTION("""COMPUTED_VALUE"""),45815.0)</f>
        <v>45815</v>
      </c>
      <c r="AP72" s="181">
        <f>IFERROR(__xludf.DUMMYFUNCTION("""COMPUTED_VALUE"""),0.0)</f>
        <v>0</v>
      </c>
      <c r="AQ72" s="178">
        <f>IFERROR(__xludf.DUMMYFUNCTION("""COMPUTED_VALUE"""),45937.0)</f>
        <v>45937</v>
      </c>
      <c r="AR72" s="179">
        <f>IFERROR(__xludf.DUMMYFUNCTION("""COMPUTED_VALUE"""),0.0)</f>
        <v>0</v>
      </c>
      <c r="AS72" s="180">
        <f>IFERROR(__xludf.DUMMYFUNCTION("""COMPUTED_VALUE"""),45937.0)</f>
        <v>45937</v>
      </c>
      <c r="AT72" s="179">
        <f>IFERROR(__xludf.DUMMYFUNCTION("""COMPUTED_VALUE"""),0.0)</f>
        <v>0</v>
      </c>
      <c r="AU72" s="180">
        <f>IFERROR(__xludf.DUMMYFUNCTION("""COMPUTED_VALUE"""),45907.0)</f>
        <v>45907</v>
      </c>
      <c r="AV72" s="179">
        <f>IFERROR(__xludf.DUMMYFUNCTION("""COMPUTED_VALUE"""),0.0)</f>
        <v>0</v>
      </c>
      <c r="AW72" s="180">
        <f>IFERROR(__xludf.DUMMYFUNCTION("""COMPUTED_VALUE"""),45907.0)</f>
        <v>45907</v>
      </c>
      <c r="AX72" s="179">
        <f>IFERROR(__xludf.DUMMYFUNCTION("""COMPUTED_VALUE"""),0.0)</f>
        <v>0</v>
      </c>
      <c r="AY72" s="180">
        <f>IFERROR(__xludf.DUMMYFUNCTION("""COMPUTED_VALUE"""),45937.0)</f>
        <v>45937</v>
      </c>
      <c r="AZ72" s="179">
        <f>IFERROR(__xludf.DUMMYFUNCTION("""COMPUTED_VALUE"""),0.0)</f>
        <v>0</v>
      </c>
      <c r="BA72" s="180">
        <f>IFERROR(__xludf.DUMMYFUNCTION("""COMPUTED_VALUE"""),45937.0)</f>
        <v>45937</v>
      </c>
      <c r="BB72" s="179">
        <f>IFERROR(__xludf.DUMMYFUNCTION("""COMPUTED_VALUE"""),0.0)</f>
        <v>0</v>
      </c>
      <c r="BC72" s="180">
        <f>IFERROR(__xludf.DUMMYFUNCTION("""COMPUTED_VALUE"""),45907.0)</f>
        <v>45907</v>
      </c>
      <c r="BD72" s="179">
        <f>IFERROR(__xludf.DUMMYFUNCTION("""COMPUTED_VALUE"""),0.0)</f>
        <v>0</v>
      </c>
      <c r="BE72" s="180">
        <f>IFERROR(__xludf.DUMMYFUNCTION("""COMPUTED_VALUE"""),45937.0)</f>
        <v>45937</v>
      </c>
      <c r="BF72" s="179">
        <f>IFERROR(__xludf.DUMMYFUNCTION("""COMPUTED_VALUE"""),0.0)</f>
        <v>0</v>
      </c>
      <c r="BG72" s="180">
        <f>IFERROR(__xludf.DUMMYFUNCTION("""COMPUTED_VALUE"""),45907.0)</f>
        <v>45907</v>
      </c>
      <c r="BH72" s="179">
        <f>IFERROR(__xludf.DUMMYFUNCTION("""COMPUTED_VALUE"""),0.0)</f>
        <v>0</v>
      </c>
      <c r="BI72" s="180">
        <f>IFERROR(__xludf.DUMMYFUNCTION("""COMPUTED_VALUE"""),45937.0)</f>
        <v>45937</v>
      </c>
      <c r="BJ72" s="179">
        <f>IFERROR(__xludf.DUMMYFUNCTION("""COMPUTED_VALUE"""),0.0)</f>
        <v>0</v>
      </c>
      <c r="BK72" s="182">
        <f>IFERROR(__xludf.DUMMYFUNCTION("""COMPUTED_VALUE"""),45937.0)</f>
        <v>45937</v>
      </c>
      <c r="BL72" s="179">
        <f>IFERROR(__xludf.DUMMYFUNCTION("""COMPUTED_VALUE"""),0.0)</f>
        <v>0</v>
      </c>
      <c r="BM72" s="180">
        <f>IFERROR(__xludf.DUMMYFUNCTION("""COMPUTED_VALUE"""),45937.0)</f>
        <v>45937</v>
      </c>
      <c r="BN72" s="179">
        <f>IFERROR(__xludf.DUMMYFUNCTION("""COMPUTED_VALUE"""),0.0)</f>
        <v>0</v>
      </c>
      <c r="BO72" s="180">
        <f>IFERROR(__xludf.DUMMYFUNCTION("""COMPUTED_VALUE"""),45907.0)</f>
        <v>45907</v>
      </c>
      <c r="BP72" s="179">
        <f>IFERROR(__xludf.DUMMYFUNCTION("""COMPUTED_VALUE"""),0.0)</f>
        <v>0</v>
      </c>
      <c r="BQ72" s="180">
        <f>IFERROR(__xludf.DUMMYFUNCTION("""COMPUTED_VALUE"""),45907.0)</f>
        <v>45907</v>
      </c>
      <c r="BR72" s="179">
        <f>IFERROR(__xludf.DUMMYFUNCTION("""COMPUTED_VALUE"""),0.0)</f>
        <v>0</v>
      </c>
      <c r="BS72" s="180">
        <f>IFERROR(__xludf.DUMMYFUNCTION("""COMPUTED_VALUE"""),45937.0)</f>
        <v>45937</v>
      </c>
      <c r="BT72" s="179">
        <f>IFERROR(__xludf.DUMMYFUNCTION("""COMPUTED_VALUE"""),0.0)</f>
        <v>0</v>
      </c>
      <c r="BU72" s="180">
        <f>IFERROR(__xludf.DUMMYFUNCTION("""COMPUTED_VALUE"""),45937.0)</f>
        <v>45937</v>
      </c>
      <c r="BV72" s="179">
        <f>IFERROR(__xludf.DUMMYFUNCTION("""COMPUTED_VALUE"""),0.0)</f>
        <v>0</v>
      </c>
      <c r="BW72" s="180">
        <f>IFERROR(__xludf.DUMMYFUNCTION("""COMPUTED_VALUE"""),45937.0)</f>
        <v>45937</v>
      </c>
      <c r="BX72" s="179">
        <f>IFERROR(__xludf.DUMMYFUNCTION("""COMPUTED_VALUE"""),0.0)</f>
        <v>0</v>
      </c>
      <c r="BY72" s="180">
        <f>IFERROR(__xludf.DUMMYFUNCTION("""COMPUTED_VALUE"""),45907.0)</f>
        <v>45907</v>
      </c>
      <c r="BZ72" s="179">
        <f>IFERROR(__xludf.DUMMYFUNCTION("""COMPUTED_VALUE"""),0.0)</f>
        <v>0</v>
      </c>
      <c r="CA72" s="180">
        <f>IFERROR(__xludf.DUMMYFUNCTION("""COMPUTED_VALUE"""),45937.0)</f>
        <v>45937</v>
      </c>
      <c r="CB72" s="179">
        <f>IFERROR(__xludf.DUMMYFUNCTION("""COMPUTED_VALUE"""),0.0)</f>
        <v>0</v>
      </c>
      <c r="CC72" s="180">
        <f>IFERROR(__xludf.DUMMYFUNCTION("""COMPUTED_VALUE"""),45937.0)</f>
        <v>45937</v>
      </c>
      <c r="CD72" s="179">
        <f>IFERROR(__xludf.DUMMYFUNCTION("""COMPUTED_VALUE"""),0.0)</f>
        <v>0</v>
      </c>
      <c r="CE72" s="182">
        <f>IFERROR(__xludf.DUMMYFUNCTION("""COMPUTED_VALUE"""),45937.0)</f>
        <v>45937</v>
      </c>
      <c r="CF72" s="179">
        <f>IFERROR(__xludf.DUMMYFUNCTION("""COMPUTED_VALUE"""),0.0)</f>
        <v>0</v>
      </c>
      <c r="CG72" s="180">
        <f>IFERROR(__xludf.DUMMYFUNCTION("""COMPUTED_VALUE"""),45815.0)</f>
        <v>45815</v>
      </c>
      <c r="CH72" s="179">
        <f>IFERROR(__xludf.DUMMYFUNCTION("""COMPUTED_VALUE"""),0.0)</f>
        <v>0</v>
      </c>
      <c r="CI72" s="180">
        <f>IFERROR(__xludf.DUMMYFUNCTION("""COMPUTED_VALUE"""),45815.0)</f>
        <v>45815</v>
      </c>
      <c r="CJ72" s="179">
        <f>IFERROR(__xludf.DUMMYFUNCTION("""COMPUTED_VALUE"""),0.0)</f>
        <v>0</v>
      </c>
      <c r="CK72" s="180">
        <f>IFERROR(__xludf.DUMMYFUNCTION("""COMPUTED_VALUE"""),45845.0)</f>
        <v>45845</v>
      </c>
      <c r="CL72" s="179">
        <f>IFERROR(__xludf.DUMMYFUNCTION("""COMPUTED_VALUE"""),0.0)</f>
        <v>0</v>
      </c>
      <c r="CM72" s="180">
        <f>IFERROR(__xludf.DUMMYFUNCTION("""COMPUTED_VALUE"""),45907.0)</f>
        <v>45907</v>
      </c>
      <c r="CN72" s="179">
        <f>IFERROR(__xludf.DUMMYFUNCTION("""COMPUTED_VALUE"""),0.0)</f>
        <v>0</v>
      </c>
      <c r="CO72" s="180">
        <f>IFERROR(__xludf.DUMMYFUNCTION("""COMPUTED_VALUE"""),45876.0)</f>
        <v>45876</v>
      </c>
      <c r="CP72" s="179">
        <f>IFERROR(__xludf.DUMMYFUNCTION("""COMPUTED_VALUE"""),0.0)</f>
        <v>0</v>
      </c>
      <c r="CQ72" s="180">
        <f>IFERROR(__xludf.DUMMYFUNCTION("""COMPUTED_VALUE"""),45815.0)</f>
        <v>45815</v>
      </c>
      <c r="CR72" s="179">
        <f>IFERROR(__xludf.DUMMYFUNCTION("""COMPUTED_VALUE"""),0.0)</f>
        <v>0</v>
      </c>
      <c r="CS72" s="180">
        <f>IFERROR(__xludf.DUMMYFUNCTION("""COMPUTED_VALUE"""),45876.0)</f>
        <v>45876</v>
      </c>
      <c r="CT72" s="179">
        <f>IFERROR(__xludf.DUMMYFUNCTION("""COMPUTED_VALUE"""),0.0)</f>
        <v>0</v>
      </c>
      <c r="CU72" s="180">
        <f>IFERROR(__xludf.DUMMYFUNCTION("""COMPUTED_VALUE"""),45937.0)</f>
        <v>45937</v>
      </c>
      <c r="CV72" s="179">
        <f>IFERROR(__xludf.DUMMYFUNCTION("""COMPUTED_VALUE"""),0.0)</f>
        <v>0</v>
      </c>
      <c r="CW72" s="180">
        <f>IFERROR(__xludf.DUMMYFUNCTION("""COMPUTED_VALUE"""),45695.0)</f>
        <v>45695</v>
      </c>
      <c r="CX72" s="179">
        <f>IFERROR(__xludf.DUMMYFUNCTION("""COMPUTED_VALUE"""),0.0)</f>
        <v>0</v>
      </c>
      <c r="CY72" s="182">
        <f>IFERROR(__xludf.DUMMYFUNCTION("""COMPUTED_VALUE"""),45937.0)</f>
        <v>45937</v>
      </c>
      <c r="CZ72" s="179">
        <f>IFERROR(__xludf.DUMMYFUNCTION("""COMPUTED_VALUE"""),0.0)</f>
        <v>0</v>
      </c>
      <c r="DA72" s="180">
        <f>IFERROR(__xludf.DUMMYFUNCTION("""COMPUTED_VALUE"""),45937.0)</f>
        <v>45937</v>
      </c>
      <c r="DB72" s="179">
        <f>IFERROR(__xludf.DUMMYFUNCTION("""COMPUTED_VALUE"""),0.0)</f>
        <v>0</v>
      </c>
      <c r="DC72" s="180">
        <f>IFERROR(__xludf.DUMMYFUNCTION("""COMPUTED_VALUE"""),45907.0)</f>
        <v>45907</v>
      </c>
      <c r="DD72" s="179">
        <f>IFERROR(__xludf.DUMMYFUNCTION("""COMPUTED_VALUE"""),0.0)</f>
        <v>0</v>
      </c>
      <c r="DE72" s="180">
        <f>IFERROR(__xludf.DUMMYFUNCTION("""COMPUTED_VALUE"""),45937.0)</f>
        <v>45937</v>
      </c>
      <c r="DF72" s="179">
        <f>IFERROR(__xludf.DUMMYFUNCTION("""COMPUTED_VALUE"""),0.0)</f>
        <v>0</v>
      </c>
      <c r="DG72" s="180">
        <f>IFERROR(__xludf.DUMMYFUNCTION("""COMPUTED_VALUE"""),45937.0)</f>
        <v>45937</v>
      </c>
      <c r="DH72" s="179">
        <f>IFERROR(__xludf.DUMMYFUNCTION("""COMPUTED_VALUE"""),0.0)</f>
        <v>0</v>
      </c>
      <c r="DI72" s="180">
        <f>IFERROR(__xludf.DUMMYFUNCTION("""COMPUTED_VALUE"""),45937.0)</f>
        <v>45937</v>
      </c>
      <c r="DJ72" s="179">
        <f>IFERROR(__xludf.DUMMYFUNCTION("""COMPUTED_VALUE"""),0.0)</f>
        <v>0</v>
      </c>
      <c r="DK72" s="180">
        <f>IFERROR(__xludf.DUMMYFUNCTION("""COMPUTED_VALUE"""),45937.0)</f>
        <v>45937</v>
      </c>
      <c r="DL72" s="179">
        <f>IFERROR(__xludf.DUMMYFUNCTION("""COMPUTED_VALUE"""),0.0)</f>
        <v>0</v>
      </c>
      <c r="DM72" s="180">
        <f>IFERROR(__xludf.DUMMYFUNCTION("""COMPUTED_VALUE"""),45937.0)</f>
        <v>45937</v>
      </c>
      <c r="DN72" s="179">
        <f>IFERROR(__xludf.DUMMYFUNCTION("""COMPUTED_VALUE"""),0.0)</f>
        <v>0</v>
      </c>
      <c r="DO72" s="180">
        <f>IFERROR(__xludf.DUMMYFUNCTION("""COMPUTED_VALUE"""),45937.0)</f>
        <v>45937</v>
      </c>
      <c r="DP72" s="179">
        <f>IFERROR(__xludf.DUMMYFUNCTION("""COMPUTED_VALUE"""),0.0)</f>
        <v>0</v>
      </c>
      <c r="DQ72" s="180">
        <f>IFERROR(__xludf.DUMMYFUNCTION("""COMPUTED_VALUE"""),45907.0)</f>
        <v>45907</v>
      </c>
      <c r="DR72" s="179">
        <f>IFERROR(__xludf.DUMMYFUNCTION("""COMPUTED_VALUE"""),0.0)</f>
        <v>0</v>
      </c>
      <c r="DS72" s="182">
        <f>IFERROR(__xludf.DUMMYFUNCTION("""COMPUTED_VALUE"""),45936.0)</f>
        <v>45936</v>
      </c>
      <c r="DT72" s="179">
        <f>IFERROR(__xludf.DUMMYFUNCTION("""COMPUTED_VALUE"""),0.0)</f>
        <v>0</v>
      </c>
      <c r="DU72" s="180">
        <f>IFERROR(__xludf.DUMMYFUNCTION("""COMPUTED_VALUE"""),45695.0)</f>
        <v>45695</v>
      </c>
      <c r="DV72" s="179">
        <f>IFERROR(__xludf.DUMMYFUNCTION("""COMPUTED_VALUE"""),0.0)</f>
        <v>0</v>
      </c>
      <c r="DW72" s="180">
        <f>IFERROR(__xludf.DUMMYFUNCTION("""COMPUTED_VALUE"""),45723.0)</f>
        <v>45723</v>
      </c>
      <c r="DX72" s="179">
        <f>IFERROR(__xludf.DUMMYFUNCTION("""COMPUTED_VALUE"""),0.0)</f>
        <v>0</v>
      </c>
      <c r="DY72" s="180">
        <f>IFERROR(__xludf.DUMMYFUNCTION("""COMPUTED_VALUE"""),45936.0)</f>
        <v>45936</v>
      </c>
      <c r="DZ72" s="179">
        <f>IFERROR(__xludf.DUMMYFUNCTION("""COMPUTED_VALUE"""),0.0)</f>
        <v>0</v>
      </c>
      <c r="EA72" s="180">
        <f>IFERROR(__xludf.DUMMYFUNCTION("""COMPUTED_VALUE"""),45784.0)</f>
        <v>45784</v>
      </c>
      <c r="EB72" s="179">
        <f>IFERROR(__xludf.DUMMYFUNCTION("""COMPUTED_VALUE"""),0.0)</f>
        <v>0</v>
      </c>
      <c r="EC72" s="180">
        <f>IFERROR(__xludf.DUMMYFUNCTION("""COMPUTED_VALUE"""),45936.0)</f>
        <v>45936</v>
      </c>
      <c r="ED72" s="179">
        <f>IFERROR(__xludf.DUMMYFUNCTION("""COMPUTED_VALUE"""),0.0)</f>
        <v>0</v>
      </c>
      <c r="EE72" s="180">
        <f>IFERROR(__xludf.DUMMYFUNCTION("""COMPUTED_VALUE"""),45875.0)</f>
        <v>45875</v>
      </c>
      <c r="EF72" s="179">
        <f>IFERROR(__xludf.DUMMYFUNCTION("""COMPUTED_VALUE"""),0.0)</f>
        <v>0</v>
      </c>
      <c r="EG72" s="180">
        <f>IFERROR(__xludf.DUMMYFUNCTION("""COMPUTED_VALUE"""),45936.0)</f>
        <v>45936</v>
      </c>
      <c r="EH72" s="179">
        <f>IFERROR(__xludf.DUMMYFUNCTION("""COMPUTED_VALUE"""),0.0)</f>
        <v>0</v>
      </c>
      <c r="EI72" s="180">
        <f>IFERROR(__xludf.DUMMYFUNCTION("""COMPUTED_VALUE"""),45936.0)</f>
        <v>45936</v>
      </c>
      <c r="EJ72" s="179">
        <f>IFERROR(__xludf.DUMMYFUNCTION("""COMPUTED_VALUE"""),0.0)</f>
        <v>0</v>
      </c>
      <c r="EK72" s="180">
        <f>IFERROR(__xludf.DUMMYFUNCTION("""COMPUTED_VALUE"""),45906.0)</f>
        <v>45906</v>
      </c>
      <c r="EL72" s="179">
        <f>IFERROR(__xludf.DUMMYFUNCTION("""COMPUTED_VALUE"""),0.0)</f>
        <v>0</v>
      </c>
      <c r="EM72" s="182">
        <f>IFERROR(__xludf.DUMMYFUNCTION("""COMPUTED_VALUE"""),45844.0)</f>
        <v>45844</v>
      </c>
      <c r="EN72" s="179">
        <f>IFERROR(__xludf.DUMMYFUNCTION("""COMPUTED_VALUE"""),0.0)</f>
        <v>0</v>
      </c>
      <c r="EO72" s="180">
        <f>IFERROR(__xludf.DUMMYFUNCTION("""COMPUTED_VALUE"""),45664.0)</f>
        <v>45664</v>
      </c>
      <c r="EP72" s="179">
        <f>IFERROR(__xludf.DUMMYFUNCTION("""COMPUTED_VALUE"""),0.0)</f>
        <v>0</v>
      </c>
      <c r="EQ72" s="180">
        <f>IFERROR(__xludf.DUMMYFUNCTION("""COMPUTED_VALUE"""),45936.0)</f>
        <v>45936</v>
      </c>
      <c r="ER72" s="179">
        <f>IFERROR(__xludf.DUMMYFUNCTION("""COMPUTED_VALUE"""),0.0)</f>
        <v>0</v>
      </c>
      <c r="ES72" s="180">
        <f>IFERROR(__xludf.DUMMYFUNCTION("""COMPUTED_VALUE"""),45664.0)</f>
        <v>45664</v>
      </c>
      <c r="ET72" s="179">
        <f>IFERROR(__xludf.DUMMYFUNCTION("""COMPUTED_VALUE"""),0.0)</f>
        <v>0</v>
      </c>
      <c r="EU72" s="180">
        <f>IFERROR(__xludf.DUMMYFUNCTION("""COMPUTED_VALUE"""),45936.0)</f>
        <v>45936</v>
      </c>
      <c r="EV72" s="179">
        <f>IFERROR(__xludf.DUMMYFUNCTION("""COMPUTED_VALUE"""),0.0)</f>
        <v>0</v>
      </c>
      <c r="EW72" s="180">
        <f>IFERROR(__xludf.DUMMYFUNCTION("""COMPUTED_VALUE"""),45664.0)</f>
        <v>45664</v>
      </c>
      <c r="EX72" s="179">
        <f>IFERROR(__xludf.DUMMYFUNCTION("""COMPUTED_VALUE"""),0.0)</f>
        <v>0</v>
      </c>
      <c r="EY72" s="180">
        <f>IFERROR(__xludf.DUMMYFUNCTION("""COMPUTED_VALUE"""),45664.0)</f>
        <v>45664</v>
      </c>
      <c r="EZ72" s="179">
        <f>IFERROR(__xludf.DUMMYFUNCTION("""COMPUTED_VALUE"""),0.0)</f>
        <v>0</v>
      </c>
      <c r="FA72" s="180">
        <f>IFERROR(__xludf.DUMMYFUNCTION("""COMPUTED_VALUE"""),45936.0)</f>
        <v>45936</v>
      </c>
      <c r="FB72" s="179">
        <f>IFERROR(__xludf.DUMMYFUNCTION("""COMPUTED_VALUE"""),0.0)</f>
        <v>0</v>
      </c>
      <c r="FC72" s="180">
        <f>IFERROR(__xludf.DUMMYFUNCTION("""COMPUTED_VALUE"""),45664.0)</f>
        <v>45664</v>
      </c>
      <c r="FD72" s="179">
        <f>IFERROR(__xludf.DUMMYFUNCTION("""COMPUTED_VALUE"""),0.0)</f>
        <v>0</v>
      </c>
      <c r="FE72" s="180">
        <f>IFERROR(__xludf.DUMMYFUNCTION("""COMPUTED_VALUE"""),45844.0)</f>
        <v>45844</v>
      </c>
      <c r="FF72" s="179">
        <f>IFERROR(__xludf.DUMMYFUNCTION("""COMPUTED_VALUE"""),0.0)</f>
        <v>0</v>
      </c>
      <c r="FG72" s="182">
        <f>IFERROR(__xludf.DUMMYFUNCTION("""COMPUTED_VALUE"""),45664.0)</f>
        <v>45664</v>
      </c>
      <c r="FH72" s="179">
        <f>IFERROR(__xludf.DUMMYFUNCTION("""COMPUTED_VALUE"""),0.0)</f>
        <v>0</v>
      </c>
      <c r="FI72" s="180">
        <f>IFERROR(__xludf.DUMMYFUNCTION("""COMPUTED_VALUE"""),45936.0)</f>
        <v>45936</v>
      </c>
      <c r="FJ72" s="179">
        <f>IFERROR(__xludf.DUMMYFUNCTION("""COMPUTED_VALUE"""),0.0)</f>
        <v>0</v>
      </c>
      <c r="FK72" s="180">
        <f>IFERROR(__xludf.DUMMYFUNCTION("""COMPUTED_VALUE"""),45783.0)</f>
        <v>45783</v>
      </c>
      <c r="FL72" s="179">
        <f>IFERROR(__xludf.DUMMYFUNCTION("""COMPUTED_VALUE"""),0.0)</f>
        <v>0</v>
      </c>
      <c r="FM72" s="180">
        <f>IFERROR(__xludf.DUMMYFUNCTION("""COMPUTED_VALUE"""),45664.0)</f>
        <v>45664</v>
      </c>
      <c r="FN72" s="179">
        <f>IFERROR(__xludf.DUMMYFUNCTION("""COMPUTED_VALUE"""),0.0)</f>
        <v>0</v>
      </c>
      <c r="FO72" s="180">
        <f>IFERROR(__xludf.DUMMYFUNCTION("""COMPUTED_VALUE"""),45664.0)</f>
        <v>45664</v>
      </c>
      <c r="FP72" s="179">
        <f>IFERROR(__xludf.DUMMYFUNCTION("""COMPUTED_VALUE"""),0.0)</f>
        <v>0</v>
      </c>
      <c r="FQ72" s="180">
        <f>IFERROR(__xludf.DUMMYFUNCTION("""COMPUTED_VALUE"""),45664.0)</f>
        <v>45664</v>
      </c>
      <c r="FR72" s="179">
        <f>IFERROR(__xludf.DUMMYFUNCTION("""COMPUTED_VALUE"""),0.0)</f>
        <v>0</v>
      </c>
      <c r="FS72" s="180">
        <f>IFERROR(__xludf.DUMMYFUNCTION("""COMPUTED_VALUE"""),45936.0)</f>
        <v>45936</v>
      </c>
      <c r="FT72" s="179">
        <f>IFERROR(__xludf.DUMMYFUNCTION("""COMPUTED_VALUE"""),0.0)</f>
        <v>0</v>
      </c>
      <c r="FU72" s="180">
        <f>IFERROR(__xludf.DUMMYFUNCTION("""COMPUTED_VALUE"""),45664.0)</f>
        <v>45664</v>
      </c>
      <c r="FV72" s="179">
        <f>IFERROR(__xludf.DUMMYFUNCTION("""COMPUTED_VALUE"""),0.0)</f>
        <v>0</v>
      </c>
      <c r="FW72" s="180">
        <f>IFERROR(__xludf.DUMMYFUNCTION("""COMPUTED_VALUE"""),45664.0)</f>
        <v>45664</v>
      </c>
      <c r="FX72" s="179">
        <f>IFERROR(__xludf.DUMMYFUNCTION("""COMPUTED_VALUE"""),0.0)</f>
        <v>0</v>
      </c>
      <c r="FY72" s="180">
        <f>IFERROR(__xludf.DUMMYFUNCTION("""COMPUTED_VALUE"""),45875.0)</f>
        <v>45875</v>
      </c>
      <c r="FZ72" s="179">
        <f>IFERROR(__xludf.DUMMYFUNCTION("""COMPUTED_VALUE"""),0.0)</f>
        <v>0</v>
      </c>
      <c r="GA72" s="182">
        <f>IFERROR(__xludf.DUMMYFUNCTION("""COMPUTED_VALUE"""),45664.0)</f>
        <v>45664</v>
      </c>
      <c r="GB72" s="179">
        <f>IFERROR(__xludf.DUMMYFUNCTION("""COMPUTED_VALUE"""),0.0)</f>
        <v>0</v>
      </c>
      <c r="GC72" s="180">
        <f>IFERROR(__xludf.DUMMYFUNCTION("""COMPUTED_VALUE"""),45936.0)</f>
        <v>45936</v>
      </c>
      <c r="GD72" s="179">
        <f>IFERROR(__xludf.DUMMYFUNCTION("""COMPUTED_VALUE"""),0.0)</f>
        <v>0</v>
      </c>
      <c r="GE72" s="180">
        <f>IFERROR(__xludf.DUMMYFUNCTION("""COMPUTED_VALUE"""),45936.0)</f>
        <v>45936</v>
      </c>
      <c r="GF72" s="179">
        <f>IFERROR(__xludf.DUMMYFUNCTION("""COMPUTED_VALUE"""),0.0)</f>
        <v>0</v>
      </c>
      <c r="GG72" s="180">
        <f>IFERROR(__xludf.DUMMYFUNCTION("""COMPUTED_VALUE"""),45936.0)</f>
        <v>45936</v>
      </c>
      <c r="GH72" s="179">
        <f>IFERROR(__xludf.DUMMYFUNCTION("""COMPUTED_VALUE"""),0.0)</f>
        <v>0</v>
      </c>
      <c r="GI72" s="180">
        <f>IFERROR(__xludf.DUMMYFUNCTION("""COMPUTED_VALUE"""),45664.0)</f>
        <v>45664</v>
      </c>
      <c r="GJ72" s="179">
        <f>IFERROR(__xludf.DUMMYFUNCTION("""COMPUTED_VALUE"""),0.0)</f>
        <v>0</v>
      </c>
      <c r="GK72" s="180">
        <f>IFERROR(__xludf.DUMMYFUNCTION("""COMPUTED_VALUE"""),45664.0)</f>
        <v>45664</v>
      </c>
      <c r="GL72" s="179">
        <f>IFERROR(__xludf.DUMMYFUNCTION("""COMPUTED_VALUE"""),0.0)</f>
        <v>0</v>
      </c>
      <c r="GM72" s="180">
        <f>IFERROR(__xludf.DUMMYFUNCTION("""COMPUTED_VALUE"""),45875.0)</f>
        <v>45875</v>
      </c>
      <c r="GN72" s="179">
        <f>IFERROR(__xludf.DUMMYFUNCTION("""COMPUTED_VALUE"""),0.0)</f>
        <v>0</v>
      </c>
      <c r="GO72" s="180">
        <f>IFERROR(__xludf.DUMMYFUNCTION("""COMPUTED_VALUE"""),45664.0)</f>
        <v>45664</v>
      </c>
      <c r="GP72" s="179">
        <f>IFERROR(__xludf.DUMMYFUNCTION("""COMPUTED_VALUE"""),0.0)</f>
        <v>0</v>
      </c>
      <c r="GQ72" s="180">
        <f>IFERROR(__xludf.DUMMYFUNCTION("""COMPUTED_VALUE"""),45664.0)</f>
        <v>45664</v>
      </c>
      <c r="GR72" s="179">
        <f>IFERROR(__xludf.DUMMYFUNCTION("""COMPUTED_VALUE"""),0.0)</f>
        <v>0</v>
      </c>
      <c r="GS72" s="180">
        <f>IFERROR(__xludf.DUMMYFUNCTION("""COMPUTED_VALUE"""),45906.0)</f>
        <v>45906</v>
      </c>
      <c r="GT72" s="179">
        <f>IFERROR(__xludf.DUMMYFUNCTION("""COMPUTED_VALUE"""),0.0)</f>
        <v>0</v>
      </c>
    </row>
    <row r="73" ht="31.5" customHeight="1">
      <c r="B73" s="183"/>
      <c r="C73" s="178">
        <f>IFERROR(__xludf.DUMMYFUNCTION("""COMPUTED_VALUE"""),45665.0)</f>
        <v>45665</v>
      </c>
      <c r="D73" s="179">
        <f>IFERROR(__xludf.DUMMYFUNCTION("""COMPUTED_VALUE"""),0.0)</f>
        <v>0</v>
      </c>
      <c r="E73" s="180">
        <f>IFERROR(__xludf.DUMMYFUNCTION("""COMPUTED_VALUE"""),45907.0)</f>
        <v>45907</v>
      </c>
      <c r="F73" s="179">
        <f>IFERROR(__xludf.DUMMYFUNCTION("""COMPUTED_VALUE"""),0.0)</f>
        <v>0</v>
      </c>
      <c r="G73" s="180">
        <f>IFERROR(__xludf.DUMMYFUNCTION("""COMPUTED_VALUE"""),45907.0)</f>
        <v>45907</v>
      </c>
      <c r="H73" s="179">
        <f>IFERROR(__xludf.DUMMYFUNCTION("""COMPUTED_VALUE"""),0.0)</f>
        <v>0</v>
      </c>
      <c r="I73" s="180">
        <f>IFERROR(__xludf.DUMMYFUNCTION("""COMPUTED_VALUE"""),45665.0)</f>
        <v>45665</v>
      </c>
      <c r="J73" s="179">
        <f>IFERROR(__xludf.DUMMYFUNCTION("""COMPUTED_VALUE"""),0.0)</f>
        <v>0</v>
      </c>
      <c r="K73" s="180">
        <f>IFERROR(__xludf.DUMMYFUNCTION("""COMPUTED_VALUE"""),45937.0)</f>
        <v>45937</v>
      </c>
      <c r="L73" s="179">
        <f>IFERROR(__xludf.DUMMYFUNCTION("""COMPUTED_VALUE"""),0.0)</f>
        <v>0</v>
      </c>
      <c r="M73" s="180">
        <f>IFERROR(__xludf.DUMMYFUNCTION("""COMPUTED_VALUE"""),45665.0)</f>
        <v>45665</v>
      </c>
      <c r="N73" s="179">
        <f>IFERROR(__xludf.DUMMYFUNCTION("""COMPUTED_VALUE"""),0.0)</f>
        <v>0</v>
      </c>
      <c r="O73" s="180">
        <f>IFERROR(__xludf.DUMMYFUNCTION("""COMPUTED_VALUE"""),45907.0)</f>
        <v>45907</v>
      </c>
      <c r="P73" s="179">
        <f>IFERROR(__xludf.DUMMYFUNCTION("""COMPUTED_VALUE"""),0.0)</f>
        <v>0</v>
      </c>
      <c r="Q73" s="180">
        <f>IFERROR(__xludf.DUMMYFUNCTION("""COMPUTED_VALUE"""),45665.0)</f>
        <v>45665</v>
      </c>
      <c r="R73" s="179">
        <f>IFERROR(__xludf.DUMMYFUNCTION("""COMPUTED_VALUE"""),0.0)</f>
        <v>0</v>
      </c>
      <c r="S73" s="180">
        <f>IFERROR(__xludf.DUMMYFUNCTION("""COMPUTED_VALUE"""),45907.0)</f>
        <v>45907</v>
      </c>
      <c r="T73" s="179">
        <f>IFERROR(__xludf.DUMMYFUNCTION("""COMPUTED_VALUE"""),0.0)</f>
        <v>0</v>
      </c>
      <c r="U73" s="180">
        <f>IFERROR(__xludf.DUMMYFUNCTION("""COMPUTED_VALUE"""),45937.0)</f>
        <v>45937</v>
      </c>
      <c r="V73" s="181">
        <f>IFERROR(__xludf.DUMMYFUNCTION("""COMPUTED_VALUE"""),0.0)</f>
        <v>0</v>
      </c>
      <c r="W73" s="178">
        <f>IFERROR(__xludf.DUMMYFUNCTION("""COMPUTED_VALUE"""),45665.0)</f>
        <v>45665</v>
      </c>
      <c r="X73" s="179">
        <f>IFERROR(__xludf.DUMMYFUNCTION("""COMPUTED_VALUE"""),0.0)</f>
        <v>0</v>
      </c>
      <c r="Y73" s="180">
        <f>IFERROR(__xludf.DUMMYFUNCTION("""COMPUTED_VALUE"""),45815.0)</f>
        <v>45815</v>
      </c>
      <c r="Z73" s="179">
        <f>IFERROR(__xludf.DUMMYFUNCTION("""COMPUTED_VALUE"""),0.0)</f>
        <v>0</v>
      </c>
      <c r="AA73" s="180">
        <f>IFERROR(__xludf.DUMMYFUNCTION("""COMPUTED_VALUE"""),45937.0)</f>
        <v>45937</v>
      </c>
      <c r="AB73" s="179">
        <f>IFERROR(__xludf.DUMMYFUNCTION("""COMPUTED_VALUE"""),0.0)</f>
        <v>0</v>
      </c>
      <c r="AC73" s="180">
        <f>IFERROR(__xludf.DUMMYFUNCTION("""COMPUTED_VALUE"""),45754.0)</f>
        <v>45754</v>
      </c>
      <c r="AD73" s="179">
        <f>IFERROR(__xludf.DUMMYFUNCTION("""COMPUTED_VALUE"""),0.0)</f>
        <v>0</v>
      </c>
      <c r="AE73" s="180">
        <f>IFERROR(__xludf.DUMMYFUNCTION("""COMPUTED_VALUE"""),45845.0)</f>
        <v>45845</v>
      </c>
      <c r="AF73" s="179">
        <f>IFERROR(__xludf.DUMMYFUNCTION("""COMPUTED_VALUE"""),0.0)</f>
        <v>0</v>
      </c>
      <c r="AG73" s="180">
        <f>IFERROR(__xludf.DUMMYFUNCTION("""COMPUTED_VALUE"""),45665.0)</f>
        <v>45665</v>
      </c>
      <c r="AH73" s="179">
        <f>IFERROR(__xludf.DUMMYFUNCTION("""COMPUTED_VALUE"""),0.0)</f>
        <v>0</v>
      </c>
      <c r="AI73" s="180">
        <f>IFERROR(__xludf.DUMMYFUNCTION("""COMPUTED_VALUE"""),45784.0)</f>
        <v>45784</v>
      </c>
      <c r="AJ73" s="179">
        <f>IFERROR(__xludf.DUMMYFUNCTION("""COMPUTED_VALUE"""),0.0)</f>
        <v>0</v>
      </c>
      <c r="AK73" s="180">
        <f>IFERROR(__xludf.DUMMYFUNCTION("""COMPUTED_VALUE"""),45876.0)</f>
        <v>45876</v>
      </c>
      <c r="AL73" s="179">
        <f>IFERROR(__xludf.DUMMYFUNCTION("""COMPUTED_VALUE"""),0.0)</f>
        <v>0</v>
      </c>
      <c r="AM73" s="180">
        <f>IFERROR(__xludf.DUMMYFUNCTION("""COMPUTED_VALUE"""),45665.0)</f>
        <v>45665</v>
      </c>
      <c r="AN73" s="179">
        <f>IFERROR(__xludf.DUMMYFUNCTION("""COMPUTED_VALUE"""),0.0)</f>
        <v>0</v>
      </c>
      <c r="AO73" s="180">
        <f>IFERROR(__xludf.DUMMYFUNCTION("""COMPUTED_VALUE"""),45845.0)</f>
        <v>45845</v>
      </c>
      <c r="AP73" s="181">
        <f>IFERROR(__xludf.DUMMYFUNCTION("""COMPUTED_VALUE"""),0.0)</f>
        <v>0</v>
      </c>
      <c r="AQ73" s="178">
        <f>IFERROR(__xludf.DUMMYFUNCTION("""COMPUTED_VALUE"""),45665.0)</f>
        <v>45665</v>
      </c>
      <c r="AR73" s="179">
        <f>IFERROR(__xludf.DUMMYFUNCTION("""COMPUTED_VALUE"""),0.0)</f>
        <v>0</v>
      </c>
      <c r="AS73" s="180">
        <f>IFERROR(__xludf.DUMMYFUNCTION("""COMPUTED_VALUE"""),45665.0)</f>
        <v>45665</v>
      </c>
      <c r="AT73" s="179">
        <f>IFERROR(__xludf.DUMMYFUNCTION("""COMPUTED_VALUE"""),0.0)</f>
        <v>0</v>
      </c>
      <c r="AU73" s="180">
        <f>IFERROR(__xludf.DUMMYFUNCTION("""COMPUTED_VALUE"""),45937.0)</f>
        <v>45937</v>
      </c>
      <c r="AV73" s="179">
        <f>IFERROR(__xludf.DUMMYFUNCTION("""COMPUTED_VALUE"""),0.0)</f>
        <v>0</v>
      </c>
      <c r="AW73" s="180">
        <f>IFERROR(__xludf.DUMMYFUNCTION("""COMPUTED_VALUE"""),45937.0)</f>
        <v>45937</v>
      </c>
      <c r="AX73" s="179">
        <f>IFERROR(__xludf.DUMMYFUNCTION("""COMPUTED_VALUE"""),0.0)</f>
        <v>0</v>
      </c>
      <c r="AY73" s="180">
        <f>IFERROR(__xludf.DUMMYFUNCTION("""COMPUTED_VALUE"""),45665.0)</f>
        <v>45665</v>
      </c>
      <c r="AZ73" s="179">
        <f>IFERROR(__xludf.DUMMYFUNCTION("""COMPUTED_VALUE"""),0.0)</f>
        <v>0</v>
      </c>
      <c r="BA73" s="180">
        <f>IFERROR(__xludf.DUMMYFUNCTION("""COMPUTED_VALUE"""),45665.0)</f>
        <v>45665</v>
      </c>
      <c r="BB73" s="179">
        <f>IFERROR(__xludf.DUMMYFUNCTION("""COMPUTED_VALUE"""),0.0)</f>
        <v>0</v>
      </c>
      <c r="BC73" s="180">
        <f>IFERROR(__xludf.DUMMYFUNCTION("""COMPUTED_VALUE"""),45937.0)</f>
        <v>45937</v>
      </c>
      <c r="BD73" s="179">
        <f>IFERROR(__xludf.DUMMYFUNCTION("""COMPUTED_VALUE"""),0.0)</f>
        <v>0</v>
      </c>
      <c r="BE73" s="180">
        <f>IFERROR(__xludf.DUMMYFUNCTION("""COMPUTED_VALUE"""),45665.0)</f>
        <v>45665</v>
      </c>
      <c r="BF73" s="179">
        <f>IFERROR(__xludf.DUMMYFUNCTION("""COMPUTED_VALUE"""),0.0)</f>
        <v>0</v>
      </c>
      <c r="BG73" s="180">
        <f>IFERROR(__xludf.DUMMYFUNCTION("""COMPUTED_VALUE"""),45937.0)</f>
        <v>45937</v>
      </c>
      <c r="BH73" s="179">
        <f>IFERROR(__xludf.DUMMYFUNCTION("""COMPUTED_VALUE"""),0.0)</f>
        <v>0</v>
      </c>
      <c r="BI73" s="180">
        <f>IFERROR(__xludf.DUMMYFUNCTION("""COMPUTED_VALUE"""),45665.0)</f>
        <v>45665</v>
      </c>
      <c r="BJ73" s="179">
        <f>IFERROR(__xludf.DUMMYFUNCTION("""COMPUTED_VALUE"""),0.0)</f>
        <v>0</v>
      </c>
      <c r="BK73" s="182">
        <f>IFERROR(__xludf.DUMMYFUNCTION("""COMPUTED_VALUE"""),45665.0)</f>
        <v>45665</v>
      </c>
      <c r="BL73" s="179">
        <f>IFERROR(__xludf.DUMMYFUNCTION("""COMPUTED_VALUE"""),0.0)</f>
        <v>0</v>
      </c>
      <c r="BM73" s="180">
        <f>IFERROR(__xludf.DUMMYFUNCTION("""COMPUTED_VALUE"""),45665.0)</f>
        <v>45665</v>
      </c>
      <c r="BN73" s="179">
        <f>IFERROR(__xludf.DUMMYFUNCTION("""COMPUTED_VALUE"""),0.0)</f>
        <v>0</v>
      </c>
      <c r="BO73" s="180">
        <f>IFERROR(__xludf.DUMMYFUNCTION("""COMPUTED_VALUE"""),45937.0)</f>
        <v>45937</v>
      </c>
      <c r="BP73" s="179">
        <f>IFERROR(__xludf.DUMMYFUNCTION("""COMPUTED_VALUE"""),0.0)</f>
        <v>0</v>
      </c>
      <c r="BQ73" s="180">
        <f>IFERROR(__xludf.DUMMYFUNCTION("""COMPUTED_VALUE"""),45937.0)</f>
        <v>45937</v>
      </c>
      <c r="BR73" s="179">
        <f>IFERROR(__xludf.DUMMYFUNCTION("""COMPUTED_VALUE"""),0.0)</f>
        <v>0</v>
      </c>
      <c r="BS73" s="180">
        <f>IFERROR(__xludf.DUMMYFUNCTION("""COMPUTED_VALUE"""),45665.0)</f>
        <v>45665</v>
      </c>
      <c r="BT73" s="179">
        <f>IFERROR(__xludf.DUMMYFUNCTION("""COMPUTED_VALUE"""),0.0)</f>
        <v>0</v>
      </c>
      <c r="BU73" s="180">
        <f>IFERROR(__xludf.DUMMYFUNCTION("""COMPUTED_VALUE"""),45665.0)</f>
        <v>45665</v>
      </c>
      <c r="BV73" s="179">
        <f>IFERROR(__xludf.DUMMYFUNCTION("""COMPUTED_VALUE"""),0.0)</f>
        <v>0</v>
      </c>
      <c r="BW73" s="180">
        <f>IFERROR(__xludf.DUMMYFUNCTION("""COMPUTED_VALUE"""),45665.0)</f>
        <v>45665</v>
      </c>
      <c r="BX73" s="179">
        <f>IFERROR(__xludf.DUMMYFUNCTION("""COMPUTED_VALUE"""),0.0)</f>
        <v>0</v>
      </c>
      <c r="BY73" s="180">
        <f>IFERROR(__xludf.DUMMYFUNCTION("""COMPUTED_VALUE"""),45937.0)</f>
        <v>45937</v>
      </c>
      <c r="BZ73" s="179">
        <f>IFERROR(__xludf.DUMMYFUNCTION("""COMPUTED_VALUE"""),0.0)</f>
        <v>0</v>
      </c>
      <c r="CA73" s="180">
        <f>IFERROR(__xludf.DUMMYFUNCTION("""COMPUTED_VALUE"""),45665.0)</f>
        <v>45665</v>
      </c>
      <c r="CB73" s="179">
        <f>IFERROR(__xludf.DUMMYFUNCTION("""COMPUTED_VALUE"""),0.0)</f>
        <v>0</v>
      </c>
      <c r="CC73" s="180">
        <f>IFERROR(__xludf.DUMMYFUNCTION("""COMPUTED_VALUE"""),45665.0)</f>
        <v>45665</v>
      </c>
      <c r="CD73" s="179">
        <f>IFERROR(__xludf.DUMMYFUNCTION("""COMPUTED_VALUE"""),0.0)</f>
        <v>0</v>
      </c>
      <c r="CE73" s="182">
        <f>IFERROR(__xludf.DUMMYFUNCTION("""COMPUTED_VALUE"""),45665.0)</f>
        <v>45665</v>
      </c>
      <c r="CF73" s="179">
        <f>IFERROR(__xludf.DUMMYFUNCTION("""COMPUTED_VALUE"""),0.0)</f>
        <v>0</v>
      </c>
      <c r="CG73" s="180">
        <f>IFERROR(__xludf.DUMMYFUNCTION("""COMPUTED_VALUE"""),45845.0)</f>
        <v>45845</v>
      </c>
      <c r="CH73" s="179">
        <f>IFERROR(__xludf.DUMMYFUNCTION("""COMPUTED_VALUE"""),0.0)</f>
        <v>0</v>
      </c>
      <c r="CI73" s="180">
        <f>IFERROR(__xludf.DUMMYFUNCTION("""COMPUTED_VALUE"""),45845.0)</f>
        <v>45845</v>
      </c>
      <c r="CJ73" s="179">
        <f>IFERROR(__xludf.DUMMYFUNCTION("""COMPUTED_VALUE"""),0.0)</f>
        <v>0</v>
      </c>
      <c r="CK73" s="180">
        <f>IFERROR(__xludf.DUMMYFUNCTION("""COMPUTED_VALUE"""),45876.0)</f>
        <v>45876</v>
      </c>
      <c r="CL73" s="179">
        <f>IFERROR(__xludf.DUMMYFUNCTION("""COMPUTED_VALUE"""),0.0)</f>
        <v>0</v>
      </c>
      <c r="CM73" s="180">
        <f>IFERROR(__xludf.DUMMYFUNCTION("""COMPUTED_VALUE"""),45937.0)</f>
        <v>45937</v>
      </c>
      <c r="CN73" s="179">
        <f>IFERROR(__xludf.DUMMYFUNCTION("""COMPUTED_VALUE"""),0.0)</f>
        <v>0</v>
      </c>
      <c r="CO73" s="180">
        <f>IFERROR(__xludf.DUMMYFUNCTION("""COMPUTED_VALUE"""),45907.0)</f>
        <v>45907</v>
      </c>
      <c r="CP73" s="179">
        <f>IFERROR(__xludf.DUMMYFUNCTION("""COMPUTED_VALUE"""),0.0)</f>
        <v>0</v>
      </c>
      <c r="CQ73" s="180">
        <f>IFERROR(__xludf.DUMMYFUNCTION("""COMPUTED_VALUE"""),45845.0)</f>
        <v>45845</v>
      </c>
      <c r="CR73" s="179">
        <f>IFERROR(__xludf.DUMMYFUNCTION("""COMPUTED_VALUE"""),0.0)</f>
        <v>0</v>
      </c>
      <c r="CS73" s="180">
        <f>IFERROR(__xludf.DUMMYFUNCTION("""COMPUTED_VALUE"""),45907.0)</f>
        <v>45907</v>
      </c>
      <c r="CT73" s="179">
        <f>IFERROR(__xludf.DUMMYFUNCTION("""COMPUTED_VALUE"""),0.0)</f>
        <v>0</v>
      </c>
      <c r="CU73" s="180">
        <f>IFERROR(__xludf.DUMMYFUNCTION("""COMPUTED_VALUE"""),45665.0)</f>
        <v>45665</v>
      </c>
      <c r="CV73" s="179">
        <f>IFERROR(__xludf.DUMMYFUNCTION("""COMPUTED_VALUE"""),0.0)</f>
        <v>0</v>
      </c>
      <c r="CW73" s="180">
        <f>IFERROR(__xludf.DUMMYFUNCTION("""COMPUTED_VALUE"""),45723.0)</f>
        <v>45723</v>
      </c>
      <c r="CX73" s="179">
        <f>IFERROR(__xludf.DUMMYFUNCTION("""COMPUTED_VALUE"""),0.0)</f>
        <v>0</v>
      </c>
      <c r="CY73" s="182">
        <f>IFERROR(__xludf.DUMMYFUNCTION("""COMPUTED_VALUE"""),45665.0)</f>
        <v>45665</v>
      </c>
      <c r="CZ73" s="179">
        <f>IFERROR(__xludf.DUMMYFUNCTION("""COMPUTED_VALUE"""),0.0)</f>
        <v>0</v>
      </c>
      <c r="DA73" s="180">
        <f>IFERROR(__xludf.DUMMYFUNCTION("""COMPUTED_VALUE"""),45665.0)</f>
        <v>45665</v>
      </c>
      <c r="DB73" s="179">
        <f>IFERROR(__xludf.DUMMYFUNCTION("""COMPUTED_VALUE"""),0.0)</f>
        <v>0</v>
      </c>
      <c r="DC73" s="180">
        <f>IFERROR(__xludf.DUMMYFUNCTION("""COMPUTED_VALUE"""),45665.0)</f>
        <v>45665</v>
      </c>
      <c r="DD73" s="179">
        <f>IFERROR(__xludf.DUMMYFUNCTION("""COMPUTED_VALUE"""),0.0)</f>
        <v>0</v>
      </c>
      <c r="DE73" s="180">
        <f>IFERROR(__xludf.DUMMYFUNCTION("""COMPUTED_VALUE"""),45665.0)</f>
        <v>45665</v>
      </c>
      <c r="DF73" s="179">
        <f>IFERROR(__xludf.DUMMYFUNCTION("""COMPUTED_VALUE"""),0.0)</f>
        <v>0</v>
      </c>
      <c r="DG73" s="180">
        <f>IFERROR(__xludf.DUMMYFUNCTION("""COMPUTED_VALUE"""),45665.0)</f>
        <v>45665</v>
      </c>
      <c r="DH73" s="179">
        <f>IFERROR(__xludf.DUMMYFUNCTION("""COMPUTED_VALUE"""),0.0)</f>
        <v>0</v>
      </c>
      <c r="DI73" s="180">
        <f>IFERROR(__xludf.DUMMYFUNCTION("""COMPUTED_VALUE"""),45665.0)</f>
        <v>45665</v>
      </c>
      <c r="DJ73" s="179">
        <f>IFERROR(__xludf.DUMMYFUNCTION("""COMPUTED_VALUE"""),0.0)</f>
        <v>0</v>
      </c>
      <c r="DK73" s="180">
        <f>IFERROR(__xludf.DUMMYFUNCTION("""COMPUTED_VALUE"""),45665.0)</f>
        <v>45665</v>
      </c>
      <c r="DL73" s="179">
        <f>IFERROR(__xludf.DUMMYFUNCTION("""COMPUTED_VALUE"""),0.0)</f>
        <v>0</v>
      </c>
      <c r="DM73" s="180">
        <f>IFERROR(__xludf.DUMMYFUNCTION("""COMPUTED_VALUE"""),45665.0)</f>
        <v>45665</v>
      </c>
      <c r="DN73" s="179">
        <f>IFERROR(__xludf.DUMMYFUNCTION("""COMPUTED_VALUE"""),0.0)</f>
        <v>0</v>
      </c>
      <c r="DO73" s="180">
        <f>IFERROR(__xludf.DUMMYFUNCTION("""COMPUTED_VALUE"""),45665.0)</f>
        <v>45665</v>
      </c>
      <c r="DP73" s="179">
        <f>IFERROR(__xludf.DUMMYFUNCTION("""COMPUTED_VALUE"""),0.0)</f>
        <v>0</v>
      </c>
      <c r="DQ73" s="180">
        <f>IFERROR(__xludf.DUMMYFUNCTION("""COMPUTED_VALUE"""),45665.0)</f>
        <v>45665</v>
      </c>
      <c r="DR73" s="179">
        <f>IFERROR(__xludf.DUMMYFUNCTION("""COMPUTED_VALUE"""),0.0)</f>
        <v>0</v>
      </c>
      <c r="DS73" s="182">
        <f>IFERROR(__xludf.DUMMYFUNCTION("""COMPUTED_VALUE"""),45664.0)</f>
        <v>45664</v>
      </c>
      <c r="DT73" s="179">
        <f>IFERROR(__xludf.DUMMYFUNCTION("""COMPUTED_VALUE"""),0.0)</f>
        <v>0</v>
      </c>
      <c r="DU73" s="180">
        <f>IFERROR(__xludf.DUMMYFUNCTION("""COMPUTED_VALUE"""),45665.0)</f>
        <v>45665</v>
      </c>
      <c r="DV73" s="179">
        <f>IFERROR(__xludf.DUMMYFUNCTION("""COMPUTED_VALUE"""),0.0)</f>
        <v>0</v>
      </c>
      <c r="DW73" s="180">
        <f>IFERROR(__xludf.DUMMYFUNCTION("""COMPUTED_VALUE"""),45665.0)</f>
        <v>45665</v>
      </c>
      <c r="DX73" s="179">
        <f>IFERROR(__xludf.DUMMYFUNCTION("""COMPUTED_VALUE"""),0.0)</f>
        <v>0</v>
      </c>
      <c r="DY73" s="180">
        <f>IFERROR(__xludf.DUMMYFUNCTION("""COMPUTED_VALUE"""),45754.0)</f>
        <v>45754</v>
      </c>
      <c r="DZ73" s="179">
        <f>IFERROR(__xludf.DUMMYFUNCTION("""COMPUTED_VALUE"""),0.0)</f>
        <v>0</v>
      </c>
      <c r="EA73" s="180">
        <f>IFERROR(__xludf.DUMMYFUNCTION("""COMPUTED_VALUE"""),45665.0)</f>
        <v>45665</v>
      </c>
      <c r="EB73" s="179">
        <f>IFERROR(__xludf.DUMMYFUNCTION("""COMPUTED_VALUE"""),0.0)</f>
        <v>0</v>
      </c>
      <c r="EC73" s="180">
        <f>IFERROR(__xludf.DUMMYFUNCTION("""COMPUTED_VALUE"""),45815.0)</f>
        <v>45815</v>
      </c>
      <c r="ED73" s="179">
        <f>IFERROR(__xludf.DUMMYFUNCTION("""COMPUTED_VALUE"""),0.0)</f>
        <v>0</v>
      </c>
      <c r="EE73" s="180">
        <f>IFERROR(__xludf.DUMMYFUNCTION("""COMPUTED_VALUE"""),45906.0)</f>
        <v>45906</v>
      </c>
      <c r="EF73" s="179">
        <f>IFERROR(__xludf.DUMMYFUNCTION("""COMPUTED_VALUE"""),0.0)</f>
        <v>0</v>
      </c>
      <c r="EG73" s="180">
        <f>IFERROR(__xludf.DUMMYFUNCTION("""COMPUTED_VALUE"""),45876.0)</f>
        <v>45876</v>
      </c>
      <c r="EH73" s="179">
        <f>IFERROR(__xludf.DUMMYFUNCTION("""COMPUTED_VALUE"""),0.0)</f>
        <v>0</v>
      </c>
      <c r="EI73" s="180">
        <f>IFERROR(__xludf.DUMMYFUNCTION("""COMPUTED_VALUE"""),45907.0)</f>
        <v>45907</v>
      </c>
      <c r="EJ73" s="179">
        <f>IFERROR(__xludf.DUMMYFUNCTION("""COMPUTED_VALUE"""),0.0)</f>
        <v>0</v>
      </c>
      <c r="EK73" s="180">
        <f>IFERROR(__xludf.DUMMYFUNCTION("""COMPUTED_VALUE"""),45937.0)</f>
        <v>45937</v>
      </c>
      <c r="EL73" s="179">
        <f>IFERROR(__xludf.DUMMYFUNCTION("""COMPUTED_VALUE"""),0.0)</f>
        <v>0</v>
      </c>
      <c r="EM73" s="182">
        <f>IFERROR(__xludf.DUMMYFUNCTION("""COMPUTED_VALUE"""),45875.0)</f>
        <v>45875</v>
      </c>
      <c r="EN73" s="179">
        <f>IFERROR(__xludf.DUMMYFUNCTION("""COMPUTED_VALUE"""),0.0)</f>
        <v>0</v>
      </c>
      <c r="EO73" s="180">
        <f>IFERROR(__xludf.DUMMYFUNCTION("""COMPUTED_VALUE"""),45695.0)</f>
        <v>45695</v>
      </c>
      <c r="EP73" s="179">
        <f>IFERROR(__xludf.DUMMYFUNCTION("""COMPUTED_VALUE"""),0.0)</f>
        <v>0</v>
      </c>
      <c r="EQ73" s="180">
        <f>IFERROR(__xludf.DUMMYFUNCTION("""COMPUTED_VALUE"""),45664.0)</f>
        <v>45664</v>
      </c>
      <c r="ER73" s="179">
        <f>IFERROR(__xludf.DUMMYFUNCTION("""COMPUTED_VALUE"""),0.0)</f>
        <v>0</v>
      </c>
      <c r="ES73" s="180">
        <f>IFERROR(__xludf.DUMMYFUNCTION("""COMPUTED_VALUE"""),45695.0)</f>
        <v>45695</v>
      </c>
      <c r="ET73" s="179">
        <f>IFERROR(__xludf.DUMMYFUNCTION("""COMPUTED_VALUE"""),0.0)</f>
        <v>0</v>
      </c>
      <c r="EU73" s="180">
        <f>IFERROR(__xludf.DUMMYFUNCTION("""COMPUTED_VALUE"""),45664.0)</f>
        <v>45664</v>
      </c>
      <c r="EV73" s="179">
        <f>IFERROR(__xludf.DUMMYFUNCTION("""COMPUTED_VALUE"""),0.0)</f>
        <v>0</v>
      </c>
      <c r="EW73" s="180">
        <f>IFERROR(__xludf.DUMMYFUNCTION("""COMPUTED_VALUE"""),45695.0)</f>
        <v>45695</v>
      </c>
      <c r="EX73" s="179">
        <f>IFERROR(__xludf.DUMMYFUNCTION("""COMPUTED_VALUE"""),0.0)</f>
        <v>0</v>
      </c>
      <c r="EY73" s="180">
        <f>IFERROR(__xludf.DUMMYFUNCTION("""COMPUTED_VALUE"""),45695.0)</f>
        <v>45695</v>
      </c>
      <c r="EZ73" s="179">
        <f>IFERROR(__xludf.DUMMYFUNCTION("""COMPUTED_VALUE"""),0.0)</f>
        <v>0</v>
      </c>
      <c r="FA73" s="180">
        <f>IFERROR(__xludf.DUMMYFUNCTION("""COMPUTED_VALUE"""),45664.0)</f>
        <v>45664</v>
      </c>
      <c r="FB73" s="179">
        <f>IFERROR(__xludf.DUMMYFUNCTION("""COMPUTED_VALUE"""),0.0)</f>
        <v>0</v>
      </c>
      <c r="FC73" s="180">
        <f>IFERROR(__xludf.DUMMYFUNCTION("""COMPUTED_VALUE"""),45695.0)</f>
        <v>45695</v>
      </c>
      <c r="FD73" s="179">
        <f>IFERROR(__xludf.DUMMYFUNCTION("""COMPUTED_VALUE"""),0.0)</f>
        <v>0</v>
      </c>
      <c r="FE73" s="180">
        <f>IFERROR(__xludf.DUMMYFUNCTION("""COMPUTED_VALUE"""),45875.0)</f>
        <v>45875</v>
      </c>
      <c r="FF73" s="179">
        <f>IFERROR(__xludf.DUMMYFUNCTION("""COMPUTED_VALUE"""),0.0)</f>
        <v>0</v>
      </c>
      <c r="FG73" s="182">
        <f>IFERROR(__xludf.DUMMYFUNCTION("""COMPUTED_VALUE"""),45695.0)</f>
        <v>45695</v>
      </c>
      <c r="FH73" s="179">
        <f>IFERROR(__xludf.DUMMYFUNCTION("""COMPUTED_VALUE"""),0.0)</f>
        <v>0</v>
      </c>
      <c r="FI73" s="180">
        <f>IFERROR(__xludf.DUMMYFUNCTION("""COMPUTED_VALUE"""),45664.0)</f>
        <v>45664</v>
      </c>
      <c r="FJ73" s="179">
        <f>IFERROR(__xludf.DUMMYFUNCTION("""COMPUTED_VALUE"""),0.0)</f>
        <v>0</v>
      </c>
      <c r="FK73" s="180">
        <f>IFERROR(__xludf.DUMMYFUNCTION("""COMPUTED_VALUE"""),45814.0)</f>
        <v>45814</v>
      </c>
      <c r="FL73" s="179">
        <f>IFERROR(__xludf.DUMMYFUNCTION("""COMPUTED_VALUE"""),0.0)</f>
        <v>0</v>
      </c>
      <c r="FM73" s="180">
        <f>IFERROR(__xludf.DUMMYFUNCTION("""COMPUTED_VALUE"""),45695.0)</f>
        <v>45695</v>
      </c>
      <c r="FN73" s="179">
        <f>IFERROR(__xludf.DUMMYFUNCTION("""COMPUTED_VALUE"""),0.0)</f>
        <v>0</v>
      </c>
      <c r="FO73" s="180">
        <f>IFERROR(__xludf.DUMMYFUNCTION("""COMPUTED_VALUE"""),45695.0)</f>
        <v>45695</v>
      </c>
      <c r="FP73" s="179">
        <f>IFERROR(__xludf.DUMMYFUNCTION("""COMPUTED_VALUE"""),0.0)</f>
        <v>0</v>
      </c>
      <c r="FQ73" s="180">
        <f>IFERROR(__xludf.DUMMYFUNCTION("""COMPUTED_VALUE"""),45695.0)</f>
        <v>45695</v>
      </c>
      <c r="FR73" s="179">
        <f>IFERROR(__xludf.DUMMYFUNCTION("""COMPUTED_VALUE"""),0.0)</f>
        <v>0</v>
      </c>
      <c r="FS73" s="180">
        <f>IFERROR(__xludf.DUMMYFUNCTION("""COMPUTED_VALUE"""),45664.0)</f>
        <v>45664</v>
      </c>
      <c r="FT73" s="179">
        <f>IFERROR(__xludf.DUMMYFUNCTION("""COMPUTED_VALUE"""),0.0)</f>
        <v>0</v>
      </c>
      <c r="FU73" s="180">
        <f>IFERROR(__xludf.DUMMYFUNCTION("""COMPUTED_VALUE"""),45695.0)</f>
        <v>45695</v>
      </c>
      <c r="FV73" s="179">
        <f>IFERROR(__xludf.DUMMYFUNCTION("""COMPUTED_VALUE"""),0.0)</f>
        <v>0</v>
      </c>
      <c r="FW73" s="180">
        <f>IFERROR(__xludf.DUMMYFUNCTION("""COMPUTED_VALUE"""),45695.0)</f>
        <v>45695</v>
      </c>
      <c r="FX73" s="179">
        <f>IFERROR(__xludf.DUMMYFUNCTION("""COMPUTED_VALUE"""),0.0)</f>
        <v>0</v>
      </c>
      <c r="FY73" s="180">
        <f>IFERROR(__xludf.DUMMYFUNCTION("""COMPUTED_VALUE"""),45906.0)</f>
        <v>45906</v>
      </c>
      <c r="FZ73" s="179">
        <f>IFERROR(__xludf.DUMMYFUNCTION("""COMPUTED_VALUE"""),0.0)</f>
        <v>0</v>
      </c>
      <c r="GA73" s="182">
        <f>IFERROR(__xludf.DUMMYFUNCTION("""COMPUTED_VALUE"""),45695.0)</f>
        <v>45695</v>
      </c>
      <c r="GB73" s="179">
        <f>IFERROR(__xludf.DUMMYFUNCTION("""COMPUTED_VALUE"""),0.0)</f>
        <v>0</v>
      </c>
      <c r="GC73" s="180">
        <f>IFERROR(__xludf.DUMMYFUNCTION("""COMPUTED_VALUE"""),45664.0)</f>
        <v>45664</v>
      </c>
      <c r="GD73" s="179">
        <f>IFERROR(__xludf.DUMMYFUNCTION("""COMPUTED_VALUE"""),0.0)</f>
        <v>0</v>
      </c>
      <c r="GE73" s="180">
        <f>IFERROR(__xludf.DUMMYFUNCTION("""COMPUTED_VALUE"""),45664.0)</f>
        <v>45664</v>
      </c>
      <c r="GF73" s="179">
        <f>IFERROR(__xludf.DUMMYFUNCTION("""COMPUTED_VALUE"""),0.0)</f>
        <v>0</v>
      </c>
      <c r="GG73" s="180">
        <f>IFERROR(__xludf.DUMMYFUNCTION("""COMPUTED_VALUE"""),45664.0)</f>
        <v>45664</v>
      </c>
      <c r="GH73" s="179">
        <f>IFERROR(__xludf.DUMMYFUNCTION("""COMPUTED_VALUE"""),0.0)</f>
        <v>0</v>
      </c>
      <c r="GI73" s="180">
        <f>IFERROR(__xludf.DUMMYFUNCTION("""COMPUTED_VALUE"""),45695.0)</f>
        <v>45695</v>
      </c>
      <c r="GJ73" s="179">
        <f>IFERROR(__xludf.DUMMYFUNCTION("""COMPUTED_VALUE"""),0.0)</f>
        <v>0</v>
      </c>
      <c r="GK73" s="180">
        <f>IFERROR(__xludf.DUMMYFUNCTION("""COMPUTED_VALUE"""),45695.0)</f>
        <v>45695</v>
      </c>
      <c r="GL73" s="179">
        <f>IFERROR(__xludf.DUMMYFUNCTION("""COMPUTED_VALUE"""),0.0)</f>
        <v>0</v>
      </c>
      <c r="GM73" s="180">
        <f>IFERROR(__xludf.DUMMYFUNCTION("""COMPUTED_VALUE"""),45906.0)</f>
        <v>45906</v>
      </c>
      <c r="GN73" s="179">
        <f>IFERROR(__xludf.DUMMYFUNCTION("""COMPUTED_VALUE"""),0.0)</f>
        <v>0</v>
      </c>
      <c r="GO73" s="180">
        <f>IFERROR(__xludf.DUMMYFUNCTION("""COMPUTED_VALUE"""),45695.0)</f>
        <v>45695</v>
      </c>
      <c r="GP73" s="179">
        <f>IFERROR(__xludf.DUMMYFUNCTION("""COMPUTED_VALUE"""),0.0)</f>
        <v>0</v>
      </c>
      <c r="GQ73" s="180">
        <f>IFERROR(__xludf.DUMMYFUNCTION("""COMPUTED_VALUE"""),45695.0)</f>
        <v>45695</v>
      </c>
      <c r="GR73" s="179">
        <f>IFERROR(__xludf.DUMMYFUNCTION("""COMPUTED_VALUE"""),0.0)</f>
        <v>0</v>
      </c>
      <c r="GS73" s="180">
        <f>IFERROR(__xludf.DUMMYFUNCTION("""COMPUTED_VALUE"""),45936.0)</f>
        <v>45936</v>
      </c>
      <c r="GT73" s="179">
        <f>IFERROR(__xludf.DUMMYFUNCTION("""COMPUTED_VALUE"""),0.0)</f>
        <v>0</v>
      </c>
    </row>
    <row r="74" ht="31.5" customHeight="1">
      <c r="B74" s="183"/>
      <c r="C74" s="178">
        <f>IFERROR(__xludf.DUMMYFUNCTION("""COMPUTED_VALUE"""),45696.0)</f>
        <v>45696</v>
      </c>
      <c r="D74" s="179">
        <f>IFERROR(__xludf.DUMMYFUNCTION("""COMPUTED_VALUE"""),0.0)</f>
        <v>0</v>
      </c>
      <c r="E74" s="180">
        <f>IFERROR(__xludf.DUMMYFUNCTION("""COMPUTED_VALUE"""),45937.0)</f>
        <v>45937</v>
      </c>
      <c r="F74" s="179">
        <f>IFERROR(__xludf.DUMMYFUNCTION("""COMPUTED_VALUE"""),0.0)</f>
        <v>0</v>
      </c>
      <c r="G74" s="180">
        <f>IFERROR(__xludf.DUMMYFUNCTION("""COMPUTED_VALUE"""),45937.0)</f>
        <v>45937</v>
      </c>
      <c r="H74" s="179">
        <f>IFERROR(__xludf.DUMMYFUNCTION("""COMPUTED_VALUE"""),0.0)</f>
        <v>0</v>
      </c>
      <c r="I74" s="180">
        <f>IFERROR(__xludf.DUMMYFUNCTION("""COMPUTED_VALUE"""),45696.0)</f>
        <v>45696</v>
      </c>
      <c r="J74" s="179">
        <f>IFERROR(__xludf.DUMMYFUNCTION("""COMPUTED_VALUE"""),0.0)</f>
        <v>0</v>
      </c>
      <c r="K74" s="180">
        <f>IFERROR(__xludf.DUMMYFUNCTION("""COMPUTED_VALUE"""),45665.0)</f>
        <v>45665</v>
      </c>
      <c r="L74" s="179">
        <f>IFERROR(__xludf.DUMMYFUNCTION("""COMPUTED_VALUE"""),0.0)</f>
        <v>0</v>
      </c>
      <c r="M74" s="180">
        <f>IFERROR(__xludf.DUMMYFUNCTION("""COMPUTED_VALUE"""),45696.0)</f>
        <v>45696</v>
      </c>
      <c r="N74" s="179">
        <f>IFERROR(__xludf.DUMMYFUNCTION("""COMPUTED_VALUE"""),0.0)</f>
        <v>0</v>
      </c>
      <c r="O74" s="180">
        <f>IFERROR(__xludf.DUMMYFUNCTION("""COMPUTED_VALUE"""),45937.0)</f>
        <v>45937</v>
      </c>
      <c r="P74" s="179">
        <f>IFERROR(__xludf.DUMMYFUNCTION("""COMPUTED_VALUE"""),0.0)</f>
        <v>0</v>
      </c>
      <c r="Q74" s="180">
        <f>IFERROR(__xludf.DUMMYFUNCTION("""COMPUTED_VALUE"""),45696.0)</f>
        <v>45696</v>
      </c>
      <c r="R74" s="179">
        <f>IFERROR(__xludf.DUMMYFUNCTION("""COMPUTED_VALUE"""),0.0)</f>
        <v>0</v>
      </c>
      <c r="S74" s="180">
        <f>IFERROR(__xludf.DUMMYFUNCTION("""COMPUTED_VALUE"""),45937.0)</f>
        <v>45937</v>
      </c>
      <c r="T74" s="179">
        <f>IFERROR(__xludf.DUMMYFUNCTION("""COMPUTED_VALUE"""),0.0)</f>
        <v>0</v>
      </c>
      <c r="U74" s="180">
        <f>IFERROR(__xludf.DUMMYFUNCTION("""COMPUTED_VALUE"""),45665.0)</f>
        <v>45665</v>
      </c>
      <c r="V74" s="181">
        <f>IFERROR(__xludf.DUMMYFUNCTION("""COMPUTED_VALUE"""),0.0)</f>
        <v>0</v>
      </c>
      <c r="W74" s="178">
        <f>IFERROR(__xludf.DUMMYFUNCTION("""COMPUTED_VALUE"""),45696.0)</f>
        <v>45696</v>
      </c>
      <c r="X74" s="179">
        <f>IFERROR(__xludf.DUMMYFUNCTION("""COMPUTED_VALUE"""),0.0)</f>
        <v>0</v>
      </c>
      <c r="Y74" s="180">
        <f>IFERROR(__xludf.DUMMYFUNCTION("""COMPUTED_VALUE"""),45845.0)</f>
        <v>45845</v>
      </c>
      <c r="Z74" s="179">
        <f>IFERROR(__xludf.DUMMYFUNCTION("""COMPUTED_VALUE"""),0.0)</f>
        <v>0</v>
      </c>
      <c r="AA74" s="180">
        <f>IFERROR(__xludf.DUMMYFUNCTION("""COMPUTED_VALUE"""),45665.0)</f>
        <v>45665</v>
      </c>
      <c r="AB74" s="179">
        <f>IFERROR(__xludf.DUMMYFUNCTION("""COMPUTED_VALUE"""),0.0)</f>
        <v>0</v>
      </c>
      <c r="AC74" s="180">
        <f>IFERROR(__xludf.DUMMYFUNCTION("""COMPUTED_VALUE"""),45784.0)</f>
        <v>45784</v>
      </c>
      <c r="AD74" s="179">
        <f>IFERROR(__xludf.DUMMYFUNCTION("""COMPUTED_VALUE"""),0.0)</f>
        <v>0</v>
      </c>
      <c r="AE74" s="180">
        <f>IFERROR(__xludf.DUMMYFUNCTION("""COMPUTED_VALUE"""),45876.0)</f>
        <v>45876</v>
      </c>
      <c r="AF74" s="179">
        <f>IFERROR(__xludf.DUMMYFUNCTION("""COMPUTED_VALUE"""),0.0)</f>
        <v>0</v>
      </c>
      <c r="AG74" s="180">
        <f>IFERROR(__xludf.DUMMYFUNCTION("""COMPUTED_VALUE"""),45696.0)</f>
        <v>45696</v>
      </c>
      <c r="AH74" s="179">
        <f>IFERROR(__xludf.DUMMYFUNCTION("""COMPUTED_VALUE"""),0.0)</f>
        <v>0</v>
      </c>
      <c r="AI74" s="180">
        <f>IFERROR(__xludf.DUMMYFUNCTION("""COMPUTED_VALUE"""),45815.0)</f>
        <v>45815</v>
      </c>
      <c r="AJ74" s="179">
        <f>IFERROR(__xludf.DUMMYFUNCTION("""COMPUTED_VALUE"""),0.0)</f>
        <v>0</v>
      </c>
      <c r="AK74" s="180">
        <f>IFERROR(__xludf.DUMMYFUNCTION("""COMPUTED_VALUE"""),45907.0)</f>
        <v>45907</v>
      </c>
      <c r="AL74" s="179">
        <f>IFERROR(__xludf.DUMMYFUNCTION("""COMPUTED_VALUE"""),0.0)</f>
        <v>0</v>
      </c>
      <c r="AM74" s="180">
        <f>IFERROR(__xludf.DUMMYFUNCTION("""COMPUTED_VALUE"""),45696.0)</f>
        <v>45696</v>
      </c>
      <c r="AN74" s="179">
        <f>IFERROR(__xludf.DUMMYFUNCTION("""COMPUTED_VALUE"""),0.0)</f>
        <v>0</v>
      </c>
      <c r="AO74" s="180">
        <f>IFERROR(__xludf.DUMMYFUNCTION("""COMPUTED_VALUE"""),45876.0)</f>
        <v>45876</v>
      </c>
      <c r="AP74" s="181">
        <f>IFERROR(__xludf.DUMMYFUNCTION("""COMPUTED_VALUE"""),0.0)</f>
        <v>0</v>
      </c>
      <c r="AQ74" s="178">
        <f>IFERROR(__xludf.DUMMYFUNCTION("""COMPUTED_VALUE"""),45696.0)</f>
        <v>45696</v>
      </c>
      <c r="AR74" s="179">
        <f>IFERROR(__xludf.DUMMYFUNCTION("""COMPUTED_VALUE"""),0.0)</f>
        <v>0</v>
      </c>
      <c r="AS74" s="180">
        <f>IFERROR(__xludf.DUMMYFUNCTION("""COMPUTED_VALUE"""),45696.0)</f>
        <v>45696</v>
      </c>
      <c r="AT74" s="179">
        <f>IFERROR(__xludf.DUMMYFUNCTION("""COMPUTED_VALUE"""),0.0)</f>
        <v>0</v>
      </c>
      <c r="AU74" s="180">
        <f>IFERROR(__xludf.DUMMYFUNCTION("""COMPUTED_VALUE"""),45665.0)</f>
        <v>45665</v>
      </c>
      <c r="AV74" s="179">
        <f>IFERROR(__xludf.DUMMYFUNCTION("""COMPUTED_VALUE"""),0.0)</f>
        <v>0</v>
      </c>
      <c r="AW74" s="180">
        <f>IFERROR(__xludf.DUMMYFUNCTION("""COMPUTED_VALUE"""),45665.0)</f>
        <v>45665</v>
      </c>
      <c r="AX74" s="179">
        <f>IFERROR(__xludf.DUMMYFUNCTION("""COMPUTED_VALUE"""),0.0)</f>
        <v>0</v>
      </c>
      <c r="AY74" s="180">
        <f>IFERROR(__xludf.DUMMYFUNCTION("""COMPUTED_VALUE"""),45696.0)</f>
        <v>45696</v>
      </c>
      <c r="AZ74" s="179">
        <f>IFERROR(__xludf.DUMMYFUNCTION("""COMPUTED_VALUE"""),0.0)</f>
        <v>0</v>
      </c>
      <c r="BA74" s="180">
        <f>IFERROR(__xludf.DUMMYFUNCTION("""COMPUTED_VALUE"""),45696.0)</f>
        <v>45696</v>
      </c>
      <c r="BB74" s="179">
        <f>IFERROR(__xludf.DUMMYFUNCTION("""COMPUTED_VALUE"""),0.0)</f>
        <v>0</v>
      </c>
      <c r="BC74" s="180">
        <f>IFERROR(__xludf.DUMMYFUNCTION("""COMPUTED_VALUE"""),45665.0)</f>
        <v>45665</v>
      </c>
      <c r="BD74" s="179">
        <f>IFERROR(__xludf.DUMMYFUNCTION("""COMPUTED_VALUE"""),0.0)</f>
        <v>0</v>
      </c>
      <c r="BE74" s="180">
        <f>IFERROR(__xludf.DUMMYFUNCTION("""COMPUTED_VALUE"""),45696.0)</f>
        <v>45696</v>
      </c>
      <c r="BF74" s="179">
        <f>IFERROR(__xludf.DUMMYFUNCTION("""COMPUTED_VALUE"""),0.0)</f>
        <v>0</v>
      </c>
      <c r="BG74" s="180">
        <f>IFERROR(__xludf.DUMMYFUNCTION("""COMPUTED_VALUE"""),45665.0)</f>
        <v>45665</v>
      </c>
      <c r="BH74" s="179">
        <f>IFERROR(__xludf.DUMMYFUNCTION("""COMPUTED_VALUE"""),0.0)</f>
        <v>0</v>
      </c>
      <c r="BI74" s="180">
        <f>IFERROR(__xludf.DUMMYFUNCTION("""COMPUTED_VALUE"""),45696.0)</f>
        <v>45696</v>
      </c>
      <c r="BJ74" s="179">
        <f>IFERROR(__xludf.DUMMYFUNCTION("""COMPUTED_VALUE"""),0.0)</f>
        <v>0</v>
      </c>
      <c r="BK74" s="182">
        <f>IFERROR(__xludf.DUMMYFUNCTION("""COMPUTED_VALUE"""),45696.0)</f>
        <v>45696</v>
      </c>
      <c r="BL74" s="179">
        <f>IFERROR(__xludf.DUMMYFUNCTION("""COMPUTED_VALUE"""),0.0)</f>
        <v>0</v>
      </c>
      <c r="BM74" s="180">
        <f>IFERROR(__xludf.DUMMYFUNCTION("""COMPUTED_VALUE"""),45696.0)</f>
        <v>45696</v>
      </c>
      <c r="BN74" s="179">
        <f>IFERROR(__xludf.DUMMYFUNCTION("""COMPUTED_VALUE"""),0.0)</f>
        <v>0</v>
      </c>
      <c r="BO74" s="180">
        <f>IFERROR(__xludf.DUMMYFUNCTION("""COMPUTED_VALUE"""),45665.0)</f>
        <v>45665</v>
      </c>
      <c r="BP74" s="179">
        <f>IFERROR(__xludf.DUMMYFUNCTION("""COMPUTED_VALUE"""),0.0)</f>
        <v>0</v>
      </c>
      <c r="BQ74" s="180">
        <f>IFERROR(__xludf.DUMMYFUNCTION("""COMPUTED_VALUE"""),45665.0)</f>
        <v>45665</v>
      </c>
      <c r="BR74" s="179">
        <f>IFERROR(__xludf.DUMMYFUNCTION("""COMPUTED_VALUE"""),0.0)</f>
        <v>0</v>
      </c>
      <c r="BS74" s="180">
        <f>IFERROR(__xludf.DUMMYFUNCTION("""COMPUTED_VALUE"""),45696.0)</f>
        <v>45696</v>
      </c>
      <c r="BT74" s="179">
        <f>IFERROR(__xludf.DUMMYFUNCTION("""COMPUTED_VALUE"""),0.0)</f>
        <v>0</v>
      </c>
      <c r="BU74" s="180">
        <f>IFERROR(__xludf.DUMMYFUNCTION("""COMPUTED_VALUE"""),45696.0)</f>
        <v>45696</v>
      </c>
      <c r="BV74" s="179">
        <f>IFERROR(__xludf.DUMMYFUNCTION("""COMPUTED_VALUE"""),0.0)</f>
        <v>0</v>
      </c>
      <c r="BW74" s="180">
        <f>IFERROR(__xludf.DUMMYFUNCTION("""COMPUTED_VALUE"""),45696.0)</f>
        <v>45696</v>
      </c>
      <c r="BX74" s="179">
        <f>IFERROR(__xludf.DUMMYFUNCTION("""COMPUTED_VALUE"""),0.0)</f>
        <v>0</v>
      </c>
      <c r="BY74" s="180">
        <f>IFERROR(__xludf.DUMMYFUNCTION("""COMPUTED_VALUE"""),45665.0)</f>
        <v>45665</v>
      </c>
      <c r="BZ74" s="179">
        <f>IFERROR(__xludf.DUMMYFUNCTION("""COMPUTED_VALUE"""),0.0)</f>
        <v>0</v>
      </c>
      <c r="CA74" s="180">
        <f>IFERROR(__xludf.DUMMYFUNCTION("""COMPUTED_VALUE"""),45696.0)</f>
        <v>45696</v>
      </c>
      <c r="CB74" s="179">
        <f>IFERROR(__xludf.DUMMYFUNCTION("""COMPUTED_VALUE"""),0.0)</f>
        <v>0</v>
      </c>
      <c r="CC74" s="180">
        <f>IFERROR(__xludf.DUMMYFUNCTION("""COMPUTED_VALUE"""),45696.0)</f>
        <v>45696</v>
      </c>
      <c r="CD74" s="179">
        <f>IFERROR(__xludf.DUMMYFUNCTION("""COMPUTED_VALUE"""),0.0)</f>
        <v>0</v>
      </c>
      <c r="CE74" s="182">
        <f>IFERROR(__xludf.DUMMYFUNCTION("""COMPUTED_VALUE"""),45696.0)</f>
        <v>45696</v>
      </c>
      <c r="CF74" s="179">
        <f>IFERROR(__xludf.DUMMYFUNCTION("""COMPUTED_VALUE"""),0.0)</f>
        <v>0</v>
      </c>
      <c r="CG74" s="180">
        <f>IFERROR(__xludf.DUMMYFUNCTION("""COMPUTED_VALUE"""),45876.0)</f>
        <v>45876</v>
      </c>
      <c r="CH74" s="179">
        <f>IFERROR(__xludf.DUMMYFUNCTION("""COMPUTED_VALUE"""),0.0)</f>
        <v>0</v>
      </c>
      <c r="CI74" s="180">
        <f>IFERROR(__xludf.DUMMYFUNCTION("""COMPUTED_VALUE"""),45876.0)</f>
        <v>45876</v>
      </c>
      <c r="CJ74" s="179">
        <f>IFERROR(__xludf.DUMMYFUNCTION("""COMPUTED_VALUE"""),0.0)</f>
        <v>0</v>
      </c>
      <c r="CK74" s="180">
        <f>IFERROR(__xludf.DUMMYFUNCTION("""COMPUTED_VALUE"""),45907.0)</f>
        <v>45907</v>
      </c>
      <c r="CL74" s="179">
        <f>IFERROR(__xludf.DUMMYFUNCTION("""COMPUTED_VALUE"""),0.0)</f>
        <v>0</v>
      </c>
      <c r="CM74" s="180">
        <f>IFERROR(__xludf.DUMMYFUNCTION("""COMPUTED_VALUE"""),45665.0)</f>
        <v>45665</v>
      </c>
      <c r="CN74" s="179">
        <f>IFERROR(__xludf.DUMMYFUNCTION("""COMPUTED_VALUE"""),0.0)</f>
        <v>0</v>
      </c>
      <c r="CO74" s="180">
        <f>IFERROR(__xludf.DUMMYFUNCTION("""COMPUTED_VALUE"""),45937.0)</f>
        <v>45937</v>
      </c>
      <c r="CP74" s="179">
        <f>IFERROR(__xludf.DUMMYFUNCTION("""COMPUTED_VALUE"""),0.0)</f>
        <v>0</v>
      </c>
      <c r="CQ74" s="180">
        <f>IFERROR(__xludf.DUMMYFUNCTION("""COMPUTED_VALUE"""),45876.0)</f>
        <v>45876</v>
      </c>
      <c r="CR74" s="179">
        <f>IFERROR(__xludf.DUMMYFUNCTION("""COMPUTED_VALUE"""),0.0)</f>
        <v>0</v>
      </c>
      <c r="CS74" s="180">
        <f>IFERROR(__xludf.DUMMYFUNCTION("""COMPUTED_VALUE"""),45937.0)</f>
        <v>45937</v>
      </c>
      <c r="CT74" s="179">
        <f>IFERROR(__xludf.DUMMYFUNCTION("""COMPUTED_VALUE"""),0.0)</f>
        <v>0</v>
      </c>
      <c r="CU74" s="180">
        <f>IFERROR(__xludf.DUMMYFUNCTION("""COMPUTED_VALUE"""),45696.0)</f>
        <v>45696</v>
      </c>
      <c r="CV74" s="179">
        <f>IFERROR(__xludf.DUMMYFUNCTION("""COMPUTED_VALUE"""),0.0)</f>
        <v>0</v>
      </c>
      <c r="CW74" s="180">
        <f>IFERROR(__xludf.DUMMYFUNCTION("""COMPUTED_VALUE"""),45754.0)</f>
        <v>45754</v>
      </c>
      <c r="CX74" s="179">
        <f>IFERROR(__xludf.DUMMYFUNCTION("""COMPUTED_VALUE"""),0.0)</f>
        <v>0</v>
      </c>
      <c r="CY74" s="182">
        <f>IFERROR(__xludf.DUMMYFUNCTION("""COMPUTED_VALUE"""),45696.0)</f>
        <v>45696</v>
      </c>
      <c r="CZ74" s="179">
        <f>IFERROR(__xludf.DUMMYFUNCTION("""COMPUTED_VALUE"""),0.0)</f>
        <v>0</v>
      </c>
      <c r="DA74" s="180">
        <f>IFERROR(__xludf.DUMMYFUNCTION("""COMPUTED_VALUE"""),45696.0)</f>
        <v>45696</v>
      </c>
      <c r="DB74" s="179">
        <f>IFERROR(__xludf.DUMMYFUNCTION("""COMPUTED_VALUE"""),0.0)</f>
        <v>0</v>
      </c>
      <c r="DC74" s="180">
        <f>IFERROR(__xludf.DUMMYFUNCTION("""COMPUTED_VALUE"""),45696.0)</f>
        <v>45696</v>
      </c>
      <c r="DD74" s="179">
        <f>IFERROR(__xludf.DUMMYFUNCTION("""COMPUTED_VALUE"""),0.0)</f>
        <v>0</v>
      </c>
      <c r="DE74" s="180">
        <f>IFERROR(__xludf.DUMMYFUNCTION("""COMPUTED_VALUE"""),45696.0)</f>
        <v>45696</v>
      </c>
      <c r="DF74" s="179">
        <f>IFERROR(__xludf.DUMMYFUNCTION("""COMPUTED_VALUE"""),0.0)</f>
        <v>0</v>
      </c>
      <c r="DG74" s="180">
        <f>IFERROR(__xludf.DUMMYFUNCTION("""COMPUTED_VALUE"""),45696.0)</f>
        <v>45696</v>
      </c>
      <c r="DH74" s="179">
        <f>IFERROR(__xludf.DUMMYFUNCTION("""COMPUTED_VALUE"""),0.0)</f>
        <v>0</v>
      </c>
      <c r="DI74" s="180">
        <f>IFERROR(__xludf.DUMMYFUNCTION("""COMPUTED_VALUE"""),45696.0)</f>
        <v>45696</v>
      </c>
      <c r="DJ74" s="179">
        <f>IFERROR(__xludf.DUMMYFUNCTION("""COMPUTED_VALUE"""),0.0)</f>
        <v>0</v>
      </c>
      <c r="DK74" s="180">
        <f>IFERROR(__xludf.DUMMYFUNCTION("""COMPUTED_VALUE"""),45696.0)</f>
        <v>45696</v>
      </c>
      <c r="DL74" s="179">
        <f>IFERROR(__xludf.DUMMYFUNCTION("""COMPUTED_VALUE"""),0.0)</f>
        <v>0</v>
      </c>
      <c r="DM74" s="180">
        <f>IFERROR(__xludf.DUMMYFUNCTION("""COMPUTED_VALUE"""),45696.0)</f>
        <v>45696</v>
      </c>
      <c r="DN74" s="179">
        <f>IFERROR(__xludf.DUMMYFUNCTION("""COMPUTED_VALUE"""),0.0)</f>
        <v>0</v>
      </c>
      <c r="DO74" s="180">
        <f>IFERROR(__xludf.DUMMYFUNCTION("""COMPUTED_VALUE"""),45696.0)</f>
        <v>45696</v>
      </c>
      <c r="DP74" s="179">
        <f>IFERROR(__xludf.DUMMYFUNCTION("""COMPUTED_VALUE"""),0.0)</f>
        <v>0</v>
      </c>
      <c r="DQ74" s="180">
        <f>IFERROR(__xludf.DUMMYFUNCTION("""COMPUTED_VALUE"""),45696.0)</f>
        <v>45696</v>
      </c>
      <c r="DR74" s="179">
        <f>IFERROR(__xludf.DUMMYFUNCTION("""COMPUTED_VALUE"""),0.0)</f>
        <v>0</v>
      </c>
      <c r="DS74" s="182">
        <f>IFERROR(__xludf.DUMMYFUNCTION("""COMPUTED_VALUE"""),45696.0)</f>
        <v>45696</v>
      </c>
      <c r="DT74" s="179">
        <f>IFERROR(__xludf.DUMMYFUNCTION("""COMPUTED_VALUE"""),0.0)</f>
        <v>0</v>
      </c>
      <c r="DU74" s="180">
        <f>IFERROR(__xludf.DUMMYFUNCTION("""COMPUTED_VALUE"""),45696.0)</f>
        <v>45696</v>
      </c>
      <c r="DV74" s="179">
        <f>IFERROR(__xludf.DUMMYFUNCTION("""COMPUTED_VALUE"""),0.0)</f>
        <v>0</v>
      </c>
      <c r="DW74" s="180">
        <f>IFERROR(__xludf.DUMMYFUNCTION("""COMPUTED_VALUE"""),45696.0)</f>
        <v>45696</v>
      </c>
      <c r="DX74" s="179">
        <f>IFERROR(__xludf.DUMMYFUNCTION("""COMPUTED_VALUE"""),0.0)</f>
        <v>0</v>
      </c>
      <c r="DY74" s="180">
        <f>IFERROR(__xludf.DUMMYFUNCTION("""COMPUTED_VALUE"""),45665.0)</f>
        <v>45665</v>
      </c>
      <c r="DZ74" s="179">
        <f>IFERROR(__xludf.DUMMYFUNCTION("""COMPUTED_VALUE"""),0.0)</f>
        <v>0</v>
      </c>
      <c r="EA74" s="180">
        <f>IFERROR(__xludf.DUMMYFUNCTION("""COMPUTED_VALUE"""),45696.0)</f>
        <v>45696</v>
      </c>
      <c r="EB74" s="179">
        <f>IFERROR(__xludf.DUMMYFUNCTION("""COMPUTED_VALUE"""),0.0)</f>
        <v>0</v>
      </c>
      <c r="EC74" s="180">
        <f>IFERROR(__xludf.DUMMYFUNCTION("""COMPUTED_VALUE"""),45696.0)</f>
        <v>45696</v>
      </c>
      <c r="ED74" s="179">
        <f>IFERROR(__xludf.DUMMYFUNCTION("""COMPUTED_VALUE"""),0.0)</f>
        <v>0</v>
      </c>
      <c r="EE74" s="180">
        <f>IFERROR(__xludf.DUMMYFUNCTION("""COMPUTED_VALUE"""),45845.0)</f>
        <v>45845</v>
      </c>
      <c r="EF74" s="179">
        <f>IFERROR(__xludf.DUMMYFUNCTION("""COMPUTED_VALUE"""),0.0)</f>
        <v>0</v>
      </c>
      <c r="EG74" s="180">
        <f>IFERROR(__xludf.DUMMYFUNCTION("""COMPUTED_VALUE"""),45665.0)</f>
        <v>45665</v>
      </c>
      <c r="EH74" s="179">
        <f>IFERROR(__xludf.DUMMYFUNCTION("""COMPUTED_VALUE"""),0.0)</f>
        <v>0</v>
      </c>
      <c r="EI74" s="180">
        <f>IFERROR(__xludf.DUMMYFUNCTION("""COMPUTED_VALUE"""),45696.0)</f>
        <v>45696</v>
      </c>
      <c r="EJ74" s="179">
        <f>IFERROR(__xludf.DUMMYFUNCTION("""COMPUTED_VALUE"""),0.0)</f>
        <v>0</v>
      </c>
      <c r="EK74" s="180">
        <f>IFERROR(__xludf.DUMMYFUNCTION("""COMPUTED_VALUE"""),45665.0)</f>
        <v>45665</v>
      </c>
      <c r="EL74" s="179">
        <f>IFERROR(__xludf.DUMMYFUNCTION("""COMPUTED_VALUE"""),0.0)</f>
        <v>0</v>
      </c>
      <c r="EM74" s="182">
        <f>IFERROR(__xludf.DUMMYFUNCTION("""COMPUTED_VALUE"""),45906.0)</f>
        <v>45906</v>
      </c>
      <c r="EN74" s="179">
        <f>IFERROR(__xludf.DUMMYFUNCTION("""COMPUTED_VALUE"""),0.0)</f>
        <v>0</v>
      </c>
      <c r="EO74" s="180">
        <f>IFERROR(__xludf.DUMMYFUNCTION("""COMPUTED_VALUE"""),45723.0)</f>
        <v>45723</v>
      </c>
      <c r="EP74" s="179">
        <f>IFERROR(__xludf.DUMMYFUNCTION("""COMPUTED_VALUE"""),0.0)</f>
        <v>0</v>
      </c>
      <c r="EQ74" s="180">
        <f>IFERROR(__xludf.DUMMYFUNCTION("""COMPUTED_VALUE"""),45695.0)</f>
        <v>45695</v>
      </c>
      <c r="ER74" s="179">
        <f>IFERROR(__xludf.DUMMYFUNCTION("""COMPUTED_VALUE"""),0.0)</f>
        <v>0</v>
      </c>
      <c r="ES74" s="180">
        <f>IFERROR(__xludf.DUMMYFUNCTION("""COMPUTED_VALUE"""),45723.0)</f>
        <v>45723</v>
      </c>
      <c r="ET74" s="179">
        <f>IFERROR(__xludf.DUMMYFUNCTION("""COMPUTED_VALUE"""),0.0)</f>
        <v>0</v>
      </c>
      <c r="EU74" s="180">
        <f>IFERROR(__xludf.DUMMYFUNCTION("""COMPUTED_VALUE"""),45695.0)</f>
        <v>45695</v>
      </c>
      <c r="EV74" s="179">
        <f>IFERROR(__xludf.DUMMYFUNCTION("""COMPUTED_VALUE"""),0.0)</f>
        <v>0</v>
      </c>
      <c r="EW74" s="180">
        <f>IFERROR(__xludf.DUMMYFUNCTION("""COMPUTED_VALUE"""),45723.0)</f>
        <v>45723</v>
      </c>
      <c r="EX74" s="179">
        <f>IFERROR(__xludf.DUMMYFUNCTION("""COMPUTED_VALUE"""),0.0)</f>
        <v>0</v>
      </c>
      <c r="EY74" s="180">
        <f>IFERROR(__xludf.DUMMYFUNCTION("""COMPUTED_VALUE"""),45723.0)</f>
        <v>45723</v>
      </c>
      <c r="EZ74" s="179">
        <f>IFERROR(__xludf.DUMMYFUNCTION("""COMPUTED_VALUE"""),0.0)</f>
        <v>0</v>
      </c>
      <c r="FA74" s="180">
        <f>IFERROR(__xludf.DUMMYFUNCTION("""COMPUTED_VALUE"""),45695.0)</f>
        <v>45695</v>
      </c>
      <c r="FB74" s="179">
        <f>IFERROR(__xludf.DUMMYFUNCTION("""COMPUTED_VALUE"""),0.0)</f>
        <v>0</v>
      </c>
      <c r="FC74" s="180">
        <f>IFERROR(__xludf.DUMMYFUNCTION("""COMPUTED_VALUE"""),45723.0)</f>
        <v>45723</v>
      </c>
      <c r="FD74" s="179">
        <f>IFERROR(__xludf.DUMMYFUNCTION("""COMPUTED_VALUE"""),0.0)</f>
        <v>0</v>
      </c>
      <c r="FE74" s="180">
        <f>IFERROR(__xludf.DUMMYFUNCTION("""COMPUTED_VALUE"""),45906.0)</f>
        <v>45906</v>
      </c>
      <c r="FF74" s="179">
        <f>IFERROR(__xludf.DUMMYFUNCTION("""COMPUTED_VALUE"""),0.0)</f>
        <v>0</v>
      </c>
      <c r="FG74" s="182">
        <f>IFERROR(__xludf.DUMMYFUNCTION("""COMPUTED_VALUE"""),45723.0)</f>
        <v>45723</v>
      </c>
      <c r="FH74" s="179">
        <f>IFERROR(__xludf.DUMMYFUNCTION("""COMPUTED_VALUE"""),0.0)</f>
        <v>0</v>
      </c>
      <c r="FI74" s="180">
        <f>IFERROR(__xludf.DUMMYFUNCTION("""COMPUTED_VALUE"""),45695.0)</f>
        <v>45695</v>
      </c>
      <c r="FJ74" s="179">
        <f>IFERROR(__xludf.DUMMYFUNCTION("""COMPUTED_VALUE"""),0.0)</f>
        <v>0</v>
      </c>
      <c r="FK74" s="180">
        <f>IFERROR(__xludf.DUMMYFUNCTION("""COMPUTED_VALUE"""),45844.0)</f>
        <v>45844</v>
      </c>
      <c r="FL74" s="179">
        <f>IFERROR(__xludf.DUMMYFUNCTION("""COMPUTED_VALUE"""),0.0)</f>
        <v>0</v>
      </c>
      <c r="FM74" s="180">
        <f>IFERROR(__xludf.DUMMYFUNCTION("""COMPUTED_VALUE"""),45723.0)</f>
        <v>45723</v>
      </c>
      <c r="FN74" s="179">
        <f>IFERROR(__xludf.DUMMYFUNCTION("""COMPUTED_VALUE"""),0.0)</f>
        <v>0</v>
      </c>
      <c r="FO74" s="180">
        <f>IFERROR(__xludf.DUMMYFUNCTION("""COMPUTED_VALUE"""),45723.0)</f>
        <v>45723</v>
      </c>
      <c r="FP74" s="179">
        <f>IFERROR(__xludf.DUMMYFUNCTION("""COMPUTED_VALUE"""),0.0)</f>
        <v>0</v>
      </c>
      <c r="FQ74" s="180">
        <f>IFERROR(__xludf.DUMMYFUNCTION("""COMPUTED_VALUE"""),45723.0)</f>
        <v>45723</v>
      </c>
      <c r="FR74" s="179">
        <f>IFERROR(__xludf.DUMMYFUNCTION("""COMPUTED_VALUE"""),0.0)</f>
        <v>0</v>
      </c>
      <c r="FS74" s="180">
        <f>IFERROR(__xludf.DUMMYFUNCTION("""COMPUTED_VALUE"""),45695.0)</f>
        <v>45695</v>
      </c>
      <c r="FT74" s="179">
        <f>IFERROR(__xludf.DUMMYFUNCTION("""COMPUTED_VALUE"""),0.0)</f>
        <v>0</v>
      </c>
      <c r="FU74" s="180">
        <f>IFERROR(__xludf.DUMMYFUNCTION("""COMPUTED_VALUE"""),45723.0)</f>
        <v>45723</v>
      </c>
      <c r="FV74" s="179">
        <f>IFERROR(__xludf.DUMMYFUNCTION("""COMPUTED_VALUE"""),0.0)</f>
        <v>0</v>
      </c>
      <c r="FW74" s="180">
        <f>IFERROR(__xludf.DUMMYFUNCTION("""COMPUTED_VALUE"""),45723.0)</f>
        <v>45723</v>
      </c>
      <c r="FX74" s="179">
        <f>IFERROR(__xludf.DUMMYFUNCTION("""COMPUTED_VALUE"""),0.0)</f>
        <v>0</v>
      </c>
      <c r="FY74" s="180">
        <f>IFERROR(__xludf.DUMMYFUNCTION("""COMPUTED_VALUE"""),45936.0)</f>
        <v>45936</v>
      </c>
      <c r="FZ74" s="179">
        <f>IFERROR(__xludf.DUMMYFUNCTION("""COMPUTED_VALUE"""),0.0)</f>
        <v>0</v>
      </c>
      <c r="GA74" s="182">
        <f>IFERROR(__xludf.DUMMYFUNCTION("""COMPUTED_VALUE"""),45723.0)</f>
        <v>45723</v>
      </c>
      <c r="GB74" s="179">
        <f>IFERROR(__xludf.DUMMYFUNCTION("""COMPUTED_VALUE"""),0.0)</f>
        <v>0</v>
      </c>
      <c r="GC74" s="180">
        <f>IFERROR(__xludf.DUMMYFUNCTION("""COMPUTED_VALUE"""),45695.0)</f>
        <v>45695</v>
      </c>
      <c r="GD74" s="179">
        <f>IFERROR(__xludf.DUMMYFUNCTION("""COMPUTED_VALUE"""),0.0)</f>
        <v>0</v>
      </c>
      <c r="GE74" s="180">
        <f>IFERROR(__xludf.DUMMYFUNCTION("""COMPUTED_VALUE"""),45695.0)</f>
        <v>45695</v>
      </c>
      <c r="GF74" s="179">
        <f>IFERROR(__xludf.DUMMYFUNCTION("""COMPUTED_VALUE"""),0.0)</f>
        <v>0</v>
      </c>
      <c r="GG74" s="180">
        <f>IFERROR(__xludf.DUMMYFUNCTION("""COMPUTED_VALUE"""),45695.0)</f>
        <v>45695</v>
      </c>
      <c r="GH74" s="179">
        <f>IFERROR(__xludf.DUMMYFUNCTION("""COMPUTED_VALUE"""),0.0)</f>
        <v>0</v>
      </c>
      <c r="GI74" s="180">
        <f>IFERROR(__xludf.DUMMYFUNCTION("""COMPUTED_VALUE"""),45723.0)</f>
        <v>45723</v>
      </c>
      <c r="GJ74" s="179">
        <f>IFERROR(__xludf.DUMMYFUNCTION("""COMPUTED_VALUE"""),0.0)</f>
        <v>0</v>
      </c>
      <c r="GK74" s="180">
        <f>IFERROR(__xludf.DUMMYFUNCTION("""COMPUTED_VALUE"""),45723.0)</f>
        <v>45723</v>
      </c>
      <c r="GL74" s="179">
        <f>IFERROR(__xludf.DUMMYFUNCTION("""COMPUTED_VALUE"""),0.0)</f>
        <v>0</v>
      </c>
      <c r="GM74" s="180">
        <f>IFERROR(__xludf.DUMMYFUNCTION("""COMPUTED_VALUE"""),45936.0)</f>
        <v>45936</v>
      </c>
      <c r="GN74" s="179">
        <f>IFERROR(__xludf.DUMMYFUNCTION("""COMPUTED_VALUE"""),0.0)</f>
        <v>0</v>
      </c>
      <c r="GO74" s="180">
        <f>IFERROR(__xludf.DUMMYFUNCTION("""COMPUTED_VALUE"""),45723.0)</f>
        <v>45723</v>
      </c>
      <c r="GP74" s="179">
        <f>IFERROR(__xludf.DUMMYFUNCTION("""COMPUTED_VALUE"""),0.0)</f>
        <v>0</v>
      </c>
      <c r="GQ74" s="180">
        <f>IFERROR(__xludf.DUMMYFUNCTION("""COMPUTED_VALUE"""),45723.0)</f>
        <v>45723</v>
      </c>
      <c r="GR74" s="179">
        <f>IFERROR(__xludf.DUMMYFUNCTION("""COMPUTED_VALUE"""),0.0)</f>
        <v>0</v>
      </c>
      <c r="GS74" s="180">
        <f>IFERROR(__xludf.DUMMYFUNCTION("""COMPUTED_VALUE"""),45664.0)</f>
        <v>45664</v>
      </c>
      <c r="GT74" s="179">
        <f>IFERROR(__xludf.DUMMYFUNCTION("""COMPUTED_VALUE"""),0.0)</f>
        <v>0</v>
      </c>
    </row>
    <row r="75" ht="31.5" customHeight="1">
      <c r="B75" s="183"/>
      <c r="C75" s="178">
        <f>IFERROR(__xludf.DUMMYFUNCTION("""COMPUTED_VALUE"""),45724.0)</f>
        <v>45724</v>
      </c>
      <c r="D75" s="179">
        <f>IFERROR(__xludf.DUMMYFUNCTION("""COMPUTED_VALUE"""),0.0)</f>
        <v>0</v>
      </c>
      <c r="E75" s="180">
        <f>IFERROR(__xludf.DUMMYFUNCTION("""COMPUTED_VALUE"""),45665.0)</f>
        <v>45665</v>
      </c>
      <c r="F75" s="179">
        <f>IFERROR(__xludf.DUMMYFUNCTION("""COMPUTED_VALUE"""),0.0)</f>
        <v>0</v>
      </c>
      <c r="G75" s="180">
        <f>IFERROR(__xludf.DUMMYFUNCTION("""COMPUTED_VALUE"""),45665.0)</f>
        <v>45665</v>
      </c>
      <c r="H75" s="179">
        <f>IFERROR(__xludf.DUMMYFUNCTION("""COMPUTED_VALUE"""),0.0)</f>
        <v>0</v>
      </c>
      <c r="I75" s="180">
        <f>IFERROR(__xludf.DUMMYFUNCTION("""COMPUTED_VALUE"""),45724.0)</f>
        <v>45724</v>
      </c>
      <c r="J75" s="179">
        <f>IFERROR(__xludf.DUMMYFUNCTION("""COMPUTED_VALUE"""),0.0)</f>
        <v>0</v>
      </c>
      <c r="K75" s="180">
        <f>IFERROR(__xludf.DUMMYFUNCTION("""COMPUTED_VALUE"""),45724.0)</f>
        <v>45724</v>
      </c>
      <c r="L75" s="179">
        <f>IFERROR(__xludf.DUMMYFUNCTION("""COMPUTED_VALUE"""),0.0)</f>
        <v>0</v>
      </c>
      <c r="M75" s="180">
        <f>IFERROR(__xludf.DUMMYFUNCTION("""COMPUTED_VALUE"""),45724.0)</f>
        <v>45724</v>
      </c>
      <c r="N75" s="179">
        <f>IFERROR(__xludf.DUMMYFUNCTION("""COMPUTED_VALUE"""),0.0)</f>
        <v>0</v>
      </c>
      <c r="O75" s="180">
        <f>IFERROR(__xludf.DUMMYFUNCTION("""COMPUTED_VALUE"""),45665.0)</f>
        <v>45665</v>
      </c>
      <c r="P75" s="179">
        <f>IFERROR(__xludf.DUMMYFUNCTION("""COMPUTED_VALUE"""),0.0)</f>
        <v>0</v>
      </c>
      <c r="Q75" s="180">
        <f>IFERROR(__xludf.DUMMYFUNCTION("""COMPUTED_VALUE"""),45724.0)</f>
        <v>45724</v>
      </c>
      <c r="R75" s="179">
        <f>IFERROR(__xludf.DUMMYFUNCTION("""COMPUTED_VALUE"""),0.0)</f>
        <v>0</v>
      </c>
      <c r="S75" s="180">
        <f>IFERROR(__xludf.DUMMYFUNCTION("""COMPUTED_VALUE"""),45665.0)</f>
        <v>45665</v>
      </c>
      <c r="T75" s="179">
        <f>IFERROR(__xludf.DUMMYFUNCTION("""COMPUTED_VALUE"""),0.0)</f>
        <v>0</v>
      </c>
      <c r="U75" s="180">
        <f>IFERROR(__xludf.DUMMYFUNCTION("""COMPUTED_VALUE"""),45696.0)</f>
        <v>45696</v>
      </c>
      <c r="V75" s="181">
        <f>IFERROR(__xludf.DUMMYFUNCTION("""COMPUTED_VALUE"""),0.0)</f>
        <v>0</v>
      </c>
      <c r="W75" s="178">
        <f>IFERROR(__xludf.DUMMYFUNCTION("""COMPUTED_VALUE"""),45724.0)</f>
        <v>45724</v>
      </c>
      <c r="X75" s="179">
        <f>IFERROR(__xludf.DUMMYFUNCTION("""COMPUTED_VALUE"""),0.0)</f>
        <v>0</v>
      </c>
      <c r="Y75" s="180">
        <f>IFERROR(__xludf.DUMMYFUNCTION("""COMPUTED_VALUE"""),45876.0)</f>
        <v>45876</v>
      </c>
      <c r="Z75" s="179">
        <f>IFERROR(__xludf.DUMMYFUNCTION("""COMPUTED_VALUE"""),0.0)</f>
        <v>0</v>
      </c>
      <c r="AA75" s="180">
        <f>IFERROR(__xludf.DUMMYFUNCTION("""COMPUTED_VALUE"""),45696.0)</f>
        <v>45696</v>
      </c>
      <c r="AB75" s="179">
        <f>IFERROR(__xludf.DUMMYFUNCTION("""COMPUTED_VALUE"""),0.0)</f>
        <v>0</v>
      </c>
      <c r="AC75" s="180">
        <f>IFERROR(__xludf.DUMMYFUNCTION("""COMPUTED_VALUE"""),45815.0)</f>
        <v>45815</v>
      </c>
      <c r="AD75" s="179">
        <f>IFERROR(__xludf.DUMMYFUNCTION("""COMPUTED_VALUE"""),0.0)</f>
        <v>0</v>
      </c>
      <c r="AE75" s="180">
        <f>IFERROR(__xludf.DUMMYFUNCTION("""COMPUTED_VALUE"""),45907.0)</f>
        <v>45907</v>
      </c>
      <c r="AF75" s="179">
        <f>IFERROR(__xludf.DUMMYFUNCTION("""COMPUTED_VALUE"""),0.0)</f>
        <v>0</v>
      </c>
      <c r="AG75" s="180">
        <f>IFERROR(__xludf.DUMMYFUNCTION("""COMPUTED_VALUE"""),45724.0)</f>
        <v>45724</v>
      </c>
      <c r="AH75" s="179">
        <f>IFERROR(__xludf.DUMMYFUNCTION("""COMPUTED_VALUE"""),0.0)</f>
        <v>0</v>
      </c>
      <c r="AI75" s="180">
        <f>IFERROR(__xludf.DUMMYFUNCTION("""COMPUTED_VALUE"""),45845.0)</f>
        <v>45845</v>
      </c>
      <c r="AJ75" s="179">
        <f>IFERROR(__xludf.DUMMYFUNCTION("""COMPUTED_VALUE"""),0.0)</f>
        <v>0</v>
      </c>
      <c r="AK75" s="180">
        <f>IFERROR(__xludf.DUMMYFUNCTION("""COMPUTED_VALUE"""),45937.0)</f>
        <v>45937</v>
      </c>
      <c r="AL75" s="179">
        <f>IFERROR(__xludf.DUMMYFUNCTION("""COMPUTED_VALUE"""),0.0)</f>
        <v>0</v>
      </c>
      <c r="AM75" s="180">
        <f>IFERROR(__xludf.DUMMYFUNCTION("""COMPUTED_VALUE"""),45724.0)</f>
        <v>45724</v>
      </c>
      <c r="AN75" s="179">
        <f>IFERROR(__xludf.DUMMYFUNCTION("""COMPUTED_VALUE"""),0.0)</f>
        <v>0</v>
      </c>
      <c r="AO75" s="180">
        <f>IFERROR(__xludf.DUMMYFUNCTION("""COMPUTED_VALUE"""),45907.0)</f>
        <v>45907</v>
      </c>
      <c r="AP75" s="181">
        <f>IFERROR(__xludf.DUMMYFUNCTION("""COMPUTED_VALUE"""),0.0)</f>
        <v>0</v>
      </c>
      <c r="AQ75" s="178">
        <f>IFERROR(__xludf.DUMMYFUNCTION("""COMPUTED_VALUE"""),45724.0)</f>
        <v>45724</v>
      </c>
      <c r="AR75" s="179">
        <f>IFERROR(__xludf.DUMMYFUNCTION("""COMPUTED_VALUE"""),0.0)</f>
        <v>0</v>
      </c>
      <c r="AS75" s="180">
        <f>IFERROR(__xludf.DUMMYFUNCTION("""COMPUTED_VALUE"""),45724.0)</f>
        <v>45724</v>
      </c>
      <c r="AT75" s="179">
        <f>IFERROR(__xludf.DUMMYFUNCTION("""COMPUTED_VALUE"""),0.0)</f>
        <v>0</v>
      </c>
      <c r="AU75" s="180">
        <f>IFERROR(__xludf.DUMMYFUNCTION("""COMPUTED_VALUE"""),45696.0)</f>
        <v>45696</v>
      </c>
      <c r="AV75" s="179">
        <f>IFERROR(__xludf.DUMMYFUNCTION("""COMPUTED_VALUE"""),0.0)</f>
        <v>0</v>
      </c>
      <c r="AW75" s="180">
        <f>IFERROR(__xludf.DUMMYFUNCTION("""COMPUTED_VALUE"""),45696.0)</f>
        <v>45696</v>
      </c>
      <c r="AX75" s="179">
        <f>IFERROR(__xludf.DUMMYFUNCTION("""COMPUTED_VALUE"""),0.0)</f>
        <v>0</v>
      </c>
      <c r="AY75" s="180">
        <f>IFERROR(__xludf.DUMMYFUNCTION("""COMPUTED_VALUE"""),45724.0)</f>
        <v>45724</v>
      </c>
      <c r="AZ75" s="179">
        <f>IFERROR(__xludf.DUMMYFUNCTION("""COMPUTED_VALUE"""),0.0)</f>
        <v>0</v>
      </c>
      <c r="BA75" s="180">
        <f>IFERROR(__xludf.DUMMYFUNCTION("""COMPUTED_VALUE"""),45724.0)</f>
        <v>45724</v>
      </c>
      <c r="BB75" s="179">
        <f>IFERROR(__xludf.DUMMYFUNCTION("""COMPUTED_VALUE"""),0.0)</f>
        <v>0</v>
      </c>
      <c r="BC75" s="180">
        <f>IFERROR(__xludf.DUMMYFUNCTION("""COMPUTED_VALUE"""),45696.0)</f>
        <v>45696</v>
      </c>
      <c r="BD75" s="179">
        <f>IFERROR(__xludf.DUMMYFUNCTION("""COMPUTED_VALUE"""),0.0)</f>
        <v>0</v>
      </c>
      <c r="BE75" s="180">
        <f>IFERROR(__xludf.DUMMYFUNCTION("""COMPUTED_VALUE"""),45724.0)</f>
        <v>45724</v>
      </c>
      <c r="BF75" s="179">
        <f>IFERROR(__xludf.DUMMYFUNCTION("""COMPUTED_VALUE"""),0.0)</f>
        <v>0</v>
      </c>
      <c r="BG75" s="180">
        <f>IFERROR(__xludf.DUMMYFUNCTION("""COMPUTED_VALUE"""),45696.0)</f>
        <v>45696</v>
      </c>
      <c r="BH75" s="179">
        <f>IFERROR(__xludf.DUMMYFUNCTION("""COMPUTED_VALUE"""),0.0)</f>
        <v>0</v>
      </c>
      <c r="BI75" s="180">
        <f>IFERROR(__xludf.DUMMYFUNCTION("""COMPUTED_VALUE"""),45724.0)</f>
        <v>45724</v>
      </c>
      <c r="BJ75" s="179">
        <f>IFERROR(__xludf.DUMMYFUNCTION("""COMPUTED_VALUE"""),0.0)</f>
        <v>0</v>
      </c>
      <c r="BK75" s="182">
        <f>IFERROR(__xludf.DUMMYFUNCTION("""COMPUTED_VALUE"""),45724.0)</f>
        <v>45724</v>
      </c>
      <c r="BL75" s="179">
        <f>IFERROR(__xludf.DUMMYFUNCTION("""COMPUTED_VALUE"""),0.0)</f>
        <v>0</v>
      </c>
      <c r="BM75" s="180">
        <f>IFERROR(__xludf.DUMMYFUNCTION("""COMPUTED_VALUE"""),45724.0)</f>
        <v>45724</v>
      </c>
      <c r="BN75" s="179">
        <f>IFERROR(__xludf.DUMMYFUNCTION("""COMPUTED_VALUE"""),0.0)</f>
        <v>0</v>
      </c>
      <c r="BO75" s="180">
        <f>IFERROR(__xludf.DUMMYFUNCTION("""COMPUTED_VALUE"""),45696.0)</f>
        <v>45696</v>
      </c>
      <c r="BP75" s="179">
        <f>IFERROR(__xludf.DUMMYFUNCTION("""COMPUTED_VALUE"""),0.0)</f>
        <v>0</v>
      </c>
      <c r="BQ75" s="180">
        <f>IFERROR(__xludf.DUMMYFUNCTION("""COMPUTED_VALUE"""),45696.0)</f>
        <v>45696</v>
      </c>
      <c r="BR75" s="179">
        <f>IFERROR(__xludf.DUMMYFUNCTION("""COMPUTED_VALUE"""),0.0)</f>
        <v>0</v>
      </c>
      <c r="BS75" s="180">
        <f>IFERROR(__xludf.DUMMYFUNCTION("""COMPUTED_VALUE"""),45724.0)</f>
        <v>45724</v>
      </c>
      <c r="BT75" s="179">
        <f>IFERROR(__xludf.DUMMYFUNCTION("""COMPUTED_VALUE"""),0.0)</f>
        <v>0</v>
      </c>
      <c r="BU75" s="180">
        <f>IFERROR(__xludf.DUMMYFUNCTION("""COMPUTED_VALUE"""),45724.0)</f>
        <v>45724</v>
      </c>
      <c r="BV75" s="179">
        <f>IFERROR(__xludf.DUMMYFUNCTION("""COMPUTED_VALUE"""),0.0)</f>
        <v>0</v>
      </c>
      <c r="BW75" s="180">
        <f>IFERROR(__xludf.DUMMYFUNCTION("""COMPUTED_VALUE"""),45724.0)</f>
        <v>45724</v>
      </c>
      <c r="BX75" s="179">
        <f>IFERROR(__xludf.DUMMYFUNCTION("""COMPUTED_VALUE"""),0.0)</f>
        <v>0</v>
      </c>
      <c r="BY75" s="180">
        <f>IFERROR(__xludf.DUMMYFUNCTION("""COMPUTED_VALUE"""),45696.0)</f>
        <v>45696</v>
      </c>
      <c r="BZ75" s="179">
        <f>IFERROR(__xludf.DUMMYFUNCTION("""COMPUTED_VALUE"""),0.0)</f>
        <v>0</v>
      </c>
      <c r="CA75" s="180">
        <f>IFERROR(__xludf.DUMMYFUNCTION("""COMPUTED_VALUE"""),45724.0)</f>
        <v>45724</v>
      </c>
      <c r="CB75" s="179">
        <f>IFERROR(__xludf.DUMMYFUNCTION("""COMPUTED_VALUE"""),0.0)</f>
        <v>0</v>
      </c>
      <c r="CC75" s="180">
        <f>IFERROR(__xludf.DUMMYFUNCTION("""COMPUTED_VALUE"""),45724.0)</f>
        <v>45724</v>
      </c>
      <c r="CD75" s="179">
        <f>IFERROR(__xludf.DUMMYFUNCTION("""COMPUTED_VALUE"""),0.0)</f>
        <v>0</v>
      </c>
      <c r="CE75" s="182">
        <f>IFERROR(__xludf.DUMMYFUNCTION("""COMPUTED_VALUE"""),45724.0)</f>
        <v>45724</v>
      </c>
      <c r="CF75" s="179">
        <f>IFERROR(__xludf.DUMMYFUNCTION("""COMPUTED_VALUE"""),0.0)</f>
        <v>0</v>
      </c>
      <c r="CG75" s="180">
        <f>IFERROR(__xludf.DUMMYFUNCTION("""COMPUTED_VALUE"""),45907.0)</f>
        <v>45907</v>
      </c>
      <c r="CH75" s="179">
        <f>IFERROR(__xludf.DUMMYFUNCTION("""COMPUTED_VALUE"""),0.0)</f>
        <v>0</v>
      </c>
      <c r="CI75" s="180">
        <f>IFERROR(__xludf.DUMMYFUNCTION("""COMPUTED_VALUE"""),45907.0)</f>
        <v>45907</v>
      </c>
      <c r="CJ75" s="179">
        <f>IFERROR(__xludf.DUMMYFUNCTION("""COMPUTED_VALUE"""),0.0)</f>
        <v>0</v>
      </c>
      <c r="CK75" s="180">
        <f>IFERROR(__xludf.DUMMYFUNCTION("""COMPUTED_VALUE"""),45937.0)</f>
        <v>45937</v>
      </c>
      <c r="CL75" s="179">
        <f>IFERROR(__xludf.DUMMYFUNCTION("""COMPUTED_VALUE"""),0.0)</f>
        <v>0</v>
      </c>
      <c r="CM75" s="180">
        <f>IFERROR(__xludf.DUMMYFUNCTION("""COMPUTED_VALUE"""),45696.0)</f>
        <v>45696</v>
      </c>
      <c r="CN75" s="179">
        <f>IFERROR(__xludf.DUMMYFUNCTION("""COMPUTED_VALUE"""),0.0)</f>
        <v>0</v>
      </c>
      <c r="CO75" s="180">
        <f>IFERROR(__xludf.DUMMYFUNCTION("""COMPUTED_VALUE"""),45665.0)</f>
        <v>45665</v>
      </c>
      <c r="CP75" s="179">
        <f>IFERROR(__xludf.DUMMYFUNCTION("""COMPUTED_VALUE"""),0.0)</f>
        <v>0</v>
      </c>
      <c r="CQ75" s="180">
        <f>IFERROR(__xludf.DUMMYFUNCTION("""COMPUTED_VALUE"""),45907.0)</f>
        <v>45907</v>
      </c>
      <c r="CR75" s="179">
        <f>IFERROR(__xludf.DUMMYFUNCTION("""COMPUTED_VALUE"""),0.0)</f>
        <v>0</v>
      </c>
      <c r="CS75" s="180">
        <f>IFERROR(__xludf.DUMMYFUNCTION("""COMPUTED_VALUE"""),45665.0)</f>
        <v>45665</v>
      </c>
      <c r="CT75" s="179">
        <f>IFERROR(__xludf.DUMMYFUNCTION("""COMPUTED_VALUE"""),0.0)</f>
        <v>0</v>
      </c>
      <c r="CU75" s="180">
        <f>IFERROR(__xludf.DUMMYFUNCTION("""COMPUTED_VALUE"""),45724.0)</f>
        <v>45724</v>
      </c>
      <c r="CV75" s="179">
        <f>IFERROR(__xludf.DUMMYFUNCTION("""COMPUTED_VALUE"""),0.0)</f>
        <v>0</v>
      </c>
      <c r="CW75" s="180">
        <f>IFERROR(__xludf.DUMMYFUNCTION("""COMPUTED_VALUE"""),45784.0)</f>
        <v>45784</v>
      </c>
      <c r="CX75" s="179">
        <f>IFERROR(__xludf.DUMMYFUNCTION("""COMPUTED_VALUE"""),0.0)</f>
        <v>0</v>
      </c>
      <c r="CY75" s="182">
        <f>IFERROR(__xludf.DUMMYFUNCTION("""COMPUTED_VALUE"""),45724.0)</f>
        <v>45724</v>
      </c>
      <c r="CZ75" s="179">
        <f>IFERROR(__xludf.DUMMYFUNCTION("""COMPUTED_VALUE"""),0.0)</f>
        <v>0</v>
      </c>
      <c r="DA75" s="180">
        <f>IFERROR(__xludf.DUMMYFUNCTION("""COMPUTED_VALUE"""),45724.0)</f>
        <v>45724</v>
      </c>
      <c r="DB75" s="179">
        <f>IFERROR(__xludf.DUMMYFUNCTION("""COMPUTED_VALUE"""),0.0)</f>
        <v>0</v>
      </c>
      <c r="DC75" s="180">
        <f>IFERROR(__xludf.DUMMYFUNCTION("""COMPUTED_VALUE"""),45724.0)</f>
        <v>45724</v>
      </c>
      <c r="DD75" s="179">
        <f>IFERROR(__xludf.DUMMYFUNCTION("""COMPUTED_VALUE"""),0.0)</f>
        <v>0</v>
      </c>
      <c r="DE75" s="180">
        <f>IFERROR(__xludf.DUMMYFUNCTION("""COMPUTED_VALUE"""),45724.0)</f>
        <v>45724</v>
      </c>
      <c r="DF75" s="179">
        <f>IFERROR(__xludf.DUMMYFUNCTION("""COMPUTED_VALUE"""),0.0)</f>
        <v>0</v>
      </c>
      <c r="DG75" s="180">
        <f>IFERROR(__xludf.DUMMYFUNCTION("""COMPUTED_VALUE"""),45724.0)</f>
        <v>45724</v>
      </c>
      <c r="DH75" s="179">
        <f>IFERROR(__xludf.DUMMYFUNCTION("""COMPUTED_VALUE"""),0.0)</f>
        <v>0</v>
      </c>
      <c r="DI75" s="180">
        <f>IFERROR(__xludf.DUMMYFUNCTION("""COMPUTED_VALUE"""),45724.0)</f>
        <v>45724</v>
      </c>
      <c r="DJ75" s="179">
        <f>IFERROR(__xludf.DUMMYFUNCTION("""COMPUTED_VALUE"""),0.0)</f>
        <v>0</v>
      </c>
      <c r="DK75" s="180">
        <f>IFERROR(__xludf.DUMMYFUNCTION("""COMPUTED_VALUE"""),45724.0)</f>
        <v>45724</v>
      </c>
      <c r="DL75" s="179">
        <f>IFERROR(__xludf.DUMMYFUNCTION("""COMPUTED_VALUE"""),0.0)</f>
        <v>0</v>
      </c>
      <c r="DM75" s="180">
        <f>IFERROR(__xludf.DUMMYFUNCTION("""COMPUTED_VALUE"""),45724.0)</f>
        <v>45724</v>
      </c>
      <c r="DN75" s="179">
        <f>IFERROR(__xludf.DUMMYFUNCTION("""COMPUTED_VALUE"""),0.0)</f>
        <v>0</v>
      </c>
      <c r="DO75" s="180">
        <f>IFERROR(__xludf.DUMMYFUNCTION("""COMPUTED_VALUE"""),45724.0)</f>
        <v>45724</v>
      </c>
      <c r="DP75" s="179">
        <f>IFERROR(__xludf.DUMMYFUNCTION("""COMPUTED_VALUE"""),0.0)</f>
        <v>0</v>
      </c>
      <c r="DQ75" s="180">
        <f>IFERROR(__xludf.DUMMYFUNCTION("""COMPUTED_VALUE"""),45724.0)</f>
        <v>45724</v>
      </c>
      <c r="DR75" s="179">
        <f>IFERROR(__xludf.DUMMYFUNCTION("""COMPUTED_VALUE"""),0.0)</f>
        <v>0</v>
      </c>
      <c r="DS75" s="182">
        <f>IFERROR(__xludf.DUMMYFUNCTION("""COMPUTED_VALUE"""),45724.0)</f>
        <v>45724</v>
      </c>
      <c r="DT75" s="179">
        <f>IFERROR(__xludf.DUMMYFUNCTION("""COMPUTED_VALUE"""),0.0)</f>
        <v>0</v>
      </c>
      <c r="DU75" s="180">
        <f>IFERROR(__xludf.DUMMYFUNCTION("""COMPUTED_VALUE"""),45724.0)</f>
        <v>45724</v>
      </c>
      <c r="DV75" s="179">
        <f>IFERROR(__xludf.DUMMYFUNCTION("""COMPUTED_VALUE"""),0.0)</f>
        <v>0</v>
      </c>
      <c r="DW75" s="180">
        <f>IFERROR(__xludf.DUMMYFUNCTION("""COMPUTED_VALUE"""),45724.0)</f>
        <v>45724</v>
      </c>
      <c r="DX75" s="179">
        <f>IFERROR(__xludf.DUMMYFUNCTION("""COMPUTED_VALUE"""),0.0)</f>
        <v>0</v>
      </c>
      <c r="DY75" s="180">
        <f>IFERROR(__xludf.DUMMYFUNCTION("""COMPUTED_VALUE"""),45696.0)</f>
        <v>45696</v>
      </c>
      <c r="DZ75" s="179">
        <f>IFERROR(__xludf.DUMMYFUNCTION("""COMPUTED_VALUE"""),0.0)</f>
        <v>0</v>
      </c>
      <c r="EA75" s="180">
        <f>IFERROR(__xludf.DUMMYFUNCTION("""COMPUTED_VALUE"""),45724.0)</f>
        <v>45724</v>
      </c>
      <c r="EB75" s="179">
        <f>IFERROR(__xludf.DUMMYFUNCTION("""COMPUTED_VALUE"""),0.0)</f>
        <v>0</v>
      </c>
      <c r="EC75" s="180">
        <f>IFERROR(__xludf.DUMMYFUNCTION("""COMPUTED_VALUE"""),45724.0)</f>
        <v>45724</v>
      </c>
      <c r="ED75" s="179">
        <f>IFERROR(__xludf.DUMMYFUNCTION("""COMPUTED_VALUE"""),0.0)</f>
        <v>0</v>
      </c>
      <c r="EE75" s="180">
        <f>IFERROR(__xludf.DUMMYFUNCTION("""COMPUTED_VALUE"""),45696.0)</f>
        <v>45696</v>
      </c>
      <c r="EF75" s="179">
        <f>IFERROR(__xludf.DUMMYFUNCTION("""COMPUTED_VALUE"""),0.0)</f>
        <v>0</v>
      </c>
      <c r="EG75" s="180">
        <f>IFERROR(__xludf.DUMMYFUNCTION("""COMPUTED_VALUE"""),45696.0)</f>
        <v>45696</v>
      </c>
      <c r="EH75" s="179">
        <f>IFERROR(__xludf.DUMMYFUNCTION("""COMPUTED_VALUE"""),0.0)</f>
        <v>0</v>
      </c>
      <c r="EI75" s="180">
        <f>IFERROR(__xludf.DUMMYFUNCTION("""COMPUTED_VALUE"""),45724.0)</f>
        <v>45724</v>
      </c>
      <c r="EJ75" s="179">
        <f>IFERROR(__xludf.DUMMYFUNCTION("""COMPUTED_VALUE"""),0.0)</f>
        <v>0</v>
      </c>
      <c r="EK75" s="180">
        <f>IFERROR(__xludf.DUMMYFUNCTION("""COMPUTED_VALUE"""),45696.0)</f>
        <v>45696</v>
      </c>
      <c r="EL75" s="179">
        <f>IFERROR(__xludf.DUMMYFUNCTION("""COMPUTED_VALUE"""),0.0)</f>
        <v>0</v>
      </c>
      <c r="EM75" s="182">
        <f>IFERROR(__xludf.DUMMYFUNCTION("""COMPUTED_VALUE"""),45936.0)</f>
        <v>45936</v>
      </c>
      <c r="EN75" s="179">
        <f>IFERROR(__xludf.DUMMYFUNCTION("""COMPUTED_VALUE"""),0.0)</f>
        <v>0</v>
      </c>
      <c r="EO75" s="180">
        <f>IFERROR(__xludf.DUMMYFUNCTION("""COMPUTED_VALUE"""),45754.0)</f>
        <v>45754</v>
      </c>
      <c r="EP75" s="179">
        <f>IFERROR(__xludf.DUMMYFUNCTION("""COMPUTED_VALUE"""),0.0)</f>
        <v>0</v>
      </c>
      <c r="EQ75" s="180">
        <f>IFERROR(__xludf.DUMMYFUNCTION("""COMPUTED_VALUE"""),45723.0)</f>
        <v>45723</v>
      </c>
      <c r="ER75" s="179">
        <f>IFERROR(__xludf.DUMMYFUNCTION("""COMPUTED_VALUE"""),0.0)</f>
        <v>0</v>
      </c>
      <c r="ES75" s="180">
        <f>IFERROR(__xludf.DUMMYFUNCTION("""COMPUTED_VALUE"""),45754.0)</f>
        <v>45754</v>
      </c>
      <c r="ET75" s="179">
        <f>IFERROR(__xludf.DUMMYFUNCTION("""COMPUTED_VALUE"""),0.0)</f>
        <v>0</v>
      </c>
      <c r="EU75" s="180">
        <f>IFERROR(__xludf.DUMMYFUNCTION("""COMPUTED_VALUE"""),45723.0)</f>
        <v>45723</v>
      </c>
      <c r="EV75" s="179">
        <f>IFERROR(__xludf.DUMMYFUNCTION("""COMPUTED_VALUE"""),0.0)</f>
        <v>0</v>
      </c>
      <c r="EW75" s="180">
        <f>IFERROR(__xludf.DUMMYFUNCTION("""COMPUTED_VALUE"""),45754.0)</f>
        <v>45754</v>
      </c>
      <c r="EX75" s="179">
        <f>IFERROR(__xludf.DUMMYFUNCTION("""COMPUTED_VALUE"""),0.0)</f>
        <v>0</v>
      </c>
      <c r="EY75" s="180">
        <f>IFERROR(__xludf.DUMMYFUNCTION("""COMPUTED_VALUE"""),45754.0)</f>
        <v>45754</v>
      </c>
      <c r="EZ75" s="179">
        <f>IFERROR(__xludf.DUMMYFUNCTION("""COMPUTED_VALUE"""),0.0)</f>
        <v>0</v>
      </c>
      <c r="FA75" s="180">
        <f>IFERROR(__xludf.DUMMYFUNCTION("""COMPUTED_VALUE"""),45723.0)</f>
        <v>45723</v>
      </c>
      <c r="FB75" s="179">
        <f>IFERROR(__xludf.DUMMYFUNCTION("""COMPUTED_VALUE"""),0.0)</f>
        <v>0</v>
      </c>
      <c r="FC75" s="180">
        <f>IFERROR(__xludf.DUMMYFUNCTION("""COMPUTED_VALUE"""),45754.0)</f>
        <v>45754</v>
      </c>
      <c r="FD75" s="179">
        <f>IFERROR(__xludf.DUMMYFUNCTION("""COMPUTED_VALUE"""),0.0)</f>
        <v>0</v>
      </c>
      <c r="FE75" s="180">
        <f>IFERROR(__xludf.DUMMYFUNCTION("""COMPUTED_VALUE"""),45936.0)</f>
        <v>45936</v>
      </c>
      <c r="FF75" s="179">
        <f>IFERROR(__xludf.DUMMYFUNCTION("""COMPUTED_VALUE"""),0.0)</f>
        <v>0</v>
      </c>
      <c r="FG75" s="182">
        <f>IFERROR(__xludf.DUMMYFUNCTION("""COMPUTED_VALUE"""),45754.0)</f>
        <v>45754</v>
      </c>
      <c r="FH75" s="179">
        <f>IFERROR(__xludf.DUMMYFUNCTION("""COMPUTED_VALUE"""),0.0)</f>
        <v>0</v>
      </c>
      <c r="FI75" s="180">
        <f>IFERROR(__xludf.DUMMYFUNCTION("""COMPUTED_VALUE"""),45723.0)</f>
        <v>45723</v>
      </c>
      <c r="FJ75" s="179">
        <f>IFERROR(__xludf.DUMMYFUNCTION("""COMPUTED_VALUE"""),0.0)</f>
        <v>0</v>
      </c>
      <c r="FK75" s="180">
        <f>IFERROR(__xludf.DUMMYFUNCTION("""COMPUTED_VALUE"""),45875.0)</f>
        <v>45875</v>
      </c>
      <c r="FL75" s="179">
        <f>IFERROR(__xludf.DUMMYFUNCTION("""COMPUTED_VALUE"""),0.0)</f>
        <v>0</v>
      </c>
      <c r="FM75" s="180">
        <f>IFERROR(__xludf.DUMMYFUNCTION("""COMPUTED_VALUE"""),45754.0)</f>
        <v>45754</v>
      </c>
      <c r="FN75" s="179">
        <f>IFERROR(__xludf.DUMMYFUNCTION("""COMPUTED_VALUE"""),0.0)</f>
        <v>0</v>
      </c>
      <c r="FO75" s="180">
        <f>IFERROR(__xludf.DUMMYFUNCTION("""COMPUTED_VALUE"""),45754.0)</f>
        <v>45754</v>
      </c>
      <c r="FP75" s="179">
        <f>IFERROR(__xludf.DUMMYFUNCTION("""COMPUTED_VALUE"""),0.0)</f>
        <v>0</v>
      </c>
      <c r="FQ75" s="180">
        <f>IFERROR(__xludf.DUMMYFUNCTION("""COMPUTED_VALUE"""),45754.0)</f>
        <v>45754</v>
      </c>
      <c r="FR75" s="179">
        <f>IFERROR(__xludf.DUMMYFUNCTION("""COMPUTED_VALUE"""),0.0)</f>
        <v>0</v>
      </c>
      <c r="FS75" s="180">
        <f>IFERROR(__xludf.DUMMYFUNCTION("""COMPUTED_VALUE"""),45723.0)</f>
        <v>45723</v>
      </c>
      <c r="FT75" s="179">
        <f>IFERROR(__xludf.DUMMYFUNCTION("""COMPUTED_VALUE"""),0.0)</f>
        <v>0</v>
      </c>
      <c r="FU75" s="180">
        <f>IFERROR(__xludf.DUMMYFUNCTION("""COMPUTED_VALUE"""),45754.0)</f>
        <v>45754</v>
      </c>
      <c r="FV75" s="179">
        <f>IFERROR(__xludf.DUMMYFUNCTION("""COMPUTED_VALUE"""),0.0)</f>
        <v>0</v>
      </c>
      <c r="FW75" s="180">
        <f>IFERROR(__xludf.DUMMYFUNCTION("""COMPUTED_VALUE"""),45754.0)</f>
        <v>45754</v>
      </c>
      <c r="FX75" s="179">
        <f>IFERROR(__xludf.DUMMYFUNCTION("""COMPUTED_VALUE"""),0.0)</f>
        <v>0</v>
      </c>
      <c r="FY75" s="180">
        <f>IFERROR(__xludf.DUMMYFUNCTION("""COMPUTED_VALUE"""),45664.0)</f>
        <v>45664</v>
      </c>
      <c r="FZ75" s="179">
        <f>IFERROR(__xludf.DUMMYFUNCTION("""COMPUTED_VALUE"""),0.0)</f>
        <v>0</v>
      </c>
      <c r="GA75" s="182">
        <f>IFERROR(__xludf.DUMMYFUNCTION("""COMPUTED_VALUE"""),45754.0)</f>
        <v>45754</v>
      </c>
      <c r="GB75" s="179">
        <f>IFERROR(__xludf.DUMMYFUNCTION("""COMPUTED_VALUE"""),0.0)</f>
        <v>0</v>
      </c>
      <c r="GC75" s="180">
        <f>IFERROR(__xludf.DUMMYFUNCTION("""COMPUTED_VALUE"""),45723.0)</f>
        <v>45723</v>
      </c>
      <c r="GD75" s="179">
        <f>IFERROR(__xludf.DUMMYFUNCTION("""COMPUTED_VALUE"""),0.0)</f>
        <v>0</v>
      </c>
      <c r="GE75" s="180">
        <f>IFERROR(__xludf.DUMMYFUNCTION("""COMPUTED_VALUE"""),45723.0)</f>
        <v>45723</v>
      </c>
      <c r="GF75" s="179">
        <f>IFERROR(__xludf.DUMMYFUNCTION("""COMPUTED_VALUE"""),0.0)</f>
        <v>0</v>
      </c>
      <c r="GG75" s="180">
        <f>IFERROR(__xludf.DUMMYFUNCTION("""COMPUTED_VALUE"""),45723.0)</f>
        <v>45723</v>
      </c>
      <c r="GH75" s="179">
        <f>IFERROR(__xludf.DUMMYFUNCTION("""COMPUTED_VALUE"""),0.0)</f>
        <v>0</v>
      </c>
      <c r="GI75" s="180">
        <f>IFERROR(__xludf.DUMMYFUNCTION("""COMPUTED_VALUE"""),45754.0)</f>
        <v>45754</v>
      </c>
      <c r="GJ75" s="179">
        <f>IFERROR(__xludf.DUMMYFUNCTION("""COMPUTED_VALUE"""),0.0)</f>
        <v>0</v>
      </c>
      <c r="GK75" s="180">
        <f>IFERROR(__xludf.DUMMYFUNCTION("""COMPUTED_VALUE"""),45754.0)</f>
        <v>45754</v>
      </c>
      <c r="GL75" s="179">
        <f>IFERROR(__xludf.DUMMYFUNCTION("""COMPUTED_VALUE"""),0.0)</f>
        <v>0</v>
      </c>
      <c r="GM75" s="180">
        <f>IFERROR(__xludf.DUMMYFUNCTION("""COMPUTED_VALUE"""),45664.0)</f>
        <v>45664</v>
      </c>
      <c r="GN75" s="179">
        <f>IFERROR(__xludf.DUMMYFUNCTION("""COMPUTED_VALUE"""),0.0)</f>
        <v>0</v>
      </c>
      <c r="GO75" s="180">
        <f>IFERROR(__xludf.DUMMYFUNCTION("""COMPUTED_VALUE"""),45754.0)</f>
        <v>45754</v>
      </c>
      <c r="GP75" s="179">
        <f>IFERROR(__xludf.DUMMYFUNCTION("""COMPUTED_VALUE"""),0.0)</f>
        <v>0</v>
      </c>
      <c r="GQ75" s="180">
        <f>IFERROR(__xludf.DUMMYFUNCTION("""COMPUTED_VALUE"""),45754.0)</f>
        <v>45754</v>
      </c>
      <c r="GR75" s="179">
        <f>IFERROR(__xludf.DUMMYFUNCTION("""COMPUTED_VALUE"""),0.0)</f>
        <v>0</v>
      </c>
      <c r="GS75" s="180">
        <f>IFERROR(__xludf.DUMMYFUNCTION("""COMPUTED_VALUE"""),45695.0)</f>
        <v>45695</v>
      </c>
      <c r="GT75" s="179">
        <f>IFERROR(__xludf.DUMMYFUNCTION("""COMPUTED_VALUE"""),0.0)</f>
        <v>0</v>
      </c>
    </row>
    <row r="76" ht="31.5" customHeight="1">
      <c r="B76" s="183"/>
      <c r="C76" s="178">
        <f>IFERROR(__xludf.DUMMYFUNCTION("""COMPUTED_VALUE"""),45755.0)</f>
        <v>45755</v>
      </c>
      <c r="D76" s="179">
        <f>IFERROR(__xludf.DUMMYFUNCTION("""COMPUTED_VALUE"""),0.0)</f>
        <v>0</v>
      </c>
      <c r="E76" s="180">
        <f>IFERROR(__xludf.DUMMYFUNCTION("""COMPUTED_VALUE"""),45724.0)</f>
        <v>45724</v>
      </c>
      <c r="F76" s="179">
        <f>IFERROR(__xludf.DUMMYFUNCTION("""COMPUTED_VALUE"""),0.0)</f>
        <v>0</v>
      </c>
      <c r="G76" s="180">
        <f>IFERROR(__xludf.DUMMYFUNCTION("""COMPUTED_VALUE"""),45724.0)</f>
        <v>45724</v>
      </c>
      <c r="H76" s="179">
        <f>IFERROR(__xludf.DUMMYFUNCTION("""COMPUTED_VALUE"""),0.0)</f>
        <v>0</v>
      </c>
      <c r="I76" s="180">
        <f>IFERROR(__xludf.DUMMYFUNCTION("""COMPUTED_VALUE"""),45755.0)</f>
        <v>45755</v>
      </c>
      <c r="J76" s="179">
        <f>IFERROR(__xludf.DUMMYFUNCTION("""COMPUTED_VALUE"""),0.0)</f>
        <v>0</v>
      </c>
      <c r="K76" s="180">
        <f>IFERROR(__xludf.DUMMYFUNCTION("""COMPUTED_VALUE"""),45755.0)</f>
        <v>45755</v>
      </c>
      <c r="L76" s="179">
        <f>IFERROR(__xludf.DUMMYFUNCTION("""COMPUTED_VALUE"""),0.0)</f>
        <v>0</v>
      </c>
      <c r="M76" s="180">
        <f>IFERROR(__xludf.DUMMYFUNCTION("""COMPUTED_VALUE"""),45755.0)</f>
        <v>45755</v>
      </c>
      <c r="N76" s="179">
        <f>IFERROR(__xludf.DUMMYFUNCTION("""COMPUTED_VALUE"""),0.0)</f>
        <v>0</v>
      </c>
      <c r="O76" s="180">
        <f>IFERROR(__xludf.DUMMYFUNCTION("""COMPUTED_VALUE"""),45696.0)</f>
        <v>45696</v>
      </c>
      <c r="P76" s="179">
        <f>IFERROR(__xludf.DUMMYFUNCTION("""COMPUTED_VALUE"""),0.0)</f>
        <v>0</v>
      </c>
      <c r="Q76" s="180">
        <f>IFERROR(__xludf.DUMMYFUNCTION("""COMPUTED_VALUE"""),45755.0)</f>
        <v>45755</v>
      </c>
      <c r="R76" s="179">
        <f>IFERROR(__xludf.DUMMYFUNCTION("""COMPUTED_VALUE"""),0.0)</f>
        <v>0</v>
      </c>
      <c r="S76" s="180">
        <f>IFERROR(__xludf.DUMMYFUNCTION("""COMPUTED_VALUE"""),45696.0)</f>
        <v>45696</v>
      </c>
      <c r="T76" s="179">
        <f>IFERROR(__xludf.DUMMYFUNCTION("""COMPUTED_VALUE"""),0.0)</f>
        <v>0</v>
      </c>
      <c r="U76" s="180">
        <f>IFERROR(__xludf.DUMMYFUNCTION("""COMPUTED_VALUE"""),45724.0)</f>
        <v>45724</v>
      </c>
      <c r="V76" s="181">
        <f>IFERROR(__xludf.DUMMYFUNCTION("""COMPUTED_VALUE"""),0.0)</f>
        <v>0</v>
      </c>
      <c r="W76" s="178">
        <f>IFERROR(__xludf.DUMMYFUNCTION("""COMPUTED_VALUE"""),45755.0)</f>
        <v>45755</v>
      </c>
      <c r="X76" s="179">
        <f>IFERROR(__xludf.DUMMYFUNCTION("""COMPUTED_VALUE"""),0.0)</f>
        <v>0</v>
      </c>
      <c r="Y76" s="180">
        <f>IFERROR(__xludf.DUMMYFUNCTION("""COMPUTED_VALUE"""),45907.0)</f>
        <v>45907</v>
      </c>
      <c r="Z76" s="179">
        <f>IFERROR(__xludf.DUMMYFUNCTION("""COMPUTED_VALUE"""),0.0)</f>
        <v>0</v>
      </c>
      <c r="AA76" s="180">
        <f>IFERROR(__xludf.DUMMYFUNCTION("""COMPUTED_VALUE"""),45755.0)</f>
        <v>45755</v>
      </c>
      <c r="AB76" s="179">
        <f>IFERROR(__xludf.DUMMYFUNCTION("""COMPUTED_VALUE"""),0.0)</f>
        <v>0</v>
      </c>
      <c r="AC76" s="180">
        <f>IFERROR(__xludf.DUMMYFUNCTION("""COMPUTED_VALUE"""),45845.0)</f>
        <v>45845</v>
      </c>
      <c r="AD76" s="179">
        <f>IFERROR(__xludf.DUMMYFUNCTION("""COMPUTED_VALUE"""),0.0)</f>
        <v>0</v>
      </c>
      <c r="AE76" s="180">
        <f>IFERROR(__xludf.DUMMYFUNCTION("""COMPUTED_VALUE"""),45937.0)</f>
        <v>45937</v>
      </c>
      <c r="AF76" s="179">
        <f>IFERROR(__xludf.DUMMYFUNCTION("""COMPUTED_VALUE"""),0.0)</f>
        <v>0</v>
      </c>
      <c r="AG76" s="180">
        <f>IFERROR(__xludf.DUMMYFUNCTION("""COMPUTED_VALUE"""),45755.0)</f>
        <v>45755</v>
      </c>
      <c r="AH76" s="179">
        <f>IFERROR(__xludf.DUMMYFUNCTION("""COMPUTED_VALUE"""),0.0)</f>
        <v>0</v>
      </c>
      <c r="AI76" s="180">
        <f>IFERROR(__xludf.DUMMYFUNCTION("""COMPUTED_VALUE"""),45876.0)</f>
        <v>45876</v>
      </c>
      <c r="AJ76" s="179">
        <f>IFERROR(__xludf.DUMMYFUNCTION("""COMPUTED_VALUE"""),0.0)</f>
        <v>0</v>
      </c>
      <c r="AK76" s="180">
        <f>IFERROR(__xludf.DUMMYFUNCTION("""COMPUTED_VALUE"""),45665.0)</f>
        <v>45665</v>
      </c>
      <c r="AL76" s="179">
        <f>IFERROR(__xludf.DUMMYFUNCTION("""COMPUTED_VALUE"""),0.0)</f>
        <v>0</v>
      </c>
      <c r="AM76" s="180">
        <f>IFERROR(__xludf.DUMMYFUNCTION("""COMPUTED_VALUE"""),45755.0)</f>
        <v>45755</v>
      </c>
      <c r="AN76" s="179">
        <f>IFERROR(__xludf.DUMMYFUNCTION("""COMPUTED_VALUE"""),0.0)</f>
        <v>0</v>
      </c>
      <c r="AO76" s="180">
        <f>IFERROR(__xludf.DUMMYFUNCTION("""COMPUTED_VALUE"""),45937.0)</f>
        <v>45937</v>
      </c>
      <c r="AP76" s="181">
        <f>IFERROR(__xludf.DUMMYFUNCTION("""COMPUTED_VALUE"""),0.0)</f>
        <v>0</v>
      </c>
      <c r="AQ76" s="178">
        <f>IFERROR(__xludf.DUMMYFUNCTION("""COMPUTED_VALUE"""),45755.0)</f>
        <v>45755</v>
      </c>
      <c r="AR76" s="179">
        <f>IFERROR(__xludf.DUMMYFUNCTION("""COMPUTED_VALUE"""),0.0)</f>
        <v>0</v>
      </c>
      <c r="AS76" s="180">
        <f>IFERROR(__xludf.DUMMYFUNCTION("""COMPUTED_VALUE"""),45755.0)</f>
        <v>45755</v>
      </c>
      <c r="AT76" s="179">
        <f>IFERROR(__xludf.DUMMYFUNCTION("""COMPUTED_VALUE"""),0.0)</f>
        <v>0</v>
      </c>
      <c r="AU76" s="180">
        <f>IFERROR(__xludf.DUMMYFUNCTION("""COMPUTED_VALUE"""),45724.0)</f>
        <v>45724</v>
      </c>
      <c r="AV76" s="179">
        <f>IFERROR(__xludf.DUMMYFUNCTION("""COMPUTED_VALUE"""),0.0)</f>
        <v>0</v>
      </c>
      <c r="AW76" s="180">
        <f>IFERROR(__xludf.DUMMYFUNCTION("""COMPUTED_VALUE"""),45724.0)</f>
        <v>45724</v>
      </c>
      <c r="AX76" s="179">
        <f>IFERROR(__xludf.DUMMYFUNCTION("""COMPUTED_VALUE"""),0.0)</f>
        <v>0</v>
      </c>
      <c r="AY76" s="180">
        <f>IFERROR(__xludf.DUMMYFUNCTION("""COMPUTED_VALUE"""),45755.0)</f>
        <v>45755</v>
      </c>
      <c r="AZ76" s="179">
        <f>IFERROR(__xludf.DUMMYFUNCTION("""COMPUTED_VALUE"""),0.0)</f>
        <v>0</v>
      </c>
      <c r="BA76" s="180">
        <f>IFERROR(__xludf.DUMMYFUNCTION("""COMPUTED_VALUE"""),45755.0)</f>
        <v>45755</v>
      </c>
      <c r="BB76" s="179">
        <f>IFERROR(__xludf.DUMMYFUNCTION("""COMPUTED_VALUE"""),0.0)</f>
        <v>0</v>
      </c>
      <c r="BC76" s="180">
        <f>IFERROR(__xludf.DUMMYFUNCTION("""COMPUTED_VALUE"""),45724.0)</f>
        <v>45724</v>
      </c>
      <c r="BD76" s="179">
        <f>IFERROR(__xludf.DUMMYFUNCTION("""COMPUTED_VALUE"""),0.0)</f>
        <v>0</v>
      </c>
      <c r="BE76" s="180">
        <f>IFERROR(__xludf.DUMMYFUNCTION("""COMPUTED_VALUE"""),45755.0)</f>
        <v>45755</v>
      </c>
      <c r="BF76" s="179">
        <f>IFERROR(__xludf.DUMMYFUNCTION("""COMPUTED_VALUE"""),0.0)</f>
        <v>0</v>
      </c>
      <c r="BG76" s="180">
        <f>IFERROR(__xludf.DUMMYFUNCTION("""COMPUTED_VALUE"""),45724.0)</f>
        <v>45724</v>
      </c>
      <c r="BH76" s="179">
        <f>IFERROR(__xludf.DUMMYFUNCTION("""COMPUTED_VALUE"""),0.0)</f>
        <v>0</v>
      </c>
      <c r="BI76" s="180">
        <f>IFERROR(__xludf.DUMMYFUNCTION("""COMPUTED_VALUE"""),45755.0)</f>
        <v>45755</v>
      </c>
      <c r="BJ76" s="179">
        <f>IFERROR(__xludf.DUMMYFUNCTION("""COMPUTED_VALUE"""),0.0)</f>
        <v>0</v>
      </c>
      <c r="BK76" s="182">
        <f>IFERROR(__xludf.DUMMYFUNCTION("""COMPUTED_VALUE"""),45755.0)</f>
        <v>45755</v>
      </c>
      <c r="BL76" s="179">
        <f>IFERROR(__xludf.DUMMYFUNCTION("""COMPUTED_VALUE"""),0.0)</f>
        <v>0</v>
      </c>
      <c r="BM76" s="180">
        <f>IFERROR(__xludf.DUMMYFUNCTION("""COMPUTED_VALUE"""),45755.0)</f>
        <v>45755</v>
      </c>
      <c r="BN76" s="179">
        <f>IFERROR(__xludf.DUMMYFUNCTION("""COMPUTED_VALUE"""),0.0)</f>
        <v>0</v>
      </c>
      <c r="BO76" s="180">
        <f>IFERROR(__xludf.DUMMYFUNCTION("""COMPUTED_VALUE"""),45724.0)</f>
        <v>45724</v>
      </c>
      <c r="BP76" s="179">
        <f>IFERROR(__xludf.DUMMYFUNCTION("""COMPUTED_VALUE"""),0.0)</f>
        <v>0</v>
      </c>
      <c r="BQ76" s="180">
        <f>IFERROR(__xludf.DUMMYFUNCTION("""COMPUTED_VALUE"""),45724.0)</f>
        <v>45724</v>
      </c>
      <c r="BR76" s="179">
        <f>IFERROR(__xludf.DUMMYFUNCTION("""COMPUTED_VALUE"""),0.0)</f>
        <v>0</v>
      </c>
      <c r="BS76" s="180">
        <f>IFERROR(__xludf.DUMMYFUNCTION("""COMPUTED_VALUE"""),45755.0)</f>
        <v>45755</v>
      </c>
      <c r="BT76" s="179">
        <f>IFERROR(__xludf.DUMMYFUNCTION("""COMPUTED_VALUE"""),0.0)</f>
        <v>0</v>
      </c>
      <c r="BU76" s="180">
        <f>IFERROR(__xludf.DUMMYFUNCTION("""COMPUTED_VALUE"""),45755.0)</f>
        <v>45755</v>
      </c>
      <c r="BV76" s="179">
        <f>IFERROR(__xludf.DUMMYFUNCTION("""COMPUTED_VALUE"""),0.0)</f>
        <v>0</v>
      </c>
      <c r="BW76" s="180">
        <f>IFERROR(__xludf.DUMMYFUNCTION("""COMPUTED_VALUE"""),45755.0)</f>
        <v>45755</v>
      </c>
      <c r="BX76" s="179">
        <f>IFERROR(__xludf.DUMMYFUNCTION("""COMPUTED_VALUE"""),0.0)</f>
        <v>0</v>
      </c>
      <c r="BY76" s="180">
        <f>IFERROR(__xludf.DUMMYFUNCTION("""COMPUTED_VALUE"""),45724.0)</f>
        <v>45724</v>
      </c>
      <c r="BZ76" s="179">
        <f>IFERROR(__xludf.DUMMYFUNCTION("""COMPUTED_VALUE"""),0.0)</f>
        <v>0</v>
      </c>
      <c r="CA76" s="180">
        <f>IFERROR(__xludf.DUMMYFUNCTION("""COMPUTED_VALUE"""),45755.0)</f>
        <v>45755</v>
      </c>
      <c r="CB76" s="179">
        <f>IFERROR(__xludf.DUMMYFUNCTION("""COMPUTED_VALUE"""),0.0)</f>
        <v>0</v>
      </c>
      <c r="CC76" s="180">
        <f>IFERROR(__xludf.DUMMYFUNCTION("""COMPUTED_VALUE"""),45755.0)</f>
        <v>45755</v>
      </c>
      <c r="CD76" s="179">
        <f>IFERROR(__xludf.DUMMYFUNCTION("""COMPUTED_VALUE"""),0.0)</f>
        <v>0</v>
      </c>
      <c r="CE76" s="182">
        <f>IFERROR(__xludf.DUMMYFUNCTION("""COMPUTED_VALUE"""),45755.0)</f>
        <v>45755</v>
      </c>
      <c r="CF76" s="179">
        <f>IFERROR(__xludf.DUMMYFUNCTION("""COMPUTED_VALUE"""),0.0)</f>
        <v>0</v>
      </c>
      <c r="CG76" s="180">
        <f>IFERROR(__xludf.DUMMYFUNCTION("""COMPUTED_VALUE"""),45937.0)</f>
        <v>45937</v>
      </c>
      <c r="CH76" s="179">
        <f>IFERROR(__xludf.DUMMYFUNCTION("""COMPUTED_VALUE"""),0.0)</f>
        <v>0</v>
      </c>
      <c r="CI76" s="180">
        <f>IFERROR(__xludf.DUMMYFUNCTION("""COMPUTED_VALUE"""),45937.0)</f>
        <v>45937</v>
      </c>
      <c r="CJ76" s="179">
        <f>IFERROR(__xludf.DUMMYFUNCTION("""COMPUTED_VALUE"""),0.0)</f>
        <v>0</v>
      </c>
      <c r="CK76" s="180">
        <f>IFERROR(__xludf.DUMMYFUNCTION("""COMPUTED_VALUE"""),45665.0)</f>
        <v>45665</v>
      </c>
      <c r="CL76" s="179">
        <f>IFERROR(__xludf.DUMMYFUNCTION("""COMPUTED_VALUE"""),0.0)</f>
        <v>0</v>
      </c>
      <c r="CM76" s="180">
        <f>IFERROR(__xludf.DUMMYFUNCTION("""COMPUTED_VALUE"""),45724.0)</f>
        <v>45724</v>
      </c>
      <c r="CN76" s="179">
        <f>IFERROR(__xludf.DUMMYFUNCTION("""COMPUTED_VALUE"""),0.0)</f>
        <v>0</v>
      </c>
      <c r="CO76" s="180">
        <f>IFERROR(__xludf.DUMMYFUNCTION("""COMPUTED_VALUE"""),45696.0)</f>
        <v>45696</v>
      </c>
      <c r="CP76" s="179">
        <f>IFERROR(__xludf.DUMMYFUNCTION("""COMPUTED_VALUE"""),0.0)</f>
        <v>0</v>
      </c>
      <c r="CQ76" s="180">
        <f>IFERROR(__xludf.DUMMYFUNCTION("""COMPUTED_VALUE"""),45937.0)</f>
        <v>45937</v>
      </c>
      <c r="CR76" s="179">
        <f>IFERROR(__xludf.DUMMYFUNCTION("""COMPUTED_VALUE"""),0.0)</f>
        <v>0</v>
      </c>
      <c r="CS76" s="180">
        <f>IFERROR(__xludf.DUMMYFUNCTION("""COMPUTED_VALUE"""),45724.0)</f>
        <v>45724</v>
      </c>
      <c r="CT76" s="179">
        <f>IFERROR(__xludf.DUMMYFUNCTION("""COMPUTED_VALUE"""),0.0)</f>
        <v>0</v>
      </c>
      <c r="CU76" s="180">
        <f>IFERROR(__xludf.DUMMYFUNCTION("""COMPUTED_VALUE"""),45755.0)</f>
        <v>45755</v>
      </c>
      <c r="CV76" s="179">
        <f>IFERROR(__xludf.DUMMYFUNCTION("""COMPUTED_VALUE"""),0.0)</f>
        <v>0</v>
      </c>
      <c r="CW76" s="180">
        <f>IFERROR(__xludf.DUMMYFUNCTION("""COMPUTED_VALUE"""),45815.0)</f>
        <v>45815</v>
      </c>
      <c r="CX76" s="179">
        <f>IFERROR(__xludf.DUMMYFUNCTION("""COMPUTED_VALUE"""),0.0)</f>
        <v>0</v>
      </c>
      <c r="CY76" s="182">
        <f>IFERROR(__xludf.DUMMYFUNCTION("""COMPUTED_VALUE"""),45755.0)</f>
        <v>45755</v>
      </c>
      <c r="CZ76" s="179">
        <f>IFERROR(__xludf.DUMMYFUNCTION("""COMPUTED_VALUE"""),0.0)</f>
        <v>0</v>
      </c>
      <c r="DA76" s="180">
        <f>IFERROR(__xludf.DUMMYFUNCTION("""COMPUTED_VALUE"""),45755.0)</f>
        <v>45755</v>
      </c>
      <c r="DB76" s="179">
        <f>IFERROR(__xludf.DUMMYFUNCTION("""COMPUTED_VALUE"""),0.0)</f>
        <v>0</v>
      </c>
      <c r="DC76" s="180">
        <f>IFERROR(__xludf.DUMMYFUNCTION("""COMPUTED_VALUE"""),45755.0)</f>
        <v>45755</v>
      </c>
      <c r="DD76" s="179">
        <f>IFERROR(__xludf.DUMMYFUNCTION("""COMPUTED_VALUE"""),0.0)</f>
        <v>0</v>
      </c>
      <c r="DE76" s="180">
        <f>IFERROR(__xludf.DUMMYFUNCTION("""COMPUTED_VALUE"""),45755.0)</f>
        <v>45755</v>
      </c>
      <c r="DF76" s="179">
        <f>IFERROR(__xludf.DUMMYFUNCTION("""COMPUTED_VALUE"""),0.0)</f>
        <v>0</v>
      </c>
      <c r="DG76" s="180">
        <f>IFERROR(__xludf.DUMMYFUNCTION("""COMPUTED_VALUE"""),45755.0)</f>
        <v>45755</v>
      </c>
      <c r="DH76" s="179">
        <f>IFERROR(__xludf.DUMMYFUNCTION("""COMPUTED_VALUE"""),0.0)</f>
        <v>0</v>
      </c>
      <c r="DI76" s="180">
        <f>IFERROR(__xludf.DUMMYFUNCTION("""COMPUTED_VALUE"""),45755.0)</f>
        <v>45755</v>
      </c>
      <c r="DJ76" s="179">
        <f>IFERROR(__xludf.DUMMYFUNCTION("""COMPUTED_VALUE"""),0.0)</f>
        <v>0</v>
      </c>
      <c r="DK76" s="180">
        <f>IFERROR(__xludf.DUMMYFUNCTION("""COMPUTED_VALUE"""),45755.0)</f>
        <v>45755</v>
      </c>
      <c r="DL76" s="179">
        <f>IFERROR(__xludf.DUMMYFUNCTION("""COMPUTED_VALUE"""),0.0)</f>
        <v>0</v>
      </c>
      <c r="DM76" s="180">
        <f>IFERROR(__xludf.DUMMYFUNCTION("""COMPUTED_VALUE"""),45755.0)</f>
        <v>45755</v>
      </c>
      <c r="DN76" s="179">
        <f>IFERROR(__xludf.DUMMYFUNCTION("""COMPUTED_VALUE"""),0.0)</f>
        <v>0</v>
      </c>
      <c r="DO76" s="180">
        <f>IFERROR(__xludf.DUMMYFUNCTION("""COMPUTED_VALUE"""),45755.0)</f>
        <v>45755</v>
      </c>
      <c r="DP76" s="179">
        <f>IFERROR(__xludf.DUMMYFUNCTION("""COMPUTED_VALUE"""),0.0)</f>
        <v>0</v>
      </c>
      <c r="DQ76" s="180">
        <f>IFERROR(__xludf.DUMMYFUNCTION("""COMPUTED_VALUE"""),45755.0)</f>
        <v>45755</v>
      </c>
      <c r="DR76" s="179">
        <f>IFERROR(__xludf.DUMMYFUNCTION("""COMPUTED_VALUE"""),0.0)</f>
        <v>0</v>
      </c>
      <c r="DS76" s="182">
        <f>IFERROR(__xludf.DUMMYFUNCTION("""COMPUTED_VALUE"""),45755.0)</f>
        <v>45755</v>
      </c>
      <c r="DT76" s="179">
        <f>IFERROR(__xludf.DUMMYFUNCTION("""COMPUTED_VALUE"""),0.0)</f>
        <v>0</v>
      </c>
      <c r="DU76" s="180">
        <f>IFERROR(__xludf.DUMMYFUNCTION("""COMPUTED_VALUE"""),45755.0)</f>
        <v>45755</v>
      </c>
      <c r="DV76" s="179">
        <f>IFERROR(__xludf.DUMMYFUNCTION("""COMPUTED_VALUE"""),0.0)</f>
        <v>0</v>
      </c>
      <c r="DW76" s="180">
        <f>IFERROR(__xludf.DUMMYFUNCTION("""COMPUTED_VALUE"""),45755.0)</f>
        <v>45755</v>
      </c>
      <c r="DX76" s="179">
        <f>IFERROR(__xludf.DUMMYFUNCTION("""COMPUTED_VALUE"""),0.0)</f>
        <v>0</v>
      </c>
      <c r="DY76" s="180">
        <f>IFERROR(__xludf.DUMMYFUNCTION("""COMPUTED_VALUE"""),45724.0)</f>
        <v>45724</v>
      </c>
      <c r="DZ76" s="179">
        <f>IFERROR(__xludf.DUMMYFUNCTION("""COMPUTED_VALUE"""),0.0)</f>
        <v>0</v>
      </c>
      <c r="EA76" s="180">
        <f>IFERROR(__xludf.DUMMYFUNCTION("""COMPUTED_VALUE"""),45755.0)</f>
        <v>45755</v>
      </c>
      <c r="EB76" s="179">
        <f>IFERROR(__xludf.DUMMYFUNCTION("""COMPUTED_VALUE"""),0.0)</f>
        <v>0</v>
      </c>
      <c r="EC76" s="180">
        <f>IFERROR(__xludf.DUMMYFUNCTION("""COMPUTED_VALUE"""),45755.0)</f>
        <v>45755</v>
      </c>
      <c r="ED76" s="179">
        <f>IFERROR(__xludf.DUMMYFUNCTION("""COMPUTED_VALUE"""),0.0)</f>
        <v>0</v>
      </c>
      <c r="EE76" s="180">
        <f>IFERROR(__xludf.DUMMYFUNCTION("""COMPUTED_VALUE"""),45724.0)</f>
        <v>45724</v>
      </c>
      <c r="EF76" s="179">
        <f>IFERROR(__xludf.DUMMYFUNCTION("""COMPUTED_VALUE"""),0.0)</f>
        <v>0</v>
      </c>
      <c r="EG76" s="180">
        <f>IFERROR(__xludf.DUMMYFUNCTION("""COMPUTED_VALUE"""),45724.0)</f>
        <v>45724</v>
      </c>
      <c r="EH76" s="179">
        <f>IFERROR(__xludf.DUMMYFUNCTION("""COMPUTED_VALUE"""),0.0)</f>
        <v>0</v>
      </c>
      <c r="EI76" s="180">
        <f>IFERROR(__xludf.DUMMYFUNCTION("""COMPUTED_VALUE"""),45755.0)</f>
        <v>45755</v>
      </c>
      <c r="EJ76" s="179">
        <f>IFERROR(__xludf.DUMMYFUNCTION("""COMPUTED_VALUE"""),0.0)</f>
        <v>0</v>
      </c>
      <c r="EK76" s="180">
        <f>IFERROR(__xludf.DUMMYFUNCTION("""COMPUTED_VALUE"""),45724.0)</f>
        <v>45724</v>
      </c>
      <c r="EL76" s="179">
        <f>IFERROR(__xludf.DUMMYFUNCTION("""COMPUTED_VALUE"""),0.0)</f>
        <v>0</v>
      </c>
      <c r="EM76" s="182">
        <f>IFERROR(__xludf.DUMMYFUNCTION("""COMPUTED_VALUE"""),45695.0)</f>
        <v>45695</v>
      </c>
      <c r="EN76" s="179">
        <f>IFERROR(__xludf.DUMMYFUNCTION("""COMPUTED_VALUE"""),0.0)</f>
        <v>0</v>
      </c>
      <c r="EO76" s="180">
        <f>IFERROR(__xludf.DUMMYFUNCTION("""COMPUTED_VALUE"""),45784.0)</f>
        <v>45784</v>
      </c>
      <c r="EP76" s="179">
        <f>IFERROR(__xludf.DUMMYFUNCTION("""COMPUTED_VALUE"""),0.0)</f>
        <v>0</v>
      </c>
      <c r="EQ76" s="180">
        <f>IFERROR(__xludf.DUMMYFUNCTION("""COMPUTED_VALUE"""),45754.0)</f>
        <v>45754</v>
      </c>
      <c r="ER76" s="179">
        <f>IFERROR(__xludf.DUMMYFUNCTION("""COMPUTED_VALUE"""),0.0)</f>
        <v>0</v>
      </c>
      <c r="ES76" s="180">
        <f>IFERROR(__xludf.DUMMYFUNCTION("""COMPUTED_VALUE"""),45784.0)</f>
        <v>45784</v>
      </c>
      <c r="ET76" s="179">
        <f>IFERROR(__xludf.DUMMYFUNCTION("""COMPUTED_VALUE"""),0.0)</f>
        <v>0</v>
      </c>
      <c r="EU76" s="180">
        <f>IFERROR(__xludf.DUMMYFUNCTION("""COMPUTED_VALUE"""),45754.0)</f>
        <v>45754</v>
      </c>
      <c r="EV76" s="179">
        <f>IFERROR(__xludf.DUMMYFUNCTION("""COMPUTED_VALUE"""),0.0)</f>
        <v>0</v>
      </c>
      <c r="EW76" s="180">
        <f>IFERROR(__xludf.DUMMYFUNCTION("""COMPUTED_VALUE"""),45784.0)</f>
        <v>45784</v>
      </c>
      <c r="EX76" s="179">
        <f>IFERROR(__xludf.DUMMYFUNCTION("""COMPUTED_VALUE"""),0.0)</f>
        <v>0</v>
      </c>
      <c r="EY76" s="180">
        <f>IFERROR(__xludf.DUMMYFUNCTION("""COMPUTED_VALUE"""),45784.0)</f>
        <v>45784</v>
      </c>
      <c r="EZ76" s="179">
        <f>IFERROR(__xludf.DUMMYFUNCTION("""COMPUTED_VALUE"""),0.0)</f>
        <v>0</v>
      </c>
      <c r="FA76" s="180">
        <f>IFERROR(__xludf.DUMMYFUNCTION("""COMPUTED_VALUE"""),45754.0)</f>
        <v>45754</v>
      </c>
      <c r="FB76" s="179">
        <f>IFERROR(__xludf.DUMMYFUNCTION("""COMPUTED_VALUE"""),0.0)</f>
        <v>0</v>
      </c>
      <c r="FC76" s="180">
        <f>IFERROR(__xludf.DUMMYFUNCTION("""COMPUTED_VALUE"""),45784.0)</f>
        <v>45784</v>
      </c>
      <c r="FD76" s="179">
        <f>IFERROR(__xludf.DUMMYFUNCTION("""COMPUTED_VALUE"""),0.0)</f>
        <v>0</v>
      </c>
      <c r="FE76" s="180">
        <f>IFERROR(__xludf.DUMMYFUNCTION("""COMPUTED_VALUE"""),45664.0)</f>
        <v>45664</v>
      </c>
      <c r="FF76" s="179">
        <f>IFERROR(__xludf.DUMMYFUNCTION("""COMPUTED_VALUE"""),0.0)</f>
        <v>0</v>
      </c>
      <c r="FG76" s="182">
        <f>IFERROR(__xludf.DUMMYFUNCTION("""COMPUTED_VALUE"""),45784.0)</f>
        <v>45784</v>
      </c>
      <c r="FH76" s="179">
        <f>IFERROR(__xludf.DUMMYFUNCTION("""COMPUTED_VALUE"""),0.0)</f>
        <v>0</v>
      </c>
      <c r="FI76" s="180">
        <f>IFERROR(__xludf.DUMMYFUNCTION("""COMPUTED_VALUE"""),45754.0)</f>
        <v>45754</v>
      </c>
      <c r="FJ76" s="179">
        <f>IFERROR(__xludf.DUMMYFUNCTION("""COMPUTED_VALUE"""),0.0)</f>
        <v>0</v>
      </c>
      <c r="FK76" s="180">
        <f>IFERROR(__xludf.DUMMYFUNCTION("""COMPUTED_VALUE"""),45906.0)</f>
        <v>45906</v>
      </c>
      <c r="FL76" s="179">
        <f>IFERROR(__xludf.DUMMYFUNCTION("""COMPUTED_VALUE"""),0.0)</f>
        <v>0</v>
      </c>
      <c r="FM76" s="180">
        <f>IFERROR(__xludf.DUMMYFUNCTION("""COMPUTED_VALUE"""),45784.0)</f>
        <v>45784</v>
      </c>
      <c r="FN76" s="179">
        <f>IFERROR(__xludf.DUMMYFUNCTION("""COMPUTED_VALUE"""),0.0)</f>
        <v>0</v>
      </c>
      <c r="FO76" s="180">
        <f>IFERROR(__xludf.DUMMYFUNCTION("""COMPUTED_VALUE"""),45784.0)</f>
        <v>45784</v>
      </c>
      <c r="FP76" s="179">
        <f>IFERROR(__xludf.DUMMYFUNCTION("""COMPUTED_VALUE"""),0.0)</f>
        <v>0</v>
      </c>
      <c r="FQ76" s="180">
        <f>IFERROR(__xludf.DUMMYFUNCTION("""COMPUTED_VALUE"""),45784.0)</f>
        <v>45784</v>
      </c>
      <c r="FR76" s="179">
        <f>IFERROR(__xludf.DUMMYFUNCTION("""COMPUTED_VALUE"""),0.0)</f>
        <v>0</v>
      </c>
      <c r="FS76" s="180">
        <f>IFERROR(__xludf.DUMMYFUNCTION("""COMPUTED_VALUE"""),45754.0)</f>
        <v>45754</v>
      </c>
      <c r="FT76" s="179">
        <f>IFERROR(__xludf.DUMMYFUNCTION("""COMPUTED_VALUE"""),0.0)</f>
        <v>0</v>
      </c>
      <c r="FU76" s="180">
        <f>IFERROR(__xludf.DUMMYFUNCTION("""COMPUTED_VALUE"""),45784.0)</f>
        <v>45784</v>
      </c>
      <c r="FV76" s="179">
        <f>IFERROR(__xludf.DUMMYFUNCTION("""COMPUTED_VALUE"""),0.0)</f>
        <v>0</v>
      </c>
      <c r="FW76" s="180">
        <f>IFERROR(__xludf.DUMMYFUNCTION("""COMPUTED_VALUE"""),45784.0)</f>
        <v>45784</v>
      </c>
      <c r="FX76" s="179">
        <f>IFERROR(__xludf.DUMMYFUNCTION("""COMPUTED_VALUE"""),0.0)</f>
        <v>0</v>
      </c>
      <c r="FY76" s="180">
        <f>IFERROR(__xludf.DUMMYFUNCTION("""COMPUTED_VALUE"""),45695.0)</f>
        <v>45695</v>
      </c>
      <c r="FZ76" s="179">
        <f>IFERROR(__xludf.DUMMYFUNCTION("""COMPUTED_VALUE"""),0.0)</f>
        <v>0</v>
      </c>
      <c r="GA76" s="182">
        <f>IFERROR(__xludf.DUMMYFUNCTION("""COMPUTED_VALUE"""),45784.0)</f>
        <v>45784</v>
      </c>
      <c r="GB76" s="179">
        <f>IFERROR(__xludf.DUMMYFUNCTION("""COMPUTED_VALUE"""),0.0)</f>
        <v>0</v>
      </c>
      <c r="GC76" s="180">
        <f>IFERROR(__xludf.DUMMYFUNCTION("""COMPUTED_VALUE"""),45754.0)</f>
        <v>45754</v>
      </c>
      <c r="GD76" s="179">
        <f>IFERROR(__xludf.DUMMYFUNCTION("""COMPUTED_VALUE"""),0.0)</f>
        <v>0</v>
      </c>
      <c r="GE76" s="180">
        <f>IFERROR(__xludf.DUMMYFUNCTION("""COMPUTED_VALUE"""),45754.0)</f>
        <v>45754</v>
      </c>
      <c r="GF76" s="179">
        <f>IFERROR(__xludf.DUMMYFUNCTION("""COMPUTED_VALUE"""),0.0)</f>
        <v>0</v>
      </c>
      <c r="GG76" s="180">
        <f>IFERROR(__xludf.DUMMYFUNCTION("""COMPUTED_VALUE"""),45754.0)</f>
        <v>45754</v>
      </c>
      <c r="GH76" s="179">
        <f>IFERROR(__xludf.DUMMYFUNCTION("""COMPUTED_VALUE"""),0.0)</f>
        <v>0</v>
      </c>
      <c r="GI76" s="180">
        <f>IFERROR(__xludf.DUMMYFUNCTION("""COMPUTED_VALUE"""),45784.0)</f>
        <v>45784</v>
      </c>
      <c r="GJ76" s="179">
        <f>IFERROR(__xludf.DUMMYFUNCTION("""COMPUTED_VALUE"""),0.0)</f>
        <v>0</v>
      </c>
      <c r="GK76" s="180">
        <f>IFERROR(__xludf.DUMMYFUNCTION("""COMPUTED_VALUE"""),45784.0)</f>
        <v>45784</v>
      </c>
      <c r="GL76" s="179">
        <f>IFERROR(__xludf.DUMMYFUNCTION("""COMPUTED_VALUE"""),0.0)</f>
        <v>0</v>
      </c>
      <c r="GM76" s="180">
        <f>IFERROR(__xludf.DUMMYFUNCTION("""COMPUTED_VALUE"""),45695.0)</f>
        <v>45695</v>
      </c>
      <c r="GN76" s="179">
        <f>IFERROR(__xludf.DUMMYFUNCTION("""COMPUTED_VALUE"""),0.0)</f>
        <v>0</v>
      </c>
      <c r="GO76" s="180">
        <f>IFERROR(__xludf.DUMMYFUNCTION("""COMPUTED_VALUE"""),45784.0)</f>
        <v>45784</v>
      </c>
      <c r="GP76" s="179">
        <f>IFERROR(__xludf.DUMMYFUNCTION("""COMPUTED_VALUE"""),0.0)</f>
        <v>0</v>
      </c>
      <c r="GQ76" s="180">
        <f>IFERROR(__xludf.DUMMYFUNCTION("""COMPUTED_VALUE"""),45784.0)</f>
        <v>45784</v>
      </c>
      <c r="GR76" s="179">
        <f>IFERROR(__xludf.DUMMYFUNCTION("""COMPUTED_VALUE"""),0.0)</f>
        <v>0</v>
      </c>
      <c r="GS76" s="180">
        <f>IFERROR(__xludf.DUMMYFUNCTION("""COMPUTED_VALUE"""),45723.0)</f>
        <v>45723</v>
      </c>
      <c r="GT76" s="179">
        <f>IFERROR(__xludf.DUMMYFUNCTION("""COMPUTED_VALUE"""),0.0)</f>
        <v>0</v>
      </c>
    </row>
    <row r="77" ht="31.5" customHeight="1">
      <c r="B77" s="183"/>
      <c r="C77" s="178">
        <f>IFERROR(__xludf.DUMMYFUNCTION("""COMPUTED_VALUE"""),45785.0)</f>
        <v>45785</v>
      </c>
      <c r="D77" s="179">
        <f>IFERROR(__xludf.DUMMYFUNCTION("""COMPUTED_VALUE"""),0.0)</f>
        <v>0</v>
      </c>
      <c r="E77" s="180">
        <f>IFERROR(__xludf.DUMMYFUNCTION("""COMPUTED_VALUE"""),45755.0)</f>
        <v>45755</v>
      </c>
      <c r="F77" s="179">
        <f>IFERROR(__xludf.DUMMYFUNCTION("""COMPUTED_VALUE"""),0.0)</f>
        <v>0</v>
      </c>
      <c r="G77" s="180">
        <f>IFERROR(__xludf.DUMMYFUNCTION("""COMPUTED_VALUE"""),45755.0)</f>
        <v>45755</v>
      </c>
      <c r="H77" s="179">
        <f>IFERROR(__xludf.DUMMYFUNCTION("""COMPUTED_VALUE"""),0.0)</f>
        <v>0</v>
      </c>
      <c r="I77" s="180">
        <f>IFERROR(__xludf.DUMMYFUNCTION("""COMPUTED_VALUE"""),45785.0)</f>
        <v>45785</v>
      </c>
      <c r="J77" s="179">
        <f>IFERROR(__xludf.DUMMYFUNCTION("""COMPUTED_VALUE"""),0.0)</f>
        <v>0</v>
      </c>
      <c r="K77" s="180">
        <f>IFERROR(__xludf.DUMMYFUNCTION("""COMPUTED_VALUE"""),45785.0)</f>
        <v>45785</v>
      </c>
      <c r="L77" s="179">
        <f>IFERROR(__xludf.DUMMYFUNCTION("""COMPUTED_VALUE"""),0.0)</f>
        <v>0</v>
      </c>
      <c r="M77" s="180">
        <f>IFERROR(__xludf.DUMMYFUNCTION("""COMPUTED_VALUE"""),45785.0)</f>
        <v>45785</v>
      </c>
      <c r="N77" s="179">
        <f>IFERROR(__xludf.DUMMYFUNCTION("""COMPUTED_VALUE"""),0.0)</f>
        <v>0</v>
      </c>
      <c r="O77" s="180">
        <f>IFERROR(__xludf.DUMMYFUNCTION("""COMPUTED_VALUE"""),45724.0)</f>
        <v>45724</v>
      </c>
      <c r="P77" s="179">
        <f>IFERROR(__xludf.DUMMYFUNCTION("""COMPUTED_VALUE"""),0.0)</f>
        <v>0</v>
      </c>
      <c r="Q77" s="180">
        <f>IFERROR(__xludf.DUMMYFUNCTION("""COMPUTED_VALUE"""),45785.0)</f>
        <v>45785</v>
      </c>
      <c r="R77" s="179">
        <f>IFERROR(__xludf.DUMMYFUNCTION("""COMPUTED_VALUE"""),0.0)</f>
        <v>0</v>
      </c>
      <c r="S77" s="180">
        <f>IFERROR(__xludf.DUMMYFUNCTION("""COMPUTED_VALUE"""),45755.0)</f>
        <v>45755</v>
      </c>
      <c r="T77" s="179">
        <f>IFERROR(__xludf.DUMMYFUNCTION("""COMPUTED_VALUE"""),0.0)</f>
        <v>0</v>
      </c>
      <c r="U77" s="180">
        <f>IFERROR(__xludf.DUMMYFUNCTION("""COMPUTED_VALUE"""),45755.0)</f>
        <v>45755</v>
      </c>
      <c r="V77" s="181">
        <f>IFERROR(__xludf.DUMMYFUNCTION("""COMPUTED_VALUE"""),0.0)</f>
        <v>0</v>
      </c>
      <c r="W77" s="178">
        <f>IFERROR(__xludf.DUMMYFUNCTION("""COMPUTED_VALUE"""),45785.0)</f>
        <v>45785</v>
      </c>
      <c r="X77" s="179">
        <f>IFERROR(__xludf.DUMMYFUNCTION("""COMPUTED_VALUE"""),0.0)</f>
        <v>0</v>
      </c>
      <c r="Y77" s="180">
        <f>IFERROR(__xludf.DUMMYFUNCTION("""COMPUTED_VALUE"""),45937.0)</f>
        <v>45937</v>
      </c>
      <c r="Z77" s="179">
        <f>IFERROR(__xludf.DUMMYFUNCTION("""COMPUTED_VALUE"""),0.0)</f>
        <v>0</v>
      </c>
      <c r="AA77" s="180">
        <f>IFERROR(__xludf.DUMMYFUNCTION("""COMPUTED_VALUE"""),45785.0)</f>
        <v>45785</v>
      </c>
      <c r="AB77" s="179">
        <f>IFERROR(__xludf.DUMMYFUNCTION("""COMPUTED_VALUE"""),0.0)</f>
        <v>0</v>
      </c>
      <c r="AC77" s="180">
        <f>IFERROR(__xludf.DUMMYFUNCTION("""COMPUTED_VALUE"""),45876.0)</f>
        <v>45876</v>
      </c>
      <c r="AD77" s="179">
        <f>IFERROR(__xludf.DUMMYFUNCTION("""COMPUTED_VALUE"""),0.0)</f>
        <v>0</v>
      </c>
      <c r="AE77" s="180">
        <f>IFERROR(__xludf.DUMMYFUNCTION("""COMPUTED_VALUE"""),45665.0)</f>
        <v>45665</v>
      </c>
      <c r="AF77" s="179">
        <f>IFERROR(__xludf.DUMMYFUNCTION("""COMPUTED_VALUE"""),0.0)</f>
        <v>0</v>
      </c>
      <c r="AG77" s="180">
        <f>IFERROR(__xludf.DUMMYFUNCTION("""COMPUTED_VALUE"""),45785.0)</f>
        <v>45785</v>
      </c>
      <c r="AH77" s="179">
        <f>IFERROR(__xludf.DUMMYFUNCTION("""COMPUTED_VALUE"""),0.0)</f>
        <v>0</v>
      </c>
      <c r="AI77" s="180">
        <f>IFERROR(__xludf.DUMMYFUNCTION("""COMPUTED_VALUE"""),45907.0)</f>
        <v>45907</v>
      </c>
      <c r="AJ77" s="179">
        <f>IFERROR(__xludf.DUMMYFUNCTION("""COMPUTED_VALUE"""),0.0)</f>
        <v>0</v>
      </c>
      <c r="AK77" s="180">
        <f>IFERROR(__xludf.DUMMYFUNCTION("""COMPUTED_VALUE"""),45696.0)</f>
        <v>45696</v>
      </c>
      <c r="AL77" s="179">
        <f>IFERROR(__xludf.DUMMYFUNCTION("""COMPUTED_VALUE"""),0.0)</f>
        <v>0</v>
      </c>
      <c r="AM77" s="180">
        <f>IFERROR(__xludf.DUMMYFUNCTION("""COMPUTED_VALUE"""),45785.0)</f>
        <v>45785</v>
      </c>
      <c r="AN77" s="179">
        <f>IFERROR(__xludf.DUMMYFUNCTION("""COMPUTED_VALUE"""),0.0)</f>
        <v>0</v>
      </c>
      <c r="AO77" s="180">
        <f>IFERROR(__xludf.DUMMYFUNCTION("""COMPUTED_VALUE"""),45665.0)</f>
        <v>45665</v>
      </c>
      <c r="AP77" s="181">
        <f>IFERROR(__xludf.DUMMYFUNCTION("""COMPUTED_VALUE"""),0.0)</f>
        <v>0</v>
      </c>
      <c r="AQ77" s="178">
        <f>IFERROR(__xludf.DUMMYFUNCTION("""COMPUTED_VALUE"""),45785.0)</f>
        <v>45785</v>
      </c>
      <c r="AR77" s="179">
        <f>IFERROR(__xludf.DUMMYFUNCTION("""COMPUTED_VALUE"""),0.0)</f>
        <v>0</v>
      </c>
      <c r="AS77" s="180">
        <f>IFERROR(__xludf.DUMMYFUNCTION("""COMPUTED_VALUE"""),45785.0)</f>
        <v>45785</v>
      </c>
      <c r="AT77" s="179">
        <f>IFERROR(__xludf.DUMMYFUNCTION("""COMPUTED_VALUE"""),0.0)</f>
        <v>0</v>
      </c>
      <c r="AU77" s="180">
        <f>IFERROR(__xludf.DUMMYFUNCTION("""COMPUTED_VALUE"""),45755.0)</f>
        <v>45755</v>
      </c>
      <c r="AV77" s="179">
        <f>IFERROR(__xludf.DUMMYFUNCTION("""COMPUTED_VALUE"""),0.0)</f>
        <v>0</v>
      </c>
      <c r="AW77" s="180">
        <f>IFERROR(__xludf.DUMMYFUNCTION("""COMPUTED_VALUE"""),45755.0)</f>
        <v>45755</v>
      </c>
      <c r="AX77" s="179">
        <f>IFERROR(__xludf.DUMMYFUNCTION("""COMPUTED_VALUE"""),0.0)</f>
        <v>0</v>
      </c>
      <c r="AY77" s="180">
        <f>IFERROR(__xludf.DUMMYFUNCTION("""COMPUTED_VALUE"""),45785.0)</f>
        <v>45785</v>
      </c>
      <c r="AZ77" s="179">
        <f>IFERROR(__xludf.DUMMYFUNCTION("""COMPUTED_VALUE"""),0.0)</f>
        <v>0</v>
      </c>
      <c r="BA77" s="180">
        <f>IFERROR(__xludf.DUMMYFUNCTION("""COMPUTED_VALUE"""),45785.0)</f>
        <v>45785</v>
      </c>
      <c r="BB77" s="179">
        <f>IFERROR(__xludf.DUMMYFUNCTION("""COMPUTED_VALUE"""),0.0)</f>
        <v>0</v>
      </c>
      <c r="BC77" s="180">
        <f>IFERROR(__xludf.DUMMYFUNCTION("""COMPUTED_VALUE"""),45755.0)</f>
        <v>45755</v>
      </c>
      <c r="BD77" s="179">
        <f>IFERROR(__xludf.DUMMYFUNCTION("""COMPUTED_VALUE"""),0.0)</f>
        <v>0</v>
      </c>
      <c r="BE77" s="180">
        <f>IFERROR(__xludf.DUMMYFUNCTION("""COMPUTED_VALUE"""),45785.0)</f>
        <v>45785</v>
      </c>
      <c r="BF77" s="179">
        <f>IFERROR(__xludf.DUMMYFUNCTION("""COMPUTED_VALUE"""),0.0)</f>
        <v>0</v>
      </c>
      <c r="BG77" s="180">
        <f>IFERROR(__xludf.DUMMYFUNCTION("""COMPUTED_VALUE"""),45755.0)</f>
        <v>45755</v>
      </c>
      <c r="BH77" s="179">
        <f>IFERROR(__xludf.DUMMYFUNCTION("""COMPUTED_VALUE"""),0.0)</f>
        <v>0</v>
      </c>
      <c r="BI77" s="180">
        <f>IFERROR(__xludf.DUMMYFUNCTION("""COMPUTED_VALUE"""),45785.0)</f>
        <v>45785</v>
      </c>
      <c r="BJ77" s="179">
        <f>IFERROR(__xludf.DUMMYFUNCTION("""COMPUTED_VALUE"""),0.0)</f>
        <v>0</v>
      </c>
      <c r="BK77" s="182">
        <f>IFERROR(__xludf.DUMMYFUNCTION("""COMPUTED_VALUE"""),45785.0)</f>
        <v>45785</v>
      </c>
      <c r="BL77" s="179">
        <f>IFERROR(__xludf.DUMMYFUNCTION("""COMPUTED_VALUE"""),0.0)</f>
        <v>0</v>
      </c>
      <c r="BM77" s="180">
        <f>IFERROR(__xludf.DUMMYFUNCTION("""COMPUTED_VALUE"""),45785.0)</f>
        <v>45785</v>
      </c>
      <c r="BN77" s="179">
        <f>IFERROR(__xludf.DUMMYFUNCTION("""COMPUTED_VALUE"""),0.0)</f>
        <v>0</v>
      </c>
      <c r="BO77" s="180">
        <f>IFERROR(__xludf.DUMMYFUNCTION("""COMPUTED_VALUE"""),45755.0)</f>
        <v>45755</v>
      </c>
      <c r="BP77" s="179">
        <f>IFERROR(__xludf.DUMMYFUNCTION("""COMPUTED_VALUE"""),0.0)</f>
        <v>0</v>
      </c>
      <c r="BQ77" s="180">
        <f>IFERROR(__xludf.DUMMYFUNCTION("""COMPUTED_VALUE"""),45755.0)</f>
        <v>45755</v>
      </c>
      <c r="BR77" s="179">
        <f>IFERROR(__xludf.DUMMYFUNCTION("""COMPUTED_VALUE"""),0.0)</f>
        <v>0</v>
      </c>
      <c r="BS77" s="180">
        <f>IFERROR(__xludf.DUMMYFUNCTION("""COMPUTED_VALUE"""),45785.0)</f>
        <v>45785</v>
      </c>
      <c r="BT77" s="179">
        <f>IFERROR(__xludf.DUMMYFUNCTION("""COMPUTED_VALUE"""),0.0)</f>
        <v>0</v>
      </c>
      <c r="BU77" s="180">
        <f>IFERROR(__xludf.DUMMYFUNCTION("""COMPUTED_VALUE"""),45785.0)</f>
        <v>45785</v>
      </c>
      <c r="BV77" s="179">
        <f>IFERROR(__xludf.DUMMYFUNCTION("""COMPUTED_VALUE"""),0.0)</f>
        <v>0</v>
      </c>
      <c r="BW77" s="180">
        <f>IFERROR(__xludf.DUMMYFUNCTION("""COMPUTED_VALUE"""),45785.0)</f>
        <v>45785</v>
      </c>
      <c r="BX77" s="179">
        <f>IFERROR(__xludf.DUMMYFUNCTION("""COMPUTED_VALUE"""),0.0)</f>
        <v>0</v>
      </c>
      <c r="BY77" s="180">
        <f>IFERROR(__xludf.DUMMYFUNCTION("""COMPUTED_VALUE"""),45755.0)</f>
        <v>45755</v>
      </c>
      <c r="BZ77" s="179">
        <f>IFERROR(__xludf.DUMMYFUNCTION("""COMPUTED_VALUE"""),0.0)</f>
        <v>0</v>
      </c>
      <c r="CA77" s="180">
        <f>IFERROR(__xludf.DUMMYFUNCTION("""COMPUTED_VALUE"""),45785.0)</f>
        <v>45785</v>
      </c>
      <c r="CB77" s="179">
        <f>IFERROR(__xludf.DUMMYFUNCTION("""COMPUTED_VALUE"""),0.0)</f>
        <v>0</v>
      </c>
      <c r="CC77" s="180">
        <f>IFERROR(__xludf.DUMMYFUNCTION("""COMPUTED_VALUE"""),45785.0)</f>
        <v>45785</v>
      </c>
      <c r="CD77" s="179">
        <f>IFERROR(__xludf.DUMMYFUNCTION("""COMPUTED_VALUE"""),0.0)</f>
        <v>0</v>
      </c>
      <c r="CE77" s="182">
        <f>IFERROR(__xludf.DUMMYFUNCTION("""COMPUTED_VALUE"""),45785.0)</f>
        <v>45785</v>
      </c>
      <c r="CF77" s="179">
        <f>IFERROR(__xludf.DUMMYFUNCTION("""COMPUTED_VALUE"""),0.0)</f>
        <v>0</v>
      </c>
      <c r="CG77" s="180">
        <f>IFERROR(__xludf.DUMMYFUNCTION("""COMPUTED_VALUE"""),45665.0)</f>
        <v>45665</v>
      </c>
      <c r="CH77" s="179">
        <f>IFERROR(__xludf.DUMMYFUNCTION("""COMPUTED_VALUE"""),0.0)</f>
        <v>0</v>
      </c>
      <c r="CI77" s="180">
        <f>IFERROR(__xludf.DUMMYFUNCTION("""COMPUTED_VALUE"""),45665.0)</f>
        <v>45665</v>
      </c>
      <c r="CJ77" s="179">
        <f>IFERROR(__xludf.DUMMYFUNCTION("""COMPUTED_VALUE"""),0.0)</f>
        <v>0</v>
      </c>
      <c r="CK77" s="180">
        <f>IFERROR(__xludf.DUMMYFUNCTION("""COMPUTED_VALUE"""),45696.0)</f>
        <v>45696</v>
      </c>
      <c r="CL77" s="179">
        <f>IFERROR(__xludf.DUMMYFUNCTION("""COMPUTED_VALUE"""),0.0)</f>
        <v>0</v>
      </c>
      <c r="CM77" s="180">
        <f>IFERROR(__xludf.DUMMYFUNCTION("""COMPUTED_VALUE"""),45755.0)</f>
        <v>45755</v>
      </c>
      <c r="CN77" s="179">
        <f>IFERROR(__xludf.DUMMYFUNCTION("""COMPUTED_VALUE"""),0.0)</f>
        <v>0</v>
      </c>
      <c r="CO77" s="180">
        <f>IFERROR(__xludf.DUMMYFUNCTION("""COMPUTED_VALUE"""),45724.0)</f>
        <v>45724</v>
      </c>
      <c r="CP77" s="179">
        <f>IFERROR(__xludf.DUMMYFUNCTION("""COMPUTED_VALUE"""),0.0)</f>
        <v>0</v>
      </c>
      <c r="CQ77" s="180">
        <f>IFERROR(__xludf.DUMMYFUNCTION("""COMPUTED_VALUE"""),45665.0)</f>
        <v>45665</v>
      </c>
      <c r="CR77" s="179">
        <f>IFERROR(__xludf.DUMMYFUNCTION("""COMPUTED_VALUE"""),0.0)</f>
        <v>0</v>
      </c>
      <c r="CS77" s="180">
        <f>IFERROR(__xludf.DUMMYFUNCTION("""COMPUTED_VALUE"""),45755.0)</f>
        <v>45755</v>
      </c>
      <c r="CT77" s="179">
        <f>IFERROR(__xludf.DUMMYFUNCTION("""COMPUTED_VALUE"""),0.0)</f>
        <v>0</v>
      </c>
      <c r="CU77" s="180">
        <f>IFERROR(__xludf.DUMMYFUNCTION("""COMPUTED_VALUE"""),45785.0)</f>
        <v>45785</v>
      </c>
      <c r="CV77" s="179">
        <f>IFERROR(__xludf.DUMMYFUNCTION("""COMPUTED_VALUE"""),0.0)</f>
        <v>0</v>
      </c>
      <c r="CW77" s="180">
        <f>IFERROR(__xludf.DUMMYFUNCTION("""COMPUTED_VALUE"""),45845.0)</f>
        <v>45845</v>
      </c>
      <c r="CX77" s="179">
        <f>IFERROR(__xludf.DUMMYFUNCTION("""COMPUTED_VALUE"""),0.0)</f>
        <v>0</v>
      </c>
      <c r="CY77" s="182">
        <f>IFERROR(__xludf.DUMMYFUNCTION("""COMPUTED_VALUE"""),45785.0)</f>
        <v>45785</v>
      </c>
      <c r="CZ77" s="179">
        <f>IFERROR(__xludf.DUMMYFUNCTION("""COMPUTED_VALUE"""),0.0)</f>
        <v>0</v>
      </c>
      <c r="DA77" s="180">
        <f>IFERROR(__xludf.DUMMYFUNCTION("""COMPUTED_VALUE"""),45785.0)</f>
        <v>45785</v>
      </c>
      <c r="DB77" s="179">
        <f>IFERROR(__xludf.DUMMYFUNCTION("""COMPUTED_VALUE"""),0.0)</f>
        <v>0</v>
      </c>
      <c r="DC77" s="180">
        <f>IFERROR(__xludf.DUMMYFUNCTION("""COMPUTED_VALUE"""),45785.0)</f>
        <v>45785</v>
      </c>
      <c r="DD77" s="179">
        <f>IFERROR(__xludf.DUMMYFUNCTION("""COMPUTED_VALUE"""),0.0)</f>
        <v>0</v>
      </c>
      <c r="DE77" s="180">
        <f>IFERROR(__xludf.DUMMYFUNCTION("""COMPUTED_VALUE"""),45785.0)</f>
        <v>45785</v>
      </c>
      <c r="DF77" s="179">
        <f>IFERROR(__xludf.DUMMYFUNCTION("""COMPUTED_VALUE"""),0.0)</f>
        <v>0</v>
      </c>
      <c r="DG77" s="180">
        <f>IFERROR(__xludf.DUMMYFUNCTION("""COMPUTED_VALUE"""),45785.0)</f>
        <v>45785</v>
      </c>
      <c r="DH77" s="179">
        <f>IFERROR(__xludf.DUMMYFUNCTION("""COMPUTED_VALUE"""),0.0)</f>
        <v>0</v>
      </c>
      <c r="DI77" s="180">
        <f>IFERROR(__xludf.DUMMYFUNCTION("""COMPUTED_VALUE"""),45785.0)</f>
        <v>45785</v>
      </c>
      <c r="DJ77" s="179">
        <f>IFERROR(__xludf.DUMMYFUNCTION("""COMPUTED_VALUE"""),0.0)</f>
        <v>0</v>
      </c>
      <c r="DK77" s="180">
        <f>IFERROR(__xludf.DUMMYFUNCTION("""COMPUTED_VALUE"""),45785.0)</f>
        <v>45785</v>
      </c>
      <c r="DL77" s="179">
        <f>IFERROR(__xludf.DUMMYFUNCTION("""COMPUTED_VALUE"""),0.0)</f>
        <v>0</v>
      </c>
      <c r="DM77" s="180">
        <f>IFERROR(__xludf.DUMMYFUNCTION("""COMPUTED_VALUE"""),45785.0)</f>
        <v>45785</v>
      </c>
      <c r="DN77" s="179">
        <f>IFERROR(__xludf.DUMMYFUNCTION("""COMPUTED_VALUE"""),0.0)</f>
        <v>0</v>
      </c>
      <c r="DO77" s="180">
        <f>IFERROR(__xludf.DUMMYFUNCTION("""COMPUTED_VALUE"""),45785.0)</f>
        <v>45785</v>
      </c>
      <c r="DP77" s="179">
        <f>IFERROR(__xludf.DUMMYFUNCTION("""COMPUTED_VALUE"""),0.0)</f>
        <v>0</v>
      </c>
      <c r="DQ77" s="180">
        <f>IFERROR(__xludf.DUMMYFUNCTION("""COMPUTED_VALUE"""),45785.0)</f>
        <v>45785</v>
      </c>
      <c r="DR77" s="179">
        <f>IFERROR(__xludf.DUMMYFUNCTION("""COMPUTED_VALUE"""),0.0)</f>
        <v>0</v>
      </c>
      <c r="DS77" s="182">
        <f>IFERROR(__xludf.DUMMYFUNCTION("""COMPUTED_VALUE"""),45785.0)</f>
        <v>45785</v>
      </c>
      <c r="DT77" s="179">
        <f>IFERROR(__xludf.DUMMYFUNCTION("""COMPUTED_VALUE"""),0.0)</f>
        <v>0</v>
      </c>
      <c r="DU77" s="180">
        <f>IFERROR(__xludf.DUMMYFUNCTION("""COMPUTED_VALUE"""),45785.0)</f>
        <v>45785</v>
      </c>
      <c r="DV77" s="179">
        <f>IFERROR(__xludf.DUMMYFUNCTION("""COMPUTED_VALUE"""),0.0)</f>
        <v>0</v>
      </c>
      <c r="DW77" s="180">
        <f>IFERROR(__xludf.DUMMYFUNCTION("""COMPUTED_VALUE"""),45785.0)</f>
        <v>45785</v>
      </c>
      <c r="DX77" s="179">
        <f>IFERROR(__xludf.DUMMYFUNCTION("""COMPUTED_VALUE"""),0.0)</f>
        <v>0</v>
      </c>
      <c r="DY77" s="180">
        <f>IFERROR(__xludf.DUMMYFUNCTION("""COMPUTED_VALUE"""),45755.0)</f>
        <v>45755</v>
      </c>
      <c r="DZ77" s="179">
        <f>IFERROR(__xludf.DUMMYFUNCTION("""COMPUTED_VALUE"""),0.0)</f>
        <v>0</v>
      </c>
      <c r="EA77" s="180">
        <f>IFERROR(__xludf.DUMMYFUNCTION("""COMPUTED_VALUE"""),45785.0)</f>
        <v>45785</v>
      </c>
      <c r="EB77" s="179">
        <f>IFERROR(__xludf.DUMMYFUNCTION("""COMPUTED_VALUE"""),0.0)</f>
        <v>0</v>
      </c>
      <c r="EC77" s="180">
        <f>IFERROR(__xludf.DUMMYFUNCTION("""COMPUTED_VALUE"""),45785.0)</f>
        <v>45785</v>
      </c>
      <c r="ED77" s="179">
        <f>IFERROR(__xludf.DUMMYFUNCTION("""COMPUTED_VALUE"""),0.0)</f>
        <v>0</v>
      </c>
      <c r="EE77" s="180">
        <f>IFERROR(__xludf.DUMMYFUNCTION("""COMPUTED_VALUE"""),45755.0)</f>
        <v>45755</v>
      </c>
      <c r="EF77" s="179">
        <f>IFERROR(__xludf.DUMMYFUNCTION("""COMPUTED_VALUE"""),0.0)</f>
        <v>0</v>
      </c>
      <c r="EG77" s="180">
        <f>IFERROR(__xludf.DUMMYFUNCTION("""COMPUTED_VALUE"""),45755.0)</f>
        <v>45755</v>
      </c>
      <c r="EH77" s="179">
        <f>IFERROR(__xludf.DUMMYFUNCTION("""COMPUTED_VALUE"""),0.0)</f>
        <v>0</v>
      </c>
      <c r="EI77" s="180">
        <f>IFERROR(__xludf.DUMMYFUNCTION("""COMPUTED_VALUE"""),45785.0)</f>
        <v>45785</v>
      </c>
      <c r="EJ77" s="179">
        <f>IFERROR(__xludf.DUMMYFUNCTION("""COMPUTED_VALUE"""),0.0)</f>
        <v>0</v>
      </c>
      <c r="EK77" s="180">
        <f>IFERROR(__xludf.DUMMYFUNCTION("""COMPUTED_VALUE"""),45755.0)</f>
        <v>45755</v>
      </c>
      <c r="EL77" s="179">
        <f>IFERROR(__xludf.DUMMYFUNCTION("""COMPUTED_VALUE"""),0.0)</f>
        <v>0</v>
      </c>
      <c r="EM77" s="182">
        <f>IFERROR(__xludf.DUMMYFUNCTION("""COMPUTED_VALUE"""),45723.0)</f>
        <v>45723</v>
      </c>
      <c r="EN77" s="179">
        <f>IFERROR(__xludf.DUMMYFUNCTION("""COMPUTED_VALUE"""),0.0)</f>
        <v>0</v>
      </c>
      <c r="EO77" s="180">
        <f>IFERROR(__xludf.DUMMYFUNCTION("""COMPUTED_VALUE"""),45815.0)</f>
        <v>45815</v>
      </c>
      <c r="EP77" s="179">
        <f>IFERROR(__xludf.DUMMYFUNCTION("""COMPUTED_VALUE"""),0.0)</f>
        <v>0</v>
      </c>
      <c r="EQ77" s="180">
        <f>IFERROR(__xludf.DUMMYFUNCTION("""COMPUTED_VALUE"""),45784.0)</f>
        <v>45784</v>
      </c>
      <c r="ER77" s="179">
        <f>IFERROR(__xludf.DUMMYFUNCTION("""COMPUTED_VALUE"""),0.0)</f>
        <v>0</v>
      </c>
      <c r="ES77" s="180">
        <f>IFERROR(__xludf.DUMMYFUNCTION("""COMPUTED_VALUE"""),45815.0)</f>
        <v>45815</v>
      </c>
      <c r="ET77" s="179">
        <f>IFERROR(__xludf.DUMMYFUNCTION("""COMPUTED_VALUE"""),0.0)</f>
        <v>0</v>
      </c>
      <c r="EU77" s="180">
        <f>IFERROR(__xludf.DUMMYFUNCTION("""COMPUTED_VALUE"""),45784.0)</f>
        <v>45784</v>
      </c>
      <c r="EV77" s="179">
        <f>IFERROR(__xludf.DUMMYFUNCTION("""COMPUTED_VALUE"""),0.0)</f>
        <v>0</v>
      </c>
      <c r="EW77" s="180">
        <f>IFERROR(__xludf.DUMMYFUNCTION("""COMPUTED_VALUE"""),45815.0)</f>
        <v>45815</v>
      </c>
      <c r="EX77" s="179">
        <f>IFERROR(__xludf.DUMMYFUNCTION("""COMPUTED_VALUE"""),0.0)</f>
        <v>0</v>
      </c>
      <c r="EY77" s="180">
        <f>IFERROR(__xludf.DUMMYFUNCTION("""COMPUTED_VALUE"""),45815.0)</f>
        <v>45815</v>
      </c>
      <c r="EZ77" s="179">
        <f>IFERROR(__xludf.DUMMYFUNCTION("""COMPUTED_VALUE"""),0.0)</f>
        <v>0</v>
      </c>
      <c r="FA77" s="180">
        <f>IFERROR(__xludf.DUMMYFUNCTION("""COMPUTED_VALUE"""),45784.0)</f>
        <v>45784</v>
      </c>
      <c r="FB77" s="179">
        <f>IFERROR(__xludf.DUMMYFUNCTION("""COMPUTED_VALUE"""),0.0)</f>
        <v>0</v>
      </c>
      <c r="FC77" s="180">
        <f>IFERROR(__xludf.DUMMYFUNCTION("""COMPUTED_VALUE"""),45815.0)</f>
        <v>45815</v>
      </c>
      <c r="FD77" s="179">
        <f>IFERROR(__xludf.DUMMYFUNCTION("""COMPUTED_VALUE"""),0.0)</f>
        <v>0</v>
      </c>
      <c r="FE77" s="180">
        <f>IFERROR(__xludf.DUMMYFUNCTION("""COMPUTED_VALUE"""),45695.0)</f>
        <v>45695</v>
      </c>
      <c r="FF77" s="179">
        <f>IFERROR(__xludf.DUMMYFUNCTION("""COMPUTED_VALUE"""),0.0)</f>
        <v>0</v>
      </c>
      <c r="FG77" s="182">
        <f>IFERROR(__xludf.DUMMYFUNCTION("""COMPUTED_VALUE"""),45815.0)</f>
        <v>45815</v>
      </c>
      <c r="FH77" s="179">
        <f>IFERROR(__xludf.DUMMYFUNCTION("""COMPUTED_VALUE"""),0.0)</f>
        <v>0</v>
      </c>
      <c r="FI77" s="180">
        <f>IFERROR(__xludf.DUMMYFUNCTION("""COMPUTED_VALUE"""),45784.0)</f>
        <v>45784</v>
      </c>
      <c r="FJ77" s="179">
        <f>IFERROR(__xludf.DUMMYFUNCTION("""COMPUTED_VALUE"""),0.0)</f>
        <v>0</v>
      </c>
      <c r="FK77" s="180">
        <f>IFERROR(__xludf.DUMMYFUNCTION("""COMPUTED_VALUE"""),45936.0)</f>
        <v>45936</v>
      </c>
      <c r="FL77" s="179">
        <f>IFERROR(__xludf.DUMMYFUNCTION("""COMPUTED_VALUE"""),0.0)</f>
        <v>0</v>
      </c>
      <c r="FM77" s="180">
        <f>IFERROR(__xludf.DUMMYFUNCTION("""COMPUTED_VALUE"""),45815.0)</f>
        <v>45815</v>
      </c>
      <c r="FN77" s="179">
        <f>IFERROR(__xludf.DUMMYFUNCTION("""COMPUTED_VALUE"""),0.0)</f>
        <v>0</v>
      </c>
      <c r="FO77" s="180">
        <f>IFERROR(__xludf.DUMMYFUNCTION("""COMPUTED_VALUE"""),45815.0)</f>
        <v>45815</v>
      </c>
      <c r="FP77" s="179">
        <f>IFERROR(__xludf.DUMMYFUNCTION("""COMPUTED_VALUE"""),0.0)</f>
        <v>0</v>
      </c>
      <c r="FQ77" s="180">
        <f>IFERROR(__xludf.DUMMYFUNCTION("""COMPUTED_VALUE"""),45815.0)</f>
        <v>45815</v>
      </c>
      <c r="FR77" s="179">
        <f>IFERROR(__xludf.DUMMYFUNCTION("""COMPUTED_VALUE"""),0.0)</f>
        <v>0</v>
      </c>
      <c r="FS77" s="180">
        <f>IFERROR(__xludf.DUMMYFUNCTION("""COMPUTED_VALUE"""),45784.0)</f>
        <v>45784</v>
      </c>
      <c r="FT77" s="179">
        <f>IFERROR(__xludf.DUMMYFUNCTION("""COMPUTED_VALUE"""),0.0)</f>
        <v>0</v>
      </c>
      <c r="FU77" s="180">
        <f>IFERROR(__xludf.DUMMYFUNCTION("""COMPUTED_VALUE"""),45815.0)</f>
        <v>45815</v>
      </c>
      <c r="FV77" s="179">
        <f>IFERROR(__xludf.DUMMYFUNCTION("""COMPUTED_VALUE"""),0.0)</f>
        <v>0</v>
      </c>
      <c r="FW77" s="180">
        <f>IFERROR(__xludf.DUMMYFUNCTION("""COMPUTED_VALUE"""),45815.0)</f>
        <v>45815</v>
      </c>
      <c r="FX77" s="179">
        <f>IFERROR(__xludf.DUMMYFUNCTION("""COMPUTED_VALUE"""),0.0)</f>
        <v>0</v>
      </c>
      <c r="FY77" s="180">
        <f>IFERROR(__xludf.DUMMYFUNCTION("""COMPUTED_VALUE"""),45723.0)</f>
        <v>45723</v>
      </c>
      <c r="FZ77" s="179">
        <f>IFERROR(__xludf.DUMMYFUNCTION("""COMPUTED_VALUE"""),0.0)</f>
        <v>0</v>
      </c>
      <c r="GA77" s="182">
        <f>IFERROR(__xludf.DUMMYFUNCTION("""COMPUTED_VALUE"""),45815.0)</f>
        <v>45815</v>
      </c>
      <c r="GB77" s="179">
        <f>IFERROR(__xludf.DUMMYFUNCTION("""COMPUTED_VALUE"""),0.0)</f>
        <v>0</v>
      </c>
      <c r="GC77" s="180">
        <f>IFERROR(__xludf.DUMMYFUNCTION("""COMPUTED_VALUE"""),45784.0)</f>
        <v>45784</v>
      </c>
      <c r="GD77" s="179">
        <f>IFERROR(__xludf.DUMMYFUNCTION("""COMPUTED_VALUE"""),0.0)</f>
        <v>0</v>
      </c>
      <c r="GE77" s="180">
        <f>IFERROR(__xludf.DUMMYFUNCTION("""COMPUTED_VALUE"""),45784.0)</f>
        <v>45784</v>
      </c>
      <c r="GF77" s="179">
        <f>IFERROR(__xludf.DUMMYFUNCTION("""COMPUTED_VALUE"""),0.0)</f>
        <v>0</v>
      </c>
      <c r="GG77" s="180">
        <f>IFERROR(__xludf.DUMMYFUNCTION("""COMPUTED_VALUE"""),45784.0)</f>
        <v>45784</v>
      </c>
      <c r="GH77" s="179">
        <f>IFERROR(__xludf.DUMMYFUNCTION("""COMPUTED_VALUE"""),0.0)</f>
        <v>0</v>
      </c>
      <c r="GI77" s="180">
        <f>IFERROR(__xludf.DUMMYFUNCTION("""COMPUTED_VALUE"""),45815.0)</f>
        <v>45815</v>
      </c>
      <c r="GJ77" s="179">
        <f>IFERROR(__xludf.DUMMYFUNCTION("""COMPUTED_VALUE"""),0.0)</f>
        <v>0</v>
      </c>
      <c r="GK77" s="180">
        <f>IFERROR(__xludf.DUMMYFUNCTION("""COMPUTED_VALUE"""),45815.0)</f>
        <v>45815</v>
      </c>
      <c r="GL77" s="179">
        <f>IFERROR(__xludf.DUMMYFUNCTION("""COMPUTED_VALUE"""),0.0)</f>
        <v>0</v>
      </c>
      <c r="GM77" s="180">
        <f>IFERROR(__xludf.DUMMYFUNCTION("""COMPUTED_VALUE"""),45723.0)</f>
        <v>45723</v>
      </c>
      <c r="GN77" s="179">
        <f>IFERROR(__xludf.DUMMYFUNCTION("""COMPUTED_VALUE"""),0.0)</f>
        <v>0</v>
      </c>
      <c r="GO77" s="180">
        <f>IFERROR(__xludf.DUMMYFUNCTION("""COMPUTED_VALUE"""),45815.0)</f>
        <v>45815</v>
      </c>
      <c r="GP77" s="179">
        <f>IFERROR(__xludf.DUMMYFUNCTION("""COMPUTED_VALUE"""),0.0)</f>
        <v>0</v>
      </c>
      <c r="GQ77" s="180">
        <f>IFERROR(__xludf.DUMMYFUNCTION("""COMPUTED_VALUE"""),45815.0)</f>
        <v>45815</v>
      </c>
      <c r="GR77" s="179">
        <f>IFERROR(__xludf.DUMMYFUNCTION("""COMPUTED_VALUE"""),0.0)</f>
        <v>0</v>
      </c>
      <c r="GS77" s="180">
        <f>IFERROR(__xludf.DUMMYFUNCTION("""COMPUTED_VALUE"""),45754.0)</f>
        <v>45754</v>
      </c>
      <c r="GT77" s="179">
        <f>IFERROR(__xludf.DUMMYFUNCTION("""COMPUTED_VALUE"""),0.0)</f>
        <v>0</v>
      </c>
    </row>
    <row r="78" ht="31.5" customHeight="1">
      <c r="B78" s="183"/>
      <c r="C78" s="178">
        <f>IFERROR(__xludf.DUMMYFUNCTION("""COMPUTED_VALUE"""),45816.0)</f>
        <v>45816</v>
      </c>
      <c r="D78" s="179">
        <f>IFERROR(__xludf.DUMMYFUNCTION("""COMPUTED_VALUE"""),0.0)</f>
        <v>0</v>
      </c>
      <c r="E78" s="180">
        <f>IFERROR(__xludf.DUMMYFUNCTION("""COMPUTED_VALUE"""),45785.0)</f>
        <v>45785</v>
      </c>
      <c r="F78" s="179">
        <f>IFERROR(__xludf.DUMMYFUNCTION("""COMPUTED_VALUE"""),0.0)</f>
        <v>0</v>
      </c>
      <c r="G78" s="180">
        <f>IFERROR(__xludf.DUMMYFUNCTION("""COMPUTED_VALUE"""),45785.0)</f>
        <v>45785</v>
      </c>
      <c r="H78" s="179">
        <f>IFERROR(__xludf.DUMMYFUNCTION("""COMPUTED_VALUE"""),0.0)</f>
        <v>0</v>
      </c>
      <c r="I78" s="180">
        <f>IFERROR(__xludf.DUMMYFUNCTION("""COMPUTED_VALUE"""),45816.0)</f>
        <v>45816</v>
      </c>
      <c r="J78" s="179">
        <f>IFERROR(__xludf.DUMMYFUNCTION("""COMPUTED_VALUE"""),0.0)</f>
        <v>0</v>
      </c>
      <c r="K78" s="180">
        <f>IFERROR(__xludf.DUMMYFUNCTION("""COMPUTED_VALUE"""),45816.0)</f>
        <v>45816</v>
      </c>
      <c r="L78" s="179">
        <f>IFERROR(__xludf.DUMMYFUNCTION("""COMPUTED_VALUE"""),0.0)</f>
        <v>0</v>
      </c>
      <c r="M78" s="180">
        <f>IFERROR(__xludf.DUMMYFUNCTION("""COMPUTED_VALUE"""),45816.0)</f>
        <v>45816</v>
      </c>
      <c r="N78" s="179">
        <f>IFERROR(__xludf.DUMMYFUNCTION("""COMPUTED_VALUE"""),0.0)</f>
        <v>0</v>
      </c>
      <c r="O78" s="180">
        <f>IFERROR(__xludf.DUMMYFUNCTION("""COMPUTED_VALUE"""),45755.0)</f>
        <v>45755</v>
      </c>
      <c r="P78" s="179">
        <f>IFERROR(__xludf.DUMMYFUNCTION("""COMPUTED_VALUE"""),0.0)</f>
        <v>0</v>
      </c>
      <c r="Q78" s="180">
        <f>IFERROR(__xludf.DUMMYFUNCTION("""COMPUTED_VALUE"""),45816.0)</f>
        <v>45816</v>
      </c>
      <c r="R78" s="179">
        <f>IFERROR(__xludf.DUMMYFUNCTION("""COMPUTED_VALUE"""),0.0)</f>
        <v>0</v>
      </c>
      <c r="S78" s="180">
        <f>IFERROR(__xludf.DUMMYFUNCTION("""COMPUTED_VALUE"""),45785.0)</f>
        <v>45785</v>
      </c>
      <c r="T78" s="179">
        <f>IFERROR(__xludf.DUMMYFUNCTION("""COMPUTED_VALUE"""),0.0)</f>
        <v>0</v>
      </c>
      <c r="U78" s="180">
        <f>IFERROR(__xludf.DUMMYFUNCTION("""COMPUTED_VALUE"""),45785.0)</f>
        <v>45785</v>
      </c>
      <c r="V78" s="181">
        <f>IFERROR(__xludf.DUMMYFUNCTION("""COMPUTED_VALUE"""),0.0)</f>
        <v>0</v>
      </c>
      <c r="W78" s="178">
        <f>IFERROR(__xludf.DUMMYFUNCTION("""COMPUTED_VALUE"""),45816.0)</f>
        <v>45816</v>
      </c>
      <c r="X78" s="179">
        <f>IFERROR(__xludf.DUMMYFUNCTION("""COMPUTED_VALUE"""),0.0)</f>
        <v>0</v>
      </c>
      <c r="Y78" s="180">
        <f>IFERROR(__xludf.DUMMYFUNCTION("""COMPUTED_VALUE"""),45665.0)</f>
        <v>45665</v>
      </c>
      <c r="Z78" s="179">
        <f>IFERROR(__xludf.DUMMYFUNCTION("""COMPUTED_VALUE"""),0.0)</f>
        <v>0</v>
      </c>
      <c r="AA78" s="180">
        <f>IFERROR(__xludf.DUMMYFUNCTION("""COMPUTED_VALUE"""),45816.0)</f>
        <v>45816</v>
      </c>
      <c r="AB78" s="179">
        <f>IFERROR(__xludf.DUMMYFUNCTION("""COMPUTED_VALUE"""),0.0)</f>
        <v>0</v>
      </c>
      <c r="AC78" s="180">
        <f>IFERROR(__xludf.DUMMYFUNCTION("""COMPUTED_VALUE"""),45907.0)</f>
        <v>45907</v>
      </c>
      <c r="AD78" s="179">
        <f>IFERROR(__xludf.DUMMYFUNCTION("""COMPUTED_VALUE"""),0.0)</f>
        <v>0</v>
      </c>
      <c r="AE78" s="180">
        <f>IFERROR(__xludf.DUMMYFUNCTION("""COMPUTED_VALUE"""),45696.0)</f>
        <v>45696</v>
      </c>
      <c r="AF78" s="179">
        <f>IFERROR(__xludf.DUMMYFUNCTION("""COMPUTED_VALUE"""),0.0)</f>
        <v>0</v>
      </c>
      <c r="AG78" s="180">
        <f>IFERROR(__xludf.DUMMYFUNCTION("""COMPUTED_VALUE"""),45816.0)</f>
        <v>45816</v>
      </c>
      <c r="AH78" s="179">
        <f>IFERROR(__xludf.DUMMYFUNCTION("""COMPUTED_VALUE"""),0.0)</f>
        <v>0</v>
      </c>
      <c r="AI78" s="180">
        <f>IFERROR(__xludf.DUMMYFUNCTION("""COMPUTED_VALUE"""),45937.0)</f>
        <v>45937</v>
      </c>
      <c r="AJ78" s="179">
        <f>IFERROR(__xludf.DUMMYFUNCTION("""COMPUTED_VALUE"""),0.0)</f>
        <v>0</v>
      </c>
      <c r="AK78" s="180">
        <f>IFERROR(__xludf.DUMMYFUNCTION("""COMPUTED_VALUE"""),45724.0)</f>
        <v>45724</v>
      </c>
      <c r="AL78" s="179">
        <f>IFERROR(__xludf.DUMMYFUNCTION("""COMPUTED_VALUE"""),0.0)</f>
        <v>0</v>
      </c>
      <c r="AM78" s="180">
        <f>IFERROR(__xludf.DUMMYFUNCTION("""COMPUTED_VALUE"""),45816.0)</f>
        <v>45816</v>
      </c>
      <c r="AN78" s="179">
        <f>IFERROR(__xludf.DUMMYFUNCTION("""COMPUTED_VALUE"""),0.0)</f>
        <v>0</v>
      </c>
      <c r="AO78" s="180">
        <f>IFERROR(__xludf.DUMMYFUNCTION("""COMPUTED_VALUE"""),45696.0)</f>
        <v>45696</v>
      </c>
      <c r="AP78" s="181">
        <f>IFERROR(__xludf.DUMMYFUNCTION("""COMPUTED_VALUE"""),0.0)</f>
        <v>0</v>
      </c>
      <c r="AQ78" s="178">
        <f>IFERROR(__xludf.DUMMYFUNCTION("""COMPUTED_VALUE"""),45816.0)</f>
        <v>45816</v>
      </c>
      <c r="AR78" s="179">
        <f>IFERROR(__xludf.DUMMYFUNCTION("""COMPUTED_VALUE"""),0.0)</f>
        <v>0</v>
      </c>
      <c r="AS78" s="180">
        <f>IFERROR(__xludf.DUMMYFUNCTION("""COMPUTED_VALUE"""),45816.0)</f>
        <v>45816</v>
      </c>
      <c r="AT78" s="179">
        <f>IFERROR(__xludf.DUMMYFUNCTION("""COMPUTED_VALUE"""),0.0)</f>
        <v>0</v>
      </c>
      <c r="AU78" s="180">
        <f>IFERROR(__xludf.DUMMYFUNCTION("""COMPUTED_VALUE"""),45785.0)</f>
        <v>45785</v>
      </c>
      <c r="AV78" s="179">
        <f>IFERROR(__xludf.DUMMYFUNCTION("""COMPUTED_VALUE"""),0.0)</f>
        <v>0</v>
      </c>
      <c r="AW78" s="180">
        <f>IFERROR(__xludf.DUMMYFUNCTION("""COMPUTED_VALUE"""),45785.0)</f>
        <v>45785</v>
      </c>
      <c r="AX78" s="179">
        <f>IFERROR(__xludf.DUMMYFUNCTION("""COMPUTED_VALUE"""),0.0)</f>
        <v>0</v>
      </c>
      <c r="AY78" s="180">
        <f>IFERROR(__xludf.DUMMYFUNCTION("""COMPUTED_VALUE"""),45816.0)</f>
        <v>45816</v>
      </c>
      <c r="AZ78" s="179">
        <f>IFERROR(__xludf.DUMMYFUNCTION("""COMPUTED_VALUE"""),0.0)</f>
        <v>0</v>
      </c>
      <c r="BA78" s="180">
        <f>IFERROR(__xludf.DUMMYFUNCTION("""COMPUTED_VALUE"""),45816.0)</f>
        <v>45816</v>
      </c>
      <c r="BB78" s="179">
        <f>IFERROR(__xludf.DUMMYFUNCTION("""COMPUTED_VALUE"""),0.0)</f>
        <v>0</v>
      </c>
      <c r="BC78" s="180">
        <f>IFERROR(__xludf.DUMMYFUNCTION("""COMPUTED_VALUE"""),45785.0)</f>
        <v>45785</v>
      </c>
      <c r="BD78" s="179">
        <f>IFERROR(__xludf.DUMMYFUNCTION("""COMPUTED_VALUE"""),0.0)</f>
        <v>0</v>
      </c>
      <c r="BE78" s="180">
        <f>IFERROR(__xludf.DUMMYFUNCTION("""COMPUTED_VALUE"""),45816.0)</f>
        <v>45816</v>
      </c>
      <c r="BF78" s="179">
        <f>IFERROR(__xludf.DUMMYFUNCTION("""COMPUTED_VALUE"""),0.0)</f>
        <v>0</v>
      </c>
      <c r="BG78" s="180">
        <f>IFERROR(__xludf.DUMMYFUNCTION("""COMPUTED_VALUE"""),45785.0)</f>
        <v>45785</v>
      </c>
      <c r="BH78" s="179">
        <f>IFERROR(__xludf.DUMMYFUNCTION("""COMPUTED_VALUE"""),0.0)</f>
        <v>0</v>
      </c>
      <c r="BI78" s="180">
        <f>IFERROR(__xludf.DUMMYFUNCTION("""COMPUTED_VALUE"""),45816.0)</f>
        <v>45816</v>
      </c>
      <c r="BJ78" s="179">
        <f>IFERROR(__xludf.DUMMYFUNCTION("""COMPUTED_VALUE"""),0.0)</f>
        <v>0</v>
      </c>
      <c r="BK78" s="182">
        <f>IFERROR(__xludf.DUMMYFUNCTION("""COMPUTED_VALUE"""),45816.0)</f>
        <v>45816</v>
      </c>
      <c r="BL78" s="179">
        <f>IFERROR(__xludf.DUMMYFUNCTION("""COMPUTED_VALUE"""),0.0)</f>
        <v>0</v>
      </c>
      <c r="BM78" s="180">
        <f>IFERROR(__xludf.DUMMYFUNCTION("""COMPUTED_VALUE"""),45816.0)</f>
        <v>45816</v>
      </c>
      <c r="BN78" s="179">
        <f>IFERROR(__xludf.DUMMYFUNCTION("""COMPUTED_VALUE"""),0.0)</f>
        <v>0</v>
      </c>
      <c r="BO78" s="180">
        <f>IFERROR(__xludf.DUMMYFUNCTION("""COMPUTED_VALUE"""),45785.0)</f>
        <v>45785</v>
      </c>
      <c r="BP78" s="179">
        <f>IFERROR(__xludf.DUMMYFUNCTION("""COMPUTED_VALUE"""),0.0)</f>
        <v>0</v>
      </c>
      <c r="BQ78" s="180">
        <f>IFERROR(__xludf.DUMMYFUNCTION("""COMPUTED_VALUE"""),45785.0)</f>
        <v>45785</v>
      </c>
      <c r="BR78" s="179">
        <f>IFERROR(__xludf.DUMMYFUNCTION("""COMPUTED_VALUE"""),0.0)</f>
        <v>0</v>
      </c>
      <c r="BS78" s="180">
        <f>IFERROR(__xludf.DUMMYFUNCTION("""COMPUTED_VALUE"""),45816.0)</f>
        <v>45816</v>
      </c>
      <c r="BT78" s="179">
        <f>IFERROR(__xludf.DUMMYFUNCTION("""COMPUTED_VALUE"""),0.0)</f>
        <v>0</v>
      </c>
      <c r="BU78" s="180">
        <f>IFERROR(__xludf.DUMMYFUNCTION("""COMPUTED_VALUE"""),45816.0)</f>
        <v>45816</v>
      </c>
      <c r="BV78" s="179">
        <f>IFERROR(__xludf.DUMMYFUNCTION("""COMPUTED_VALUE"""),0.0)</f>
        <v>0</v>
      </c>
      <c r="BW78" s="180">
        <f>IFERROR(__xludf.DUMMYFUNCTION("""COMPUTED_VALUE"""),45816.0)</f>
        <v>45816</v>
      </c>
      <c r="BX78" s="179">
        <f>IFERROR(__xludf.DUMMYFUNCTION("""COMPUTED_VALUE"""),0.0)</f>
        <v>0</v>
      </c>
      <c r="BY78" s="180">
        <f>IFERROR(__xludf.DUMMYFUNCTION("""COMPUTED_VALUE"""),45785.0)</f>
        <v>45785</v>
      </c>
      <c r="BZ78" s="179">
        <f>IFERROR(__xludf.DUMMYFUNCTION("""COMPUTED_VALUE"""),0.0)</f>
        <v>0</v>
      </c>
      <c r="CA78" s="180">
        <f>IFERROR(__xludf.DUMMYFUNCTION("""COMPUTED_VALUE"""),45816.0)</f>
        <v>45816</v>
      </c>
      <c r="CB78" s="179">
        <f>IFERROR(__xludf.DUMMYFUNCTION("""COMPUTED_VALUE"""),0.0)</f>
        <v>0</v>
      </c>
      <c r="CC78" s="180">
        <f>IFERROR(__xludf.DUMMYFUNCTION("""COMPUTED_VALUE"""),45816.0)</f>
        <v>45816</v>
      </c>
      <c r="CD78" s="179">
        <f>IFERROR(__xludf.DUMMYFUNCTION("""COMPUTED_VALUE"""),0.0)</f>
        <v>0</v>
      </c>
      <c r="CE78" s="182">
        <f>IFERROR(__xludf.DUMMYFUNCTION("""COMPUTED_VALUE"""),45816.0)</f>
        <v>45816</v>
      </c>
      <c r="CF78" s="179">
        <f>IFERROR(__xludf.DUMMYFUNCTION("""COMPUTED_VALUE"""),0.0)</f>
        <v>0</v>
      </c>
      <c r="CG78" s="180">
        <f>IFERROR(__xludf.DUMMYFUNCTION("""COMPUTED_VALUE"""),45696.0)</f>
        <v>45696</v>
      </c>
      <c r="CH78" s="179">
        <f>IFERROR(__xludf.DUMMYFUNCTION("""COMPUTED_VALUE"""),0.0)</f>
        <v>0</v>
      </c>
      <c r="CI78" s="180">
        <f>IFERROR(__xludf.DUMMYFUNCTION("""COMPUTED_VALUE"""),45696.0)</f>
        <v>45696</v>
      </c>
      <c r="CJ78" s="179">
        <f>IFERROR(__xludf.DUMMYFUNCTION("""COMPUTED_VALUE"""),0.0)</f>
        <v>0</v>
      </c>
      <c r="CK78" s="180">
        <f>IFERROR(__xludf.DUMMYFUNCTION("""COMPUTED_VALUE"""),45724.0)</f>
        <v>45724</v>
      </c>
      <c r="CL78" s="179">
        <f>IFERROR(__xludf.DUMMYFUNCTION("""COMPUTED_VALUE"""),0.0)</f>
        <v>0</v>
      </c>
      <c r="CM78" s="180">
        <f>IFERROR(__xludf.DUMMYFUNCTION("""COMPUTED_VALUE"""),45785.0)</f>
        <v>45785</v>
      </c>
      <c r="CN78" s="179">
        <f>IFERROR(__xludf.DUMMYFUNCTION("""COMPUTED_VALUE"""),0.0)</f>
        <v>0</v>
      </c>
      <c r="CO78" s="180">
        <f>IFERROR(__xludf.DUMMYFUNCTION("""COMPUTED_VALUE"""),45755.0)</f>
        <v>45755</v>
      </c>
      <c r="CP78" s="179">
        <f>IFERROR(__xludf.DUMMYFUNCTION("""COMPUTED_VALUE"""),0.0)</f>
        <v>0</v>
      </c>
      <c r="CQ78" s="180">
        <f>IFERROR(__xludf.DUMMYFUNCTION("""COMPUTED_VALUE"""),45696.0)</f>
        <v>45696</v>
      </c>
      <c r="CR78" s="179">
        <f>IFERROR(__xludf.DUMMYFUNCTION("""COMPUTED_VALUE"""),0.0)</f>
        <v>0</v>
      </c>
      <c r="CS78" s="180">
        <f>IFERROR(__xludf.DUMMYFUNCTION("""COMPUTED_VALUE"""),45785.0)</f>
        <v>45785</v>
      </c>
      <c r="CT78" s="179">
        <f>IFERROR(__xludf.DUMMYFUNCTION("""COMPUTED_VALUE"""),0.0)</f>
        <v>0</v>
      </c>
      <c r="CU78" s="180">
        <f>IFERROR(__xludf.DUMMYFUNCTION("""COMPUTED_VALUE"""),45816.0)</f>
        <v>45816</v>
      </c>
      <c r="CV78" s="179">
        <f>IFERROR(__xludf.DUMMYFUNCTION("""COMPUTED_VALUE"""),0.0)</f>
        <v>0</v>
      </c>
      <c r="CW78" s="180">
        <f>IFERROR(__xludf.DUMMYFUNCTION("""COMPUTED_VALUE"""),45876.0)</f>
        <v>45876</v>
      </c>
      <c r="CX78" s="179">
        <f>IFERROR(__xludf.DUMMYFUNCTION("""COMPUTED_VALUE"""),0.0)</f>
        <v>0</v>
      </c>
      <c r="CY78" s="182">
        <f>IFERROR(__xludf.DUMMYFUNCTION("""COMPUTED_VALUE"""),45816.0)</f>
        <v>45816</v>
      </c>
      <c r="CZ78" s="179">
        <f>IFERROR(__xludf.DUMMYFUNCTION("""COMPUTED_VALUE"""),0.0)</f>
        <v>0</v>
      </c>
      <c r="DA78" s="180">
        <f>IFERROR(__xludf.DUMMYFUNCTION("""COMPUTED_VALUE"""),45816.0)</f>
        <v>45816</v>
      </c>
      <c r="DB78" s="179">
        <f>IFERROR(__xludf.DUMMYFUNCTION("""COMPUTED_VALUE"""),0.0)</f>
        <v>0</v>
      </c>
      <c r="DC78" s="180">
        <f>IFERROR(__xludf.DUMMYFUNCTION("""COMPUTED_VALUE"""),45816.0)</f>
        <v>45816</v>
      </c>
      <c r="DD78" s="179">
        <f>IFERROR(__xludf.DUMMYFUNCTION("""COMPUTED_VALUE"""),0.0)</f>
        <v>0</v>
      </c>
      <c r="DE78" s="180">
        <f>IFERROR(__xludf.DUMMYFUNCTION("""COMPUTED_VALUE"""),45816.0)</f>
        <v>45816</v>
      </c>
      <c r="DF78" s="179">
        <f>IFERROR(__xludf.DUMMYFUNCTION("""COMPUTED_VALUE"""),0.0)</f>
        <v>0</v>
      </c>
      <c r="DG78" s="180">
        <f>IFERROR(__xludf.DUMMYFUNCTION("""COMPUTED_VALUE"""),45816.0)</f>
        <v>45816</v>
      </c>
      <c r="DH78" s="179">
        <f>IFERROR(__xludf.DUMMYFUNCTION("""COMPUTED_VALUE"""),0.0)</f>
        <v>0</v>
      </c>
      <c r="DI78" s="180">
        <f>IFERROR(__xludf.DUMMYFUNCTION("""COMPUTED_VALUE"""),45816.0)</f>
        <v>45816</v>
      </c>
      <c r="DJ78" s="179">
        <f>IFERROR(__xludf.DUMMYFUNCTION("""COMPUTED_VALUE"""),0.0)</f>
        <v>0</v>
      </c>
      <c r="DK78" s="180">
        <f>IFERROR(__xludf.DUMMYFUNCTION("""COMPUTED_VALUE"""),45816.0)</f>
        <v>45816</v>
      </c>
      <c r="DL78" s="179">
        <f>IFERROR(__xludf.DUMMYFUNCTION("""COMPUTED_VALUE"""),0.0)</f>
        <v>0</v>
      </c>
      <c r="DM78" s="180">
        <f>IFERROR(__xludf.DUMMYFUNCTION("""COMPUTED_VALUE"""),45816.0)</f>
        <v>45816</v>
      </c>
      <c r="DN78" s="179">
        <f>IFERROR(__xludf.DUMMYFUNCTION("""COMPUTED_VALUE"""),0.0)</f>
        <v>0</v>
      </c>
      <c r="DO78" s="180">
        <f>IFERROR(__xludf.DUMMYFUNCTION("""COMPUTED_VALUE"""),45816.0)</f>
        <v>45816</v>
      </c>
      <c r="DP78" s="179">
        <f>IFERROR(__xludf.DUMMYFUNCTION("""COMPUTED_VALUE"""),0.0)</f>
        <v>0</v>
      </c>
      <c r="DQ78" s="180">
        <f>IFERROR(__xludf.DUMMYFUNCTION("""COMPUTED_VALUE"""),45816.0)</f>
        <v>45816</v>
      </c>
      <c r="DR78" s="179">
        <f>IFERROR(__xludf.DUMMYFUNCTION("""COMPUTED_VALUE"""),0.0)</f>
        <v>0</v>
      </c>
      <c r="DS78" s="182">
        <f>IFERROR(__xludf.DUMMYFUNCTION("""COMPUTED_VALUE"""),45816.0)</f>
        <v>45816</v>
      </c>
      <c r="DT78" s="179">
        <f>IFERROR(__xludf.DUMMYFUNCTION("""COMPUTED_VALUE"""),0.0)</f>
        <v>0</v>
      </c>
      <c r="DU78" s="180">
        <f>IFERROR(__xludf.DUMMYFUNCTION("""COMPUTED_VALUE"""),45816.0)</f>
        <v>45816</v>
      </c>
      <c r="DV78" s="179">
        <f>IFERROR(__xludf.DUMMYFUNCTION("""COMPUTED_VALUE"""),0.0)</f>
        <v>0</v>
      </c>
      <c r="DW78" s="180">
        <f>IFERROR(__xludf.DUMMYFUNCTION("""COMPUTED_VALUE"""),45816.0)</f>
        <v>45816</v>
      </c>
      <c r="DX78" s="179">
        <f>IFERROR(__xludf.DUMMYFUNCTION("""COMPUTED_VALUE"""),0.0)</f>
        <v>0</v>
      </c>
      <c r="DY78" s="180">
        <f>IFERROR(__xludf.DUMMYFUNCTION("""COMPUTED_VALUE"""),45785.0)</f>
        <v>45785</v>
      </c>
      <c r="DZ78" s="179">
        <f>IFERROR(__xludf.DUMMYFUNCTION("""COMPUTED_VALUE"""),0.0)</f>
        <v>0</v>
      </c>
      <c r="EA78" s="180">
        <f>IFERROR(__xludf.DUMMYFUNCTION("""COMPUTED_VALUE"""),45816.0)</f>
        <v>45816</v>
      </c>
      <c r="EB78" s="179">
        <f>IFERROR(__xludf.DUMMYFUNCTION("""COMPUTED_VALUE"""),0.0)</f>
        <v>0</v>
      </c>
      <c r="EC78" s="180">
        <f>IFERROR(__xludf.DUMMYFUNCTION("""COMPUTED_VALUE"""),45816.0)</f>
        <v>45816</v>
      </c>
      <c r="ED78" s="179">
        <f>IFERROR(__xludf.DUMMYFUNCTION("""COMPUTED_VALUE"""),0.0)</f>
        <v>0</v>
      </c>
      <c r="EE78" s="180">
        <f>IFERROR(__xludf.DUMMYFUNCTION("""COMPUTED_VALUE"""),45785.0)</f>
        <v>45785</v>
      </c>
      <c r="EF78" s="179">
        <f>IFERROR(__xludf.DUMMYFUNCTION("""COMPUTED_VALUE"""),0.0)</f>
        <v>0</v>
      </c>
      <c r="EG78" s="180">
        <f>IFERROR(__xludf.DUMMYFUNCTION("""COMPUTED_VALUE"""),45785.0)</f>
        <v>45785</v>
      </c>
      <c r="EH78" s="179">
        <f>IFERROR(__xludf.DUMMYFUNCTION("""COMPUTED_VALUE"""),0.0)</f>
        <v>0</v>
      </c>
      <c r="EI78" s="180">
        <f>IFERROR(__xludf.DUMMYFUNCTION("""COMPUTED_VALUE"""),45816.0)</f>
        <v>45816</v>
      </c>
      <c r="EJ78" s="179">
        <f>IFERROR(__xludf.DUMMYFUNCTION("""COMPUTED_VALUE"""),0.0)</f>
        <v>0</v>
      </c>
      <c r="EK78" s="180">
        <f>IFERROR(__xludf.DUMMYFUNCTION("""COMPUTED_VALUE"""),45785.0)</f>
        <v>45785</v>
      </c>
      <c r="EL78" s="179">
        <f>IFERROR(__xludf.DUMMYFUNCTION("""COMPUTED_VALUE"""),0.0)</f>
        <v>0</v>
      </c>
      <c r="EM78" s="182">
        <f>IFERROR(__xludf.DUMMYFUNCTION("""COMPUTED_VALUE"""),45754.0)</f>
        <v>45754</v>
      </c>
      <c r="EN78" s="179">
        <f>IFERROR(__xludf.DUMMYFUNCTION("""COMPUTED_VALUE"""),0.0)</f>
        <v>0</v>
      </c>
      <c r="EO78" s="180">
        <f>IFERROR(__xludf.DUMMYFUNCTION("""COMPUTED_VALUE"""),45845.0)</f>
        <v>45845</v>
      </c>
      <c r="EP78" s="179">
        <f>IFERROR(__xludf.DUMMYFUNCTION("""COMPUTED_VALUE"""),0.0)</f>
        <v>0</v>
      </c>
      <c r="EQ78" s="180">
        <f>IFERROR(__xludf.DUMMYFUNCTION("""COMPUTED_VALUE"""),45815.0)</f>
        <v>45815</v>
      </c>
      <c r="ER78" s="179">
        <f>IFERROR(__xludf.DUMMYFUNCTION("""COMPUTED_VALUE"""),0.0)</f>
        <v>0</v>
      </c>
      <c r="ES78" s="180">
        <f>IFERROR(__xludf.DUMMYFUNCTION("""COMPUTED_VALUE"""),45845.0)</f>
        <v>45845</v>
      </c>
      <c r="ET78" s="179">
        <f>IFERROR(__xludf.DUMMYFUNCTION("""COMPUTED_VALUE"""),0.0)</f>
        <v>0</v>
      </c>
      <c r="EU78" s="180">
        <f>IFERROR(__xludf.DUMMYFUNCTION("""COMPUTED_VALUE"""),45815.0)</f>
        <v>45815</v>
      </c>
      <c r="EV78" s="179">
        <f>IFERROR(__xludf.DUMMYFUNCTION("""COMPUTED_VALUE"""),0.0)</f>
        <v>0</v>
      </c>
      <c r="EW78" s="180">
        <f>IFERROR(__xludf.DUMMYFUNCTION("""COMPUTED_VALUE"""),45845.0)</f>
        <v>45845</v>
      </c>
      <c r="EX78" s="179">
        <f>IFERROR(__xludf.DUMMYFUNCTION("""COMPUTED_VALUE"""),0.0)</f>
        <v>0</v>
      </c>
      <c r="EY78" s="180">
        <f>IFERROR(__xludf.DUMMYFUNCTION("""COMPUTED_VALUE"""),45845.0)</f>
        <v>45845</v>
      </c>
      <c r="EZ78" s="179">
        <f>IFERROR(__xludf.DUMMYFUNCTION("""COMPUTED_VALUE"""),0.0)</f>
        <v>0</v>
      </c>
      <c r="FA78" s="180">
        <f>IFERROR(__xludf.DUMMYFUNCTION("""COMPUTED_VALUE"""),45815.0)</f>
        <v>45815</v>
      </c>
      <c r="FB78" s="179">
        <f>IFERROR(__xludf.DUMMYFUNCTION("""COMPUTED_VALUE"""),0.0)</f>
        <v>0</v>
      </c>
      <c r="FC78" s="180">
        <f>IFERROR(__xludf.DUMMYFUNCTION("""COMPUTED_VALUE"""),45845.0)</f>
        <v>45845</v>
      </c>
      <c r="FD78" s="179">
        <f>IFERROR(__xludf.DUMMYFUNCTION("""COMPUTED_VALUE"""),0.0)</f>
        <v>0</v>
      </c>
      <c r="FE78" s="180">
        <f>IFERROR(__xludf.DUMMYFUNCTION("""COMPUTED_VALUE"""),45723.0)</f>
        <v>45723</v>
      </c>
      <c r="FF78" s="179">
        <f>IFERROR(__xludf.DUMMYFUNCTION("""COMPUTED_VALUE"""),0.0)</f>
        <v>0</v>
      </c>
      <c r="FG78" s="182">
        <f>IFERROR(__xludf.DUMMYFUNCTION("""COMPUTED_VALUE"""),45845.0)</f>
        <v>45845</v>
      </c>
      <c r="FH78" s="179">
        <f>IFERROR(__xludf.DUMMYFUNCTION("""COMPUTED_VALUE"""),0.0)</f>
        <v>0</v>
      </c>
      <c r="FI78" s="180">
        <f>IFERROR(__xludf.DUMMYFUNCTION("""COMPUTED_VALUE"""),45815.0)</f>
        <v>45815</v>
      </c>
      <c r="FJ78" s="179">
        <f>IFERROR(__xludf.DUMMYFUNCTION("""COMPUTED_VALUE"""),0.0)</f>
        <v>0</v>
      </c>
      <c r="FK78" s="180">
        <f>IFERROR(__xludf.DUMMYFUNCTION("""COMPUTED_VALUE"""),45664.0)</f>
        <v>45664</v>
      </c>
      <c r="FL78" s="179">
        <f>IFERROR(__xludf.DUMMYFUNCTION("""COMPUTED_VALUE"""),0.0)</f>
        <v>0</v>
      </c>
      <c r="FM78" s="180">
        <f>IFERROR(__xludf.DUMMYFUNCTION("""COMPUTED_VALUE"""),45845.0)</f>
        <v>45845</v>
      </c>
      <c r="FN78" s="179">
        <f>IFERROR(__xludf.DUMMYFUNCTION("""COMPUTED_VALUE"""),0.0)</f>
        <v>0</v>
      </c>
      <c r="FO78" s="180">
        <f>IFERROR(__xludf.DUMMYFUNCTION("""COMPUTED_VALUE"""),45845.0)</f>
        <v>45845</v>
      </c>
      <c r="FP78" s="179">
        <f>IFERROR(__xludf.DUMMYFUNCTION("""COMPUTED_VALUE"""),0.0)</f>
        <v>0</v>
      </c>
      <c r="FQ78" s="180">
        <f>IFERROR(__xludf.DUMMYFUNCTION("""COMPUTED_VALUE"""),45845.0)</f>
        <v>45845</v>
      </c>
      <c r="FR78" s="179">
        <f>IFERROR(__xludf.DUMMYFUNCTION("""COMPUTED_VALUE"""),0.0)</f>
        <v>0</v>
      </c>
      <c r="FS78" s="180">
        <f>IFERROR(__xludf.DUMMYFUNCTION("""COMPUTED_VALUE"""),45815.0)</f>
        <v>45815</v>
      </c>
      <c r="FT78" s="179">
        <f>IFERROR(__xludf.DUMMYFUNCTION("""COMPUTED_VALUE"""),0.0)</f>
        <v>0</v>
      </c>
      <c r="FU78" s="180">
        <f>IFERROR(__xludf.DUMMYFUNCTION("""COMPUTED_VALUE"""),45845.0)</f>
        <v>45845</v>
      </c>
      <c r="FV78" s="179">
        <f>IFERROR(__xludf.DUMMYFUNCTION("""COMPUTED_VALUE"""),0.0)</f>
        <v>0</v>
      </c>
      <c r="FW78" s="180">
        <f>IFERROR(__xludf.DUMMYFUNCTION("""COMPUTED_VALUE"""),45845.0)</f>
        <v>45845</v>
      </c>
      <c r="FX78" s="179">
        <f>IFERROR(__xludf.DUMMYFUNCTION("""COMPUTED_VALUE"""),0.0)</f>
        <v>0</v>
      </c>
      <c r="FY78" s="180">
        <f>IFERROR(__xludf.DUMMYFUNCTION("""COMPUTED_VALUE"""),45754.0)</f>
        <v>45754</v>
      </c>
      <c r="FZ78" s="179">
        <f>IFERROR(__xludf.DUMMYFUNCTION("""COMPUTED_VALUE"""),0.0)</f>
        <v>0</v>
      </c>
      <c r="GA78" s="182">
        <f>IFERROR(__xludf.DUMMYFUNCTION("""COMPUTED_VALUE"""),45845.0)</f>
        <v>45845</v>
      </c>
      <c r="GB78" s="179">
        <f>IFERROR(__xludf.DUMMYFUNCTION("""COMPUTED_VALUE"""),0.0)</f>
        <v>0</v>
      </c>
      <c r="GC78" s="180">
        <f>IFERROR(__xludf.DUMMYFUNCTION("""COMPUTED_VALUE"""),45815.0)</f>
        <v>45815</v>
      </c>
      <c r="GD78" s="179">
        <f>IFERROR(__xludf.DUMMYFUNCTION("""COMPUTED_VALUE"""),0.0)</f>
        <v>0</v>
      </c>
      <c r="GE78" s="180">
        <f>IFERROR(__xludf.DUMMYFUNCTION("""COMPUTED_VALUE"""),45815.0)</f>
        <v>45815</v>
      </c>
      <c r="GF78" s="179">
        <f>IFERROR(__xludf.DUMMYFUNCTION("""COMPUTED_VALUE"""),0.0)</f>
        <v>0</v>
      </c>
      <c r="GG78" s="180">
        <f>IFERROR(__xludf.DUMMYFUNCTION("""COMPUTED_VALUE"""),45815.0)</f>
        <v>45815</v>
      </c>
      <c r="GH78" s="179">
        <f>IFERROR(__xludf.DUMMYFUNCTION("""COMPUTED_VALUE"""),0.0)</f>
        <v>0</v>
      </c>
      <c r="GI78" s="180">
        <f>IFERROR(__xludf.DUMMYFUNCTION("""COMPUTED_VALUE"""),45845.0)</f>
        <v>45845</v>
      </c>
      <c r="GJ78" s="179">
        <f>IFERROR(__xludf.DUMMYFUNCTION("""COMPUTED_VALUE"""),0.0)</f>
        <v>0</v>
      </c>
      <c r="GK78" s="180">
        <f>IFERROR(__xludf.DUMMYFUNCTION("""COMPUTED_VALUE"""),45845.0)</f>
        <v>45845</v>
      </c>
      <c r="GL78" s="179">
        <f>IFERROR(__xludf.DUMMYFUNCTION("""COMPUTED_VALUE"""),0.0)</f>
        <v>0</v>
      </c>
      <c r="GM78" s="180">
        <f>IFERROR(__xludf.DUMMYFUNCTION("""COMPUTED_VALUE"""),45754.0)</f>
        <v>45754</v>
      </c>
      <c r="GN78" s="179">
        <f>IFERROR(__xludf.DUMMYFUNCTION("""COMPUTED_VALUE"""),0.0)</f>
        <v>0</v>
      </c>
      <c r="GO78" s="180">
        <f>IFERROR(__xludf.DUMMYFUNCTION("""COMPUTED_VALUE"""),45845.0)</f>
        <v>45845</v>
      </c>
      <c r="GP78" s="179">
        <f>IFERROR(__xludf.DUMMYFUNCTION("""COMPUTED_VALUE"""),0.0)</f>
        <v>0</v>
      </c>
      <c r="GQ78" s="180">
        <f>IFERROR(__xludf.DUMMYFUNCTION("""COMPUTED_VALUE"""),45845.0)</f>
        <v>45845</v>
      </c>
      <c r="GR78" s="179">
        <f>IFERROR(__xludf.DUMMYFUNCTION("""COMPUTED_VALUE"""),0.0)</f>
        <v>0</v>
      </c>
      <c r="GS78" s="180">
        <f>IFERROR(__xludf.DUMMYFUNCTION("""COMPUTED_VALUE"""),45784.0)</f>
        <v>45784</v>
      </c>
      <c r="GT78" s="179">
        <f>IFERROR(__xludf.DUMMYFUNCTION("""COMPUTED_VALUE"""),0.0)</f>
        <v>0</v>
      </c>
    </row>
    <row r="79" ht="31.5" customHeight="1">
      <c r="B79" s="183"/>
      <c r="C79" s="178">
        <f>IFERROR(__xludf.DUMMYFUNCTION("""COMPUTED_VALUE"""),45846.0)</f>
        <v>45846</v>
      </c>
      <c r="D79" s="179">
        <f>IFERROR(__xludf.DUMMYFUNCTION("""COMPUTED_VALUE"""),0.0)</f>
        <v>0</v>
      </c>
      <c r="E79" s="180">
        <f>IFERROR(__xludf.DUMMYFUNCTION("""COMPUTED_VALUE"""),45816.0)</f>
        <v>45816</v>
      </c>
      <c r="F79" s="179">
        <f>IFERROR(__xludf.DUMMYFUNCTION("""COMPUTED_VALUE"""),0.0)</f>
        <v>0</v>
      </c>
      <c r="G79" s="180">
        <f>IFERROR(__xludf.DUMMYFUNCTION("""COMPUTED_VALUE"""),45816.0)</f>
        <v>45816</v>
      </c>
      <c r="H79" s="179">
        <f>IFERROR(__xludf.DUMMYFUNCTION("""COMPUTED_VALUE"""),0.0)</f>
        <v>0</v>
      </c>
      <c r="I79" s="180">
        <f>IFERROR(__xludf.DUMMYFUNCTION("""COMPUTED_VALUE"""),45846.0)</f>
        <v>45846</v>
      </c>
      <c r="J79" s="179">
        <f>IFERROR(__xludf.DUMMYFUNCTION("""COMPUTED_VALUE"""),0.0)</f>
        <v>0</v>
      </c>
      <c r="K79" s="180">
        <f>IFERROR(__xludf.DUMMYFUNCTION("""COMPUTED_VALUE"""),45846.0)</f>
        <v>45846</v>
      </c>
      <c r="L79" s="179">
        <f>IFERROR(__xludf.DUMMYFUNCTION("""COMPUTED_VALUE"""),0.0)</f>
        <v>0</v>
      </c>
      <c r="M79" s="180">
        <f>IFERROR(__xludf.DUMMYFUNCTION("""COMPUTED_VALUE"""),45846.0)</f>
        <v>45846</v>
      </c>
      <c r="N79" s="179">
        <f>IFERROR(__xludf.DUMMYFUNCTION("""COMPUTED_VALUE"""),0.0)</f>
        <v>0</v>
      </c>
      <c r="O79" s="180">
        <f>IFERROR(__xludf.DUMMYFUNCTION("""COMPUTED_VALUE"""),45785.0)</f>
        <v>45785</v>
      </c>
      <c r="P79" s="179">
        <f>IFERROR(__xludf.DUMMYFUNCTION("""COMPUTED_VALUE"""),0.0)</f>
        <v>0</v>
      </c>
      <c r="Q79" s="180">
        <f>IFERROR(__xludf.DUMMYFUNCTION("""COMPUTED_VALUE"""),45846.0)</f>
        <v>45846</v>
      </c>
      <c r="R79" s="179">
        <f>IFERROR(__xludf.DUMMYFUNCTION("""COMPUTED_VALUE"""),0.0)</f>
        <v>0</v>
      </c>
      <c r="S79" s="180">
        <f>IFERROR(__xludf.DUMMYFUNCTION("""COMPUTED_VALUE"""),45816.0)</f>
        <v>45816</v>
      </c>
      <c r="T79" s="179">
        <f>IFERROR(__xludf.DUMMYFUNCTION("""COMPUTED_VALUE"""),0.0)</f>
        <v>0</v>
      </c>
      <c r="U79" s="180">
        <f>IFERROR(__xludf.DUMMYFUNCTION("""COMPUTED_VALUE"""),45816.0)</f>
        <v>45816</v>
      </c>
      <c r="V79" s="181">
        <f>IFERROR(__xludf.DUMMYFUNCTION("""COMPUTED_VALUE"""),0.0)</f>
        <v>0</v>
      </c>
      <c r="W79" s="178">
        <f>IFERROR(__xludf.DUMMYFUNCTION("""COMPUTED_VALUE"""),45846.0)</f>
        <v>45846</v>
      </c>
      <c r="X79" s="179">
        <f>IFERROR(__xludf.DUMMYFUNCTION("""COMPUTED_VALUE"""),0.0)</f>
        <v>0</v>
      </c>
      <c r="Y79" s="180">
        <f>IFERROR(__xludf.DUMMYFUNCTION("""COMPUTED_VALUE"""),45696.0)</f>
        <v>45696</v>
      </c>
      <c r="Z79" s="179">
        <f>IFERROR(__xludf.DUMMYFUNCTION("""COMPUTED_VALUE"""),0.0)</f>
        <v>0</v>
      </c>
      <c r="AA79" s="180">
        <f>IFERROR(__xludf.DUMMYFUNCTION("""COMPUTED_VALUE"""),45846.0)</f>
        <v>45846</v>
      </c>
      <c r="AB79" s="179">
        <f>IFERROR(__xludf.DUMMYFUNCTION("""COMPUTED_VALUE"""),0.0)</f>
        <v>0</v>
      </c>
      <c r="AC79" s="180">
        <f>IFERROR(__xludf.DUMMYFUNCTION("""COMPUTED_VALUE"""),45937.0)</f>
        <v>45937</v>
      </c>
      <c r="AD79" s="179">
        <f>IFERROR(__xludf.DUMMYFUNCTION("""COMPUTED_VALUE"""),0.0)</f>
        <v>0</v>
      </c>
      <c r="AE79" s="180">
        <f>IFERROR(__xludf.DUMMYFUNCTION("""COMPUTED_VALUE"""),45724.0)</f>
        <v>45724</v>
      </c>
      <c r="AF79" s="179">
        <f>IFERROR(__xludf.DUMMYFUNCTION("""COMPUTED_VALUE"""),0.0)</f>
        <v>0</v>
      </c>
      <c r="AG79" s="180">
        <f>IFERROR(__xludf.DUMMYFUNCTION("""COMPUTED_VALUE"""),45846.0)</f>
        <v>45846</v>
      </c>
      <c r="AH79" s="179">
        <f>IFERROR(__xludf.DUMMYFUNCTION("""COMPUTED_VALUE"""),0.0)</f>
        <v>0</v>
      </c>
      <c r="AI79" s="180">
        <f>IFERROR(__xludf.DUMMYFUNCTION("""COMPUTED_VALUE"""),45665.0)</f>
        <v>45665</v>
      </c>
      <c r="AJ79" s="179">
        <f>IFERROR(__xludf.DUMMYFUNCTION("""COMPUTED_VALUE"""),0.0)</f>
        <v>0</v>
      </c>
      <c r="AK79" s="180">
        <f>IFERROR(__xludf.DUMMYFUNCTION("""COMPUTED_VALUE"""),45755.0)</f>
        <v>45755</v>
      </c>
      <c r="AL79" s="179">
        <f>IFERROR(__xludf.DUMMYFUNCTION("""COMPUTED_VALUE"""),0.0)</f>
        <v>0</v>
      </c>
      <c r="AM79" s="180">
        <f>IFERROR(__xludf.DUMMYFUNCTION("""COMPUTED_VALUE"""),45846.0)</f>
        <v>45846</v>
      </c>
      <c r="AN79" s="179">
        <f>IFERROR(__xludf.DUMMYFUNCTION("""COMPUTED_VALUE"""),0.0)</f>
        <v>0</v>
      </c>
      <c r="AO79" s="180">
        <f>IFERROR(__xludf.DUMMYFUNCTION("""COMPUTED_VALUE"""),45755.0)</f>
        <v>45755</v>
      </c>
      <c r="AP79" s="181">
        <f>IFERROR(__xludf.DUMMYFUNCTION("""COMPUTED_VALUE"""),0.0)</f>
        <v>0</v>
      </c>
      <c r="AQ79" s="178">
        <f>IFERROR(__xludf.DUMMYFUNCTION("""COMPUTED_VALUE"""),45846.0)</f>
        <v>45846</v>
      </c>
      <c r="AR79" s="179">
        <f>IFERROR(__xludf.DUMMYFUNCTION("""COMPUTED_VALUE"""),0.0)</f>
        <v>0</v>
      </c>
      <c r="AS79" s="180">
        <f>IFERROR(__xludf.DUMMYFUNCTION("""COMPUTED_VALUE"""),45846.0)</f>
        <v>45846</v>
      </c>
      <c r="AT79" s="179">
        <f>IFERROR(__xludf.DUMMYFUNCTION("""COMPUTED_VALUE"""),0.0)</f>
        <v>0</v>
      </c>
      <c r="AU79" s="180">
        <f>IFERROR(__xludf.DUMMYFUNCTION("""COMPUTED_VALUE"""),45816.0)</f>
        <v>45816</v>
      </c>
      <c r="AV79" s="179">
        <f>IFERROR(__xludf.DUMMYFUNCTION("""COMPUTED_VALUE"""),0.0)</f>
        <v>0</v>
      </c>
      <c r="AW79" s="180">
        <f>IFERROR(__xludf.DUMMYFUNCTION("""COMPUTED_VALUE"""),45816.0)</f>
        <v>45816</v>
      </c>
      <c r="AX79" s="179">
        <f>IFERROR(__xludf.DUMMYFUNCTION("""COMPUTED_VALUE"""),0.0)</f>
        <v>0</v>
      </c>
      <c r="AY79" s="180">
        <f>IFERROR(__xludf.DUMMYFUNCTION("""COMPUTED_VALUE"""),45846.0)</f>
        <v>45846</v>
      </c>
      <c r="AZ79" s="179">
        <f>IFERROR(__xludf.DUMMYFUNCTION("""COMPUTED_VALUE"""),0.0)</f>
        <v>0</v>
      </c>
      <c r="BA79" s="180">
        <f>IFERROR(__xludf.DUMMYFUNCTION("""COMPUTED_VALUE"""),45846.0)</f>
        <v>45846</v>
      </c>
      <c r="BB79" s="179">
        <f>IFERROR(__xludf.DUMMYFUNCTION("""COMPUTED_VALUE"""),0.0)</f>
        <v>0</v>
      </c>
      <c r="BC79" s="180">
        <f>IFERROR(__xludf.DUMMYFUNCTION("""COMPUTED_VALUE"""),45816.0)</f>
        <v>45816</v>
      </c>
      <c r="BD79" s="179">
        <f>IFERROR(__xludf.DUMMYFUNCTION("""COMPUTED_VALUE"""),0.0)</f>
        <v>0</v>
      </c>
      <c r="BE79" s="180">
        <f>IFERROR(__xludf.DUMMYFUNCTION("""COMPUTED_VALUE"""),45846.0)</f>
        <v>45846</v>
      </c>
      <c r="BF79" s="179">
        <f>IFERROR(__xludf.DUMMYFUNCTION("""COMPUTED_VALUE"""),0.0)</f>
        <v>0</v>
      </c>
      <c r="BG79" s="180">
        <f>IFERROR(__xludf.DUMMYFUNCTION("""COMPUTED_VALUE"""),45816.0)</f>
        <v>45816</v>
      </c>
      <c r="BH79" s="179">
        <f>IFERROR(__xludf.DUMMYFUNCTION("""COMPUTED_VALUE"""),0.0)</f>
        <v>0</v>
      </c>
      <c r="BI79" s="180">
        <f>IFERROR(__xludf.DUMMYFUNCTION("""COMPUTED_VALUE"""),45846.0)</f>
        <v>45846</v>
      </c>
      <c r="BJ79" s="179">
        <f>IFERROR(__xludf.DUMMYFUNCTION("""COMPUTED_VALUE"""),0.0)</f>
        <v>0</v>
      </c>
      <c r="BK79" s="182">
        <f>IFERROR(__xludf.DUMMYFUNCTION("""COMPUTED_VALUE"""),45846.0)</f>
        <v>45846</v>
      </c>
      <c r="BL79" s="179">
        <f>IFERROR(__xludf.DUMMYFUNCTION("""COMPUTED_VALUE"""),0.0)</f>
        <v>0</v>
      </c>
      <c r="BM79" s="180">
        <f>IFERROR(__xludf.DUMMYFUNCTION("""COMPUTED_VALUE"""),45846.0)</f>
        <v>45846</v>
      </c>
      <c r="BN79" s="179">
        <f>IFERROR(__xludf.DUMMYFUNCTION("""COMPUTED_VALUE"""),0.0)</f>
        <v>0</v>
      </c>
      <c r="BO79" s="180">
        <f>IFERROR(__xludf.DUMMYFUNCTION("""COMPUTED_VALUE"""),45816.0)</f>
        <v>45816</v>
      </c>
      <c r="BP79" s="179">
        <f>IFERROR(__xludf.DUMMYFUNCTION("""COMPUTED_VALUE"""),0.0)</f>
        <v>0</v>
      </c>
      <c r="BQ79" s="180">
        <f>IFERROR(__xludf.DUMMYFUNCTION("""COMPUTED_VALUE"""),45816.0)</f>
        <v>45816</v>
      </c>
      <c r="BR79" s="179">
        <f>IFERROR(__xludf.DUMMYFUNCTION("""COMPUTED_VALUE"""),0.0)</f>
        <v>0</v>
      </c>
      <c r="BS79" s="180">
        <f>IFERROR(__xludf.DUMMYFUNCTION("""COMPUTED_VALUE"""),45846.0)</f>
        <v>45846</v>
      </c>
      <c r="BT79" s="179">
        <f>IFERROR(__xludf.DUMMYFUNCTION("""COMPUTED_VALUE"""),0.0)</f>
        <v>0</v>
      </c>
      <c r="BU79" s="180">
        <f>IFERROR(__xludf.DUMMYFUNCTION("""COMPUTED_VALUE"""),45846.0)</f>
        <v>45846</v>
      </c>
      <c r="BV79" s="179">
        <f>IFERROR(__xludf.DUMMYFUNCTION("""COMPUTED_VALUE"""),0.0)</f>
        <v>0</v>
      </c>
      <c r="BW79" s="180">
        <f>IFERROR(__xludf.DUMMYFUNCTION("""COMPUTED_VALUE"""),45846.0)</f>
        <v>45846</v>
      </c>
      <c r="BX79" s="179">
        <f>IFERROR(__xludf.DUMMYFUNCTION("""COMPUTED_VALUE"""),0.0)</f>
        <v>0</v>
      </c>
      <c r="BY79" s="180">
        <f>IFERROR(__xludf.DUMMYFUNCTION("""COMPUTED_VALUE"""),45816.0)</f>
        <v>45816</v>
      </c>
      <c r="BZ79" s="179">
        <f>IFERROR(__xludf.DUMMYFUNCTION("""COMPUTED_VALUE"""),0.0)</f>
        <v>0</v>
      </c>
      <c r="CA79" s="180">
        <f>IFERROR(__xludf.DUMMYFUNCTION("""COMPUTED_VALUE"""),45846.0)</f>
        <v>45846</v>
      </c>
      <c r="CB79" s="179">
        <f>IFERROR(__xludf.DUMMYFUNCTION("""COMPUTED_VALUE"""),0.0)</f>
        <v>0</v>
      </c>
      <c r="CC79" s="180">
        <f>IFERROR(__xludf.DUMMYFUNCTION("""COMPUTED_VALUE"""),45846.0)</f>
        <v>45846</v>
      </c>
      <c r="CD79" s="179">
        <f>IFERROR(__xludf.DUMMYFUNCTION("""COMPUTED_VALUE"""),0.0)</f>
        <v>0</v>
      </c>
      <c r="CE79" s="182">
        <f>IFERROR(__xludf.DUMMYFUNCTION("""COMPUTED_VALUE"""),45846.0)</f>
        <v>45846</v>
      </c>
      <c r="CF79" s="179">
        <f>IFERROR(__xludf.DUMMYFUNCTION("""COMPUTED_VALUE"""),0.0)</f>
        <v>0</v>
      </c>
      <c r="CG79" s="180">
        <f>IFERROR(__xludf.DUMMYFUNCTION("""COMPUTED_VALUE"""),45724.0)</f>
        <v>45724</v>
      </c>
      <c r="CH79" s="179">
        <f>IFERROR(__xludf.DUMMYFUNCTION("""COMPUTED_VALUE"""),0.0)</f>
        <v>0</v>
      </c>
      <c r="CI79" s="180">
        <f>IFERROR(__xludf.DUMMYFUNCTION("""COMPUTED_VALUE"""),45724.0)</f>
        <v>45724</v>
      </c>
      <c r="CJ79" s="179">
        <f>IFERROR(__xludf.DUMMYFUNCTION("""COMPUTED_VALUE"""),0.0)</f>
        <v>0</v>
      </c>
      <c r="CK79" s="180">
        <f>IFERROR(__xludf.DUMMYFUNCTION("""COMPUTED_VALUE"""),45755.0)</f>
        <v>45755</v>
      </c>
      <c r="CL79" s="179">
        <f>IFERROR(__xludf.DUMMYFUNCTION("""COMPUTED_VALUE"""),0.0)</f>
        <v>0</v>
      </c>
      <c r="CM79" s="180">
        <f>IFERROR(__xludf.DUMMYFUNCTION("""COMPUTED_VALUE"""),45816.0)</f>
        <v>45816</v>
      </c>
      <c r="CN79" s="179">
        <f>IFERROR(__xludf.DUMMYFUNCTION("""COMPUTED_VALUE"""),0.0)</f>
        <v>0</v>
      </c>
      <c r="CO79" s="180">
        <f>IFERROR(__xludf.DUMMYFUNCTION("""COMPUTED_VALUE"""),45785.0)</f>
        <v>45785</v>
      </c>
      <c r="CP79" s="179">
        <f>IFERROR(__xludf.DUMMYFUNCTION("""COMPUTED_VALUE"""),0.0)</f>
        <v>0</v>
      </c>
      <c r="CQ79" s="180">
        <f>IFERROR(__xludf.DUMMYFUNCTION("""COMPUTED_VALUE"""),45724.0)</f>
        <v>45724</v>
      </c>
      <c r="CR79" s="179">
        <f>IFERROR(__xludf.DUMMYFUNCTION("""COMPUTED_VALUE"""),0.0)</f>
        <v>0</v>
      </c>
      <c r="CS79" s="180">
        <f>IFERROR(__xludf.DUMMYFUNCTION("""COMPUTED_VALUE"""),45816.0)</f>
        <v>45816</v>
      </c>
      <c r="CT79" s="179">
        <f>IFERROR(__xludf.DUMMYFUNCTION("""COMPUTED_VALUE"""),0.0)</f>
        <v>0</v>
      </c>
      <c r="CU79" s="180">
        <f>IFERROR(__xludf.DUMMYFUNCTION("""COMPUTED_VALUE"""),45846.0)</f>
        <v>45846</v>
      </c>
      <c r="CV79" s="179">
        <f>IFERROR(__xludf.DUMMYFUNCTION("""COMPUTED_VALUE"""),0.0)</f>
        <v>0</v>
      </c>
      <c r="CW79" s="180">
        <f>IFERROR(__xludf.DUMMYFUNCTION("""COMPUTED_VALUE"""),45907.0)</f>
        <v>45907</v>
      </c>
      <c r="CX79" s="179">
        <f>IFERROR(__xludf.DUMMYFUNCTION("""COMPUTED_VALUE"""),0.0)</f>
        <v>0</v>
      </c>
      <c r="CY79" s="182">
        <f>IFERROR(__xludf.DUMMYFUNCTION("""COMPUTED_VALUE"""),45846.0)</f>
        <v>45846</v>
      </c>
      <c r="CZ79" s="179">
        <f>IFERROR(__xludf.DUMMYFUNCTION("""COMPUTED_VALUE"""),0.0)</f>
        <v>0</v>
      </c>
      <c r="DA79" s="180">
        <f>IFERROR(__xludf.DUMMYFUNCTION("""COMPUTED_VALUE"""),45846.0)</f>
        <v>45846</v>
      </c>
      <c r="DB79" s="179">
        <f>IFERROR(__xludf.DUMMYFUNCTION("""COMPUTED_VALUE"""),0.0)</f>
        <v>0</v>
      </c>
      <c r="DC79" s="180">
        <f>IFERROR(__xludf.DUMMYFUNCTION("""COMPUTED_VALUE"""),45846.0)</f>
        <v>45846</v>
      </c>
      <c r="DD79" s="179">
        <f>IFERROR(__xludf.DUMMYFUNCTION("""COMPUTED_VALUE"""),0.0)</f>
        <v>0</v>
      </c>
      <c r="DE79" s="180">
        <f>IFERROR(__xludf.DUMMYFUNCTION("""COMPUTED_VALUE"""),45846.0)</f>
        <v>45846</v>
      </c>
      <c r="DF79" s="179">
        <f>IFERROR(__xludf.DUMMYFUNCTION("""COMPUTED_VALUE"""),0.0)</f>
        <v>0</v>
      </c>
      <c r="DG79" s="180">
        <f>IFERROR(__xludf.DUMMYFUNCTION("""COMPUTED_VALUE"""),45846.0)</f>
        <v>45846</v>
      </c>
      <c r="DH79" s="179">
        <f>IFERROR(__xludf.DUMMYFUNCTION("""COMPUTED_VALUE"""),0.0)</f>
        <v>0</v>
      </c>
      <c r="DI79" s="180">
        <f>IFERROR(__xludf.DUMMYFUNCTION("""COMPUTED_VALUE"""),45846.0)</f>
        <v>45846</v>
      </c>
      <c r="DJ79" s="179">
        <f>IFERROR(__xludf.DUMMYFUNCTION("""COMPUTED_VALUE"""),0.0)</f>
        <v>0</v>
      </c>
      <c r="DK79" s="180">
        <f>IFERROR(__xludf.DUMMYFUNCTION("""COMPUTED_VALUE"""),45846.0)</f>
        <v>45846</v>
      </c>
      <c r="DL79" s="179">
        <f>IFERROR(__xludf.DUMMYFUNCTION("""COMPUTED_VALUE"""),0.0)</f>
        <v>0</v>
      </c>
      <c r="DM79" s="180">
        <f>IFERROR(__xludf.DUMMYFUNCTION("""COMPUTED_VALUE"""),45846.0)</f>
        <v>45846</v>
      </c>
      <c r="DN79" s="179">
        <f>IFERROR(__xludf.DUMMYFUNCTION("""COMPUTED_VALUE"""),0.0)</f>
        <v>0</v>
      </c>
      <c r="DO79" s="180">
        <f>IFERROR(__xludf.DUMMYFUNCTION("""COMPUTED_VALUE"""),45846.0)</f>
        <v>45846</v>
      </c>
      <c r="DP79" s="179">
        <f>IFERROR(__xludf.DUMMYFUNCTION("""COMPUTED_VALUE"""),0.0)</f>
        <v>0</v>
      </c>
      <c r="DQ79" s="180">
        <f>IFERROR(__xludf.DUMMYFUNCTION("""COMPUTED_VALUE"""),45846.0)</f>
        <v>45846</v>
      </c>
      <c r="DR79" s="179">
        <f>IFERROR(__xludf.DUMMYFUNCTION("""COMPUTED_VALUE"""),0.0)</f>
        <v>0</v>
      </c>
      <c r="DS79" s="182">
        <f>IFERROR(__xludf.DUMMYFUNCTION("""COMPUTED_VALUE"""),45846.0)</f>
        <v>45846</v>
      </c>
      <c r="DT79" s="179">
        <f>IFERROR(__xludf.DUMMYFUNCTION("""COMPUTED_VALUE"""),0.0)</f>
        <v>0</v>
      </c>
      <c r="DU79" s="180">
        <f>IFERROR(__xludf.DUMMYFUNCTION("""COMPUTED_VALUE"""),45846.0)</f>
        <v>45846</v>
      </c>
      <c r="DV79" s="179">
        <f>IFERROR(__xludf.DUMMYFUNCTION("""COMPUTED_VALUE"""),0.0)</f>
        <v>0</v>
      </c>
      <c r="DW79" s="180">
        <f>IFERROR(__xludf.DUMMYFUNCTION("""COMPUTED_VALUE"""),45846.0)</f>
        <v>45846</v>
      </c>
      <c r="DX79" s="179">
        <f>IFERROR(__xludf.DUMMYFUNCTION("""COMPUTED_VALUE"""),0.0)</f>
        <v>0</v>
      </c>
      <c r="DY79" s="180">
        <f>IFERROR(__xludf.DUMMYFUNCTION("""COMPUTED_VALUE"""),45816.0)</f>
        <v>45816</v>
      </c>
      <c r="DZ79" s="179">
        <f>IFERROR(__xludf.DUMMYFUNCTION("""COMPUTED_VALUE"""),0.0)</f>
        <v>0</v>
      </c>
      <c r="EA79" s="180">
        <f>IFERROR(__xludf.DUMMYFUNCTION("""COMPUTED_VALUE"""),45846.0)</f>
        <v>45846</v>
      </c>
      <c r="EB79" s="179">
        <f>IFERROR(__xludf.DUMMYFUNCTION("""COMPUTED_VALUE"""),0.0)</f>
        <v>0</v>
      </c>
      <c r="EC79" s="180">
        <f>IFERROR(__xludf.DUMMYFUNCTION("""COMPUTED_VALUE"""),45846.0)</f>
        <v>45846</v>
      </c>
      <c r="ED79" s="179">
        <f>IFERROR(__xludf.DUMMYFUNCTION("""COMPUTED_VALUE"""),0.0)</f>
        <v>0</v>
      </c>
      <c r="EE79" s="180">
        <f>IFERROR(__xludf.DUMMYFUNCTION("""COMPUTED_VALUE"""),45816.0)</f>
        <v>45816</v>
      </c>
      <c r="EF79" s="179">
        <f>IFERROR(__xludf.DUMMYFUNCTION("""COMPUTED_VALUE"""),0.0)</f>
        <v>0</v>
      </c>
      <c r="EG79" s="180">
        <f>IFERROR(__xludf.DUMMYFUNCTION("""COMPUTED_VALUE"""),45816.0)</f>
        <v>45816</v>
      </c>
      <c r="EH79" s="179">
        <f>IFERROR(__xludf.DUMMYFUNCTION("""COMPUTED_VALUE"""),0.0)</f>
        <v>0</v>
      </c>
      <c r="EI79" s="180">
        <f>IFERROR(__xludf.DUMMYFUNCTION("""COMPUTED_VALUE"""),45846.0)</f>
        <v>45846</v>
      </c>
      <c r="EJ79" s="179">
        <f>IFERROR(__xludf.DUMMYFUNCTION("""COMPUTED_VALUE"""),0.0)</f>
        <v>0</v>
      </c>
      <c r="EK79" s="180">
        <f>IFERROR(__xludf.DUMMYFUNCTION("""COMPUTED_VALUE"""),45816.0)</f>
        <v>45816</v>
      </c>
      <c r="EL79" s="179">
        <f>IFERROR(__xludf.DUMMYFUNCTION("""COMPUTED_VALUE"""),0.0)</f>
        <v>0</v>
      </c>
      <c r="EM79" s="182">
        <f>IFERROR(__xludf.DUMMYFUNCTION("""COMPUTED_VALUE"""),45784.0)</f>
        <v>45784</v>
      </c>
      <c r="EN79" s="179">
        <f>IFERROR(__xludf.DUMMYFUNCTION("""COMPUTED_VALUE"""),0.0)</f>
        <v>0</v>
      </c>
      <c r="EO79" s="180">
        <f>IFERROR(__xludf.DUMMYFUNCTION("""COMPUTED_VALUE"""),45876.0)</f>
        <v>45876</v>
      </c>
      <c r="EP79" s="179">
        <f>IFERROR(__xludf.DUMMYFUNCTION("""COMPUTED_VALUE"""),0.0)</f>
        <v>0</v>
      </c>
      <c r="EQ79" s="180">
        <f>IFERROR(__xludf.DUMMYFUNCTION("""COMPUTED_VALUE"""),45845.0)</f>
        <v>45845</v>
      </c>
      <c r="ER79" s="179">
        <f>IFERROR(__xludf.DUMMYFUNCTION("""COMPUTED_VALUE"""),0.0)</f>
        <v>0</v>
      </c>
      <c r="ES79" s="180">
        <f>IFERROR(__xludf.DUMMYFUNCTION("""COMPUTED_VALUE"""),45876.0)</f>
        <v>45876</v>
      </c>
      <c r="ET79" s="179">
        <f>IFERROR(__xludf.DUMMYFUNCTION("""COMPUTED_VALUE"""),0.0)</f>
        <v>0</v>
      </c>
      <c r="EU79" s="180">
        <f>IFERROR(__xludf.DUMMYFUNCTION("""COMPUTED_VALUE"""),45845.0)</f>
        <v>45845</v>
      </c>
      <c r="EV79" s="179">
        <f>IFERROR(__xludf.DUMMYFUNCTION("""COMPUTED_VALUE"""),0.0)</f>
        <v>0</v>
      </c>
      <c r="EW79" s="180">
        <f>IFERROR(__xludf.DUMMYFUNCTION("""COMPUTED_VALUE"""),45876.0)</f>
        <v>45876</v>
      </c>
      <c r="EX79" s="179">
        <f>IFERROR(__xludf.DUMMYFUNCTION("""COMPUTED_VALUE"""),0.0)</f>
        <v>0</v>
      </c>
      <c r="EY79" s="180">
        <f>IFERROR(__xludf.DUMMYFUNCTION("""COMPUTED_VALUE"""),45876.0)</f>
        <v>45876</v>
      </c>
      <c r="EZ79" s="179">
        <f>IFERROR(__xludf.DUMMYFUNCTION("""COMPUTED_VALUE"""),0.0)</f>
        <v>0</v>
      </c>
      <c r="FA79" s="180">
        <f>IFERROR(__xludf.DUMMYFUNCTION("""COMPUTED_VALUE"""),45845.0)</f>
        <v>45845</v>
      </c>
      <c r="FB79" s="179">
        <f>IFERROR(__xludf.DUMMYFUNCTION("""COMPUTED_VALUE"""),0.0)</f>
        <v>0</v>
      </c>
      <c r="FC79" s="180">
        <f>IFERROR(__xludf.DUMMYFUNCTION("""COMPUTED_VALUE"""),45876.0)</f>
        <v>45876</v>
      </c>
      <c r="FD79" s="179">
        <f>IFERROR(__xludf.DUMMYFUNCTION("""COMPUTED_VALUE"""),0.0)</f>
        <v>0</v>
      </c>
      <c r="FE79" s="180">
        <f>IFERROR(__xludf.DUMMYFUNCTION("""COMPUTED_VALUE"""),45784.0)</f>
        <v>45784</v>
      </c>
      <c r="FF79" s="179">
        <f>IFERROR(__xludf.DUMMYFUNCTION("""COMPUTED_VALUE"""),0.0)</f>
        <v>0</v>
      </c>
      <c r="FG79" s="182">
        <f>IFERROR(__xludf.DUMMYFUNCTION("""COMPUTED_VALUE"""),45876.0)</f>
        <v>45876</v>
      </c>
      <c r="FH79" s="179">
        <f>IFERROR(__xludf.DUMMYFUNCTION("""COMPUTED_VALUE"""),0.0)</f>
        <v>0</v>
      </c>
      <c r="FI79" s="180">
        <f>IFERROR(__xludf.DUMMYFUNCTION("""COMPUTED_VALUE"""),45845.0)</f>
        <v>45845</v>
      </c>
      <c r="FJ79" s="179">
        <f>IFERROR(__xludf.DUMMYFUNCTION("""COMPUTED_VALUE"""),0.0)</f>
        <v>0</v>
      </c>
      <c r="FK79" s="180">
        <f>IFERROR(__xludf.DUMMYFUNCTION("""COMPUTED_VALUE"""),45695.0)</f>
        <v>45695</v>
      </c>
      <c r="FL79" s="179">
        <f>IFERROR(__xludf.DUMMYFUNCTION("""COMPUTED_VALUE"""),0.0)</f>
        <v>0</v>
      </c>
      <c r="FM79" s="180">
        <f>IFERROR(__xludf.DUMMYFUNCTION("""COMPUTED_VALUE"""),45876.0)</f>
        <v>45876</v>
      </c>
      <c r="FN79" s="179">
        <f>IFERROR(__xludf.DUMMYFUNCTION("""COMPUTED_VALUE"""),0.0)</f>
        <v>0</v>
      </c>
      <c r="FO79" s="180">
        <f>IFERROR(__xludf.DUMMYFUNCTION("""COMPUTED_VALUE"""),45876.0)</f>
        <v>45876</v>
      </c>
      <c r="FP79" s="179">
        <f>IFERROR(__xludf.DUMMYFUNCTION("""COMPUTED_VALUE"""),0.0)</f>
        <v>0</v>
      </c>
      <c r="FQ79" s="180">
        <f>IFERROR(__xludf.DUMMYFUNCTION("""COMPUTED_VALUE"""),45876.0)</f>
        <v>45876</v>
      </c>
      <c r="FR79" s="179">
        <f>IFERROR(__xludf.DUMMYFUNCTION("""COMPUTED_VALUE"""),0.0)</f>
        <v>0</v>
      </c>
      <c r="FS79" s="180">
        <f>IFERROR(__xludf.DUMMYFUNCTION("""COMPUTED_VALUE"""),45845.0)</f>
        <v>45845</v>
      </c>
      <c r="FT79" s="179">
        <f>IFERROR(__xludf.DUMMYFUNCTION("""COMPUTED_VALUE"""),0.0)</f>
        <v>0</v>
      </c>
      <c r="FU79" s="180">
        <f>IFERROR(__xludf.DUMMYFUNCTION("""COMPUTED_VALUE"""),45876.0)</f>
        <v>45876</v>
      </c>
      <c r="FV79" s="179">
        <f>IFERROR(__xludf.DUMMYFUNCTION("""COMPUTED_VALUE"""),0.0)</f>
        <v>0</v>
      </c>
      <c r="FW79" s="180">
        <f>IFERROR(__xludf.DUMMYFUNCTION("""COMPUTED_VALUE"""),45876.0)</f>
        <v>45876</v>
      </c>
      <c r="FX79" s="179">
        <f>IFERROR(__xludf.DUMMYFUNCTION("""COMPUTED_VALUE"""),0.0)</f>
        <v>0</v>
      </c>
      <c r="FY79" s="180">
        <f>IFERROR(__xludf.DUMMYFUNCTION("""COMPUTED_VALUE"""),45784.0)</f>
        <v>45784</v>
      </c>
      <c r="FZ79" s="179">
        <f>IFERROR(__xludf.DUMMYFUNCTION("""COMPUTED_VALUE"""),0.0)</f>
        <v>0</v>
      </c>
      <c r="GA79" s="182">
        <f>IFERROR(__xludf.DUMMYFUNCTION("""COMPUTED_VALUE"""),45876.0)</f>
        <v>45876</v>
      </c>
      <c r="GB79" s="179">
        <f>IFERROR(__xludf.DUMMYFUNCTION("""COMPUTED_VALUE"""),0.0)</f>
        <v>0</v>
      </c>
      <c r="GC79" s="180">
        <f>IFERROR(__xludf.DUMMYFUNCTION("""COMPUTED_VALUE"""),45845.0)</f>
        <v>45845</v>
      </c>
      <c r="GD79" s="179">
        <f>IFERROR(__xludf.DUMMYFUNCTION("""COMPUTED_VALUE"""),0.0)</f>
        <v>0</v>
      </c>
      <c r="GE79" s="180">
        <f>IFERROR(__xludf.DUMMYFUNCTION("""COMPUTED_VALUE"""),45845.0)</f>
        <v>45845</v>
      </c>
      <c r="GF79" s="179">
        <f>IFERROR(__xludf.DUMMYFUNCTION("""COMPUTED_VALUE"""),0.0)</f>
        <v>0</v>
      </c>
      <c r="GG79" s="180">
        <f>IFERROR(__xludf.DUMMYFUNCTION("""COMPUTED_VALUE"""),45845.0)</f>
        <v>45845</v>
      </c>
      <c r="GH79" s="179">
        <f>IFERROR(__xludf.DUMMYFUNCTION("""COMPUTED_VALUE"""),0.0)</f>
        <v>0</v>
      </c>
      <c r="GI79" s="180">
        <f>IFERROR(__xludf.DUMMYFUNCTION("""COMPUTED_VALUE"""),45876.0)</f>
        <v>45876</v>
      </c>
      <c r="GJ79" s="179">
        <f>IFERROR(__xludf.DUMMYFUNCTION("""COMPUTED_VALUE"""),0.0)</f>
        <v>0</v>
      </c>
      <c r="GK79" s="180">
        <f>IFERROR(__xludf.DUMMYFUNCTION("""COMPUTED_VALUE"""),45876.0)</f>
        <v>45876</v>
      </c>
      <c r="GL79" s="179">
        <f>IFERROR(__xludf.DUMMYFUNCTION("""COMPUTED_VALUE"""),0.0)</f>
        <v>0</v>
      </c>
      <c r="GM79" s="180">
        <f>IFERROR(__xludf.DUMMYFUNCTION("""COMPUTED_VALUE"""),45784.0)</f>
        <v>45784</v>
      </c>
      <c r="GN79" s="179">
        <f>IFERROR(__xludf.DUMMYFUNCTION("""COMPUTED_VALUE"""),0.0)</f>
        <v>0</v>
      </c>
      <c r="GO79" s="180">
        <f>IFERROR(__xludf.DUMMYFUNCTION("""COMPUTED_VALUE"""),45876.0)</f>
        <v>45876</v>
      </c>
      <c r="GP79" s="179">
        <f>IFERROR(__xludf.DUMMYFUNCTION("""COMPUTED_VALUE"""),0.0)</f>
        <v>0</v>
      </c>
      <c r="GQ79" s="180">
        <f>IFERROR(__xludf.DUMMYFUNCTION("""COMPUTED_VALUE"""),45876.0)</f>
        <v>45876</v>
      </c>
      <c r="GR79" s="179">
        <f>IFERROR(__xludf.DUMMYFUNCTION("""COMPUTED_VALUE"""),0.0)</f>
        <v>0</v>
      </c>
      <c r="GS79" s="180">
        <f>IFERROR(__xludf.DUMMYFUNCTION("""COMPUTED_VALUE"""),45815.0)</f>
        <v>45815</v>
      </c>
      <c r="GT79" s="179">
        <f>IFERROR(__xludf.DUMMYFUNCTION("""COMPUTED_VALUE"""),0.0)</f>
        <v>0</v>
      </c>
    </row>
    <row r="80" ht="31.5" customHeight="1">
      <c r="B80" s="183"/>
      <c r="C80" s="178">
        <f>IFERROR(__xludf.DUMMYFUNCTION("""COMPUTED_VALUE"""),45877.0)</f>
        <v>45877</v>
      </c>
      <c r="D80" s="179">
        <f>IFERROR(__xludf.DUMMYFUNCTION("""COMPUTED_VALUE"""),0.0)</f>
        <v>0</v>
      </c>
      <c r="E80" s="180">
        <f>IFERROR(__xludf.DUMMYFUNCTION("""COMPUTED_VALUE"""),45846.0)</f>
        <v>45846</v>
      </c>
      <c r="F80" s="179">
        <f>IFERROR(__xludf.DUMMYFUNCTION("""COMPUTED_VALUE"""),0.0)</f>
        <v>0</v>
      </c>
      <c r="G80" s="180">
        <f>IFERROR(__xludf.DUMMYFUNCTION("""COMPUTED_VALUE"""),45846.0)</f>
        <v>45846</v>
      </c>
      <c r="H80" s="179">
        <f>IFERROR(__xludf.DUMMYFUNCTION("""COMPUTED_VALUE"""),0.0)</f>
        <v>0</v>
      </c>
      <c r="I80" s="180">
        <f>IFERROR(__xludf.DUMMYFUNCTION("""COMPUTED_VALUE"""),45877.0)</f>
        <v>45877</v>
      </c>
      <c r="J80" s="179">
        <f>IFERROR(__xludf.DUMMYFUNCTION("""COMPUTED_VALUE"""),0.0)</f>
        <v>0</v>
      </c>
      <c r="K80" s="180">
        <f>IFERROR(__xludf.DUMMYFUNCTION("""COMPUTED_VALUE"""),45877.0)</f>
        <v>45877</v>
      </c>
      <c r="L80" s="179">
        <f>IFERROR(__xludf.DUMMYFUNCTION("""COMPUTED_VALUE"""),0.0)</f>
        <v>0</v>
      </c>
      <c r="M80" s="180">
        <f>IFERROR(__xludf.DUMMYFUNCTION("""COMPUTED_VALUE"""),45877.0)</f>
        <v>45877</v>
      </c>
      <c r="N80" s="179">
        <f>IFERROR(__xludf.DUMMYFUNCTION("""COMPUTED_VALUE"""),0.0)</f>
        <v>0</v>
      </c>
      <c r="O80" s="180">
        <f>IFERROR(__xludf.DUMMYFUNCTION("""COMPUTED_VALUE"""),45816.0)</f>
        <v>45816</v>
      </c>
      <c r="P80" s="179">
        <f>IFERROR(__xludf.DUMMYFUNCTION("""COMPUTED_VALUE"""),0.0)</f>
        <v>0</v>
      </c>
      <c r="Q80" s="180">
        <f>IFERROR(__xludf.DUMMYFUNCTION("""COMPUTED_VALUE"""),45877.0)</f>
        <v>45877</v>
      </c>
      <c r="R80" s="179">
        <f>IFERROR(__xludf.DUMMYFUNCTION("""COMPUTED_VALUE"""),0.0)</f>
        <v>0</v>
      </c>
      <c r="S80" s="180">
        <f>IFERROR(__xludf.DUMMYFUNCTION("""COMPUTED_VALUE"""),45846.0)</f>
        <v>45846</v>
      </c>
      <c r="T80" s="179">
        <f>IFERROR(__xludf.DUMMYFUNCTION("""COMPUTED_VALUE"""),0.0)</f>
        <v>0</v>
      </c>
      <c r="U80" s="180">
        <f>IFERROR(__xludf.DUMMYFUNCTION("""COMPUTED_VALUE"""),45846.0)</f>
        <v>45846</v>
      </c>
      <c r="V80" s="181">
        <f>IFERROR(__xludf.DUMMYFUNCTION("""COMPUTED_VALUE"""),0.0)</f>
        <v>0</v>
      </c>
      <c r="W80" s="178">
        <f>IFERROR(__xludf.DUMMYFUNCTION("""COMPUTED_VALUE"""),45877.0)</f>
        <v>45877</v>
      </c>
      <c r="X80" s="179">
        <f>IFERROR(__xludf.DUMMYFUNCTION("""COMPUTED_VALUE"""),0.0)</f>
        <v>0</v>
      </c>
      <c r="Y80" s="180">
        <f>IFERROR(__xludf.DUMMYFUNCTION("""COMPUTED_VALUE"""),45755.0)</f>
        <v>45755</v>
      </c>
      <c r="Z80" s="179">
        <f>IFERROR(__xludf.DUMMYFUNCTION("""COMPUTED_VALUE"""),0.0)</f>
        <v>0</v>
      </c>
      <c r="AA80" s="180">
        <f>IFERROR(__xludf.DUMMYFUNCTION("""COMPUTED_VALUE"""),45877.0)</f>
        <v>45877</v>
      </c>
      <c r="AB80" s="179">
        <f>IFERROR(__xludf.DUMMYFUNCTION("""COMPUTED_VALUE"""),0.0)</f>
        <v>0</v>
      </c>
      <c r="AC80" s="180">
        <f>IFERROR(__xludf.DUMMYFUNCTION("""COMPUTED_VALUE"""),45665.0)</f>
        <v>45665</v>
      </c>
      <c r="AD80" s="179">
        <f>IFERROR(__xludf.DUMMYFUNCTION("""COMPUTED_VALUE"""),0.0)</f>
        <v>0</v>
      </c>
      <c r="AE80" s="180">
        <f>IFERROR(__xludf.DUMMYFUNCTION("""COMPUTED_VALUE"""),45755.0)</f>
        <v>45755</v>
      </c>
      <c r="AF80" s="179">
        <f>IFERROR(__xludf.DUMMYFUNCTION("""COMPUTED_VALUE"""),0.0)</f>
        <v>0</v>
      </c>
      <c r="AG80" s="180">
        <f>IFERROR(__xludf.DUMMYFUNCTION("""COMPUTED_VALUE"""),45877.0)</f>
        <v>45877</v>
      </c>
      <c r="AH80" s="179">
        <f>IFERROR(__xludf.DUMMYFUNCTION("""COMPUTED_VALUE"""),0.0)</f>
        <v>0</v>
      </c>
      <c r="AI80" s="180">
        <f>IFERROR(__xludf.DUMMYFUNCTION("""COMPUTED_VALUE"""),45696.0)</f>
        <v>45696</v>
      </c>
      <c r="AJ80" s="179">
        <f>IFERROR(__xludf.DUMMYFUNCTION("""COMPUTED_VALUE"""),0.0)</f>
        <v>0</v>
      </c>
      <c r="AK80" s="180">
        <f>IFERROR(__xludf.DUMMYFUNCTION("""COMPUTED_VALUE"""),45785.0)</f>
        <v>45785</v>
      </c>
      <c r="AL80" s="179">
        <f>IFERROR(__xludf.DUMMYFUNCTION("""COMPUTED_VALUE"""),0.0)</f>
        <v>0</v>
      </c>
      <c r="AM80" s="180">
        <f>IFERROR(__xludf.DUMMYFUNCTION("""COMPUTED_VALUE"""),45877.0)</f>
        <v>45877</v>
      </c>
      <c r="AN80" s="179">
        <f>IFERROR(__xludf.DUMMYFUNCTION("""COMPUTED_VALUE"""),0.0)</f>
        <v>0</v>
      </c>
      <c r="AO80" s="180">
        <f>IFERROR(__xludf.DUMMYFUNCTION("""COMPUTED_VALUE"""),45785.0)</f>
        <v>45785</v>
      </c>
      <c r="AP80" s="181">
        <f>IFERROR(__xludf.DUMMYFUNCTION("""COMPUTED_VALUE"""),0.0)</f>
        <v>0</v>
      </c>
      <c r="AQ80" s="178">
        <f>IFERROR(__xludf.DUMMYFUNCTION("""COMPUTED_VALUE"""),45877.0)</f>
        <v>45877</v>
      </c>
      <c r="AR80" s="179">
        <f>IFERROR(__xludf.DUMMYFUNCTION("""COMPUTED_VALUE"""),0.0)</f>
        <v>0</v>
      </c>
      <c r="AS80" s="180">
        <f>IFERROR(__xludf.DUMMYFUNCTION("""COMPUTED_VALUE"""),45877.0)</f>
        <v>45877</v>
      </c>
      <c r="AT80" s="179">
        <f>IFERROR(__xludf.DUMMYFUNCTION("""COMPUTED_VALUE"""),0.0)</f>
        <v>0</v>
      </c>
      <c r="AU80" s="180">
        <f>IFERROR(__xludf.DUMMYFUNCTION("""COMPUTED_VALUE"""),45846.0)</f>
        <v>45846</v>
      </c>
      <c r="AV80" s="179">
        <f>IFERROR(__xludf.DUMMYFUNCTION("""COMPUTED_VALUE"""),0.0)</f>
        <v>0</v>
      </c>
      <c r="AW80" s="180">
        <f>IFERROR(__xludf.DUMMYFUNCTION("""COMPUTED_VALUE"""),45846.0)</f>
        <v>45846</v>
      </c>
      <c r="AX80" s="179">
        <f>IFERROR(__xludf.DUMMYFUNCTION("""COMPUTED_VALUE"""),0.0)</f>
        <v>0</v>
      </c>
      <c r="AY80" s="180">
        <f>IFERROR(__xludf.DUMMYFUNCTION("""COMPUTED_VALUE"""),45877.0)</f>
        <v>45877</v>
      </c>
      <c r="AZ80" s="179">
        <f>IFERROR(__xludf.DUMMYFUNCTION("""COMPUTED_VALUE"""),0.0)</f>
        <v>0</v>
      </c>
      <c r="BA80" s="180">
        <f>IFERROR(__xludf.DUMMYFUNCTION("""COMPUTED_VALUE"""),45877.0)</f>
        <v>45877</v>
      </c>
      <c r="BB80" s="179">
        <f>IFERROR(__xludf.DUMMYFUNCTION("""COMPUTED_VALUE"""),0.0)</f>
        <v>0</v>
      </c>
      <c r="BC80" s="180">
        <f>IFERROR(__xludf.DUMMYFUNCTION("""COMPUTED_VALUE"""),45846.0)</f>
        <v>45846</v>
      </c>
      <c r="BD80" s="179">
        <f>IFERROR(__xludf.DUMMYFUNCTION("""COMPUTED_VALUE"""),0.0)</f>
        <v>0</v>
      </c>
      <c r="BE80" s="180">
        <f>IFERROR(__xludf.DUMMYFUNCTION("""COMPUTED_VALUE"""),45877.0)</f>
        <v>45877</v>
      </c>
      <c r="BF80" s="179">
        <f>IFERROR(__xludf.DUMMYFUNCTION("""COMPUTED_VALUE"""),0.0)</f>
        <v>0</v>
      </c>
      <c r="BG80" s="180">
        <f>IFERROR(__xludf.DUMMYFUNCTION("""COMPUTED_VALUE"""),45846.0)</f>
        <v>45846</v>
      </c>
      <c r="BH80" s="179">
        <f>IFERROR(__xludf.DUMMYFUNCTION("""COMPUTED_VALUE"""),0.0)</f>
        <v>0</v>
      </c>
      <c r="BI80" s="180">
        <f>IFERROR(__xludf.DUMMYFUNCTION("""COMPUTED_VALUE"""),45877.0)</f>
        <v>45877</v>
      </c>
      <c r="BJ80" s="179">
        <f>IFERROR(__xludf.DUMMYFUNCTION("""COMPUTED_VALUE"""),0.0)</f>
        <v>0</v>
      </c>
      <c r="BK80" s="182">
        <f>IFERROR(__xludf.DUMMYFUNCTION("""COMPUTED_VALUE"""),45877.0)</f>
        <v>45877</v>
      </c>
      <c r="BL80" s="179">
        <f>IFERROR(__xludf.DUMMYFUNCTION("""COMPUTED_VALUE"""),0.0)</f>
        <v>0</v>
      </c>
      <c r="BM80" s="180">
        <f>IFERROR(__xludf.DUMMYFUNCTION("""COMPUTED_VALUE"""),45877.0)</f>
        <v>45877</v>
      </c>
      <c r="BN80" s="179">
        <f>IFERROR(__xludf.DUMMYFUNCTION("""COMPUTED_VALUE"""),0.0)</f>
        <v>0</v>
      </c>
      <c r="BO80" s="180">
        <f>IFERROR(__xludf.DUMMYFUNCTION("""COMPUTED_VALUE"""),45846.0)</f>
        <v>45846</v>
      </c>
      <c r="BP80" s="179">
        <f>IFERROR(__xludf.DUMMYFUNCTION("""COMPUTED_VALUE"""),0.0)</f>
        <v>0</v>
      </c>
      <c r="BQ80" s="180">
        <f>IFERROR(__xludf.DUMMYFUNCTION("""COMPUTED_VALUE"""),45846.0)</f>
        <v>45846</v>
      </c>
      <c r="BR80" s="179">
        <f>IFERROR(__xludf.DUMMYFUNCTION("""COMPUTED_VALUE"""),0.0)</f>
        <v>0</v>
      </c>
      <c r="BS80" s="180">
        <f>IFERROR(__xludf.DUMMYFUNCTION("""COMPUTED_VALUE"""),45877.0)</f>
        <v>45877</v>
      </c>
      <c r="BT80" s="179">
        <f>IFERROR(__xludf.DUMMYFUNCTION("""COMPUTED_VALUE"""),0.0)</f>
        <v>0</v>
      </c>
      <c r="BU80" s="180">
        <f>IFERROR(__xludf.DUMMYFUNCTION("""COMPUTED_VALUE"""),45877.0)</f>
        <v>45877</v>
      </c>
      <c r="BV80" s="179">
        <f>IFERROR(__xludf.DUMMYFUNCTION("""COMPUTED_VALUE"""),0.0)</f>
        <v>0</v>
      </c>
      <c r="BW80" s="180">
        <f>IFERROR(__xludf.DUMMYFUNCTION("""COMPUTED_VALUE"""),45877.0)</f>
        <v>45877</v>
      </c>
      <c r="BX80" s="179">
        <f>IFERROR(__xludf.DUMMYFUNCTION("""COMPUTED_VALUE"""),0.0)</f>
        <v>0</v>
      </c>
      <c r="BY80" s="180">
        <f>IFERROR(__xludf.DUMMYFUNCTION("""COMPUTED_VALUE"""),45846.0)</f>
        <v>45846</v>
      </c>
      <c r="BZ80" s="179">
        <f>IFERROR(__xludf.DUMMYFUNCTION("""COMPUTED_VALUE"""),0.0)</f>
        <v>0</v>
      </c>
      <c r="CA80" s="180">
        <f>IFERROR(__xludf.DUMMYFUNCTION("""COMPUTED_VALUE"""),45877.0)</f>
        <v>45877</v>
      </c>
      <c r="CB80" s="179">
        <f>IFERROR(__xludf.DUMMYFUNCTION("""COMPUTED_VALUE"""),0.0)</f>
        <v>0</v>
      </c>
      <c r="CC80" s="180">
        <f>IFERROR(__xludf.DUMMYFUNCTION("""COMPUTED_VALUE"""),45877.0)</f>
        <v>45877</v>
      </c>
      <c r="CD80" s="179">
        <f>IFERROR(__xludf.DUMMYFUNCTION("""COMPUTED_VALUE"""),0.0)</f>
        <v>0</v>
      </c>
      <c r="CE80" s="182">
        <f>IFERROR(__xludf.DUMMYFUNCTION("""COMPUTED_VALUE"""),45877.0)</f>
        <v>45877</v>
      </c>
      <c r="CF80" s="179">
        <f>IFERROR(__xludf.DUMMYFUNCTION("""COMPUTED_VALUE"""),0.0)</f>
        <v>0</v>
      </c>
      <c r="CG80" s="180">
        <f>IFERROR(__xludf.DUMMYFUNCTION("""COMPUTED_VALUE"""),45755.0)</f>
        <v>45755</v>
      </c>
      <c r="CH80" s="179">
        <f>IFERROR(__xludf.DUMMYFUNCTION("""COMPUTED_VALUE"""),0.0)</f>
        <v>0</v>
      </c>
      <c r="CI80" s="180">
        <f>IFERROR(__xludf.DUMMYFUNCTION("""COMPUTED_VALUE"""),45755.0)</f>
        <v>45755</v>
      </c>
      <c r="CJ80" s="179">
        <f>IFERROR(__xludf.DUMMYFUNCTION("""COMPUTED_VALUE"""),0.0)</f>
        <v>0</v>
      </c>
      <c r="CK80" s="180">
        <f>IFERROR(__xludf.DUMMYFUNCTION("""COMPUTED_VALUE"""),45785.0)</f>
        <v>45785</v>
      </c>
      <c r="CL80" s="179">
        <f>IFERROR(__xludf.DUMMYFUNCTION("""COMPUTED_VALUE"""),0.0)</f>
        <v>0</v>
      </c>
      <c r="CM80" s="180">
        <f>IFERROR(__xludf.DUMMYFUNCTION("""COMPUTED_VALUE"""),45846.0)</f>
        <v>45846</v>
      </c>
      <c r="CN80" s="179">
        <f>IFERROR(__xludf.DUMMYFUNCTION("""COMPUTED_VALUE"""),0.0)</f>
        <v>0</v>
      </c>
      <c r="CO80" s="180">
        <f>IFERROR(__xludf.DUMMYFUNCTION("""COMPUTED_VALUE"""),45816.0)</f>
        <v>45816</v>
      </c>
      <c r="CP80" s="179">
        <f>IFERROR(__xludf.DUMMYFUNCTION("""COMPUTED_VALUE"""),0.0)</f>
        <v>0</v>
      </c>
      <c r="CQ80" s="180">
        <f>IFERROR(__xludf.DUMMYFUNCTION("""COMPUTED_VALUE"""),45755.0)</f>
        <v>45755</v>
      </c>
      <c r="CR80" s="179">
        <f>IFERROR(__xludf.DUMMYFUNCTION("""COMPUTED_VALUE"""),0.0)</f>
        <v>0</v>
      </c>
      <c r="CS80" s="180">
        <f>IFERROR(__xludf.DUMMYFUNCTION("""COMPUTED_VALUE"""),45846.0)</f>
        <v>45846</v>
      </c>
      <c r="CT80" s="179">
        <f>IFERROR(__xludf.DUMMYFUNCTION("""COMPUTED_VALUE"""),0.0)</f>
        <v>0</v>
      </c>
      <c r="CU80" s="180">
        <f>IFERROR(__xludf.DUMMYFUNCTION("""COMPUTED_VALUE"""),45877.0)</f>
        <v>45877</v>
      </c>
      <c r="CV80" s="179">
        <f>IFERROR(__xludf.DUMMYFUNCTION("""COMPUTED_VALUE"""),0.0)</f>
        <v>0</v>
      </c>
      <c r="CW80" s="180">
        <f>IFERROR(__xludf.DUMMYFUNCTION("""COMPUTED_VALUE"""),45937.0)</f>
        <v>45937</v>
      </c>
      <c r="CX80" s="179">
        <f>IFERROR(__xludf.DUMMYFUNCTION("""COMPUTED_VALUE"""),0.0)</f>
        <v>0</v>
      </c>
      <c r="CY80" s="182">
        <f>IFERROR(__xludf.DUMMYFUNCTION("""COMPUTED_VALUE"""),45877.0)</f>
        <v>45877</v>
      </c>
      <c r="CZ80" s="179">
        <f>IFERROR(__xludf.DUMMYFUNCTION("""COMPUTED_VALUE"""),0.0)</f>
        <v>0</v>
      </c>
      <c r="DA80" s="180">
        <f>IFERROR(__xludf.DUMMYFUNCTION("""COMPUTED_VALUE"""),45877.0)</f>
        <v>45877</v>
      </c>
      <c r="DB80" s="179">
        <f>IFERROR(__xludf.DUMMYFUNCTION("""COMPUTED_VALUE"""),0.0)</f>
        <v>0</v>
      </c>
      <c r="DC80" s="180">
        <f>IFERROR(__xludf.DUMMYFUNCTION("""COMPUTED_VALUE"""),45877.0)</f>
        <v>45877</v>
      </c>
      <c r="DD80" s="179">
        <f>IFERROR(__xludf.DUMMYFUNCTION("""COMPUTED_VALUE"""),0.0)</f>
        <v>0</v>
      </c>
      <c r="DE80" s="180">
        <f>IFERROR(__xludf.DUMMYFUNCTION("""COMPUTED_VALUE"""),45877.0)</f>
        <v>45877</v>
      </c>
      <c r="DF80" s="179">
        <f>IFERROR(__xludf.DUMMYFUNCTION("""COMPUTED_VALUE"""),0.0)</f>
        <v>0</v>
      </c>
      <c r="DG80" s="180">
        <f>IFERROR(__xludf.DUMMYFUNCTION("""COMPUTED_VALUE"""),45877.0)</f>
        <v>45877</v>
      </c>
      <c r="DH80" s="179">
        <f>IFERROR(__xludf.DUMMYFUNCTION("""COMPUTED_VALUE"""),0.0)</f>
        <v>0</v>
      </c>
      <c r="DI80" s="180">
        <f>IFERROR(__xludf.DUMMYFUNCTION("""COMPUTED_VALUE"""),45877.0)</f>
        <v>45877</v>
      </c>
      <c r="DJ80" s="179">
        <f>IFERROR(__xludf.DUMMYFUNCTION("""COMPUTED_VALUE"""),0.0)</f>
        <v>0</v>
      </c>
      <c r="DK80" s="180">
        <f>IFERROR(__xludf.DUMMYFUNCTION("""COMPUTED_VALUE"""),45877.0)</f>
        <v>45877</v>
      </c>
      <c r="DL80" s="179">
        <f>IFERROR(__xludf.DUMMYFUNCTION("""COMPUTED_VALUE"""),0.0)</f>
        <v>0</v>
      </c>
      <c r="DM80" s="180">
        <f>IFERROR(__xludf.DUMMYFUNCTION("""COMPUTED_VALUE"""),45877.0)</f>
        <v>45877</v>
      </c>
      <c r="DN80" s="179">
        <f>IFERROR(__xludf.DUMMYFUNCTION("""COMPUTED_VALUE"""),0.0)</f>
        <v>0</v>
      </c>
      <c r="DO80" s="180">
        <f>IFERROR(__xludf.DUMMYFUNCTION("""COMPUTED_VALUE"""),45877.0)</f>
        <v>45877</v>
      </c>
      <c r="DP80" s="179">
        <f>IFERROR(__xludf.DUMMYFUNCTION("""COMPUTED_VALUE"""),0.0)</f>
        <v>0</v>
      </c>
      <c r="DQ80" s="180">
        <f>IFERROR(__xludf.DUMMYFUNCTION("""COMPUTED_VALUE"""),45877.0)</f>
        <v>45877</v>
      </c>
      <c r="DR80" s="179">
        <f>IFERROR(__xludf.DUMMYFUNCTION("""COMPUTED_VALUE"""),0.0)</f>
        <v>0</v>
      </c>
      <c r="DS80" s="182">
        <f>IFERROR(__xludf.DUMMYFUNCTION("""COMPUTED_VALUE"""),45877.0)</f>
        <v>45877</v>
      </c>
      <c r="DT80" s="179">
        <f>IFERROR(__xludf.DUMMYFUNCTION("""COMPUTED_VALUE"""),0.0)</f>
        <v>0</v>
      </c>
      <c r="DU80" s="180">
        <f>IFERROR(__xludf.DUMMYFUNCTION("""COMPUTED_VALUE"""),45877.0)</f>
        <v>45877</v>
      </c>
      <c r="DV80" s="179">
        <f>IFERROR(__xludf.DUMMYFUNCTION("""COMPUTED_VALUE"""),0.0)</f>
        <v>0</v>
      </c>
      <c r="DW80" s="180">
        <f>IFERROR(__xludf.DUMMYFUNCTION("""COMPUTED_VALUE"""),45877.0)</f>
        <v>45877</v>
      </c>
      <c r="DX80" s="179">
        <f>IFERROR(__xludf.DUMMYFUNCTION("""COMPUTED_VALUE"""),0.0)</f>
        <v>0</v>
      </c>
      <c r="DY80" s="180">
        <f>IFERROR(__xludf.DUMMYFUNCTION("""COMPUTED_VALUE"""),45846.0)</f>
        <v>45846</v>
      </c>
      <c r="DZ80" s="179">
        <f>IFERROR(__xludf.DUMMYFUNCTION("""COMPUTED_VALUE"""),0.0)</f>
        <v>0</v>
      </c>
      <c r="EA80" s="180">
        <f>IFERROR(__xludf.DUMMYFUNCTION("""COMPUTED_VALUE"""),45877.0)</f>
        <v>45877</v>
      </c>
      <c r="EB80" s="179">
        <f>IFERROR(__xludf.DUMMYFUNCTION("""COMPUTED_VALUE"""),0.0)</f>
        <v>0</v>
      </c>
      <c r="EC80" s="180">
        <f>IFERROR(__xludf.DUMMYFUNCTION("""COMPUTED_VALUE"""),45877.0)</f>
        <v>45877</v>
      </c>
      <c r="ED80" s="179">
        <f>IFERROR(__xludf.DUMMYFUNCTION("""COMPUTED_VALUE"""),0.0)</f>
        <v>0</v>
      </c>
      <c r="EE80" s="180">
        <f>IFERROR(__xludf.DUMMYFUNCTION("""COMPUTED_VALUE"""),45846.0)</f>
        <v>45846</v>
      </c>
      <c r="EF80" s="179">
        <f>IFERROR(__xludf.DUMMYFUNCTION("""COMPUTED_VALUE"""),0.0)</f>
        <v>0</v>
      </c>
      <c r="EG80" s="180">
        <f>IFERROR(__xludf.DUMMYFUNCTION("""COMPUTED_VALUE"""),45846.0)</f>
        <v>45846</v>
      </c>
      <c r="EH80" s="179">
        <f>IFERROR(__xludf.DUMMYFUNCTION("""COMPUTED_VALUE"""),0.0)</f>
        <v>0</v>
      </c>
      <c r="EI80" s="180">
        <f>IFERROR(__xludf.DUMMYFUNCTION("""COMPUTED_VALUE"""),45877.0)</f>
        <v>45877</v>
      </c>
      <c r="EJ80" s="179">
        <f>IFERROR(__xludf.DUMMYFUNCTION("""COMPUTED_VALUE"""),0.0)</f>
        <v>0</v>
      </c>
      <c r="EK80" s="180">
        <f>IFERROR(__xludf.DUMMYFUNCTION("""COMPUTED_VALUE"""),45846.0)</f>
        <v>45846</v>
      </c>
      <c r="EL80" s="179">
        <f>IFERROR(__xludf.DUMMYFUNCTION("""COMPUTED_VALUE"""),0.0)</f>
        <v>0</v>
      </c>
      <c r="EM80" s="182">
        <f>IFERROR(__xludf.DUMMYFUNCTION("""COMPUTED_VALUE"""),45876.0)</f>
        <v>45876</v>
      </c>
      <c r="EN80" s="179">
        <f>IFERROR(__xludf.DUMMYFUNCTION("""COMPUTED_VALUE"""),0.0)</f>
        <v>0</v>
      </c>
      <c r="EO80" s="180">
        <f>IFERROR(__xludf.DUMMYFUNCTION("""COMPUTED_VALUE"""),45907.0)</f>
        <v>45907</v>
      </c>
      <c r="EP80" s="179">
        <f>IFERROR(__xludf.DUMMYFUNCTION("""COMPUTED_VALUE"""),0.0)</f>
        <v>0</v>
      </c>
      <c r="EQ80" s="180">
        <f>IFERROR(__xludf.DUMMYFUNCTION("""COMPUTED_VALUE"""),45876.0)</f>
        <v>45876</v>
      </c>
      <c r="ER80" s="179">
        <f>IFERROR(__xludf.DUMMYFUNCTION("""COMPUTED_VALUE"""),0.0)</f>
        <v>0</v>
      </c>
      <c r="ES80" s="180">
        <f>IFERROR(__xludf.DUMMYFUNCTION("""COMPUTED_VALUE"""),45907.0)</f>
        <v>45907</v>
      </c>
      <c r="ET80" s="179">
        <f>IFERROR(__xludf.DUMMYFUNCTION("""COMPUTED_VALUE"""),0.0)</f>
        <v>0</v>
      </c>
      <c r="EU80" s="180">
        <f>IFERROR(__xludf.DUMMYFUNCTION("""COMPUTED_VALUE"""),45876.0)</f>
        <v>45876</v>
      </c>
      <c r="EV80" s="179">
        <f>IFERROR(__xludf.DUMMYFUNCTION("""COMPUTED_VALUE"""),0.0)</f>
        <v>0</v>
      </c>
      <c r="EW80" s="180">
        <f>IFERROR(__xludf.DUMMYFUNCTION("""COMPUTED_VALUE"""),45907.0)</f>
        <v>45907</v>
      </c>
      <c r="EX80" s="179">
        <f>IFERROR(__xludf.DUMMYFUNCTION("""COMPUTED_VALUE"""),0.0)</f>
        <v>0</v>
      </c>
      <c r="EY80" s="180">
        <f>IFERROR(__xludf.DUMMYFUNCTION("""COMPUTED_VALUE"""),45907.0)</f>
        <v>45907</v>
      </c>
      <c r="EZ80" s="179">
        <f>IFERROR(__xludf.DUMMYFUNCTION("""COMPUTED_VALUE"""),0.0)</f>
        <v>0</v>
      </c>
      <c r="FA80" s="180">
        <f>IFERROR(__xludf.DUMMYFUNCTION("""COMPUTED_VALUE"""),45876.0)</f>
        <v>45876</v>
      </c>
      <c r="FB80" s="179">
        <f>IFERROR(__xludf.DUMMYFUNCTION("""COMPUTED_VALUE"""),0.0)</f>
        <v>0</v>
      </c>
      <c r="FC80" s="180">
        <f>IFERROR(__xludf.DUMMYFUNCTION("""COMPUTED_VALUE"""),45907.0)</f>
        <v>45907</v>
      </c>
      <c r="FD80" s="179">
        <f>IFERROR(__xludf.DUMMYFUNCTION("""COMPUTED_VALUE"""),0.0)</f>
        <v>0</v>
      </c>
      <c r="FE80" s="180">
        <f>IFERROR(__xludf.DUMMYFUNCTION("""COMPUTED_VALUE"""),45815.0)</f>
        <v>45815</v>
      </c>
      <c r="FF80" s="179">
        <f>IFERROR(__xludf.DUMMYFUNCTION("""COMPUTED_VALUE"""),0.0)</f>
        <v>0</v>
      </c>
      <c r="FG80" s="182">
        <f>IFERROR(__xludf.DUMMYFUNCTION("""COMPUTED_VALUE"""),45907.0)</f>
        <v>45907</v>
      </c>
      <c r="FH80" s="179">
        <f>IFERROR(__xludf.DUMMYFUNCTION("""COMPUTED_VALUE"""),0.0)</f>
        <v>0</v>
      </c>
      <c r="FI80" s="180">
        <f>IFERROR(__xludf.DUMMYFUNCTION("""COMPUTED_VALUE"""),45876.0)</f>
        <v>45876</v>
      </c>
      <c r="FJ80" s="179">
        <f>IFERROR(__xludf.DUMMYFUNCTION("""COMPUTED_VALUE"""),0.0)</f>
        <v>0</v>
      </c>
      <c r="FK80" s="180">
        <f>IFERROR(__xludf.DUMMYFUNCTION("""COMPUTED_VALUE"""),45723.0)</f>
        <v>45723</v>
      </c>
      <c r="FL80" s="179">
        <f>IFERROR(__xludf.DUMMYFUNCTION("""COMPUTED_VALUE"""),0.0)</f>
        <v>0</v>
      </c>
      <c r="FM80" s="180">
        <f>IFERROR(__xludf.DUMMYFUNCTION("""COMPUTED_VALUE"""),45907.0)</f>
        <v>45907</v>
      </c>
      <c r="FN80" s="179">
        <f>IFERROR(__xludf.DUMMYFUNCTION("""COMPUTED_VALUE"""),0.0)</f>
        <v>0</v>
      </c>
      <c r="FO80" s="180">
        <f>IFERROR(__xludf.DUMMYFUNCTION("""COMPUTED_VALUE"""),45907.0)</f>
        <v>45907</v>
      </c>
      <c r="FP80" s="179">
        <f>IFERROR(__xludf.DUMMYFUNCTION("""COMPUTED_VALUE"""),0.0)</f>
        <v>0</v>
      </c>
      <c r="FQ80" s="180">
        <f>IFERROR(__xludf.DUMMYFUNCTION("""COMPUTED_VALUE"""),45907.0)</f>
        <v>45907</v>
      </c>
      <c r="FR80" s="179">
        <f>IFERROR(__xludf.DUMMYFUNCTION("""COMPUTED_VALUE"""),0.0)</f>
        <v>0</v>
      </c>
      <c r="FS80" s="180">
        <f>IFERROR(__xludf.DUMMYFUNCTION("""COMPUTED_VALUE"""),45876.0)</f>
        <v>45876</v>
      </c>
      <c r="FT80" s="179">
        <f>IFERROR(__xludf.DUMMYFUNCTION("""COMPUTED_VALUE"""),0.0)</f>
        <v>0</v>
      </c>
      <c r="FU80" s="180">
        <f>IFERROR(__xludf.DUMMYFUNCTION("""COMPUTED_VALUE"""),45907.0)</f>
        <v>45907</v>
      </c>
      <c r="FV80" s="179">
        <f>IFERROR(__xludf.DUMMYFUNCTION("""COMPUTED_VALUE"""),0.0)</f>
        <v>0</v>
      </c>
      <c r="FW80" s="180">
        <f>IFERROR(__xludf.DUMMYFUNCTION("""COMPUTED_VALUE"""),45907.0)</f>
        <v>45907</v>
      </c>
      <c r="FX80" s="179">
        <f>IFERROR(__xludf.DUMMYFUNCTION("""COMPUTED_VALUE"""),0.0)</f>
        <v>0</v>
      </c>
      <c r="FY80" s="180">
        <f>IFERROR(__xludf.DUMMYFUNCTION("""COMPUTED_VALUE"""),45815.0)</f>
        <v>45815</v>
      </c>
      <c r="FZ80" s="179">
        <f>IFERROR(__xludf.DUMMYFUNCTION("""COMPUTED_VALUE"""),0.0)</f>
        <v>0</v>
      </c>
      <c r="GA80" s="182">
        <f>IFERROR(__xludf.DUMMYFUNCTION("""COMPUTED_VALUE"""),45907.0)</f>
        <v>45907</v>
      </c>
      <c r="GB80" s="179">
        <f>IFERROR(__xludf.DUMMYFUNCTION("""COMPUTED_VALUE"""),0.0)</f>
        <v>0</v>
      </c>
      <c r="GC80" s="180">
        <f>IFERROR(__xludf.DUMMYFUNCTION("""COMPUTED_VALUE"""),45876.0)</f>
        <v>45876</v>
      </c>
      <c r="GD80" s="179">
        <f>IFERROR(__xludf.DUMMYFUNCTION("""COMPUTED_VALUE"""),0.0)</f>
        <v>0</v>
      </c>
      <c r="GE80" s="180">
        <f>IFERROR(__xludf.DUMMYFUNCTION("""COMPUTED_VALUE"""),45876.0)</f>
        <v>45876</v>
      </c>
      <c r="GF80" s="179">
        <f>IFERROR(__xludf.DUMMYFUNCTION("""COMPUTED_VALUE"""),0.0)</f>
        <v>0</v>
      </c>
      <c r="GG80" s="180">
        <f>IFERROR(__xludf.DUMMYFUNCTION("""COMPUTED_VALUE"""),45876.0)</f>
        <v>45876</v>
      </c>
      <c r="GH80" s="179">
        <f>IFERROR(__xludf.DUMMYFUNCTION("""COMPUTED_VALUE"""),0.0)</f>
        <v>0</v>
      </c>
      <c r="GI80" s="180">
        <f>IFERROR(__xludf.DUMMYFUNCTION("""COMPUTED_VALUE"""),45907.0)</f>
        <v>45907</v>
      </c>
      <c r="GJ80" s="179">
        <f>IFERROR(__xludf.DUMMYFUNCTION("""COMPUTED_VALUE"""),0.0)</f>
        <v>0</v>
      </c>
      <c r="GK80" s="180">
        <f>IFERROR(__xludf.DUMMYFUNCTION("""COMPUTED_VALUE"""),45907.0)</f>
        <v>45907</v>
      </c>
      <c r="GL80" s="179">
        <f>IFERROR(__xludf.DUMMYFUNCTION("""COMPUTED_VALUE"""),0.0)</f>
        <v>0</v>
      </c>
      <c r="GM80" s="180">
        <f>IFERROR(__xludf.DUMMYFUNCTION("""COMPUTED_VALUE"""),45815.0)</f>
        <v>45815</v>
      </c>
      <c r="GN80" s="179">
        <f>IFERROR(__xludf.DUMMYFUNCTION("""COMPUTED_VALUE"""),0.0)</f>
        <v>0</v>
      </c>
      <c r="GO80" s="180">
        <f>IFERROR(__xludf.DUMMYFUNCTION("""COMPUTED_VALUE"""),45907.0)</f>
        <v>45907</v>
      </c>
      <c r="GP80" s="179">
        <f>IFERROR(__xludf.DUMMYFUNCTION("""COMPUTED_VALUE"""),0.0)</f>
        <v>0</v>
      </c>
      <c r="GQ80" s="180">
        <f>IFERROR(__xludf.DUMMYFUNCTION("""COMPUTED_VALUE"""),45907.0)</f>
        <v>45907</v>
      </c>
      <c r="GR80" s="179">
        <f>IFERROR(__xludf.DUMMYFUNCTION("""COMPUTED_VALUE"""),0.0)</f>
        <v>0</v>
      </c>
      <c r="GS80" s="180">
        <f>IFERROR(__xludf.DUMMYFUNCTION("""COMPUTED_VALUE"""),45845.0)</f>
        <v>45845</v>
      </c>
      <c r="GT80" s="179">
        <f>IFERROR(__xludf.DUMMYFUNCTION("""COMPUTED_VALUE"""),0.0)</f>
        <v>0</v>
      </c>
    </row>
    <row r="81" ht="31.5" customHeight="1">
      <c r="B81" s="183"/>
      <c r="C81" s="178">
        <f>IFERROR(__xludf.DUMMYFUNCTION("""COMPUTED_VALUE"""),45908.0)</f>
        <v>45908</v>
      </c>
      <c r="D81" s="179">
        <f>IFERROR(__xludf.DUMMYFUNCTION("""COMPUTED_VALUE"""),0.0)</f>
        <v>0</v>
      </c>
      <c r="E81" s="180">
        <f>IFERROR(__xludf.DUMMYFUNCTION("""COMPUTED_VALUE"""),45877.0)</f>
        <v>45877</v>
      </c>
      <c r="F81" s="179">
        <f>IFERROR(__xludf.DUMMYFUNCTION("""COMPUTED_VALUE"""),0.0)</f>
        <v>0</v>
      </c>
      <c r="G81" s="180">
        <f>IFERROR(__xludf.DUMMYFUNCTION("""COMPUTED_VALUE"""),45877.0)</f>
        <v>45877</v>
      </c>
      <c r="H81" s="179">
        <f>IFERROR(__xludf.DUMMYFUNCTION("""COMPUTED_VALUE"""),0.0)</f>
        <v>0</v>
      </c>
      <c r="I81" s="180">
        <f>IFERROR(__xludf.DUMMYFUNCTION("""COMPUTED_VALUE"""),45908.0)</f>
        <v>45908</v>
      </c>
      <c r="J81" s="179">
        <f>IFERROR(__xludf.DUMMYFUNCTION("""COMPUTED_VALUE"""),0.0)</f>
        <v>0</v>
      </c>
      <c r="K81" s="180">
        <f>IFERROR(__xludf.DUMMYFUNCTION("""COMPUTED_VALUE"""),45908.0)</f>
        <v>45908</v>
      </c>
      <c r="L81" s="179">
        <f>IFERROR(__xludf.DUMMYFUNCTION("""COMPUTED_VALUE"""),0.0)</f>
        <v>0</v>
      </c>
      <c r="M81" s="180">
        <f>IFERROR(__xludf.DUMMYFUNCTION("""COMPUTED_VALUE"""),45908.0)</f>
        <v>45908</v>
      </c>
      <c r="N81" s="179">
        <f>IFERROR(__xludf.DUMMYFUNCTION("""COMPUTED_VALUE"""),0.0)</f>
        <v>0</v>
      </c>
      <c r="O81" s="180">
        <f>IFERROR(__xludf.DUMMYFUNCTION("""COMPUTED_VALUE"""),45877.0)</f>
        <v>45877</v>
      </c>
      <c r="P81" s="179">
        <f>IFERROR(__xludf.DUMMYFUNCTION("""COMPUTED_VALUE"""),0.0)</f>
        <v>0</v>
      </c>
      <c r="Q81" s="180">
        <f>IFERROR(__xludf.DUMMYFUNCTION("""COMPUTED_VALUE"""),45908.0)</f>
        <v>45908</v>
      </c>
      <c r="R81" s="179">
        <f>IFERROR(__xludf.DUMMYFUNCTION("""COMPUTED_VALUE"""),0.0)</f>
        <v>0</v>
      </c>
      <c r="S81" s="180">
        <f>IFERROR(__xludf.DUMMYFUNCTION("""COMPUTED_VALUE"""),45877.0)</f>
        <v>45877</v>
      </c>
      <c r="T81" s="179">
        <f>IFERROR(__xludf.DUMMYFUNCTION("""COMPUTED_VALUE"""),0.0)</f>
        <v>0</v>
      </c>
      <c r="U81" s="180">
        <f>IFERROR(__xludf.DUMMYFUNCTION("""COMPUTED_VALUE"""),45877.0)</f>
        <v>45877</v>
      </c>
      <c r="V81" s="181">
        <f>IFERROR(__xludf.DUMMYFUNCTION("""COMPUTED_VALUE"""),0.0)</f>
        <v>0</v>
      </c>
      <c r="W81" s="178">
        <f>IFERROR(__xludf.DUMMYFUNCTION("""COMPUTED_VALUE"""),45908.0)</f>
        <v>45908</v>
      </c>
      <c r="X81" s="179">
        <f>IFERROR(__xludf.DUMMYFUNCTION("""COMPUTED_VALUE"""),0.0)</f>
        <v>0</v>
      </c>
      <c r="Y81" s="180">
        <f>IFERROR(__xludf.DUMMYFUNCTION("""COMPUTED_VALUE"""),45785.0)</f>
        <v>45785</v>
      </c>
      <c r="Z81" s="179">
        <f>IFERROR(__xludf.DUMMYFUNCTION("""COMPUTED_VALUE"""),0.0)</f>
        <v>0</v>
      </c>
      <c r="AA81" s="180">
        <f>IFERROR(__xludf.DUMMYFUNCTION("""COMPUTED_VALUE"""),45908.0)</f>
        <v>45908</v>
      </c>
      <c r="AB81" s="179">
        <f>IFERROR(__xludf.DUMMYFUNCTION("""COMPUTED_VALUE"""),0.0)</f>
        <v>0</v>
      </c>
      <c r="AC81" s="180">
        <f>IFERROR(__xludf.DUMMYFUNCTION("""COMPUTED_VALUE"""),45696.0)</f>
        <v>45696</v>
      </c>
      <c r="AD81" s="179">
        <f>IFERROR(__xludf.DUMMYFUNCTION("""COMPUTED_VALUE"""),0.0)</f>
        <v>0</v>
      </c>
      <c r="AE81" s="180">
        <f>IFERROR(__xludf.DUMMYFUNCTION("""COMPUTED_VALUE"""),45785.0)</f>
        <v>45785</v>
      </c>
      <c r="AF81" s="179">
        <f>IFERROR(__xludf.DUMMYFUNCTION("""COMPUTED_VALUE"""),0.0)</f>
        <v>0</v>
      </c>
      <c r="AG81" s="180">
        <f>IFERROR(__xludf.DUMMYFUNCTION("""COMPUTED_VALUE"""),45908.0)</f>
        <v>45908</v>
      </c>
      <c r="AH81" s="179">
        <f>IFERROR(__xludf.DUMMYFUNCTION("""COMPUTED_VALUE"""),0.0)</f>
        <v>0</v>
      </c>
      <c r="AI81" s="180">
        <f>IFERROR(__xludf.DUMMYFUNCTION("""COMPUTED_VALUE"""),45755.0)</f>
        <v>45755</v>
      </c>
      <c r="AJ81" s="179">
        <f>IFERROR(__xludf.DUMMYFUNCTION("""COMPUTED_VALUE"""),0.0)</f>
        <v>0</v>
      </c>
      <c r="AK81" s="180">
        <f>IFERROR(__xludf.DUMMYFUNCTION("""COMPUTED_VALUE"""),45816.0)</f>
        <v>45816</v>
      </c>
      <c r="AL81" s="179">
        <f>IFERROR(__xludf.DUMMYFUNCTION("""COMPUTED_VALUE"""),0.0)</f>
        <v>0</v>
      </c>
      <c r="AM81" s="180">
        <f>IFERROR(__xludf.DUMMYFUNCTION("""COMPUTED_VALUE"""),45908.0)</f>
        <v>45908</v>
      </c>
      <c r="AN81" s="179">
        <f>IFERROR(__xludf.DUMMYFUNCTION("""COMPUTED_VALUE"""),0.0)</f>
        <v>0</v>
      </c>
      <c r="AO81" s="180">
        <f>IFERROR(__xludf.DUMMYFUNCTION("""COMPUTED_VALUE"""),45816.0)</f>
        <v>45816</v>
      </c>
      <c r="AP81" s="181">
        <f>IFERROR(__xludf.DUMMYFUNCTION("""COMPUTED_VALUE"""),0.0)</f>
        <v>0</v>
      </c>
      <c r="AQ81" s="178">
        <f>IFERROR(__xludf.DUMMYFUNCTION("""COMPUTED_VALUE"""),45908.0)</f>
        <v>45908</v>
      </c>
      <c r="AR81" s="179">
        <f>IFERROR(__xludf.DUMMYFUNCTION("""COMPUTED_VALUE"""),0.0)</f>
        <v>0</v>
      </c>
      <c r="AS81" s="180">
        <f>IFERROR(__xludf.DUMMYFUNCTION("""COMPUTED_VALUE"""),45908.0)</f>
        <v>45908</v>
      </c>
      <c r="AT81" s="179">
        <f>IFERROR(__xludf.DUMMYFUNCTION("""COMPUTED_VALUE"""),0.0)</f>
        <v>0</v>
      </c>
      <c r="AU81" s="180">
        <f>IFERROR(__xludf.DUMMYFUNCTION("""COMPUTED_VALUE"""),45877.0)</f>
        <v>45877</v>
      </c>
      <c r="AV81" s="179">
        <f>IFERROR(__xludf.DUMMYFUNCTION("""COMPUTED_VALUE"""),0.0)</f>
        <v>0</v>
      </c>
      <c r="AW81" s="180">
        <f>IFERROR(__xludf.DUMMYFUNCTION("""COMPUTED_VALUE"""),45877.0)</f>
        <v>45877</v>
      </c>
      <c r="AX81" s="179">
        <f>IFERROR(__xludf.DUMMYFUNCTION("""COMPUTED_VALUE"""),0.0)</f>
        <v>0</v>
      </c>
      <c r="AY81" s="180">
        <f>IFERROR(__xludf.DUMMYFUNCTION("""COMPUTED_VALUE"""),45908.0)</f>
        <v>45908</v>
      </c>
      <c r="AZ81" s="179">
        <f>IFERROR(__xludf.DUMMYFUNCTION("""COMPUTED_VALUE"""),0.0)</f>
        <v>0</v>
      </c>
      <c r="BA81" s="180">
        <f>IFERROR(__xludf.DUMMYFUNCTION("""COMPUTED_VALUE"""),45908.0)</f>
        <v>45908</v>
      </c>
      <c r="BB81" s="179">
        <f>IFERROR(__xludf.DUMMYFUNCTION("""COMPUTED_VALUE"""),0.0)</f>
        <v>0</v>
      </c>
      <c r="BC81" s="180">
        <f>IFERROR(__xludf.DUMMYFUNCTION("""COMPUTED_VALUE"""),45877.0)</f>
        <v>45877</v>
      </c>
      <c r="BD81" s="179">
        <f>IFERROR(__xludf.DUMMYFUNCTION("""COMPUTED_VALUE"""),0.0)</f>
        <v>0</v>
      </c>
      <c r="BE81" s="180">
        <f>IFERROR(__xludf.DUMMYFUNCTION("""COMPUTED_VALUE"""),45908.0)</f>
        <v>45908</v>
      </c>
      <c r="BF81" s="179">
        <f>IFERROR(__xludf.DUMMYFUNCTION("""COMPUTED_VALUE"""),0.0)</f>
        <v>0</v>
      </c>
      <c r="BG81" s="180">
        <f>IFERROR(__xludf.DUMMYFUNCTION("""COMPUTED_VALUE"""),45877.0)</f>
        <v>45877</v>
      </c>
      <c r="BH81" s="179">
        <f>IFERROR(__xludf.DUMMYFUNCTION("""COMPUTED_VALUE"""),0.0)</f>
        <v>0</v>
      </c>
      <c r="BI81" s="180">
        <f>IFERROR(__xludf.DUMMYFUNCTION("""COMPUTED_VALUE"""),45908.0)</f>
        <v>45908</v>
      </c>
      <c r="BJ81" s="179">
        <f>IFERROR(__xludf.DUMMYFUNCTION("""COMPUTED_VALUE"""),0.0)</f>
        <v>0</v>
      </c>
      <c r="BK81" s="182">
        <f>IFERROR(__xludf.DUMMYFUNCTION("""COMPUTED_VALUE"""),45908.0)</f>
        <v>45908</v>
      </c>
      <c r="BL81" s="179">
        <f>IFERROR(__xludf.DUMMYFUNCTION("""COMPUTED_VALUE"""),0.0)</f>
        <v>0</v>
      </c>
      <c r="BM81" s="180">
        <f>IFERROR(__xludf.DUMMYFUNCTION("""COMPUTED_VALUE"""),45908.0)</f>
        <v>45908</v>
      </c>
      <c r="BN81" s="179">
        <f>IFERROR(__xludf.DUMMYFUNCTION("""COMPUTED_VALUE"""),0.0)</f>
        <v>0</v>
      </c>
      <c r="BO81" s="180">
        <f>IFERROR(__xludf.DUMMYFUNCTION("""COMPUTED_VALUE"""),45877.0)</f>
        <v>45877</v>
      </c>
      <c r="BP81" s="179">
        <f>IFERROR(__xludf.DUMMYFUNCTION("""COMPUTED_VALUE"""),0.0)</f>
        <v>0</v>
      </c>
      <c r="BQ81" s="180">
        <f>IFERROR(__xludf.DUMMYFUNCTION("""COMPUTED_VALUE"""),45877.0)</f>
        <v>45877</v>
      </c>
      <c r="BR81" s="179">
        <f>IFERROR(__xludf.DUMMYFUNCTION("""COMPUTED_VALUE"""),0.0)</f>
        <v>0</v>
      </c>
      <c r="BS81" s="180">
        <f>IFERROR(__xludf.DUMMYFUNCTION("""COMPUTED_VALUE"""),45908.0)</f>
        <v>45908</v>
      </c>
      <c r="BT81" s="179">
        <f>IFERROR(__xludf.DUMMYFUNCTION("""COMPUTED_VALUE"""),0.0)</f>
        <v>0</v>
      </c>
      <c r="BU81" s="180">
        <f>IFERROR(__xludf.DUMMYFUNCTION("""COMPUTED_VALUE"""),45908.0)</f>
        <v>45908</v>
      </c>
      <c r="BV81" s="179">
        <f>IFERROR(__xludf.DUMMYFUNCTION("""COMPUTED_VALUE"""),0.0)</f>
        <v>0</v>
      </c>
      <c r="BW81" s="180">
        <f>IFERROR(__xludf.DUMMYFUNCTION("""COMPUTED_VALUE"""),45908.0)</f>
        <v>45908</v>
      </c>
      <c r="BX81" s="179">
        <f>IFERROR(__xludf.DUMMYFUNCTION("""COMPUTED_VALUE"""),0.0)</f>
        <v>0</v>
      </c>
      <c r="BY81" s="180">
        <f>IFERROR(__xludf.DUMMYFUNCTION("""COMPUTED_VALUE"""),45877.0)</f>
        <v>45877</v>
      </c>
      <c r="BZ81" s="179">
        <f>IFERROR(__xludf.DUMMYFUNCTION("""COMPUTED_VALUE"""),0.0)</f>
        <v>0</v>
      </c>
      <c r="CA81" s="180">
        <f>IFERROR(__xludf.DUMMYFUNCTION("""COMPUTED_VALUE"""),45908.0)</f>
        <v>45908</v>
      </c>
      <c r="CB81" s="179">
        <f>IFERROR(__xludf.DUMMYFUNCTION("""COMPUTED_VALUE"""),0.0)</f>
        <v>0</v>
      </c>
      <c r="CC81" s="180">
        <f>IFERROR(__xludf.DUMMYFUNCTION("""COMPUTED_VALUE"""),45908.0)</f>
        <v>45908</v>
      </c>
      <c r="CD81" s="179">
        <f>IFERROR(__xludf.DUMMYFUNCTION("""COMPUTED_VALUE"""),0.0)</f>
        <v>0</v>
      </c>
      <c r="CE81" s="182">
        <f>IFERROR(__xludf.DUMMYFUNCTION("""COMPUTED_VALUE"""),45908.0)</f>
        <v>45908</v>
      </c>
      <c r="CF81" s="179">
        <f>IFERROR(__xludf.DUMMYFUNCTION("""COMPUTED_VALUE"""),0.0)</f>
        <v>0</v>
      </c>
      <c r="CG81" s="180">
        <f>IFERROR(__xludf.DUMMYFUNCTION("""COMPUTED_VALUE"""),45785.0)</f>
        <v>45785</v>
      </c>
      <c r="CH81" s="179">
        <f>IFERROR(__xludf.DUMMYFUNCTION("""COMPUTED_VALUE"""),0.0)</f>
        <v>0</v>
      </c>
      <c r="CI81" s="180">
        <f>IFERROR(__xludf.DUMMYFUNCTION("""COMPUTED_VALUE"""),45785.0)</f>
        <v>45785</v>
      </c>
      <c r="CJ81" s="179">
        <f>IFERROR(__xludf.DUMMYFUNCTION("""COMPUTED_VALUE"""),0.0)</f>
        <v>0</v>
      </c>
      <c r="CK81" s="180">
        <f>IFERROR(__xludf.DUMMYFUNCTION("""COMPUTED_VALUE"""),45816.0)</f>
        <v>45816</v>
      </c>
      <c r="CL81" s="179">
        <f>IFERROR(__xludf.DUMMYFUNCTION("""COMPUTED_VALUE"""),0.0)</f>
        <v>0</v>
      </c>
      <c r="CM81" s="180">
        <f>IFERROR(__xludf.DUMMYFUNCTION("""COMPUTED_VALUE"""),45877.0)</f>
        <v>45877</v>
      </c>
      <c r="CN81" s="179">
        <f>IFERROR(__xludf.DUMMYFUNCTION("""COMPUTED_VALUE"""),0.0)</f>
        <v>0</v>
      </c>
      <c r="CO81" s="180">
        <f>IFERROR(__xludf.DUMMYFUNCTION("""COMPUTED_VALUE"""),45846.0)</f>
        <v>45846</v>
      </c>
      <c r="CP81" s="179">
        <f>IFERROR(__xludf.DUMMYFUNCTION("""COMPUTED_VALUE"""),0.0)</f>
        <v>0</v>
      </c>
      <c r="CQ81" s="180">
        <f>IFERROR(__xludf.DUMMYFUNCTION("""COMPUTED_VALUE"""),45785.0)</f>
        <v>45785</v>
      </c>
      <c r="CR81" s="179">
        <f>IFERROR(__xludf.DUMMYFUNCTION("""COMPUTED_VALUE"""),0.0)</f>
        <v>0</v>
      </c>
      <c r="CS81" s="180">
        <f>IFERROR(__xludf.DUMMYFUNCTION("""COMPUTED_VALUE"""),45877.0)</f>
        <v>45877</v>
      </c>
      <c r="CT81" s="179">
        <f>IFERROR(__xludf.DUMMYFUNCTION("""COMPUTED_VALUE"""),0.0)</f>
        <v>0</v>
      </c>
      <c r="CU81" s="180">
        <f>IFERROR(__xludf.DUMMYFUNCTION("""COMPUTED_VALUE"""),45908.0)</f>
        <v>45908</v>
      </c>
      <c r="CV81" s="179">
        <f>IFERROR(__xludf.DUMMYFUNCTION("""COMPUTED_VALUE"""),0.0)</f>
        <v>0</v>
      </c>
      <c r="CW81" s="180">
        <f>IFERROR(__xludf.DUMMYFUNCTION("""COMPUTED_VALUE"""),45665.0)</f>
        <v>45665</v>
      </c>
      <c r="CX81" s="179">
        <f>IFERROR(__xludf.DUMMYFUNCTION("""COMPUTED_VALUE"""),0.0)</f>
        <v>0</v>
      </c>
      <c r="CY81" s="182">
        <f>IFERROR(__xludf.DUMMYFUNCTION("""COMPUTED_VALUE"""),45908.0)</f>
        <v>45908</v>
      </c>
      <c r="CZ81" s="179">
        <f>IFERROR(__xludf.DUMMYFUNCTION("""COMPUTED_VALUE"""),0.0)</f>
        <v>0</v>
      </c>
      <c r="DA81" s="180">
        <f>IFERROR(__xludf.DUMMYFUNCTION("""COMPUTED_VALUE"""),45908.0)</f>
        <v>45908</v>
      </c>
      <c r="DB81" s="179">
        <f>IFERROR(__xludf.DUMMYFUNCTION("""COMPUTED_VALUE"""),0.0)</f>
        <v>0</v>
      </c>
      <c r="DC81" s="180">
        <f>IFERROR(__xludf.DUMMYFUNCTION("""COMPUTED_VALUE"""),45908.0)</f>
        <v>45908</v>
      </c>
      <c r="DD81" s="179">
        <f>IFERROR(__xludf.DUMMYFUNCTION("""COMPUTED_VALUE"""),0.0)</f>
        <v>0</v>
      </c>
      <c r="DE81" s="180">
        <f>IFERROR(__xludf.DUMMYFUNCTION("""COMPUTED_VALUE"""),45908.0)</f>
        <v>45908</v>
      </c>
      <c r="DF81" s="179">
        <f>IFERROR(__xludf.DUMMYFUNCTION("""COMPUTED_VALUE"""),0.0)</f>
        <v>0</v>
      </c>
      <c r="DG81" s="180">
        <f>IFERROR(__xludf.DUMMYFUNCTION("""COMPUTED_VALUE"""),45908.0)</f>
        <v>45908</v>
      </c>
      <c r="DH81" s="179">
        <f>IFERROR(__xludf.DUMMYFUNCTION("""COMPUTED_VALUE"""),0.0)</f>
        <v>0</v>
      </c>
      <c r="DI81" s="180">
        <f>IFERROR(__xludf.DUMMYFUNCTION("""COMPUTED_VALUE"""),45908.0)</f>
        <v>45908</v>
      </c>
      <c r="DJ81" s="179">
        <f>IFERROR(__xludf.DUMMYFUNCTION("""COMPUTED_VALUE"""),0.0)</f>
        <v>0</v>
      </c>
      <c r="DK81" s="180">
        <f>IFERROR(__xludf.DUMMYFUNCTION("""COMPUTED_VALUE"""),45908.0)</f>
        <v>45908</v>
      </c>
      <c r="DL81" s="179">
        <f>IFERROR(__xludf.DUMMYFUNCTION("""COMPUTED_VALUE"""),0.0)</f>
        <v>0</v>
      </c>
      <c r="DM81" s="180">
        <f>IFERROR(__xludf.DUMMYFUNCTION("""COMPUTED_VALUE"""),45908.0)</f>
        <v>45908</v>
      </c>
      <c r="DN81" s="179">
        <f>IFERROR(__xludf.DUMMYFUNCTION("""COMPUTED_VALUE"""),0.0)</f>
        <v>0</v>
      </c>
      <c r="DO81" s="180">
        <f>IFERROR(__xludf.DUMMYFUNCTION("""COMPUTED_VALUE"""),45908.0)</f>
        <v>45908</v>
      </c>
      <c r="DP81" s="179">
        <f>IFERROR(__xludf.DUMMYFUNCTION("""COMPUTED_VALUE"""),0.0)</f>
        <v>0</v>
      </c>
      <c r="DQ81" s="180">
        <f>IFERROR(__xludf.DUMMYFUNCTION("""COMPUTED_VALUE"""),45908.0)</f>
        <v>45908</v>
      </c>
      <c r="DR81" s="179">
        <f>IFERROR(__xludf.DUMMYFUNCTION("""COMPUTED_VALUE"""),0.0)</f>
        <v>0</v>
      </c>
      <c r="DS81" s="182">
        <f>IFERROR(__xludf.DUMMYFUNCTION("""COMPUTED_VALUE"""),45908.0)</f>
        <v>45908</v>
      </c>
      <c r="DT81" s="179">
        <f>IFERROR(__xludf.DUMMYFUNCTION("""COMPUTED_VALUE"""),0.0)</f>
        <v>0</v>
      </c>
      <c r="DU81" s="180">
        <f>IFERROR(__xludf.DUMMYFUNCTION("""COMPUTED_VALUE"""),45908.0)</f>
        <v>45908</v>
      </c>
      <c r="DV81" s="179">
        <f>IFERROR(__xludf.DUMMYFUNCTION("""COMPUTED_VALUE"""),0.0)</f>
        <v>0</v>
      </c>
      <c r="DW81" s="180">
        <f>IFERROR(__xludf.DUMMYFUNCTION("""COMPUTED_VALUE"""),45908.0)</f>
        <v>45908</v>
      </c>
      <c r="DX81" s="179">
        <f>IFERROR(__xludf.DUMMYFUNCTION("""COMPUTED_VALUE"""),0.0)</f>
        <v>0</v>
      </c>
      <c r="DY81" s="180">
        <f>IFERROR(__xludf.DUMMYFUNCTION("""COMPUTED_VALUE"""),45877.0)</f>
        <v>45877</v>
      </c>
      <c r="DZ81" s="179">
        <f>IFERROR(__xludf.DUMMYFUNCTION("""COMPUTED_VALUE"""),0.0)</f>
        <v>0</v>
      </c>
      <c r="EA81" s="180">
        <f>IFERROR(__xludf.DUMMYFUNCTION("""COMPUTED_VALUE"""),45908.0)</f>
        <v>45908</v>
      </c>
      <c r="EB81" s="179">
        <f>IFERROR(__xludf.DUMMYFUNCTION("""COMPUTED_VALUE"""),0.0)</f>
        <v>0</v>
      </c>
      <c r="EC81" s="180">
        <f>IFERROR(__xludf.DUMMYFUNCTION("""COMPUTED_VALUE"""),45908.0)</f>
        <v>45908</v>
      </c>
      <c r="ED81" s="179">
        <f>IFERROR(__xludf.DUMMYFUNCTION("""COMPUTED_VALUE"""),0.0)</f>
        <v>0</v>
      </c>
      <c r="EE81" s="180">
        <f>IFERROR(__xludf.DUMMYFUNCTION("""COMPUTED_VALUE"""),45877.0)</f>
        <v>45877</v>
      </c>
      <c r="EF81" s="179">
        <f>IFERROR(__xludf.DUMMYFUNCTION("""COMPUTED_VALUE"""),0.0)</f>
        <v>0</v>
      </c>
      <c r="EG81" s="180">
        <f>IFERROR(__xludf.DUMMYFUNCTION("""COMPUTED_VALUE"""),45877.0)</f>
        <v>45877</v>
      </c>
      <c r="EH81" s="179">
        <f>IFERROR(__xludf.DUMMYFUNCTION("""COMPUTED_VALUE"""),0.0)</f>
        <v>0</v>
      </c>
      <c r="EI81" s="180">
        <f>IFERROR(__xludf.DUMMYFUNCTION("""COMPUTED_VALUE"""),45908.0)</f>
        <v>45908</v>
      </c>
      <c r="EJ81" s="179">
        <f>IFERROR(__xludf.DUMMYFUNCTION("""COMPUTED_VALUE"""),0.0)</f>
        <v>0</v>
      </c>
      <c r="EK81" s="180">
        <f>IFERROR(__xludf.DUMMYFUNCTION("""COMPUTED_VALUE"""),45877.0)</f>
        <v>45877</v>
      </c>
      <c r="EL81" s="179">
        <f>IFERROR(__xludf.DUMMYFUNCTION("""COMPUTED_VALUE"""),0.0)</f>
        <v>0</v>
      </c>
      <c r="EM81" s="182">
        <f>IFERROR(__xludf.DUMMYFUNCTION("""COMPUTED_VALUE"""),45937.0)</f>
        <v>45937</v>
      </c>
      <c r="EN81" s="179">
        <f>IFERROR(__xludf.DUMMYFUNCTION("""COMPUTED_VALUE"""),0.0)</f>
        <v>0</v>
      </c>
      <c r="EO81" s="180">
        <f>IFERROR(__xludf.DUMMYFUNCTION("""COMPUTED_VALUE"""),45937.0)</f>
        <v>45937</v>
      </c>
      <c r="EP81" s="179">
        <f>IFERROR(__xludf.DUMMYFUNCTION("""COMPUTED_VALUE"""),0.0)</f>
        <v>0</v>
      </c>
      <c r="EQ81" s="180">
        <f>IFERROR(__xludf.DUMMYFUNCTION("""COMPUTED_VALUE"""),45907.0)</f>
        <v>45907</v>
      </c>
      <c r="ER81" s="179">
        <f>IFERROR(__xludf.DUMMYFUNCTION("""COMPUTED_VALUE"""),0.0)</f>
        <v>0</v>
      </c>
      <c r="ES81" s="180">
        <f>IFERROR(__xludf.DUMMYFUNCTION("""COMPUTED_VALUE"""),45937.0)</f>
        <v>45937</v>
      </c>
      <c r="ET81" s="179">
        <f>IFERROR(__xludf.DUMMYFUNCTION("""COMPUTED_VALUE"""),0.0)</f>
        <v>0</v>
      </c>
      <c r="EU81" s="180">
        <f>IFERROR(__xludf.DUMMYFUNCTION("""COMPUTED_VALUE"""),45907.0)</f>
        <v>45907</v>
      </c>
      <c r="EV81" s="179">
        <f>IFERROR(__xludf.DUMMYFUNCTION("""COMPUTED_VALUE"""),0.0)</f>
        <v>0</v>
      </c>
      <c r="EW81" s="180">
        <f>IFERROR(__xludf.DUMMYFUNCTION("""COMPUTED_VALUE"""),45937.0)</f>
        <v>45937</v>
      </c>
      <c r="EX81" s="179">
        <f>IFERROR(__xludf.DUMMYFUNCTION("""COMPUTED_VALUE"""),0.0)</f>
        <v>0</v>
      </c>
      <c r="EY81" s="180">
        <f>IFERROR(__xludf.DUMMYFUNCTION("""COMPUTED_VALUE"""),45937.0)</f>
        <v>45937</v>
      </c>
      <c r="EZ81" s="179">
        <f>IFERROR(__xludf.DUMMYFUNCTION("""COMPUTED_VALUE"""),0.0)</f>
        <v>0</v>
      </c>
      <c r="FA81" s="180">
        <f>IFERROR(__xludf.DUMMYFUNCTION("""COMPUTED_VALUE"""),45907.0)</f>
        <v>45907</v>
      </c>
      <c r="FB81" s="179">
        <f>IFERROR(__xludf.DUMMYFUNCTION("""COMPUTED_VALUE"""),0.0)</f>
        <v>0</v>
      </c>
      <c r="FC81" s="180">
        <f>IFERROR(__xludf.DUMMYFUNCTION("""COMPUTED_VALUE"""),45937.0)</f>
        <v>45937</v>
      </c>
      <c r="FD81" s="179">
        <f>IFERROR(__xludf.DUMMYFUNCTION("""COMPUTED_VALUE"""),0.0)</f>
        <v>0</v>
      </c>
      <c r="FE81" s="180">
        <f>IFERROR(__xludf.DUMMYFUNCTION("""COMPUTED_VALUE"""),45907.0)</f>
        <v>45907</v>
      </c>
      <c r="FF81" s="179">
        <f>IFERROR(__xludf.DUMMYFUNCTION("""COMPUTED_VALUE"""),0.0)</f>
        <v>0</v>
      </c>
      <c r="FG81" s="182">
        <f>IFERROR(__xludf.DUMMYFUNCTION("""COMPUTED_VALUE"""),45937.0)</f>
        <v>45937</v>
      </c>
      <c r="FH81" s="179">
        <f>IFERROR(__xludf.DUMMYFUNCTION("""COMPUTED_VALUE"""),0.0)</f>
        <v>0</v>
      </c>
      <c r="FI81" s="180">
        <f>IFERROR(__xludf.DUMMYFUNCTION("""COMPUTED_VALUE"""),45907.0)</f>
        <v>45907</v>
      </c>
      <c r="FJ81" s="179">
        <f>IFERROR(__xludf.DUMMYFUNCTION("""COMPUTED_VALUE"""),0.0)</f>
        <v>0</v>
      </c>
      <c r="FK81" s="180">
        <f>IFERROR(__xludf.DUMMYFUNCTION("""COMPUTED_VALUE"""),45754.0)</f>
        <v>45754</v>
      </c>
      <c r="FL81" s="179">
        <f>IFERROR(__xludf.DUMMYFUNCTION("""COMPUTED_VALUE"""),0.0)</f>
        <v>0</v>
      </c>
      <c r="FM81" s="180">
        <f>IFERROR(__xludf.DUMMYFUNCTION("""COMPUTED_VALUE"""),45937.0)</f>
        <v>45937</v>
      </c>
      <c r="FN81" s="179">
        <f>IFERROR(__xludf.DUMMYFUNCTION("""COMPUTED_VALUE"""),0.0)</f>
        <v>0</v>
      </c>
      <c r="FO81" s="180">
        <f>IFERROR(__xludf.DUMMYFUNCTION("""COMPUTED_VALUE"""),45937.0)</f>
        <v>45937</v>
      </c>
      <c r="FP81" s="179">
        <f>IFERROR(__xludf.DUMMYFUNCTION("""COMPUTED_VALUE"""),0.0)</f>
        <v>0</v>
      </c>
      <c r="FQ81" s="180">
        <f>IFERROR(__xludf.DUMMYFUNCTION("""COMPUTED_VALUE"""),45937.0)</f>
        <v>45937</v>
      </c>
      <c r="FR81" s="179">
        <f>IFERROR(__xludf.DUMMYFUNCTION("""COMPUTED_VALUE"""),0.0)</f>
        <v>0</v>
      </c>
      <c r="FS81" s="180">
        <f>IFERROR(__xludf.DUMMYFUNCTION("""COMPUTED_VALUE"""),45907.0)</f>
        <v>45907</v>
      </c>
      <c r="FT81" s="179">
        <f>IFERROR(__xludf.DUMMYFUNCTION("""COMPUTED_VALUE"""),0.0)</f>
        <v>0</v>
      </c>
      <c r="FU81" s="180">
        <f>IFERROR(__xludf.DUMMYFUNCTION("""COMPUTED_VALUE"""),45937.0)</f>
        <v>45937</v>
      </c>
      <c r="FV81" s="179">
        <f>IFERROR(__xludf.DUMMYFUNCTION("""COMPUTED_VALUE"""),0.0)</f>
        <v>0</v>
      </c>
      <c r="FW81" s="180">
        <f>IFERROR(__xludf.DUMMYFUNCTION("""COMPUTED_VALUE"""),45937.0)</f>
        <v>45937</v>
      </c>
      <c r="FX81" s="179">
        <f>IFERROR(__xludf.DUMMYFUNCTION("""COMPUTED_VALUE"""),0.0)</f>
        <v>0</v>
      </c>
      <c r="FY81" s="180">
        <f>IFERROR(__xludf.DUMMYFUNCTION("""COMPUTED_VALUE"""),45845.0)</f>
        <v>45845</v>
      </c>
      <c r="FZ81" s="179">
        <f>IFERROR(__xludf.DUMMYFUNCTION("""COMPUTED_VALUE"""),0.0)</f>
        <v>0</v>
      </c>
      <c r="GA81" s="182">
        <f>IFERROR(__xludf.DUMMYFUNCTION("""COMPUTED_VALUE"""),45937.0)</f>
        <v>45937</v>
      </c>
      <c r="GB81" s="179">
        <f>IFERROR(__xludf.DUMMYFUNCTION("""COMPUTED_VALUE"""),0.0)</f>
        <v>0</v>
      </c>
      <c r="GC81" s="180">
        <f>IFERROR(__xludf.DUMMYFUNCTION("""COMPUTED_VALUE"""),45907.0)</f>
        <v>45907</v>
      </c>
      <c r="GD81" s="179">
        <f>IFERROR(__xludf.DUMMYFUNCTION("""COMPUTED_VALUE"""),0.0)</f>
        <v>0</v>
      </c>
      <c r="GE81" s="180">
        <f>IFERROR(__xludf.DUMMYFUNCTION("""COMPUTED_VALUE"""),45907.0)</f>
        <v>45907</v>
      </c>
      <c r="GF81" s="179">
        <f>IFERROR(__xludf.DUMMYFUNCTION("""COMPUTED_VALUE"""),0.0)</f>
        <v>0</v>
      </c>
      <c r="GG81" s="180">
        <f>IFERROR(__xludf.DUMMYFUNCTION("""COMPUTED_VALUE"""),45907.0)</f>
        <v>45907</v>
      </c>
      <c r="GH81" s="179">
        <f>IFERROR(__xludf.DUMMYFUNCTION("""COMPUTED_VALUE"""),0.0)</f>
        <v>0</v>
      </c>
      <c r="GI81" s="180">
        <f>IFERROR(__xludf.DUMMYFUNCTION("""COMPUTED_VALUE"""),45937.0)</f>
        <v>45937</v>
      </c>
      <c r="GJ81" s="179">
        <f>IFERROR(__xludf.DUMMYFUNCTION("""COMPUTED_VALUE"""),0.0)</f>
        <v>0</v>
      </c>
      <c r="GK81" s="180">
        <f>IFERROR(__xludf.DUMMYFUNCTION("""COMPUTED_VALUE"""),45937.0)</f>
        <v>45937</v>
      </c>
      <c r="GL81" s="179">
        <f>IFERROR(__xludf.DUMMYFUNCTION("""COMPUTED_VALUE"""),0.0)</f>
        <v>0</v>
      </c>
      <c r="GM81" s="180">
        <f>IFERROR(__xludf.DUMMYFUNCTION("""COMPUTED_VALUE"""),45845.0)</f>
        <v>45845</v>
      </c>
      <c r="GN81" s="179">
        <f>IFERROR(__xludf.DUMMYFUNCTION("""COMPUTED_VALUE"""),0.0)</f>
        <v>0</v>
      </c>
      <c r="GO81" s="180">
        <f>IFERROR(__xludf.DUMMYFUNCTION("""COMPUTED_VALUE"""),45937.0)</f>
        <v>45937</v>
      </c>
      <c r="GP81" s="179">
        <f>IFERROR(__xludf.DUMMYFUNCTION("""COMPUTED_VALUE"""),0.0)</f>
        <v>0</v>
      </c>
      <c r="GQ81" s="180">
        <f>IFERROR(__xludf.DUMMYFUNCTION("""COMPUTED_VALUE"""),45937.0)</f>
        <v>45937</v>
      </c>
      <c r="GR81" s="179">
        <f>IFERROR(__xludf.DUMMYFUNCTION("""COMPUTED_VALUE"""),0.0)</f>
        <v>0</v>
      </c>
      <c r="GS81" s="180">
        <f>IFERROR(__xludf.DUMMYFUNCTION("""COMPUTED_VALUE"""),45876.0)</f>
        <v>45876</v>
      </c>
      <c r="GT81" s="179">
        <f>IFERROR(__xludf.DUMMYFUNCTION("""COMPUTED_VALUE"""),0.0)</f>
        <v>0</v>
      </c>
    </row>
    <row r="82" ht="31.5" customHeight="1">
      <c r="B82" s="183"/>
      <c r="C82" s="178">
        <f>IFERROR(__xludf.DUMMYFUNCTION("""COMPUTED_VALUE"""),45938.0)</f>
        <v>45938</v>
      </c>
      <c r="D82" s="179">
        <f>IFERROR(__xludf.DUMMYFUNCTION("""COMPUTED_VALUE"""),0.0)</f>
        <v>0</v>
      </c>
      <c r="E82" s="180">
        <f>IFERROR(__xludf.DUMMYFUNCTION("""COMPUTED_VALUE"""),45908.0)</f>
        <v>45908</v>
      </c>
      <c r="F82" s="179">
        <f>IFERROR(__xludf.DUMMYFUNCTION("""COMPUTED_VALUE"""),0.0)</f>
        <v>0</v>
      </c>
      <c r="G82" s="180">
        <f>IFERROR(__xludf.DUMMYFUNCTION("""COMPUTED_VALUE"""),45908.0)</f>
        <v>45908</v>
      </c>
      <c r="H82" s="179">
        <f>IFERROR(__xludf.DUMMYFUNCTION("""COMPUTED_VALUE"""),0.0)</f>
        <v>0</v>
      </c>
      <c r="I82" s="180">
        <f>IFERROR(__xludf.DUMMYFUNCTION("""COMPUTED_VALUE"""),45938.0)</f>
        <v>45938</v>
      </c>
      <c r="J82" s="179">
        <f>IFERROR(__xludf.DUMMYFUNCTION("""COMPUTED_VALUE"""),0.0)</f>
        <v>0</v>
      </c>
      <c r="K82" s="180">
        <f>IFERROR(__xludf.DUMMYFUNCTION("""COMPUTED_VALUE"""),45938.0)</f>
        <v>45938</v>
      </c>
      <c r="L82" s="179">
        <f>IFERROR(__xludf.DUMMYFUNCTION("""COMPUTED_VALUE"""),0.0)</f>
        <v>0</v>
      </c>
      <c r="M82" s="180">
        <f>IFERROR(__xludf.DUMMYFUNCTION("""COMPUTED_VALUE"""),45938.0)</f>
        <v>45938</v>
      </c>
      <c r="N82" s="179">
        <f>IFERROR(__xludf.DUMMYFUNCTION("""COMPUTED_VALUE"""),0.0)</f>
        <v>0</v>
      </c>
      <c r="O82" s="180">
        <f>IFERROR(__xludf.DUMMYFUNCTION("""COMPUTED_VALUE"""),45908.0)</f>
        <v>45908</v>
      </c>
      <c r="P82" s="179">
        <f>IFERROR(__xludf.DUMMYFUNCTION("""COMPUTED_VALUE"""),0.0)</f>
        <v>0</v>
      </c>
      <c r="Q82" s="180">
        <f>IFERROR(__xludf.DUMMYFUNCTION("""COMPUTED_VALUE"""),45938.0)</f>
        <v>45938</v>
      </c>
      <c r="R82" s="179">
        <f>IFERROR(__xludf.DUMMYFUNCTION("""COMPUTED_VALUE"""),0.0)</f>
        <v>0</v>
      </c>
      <c r="S82" s="180">
        <f>IFERROR(__xludf.DUMMYFUNCTION("""COMPUTED_VALUE"""),45938.0)</f>
        <v>45938</v>
      </c>
      <c r="T82" s="179">
        <f>IFERROR(__xludf.DUMMYFUNCTION("""COMPUTED_VALUE"""),0.0)</f>
        <v>0</v>
      </c>
      <c r="U82" s="180">
        <f>IFERROR(__xludf.DUMMYFUNCTION("""COMPUTED_VALUE"""),45908.0)</f>
        <v>45908</v>
      </c>
      <c r="V82" s="181">
        <f>IFERROR(__xludf.DUMMYFUNCTION("""COMPUTED_VALUE"""),0.0)</f>
        <v>0</v>
      </c>
      <c r="W82" s="178">
        <f>IFERROR(__xludf.DUMMYFUNCTION("""COMPUTED_VALUE"""),45938.0)</f>
        <v>45938</v>
      </c>
      <c r="X82" s="179">
        <f>IFERROR(__xludf.DUMMYFUNCTION("""COMPUTED_VALUE"""),0.0)</f>
        <v>0</v>
      </c>
      <c r="Y82" s="180">
        <f>IFERROR(__xludf.DUMMYFUNCTION("""COMPUTED_VALUE"""),45816.0)</f>
        <v>45816</v>
      </c>
      <c r="Z82" s="179">
        <f>IFERROR(__xludf.DUMMYFUNCTION("""COMPUTED_VALUE"""),0.0)</f>
        <v>0</v>
      </c>
      <c r="AA82" s="180">
        <f>IFERROR(__xludf.DUMMYFUNCTION("""COMPUTED_VALUE"""),45938.0)</f>
        <v>45938</v>
      </c>
      <c r="AB82" s="179">
        <f>IFERROR(__xludf.DUMMYFUNCTION("""COMPUTED_VALUE"""),0.0)</f>
        <v>0</v>
      </c>
      <c r="AC82" s="180">
        <f>IFERROR(__xludf.DUMMYFUNCTION("""COMPUTED_VALUE"""),45724.0)</f>
        <v>45724</v>
      </c>
      <c r="AD82" s="179">
        <f>IFERROR(__xludf.DUMMYFUNCTION("""COMPUTED_VALUE"""),0.0)</f>
        <v>0</v>
      </c>
      <c r="AE82" s="180">
        <f>IFERROR(__xludf.DUMMYFUNCTION("""COMPUTED_VALUE"""),45816.0)</f>
        <v>45816</v>
      </c>
      <c r="AF82" s="179">
        <f>IFERROR(__xludf.DUMMYFUNCTION("""COMPUTED_VALUE"""),0.0)</f>
        <v>0</v>
      </c>
      <c r="AG82" s="180">
        <f>IFERROR(__xludf.DUMMYFUNCTION("""COMPUTED_VALUE"""),45938.0)</f>
        <v>45938</v>
      </c>
      <c r="AH82" s="179">
        <f>IFERROR(__xludf.DUMMYFUNCTION("""COMPUTED_VALUE"""),0.0)</f>
        <v>0</v>
      </c>
      <c r="AI82" s="180">
        <f>IFERROR(__xludf.DUMMYFUNCTION("""COMPUTED_VALUE"""),45785.0)</f>
        <v>45785</v>
      </c>
      <c r="AJ82" s="179">
        <f>IFERROR(__xludf.DUMMYFUNCTION("""COMPUTED_VALUE"""),0.0)</f>
        <v>0</v>
      </c>
      <c r="AK82" s="180">
        <f>IFERROR(__xludf.DUMMYFUNCTION("""COMPUTED_VALUE"""),45846.0)</f>
        <v>45846</v>
      </c>
      <c r="AL82" s="179">
        <f>IFERROR(__xludf.DUMMYFUNCTION("""COMPUTED_VALUE"""),0.0)</f>
        <v>0</v>
      </c>
      <c r="AM82" s="180">
        <f>IFERROR(__xludf.DUMMYFUNCTION("""COMPUTED_VALUE"""),45938.0)</f>
        <v>45938</v>
      </c>
      <c r="AN82" s="179">
        <f>IFERROR(__xludf.DUMMYFUNCTION("""COMPUTED_VALUE"""),0.0)</f>
        <v>0</v>
      </c>
      <c r="AO82" s="180">
        <f>IFERROR(__xludf.DUMMYFUNCTION("""COMPUTED_VALUE"""),45846.0)</f>
        <v>45846</v>
      </c>
      <c r="AP82" s="181">
        <f>IFERROR(__xludf.DUMMYFUNCTION("""COMPUTED_VALUE"""),0.0)</f>
        <v>0</v>
      </c>
      <c r="AQ82" s="178">
        <f>IFERROR(__xludf.DUMMYFUNCTION("""COMPUTED_VALUE"""),45938.0)</f>
        <v>45938</v>
      </c>
      <c r="AR82" s="179">
        <f>IFERROR(__xludf.DUMMYFUNCTION("""COMPUTED_VALUE"""),0.0)</f>
        <v>0</v>
      </c>
      <c r="AS82" s="180">
        <f>IFERROR(__xludf.DUMMYFUNCTION("""COMPUTED_VALUE"""),45938.0)</f>
        <v>45938</v>
      </c>
      <c r="AT82" s="179">
        <f>IFERROR(__xludf.DUMMYFUNCTION("""COMPUTED_VALUE"""),0.0)</f>
        <v>0</v>
      </c>
      <c r="AU82" s="180">
        <f>IFERROR(__xludf.DUMMYFUNCTION("""COMPUTED_VALUE"""),45908.0)</f>
        <v>45908</v>
      </c>
      <c r="AV82" s="179">
        <f>IFERROR(__xludf.DUMMYFUNCTION("""COMPUTED_VALUE"""),0.0)</f>
        <v>0</v>
      </c>
      <c r="AW82" s="180">
        <f>IFERROR(__xludf.DUMMYFUNCTION("""COMPUTED_VALUE"""),45908.0)</f>
        <v>45908</v>
      </c>
      <c r="AX82" s="179">
        <f>IFERROR(__xludf.DUMMYFUNCTION("""COMPUTED_VALUE"""),0.0)</f>
        <v>0</v>
      </c>
      <c r="AY82" s="180">
        <f>IFERROR(__xludf.DUMMYFUNCTION("""COMPUTED_VALUE"""),45938.0)</f>
        <v>45938</v>
      </c>
      <c r="AZ82" s="179">
        <f>IFERROR(__xludf.DUMMYFUNCTION("""COMPUTED_VALUE"""),0.0)</f>
        <v>0</v>
      </c>
      <c r="BA82" s="180">
        <f>IFERROR(__xludf.DUMMYFUNCTION("""COMPUTED_VALUE"""),45938.0)</f>
        <v>45938</v>
      </c>
      <c r="BB82" s="179">
        <f>IFERROR(__xludf.DUMMYFUNCTION("""COMPUTED_VALUE"""),0.0)</f>
        <v>0</v>
      </c>
      <c r="BC82" s="180">
        <f>IFERROR(__xludf.DUMMYFUNCTION("""COMPUTED_VALUE"""),45908.0)</f>
        <v>45908</v>
      </c>
      <c r="BD82" s="179">
        <f>IFERROR(__xludf.DUMMYFUNCTION("""COMPUTED_VALUE"""),0.0)</f>
        <v>0</v>
      </c>
      <c r="BE82" s="180">
        <f>IFERROR(__xludf.DUMMYFUNCTION("""COMPUTED_VALUE"""),45938.0)</f>
        <v>45938</v>
      </c>
      <c r="BF82" s="179">
        <f>IFERROR(__xludf.DUMMYFUNCTION("""COMPUTED_VALUE"""),0.0)</f>
        <v>0</v>
      </c>
      <c r="BG82" s="180">
        <f>IFERROR(__xludf.DUMMYFUNCTION("""COMPUTED_VALUE"""),45908.0)</f>
        <v>45908</v>
      </c>
      <c r="BH82" s="179">
        <f>IFERROR(__xludf.DUMMYFUNCTION("""COMPUTED_VALUE"""),0.0)</f>
        <v>0</v>
      </c>
      <c r="BI82" s="180">
        <f>IFERROR(__xludf.DUMMYFUNCTION("""COMPUTED_VALUE"""),45938.0)</f>
        <v>45938</v>
      </c>
      <c r="BJ82" s="179">
        <f>IFERROR(__xludf.DUMMYFUNCTION("""COMPUTED_VALUE"""),0.0)</f>
        <v>0</v>
      </c>
      <c r="BK82" s="182">
        <f>IFERROR(__xludf.DUMMYFUNCTION("""COMPUTED_VALUE"""),45938.0)</f>
        <v>45938</v>
      </c>
      <c r="BL82" s="179">
        <f>IFERROR(__xludf.DUMMYFUNCTION("""COMPUTED_VALUE"""),0.0)</f>
        <v>0</v>
      </c>
      <c r="BM82" s="180">
        <f>IFERROR(__xludf.DUMMYFUNCTION("""COMPUTED_VALUE"""),45938.0)</f>
        <v>45938</v>
      </c>
      <c r="BN82" s="179">
        <f>IFERROR(__xludf.DUMMYFUNCTION("""COMPUTED_VALUE"""),0.0)</f>
        <v>0</v>
      </c>
      <c r="BO82" s="180">
        <f>IFERROR(__xludf.DUMMYFUNCTION("""COMPUTED_VALUE"""),45908.0)</f>
        <v>45908</v>
      </c>
      <c r="BP82" s="179">
        <f>IFERROR(__xludf.DUMMYFUNCTION("""COMPUTED_VALUE"""),0.0)</f>
        <v>0</v>
      </c>
      <c r="BQ82" s="180">
        <f>IFERROR(__xludf.DUMMYFUNCTION("""COMPUTED_VALUE"""),45908.0)</f>
        <v>45908</v>
      </c>
      <c r="BR82" s="179">
        <f>IFERROR(__xludf.DUMMYFUNCTION("""COMPUTED_VALUE"""),0.0)</f>
        <v>0</v>
      </c>
      <c r="BS82" s="180">
        <f>IFERROR(__xludf.DUMMYFUNCTION("""COMPUTED_VALUE"""),45938.0)</f>
        <v>45938</v>
      </c>
      <c r="BT82" s="179">
        <f>IFERROR(__xludf.DUMMYFUNCTION("""COMPUTED_VALUE"""),0.0)</f>
        <v>0</v>
      </c>
      <c r="BU82" s="180">
        <f>IFERROR(__xludf.DUMMYFUNCTION("""COMPUTED_VALUE"""),45938.0)</f>
        <v>45938</v>
      </c>
      <c r="BV82" s="179">
        <f>IFERROR(__xludf.DUMMYFUNCTION("""COMPUTED_VALUE"""),0.0)</f>
        <v>0</v>
      </c>
      <c r="BW82" s="180">
        <f>IFERROR(__xludf.DUMMYFUNCTION("""COMPUTED_VALUE"""),45938.0)</f>
        <v>45938</v>
      </c>
      <c r="BX82" s="179">
        <f>IFERROR(__xludf.DUMMYFUNCTION("""COMPUTED_VALUE"""),0.0)</f>
        <v>0</v>
      </c>
      <c r="BY82" s="180">
        <f>IFERROR(__xludf.DUMMYFUNCTION("""COMPUTED_VALUE"""),45908.0)</f>
        <v>45908</v>
      </c>
      <c r="BZ82" s="179">
        <f>IFERROR(__xludf.DUMMYFUNCTION("""COMPUTED_VALUE"""),0.0)</f>
        <v>0</v>
      </c>
      <c r="CA82" s="180">
        <f>IFERROR(__xludf.DUMMYFUNCTION("""COMPUTED_VALUE"""),45938.0)</f>
        <v>45938</v>
      </c>
      <c r="CB82" s="179">
        <f>IFERROR(__xludf.DUMMYFUNCTION("""COMPUTED_VALUE"""),0.0)</f>
        <v>0</v>
      </c>
      <c r="CC82" s="180">
        <f>IFERROR(__xludf.DUMMYFUNCTION("""COMPUTED_VALUE"""),45938.0)</f>
        <v>45938</v>
      </c>
      <c r="CD82" s="179">
        <f>IFERROR(__xludf.DUMMYFUNCTION("""COMPUTED_VALUE"""),0.0)</f>
        <v>0</v>
      </c>
      <c r="CE82" s="182">
        <f>IFERROR(__xludf.DUMMYFUNCTION("""COMPUTED_VALUE"""),45938.0)</f>
        <v>45938</v>
      </c>
      <c r="CF82" s="179">
        <f>IFERROR(__xludf.DUMMYFUNCTION("""COMPUTED_VALUE"""),0.0)</f>
        <v>0</v>
      </c>
      <c r="CG82" s="180">
        <f>IFERROR(__xludf.DUMMYFUNCTION("""COMPUTED_VALUE"""),45816.0)</f>
        <v>45816</v>
      </c>
      <c r="CH82" s="179">
        <f>IFERROR(__xludf.DUMMYFUNCTION("""COMPUTED_VALUE"""),0.0)</f>
        <v>0</v>
      </c>
      <c r="CI82" s="180">
        <f>IFERROR(__xludf.DUMMYFUNCTION("""COMPUTED_VALUE"""),45816.0)</f>
        <v>45816</v>
      </c>
      <c r="CJ82" s="179">
        <f>IFERROR(__xludf.DUMMYFUNCTION("""COMPUTED_VALUE"""),0.0)</f>
        <v>0</v>
      </c>
      <c r="CK82" s="180">
        <f>IFERROR(__xludf.DUMMYFUNCTION("""COMPUTED_VALUE"""),45846.0)</f>
        <v>45846</v>
      </c>
      <c r="CL82" s="179">
        <f>IFERROR(__xludf.DUMMYFUNCTION("""COMPUTED_VALUE"""),0.0)</f>
        <v>0</v>
      </c>
      <c r="CM82" s="180">
        <f>IFERROR(__xludf.DUMMYFUNCTION("""COMPUTED_VALUE"""),45908.0)</f>
        <v>45908</v>
      </c>
      <c r="CN82" s="179">
        <f>IFERROR(__xludf.DUMMYFUNCTION("""COMPUTED_VALUE"""),0.0)</f>
        <v>0</v>
      </c>
      <c r="CO82" s="180">
        <f>IFERROR(__xludf.DUMMYFUNCTION("""COMPUTED_VALUE"""),45877.0)</f>
        <v>45877</v>
      </c>
      <c r="CP82" s="179">
        <f>IFERROR(__xludf.DUMMYFUNCTION("""COMPUTED_VALUE"""),0.0)</f>
        <v>0</v>
      </c>
      <c r="CQ82" s="180">
        <f>IFERROR(__xludf.DUMMYFUNCTION("""COMPUTED_VALUE"""),45816.0)</f>
        <v>45816</v>
      </c>
      <c r="CR82" s="179">
        <f>IFERROR(__xludf.DUMMYFUNCTION("""COMPUTED_VALUE"""),0.0)</f>
        <v>0</v>
      </c>
      <c r="CS82" s="180">
        <f>IFERROR(__xludf.DUMMYFUNCTION("""COMPUTED_VALUE"""),45908.0)</f>
        <v>45908</v>
      </c>
      <c r="CT82" s="179">
        <f>IFERROR(__xludf.DUMMYFUNCTION("""COMPUTED_VALUE"""),0.0)</f>
        <v>0</v>
      </c>
      <c r="CU82" s="180">
        <f>IFERROR(__xludf.DUMMYFUNCTION("""COMPUTED_VALUE"""),45938.0)</f>
        <v>45938</v>
      </c>
      <c r="CV82" s="179">
        <f>IFERROR(__xludf.DUMMYFUNCTION("""COMPUTED_VALUE"""),0.0)</f>
        <v>0</v>
      </c>
      <c r="CW82" s="180">
        <f>IFERROR(__xludf.DUMMYFUNCTION("""COMPUTED_VALUE"""),45696.0)</f>
        <v>45696</v>
      </c>
      <c r="CX82" s="179">
        <f>IFERROR(__xludf.DUMMYFUNCTION("""COMPUTED_VALUE"""),0.0)</f>
        <v>0</v>
      </c>
      <c r="CY82" s="182">
        <f>IFERROR(__xludf.DUMMYFUNCTION("""COMPUTED_VALUE"""),45938.0)</f>
        <v>45938</v>
      </c>
      <c r="CZ82" s="179">
        <f>IFERROR(__xludf.DUMMYFUNCTION("""COMPUTED_VALUE"""),0.0)</f>
        <v>0</v>
      </c>
      <c r="DA82" s="180">
        <f>IFERROR(__xludf.DUMMYFUNCTION("""COMPUTED_VALUE"""),45938.0)</f>
        <v>45938</v>
      </c>
      <c r="DB82" s="179">
        <f>IFERROR(__xludf.DUMMYFUNCTION("""COMPUTED_VALUE"""),0.0)</f>
        <v>0</v>
      </c>
      <c r="DC82" s="180">
        <f>IFERROR(__xludf.DUMMYFUNCTION("""COMPUTED_VALUE"""),45938.0)</f>
        <v>45938</v>
      </c>
      <c r="DD82" s="179">
        <f>IFERROR(__xludf.DUMMYFUNCTION("""COMPUTED_VALUE"""),0.0)</f>
        <v>0</v>
      </c>
      <c r="DE82" s="180">
        <f>IFERROR(__xludf.DUMMYFUNCTION("""COMPUTED_VALUE"""),45938.0)</f>
        <v>45938</v>
      </c>
      <c r="DF82" s="179">
        <f>IFERROR(__xludf.DUMMYFUNCTION("""COMPUTED_VALUE"""),0.0)</f>
        <v>0</v>
      </c>
      <c r="DG82" s="180">
        <f>IFERROR(__xludf.DUMMYFUNCTION("""COMPUTED_VALUE"""),45938.0)</f>
        <v>45938</v>
      </c>
      <c r="DH82" s="179">
        <f>IFERROR(__xludf.DUMMYFUNCTION("""COMPUTED_VALUE"""),0.0)</f>
        <v>0</v>
      </c>
      <c r="DI82" s="180">
        <f>IFERROR(__xludf.DUMMYFUNCTION("""COMPUTED_VALUE"""),45938.0)</f>
        <v>45938</v>
      </c>
      <c r="DJ82" s="179">
        <f>IFERROR(__xludf.DUMMYFUNCTION("""COMPUTED_VALUE"""),0.0)</f>
        <v>0</v>
      </c>
      <c r="DK82" s="180">
        <f>IFERROR(__xludf.DUMMYFUNCTION("""COMPUTED_VALUE"""),45938.0)</f>
        <v>45938</v>
      </c>
      <c r="DL82" s="179">
        <f>IFERROR(__xludf.DUMMYFUNCTION("""COMPUTED_VALUE"""),0.0)</f>
        <v>0</v>
      </c>
      <c r="DM82" s="180">
        <f>IFERROR(__xludf.DUMMYFUNCTION("""COMPUTED_VALUE"""),45938.0)</f>
        <v>45938</v>
      </c>
      <c r="DN82" s="179">
        <f>IFERROR(__xludf.DUMMYFUNCTION("""COMPUTED_VALUE"""),0.0)</f>
        <v>0</v>
      </c>
      <c r="DO82" s="180">
        <f>IFERROR(__xludf.DUMMYFUNCTION("""COMPUTED_VALUE"""),45938.0)</f>
        <v>45938</v>
      </c>
      <c r="DP82" s="179">
        <f>IFERROR(__xludf.DUMMYFUNCTION("""COMPUTED_VALUE"""),0.0)</f>
        <v>0</v>
      </c>
      <c r="DQ82" s="180">
        <f>IFERROR(__xludf.DUMMYFUNCTION("""COMPUTED_VALUE"""),45938.0)</f>
        <v>45938</v>
      </c>
      <c r="DR82" s="179">
        <f>IFERROR(__xludf.DUMMYFUNCTION("""COMPUTED_VALUE"""),0.0)</f>
        <v>0</v>
      </c>
      <c r="DS82" s="182">
        <f>IFERROR(__xludf.DUMMYFUNCTION("""COMPUTED_VALUE"""),45938.0)</f>
        <v>45938</v>
      </c>
      <c r="DT82" s="179">
        <f>IFERROR(__xludf.DUMMYFUNCTION("""COMPUTED_VALUE"""),0.0)</f>
        <v>0</v>
      </c>
      <c r="DU82" s="180">
        <f>IFERROR(__xludf.DUMMYFUNCTION("""COMPUTED_VALUE"""),45938.0)</f>
        <v>45938</v>
      </c>
      <c r="DV82" s="179">
        <f>IFERROR(__xludf.DUMMYFUNCTION("""COMPUTED_VALUE"""),0.0)</f>
        <v>0</v>
      </c>
      <c r="DW82" s="180">
        <f>IFERROR(__xludf.DUMMYFUNCTION("""COMPUTED_VALUE"""),45938.0)</f>
        <v>45938</v>
      </c>
      <c r="DX82" s="179">
        <f>IFERROR(__xludf.DUMMYFUNCTION("""COMPUTED_VALUE"""),0.0)</f>
        <v>0</v>
      </c>
      <c r="DY82" s="180">
        <f>IFERROR(__xludf.DUMMYFUNCTION("""COMPUTED_VALUE"""),45908.0)</f>
        <v>45908</v>
      </c>
      <c r="DZ82" s="179">
        <f>IFERROR(__xludf.DUMMYFUNCTION("""COMPUTED_VALUE"""),0.0)</f>
        <v>0</v>
      </c>
      <c r="EA82" s="180">
        <f>IFERROR(__xludf.DUMMYFUNCTION("""COMPUTED_VALUE"""),45938.0)</f>
        <v>45938</v>
      </c>
      <c r="EB82" s="179">
        <f>IFERROR(__xludf.DUMMYFUNCTION("""COMPUTED_VALUE"""),0.0)</f>
        <v>0</v>
      </c>
      <c r="EC82" s="180">
        <f>IFERROR(__xludf.DUMMYFUNCTION("""COMPUTED_VALUE"""),45938.0)</f>
        <v>45938</v>
      </c>
      <c r="ED82" s="179">
        <f>IFERROR(__xludf.DUMMYFUNCTION("""COMPUTED_VALUE"""),0.0)</f>
        <v>0</v>
      </c>
      <c r="EE82" s="180">
        <f>IFERROR(__xludf.DUMMYFUNCTION("""COMPUTED_VALUE"""),45908.0)</f>
        <v>45908</v>
      </c>
      <c r="EF82" s="179">
        <f>IFERROR(__xludf.DUMMYFUNCTION("""COMPUTED_VALUE"""),0.0)</f>
        <v>0</v>
      </c>
      <c r="EG82" s="180">
        <f>IFERROR(__xludf.DUMMYFUNCTION("""COMPUTED_VALUE"""),45908.0)</f>
        <v>45908</v>
      </c>
      <c r="EH82" s="179">
        <f>IFERROR(__xludf.DUMMYFUNCTION("""COMPUTED_VALUE"""),0.0)</f>
        <v>0</v>
      </c>
      <c r="EI82" s="180">
        <f>IFERROR(__xludf.DUMMYFUNCTION("""COMPUTED_VALUE"""),45938.0)</f>
        <v>45938</v>
      </c>
      <c r="EJ82" s="179">
        <f>IFERROR(__xludf.DUMMYFUNCTION("""COMPUTED_VALUE"""),0.0)</f>
        <v>0</v>
      </c>
      <c r="EK82" s="180">
        <f>IFERROR(__xludf.DUMMYFUNCTION("""COMPUTED_VALUE"""),45908.0)</f>
        <v>45908</v>
      </c>
      <c r="EL82" s="179">
        <f>IFERROR(__xludf.DUMMYFUNCTION("""COMPUTED_VALUE"""),0.0)</f>
        <v>0</v>
      </c>
      <c r="EM82" s="182">
        <f>IFERROR(__xludf.DUMMYFUNCTION("""COMPUTED_VALUE"""),45665.0)</f>
        <v>45665</v>
      </c>
      <c r="EN82" s="179">
        <f>IFERROR(__xludf.DUMMYFUNCTION("""COMPUTED_VALUE"""),0.0)</f>
        <v>0</v>
      </c>
      <c r="EO82" s="180">
        <f>IFERROR(__xludf.DUMMYFUNCTION("""COMPUTED_VALUE"""),45696.0)</f>
        <v>45696</v>
      </c>
      <c r="EP82" s="179">
        <f>IFERROR(__xludf.DUMMYFUNCTION("""COMPUTED_VALUE"""),0.0)</f>
        <v>0</v>
      </c>
      <c r="EQ82" s="180">
        <f>IFERROR(__xludf.DUMMYFUNCTION("""COMPUTED_VALUE"""),45937.0)</f>
        <v>45937</v>
      </c>
      <c r="ER82" s="179">
        <f>IFERROR(__xludf.DUMMYFUNCTION("""COMPUTED_VALUE"""),0.0)</f>
        <v>0</v>
      </c>
      <c r="ES82" s="180">
        <f>IFERROR(__xludf.DUMMYFUNCTION("""COMPUTED_VALUE"""),45755.0)</f>
        <v>45755</v>
      </c>
      <c r="ET82" s="179">
        <f>IFERROR(__xludf.DUMMYFUNCTION("""COMPUTED_VALUE"""),0.0)</f>
        <v>0</v>
      </c>
      <c r="EU82" s="180">
        <f>IFERROR(__xludf.DUMMYFUNCTION("""COMPUTED_VALUE"""),45937.0)</f>
        <v>45937</v>
      </c>
      <c r="EV82" s="179">
        <f>IFERROR(__xludf.DUMMYFUNCTION("""COMPUTED_VALUE"""),0.0)</f>
        <v>0</v>
      </c>
      <c r="EW82" s="180">
        <f>IFERROR(__xludf.DUMMYFUNCTION("""COMPUTED_VALUE"""),45816.0)</f>
        <v>45816</v>
      </c>
      <c r="EX82" s="179">
        <f>IFERROR(__xludf.DUMMYFUNCTION("""COMPUTED_VALUE"""),0.0)</f>
        <v>0</v>
      </c>
      <c r="EY82" s="180">
        <f>IFERROR(__xludf.DUMMYFUNCTION("""COMPUTED_VALUE"""),45846.0)</f>
        <v>45846</v>
      </c>
      <c r="EZ82" s="179">
        <f>IFERROR(__xludf.DUMMYFUNCTION("""COMPUTED_VALUE"""),0.0)</f>
        <v>0</v>
      </c>
      <c r="FA82" s="180">
        <f>IFERROR(__xludf.DUMMYFUNCTION("""COMPUTED_VALUE"""),45937.0)</f>
        <v>45937</v>
      </c>
      <c r="FB82" s="179">
        <f>IFERROR(__xludf.DUMMYFUNCTION("""COMPUTED_VALUE"""),0.0)</f>
        <v>0</v>
      </c>
      <c r="FC82" s="180">
        <f>IFERROR(__xludf.DUMMYFUNCTION("""COMPUTED_VALUE"""),45908.0)</f>
        <v>45908</v>
      </c>
      <c r="FD82" s="179">
        <f>IFERROR(__xludf.DUMMYFUNCTION("""COMPUTED_VALUE"""),0.0)</f>
        <v>0</v>
      </c>
      <c r="FE82" s="180">
        <f>IFERROR(__xludf.DUMMYFUNCTION("""COMPUTED_VALUE"""),45938.0)</f>
        <v>45938</v>
      </c>
      <c r="FF82" s="179">
        <f>IFERROR(__xludf.DUMMYFUNCTION("""COMPUTED_VALUE"""),0.0)</f>
        <v>0</v>
      </c>
      <c r="FG82" s="182">
        <f>IFERROR(__xludf.DUMMYFUNCTION("""COMPUTED_VALUE"""),45665.0)</f>
        <v>45665</v>
      </c>
      <c r="FH82" s="179">
        <f>IFERROR(__xludf.DUMMYFUNCTION("""COMPUTED_VALUE"""),0.0)</f>
        <v>0</v>
      </c>
      <c r="FI82" s="180">
        <f>IFERROR(__xludf.DUMMYFUNCTION("""COMPUTED_VALUE"""),45937.0)</f>
        <v>45937</v>
      </c>
      <c r="FJ82" s="179">
        <f>IFERROR(__xludf.DUMMYFUNCTION("""COMPUTED_VALUE"""),0.0)</f>
        <v>0</v>
      </c>
      <c r="FK82" s="180">
        <f>IFERROR(__xludf.DUMMYFUNCTION("""COMPUTED_VALUE"""),45784.0)</f>
        <v>45784</v>
      </c>
      <c r="FL82" s="179">
        <f>IFERROR(__xludf.DUMMYFUNCTION("""COMPUTED_VALUE"""),0.0)</f>
        <v>0</v>
      </c>
      <c r="FM82" s="180">
        <f>IFERROR(__xludf.DUMMYFUNCTION("""COMPUTED_VALUE"""),45665.0)</f>
        <v>45665</v>
      </c>
      <c r="FN82" s="179">
        <f>IFERROR(__xludf.DUMMYFUNCTION("""COMPUTED_VALUE"""),0.0)</f>
        <v>0</v>
      </c>
      <c r="FO82" s="180">
        <f>IFERROR(__xludf.DUMMYFUNCTION("""COMPUTED_VALUE"""),45665.0)</f>
        <v>45665</v>
      </c>
      <c r="FP82" s="179">
        <f>IFERROR(__xludf.DUMMYFUNCTION("""COMPUTED_VALUE"""),0.0)</f>
        <v>0</v>
      </c>
      <c r="FQ82" s="180">
        <f>IFERROR(__xludf.DUMMYFUNCTION("""COMPUTED_VALUE"""),45665.0)</f>
        <v>45665</v>
      </c>
      <c r="FR82" s="179">
        <f>IFERROR(__xludf.DUMMYFUNCTION("""COMPUTED_VALUE"""),0.0)</f>
        <v>0</v>
      </c>
      <c r="FS82" s="180">
        <f>IFERROR(__xludf.DUMMYFUNCTION("""COMPUTED_VALUE"""),45937.0)</f>
        <v>45937</v>
      </c>
      <c r="FT82" s="179">
        <f>IFERROR(__xludf.DUMMYFUNCTION("""COMPUTED_VALUE"""),0.0)</f>
        <v>0</v>
      </c>
      <c r="FU82" s="180">
        <f>IFERROR(__xludf.DUMMYFUNCTION("""COMPUTED_VALUE"""),45665.0)</f>
        <v>45665</v>
      </c>
      <c r="FV82" s="179">
        <f>IFERROR(__xludf.DUMMYFUNCTION("""COMPUTED_VALUE"""),0.0)</f>
        <v>0</v>
      </c>
      <c r="FW82" s="180">
        <f>IFERROR(__xludf.DUMMYFUNCTION("""COMPUTED_VALUE"""),45665.0)</f>
        <v>45665</v>
      </c>
      <c r="FX82" s="179">
        <f>IFERROR(__xludf.DUMMYFUNCTION("""COMPUTED_VALUE"""),0.0)</f>
        <v>0</v>
      </c>
      <c r="FY82" s="180">
        <f>IFERROR(__xludf.DUMMYFUNCTION("""COMPUTED_VALUE"""),45876.0)</f>
        <v>45876</v>
      </c>
      <c r="FZ82" s="179">
        <f>IFERROR(__xludf.DUMMYFUNCTION("""COMPUTED_VALUE"""),0.0)</f>
        <v>0</v>
      </c>
      <c r="GA82" s="182">
        <f>IFERROR(__xludf.DUMMYFUNCTION("""COMPUTED_VALUE"""),45665.0)</f>
        <v>45665</v>
      </c>
      <c r="GB82" s="179">
        <f>IFERROR(__xludf.DUMMYFUNCTION("""COMPUTED_VALUE"""),0.0)</f>
        <v>0</v>
      </c>
      <c r="GC82" s="180">
        <f>IFERROR(__xludf.DUMMYFUNCTION("""COMPUTED_VALUE"""),45937.0)</f>
        <v>45937</v>
      </c>
      <c r="GD82" s="179">
        <f>IFERROR(__xludf.DUMMYFUNCTION("""COMPUTED_VALUE"""),0.0)</f>
        <v>0</v>
      </c>
      <c r="GE82" s="180">
        <f>IFERROR(__xludf.DUMMYFUNCTION("""COMPUTED_VALUE"""),45937.0)</f>
        <v>45937</v>
      </c>
      <c r="GF82" s="179">
        <f>IFERROR(__xludf.DUMMYFUNCTION("""COMPUTED_VALUE"""),0.0)</f>
        <v>0</v>
      </c>
      <c r="GG82" s="180">
        <f>IFERROR(__xludf.DUMMYFUNCTION("""COMPUTED_VALUE"""),45937.0)</f>
        <v>45937</v>
      </c>
      <c r="GH82" s="179">
        <f>IFERROR(__xludf.DUMMYFUNCTION("""COMPUTED_VALUE"""),0.0)</f>
        <v>0</v>
      </c>
      <c r="GI82" s="180">
        <f>IFERROR(__xludf.DUMMYFUNCTION("""COMPUTED_VALUE"""),45665.0)</f>
        <v>45665</v>
      </c>
      <c r="GJ82" s="179">
        <f>IFERROR(__xludf.DUMMYFUNCTION("""COMPUTED_VALUE"""),0.0)</f>
        <v>0</v>
      </c>
      <c r="GK82" s="180">
        <f>IFERROR(__xludf.DUMMYFUNCTION("""COMPUTED_VALUE"""),45665.0)</f>
        <v>45665</v>
      </c>
      <c r="GL82" s="179">
        <f>IFERROR(__xludf.DUMMYFUNCTION("""COMPUTED_VALUE"""),0.0)</f>
        <v>0</v>
      </c>
      <c r="GM82" s="180">
        <f>IFERROR(__xludf.DUMMYFUNCTION("""COMPUTED_VALUE"""),45876.0)</f>
        <v>45876</v>
      </c>
      <c r="GN82" s="179">
        <f>IFERROR(__xludf.DUMMYFUNCTION("""COMPUTED_VALUE"""),0.0)</f>
        <v>0</v>
      </c>
      <c r="GO82" s="180">
        <f>IFERROR(__xludf.DUMMYFUNCTION("""COMPUTED_VALUE"""),45665.0)</f>
        <v>45665</v>
      </c>
      <c r="GP82" s="179">
        <f>IFERROR(__xludf.DUMMYFUNCTION("""COMPUTED_VALUE"""),0.0)</f>
        <v>0</v>
      </c>
      <c r="GQ82" s="180">
        <f>IFERROR(__xludf.DUMMYFUNCTION("""COMPUTED_VALUE"""),45665.0)</f>
        <v>45665</v>
      </c>
      <c r="GR82" s="179">
        <f>IFERROR(__xludf.DUMMYFUNCTION("""COMPUTED_VALUE"""),0.0)</f>
        <v>0</v>
      </c>
      <c r="GS82" s="180">
        <f>IFERROR(__xludf.DUMMYFUNCTION("""COMPUTED_VALUE"""),45907.0)</f>
        <v>45907</v>
      </c>
      <c r="GT82" s="179">
        <f>IFERROR(__xludf.DUMMYFUNCTION("""COMPUTED_VALUE"""),0.0)</f>
        <v>0</v>
      </c>
    </row>
    <row r="83" ht="31.5" customHeight="1">
      <c r="B83" s="183"/>
      <c r="C83" s="178">
        <f>IFERROR(__xludf.DUMMYFUNCTION("""COMPUTED_VALUE"""),45666.0)</f>
        <v>45666</v>
      </c>
      <c r="D83" s="179">
        <f>IFERROR(__xludf.DUMMYFUNCTION("""COMPUTED_VALUE"""),0.0)</f>
        <v>0</v>
      </c>
      <c r="E83" s="180">
        <f>IFERROR(__xludf.DUMMYFUNCTION("""COMPUTED_VALUE"""),45666.0)</f>
        <v>45666</v>
      </c>
      <c r="F83" s="179">
        <f>IFERROR(__xludf.DUMMYFUNCTION("""COMPUTED_VALUE"""),0.0)</f>
        <v>0</v>
      </c>
      <c r="G83" s="180">
        <f>IFERROR(__xludf.DUMMYFUNCTION("""COMPUTED_VALUE"""),45666.0)</f>
        <v>45666</v>
      </c>
      <c r="H83" s="179">
        <f>IFERROR(__xludf.DUMMYFUNCTION("""COMPUTED_VALUE"""),0.0)</f>
        <v>0</v>
      </c>
      <c r="I83" s="180">
        <f>IFERROR(__xludf.DUMMYFUNCTION("""COMPUTED_VALUE"""),45666.0)</f>
        <v>45666</v>
      </c>
      <c r="J83" s="179">
        <f>IFERROR(__xludf.DUMMYFUNCTION("""COMPUTED_VALUE"""),0.0)</f>
        <v>0</v>
      </c>
      <c r="K83" s="180">
        <f>IFERROR(__xludf.DUMMYFUNCTION("""COMPUTED_VALUE"""),45666.0)</f>
        <v>45666</v>
      </c>
      <c r="L83" s="179">
        <f>IFERROR(__xludf.DUMMYFUNCTION("""COMPUTED_VALUE"""),0.0)</f>
        <v>0</v>
      </c>
      <c r="M83" s="180">
        <f>IFERROR(__xludf.DUMMYFUNCTION("""COMPUTED_VALUE"""),45666.0)</f>
        <v>45666</v>
      </c>
      <c r="N83" s="179">
        <f>IFERROR(__xludf.DUMMYFUNCTION("""COMPUTED_VALUE"""),0.0)</f>
        <v>0</v>
      </c>
      <c r="O83" s="180">
        <f>IFERROR(__xludf.DUMMYFUNCTION("""COMPUTED_VALUE"""),45666.0)</f>
        <v>45666</v>
      </c>
      <c r="P83" s="179">
        <f>IFERROR(__xludf.DUMMYFUNCTION("""COMPUTED_VALUE"""),0.0)</f>
        <v>0</v>
      </c>
      <c r="Q83" s="180">
        <f>IFERROR(__xludf.DUMMYFUNCTION("""COMPUTED_VALUE"""),45666.0)</f>
        <v>45666</v>
      </c>
      <c r="R83" s="179">
        <f>IFERROR(__xludf.DUMMYFUNCTION("""COMPUTED_VALUE"""),0.0)</f>
        <v>0</v>
      </c>
      <c r="S83" s="180">
        <f>IFERROR(__xludf.DUMMYFUNCTION("""COMPUTED_VALUE"""),45666.0)</f>
        <v>45666</v>
      </c>
      <c r="T83" s="179">
        <f>IFERROR(__xludf.DUMMYFUNCTION("""COMPUTED_VALUE"""),0.0)</f>
        <v>0</v>
      </c>
      <c r="U83" s="180">
        <f>IFERROR(__xludf.DUMMYFUNCTION("""COMPUTED_VALUE"""),45666.0)</f>
        <v>45666</v>
      </c>
      <c r="V83" s="181">
        <f>IFERROR(__xludf.DUMMYFUNCTION("""COMPUTED_VALUE"""),0.0)</f>
        <v>0</v>
      </c>
      <c r="W83" s="178">
        <f>IFERROR(__xludf.DUMMYFUNCTION("""COMPUTED_VALUE"""),45666.0)</f>
        <v>45666</v>
      </c>
      <c r="X83" s="179">
        <f>IFERROR(__xludf.DUMMYFUNCTION("""COMPUTED_VALUE"""),0.0)</f>
        <v>0</v>
      </c>
      <c r="Y83" s="180">
        <f>IFERROR(__xludf.DUMMYFUNCTION("""COMPUTED_VALUE"""),45846.0)</f>
        <v>45846</v>
      </c>
      <c r="Z83" s="179">
        <f>IFERROR(__xludf.DUMMYFUNCTION("""COMPUTED_VALUE"""),0.0)</f>
        <v>0</v>
      </c>
      <c r="AA83" s="180">
        <f>IFERROR(__xludf.DUMMYFUNCTION("""COMPUTED_VALUE"""),45666.0)</f>
        <v>45666</v>
      </c>
      <c r="AB83" s="179">
        <f>IFERROR(__xludf.DUMMYFUNCTION("""COMPUTED_VALUE"""),0.0)</f>
        <v>0</v>
      </c>
      <c r="AC83" s="180">
        <f>IFERROR(__xludf.DUMMYFUNCTION("""COMPUTED_VALUE"""),45755.0)</f>
        <v>45755</v>
      </c>
      <c r="AD83" s="179">
        <f>IFERROR(__xludf.DUMMYFUNCTION("""COMPUTED_VALUE"""),0.0)</f>
        <v>0</v>
      </c>
      <c r="AE83" s="180">
        <f>IFERROR(__xludf.DUMMYFUNCTION("""COMPUTED_VALUE"""),45846.0)</f>
        <v>45846</v>
      </c>
      <c r="AF83" s="179">
        <f>IFERROR(__xludf.DUMMYFUNCTION("""COMPUTED_VALUE"""),0.0)</f>
        <v>0</v>
      </c>
      <c r="AG83" s="180">
        <f>IFERROR(__xludf.DUMMYFUNCTION("""COMPUTED_VALUE"""),45666.0)</f>
        <v>45666</v>
      </c>
      <c r="AH83" s="179">
        <f>IFERROR(__xludf.DUMMYFUNCTION("""COMPUTED_VALUE"""),0.0)</f>
        <v>0</v>
      </c>
      <c r="AI83" s="180">
        <f>IFERROR(__xludf.DUMMYFUNCTION("""COMPUTED_VALUE"""),45816.0)</f>
        <v>45816</v>
      </c>
      <c r="AJ83" s="179">
        <f>IFERROR(__xludf.DUMMYFUNCTION("""COMPUTED_VALUE"""),0.0)</f>
        <v>0</v>
      </c>
      <c r="AK83" s="180">
        <f>IFERROR(__xludf.DUMMYFUNCTION("""COMPUTED_VALUE"""),45877.0)</f>
        <v>45877</v>
      </c>
      <c r="AL83" s="179">
        <f>IFERROR(__xludf.DUMMYFUNCTION("""COMPUTED_VALUE"""),0.0)</f>
        <v>0</v>
      </c>
      <c r="AM83" s="180">
        <f>IFERROR(__xludf.DUMMYFUNCTION("""COMPUTED_VALUE"""),45666.0)</f>
        <v>45666</v>
      </c>
      <c r="AN83" s="179">
        <f>IFERROR(__xludf.DUMMYFUNCTION("""COMPUTED_VALUE"""),0.0)</f>
        <v>0</v>
      </c>
      <c r="AO83" s="180">
        <f>IFERROR(__xludf.DUMMYFUNCTION("""COMPUTED_VALUE"""),45877.0)</f>
        <v>45877</v>
      </c>
      <c r="AP83" s="181">
        <f>IFERROR(__xludf.DUMMYFUNCTION("""COMPUTED_VALUE"""),0.0)</f>
        <v>0</v>
      </c>
      <c r="AQ83" s="178">
        <f>IFERROR(__xludf.DUMMYFUNCTION("""COMPUTED_VALUE"""),45666.0)</f>
        <v>45666</v>
      </c>
      <c r="AR83" s="179">
        <f>IFERROR(__xludf.DUMMYFUNCTION("""COMPUTED_VALUE"""),0.0)</f>
        <v>0</v>
      </c>
      <c r="AS83" s="180">
        <f>IFERROR(__xludf.DUMMYFUNCTION("""COMPUTED_VALUE"""),45666.0)</f>
        <v>45666</v>
      </c>
      <c r="AT83" s="179">
        <f>IFERROR(__xludf.DUMMYFUNCTION("""COMPUTED_VALUE"""),0.0)</f>
        <v>0</v>
      </c>
      <c r="AU83" s="180">
        <f>IFERROR(__xludf.DUMMYFUNCTION("""COMPUTED_VALUE"""),45938.0)</f>
        <v>45938</v>
      </c>
      <c r="AV83" s="179">
        <f>IFERROR(__xludf.DUMMYFUNCTION("""COMPUTED_VALUE"""),0.0)</f>
        <v>0</v>
      </c>
      <c r="AW83" s="180">
        <f>IFERROR(__xludf.DUMMYFUNCTION("""COMPUTED_VALUE"""),45938.0)</f>
        <v>45938</v>
      </c>
      <c r="AX83" s="179">
        <f>IFERROR(__xludf.DUMMYFUNCTION("""COMPUTED_VALUE"""),0.0)</f>
        <v>0</v>
      </c>
      <c r="AY83" s="180">
        <f>IFERROR(__xludf.DUMMYFUNCTION("""COMPUTED_VALUE"""),45666.0)</f>
        <v>45666</v>
      </c>
      <c r="AZ83" s="179">
        <f>IFERROR(__xludf.DUMMYFUNCTION("""COMPUTED_VALUE"""),0.0)</f>
        <v>0</v>
      </c>
      <c r="BA83" s="180">
        <f>IFERROR(__xludf.DUMMYFUNCTION("""COMPUTED_VALUE"""),45666.0)</f>
        <v>45666</v>
      </c>
      <c r="BB83" s="179">
        <f>IFERROR(__xludf.DUMMYFUNCTION("""COMPUTED_VALUE"""),0.0)</f>
        <v>0</v>
      </c>
      <c r="BC83" s="180">
        <f>IFERROR(__xludf.DUMMYFUNCTION("""COMPUTED_VALUE"""),45938.0)</f>
        <v>45938</v>
      </c>
      <c r="BD83" s="179">
        <f>IFERROR(__xludf.DUMMYFUNCTION("""COMPUTED_VALUE"""),0.0)</f>
        <v>0</v>
      </c>
      <c r="BE83" s="180">
        <f>IFERROR(__xludf.DUMMYFUNCTION("""COMPUTED_VALUE"""),45666.0)</f>
        <v>45666</v>
      </c>
      <c r="BF83" s="179">
        <f>IFERROR(__xludf.DUMMYFUNCTION("""COMPUTED_VALUE"""),0.0)</f>
        <v>0</v>
      </c>
      <c r="BG83" s="180">
        <f>IFERROR(__xludf.DUMMYFUNCTION("""COMPUTED_VALUE"""),45938.0)</f>
        <v>45938</v>
      </c>
      <c r="BH83" s="179">
        <f>IFERROR(__xludf.DUMMYFUNCTION("""COMPUTED_VALUE"""),0.0)</f>
        <v>0</v>
      </c>
      <c r="BI83" s="180">
        <f>IFERROR(__xludf.DUMMYFUNCTION("""COMPUTED_VALUE"""),45666.0)</f>
        <v>45666</v>
      </c>
      <c r="BJ83" s="179">
        <f>IFERROR(__xludf.DUMMYFUNCTION("""COMPUTED_VALUE"""),0.0)</f>
        <v>0</v>
      </c>
      <c r="BK83" s="182">
        <f>IFERROR(__xludf.DUMMYFUNCTION("""COMPUTED_VALUE"""),45666.0)</f>
        <v>45666</v>
      </c>
      <c r="BL83" s="179">
        <f>IFERROR(__xludf.DUMMYFUNCTION("""COMPUTED_VALUE"""),0.0)</f>
        <v>0</v>
      </c>
      <c r="BM83" s="180">
        <f>IFERROR(__xludf.DUMMYFUNCTION("""COMPUTED_VALUE"""),45666.0)</f>
        <v>45666</v>
      </c>
      <c r="BN83" s="179">
        <f>IFERROR(__xludf.DUMMYFUNCTION("""COMPUTED_VALUE"""),0.0)</f>
        <v>0</v>
      </c>
      <c r="BO83" s="180">
        <f>IFERROR(__xludf.DUMMYFUNCTION("""COMPUTED_VALUE"""),45938.0)</f>
        <v>45938</v>
      </c>
      <c r="BP83" s="179">
        <f>IFERROR(__xludf.DUMMYFUNCTION("""COMPUTED_VALUE"""),0.0)</f>
        <v>0</v>
      </c>
      <c r="BQ83" s="180">
        <f>IFERROR(__xludf.DUMMYFUNCTION("""COMPUTED_VALUE"""),45938.0)</f>
        <v>45938</v>
      </c>
      <c r="BR83" s="179">
        <f>IFERROR(__xludf.DUMMYFUNCTION("""COMPUTED_VALUE"""),0.0)</f>
        <v>0</v>
      </c>
      <c r="BS83" s="180">
        <f>IFERROR(__xludf.DUMMYFUNCTION("""COMPUTED_VALUE"""),45666.0)</f>
        <v>45666</v>
      </c>
      <c r="BT83" s="179">
        <f>IFERROR(__xludf.DUMMYFUNCTION("""COMPUTED_VALUE"""),0.0)</f>
        <v>0</v>
      </c>
      <c r="BU83" s="180">
        <f>IFERROR(__xludf.DUMMYFUNCTION("""COMPUTED_VALUE"""),45666.0)</f>
        <v>45666</v>
      </c>
      <c r="BV83" s="179">
        <f>IFERROR(__xludf.DUMMYFUNCTION("""COMPUTED_VALUE"""),0.0)</f>
        <v>0</v>
      </c>
      <c r="BW83" s="180">
        <f>IFERROR(__xludf.DUMMYFUNCTION("""COMPUTED_VALUE"""),45666.0)</f>
        <v>45666</v>
      </c>
      <c r="BX83" s="179">
        <f>IFERROR(__xludf.DUMMYFUNCTION("""COMPUTED_VALUE"""),0.0)</f>
        <v>0</v>
      </c>
      <c r="BY83" s="180">
        <f>IFERROR(__xludf.DUMMYFUNCTION("""COMPUTED_VALUE"""),45938.0)</f>
        <v>45938</v>
      </c>
      <c r="BZ83" s="179">
        <f>IFERROR(__xludf.DUMMYFUNCTION("""COMPUTED_VALUE"""),0.0)</f>
        <v>0</v>
      </c>
      <c r="CA83" s="180">
        <f>IFERROR(__xludf.DUMMYFUNCTION("""COMPUTED_VALUE"""),45666.0)</f>
        <v>45666</v>
      </c>
      <c r="CB83" s="179">
        <f>IFERROR(__xludf.DUMMYFUNCTION("""COMPUTED_VALUE"""),0.0)</f>
        <v>0</v>
      </c>
      <c r="CC83" s="180">
        <f>IFERROR(__xludf.DUMMYFUNCTION("""COMPUTED_VALUE"""),45666.0)</f>
        <v>45666</v>
      </c>
      <c r="CD83" s="179">
        <f>IFERROR(__xludf.DUMMYFUNCTION("""COMPUTED_VALUE"""),0.0)</f>
        <v>0</v>
      </c>
      <c r="CE83" s="182">
        <f>IFERROR(__xludf.DUMMYFUNCTION("""COMPUTED_VALUE"""),45666.0)</f>
        <v>45666</v>
      </c>
      <c r="CF83" s="179">
        <f>IFERROR(__xludf.DUMMYFUNCTION("""COMPUTED_VALUE"""),0.0)</f>
        <v>0</v>
      </c>
      <c r="CG83" s="180">
        <f>IFERROR(__xludf.DUMMYFUNCTION("""COMPUTED_VALUE"""),45846.0)</f>
        <v>45846</v>
      </c>
      <c r="CH83" s="179">
        <f>IFERROR(__xludf.DUMMYFUNCTION("""COMPUTED_VALUE"""),0.0)</f>
        <v>0</v>
      </c>
      <c r="CI83" s="180">
        <f>IFERROR(__xludf.DUMMYFUNCTION("""COMPUTED_VALUE"""),45846.0)</f>
        <v>45846</v>
      </c>
      <c r="CJ83" s="179">
        <f>IFERROR(__xludf.DUMMYFUNCTION("""COMPUTED_VALUE"""),0.0)</f>
        <v>0</v>
      </c>
      <c r="CK83" s="180">
        <f>IFERROR(__xludf.DUMMYFUNCTION("""COMPUTED_VALUE"""),45877.0)</f>
        <v>45877</v>
      </c>
      <c r="CL83" s="179">
        <f>IFERROR(__xludf.DUMMYFUNCTION("""COMPUTED_VALUE"""),0.0)</f>
        <v>0</v>
      </c>
      <c r="CM83" s="180">
        <f>IFERROR(__xludf.DUMMYFUNCTION("""COMPUTED_VALUE"""),45938.0)</f>
        <v>45938</v>
      </c>
      <c r="CN83" s="179">
        <f>IFERROR(__xludf.DUMMYFUNCTION("""COMPUTED_VALUE"""),0.0)</f>
        <v>0</v>
      </c>
      <c r="CO83" s="180">
        <f>IFERROR(__xludf.DUMMYFUNCTION("""COMPUTED_VALUE"""),45908.0)</f>
        <v>45908</v>
      </c>
      <c r="CP83" s="179">
        <f>IFERROR(__xludf.DUMMYFUNCTION("""COMPUTED_VALUE"""),0.0)</f>
        <v>0</v>
      </c>
      <c r="CQ83" s="180">
        <f>IFERROR(__xludf.DUMMYFUNCTION("""COMPUTED_VALUE"""),45846.0)</f>
        <v>45846</v>
      </c>
      <c r="CR83" s="179">
        <f>IFERROR(__xludf.DUMMYFUNCTION("""COMPUTED_VALUE"""),0.0)</f>
        <v>0</v>
      </c>
      <c r="CS83" s="180">
        <f>IFERROR(__xludf.DUMMYFUNCTION("""COMPUTED_VALUE"""),45938.0)</f>
        <v>45938</v>
      </c>
      <c r="CT83" s="179">
        <f>IFERROR(__xludf.DUMMYFUNCTION("""COMPUTED_VALUE"""),0.0)</f>
        <v>0</v>
      </c>
      <c r="CU83" s="180">
        <f>IFERROR(__xludf.DUMMYFUNCTION("""COMPUTED_VALUE"""),45666.0)</f>
        <v>45666</v>
      </c>
      <c r="CV83" s="179">
        <f>IFERROR(__xludf.DUMMYFUNCTION("""COMPUTED_VALUE"""),0.0)</f>
        <v>0</v>
      </c>
      <c r="CW83" s="180">
        <f>IFERROR(__xludf.DUMMYFUNCTION("""COMPUTED_VALUE"""),45724.0)</f>
        <v>45724</v>
      </c>
      <c r="CX83" s="179">
        <f>IFERROR(__xludf.DUMMYFUNCTION("""COMPUTED_VALUE"""),0.0)</f>
        <v>0</v>
      </c>
      <c r="CY83" s="182">
        <f>IFERROR(__xludf.DUMMYFUNCTION("""COMPUTED_VALUE"""),45666.0)</f>
        <v>45666</v>
      </c>
      <c r="CZ83" s="179">
        <f>IFERROR(__xludf.DUMMYFUNCTION("""COMPUTED_VALUE"""),0.0)</f>
        <v>0</v>
      </c>
      <c r="DA83" s="180">
        <f>IFERROR(__xludf.DUMMYFUNCTION("""COMPUTED_VALUE"""),45666.0)</f>
        <v>45666</v>
      </c>
      <c r="DB83" s="179">
        <f>IFERROR(__xludf.DUMMYFUNCTION("""COMPUTED_VALUE"""),0.0)</f>
        <v>0</v>
      </c>
      <c r="DC83" s="180">
        <f>IFERROR(__xludf.DUMMYFUNCTION("""COMPUTED_VALUE"""),45666.0)</f>
        <v>45666</v>
      </c>
      <c r="DD83" s="179">
        <f>IFERROR(__xludf.DUMMYFUNCTION("""COMPUTED_VALUE"""),0.0)</f>
        <v>0</v>
      </c>
      <c r="DE83" s="180">
        <f>IFERROR(__xludf.DUMMYFUNCTION("""COMPUTED_VALUE"""),45666.0)</f>
        <v>45666</v>
      </c>
      <c r="DF83" s="179">
        <f>IFERROR(__xludf.DUMMYFUNCTION("""COMPUTED_VALUE"""),0.0)</f>
        <v>0</v>
      </c>
      <c r="DG83" s="180">
        <f>IFERROR(__xludf.DUMMYFUNCTION("""COMPUTED_VALUE"""),45666.0)</f>
        <v>45666</v>
      </c>
      <c r="DH83" s="179">
        <f>IFERROR(__xludf.DUMMYFUNCTION("""COMPUTED_VALUE"""),0.0)</f>
        <v>0</v>
      </c>
      <c r="DI83" s="180">
        <f>IFERROR(__xludf.DUMMYFUNCTION("""COMPUTED_VALUE"""),45666.0)</f>
        <v>45666</v>
      </c>
      <c r="DJ83" s="179">
        <f>IFERROR(__xludf.DUMMYFUNCTION("""COMPUTED_VALUE"""),0.0)</f>
        <v>0</v>
      </c>
      <c r="DK83" s="180">
        <f>IFERROR(__xludf.DUMMYFUNCTION("""COMPUTED_VALUE"""),45666.0)</f>
        <v>45666</v>
      </c>
      <c r="DL83" s="179">
        <f>IFERROR(__xludf.DUMMYFUNCTION("""COMPUTED_VALUE"""),0.0)</f>
        <v>0</v>
      </c>
      <c r="DM83" s="180">
        <f>IFERROR(__xludf.DUMMYFUNCTION("""COMPUTED_VALUE"""),45666.0)</f>
        <v>45666</v>
      </c>
      <c r="DN83" s="179">
        <f>IFERROR(__xludf.DUMMYFUNCTION("""COMPUTED_VALUE"""),0.0)</f>
        <v>0</v>
      </c>
      <c r="DO83" s="180">
        <f>IFERROR(__xludf.DUMMYFUNCTION("""COMPUTED_VALUE"""),45666.0)</f>
        <v>45666</v>
      </c>
      <c r="DP83" s="179">
        <f>IFERROR(__xludf.DUMMYFUNCTION("""COMPUTED_VALUE"""),0.0)</f>
        <v>0</v>
      </c>
      <c r="DQ83" s="180">
        <f>IFERROR(__xludf.DUMMYFUNCTION("""COMPUTED_VALUE"""),45666.0)</f>
        <v>45666</v>
      </c>
      <c r="DR83" s="179">
        <f>IFERROR(__xludf.DUMMYFUNCTION("""COMPUTED_VALUE"""),0.0)</f>
        <v>0</v>
      </c>
      <c r="DS83" s="182">
        <f>IFERROR(__xludf.DUMMYFUNCTION("""COMPUTED_VALUE"""),45666.0)</f>
        <v>45666</v>
      </c>
      <c r="DT83" s="179">
        <f>IFERROR(__xludf.DUMMYFUNCTION("""COMPUTED_VALUE"""),0.0)</f>
        <v>0</v>
      </c>
      <c r="DU83" s="180">
        <f>IFERROR(__xludf.DUMMYFUNCTION("""COMPUTED_VALUE"""),45666.0)</f>
        <v>45666</v>
      </c>
      <c r="DV83" s="179">
        <f>IFERROR(__xludf.DUMMYFUNCTION("""COMPUTED_VALUE"""),0.0)</f>
        <v>0</v>
      </c>
      <c r="DW83" s="180">
        <f>IFERROR(__xludf.DUMMYFUNCTION("""COMPUTED_VALUE"""),45666.0)</f>
        <v>45666</v>
      </c>
      <c r="DX83" s="179">
        <f>IFERROR(__xludf.DUMMYFUNCTION("""COMPUTED_VALUE"""),0.0)</f>
        <v>0</v>
      </c>
      <c r="DY83" s="180">
        <f>IFERROR(__xludf.DUMMYFUNCTION("""COMPUTED_VALUE"""),45666.0)</f>
        <v>45666</v>
      </c>
      <c r="DZ83" s="179">
        <f>IFERROR(__xludf.DUMMYFUNCTION("""COMPUTED_VALUE"""),0.0)</f>
        <v>0</v>
      </c>
      <c r="EA83" s="180">
        <f>IFERROR(__xludf.DUMMYFUNCTION("""COMPUTED_VALUE"""),45666.0)</f>
        <v>45666</v>
      </c>
      <c r="EB83" s="179">
        <f>IFERROR(__xludf.DUMMYFUNCTION("""COMPUTED_VALUE"""),0.0)</f>
        <v>0</v>
      </c>
      <c r="EC83" s="180">
        <f>IFERROR(__xludf.DUMMYFUNCTION("""COMPUTED_VALUE"""),45666.0)</f>
        <v>45666</v>
      </c>
      <c r="ED83" s="179">
        <f>IFERROR(__xludf.DUMMYFUNCTION("""COMPUTED_VALUE"""),0.0)</f>
        <v>0</v>
      </c>
      <c r="EE83" s="180">
        <f>IFERROR(__xludf.DUMMYFUNCTION("""COMPUTED_VALUE"""),45666.0)</f>
        <v>45666</v>
      </c>
      <c r="EF83" s="179">
        <f>IFERROR(__xludf.DUMMYFUNCTION("""COMPUTED_VALUE"""),0.0)</f>
        <v>0</v>
      </c>
      <c r="EG83" s="180">
        <f>IFERROR(__xludf.DUMMYFUNCTION("""COMPUTED_VALUE"""),45666.0)</f>
        <v>45666</v>
      </c>
      <c r="EH83" s="179">
        <f>IFERROR(__xludf.DUMMYFUNCTION("""COMPUTED_VALUE"""),0.0)</f>
        <v>0</v>
      </c>
      <c r="EI83" s="180">
        <f>IFERROR(__xludf.DUMMYFUNCTION("""COMPUTED_VALUE"""),45666.0)</f>
        <v>45666</v>
      </c>
      <c r="EJ83" s="179">
        <f>IFERROR(__xludf.DUMMYFUNCTION("""COMPUTED_VALUE"""),0.0)</f>
        <v>0</v>
      </c>
      <c r="EK83" s="180">
        <f>IFERROR(__xludf.DUMMYFUNCTION("""COMPUTED_VALUE"""),45666.0)</f>
        <v>45666</v>
      </c>
      <c r="EL83" s="179">
        <f>IFERROR(__xludf.DUMMYFUNCTION("""COMPUTED_VALUE"""),0.0)</f>
        <v>0</v>
      </c>
      <c r="EM83" s="182">
        <f>IFERROR(__xludf.DUMMYFUNCTION("""COMPUTED_VALUE"""),45666.0)</f>
        <v>45666</v>
      </c>
      <c r="EN83" s="179">
        <f>IFERROR(__xludf.DUMMYFUNCTION("""COMPUTED_VALUE"""),0.0)</f>
        <v>0</v>
      </c>
      <c r="EO83" s="180">
        <f>IFERROR(__xludf.DUMMYFUNCTION("""COMPUTED_VALUE"""),45666.0)</f>
        <v>45666</v>
      </c>
      <c r="EP83" s="179">
        <f>IFERROR(__xludf.DUMMYFUNCTION("""COMPUTED_VALUE"""),0.0)</f>
        <v>0</v>
      </c>
      <c r="EQ83" s="180">
        <f>IFERROR(__xludf.DUMMYFUNCTION("""COMPUTED_VALUE"""),45724.0)</f>
        <v>45724</v>
      </c>
      <c r="ER83" s="179">
        <f>IFERROR(__xludf.DUMMYFUNCTION("""COMPUTED_VALUE"""),0.0)</f>
        <v>0</v>
      </c>
      <c r="ES83" s="180">
        <f>IFERROR(__xludf.DUMMYFUNCTION("""COMPUTED_VALUE"""),45666.0)</f>
        <v>45666</v>
      </c>
      <c r="ET83" s="179">
        <f>IFERROR(__xludf.DUMMYFUNCTION("""COMPUTED_VALUE"""),0.0)</f>
        <v>0</v>
      </c>
      <c r="EU83" s="180">
        <f>IFERROR(__xludf.DUMMYFUNCTION("""COMPUTED_VALUE"""),45785.0)</f>
        <v>45785</v>
      </c>
      <c r="EV83" s="179">
        <f>IFERROR(__xludf.DUMMYFUNCTION("""COMPUTED_VALUE"""),0.0)</f>
        <v>0</v>
      </c>
      <c r="EW83" s="180">
        <f>IFERROR(__xludf.DUMMYFUNCTION("""COMPUTED_VALUE"""),45666.0)</f>
        <v>45666</v>
      </c>
      <c r="EX83" s="179">
        <f>IFERROR(__xludf.DUMMYFUNCTION("""COMPUTED_VALUE"""),0.0)</f>
        <v>0</v>
      </c>
      <c r="EY83" s="180">
        <f>IFERROR(__xludf.DUMMYFUNCTION("""COMPUTED_VALUE"""),45666.0)</f>
        <v>45666</v>
      </c>
      <c r="EZ83" s="179">
        <f>IFERROR(__xludf.DUMMYFUNCTION("""COMPUTED_VALUE"""),0.0)</f>
        <v>0</v>
      </c>
      <c r="FA83" s="180">
        <f>IFERROR(__xludf.DUMMYFUNCTION("""COMPUTED_VALUE"""),45877.0)</f>
        <v>45877</v>
      </c>
      <c r="FB83" s="179">
        <f>IFERROR(__xludf.DUMMYFUNCTION("""COMPUTED_VALUE"""),0.0)</f>
        <v>0</v>
      </c>
      <c r="FC83" s="180">
        <f>IFERROR(__xludf.DUMMYFUNCTION("""COMPUTED_VALUE"""),45666.0)</f>
        <v>45666</v>
      </c>
      <c r="FD83" s="179">
        <f>IFERROR(__xludf.DUMMYFUNCTION("""COMPUTED_VALUE"""),0.0)</f>
        <v>0</v>
      </c>
      <c r="FE83" s="180">
        <f>IFERROR(__xludf.DUMMYFUNCTION("""COMPUTED_VALUE"""),45666.0)</f>
        <v>45666</v>
      </c>
      <c r="FF83" s="179">
        <f>IFERROR(__xludf.DUMMYFUNCTION("""COMPUTED_VALUE"""),0.0)</f>
        <v>0</v>
      </c>
      <c r="FG83" s="182">
        <f>IFERROR(__xludf.DUMMYFUNCTION("""COMPUTED_VALUE"""),45696.0)</f>
        <v>45696</v>
      </c>
      <c r="FH83" s="179">
        <f>IFERROR(__xludf.DUMMYFUNCTION("""COMPUTED_VALUE"""),0.0)</f>
        <v>0</v>
      </c>
      <c r="FI83" s="180">
        <f>IFERROR(__xludf.DUMMYFUNCTION("""COMPUTED_VALUE"""),45665.0)</f>
        <v>45665</v>
      </c>
      <c r="FJ83" s="179">
        <f>IFERROR(__xludf.DUMMYFUNCTION("""COMPUTED_VALUE"""),0.0)</f>
        <v>0</v>
      </c>
      <c r="FK83" s="180">
        <f>IFERROR(__xludf.DUMMYFUNCTION("""COMPUTED_VALUE"""),45815.0)</f>
        <v>45815</v>
      </c>
      <c r="FL83" s="179">
        <f>IFERROR(__xludf.DUMMYFUNCTION("""COMPUTED_VALUE"""),0.0)</f>
        <v>0</v>
      </c>
      <c r="FM83" s="180">
        <f>IFERROR(__xludf.DUMMYFUNCTION("""COMPUTED_VALUE"""),45696.0)</f>
        <v>45696</v>
      </c>
      <c r="FN83" s="179">
        <f>IFERROR(__xludf.DUMMYFUNCTION("""COMPUTED_VALUE"""),0.0)</f>
        <v>0</v>
      </c>
      <c r="FO83" s="180">
        <f>IFERROR(__xludf.DUMMYFUNCTION("""COMPUTED_VALUE"""),45696.0)</f>
        <v>45696</v>
      </c>
      <c r="FP83" s="179">
        <f>IFERROR(__xludf.DUMMYFUNCTION("""COMPUTED_VALUE"""),0.0)</f>
        <v>0</v>
      </c>
      <c r="FQ83" s="180">
        <f>IFERROR(__xludf.DUMMYFUNCTION("""COMPUTED_VALUE"""),45696.0)</f>
        <v>45696</v>
      </c>
      <c r="FR83" s="179">
        <f>IFERROR(__xludf.DUMMYFUNCTION("""COMPUTED_VALUE"""),0.0)</f>
        <v>0</v>
      </c>
      <c r="FS83" s="180">
        <f>IFERROR(__xludf.DUMMYFUNCTION("""COMPUTED_VALUE"""),45665.0)</f>
        <v>45665</v>
      </c>
      <c r="FT83" s="179">
        <f>IFERROR(__xludf.DUMMYFUNCTION("""COMPUTED_VALUE"""),0.0)</f>
        <v>0</v>
      </c>
      <c r="FU83" s="180">
        <f>IFERROR(__xludf.DUMMYFUNCTION("""COMPUTED_VALUE"""),45696.0)</f>
        <v>45696</v>
      </c>
      <c r="FV83" s="179">
        <f>IFERROR(__xludf.DUMMYFUNCTION("""COMPUTED_VALUE"""),0.0)</f>
        <v>0</v>
      </c>
      <c r="FW83" s="180">
        <f>IFERROR(__xludf.DUMMYFUNCTION("""COMPUTED_VALUE"""),45696.0)</f>
        <v>45696</v>
      </c>
      <c r="FX83" s="179">
        <f>IFERROR(__xludf.DUMMYFUNCTION("""COMPUTED_VALUE"""),0.0)</f>
        <v>0</v>
      </c>
      <c r="FY83" s="180">
        <f>IFERROR(__xludf.DUMMYFUNCTION("""COMPUTED_VALUE"""),45907.0)</f>
        <v>45907</v>
      </c>
      <c r="FZ83" s="179">
        <f>IFERROR(__xludf.DUMMYFUNCTION("""COMPUTED_VALUE"""),0.0)</f>
        <v>0</v>
      </c>
      <c r="GA83" s="182">
        <f>IFERROR(__xludf.DUMMYFUNCTION("""COMPUTED_VALUE"""),45696.0)</f>
        <v>45696</v>
      </c>
      <c r="GB83" s="179">
        <f>IFERROR(__xludf.DUMMYFUNCTION("""COMPUTED_VALUE"""),0.0)</f>
        <v>0</v>
      </c>
      <c r="GC83" s="180">
        <f>IFERROR(__xludf.DUMMYFUNCTION("""COMPUTED_VALUE"""),45665.0)</f>
        <v>45665</v>
      </c>
      <c r="GD83" s="179">
        <f>IFERROR(__xludf.DUMMYFUNCTION("""COMPUTED_VALUE"""),0.0)</f>
        <v>0</v>
      </c>
      <c r="GE83" s="180">
        <f>IFERROR(__xludf.DUMMYFUNCTION("""COMPUTED_VALUE"""),45665.0)</f>
        <v>45665</v>
      </c>
      <c r="GF83" s="179">
        <f>IFERROR(__xludf.DUMMYFUNCTION("""COMPUTED_VALUE"""),0.0)</f>
        <v>0</v>
      </c>
      <c r="GG83" s="180">
        <f>IFERROR(__xludf.DUMMYFUNCTION("""COMPUTED_VALUE"""),45665.0)</f>
        <v>45665</v>
      </c>
      <c r="GH83" s="179">
        <f>IFERROR(__xludf.DUMMYFUNCTION("""COMPUTED_VALUE"""),0.0)</f>
        <v>0</v>
      </c>
      <c r="GI83" s="180">
        <f>IFERROR(__xludf.DUMMYFUNCTION("""COMPUTED_VALUE"""),45696.0)</f>
        <v>45696</v>
      </c>
      <c r="GJ83" s="179">
        <f>IFERROR(__xludf.DUMMYFUNCTION("""COMPUTED_VALUE"""),0.0)</f>
        <v>0</v>
      </c>
      <c r="GK83" s="180">
        <f>IFERROR(__xludf.DUMMYFUNCTION("""COMPUTED_VALUE"""),45696.0)</f>
        <v>45696</v>
      </c>
      <c r="GL83" s="179">
        <f>IFERROR(__xludf.DUMMYFUNCTION("""COMPUTED_VALUE"""),0.0)</f>
        <v>0</v>
      </c>
      <c r="GM83" s="180">
        <f>IFERROR(__xludf.DUMMYFUNCTION("""COMPUTED_VALUE"""),45907.0)</f>
        <v>45907</v>
      </c>
      <c r="GN83" s="179">
        <f>IFERROR(__xludf.DUMMYFUNCTION("""COMPUTED_VALUE"""),0.0)</f>
        <v>0</v>
      </c>
      <c r="GO83" s="180">
        <f>IFERROR(__xludf.DUMMYFUNCTION("""COMPUTED_VALUE"""),45696.0)</f>
        <v>45696</v>
      </c>
      <c r="GP83" s="179">
        <f>IFERROR(__xludf.DUMMYFUNCTION("""COMPUTED_VALUE"""),0.0)</f>
        <v>0</v>
      </c>
      <c r="GQ83" s="180">
        <f>IFERROR(__xludf.DUMMYFUNCTION("""COMPUTED_VALUE"""),45696.0)</f>
        <v>45696</v>
      </c>
      <c r="GR83" s="179">
        <f>IFERROR(__xludf.DUMMYFUNCTION("""COMPUTED_VALUE"""),0.0)</f>
        <v>0</v>
      </c>
      <c r="GS83" s="180">
        <f>IFERROR(__xludf.DUMMYFUNCTION("""COMPUTED_VALUE"""),45937.0)</f>
        <v>45937</v>
      </c>
      <c r="GT83" s="179">
        <f>IFERROR(__xludf.DUMMYFUNCTION("""COMPUTED_VALUE"""),0.0)</f>
        <v>0</v>
      </c>
    </row>
    <row r="84" ht="31.5" customHeight="1">
      <c r="B84" s="183"/>
      <c r="C84" s="178">
        <f>IFERROR(__xludf.DUMMYFUNCTION("""COMPUTED_VALUE"""),45697.0)</f>
        <v>45697</v>
      </c>
      <c r="D84" s="179">
        <f>IFERROR(__xludf.DUMMYFUNCTION("""COMPUTED_VALUE"""),0.0)</f>
        <v>0</v>
      </c>
      <c r="E84" s="180">
        <f>IFERROR(__xludf.DUMMYFUNCTION("""COMPUTED_VALUE"""),45697.0)</f>
        <v>45697</v>
      </c>
      <c r="F84" s="179">
        <f>IFERROR(__xludf.DUMMYFUNCTION("""COMPUTED_VALUE"""),0.0)</f>
        <v>0</v>
      </c>
      <c r="G84" s="180">
        <f>IFERROR(__xludf.DUMMYFUNCTION("""COMPUTED_VALUE"""),45697.0)</f>
        <v>45697</v>
      </c>
      <c r="H84" s="179">
        <f>IFERROR(__xludf.DUMMYFUNCTION("""COMPUTED_VALUE"""),0.0)</f>
        <v>0</v>
      </c>
      <c r="I84" s="180">
        <f>IFERROR(__xludf.DUMMYFUNCTION("""COMPUTED_VALUE"""),45697.0)</f>
        <v>45697</v>
      </c>
      <c r="J84" s="179">
        <f>IFERROR(__xludf.DUMMYFUNCTION("""COMPUTED_VALUE"""),0.0)</f>
        <v>0</v>
      </c>
      <c r="K84" s="180">
        <f>IFERROR(__xludf.DUMMYFUNCTION("""COMPUTED_VALUE"""),45697.0)</f>
        <v>45697</v>
      </c>
      <c r="L84" s="179">
        <f>IFERROR(__xludf.DUMMYFUNCTION("""COMPUTED_VALUE"""),0.0)</f>
        <v>0</v>
      </c>
      <c r="M84" s="180">
        <f>IFERROR(__xludf.DUMMYFUNCTION("""COMPUTED_VALUE"""),45697.0)</f>
        <v>45697</v>
      </c>
      <c r="N84" s="179">
        <f>IFERROR(__xludf.DUMMYFUNCTION("""COMPUTED_VALUE"""),0.0)</f>
        <v>0</v>
      </c>
      <c r="O84" s="180">
        <f>IFERROR(__xludf.DUMMYFUNCTION("""COMPUTED_VALUE"""),45697.0)</f>
        <v>45697</v>
      </c>
      <c r="P84" s="179">
        <f>IFERROR(__xludf.DUMMYFUNCTION("""COMPUTED_VALUE"""),0.0)</f>
        <v>0</v>
      </c>
      <c r="Q84" s="180">
        <f>IFERROR(__xludf.DUMMYFUNCTION("""COMPUTED_VALUE"""),45697.0)</f>
        <v>45697</v>
      </c>
      <c r="R84" s="179">
        <f>IFERROR(__xludf.DUMMYFUNCTION("""COMPUTED_VALUE"""),0.0)</f>
        <v>0</v>
      </c>
      <c r="S84" s="180">
        <f>IFERROR(__xludf.DUMMYFUNCTION("""COMPUTED_VALUE"""),45697.0)</f>
        <v>45697</v>
      </c>
      <c r="T84" s="179">
        <f>IFERROR(__xludf.DUMMYFUNCTION("""COMPUTED_VALUE"""),0.0)</f>
        <v>0</v>
      </c>
      <c r="U84" s="180">
        <f>IFERROR(__xludf.DUMMYFUNCTION("""COMPUTED_VALUE"""),45697.0)</f>
        <v>45697</v>
      </c>
      <c r="V84" s="181">
        <f>IFERROR(__xludf.DUMMYFUNCTION("""COMPUTED_VALUE"""),0.0)</f>
        <v>0</v>
      </c>
      <c r="W84" s="178">
        <f>IFERROR(__xludf.DUMMYFUNCTION("""COMPUTED_VALUE"""),45697.0)</f>
        <v>45697</v>
      </c>
      <c r="X84" s="179">
        <f>IFERROR(__xludf.DUMMYFUNCTION("""COMPUTED_VALUE"""),0.0)</f>
        <v>0</v>
      </c>
      <c r="Y84" s="180">
        <f>IFERROR(__xludf.DUMMYFUNCTION("""COMPUTED_VALUE"""),45877.0)</f>
        <v>45877</v>
      </c>
      <c r="Z84" s="179">
        <f>IFERROR(__xludf.DUMMYFUNCTION("""COMPUTED_VALUE"""),0.0)</f>
        <v>0</v>
      </c>
      <c r="AA84" s="180">
        <f>IFERROR(__xludf.DUMMYFUNCTION("""COMPUTED_VALUE"""),45697.0)</f>
        <v>45697</v>
      </c>
      <c r="AB84" s="179">
        <f>IFERROR(__xludf.DUMMYFUNCTION("""COMPUTED_VALUE"""),0.0)</f>
        <v>0</v>
      </c>
      <c r="AC84" s="180">
        <f>IFERROR(__xludf.DUMMYFUNCTION("""COMPUTED_VALUE"""),45785.0)</f>
        <v>45785</v>
      </c>
      <c r="AD84" s="179">
        <f>IFERROR(__xludf.DUMMYFUNCTION("""COMPUTED_VALUE"""),0.0)</f>
        <v>0</v>
      </c>
      <c r="AE84" s="180">
        <f>IFERROR(__xludf.DUMMYFUNCTION("""COMPUTED_VALUE"""),45877.0)</f>
        <v>45877</v>
      </c>
      <c r="AF84" s="179">
        <f>IFERROR(__xludf.DUMMYFUNCTION("""COMPUTED_VALUE"""),0.0)</f>
        <v>0</v>
      </c>
      <c r="AG84" s="180">
        <f>IFERROR(__xludf.DUMMYFUNCTION("""COMPUTED_VALUE"""),45697.0)</f>
        <v>45697</v>
      </c>
      <c r="AH84" s="179">
        <f>IFERROR(__xludf.DUMMYFUNCTION("""COMPUTED_VALUE"""),0.0)</f>
        <v>0</v>
      </c>
      <c r="AI84" s="180">
        <f>IFERROR(__xludf.DUMMYFUNCTION("""COMPUTED_VALUE"""),45846.0)</f>
        <v>45846</v>
      </c>
      <c r="AJ84" s="179">
        <f>IFERROR(__xludf.DUMMYFUNCTION("""COMPUTED_VALUE"""),0.0)</f>
        <v>0</v>
      </c>
      <c r="AK84" s="180">
        <f>IFERROR(__xludf.DUMMYFUNCTION("""COMPUTED_VALUE"""),45908.0)</f>
        <v>45908</v>
      </c>
      <c r="AL84" s="179">
        <f>IFERROR(__xludf.DUMMYFUNCTION("""COMPUTED_VALUE"""),0.0)</f>
        <v>0</v>
      </c>
      <c r="AM84" s="180">
        <f>IFERROR(__xludf.DUMMYFUNCTION("""COMPUTED_VALUE"""),45697.0)</f>
        <v>45697</v>
      </c>
      <c r="AN84" s="179">
        <f>IFERROR(__xludf.DUMMYFUNCTION("""COMPUTED_VALUE"""),0.0)</f>
        <v>0</v>
      </c>
      <c r="AO84" s="180">
        <f>IFERROR(__xludf.DUMMYFUNCTION("""COMPUTED_VALUE"""),45908.0)</f>
        <v>45908</v>
      </c>
      <c r="AP84" s="181">
        <f>IFERROR(__xludf.DUMMYFUNCTION("""COMPUTED_VALUE"""),0.0)</f>
        <v>0</v>
      </c>
      <c r="AQ84" s="178">
        <f>IFERROR(__xludf.DUMMYFUNCTION("""COMPUTED_VALUE"""),45697.0)</f>
        <v>45697</v>
      </c>
      <c r="AR84" s="179">
        <f>IFERROR(__xludf.DUMMYFUNCTION("""COMPUTED_VALUE"""),0.0)</f>
        <v>0</v>
      </c>
      <c r="AS84" s="180">
        <f>IFERROR(__xludf.DUMMYFUNCTION("""COMPUTED_VALUE"""),45697.0)</f>
        <v>45697</v>
      </c>
      <c r="AT84" s="179">
        <f>IFERROR(__xludf.DUMMYFUNCTION("""COMPUTED_VALUE"""),0.0)</f>
        <v>0</v>
      </c>
      <c r="AU84" s="180">
        <f>IFERROR(__xludf.DUMMYFUNCTION("""COMPUTED_VALUE"""),45666.0)</f>
        <v>45666</v>
      </c>
      <c r="AV84" s="179">
        <f>IFERROR(__xludf.DUMMYFUNCTION("""COMPUTED_VALUE"""),0.0)</f>
        <v>0</v>
      </c>
      <c r="AW84" s="180">
        <f>IFERROR(__xludf.DUMMYFUNCTION("""COMPUTED_VALUE"""),45666.0)</f>
        <v>45666</v>
      </c>
      <c r="AX84" s="179">
        <f>IFERROR(__xludf.DUMMYFUNCTION("""COMPUTED_VALUE"""),0.0)</f>
        <v>0</v>
      </c>
      <c r="AY84" s="180">
        <f>IFERROR(__xludf.DUMMYFUNCTION("""COMPUTED_VALUE"""),45697.0)</f>
        <v>45697</v>
      </c>
      <c r="AZ84" s="179">
        <f>IFERROR(__xludf.DUMMYFUNCTION("""COMPUTED_VALUE"""),0.0)</f>
        <v>0</v>
      </c>
      <c r="BA84" s="180">
        <f>IFERROR(__xludf.DUMMYFUNCTION("""COMPUTED_VALUE"""),45697.0)</f>
        <v>45697</v>
      </c>
      <c r="BB84" s="179">
        <f>IFERROR(__xludf.DUMMYFUNCTION("""COMPUTED_VALUE"""),0.0)</f>
        <v>0</v>
      </c>
      <c r="BC84" s="180">
        <f>IFERROR(__xludf.DUMMYFUNCTION("""COMPUTED_VALUE"""),45666.0)</f>
        <v>45666</v>
      </c>
      <c r="BD84" s="179">
        <f>IFERROR(__xludf.DUMMYFUNCTION("""COMPUTED_VALUE"""),0.0)</f>
        <v>0</v>
      </c>
      <c r="BE84" s="180">
        <f>IFERROR(__xludf.DUMMYFUNCTION("""COMPUTED_VALUE"""),45697.0)</f>
        <v>45697</v>
      </c>
      <c r="BF84" s="179">
        <f>IFERROR(__xludf.DUMMYFUNCTION("""COMPUTED_VALUE"""),0.0)</f>
        <v>0</v>
      </c>
      <c r="BG84" s="180">
        <f>IFERROR(__xludf.DUMMYFUNCTION("""COMPUTED_VALUE"""),45666.0)</f>
        <v>45666</v>
      </c>
      <c r="BH84" s="179">
        <f>IFERROR(__xludf.DUMMYFUNCTION("""COMPUTED_VALUE"""),0.0)</f>
        <v>0</v>
      </c>
      <c r="BI84" s="180">
        <f>IFERROR(__xludf.DUMMYFUNCTION("""COMPUTED_VALUE"""),45697.0)</f>
        <v>45697</v>
      </c>
      <c r="BJ84" s="179">
        <f>IFERROR(__xludf.DUMMYFUNCTION("""COMPUTED_VALUE"""),0.0)</f>
        <v>0</v>
      </c>
      <c r="BK84" s="182">
        <f>IFERROR(__xludf.DUMMYFUNCTION("""COMPUTED_VALUE"""),45697.0)</f>
        <v>45697</v>
      </c>
      <c r="BL84" s="179">
        <f>IFERROR(__xludf.DUMMYFUNCTION("""COMPUTED_VALUE"""),0.0)</f>
        <v>0</v>
      </c>
      <c r="BM84" s="180">
        <f>IFERROR(__xludf.DUMMYFUNCTION("""COMPUTED_VALUE"""),45697.0)</f>
        <v>45697</v>
      </c>
      <c r="BN84" s="179">
        <f>IFERROR(__xludf.DUMMYFUNCTION("""COMPUTED_VALUE"""),0.0)</f>
        <v>0</v>
      </c>
      <c r="BO84" s="180">
        <f>IFERROR(__xludf.DUMMYFUNCTION("""COMPUTED_VALUE"""),45666.0)</f>
        <v>45666</v>
      </c>
      <c r="BP84" s="179">
        <f>IFERROR(__xludf.DUMMYFUNCTION("""COMPUTED_VALUE"""),0.0)</f>
        <v>0</v>
      </c>
      <c r="BQ84" s="180">
        <f>IFERROR(__xludf.DUMMYFUNCTION("""COMPUTED_VALUE"""),45666.0)</f>
        <v>45666</v>
      </c>
      <c r="BR84" s="179">
        <f>IFERROR(__xludf.DUMMYFUNCTION("""COMPUTED_VALUE"""),0.0)</f>
        <v>0</v>
      </c>
      <c r="BS84" s="180">
        <f>IFERROR(__xludf.DUMMYFUNCTION("""COMPUTED_VALUE"""),45697.0)</f>
        <v>45697</v>
      </c>
      <c r="BT84" s="179">
        <f>IFERROR(__xludf.DUMMYFUNCTION("""COMPUTED_VALUE"""),0.0)</f>
        <v>0</v>
      </c>
      <c r="BU84" s="180">
        <f>IFERROR(__xludf.DUMMYFUNCTION("""COMPUTED_VALUE"""),45697.0)</f>
        <v>45697</v>
      </c>
      <c r="BV84" s="179">
        <f>IFERROR(__xludf.DUMMYFUNCTION("""COMPUTED_VALUE"""),0.0)</f>
        <v>0</v>
      </c>
      <c r="BW84" s="180">
        <f>IFERROR(__xludf.DUMMYFUNCTION("""COMPUTED_VALUE"""),45697.0)</f>
        <v>45697</v>
      </c>
      <c r="BX84" s="179">
        <f>IFERROR(__xludf.DUMMYFUNCTION("""COMPUTED_VALUE"""),0.0)</f>
        <v>0</v>
      </c>
      <c r="BY84" s="180">
        <f>IFERROR(__xludf.DUMMYFUNCTION("""COMPUTED_VALUE"""),45666.0)</f>
        <v>45666</v>
      </c>
      <c r="BZ84" s="179">
        <f>IFERROR(__xludf.DUMMYFUNCTION("""COMPUTED_VALUE"""),0.0)</f>
        <v>0</v>
      </c>
      <c r="CA84" s="180">
        <f>IFERROR(__xludf.DUMMYFUNCTION("""COMPUTED_VALUE"""),45697.0)</f>
        <v>45697</v>
      </c>
      <c r="CB84" s="179">
        <f>IFERROR(__xludf.DUMMYFUNCTION("""COMPUTED_VALUE"""),0.0)</f>
        <v>0</v>
      </c>
      <c r="CC84" s="180">
        <f>IFERROR(__xludf.DUMMYFUNCTION("""COMPUTED_VALUE"""),45697.0)</f>
        <v>45697</v>
      </c>
      <c r="CD84" s="179">
        <f>IFERROR(__xludf.DUMMYFUNCTION("""COMPUTED_VALUE"""),0.0)</f>
        <v>0</v>
      </c>
      <c r="CE84" s="182">
        <f>IFERROR(__xludf.DUMMYFUNCTION("""COMPUTED_VALUE"""),45697.0)</f>
        <v>45697</v>
      </c>
      <c r="CF84" s="179">
        <f>IFERROR(__xludf.DUMMYFUNCTION("""COMPUTED_VALUE"""),0.0)</f>
        <v>0</v>
      </c>
      <c r="CG84" s="180">
        <f>IFERROR(__xludf.DUMMYFUNCTION("""COMPUTED_VALUE"""),45877.0)</f>
        <v>45877</v>
      </c>
      <c r="CH84" s="179">
        <f>IFERROR(__xludf.DUMMYFUNCTION("""COMPUTED_VALUE"""),0.0)</f>
        <v>0</v>
      </c>
      <c r="CI84" s="180">
        <f>IFERROR(__xludf.DUMMYFUNCTION("""COMPUTED_VALUE"""),45877.0)</f>
        <v>45877</v>
      </c>
      <c r="CJ84" s="179">
        <f>IFERROR(__xludf.DUMMYFUNCTION("""COMPUTED_VALUE"""),0.0)</f>
        <v>0</v>
      </c>
      <c r="CK84" s="180">
        <f>IFERROR(__xludf.DUMMYFUNCTION("""COMPUTED_VALUE"""),45908.0)</f>
        <v>45908</v>
      </c>
      <c r="CL84" s="179">
        <f>IFERROR(__xludf.DUMMYFUNCTION("""COMPUTED_VALUE"""),0.0)</f>
        <v>0</v>
      </c>
      <c r="CM84" s="180">
        <f>IFERROR(__xludf.DUMMYFUNCTION("""COMPUTED_VALUE"""),45697.0)</f>
        <v>45697</v>
      </c>
      <c r="CN84" s="179">
        <f>IFERROR(__xludf.DUMMYFUNCTION("""COMPUTED_VALUE"""),0.0)</f>
        <v>0</v>
      </c>
      <c r="CO84" s="180">
        <f>IFERROR(__xludf.DUMMYFUNCTION("""COMPUTED_VALUE"""),45938.0)</f>
        <v>45938</v>
      </c>
      <c r="CP84" s="179">
        <f>IFERROR(__xludf.DUMMYFUNCTION("""COMPUTED_VALUE"""),0.0)</f>
        <v>0</v>
      </c>
      <c r="CQ84" s="180">
        <f>IFERROR(__xludf.DUMMYFUNCTION("""COMPUTED_VALUE"""),45877.0)</f>
        <v>45877</v>
      </c>
      <c r="CR84" s="179">
        <f>IFERROR(__xludf.DUMMYFUNCTION("""COMPUTED_VALUE"""),0.0)</f>
        <v>0</v>
      </c>
      <c r="CS84" s="180">
        <f>IFERROR(__xludf.DUMMYFUNCTION("""COMPUTED_VALUE"""),45666.0)</f>
        <v>45666</v>
      </c>
      <c r="CT84" s="179">
        <f>IFERROR(__xludf.DUMMYFUNCTION("""COMPUTED_VALUE"""),0.0)</f>
        <v>0</v>
      </c>
      <c r="CU84" s="180">
        <f>IFERROR(__xludf.DUMMYFUNCTION("""COMPUTED_VALUE"""),45697.0)</f>
        <v>45697</v>
      </c>
      <c r="CV84" s="179">
        <f>IFERROR(__xludf.DUMMYFUNCTION("""COMPUTED_VALUE"""),0.0)</f>
        <v>0</v>
      </c>
      <c r="CW84" s="180">
        <f>IFERROR(__xludf.DUMMYFUNCTION("""COMPUTED_VALUE"""),45755.0)</f>
        <v>45755</v>
      </c>
      <c r="CX84" s="179">
        <f>IFERROR(__xludf.DUMMYFUNCTION("""COMPUTED_VALUE"""),0.0)</f>
        <v>0</v>
      </c>
      <c r="CY84" s="182">
        <f>IFERROR(__xludf.DUMMYFUNCTION("""COMPUTED_VALUE"""),45697.0)</f>
        <v>45697</v>
      </c>
      <c r="CZ84" s="179">
        <f>IFERROR(__xludf.DUMMYFUNCTION("""COMPUTED_VALUE"""),0.0)</f>
        <v>0</v>
      </c>
      <c r="DA84" s="180">
        <f>IFERROR(__xludf.DUMMYFUNCTION("""COMPUTED_VALUE"""),45697.0)</f>
        <v>45697</v>
      </c>
      <c r="DB84" s="179">
        <f>IFERROR(__xludf.DUMMYFUNCTION("""COMPUTED_VALUE"""),0.0)</f>
        <v>0</v>
      </c>
      <c r="DC84" s="180">
        <f>IFERROR(__xludf.DUMMYFUNCTION("""COMPUTED_VALUE"""),45697.0)</f>
        <v>45697</v>
      </c>
      <c r="DD84" s="179">
        <f>IFERROR(__xludf.DUMMYFUNCTION("""COMPUTED_VALUE"""),0.0)</f>
        <v>0</v>
      </c>
      <c r="DE84" s="180">
        <f>IFERROR(__xludf.DUMMYFUNCTION("""COMPUTED_VALUE"""),45697.0)</f>
        <v>45697</v>
      </c>
      <c r="DF84" s="179">
        <f>IFERROR(__xludf.DUMMYFUNCTION("""COMPUTED_VALUE"""),0.0)</f>
        <v>0</v>
      </c>
      <c r="DG84" s="180">
        <f>IFERROR(__xludf.DUMMYFUNCTION("""COMPUTED_VALUE"""),45697.0)</f>
        <v>45697</v>
      </c>
      <c r="DH84" s="179">
        <f>IFERROR(__xludf.DUMMYFUNCTION("""COMPUTED_VALUE"""),0.0)</f>
        <v>0</v>
      </c>
      <c r="DI84" s="180">
        <f>IFERROR(__xludf.DUMMYFUNCTION("""COMPUTED_VALUE"""),45697.0)</f>
        <v>45697</v>
      </c>
      <c r="DJ84" s="179">
        <f>IFERROR(__xludf.DUMMYFUNCTION("""COMPUTED_VALUE"""),0.0)</f>
        <v>0</v>
      </c>
      <c r="DK84" s="180">
        <f>IFERROR(__xludf.DUMMYFUNCTION("""COMPUTED_VALUE"""),45697.0)</f>
        <v>45697</v>
      </c>
      <c r="DL84" s="179">
        <f>IFERROR(__xludf.DUMMYFUNCTION("""COMPUTED_VALUE"""),0.0)</f>
        <v>0</v>
      </c>
      <c r="DM84" s="180">
        <f>IFERROR(__xludf.DUMMYFUNCTION("""COMPUTED_VALUE"""),45697.0)</f>
        <v>45697</v>
      </c>
      <c r="DN84" s="179">
        <f>IFERROR(__xludf.DUMMYFUNCTION("""COMPUTED_VALUE"""),0.0)</f>
        <v>0</v>
      </c>
      <c r="DO84" s="180">
        <f>IFERROR(__xludf.DUMMYFUNCTION("""COMPUTED_VALUE"""),45697.0)</f>
        <v>45697</v>
      </c>
      <c r="DP84" s="179">
        <f>IFERROR(__xludf.DUMMYFUNCTION("""COMPUTED_VALUE"""),0.0)</f>
        <v>0</v>
      </c>
      <c r="DQ84" s="180">
        <f>IFERROR(__xludf.DUMMYFUNCTION("""COMPUTED_VALUE"""),45697.0)</f>
        <v>45697</v>
      </c>
      <c r="DR84" s="179">
        <f>IFERROR(__xludf.DUMMYFUNCTION("""COMPUTED_VALUE"""),0.0)</f>
        <v>0</v>
      </c>
      <c r="DS84" s="182">
        <f>IFERROR(__xludf.DUMMYFUNCTION("""COMPUTED_VALUE"""),45697.0)</f>
        <v>45697</v>
      </c>
      <c r="DT84" s="179">
        <f>IFERROR(__xludf.DUMMYFUNCTION("""COMPUTED_VALUE"""),0.0)</f>
        <v>0</v>
      </c>
      <c r="DU84" s="180">
        <f>IFERROR(__xludf.DUMMYFUNCTION("""COMPUTED_VALUE"""),45697.0)</f>
        <v>45697</v>
      </c>
      <c r="DV84" s="179">
        <f>IFERROR(__xludf.DUMMYFUNCTION("""COMPUTED_VALUE"""),0.0)</f>
        <v>0</v>
      </c>
      <c r="DW84" s="180">
        <f>IFERROR(__xludf.DUMMYFUNCTION("""COMPUTED_VALUE"""),45697.0)</f>
        <v>45697</v>
      </c>
      <c r="DX84" s="179">
        <f>IFERROR(__xludf.DUMMYFUNCTION("""COMPUTED_VALUE"""),0.0)</f>
        <v>0</v>
      </c>
      <c r="DY84" s="180">
        <f>IFERROR(__xludf.DUMMYFUNCTION("""COMPUTED_VALUE"""),45697.0)</f>
        <v>45697</v>
      </c>
      <c r="DZ84" s="179">
        <f>IFERROR(__xludf.DUMMYFUNCTION("""COMPUTED_VALUE"""),0.0)</f>
        <v>0</v>
      </c>
      <c r="EA84" s="180">
        <f>IFERROR(__xludf.DUMMYFUNCTION("""COMPUTED_VALUE"""),45697.0)</f>
        <v>45697</v>
      </c>
      <c r="EB84" s="179">
        <f>IFERROR(__xludf.DUMMYFUNCTION("""COMPUTED_VALUE"""),0.0)</f>
        <v>0</v>
      </c>
      <c r="EC84" s="180">
        <f>IFERROR(__xludf.DUMMYFUNCTION("""COMPUTED_VALUE"""),45697.0)</f>
        <v>45697</v>
      </c>
      <c r="ED84" s="179">
        <f>IFERROR(__xludf.DUMMYFUNCTION("""COMPUTED_VALUE"""),0.0)</f>
        <v>0</v>
      </c>
      <c r="EE84" s="180">
        <f>IFERROR(__xludf.DUMMYFUNCTION("""COMPUTED_VALUE"""),45697.0)</f>
        <v>45697</v>
      </c>
      <c r="EF84" s="179">
        <f>IFERROR(__xludf.DUMMYFUNCTION("""COMPUTED_VALUE"""),0.0)</f>
        <v>0</v>
      </c>
      <c r="EG84" s="180">
        <f>IFERROR(__xludf.DUMMYFUNCTION("""COMPUTED_VALUE"""),45697.0)</f>
        <v>45697</v>
      </c>
      <c r="EH84" s="179">
        <f>IFERROR(__xludf.DUMMYFUNCTION("""COMPUTED_VALUE"""),0.0)</f>
        <v>0</v>
      </c>
      <c r="EI84" s="180">
        <f>IFERROR(__xludf.DUMMYFUNCTION("""COMPUTED_VALUE"""),45697.0)</f>
        <v>45697</v>
      </c>
      <c r="EJ84" s="179">
        <f>IFERROR(__xludf.DUMMYFUNCTION("""COMPUTED_VALUE"""),0.0)</f>
        <v>0</v>
      </c>
      <c r="EK84" s="180">
        <f>IFERROR(__xludf.DUMMYFUNCTION("""COMPUTED_VALUE"""),45697.0)</f>
        <v>45697</v>
      </c>
      <c r="EL84" s="179">
        <f>IFERROR(__xludf.DUMMYFUNCTION("""COMPUTED_VALUE"""),0.0)</f>
        <v>0</v>
      </c>
      <c r="EM84" s="182">
        <f>IFERROR(__xludf.DUMMYFUNCTION("""COMPUTED_VALUE"""),45697.0)</f>
        <v>45697</v>
      </c>
      <c r="EN84" s="179">
        <f>IFERROR(__xludf.DUMMYFUNCTION("""COMPUTED_VALUE"""),0.0)</f>
        <v>0</v>
      </c>
      <c r="EO84" s="180">
        <f>IFERROR(__xludf.DUMMYFUNCTION("""COMPUTED_VALUE"""),45697.0)</f>
        <v>45697</v>
      </c>
      <c r="EP84" s="179">
        <f>IFERROR(__xludf.DUMMYFUNCTION("""COMPUTED_VALUE"""),0.0)</f>
        <v>0</v>
      </c>
      <c r="EQ84" s="180">
        <f>IFERROR(__xludf.DUMMYFUNCTION("""COMPUTED_VALUE"""),45666.0)</f>
        <v>45666</v>
      </c>
      <c r="ER84" s="179">
        <f>IFERROR(__xludf.DUMMYFUNCTION("""COMPUTED_VALUE"""),0.0)</f>
        <v>0</v>
      </c>
      <c r="ES84" s="180">
        <f>IFERROR(__xludf.DUMMYFUNCTION("""COMPUTED_VALUE"""),45697.0)</f>
        <v>45697</v>
      </c>
      <c r="ET84" s="179">
        <f>IFERROR(__xludf.DUMMYFUNCTION("""COMPUTED_VALUE"""),0.0)</f>
        <v>0</v>
      </c>
      <c r="EU84" s="180">
        <f>IFERROR(__xludf.DUMMYFUNCTION("""COMPUTED_VALUE"""),45666.0)</f>
        <v>45666</v>
      </c>
      <c r="EV84" s="179">
        <f>IFERROR(__xludf.DUMMYFUNCTION("""COMPUTED_VALUE"""),0.0)</f>
        <v>0</v>
      </c>
      <c r="EW84" s="180">
        <f>IFERROR(__xludf.DUMMYFUNCTION("""COMPUTED_VALUE"""),45697.0)</f>
        <v>45697</v>
      </c>
      <c r="EX84" s="179">
        <f>IFERROR(__xludf.DUMMYFUNCTION("""COMPUTED_VALUE"""),0.0)</f>
        <v>0</v>
      </c>
      <c r="EY84" s="180">
        <f>IFERROR(__xludf.DUMMYFUNCTION("""COMPUTED_VALUE"""),45697.0)</f>
        <v>45697</v>
      </c>
      <c r="EZ84" s="179">
        <f>IFERROR(__xludf.DUMMYFUNCTION("""COMPUTED_VALUE"""),0.0)</f>
        <v>0</v>
      </c>
      <c r="FA84" s="180">
        <f>IFERROR(__xludf.DUMMYFUNCTION("""COMPUTED_VALUE"""),45666.0)</f>
        <v>45666</v>
      </c>
      <c r="FB84" s="179">
        <f>IFERROR(__xludf.DUMMYFUNCTION("""COMPUTED_VALUE"""),0.0)</f>
        <v>0</v>
      </c>
      <c r="FC84" s="180">
        <f>IFERROR(__xludf.DUMMYFUNCTION("""COMPUTED_VALUE"""),45697.0)</f>
        <v>45697</v>
      </c>
      <c r="FD84" s="179">
        <f>IFERROR(__xludf.DUMMYFUNCTION("""COMPUTED_VALUE"""),0.0)</f>
        <v>0</v>
      </c>
      <c r="FE84" s="180">
        <f>IFERROR(__xludf.DUMMYFUNCTION("""COMPUTED_VALUE"""),45697.0)</f>
        <v>45697</v>
      </c>
      <c r="FF84" s="179">
        <f>IFERROR(__xludf.DUMMYFUNCTION("""COMPUTED_VALUE"""),0.0)</f>
        <v>0</v>
      </c>
      <c r="FG84" s="182">
        <f>IFERROR(__xludf.DUMMYFUNCTION("""COMPUTED_VALUE"""),45724.0)</f>
        <v>45724</v>
      </c>
      <c r="FH84" s="179">
        <f>IFERROR(__xludf.DUMMYFUNCTION("""COMPUTED_VALUE"""),0.0)</f>
        <v>0</v>
      </c>
      <c r="FI84" s="180">
        <f>IFERROR(__xludf.DUMMYFUNCTION("""COMPUTED_VALUE"""),45696.0)</f>
        <v>45696</v>
      </c>
      <c r="FJ84" s="179">
        <f>IFERROR(__xludf.DUMMYFUNCTION("""COMPUTED_VALUE"""),0.0)</f>
        <v>0</v>
      </c>
      <c r="FK84" s="180">
        <f>IFERROR(__xludf.DUMMYFUNCTION("""COMPUTED_VALUE"""),45845.0)</f>
        <v>45845</v>
      </c>
      <c r="FL84" s="179">
        <f>IFERROR(__xludf.DUMMYFUNCTION("""COMPUTED_VALUE"""),0.0)</f>
        <v>0</v>
      </c>
      <c r="FM84" s="180">
        <f>IFERROR(__xludf.DUMMYFUNCTION("""COMPUTED_VALUE"""),45724.0)</f>
        <v>45724</v>
      </c>
      <c r="FN84" s="179">
        <f>IFERROR(__xludf.DUMMYFUNCTION("""COMPUTED_VALUE"""),0.0)</f>
        <v>0</v>
      </c>
      <c r="FO84" s="180">
        <f>IFERROR(__xludf.DUMMYFUNCTION("""COMPUTED_VALUE"""),45724.0)</f>
        <v>45724</v>
      </c>
      <c r="FP84" s="179">
        <f>IFERROR(__xludf.DUMMYFUNCTION("""COMPUTED_VALUE"""),0.0)</f>
        <v>0</v>
      </c>
      <c r="FQ84" s="180">
        <f>IFERROR(__xludf.DUMMYFUNCTION("""COMPUTED_VALUE"""),45724.0)</f>
        <v>45724</v>
      </c>
      <c r="FR84" s="179">
        <f>IFERROR(__xludf.DUMMYFUNCTION("""COMPUTED_VALUE"""),0.0)</f>
        <v>0</v>
      </c>
      <c r="FS84" s="180">
        <f>IFERROR(__xludf.DUMMYFUNCTION("""COMPUTED_VALUE"""),45696.0)</f>
        <v>45696</v>
      </c>
      <c r="FT84" s="179">
        <f>IFERROR(__xludf.DUMMYFUNCTION("""COMPUTED_VALUE"""),0.0)</f>
        <v>0</v>
      </c>
      <c r="FU84" s="180">
        <f>IFERROR(__xludf.DUMMYFUNCTION("""COMPUTED_VALUE"""),45724.0)</f>
        <v>45724</v>
      </c>
      <c r="FV84" s="179">
        <f>IFERROR(__xludf.DUMMYFUNCTION("""COMPUTED_VALUE"""),0.0)</f>
        <v>0</v>
      </c>
      <c r="FW84" s="180">
        <f>IFERROR(__xludf.DUMMYFUNCTION("""COMPUTED_VALUE"""),45724.0)</f>
        <v>45724</v>
      </c>
      <c r="FX84" s="179">
        <f>IFERROR(__xludf.DUMMYFUNCTION("""COMPUTED_VALUE"""),0.0)</f>
        <v>0</v>
      </c>
      <c r="FY84" s="180">
        <f>IFERROR(__xludf.DUMMYFUNCTION("""COMPUTED_VALUE"""),45937.0)</f>
        <v>45937</v>
      </c>
      <c r="FZ84" s="179">
        <f>IFERROR(__xludf.DUMMYFUNCTION("""COMPUTED_VALUE"""),0.0)</f>
        <v>0</v>
      </c>
      <c r="GA84" s="182">
        <f>IFERROR(__xludf.DUMMYFUNCTION("""COMPUTED_VALUE"""),45724.0)</f>
        <v>45724</v>
      </c>
      <c r="GB84" s="179">
        <f>IFERROR(__xludf.DUMMYFUNCTION("""COMPUTED_VALUE"""),0.0)</f>
        <v>0</v>
      </c>
      <c r="GC84" s="180">
        <f>IFERROR(__xludf.DUMMYFUNCTION("""COMPUTED_VALUE"""),45696.0)</f>
        <v>45696</v>
      </c>
      <c r="GD84" s="179">
        <f>IFERROR(__xludf.DUMMYFUNCTION("""COMPUTED_VALUE"""),0.0)</f>
        <v>0</v>
      </c>
      <c r="GE84" s="180">
        <f>IFERROR(__xludf.DUMMYFUNCTION("""COMPUTED_VALUE"""),45696.0)</f>
        <v>45696</v>
      </c>
      <c r="GF84" s="179">
        <f>IFERROR(__xludf.DUMMYFUNCTION("""COMPUTED_VALUE"""),0.0)</f>
        <v>0</v>
      </c>
      <c r="GG84" s="180">
        <f>IFERROR(__xludf.DUMMYFUNCTION("""COMPUTED_VALUE"""),45696.0)</f>
        <v>45696</v>
      </c>
      <c r="GH84" s="179">
        <f>IFERROR(__xludf.DUMMYFUNCTION("""COMPUTED_VALUE"""),0.0)</f>
        <v>0</v>
      </c>
      <c r="GI84" s="180">
        <f>IFERROR(__xludf.DUMMYFUNCTION("""COMPUTED_VALUE"""),45724.0)</f>
        <v>45724</v>
      </c>
      <c r="GJ84" s="179">
        <f>IFERROR(__xludf.DUMMYFUNCTION("""COMPUTED_VALUE"""),0.0)</f>
        <v>0</v>
      </c>
      <c r="GK84" s="180">
        <f>IFERROR(__xludf.DUMMYFUNCTION("""COMPUTED_VALUE"""),45724.0)</f>
        <v>45724</v>
      </c>
      <c r="GL84" s="179">
        <f>IFERROR(__xludf.DUMMYFUNCTION("""COMPUTED_VALUE"""),0.0)</f>
        <v>0</v>
      </c>
      <c r="GM84" s="180">
        <f>IFERROR(__xludf.DUMMYFUNCTION("""COMPUTED_VALUE"""),45937.0)</f>
        <v>45937</v>
      </c>
      <c r="GN84" s="179">
        <f>IFERROR(__xludf.DUMMYFUNCTION("""COMPUTED_VALUE"""),0.0)</f>
        <v>0</v>
      </c>
      <c r="GO84" s="180">
        <f>IFERROR(__xludf.DUMMYFUNCTION("""COMPUTED_VALUE"""),45724.0)</f>
        <v>45724</v>
      </c>
      <c r="GP84" s="179">
        <f>IFERROR(__xludf.DUMMYFUNCTION("""COMPUTED_VALUE"""),0.0)</f>
        <v>0</v>
      </c>
      <c r="GQ84" s="180">
        <f>IFERROR(__xludf.DUMMYFUNCTION("""COMPUTED_VALUE"""),45724.0)</f>
        <v>45724</v>
      </c>
      <c r="GR84" s="179">
        <f>IFERROR(__xludf.DUMMYFUNCTION("""COMPUTED_VALUE"""),0.0)</f>
        <v>0</v>
      </c>
      <c r="GS84" s="180">
        <f>IFERROR(__xludf.DUMMYFUNCTION("""COMPUTED_VALUE"""),45665.0)</f>
        <v>45665</v>
      </c>
      <c r="GT84" s="179">
        <f>IFERROR(__xludf.DUMMYFUNCTION("""COMPUTED_VALUE"""),0.0)</f>
        <v>0</v>
      </c>
    </row>
    <row r="85" ht="31.5" customHeight="1">
      <c r="B85" s="183"/>
      <c r="C85" s="178">
        <f>IFERROR(__xludf.DUMMYFUNCTION("""COMPUTED_VALUE"""),45725.0)</f>
        <v>45725</v>
      </c>
      <c r="D85" s="179">
        <f>IFERROR(__xludf.DUMMYFUNCTION("""COMPUTED_VALUE"""),0.0)</f>
        <v>0</v>
      </c>
      <c r="E85" s="180">
        <f>IFERROR(__xludf.DUMMYFUNCTION("""COMPUTED_VALUE"""),45725.0)</f>
        <v>45725</v>
      </c>
      <c r="F85" s="179">
        <f>IFERROR(__xludf.DUMMYFUNCTION("""COMPUTED_VALUE"""),0.0)</f>
        <v>0</v>
      </c>
      <c r="G85" s="180">
        <f>IFERROR(__xludf.DUMMYFUNCTION("""COMPUTED_VALUE"""),45725.0)</f>
        <v>45725</v>
      </c>
      <c r="H85" s="179">
        <f>IFERROR(__xludf.DUMMYFUNCTION("""COMPUTED_VALUE"""),0.0)</f>
        <v>0</v>
      </c>
      <c r="I85" s="180">
        <f>IFERROR(__xludf.DUMMYFUNCTION("""COMPUTED_VALUE"""),45725.0)</f>
        <v>45725</v>
      </c>
      <c r="J85" s="179">
        <f>IFERROR(__xludf.DUMMYFUNCTION("""COMPUTED_VALUE"""),0.0)</f>
        <v>0</v>
      </c>
      <c r="K85" s="180">
        <f>IFERROR(__xludf.DUMMYFUNCTION("""COMPUTED_VALUE"""),45725.0)</f>
        <v>45725</v>
      </c>
      <c r="L85" s="179">
        <f>IFERROR(__xludf.DUMMYFUNCTION("""COMPUTED_VALUE"""),0.0)</f>
        <v>0</v>
      </c>
      <c r="M85" s="180">
        <f>IFERROR(__xludf.DUMMYFUNCTION("""COMPUTED_VALUE"""),45725.0)</f>
        <v>45725</v>
      </c>
      <c r="N85" s="179">
        <f>IFERROR(__xludf.DUMMYFUNCTION("""COMPUTED_VALUE"""),0.0)</f>
        <v>0</v>
      </c>
      <c r="O85" s="180">
        <f>IFERROR(__xludf.DUMMYFUNCTION("""COMPUTED_VALUE"""),45725.0)</f>
        <v>45725</v>
      </c>
      <c r="P85" s="179">
        <f>IFERROR(__xludf.DUMMYFUNCTION("""COMPUTED_VALUE"""),0.0)</f>
        <v>0</v>
      </c>
      <c r="Q85" s="180">
        <f>IFERROR(__xludf.DUMMYFUNCTION("""COMPUTED_VALUE"""),45725.0)</f>
        <v>45725</v>
      </c>
      <c r="R85" s="179">
        <f>IFERROR(__xludf.DUMMYFUNCTION("""COMPUTED_VALUE"""),0.0)</f>
        <v>0</v>
      </c>
      <c r="S85" s="180">
        <f>IFERROR(__xludf.DUMMYFUNCTION("""COMPUTED_VALUE"""),45725.0)</f>
        <v>45725</v>
      </c>
      <c r="T85" s="179">
        <f>IFERROR(__xludf.DUMMYFUNCTION("""COMPUTED_VALUE"""),0.0)</f>
        <v>0</v>
      </c>
      <c r="U85" s="180">
        <f>IFERROR(__xludf.DUMMYFUNCTION("""COMPUTED_VALUE"""),45725.0)</f>
        <v>45725</v>
      </c>
      <c r="V85" s="181">
        <f>IFERROR(__xludf.DUMMYFUNCTION("""COMPUTED_VALUE"""),0.0)</f>
        <v>0</v>
      </c>
      <c r="W85" s="178">
        <f>IFERROR(__xludf.DUMMYFUNCTION("""COMPUTED_VALUE"""),45725.0)</f>
        <v>45725</v>
      </c>
      <c r="X85" s="179">
        <f>IFERROR(__xludf.DUMMYFUNCTION("""COMPUTED_VALUE"""),0.0)</f>
        <v>0</v>
      </c>
      <c r="Y85" s="180">
        <f>IFERROR(__xludf.DUMMYFUNCTION("""COMPUTED_VALUE"""),45908.0)</f>
        <v>45908</v>
      </c>
      <c r="Z85" s="179">
        <f>IFERROR(__xludf.DUMMYFUNCTION("""COMPUTED_VALUE"""),0.0)</f>
        <v>0</v>
      </c>
      <c r="AA85" s="180">
        <f>IFERROR(__xludf.DUMMYFUNCTION("""COMPUTED_VALUE"""),45725.0)</f>
        <v>45725</v>
      </c>
      <c r="AB85" s="179">
        <f>IFERROR(__xludf.DUMMYFUNCTION("""COMPUTED_VALUE"""),0.0)</f>
        <v>0</v>
      </c>
      <c r="AC85" s="180">
        <f>IFERROR(__xludf.DUMMYFUNCTION("""COMPUTED_VALUE"""),45816.0)</f>
        <v>45816</v>
      </c>
      <c r="AD85" s="179">
        <f>IFERROR(__xludf.DUMMYFUNCTION("""COMPUTED_VALUE"""),0.0)</f>
        <v>0</v>
      </c>
      <c r="AE85" s="180">
        <f>IFERROR(__xludf.DUMMYFUNCTION("""COMPUTED_VALUE"""),45908.0)</f>
        <v>45908</v>
      </c>
      <c r="AF85" s="179">
        <f>IFERROR(__xludf.DUMMYFUNCTION("""COMPUTED_VALUE"""),0.0)</f>
        <v>0</v>
      </c>
      <c r="AG85" s="180">
        <f>IFERROR(__xludf.DUMMYFUNCTION("""COMPUTED_VALUE"""),45725.0)</f>
        <v>45725</v>
      </c>
      <c r="AH85" s="179">
        <f>IFERROR(__xludf.DUMMYFUNCTION("""COMPUTED_VALUE"""),0.0)</f>
        <v>0</v>
      </c>
      <c r="AI85" s="180">
        <f>IFERROR(__xludf.DUMMYFUNCTION("""COMPUTED_VALUE"""),45877.0)</f>
        <v>45877</v>
      </c>
      <c r="AJ85" s="179">
        <f>IFERROR(__xludf.DUMMYFUNCTION("""COMPUTED_VALUE"""),0.0)</f>
        <v>0</v>
      </c>
      <c r="AK85" s="180">
        <f>IFERROR(__xludf.DUMMYFUNCTION("""COMPUTED_VALUE"""),45938.0)</f>
        <v>45938</v>
      </c>
      <c r="AL85" s="179">
        <f>IFERROR(__xludf.DUMMYFUNCTION("""COMPUTED_VALUE"""),0.0)</f>
        <v>0</v>
      </c>
      <c r="AM85" s="180">
        <f>IFERROR(__xludf.DUMMYFUNCTION("""COMPUTED_VALUE"""),45725.0)</f>
        <v>45725</v>
      </c>
      <c r="AN85" s="179">
        <f>IFERROR(__xludf.DUMMYFUNCTION("""COMPUTED_VALUE"""),0.0)</f>
        <v>0</v>
      </c>
      <c r="AO85" s="180">
        <f>IFERROR(__xludf.DUMMYFUNCTION("""COMPUTED_VALUE"""),45938.0)</f>
        <v>45938</v>
      </c>
      <c r="AP85" s="181">
        <f>IFERROR(__xludf.DUMMYFUNCTION("""COMPUTED_VALUE"""),0.0)</f>
        <v>0</v>
      </c>
      <c r="AQ85" s="178">
        <f>IFERROR(__xludf.DUMMYFUNCTION("""COMPUTED_VALUE"""),45725.0)</f>
        <v>45725</v>
      </c>
      <c r="AR85" s="179">
        <f>IFERROR(__xludf.DUMMYFUNCTION("""COMPUTED_VALUE"""),0.0)</f>
        <v>0</v>
      </c>
      <c r="AS85" s="180">
        <f>IFERROR(__xludf.DUMMYFUNCTION("""COMPUTED_VALUE"""),45725.0)</f>
        <v>45725</v>
      </c>
      <c r="AT85" s="179">
        <f>IFERROR(__xludf.DUMMYFUNCTION("""COMPUTED_VALUE"""),0.0)</f>
        <v>0</v>
      </c>
      <c r="AU85" s="180">
        <f>IFERROR(__xludf.DUMMYFUNCTION("""COMPUTED_VALUE"""),45697.0)</f>
        <v>45697</v>
      </c>
      <c r="AV85" s="179">
        <f>IFERROR(__xludf.DUMMYFUNCTION("""COMPUTED_VALUE"""),0.0)</f>
        <v>0</v>
      </c>
      <c r="AW85" s="180">
        <f>IFERROR(__xludf.DUMMYFUNCTION("""COMPUTED_VALUE"""),45697.0)</f>
        <v>45697</v>
      </c>
      <c r="AX85" s="179">
        <f>IFERROR(__xludf.DUMMYFUNCTION("""COMPUTED_VALUE"""),0.0)</f>
        <v>0</v>
      </c>
      <c r="AY85" s="180">
        <f>IFERROR(__xludf.DUMMYFUNCTION("""COMPUTED_VALUE"""),45725.0)</f>
        <v>45725</v>
      </c>
      <c r="AZ85" s="179">
        <f>IFERROR(__xludf.DUMMYFUNCTION("""COMPUTED_VALUE"""),0.0)</f>
        <v>0</v>
      </c>
      <c r="BA85" s="180">
        <f>IFERROR(__xludf.DUMMYFUNCTION("""COMPUTED_VALUE"""),45725.0)</f>
        <v>45725</v>
      </c>
      <c r="BB85" s="179">
        <f>IFERROR(__xludf.DUMMYFUNCTION("""COMPUTED_VALUE"""),0.0)</f>
        <v>0</v>
      </c>
      <c r="BC85" s="180">
        <f>IFERROR(__xludf.DUMMYFUNCTION("""COMPUTED_VALUE"""),45697.0)</f>
        <v>45697</v>
      </c>
      <c r="BD85" s="179">
        <f>IFERROR(__xludf.DUMMYFUNCTION("""COMPUTED_VALUE"""),0.0)</f>
        <v>0</v>
      </c>
      <c r="BE85" s="180">
        <f>IFERROR(__xludf.DUMMYFUNCTION("""COMPUTED_VALUE"""),45725.0)</f>
        <v>45725</v>
      </c>
      <c r="BF85" s="179">
        <f>IFERROR(__xludf.DUMMYFUNCTION("""COMPUTED_VALUE"""),0.0)</f>
        <v>0</v>
      </c>
      <c r="BG85" s="180">
        <f>IFERROR(__xludf.DUMMYFUNCTION("""COMPUTED_VALUE"""),45697.0)</f>
        <v>45697</v>
      </c>
      <c r="BH85" s="179">
        <f>IFERROR(__xludf.DUMMYFUNCTION("""COMPUTED_VALUE"""),0.0)</f>
        <v>0</v>
      </c>
      <c r="BI85" s="180">
        <f>IFERROR(__xludf.DUMMYFUNCTION("""COMPUTED_VALUE"""),45725.0)</f>
        <v>45725</v>
      </c>
      <c r="BJ85" s="179">
        <f>IFERROR(__xludf.DUMMYFUNCTION("""COMPUTED_VALUE"""),0.0)</f>
        <v>0</v>
      </c>
      <c r="BK85" s="182">
        <f>IFERROR(__xludf.DUMMYFUNCTION("""COMPUTED_VALUE"""),45725.0)</f>
        <v>45725</v>
      </c>
      <c r="BL85" s="179">
        <f>IFERROR(__xludf.DUMMYFUNCTION("""COMPUTED_VALUE"""),0.0)</f>
        <v>0</v>
      </c>
      <c r="BM85" s="180">
        <f>IFERROR(__xludf.DUMMYFUNCTION("""COMPUTED_VALUE"""),45725.0)</f>
        <v>45725</v>
      </c>
      <c r="BN85" s="179">
        <f>IFERROR(__xludf.DUMMYFUNCTION("""COMPUTED_VALUE"""),0.0)</f>
        <v>0</v>
      </c>
      <c r="BO85" s="180">
        <f>IFERROR(__xludf.DUMMYFUNCTION("""COMPUTED_VALUE"""),45697.0)</f>
        <v>45697</v>
      </c>
      <c r="BP85" s="179">
        <f>IFERROR(__xludf.DUMMYFUNCTION("""COMPUTED_VALUE"""),0.0)</f>
        <v>0</v>
      </c>
      <c r="BQ85" s="180">
        <f>IFERROR(__xludf.DUMMYFUNCTION("""COMPUTED_VALUE"""),45697.0)</f>
        <v>45697</v>
      </c>
      <c r="BR85" s="179">
        <f>IFERROR(__xludf.DUMMYFUNCTION("""COMPUTED_VALUE"""),0.0)</f>
        <v>0</v>
      </c>
      <c r="BS85" s="180">
        <f>IFERROR(__xludf.DUMMYFUNCTION("""COMPUTED_VALUE"""),45725.0)</f>
        <v>45725</v>
      </c>
      <c r="BT85" s="179">
        <f>IFERROR(__xludf.DUMMYFUNCTION("""COMPUTED_VALUE"""),0.0)</f>
        <v>0</v>
      </c>
      <c r="BU85" s="180">
        <f>IFERROR(__xludf.DUMMYFUNCTION("""COMPUTED_VALUE"""),45725.0)</f>
        <v>45725</v>
      </c>
      <c r="BV85" s="179">
        <f>IFERROR(__xludf.DUMMYFUNCTION("""COMPUTED_VALUE"""),0.0)</f>
        <v>0</v>
      </c>
      <c r="BW85" s="180">
        <f>IFERROR(__xludf.DUMMYFUNCTION("""COMPUTED_VALUE"""),45725.0)</f>
        <v>45725</v>
      </c>
      <c r="BX85" s="179">
        <f>IFERROR(__xludf.DUMMYFUNCTION("""COMPUTED_VALUE"""),0.0)</f>
        <v>0</v>
      </c>
      <c r="BY85" s="180">
        <f>IFERROR(__xludf.DUMMYFUNCTION("""COMPUTED_VALUE"""),45697.0)</f>
        <v>45697</v>
      </c>
      <c r="BZ85" s="179">
        <f>IFERROR(__xludf.DUMMYFUNCTION("""COMPUTED_VALUE"""),0.0)</f>
        <v>0</v>
      </c>
      <c r="CA85" s="180">
        <f>IFERROR(__xludf.DUMMYFUNCTION("""COMPUTED_VALUE"""),45725.0)</f>
        <v>45725</v>
      </c>
      <c r="CB85" s="179">
        <f>IFERROR(__xludf.DUMMYFUNCTION("""COMPUTED_VALUE"""),0.0)</f>
        <v>0</v>
      </c>
      <c r="CC85" s="180">
        <f>IFERROR(__xludf.DUMMYFUNCTION("""COMPUTED_VALUE"""),45725.0)</f>
        <v>45725</v>
      </c>
      <c r="CD85" s="179">
        <f>IFERROR(__xludf.DUMMYFUNCTION("""COMPUTED_VALUE"""),0.0)</f>
        <v>0</v>
      </c>
      <c r="CE85" s="182">
        <f>IFERROR(__xludf.DUMMYFUNCTION("""COMPUTED_VALUE"""),45725.0)</f>
        <v>45725</v>
      </c>
      <c r="CF85" s="179">
        <f>IFERROR(__xludf.DUMMYFUNCTION("""COMPUTED_VALUE"""),0.0)</f>
        <v>0</v>
      </c>
      <c r="CG85" s="180">
        <f>IFERROR(__xludf.DUMMYFUNCTION("""COMPUTED_VALUE"""),45908.0)</f>
        <v>45908</v>
      </c>
      <c r="CH85" s="179">
        <f>IFERROR(__xludf.DUMMYFUNCTION("""COMPUTED_VALUE"""),0.0)</f>
        <v>0</v>
      </c>
      <c r="CI85" s="180">
        <f>IFERROR(__xludf.DUMMYFUNCTION("""COMPUTED_VALUE"""),45908.0)</f>
        <v>45908</v>
      </c>
      <c r="CJ85" s="179">
        <f>IFERROR(__xludf.DUMMYFUNCTION("""COMPUTED_VALUE"""),0.0)</f>
        <v>0</v>
      </c>
      <c r="CK85" s="180">
        <f>IFERROR(__xludf.DUMMYFUNCTION("""COMPUTED_VALUE"""),45938.0)</f>
        <v>45938</v>
      </c>
      <c r="CL85" s="179">
        <f>IFERROR(__xludf.DUMMYFUNCTION("""COMPUTED_VALUE"""),0.0)</f>
        <v>0</v>
      </c>
      <c r="CM85" s="180">
        <f>IFERROR(__xludf.DUMMYFUNCTION("""COMPUTED_VALUE"""),45725.0)</f>
        <v>45725</v>
      </c>
      <c r="CN85" s="179">
        <f>IFERROR(__xludf.DUMMYFUNCTION("""COMPUTED_VALUE"""),0.0)</f>
        <v>0</v>
      </c>
      <c r="CO85" s="180">
        <f>IFERROR(__xludf.DUMMYFUNCTION("""COMPUTED_VALUE"""),45697.0)</f>
        <v>45697</v>
      </c>
      <c r="CP85" s="179">
        <f>IFERROR(__xludf.DUMMYFUNCTION("""COMPUTED_VALUE"""),0.0)</f>
        <v>0</v>
      </c>
      <c r="CQ85" s="180">
        <f>IFERROR(__xludf.DUMMYFUNCTION("""COMPUTED_VALUE"""),45908.0)</f>
        <v>45908</v>
      </c>
      <c r="CR85" s="179">
        <f>IFERROR(__xludf.DUMMYFUNCTION("""COMPUTED_VALUE"""),0.0)</f>
        <v>0</v>
      </c>
      <c r="CS85" s="180">
        <f>IFERROR(__xludf.DUMMYFUNCTION("""COMPUTED_VALUE"""),45697.0)</f>
        <v>45697</v>
      </c>
      <c r="CT85" s="179">
        <f>IFERROR(__xludf.DUMMYFUNCTION("""COMPUTED_VALUE"""),0.0)</f>
        <v>0</v>
      </c>
      <c r="CU85" s="180">
        <f>IFERROR(__xludf.DUMMYFUNCTION("""COMPUTED_VALUE"""),45725.0)</f>
        <v>45725</v>
      </c>
      <c r="CV85" s="179">
        <f>IFERROR(__xludf.DUMMYFUNCTION("""COMPUTED_VALUE"""),0.0)</f>
        <v>0</v>
      </c>
      <c r="CW85" s="180">
        <f>IFERROR(__xludf.DUMMYFUNCTION("""COMPUTED_VALUE"""),45785.0)</f>
        <v>45785</v>
      </c>
      <c r="CX85" s="179">
        <f>IFERROR(__xludf.DUMMYFUNCTION("""COMPUTED_VALUE"""),0.0)</f>
        <v>0</v>
      </c>
      <c r="CY85" s="182">
        <f>IFERROR(__xludf.DUMMYFUNCTION("""COMPUTED_VALUE"""),45725.0)</f>
        <v>45725</v>
      </c>
      <c r="CZ85" s="179">
        <f>IFERROR(__xludf.DUMMYFUNCTION("""COMPUTED_VALUE"""),0.0)</f>
        <v>0</v>
      </c>
      <c r="DA85" s="180">
        <f>IFERROR(__xludf.DUMMYFUNCTION("""COMPUTED_VALUE"""),45725.0)</f>
        <v>45725</v>
      </c>
      <c r="DB85" s="179">
        <f>IFERROR(__xludf.DUMMYFUNCTION("""COMPUTED_VALUE"""),0.0)</f>
        <v>0</v>
      </c>
      <c r="DC85" s="180">
        <f>IFERROR(__xludf.DUMMYFUNCTION("""COMPUTED_VALUE"""),45725.0)</f>
        <v>45725</v>
      </c>
      <c r="DD85" s="179">
        <f>IFERROR(__xludf.DUMMYFUNCTION("""COMPUTED_VALUE"""),0.0)</f>
        <v>0</v>
      </c>
      <c r="DE85" s="180">
        <f>IFERROR(__xludf.DUMMYFUNCTION("""COMPUTED_VALUE"""),45725.0)</f>
        <v>45725</v>
      </c>
      <c r="DF85" s="179">
        <f>IFERROR(__xludf.DUMMYFUNCTION("""COMPUTED_VALUE"""),0.0)</f>
        <v>0</v>
      </c>
      <c r="DG85" s="180">
        <f>IFERROR(__xludf.DUMMYFUNCTION("""COMPUTED_VALUE"""),45725.0)</f>
        <v>45725</v>
      </c>
      <c r="DH85" s="179">
        <f>IFERROR(__xludf.DUMMYFUNCTION("""COMPUTED_VALUE"""),0.0)</f>
        <v>0</v>
      </c>
      <c r="DI85" s="180">
        <f>IFERROR(__xludf.DUMMYFUNCTION("""COMPUTED_VALUE"""),45725.0)</f>
        <v>45725</v>
      </c>
      <c r="DJ85" s="179">
        <f>IFERROR(__xludf.DUMMYFUNCTION("""COMPUTED_VALUE"""),0.0)</f>
        <v>0</v>
      </c>
      <c r="DK85" s="180">
        <f>IFERROR(__xludf.DUMMYFUNCTION("""COMPUTED_VALUE"""),45725.0)</f>
        <v>45725</v>
      </c>
      <c r="DL85" s="179">
        <f>IFERROR(__xludf.DUMMYFUNCTION("""COMPUTED_VALUE"""),0.0)</f>
        <v>0</v>
      </c>
      <c r="DM85" s="180">
        <f>IFERROR(__xludf.DUMMYFUNCTION("""COMPUTED_VALUE"""),45725.0)</f>
        <v>45725</v>
      </c>
      <c r="DN85" s="179">
        <f>IFERROR(__xludf.DUMMYFUNCTION("""COMPUTED_VALUE"""),0.0)</f>
        <v>0</v>
      </c>
      <c r="DO85" s="180">
        <f>IFERROR(__xludf.DUMMYFUNCTION("""COMPUTED_VALUE"""),45725.0)</f>
        <v>45725</v>
      </c>
      <c r="DP85" s="179">
        <f>IFERROR(__xludf.DUMMYFUNCTION("""COMPUTED_VALUE"""),0.0)</f>
        <v>0</v>
      </c>
      <c r="DQ85" s="180">
        <f>IFERROR(__xludf.DUMMYFUNCTION("""COMPUTED_VALUE"""),45725.0)</f>
        <v>45725</v>
      </c>
      <c r="DR85" s="179">
        <f>IFERROR(__xludf.DUMMYFUNCTION("""COMPUTED_VALUE"""),0.0)</f>
        <v>0</v>
      </c>
      <c r="DS85" s="182">
        <f>IFERROR(__xludf.DUMMYFUNCTION("""COMPUTED_VALUE"""),45725.0)</f>
        <v>45725</v>
      </c>
      <c r="DT85" s="179">
        <f>IFERROR(__xludf.DUMMYFUNCTION("""COMPUTED_VALUE"""),0.0)</f>
        <v>0</v>
      </c>
      <c r="DU85" s="180">
        <f>IFERROR(__xludf.DUMMYFUNCTION("""COMPUTED_VALUE"""),45725.0)</f>
        <v>45725</v>
      </c>
      <c r="DV85" s="179">
        <f>IFERROR(__xludf.DUMMYFUNCTION("""COMPUTED_VALUE"""),0.0)</f>
        <v>0</v>
      </c>
      <c r="DW85" s="180">
        <f>IFERROR(__xludf.DUMMYFUNCTION("""COMPUTED_VALUE"""),45725.0)</f>
        <v>45725</v>
      </c>
      <c r="DX85" s="179">
        <f>IFERROR(__xludf.DUMMYFUNCTION("""COMPUTED_VALUE"""),0.0)</f>
        <v>0</v>
      </c>
      <c r="DY85" s="180">
        <f>IFERROR(__xludf.DUMMYFUNCTION("""COMPUTED_VALUE"""),45725.0)</f>
        <v>45725</v>
      </c>
      <c r="DZ85" s="179">
        <f>IFERROR(__xludf.DUMMYFUNCTION("""COMPUTED_VALUE"""),0.0)</f>
        <v>0</v>
      </c>
      <c r="EA85" s="180">
        <f>IFERROR(__xludf.DUMMYFUNCTION("""COMPUTED_VALUE"""),45725.0)</f>
        <v>45725</v>
      </c>
      <c r="EB85" s="179">
        <f>IFERROR(__xludf.DUMMYFUNCTION("""COMPUTED_VALUE"""),0.0)</f>
        <v>0</v>
      </c>
      <c r="EC85" s="180">
        <f>IFERROR(__xludf.DUMMYFUNCTION("""COMPUTED_VALUE"""),45725.0)</f>
        <v>45725</v>
      </c>
      <c r="ED85" s="179">
        <f>IFERROR(__xludf.DUMMYFUNCTION("""COMPUTED_VALUE"""),0.0)</f>
        <v>0</v>
      </c>
      <c r="EE85" s="180">
        <f>IFERROR(__xludf.DUMMYFUNCTION("""COMPUTED_VALUE"""),45725.0)</f>
        <v>45725</v>
      </c>
      <c r="EF85" s="179">
        <f>IFERROR(__xludf.DUMMYFUNCTION("""COMPUTED_VALUE"""),0.0)</f>
        <v>0</v>
      </c>
      <c r="EG85" s="180">
        <f>IFERROR(__xludf.DUMMYFUNCTION("""COMPUTED_VALUE"""),45725.0)</f>
        <v>45725</v>
      </c>
      <c r="EH85" s="179">
        <f>IFERROR(__xludf.DUMMYFUNCTION("""COMPUTED_VALUE"""),0.0)</f>
        <v>0</v>
      </c>
      <c r="EI85" s="180">
        <f>IFERROR(__xludf.DUMMYFUNCTION("""COMPUTED_VALUE"""),45725.0)</f>
        <v>45725</v>
      </c>
      <c r="EJ85" s="179">
        <f>IFERROR(__xludf.DUMMYFUNCTION("""COMPUTED_VALUE"""),0.0)</f>
        <v>0</v>
      </c>
      <c r="EK85" s="180">
        <f>IFERROR(__xludf.DUMMYFUNCTION("""COMPUTED_VALUE"""),45725.0)</f>
        <v>45725</v>
      </c>
      <c r="EL85" s="179">
        <f>IFERROR(__xludf.DUMMYFUNCTION("""COMPUTED_VALUE"""),0.0)</f>
        <v>0</v>
      </c>
      <c r="EM85" s="182">
        <f>IFERROR(__xludf.DUMMYFUNCTION("""COMPUTED_VALUE"""),45725.0)</f>
        <v>45725</v>
      </c>
      <c r="EN85" s="179">
        <f>IFERROR(__xludf.DUMMYFUNCTION("""COMPUTED_VALUE"""),0.0)</f>
        <v>0</v>
      </c>
      <c r="EO85" s="180">
        <f>IFERROR(__xludf.DUMMYFUNCTION("""COMPUTED_VALUE"""),45725.0)</f>
        <v>45725</v>
      </c>
      <c r="EP85" s="179">
        <f>IFERROR(__xludf.DUMMYFUNCTION("""COMPUTED_VALUE"""),0.0)</f>
        <v>0</v>
      </c>
      <c r="EQ85" s="180">
        <f>IFERROR(__xludf.DUMMYFUNCTION("""COMPUTED_VALUE"""),45697.0)</f>
        <v>45697</v>
      </c>
      <c r="ER85" s="179">
        <f>IFERROR(__xludf.DUMMYFUNCTION("""COMPUTED_VALUE"""),0.0)</f>
        <v>0</v>
      </c>
      <c r="ES85" s="180">
        <f>IFERROR(__xludf.DUMMYFUNCTION("""COMPUTED_VALUE"""),45725.0)</f>
        <v>45725</v>
      </c>
      <c r="ET85" s="179">
        <f>IFERROR(__xludf.DUMMYFUNCTION("""COMPUTED_VALUE"""),0.0)</f>
        <v>0</v>
      </c>
      <c r="EU85" s="180">
        <f>IFERROR(__xludf.DUMMYFUNCTION("""COMPUTED_VALUE"""),45697.0)</f>
        <v>45697</v>
      </c>
      <c r="EV85" s="179">
        <f>IFERROR(__xludf.DUMMYFUNCTION("""COMPUTED_VALUE"""),0.0)</f>
        <v>0</v>
      </c>
      <c r="EW85" s="180">
        <f>IFERROR(__xludf.DUMMYFUNCTION("""COMPUTED_VALUE"""),45725.0)</f>
        <v>45725</v>
      </c>
      <c r="EX85" s="179">
        <f>IFERROR(__xludf.DUMMYFUNCTION("""COMPUTED_VALUE"""),0.0)</f>
        <v>0</v>
      </c>
      <c r="EY85" s="180">
        <f>IFERROR(__xludf.DUMMYFUNCTION("""COMPUTED_VALUE"""),45725.0)</f>
        <v>45725</v>
      </c>
      <c r="EZ85" s="179">
        <f>IFERROR(__xludf.DUMMYFUNCTION("""COMPUTED_VALUE"""),0.0)</f>
        <v>0</v>
      </c>
      <c r="FA85" s="180">
        <f>IFERROR(__xludf.DUMMYFUNCTION("""COMPUTED_VALUE"""),45697.0)</f>
        <v>45697</v>
      </c>
      <c r="FB85" s="179">
        <f>IFERROR(__xludf.DUMMYFUNCTION("""COMPUTED_VALUE"""),0.0)</f>
        <v>0</v>
      </c>
      <c r="FC85" s="180">
        <f>IFERROR(__xludf.DUMMYFUNCTION("""COMPUTED_VALUE"""),45725.0)</f>
        <v>45725</v>
      </c>
      <c r="FD85" s="179">
        <f>IFERROR(__xludf.DUMMYFUNCTION("""COMPUTED_VALUE"""),0.0)</f>
        <v>0</v>
      </c>
      <c r="FE85" s="180">
        <f>IFERROR(__xludf.DUMMYFUNCTION("""COMPUTED_VALUE"""),45725.0)</f>
        <v>45725</v>
      </c>
      <c r="FF85" s="179">
        <f>IFERROR(__xludf.DUMMYFUNCTION("""COMPUTED_VALUE"""),0.0)</f>
        <v>0</v>
      </c>
      <c r="FG85" s="182">
        <f>IFERROR(__xludf.DUMMYFUNCTION("""COMPUTED_VALUE"""),45755.0)</f>
        <v>45755</v>
      </c>
      <c r="FH85" s="179">
        <f>IFERROR(__xludf.DUMMYFUNCTION("""COMPUTED_VALUE"""),0.0)</f>
        <v>0</v>
      </c>
      <c r="FI85" s="180">
        <f>IFERROR(__xludf.DUMMYFUNCTION("""COMPUTED_VALUE"""),45724.0)</f>
        <v>45724</v>
      </c>
      <c r="FJ85" s="179">
        <f>IFERROR(__xludf.DUMMYFUNCTION("""COMPUTED_VALUE"""),0.0)</f>
        <v>0</v>
      </c>
      <c r="FK85" s="180">
        <f>IFERROR(__xludf.DUMMYFUNCTION("""COMPUTED_VALUE"""),45876.0)</f>
        <v>45876</v>
      </c>
      <c r="FL85" s="179">
        <f>IFERROR(__xludf.DUMMYFUNCTION("""COMPUTED_VALUE"""),0.0)</f>
        <v>0</v>
      </c>
      <c r="FM85" s="180">
        <f>IFERROR(__xludf.DUMMYFUNCTION("""COMPUTED_VALUE"""),45755.0)</f>
        <v>45755</v>
      </c>
      <c r="FN85" s="179">
        <f>IFERROR(__xludf.DUMMYFUNCTION("""COMPUTED_VALUE"""),0.0)</f>
        <v>0</v>
      </c>
      <c r="FO85" s="180">
        <f>IFERROR(__xludf.DUMMYFUNCTION("""COMPUTED_VALUE"""),45755.0)</f>
        <v>45755</v>
      </c>
      <c r="FP85" s="179">
        <f>IFERROR(__xludf.DUMMYFUNCTION("""COMPUTED_VALUE"""),0.0)</f>
        <v>0</v>
      </c>
      <c r="FQ85" s="180">
        <f>IFERROR(__xludf.DUMMYFUNCTION("""COMPUTED_VALUE"""),45755.0)</f>
        <v>45755</v>
      </c>
      <c r="FR85" s="179">
        <f>IFERROR(__xludf.DUMMYFUNCTION("""COMPUTED_VALUE"""),0.0)</f>
        <v>0</v>
      </c>
      <c r="FS85" s="180">
        <f>IFERROR(__xludf.DUMMYFUNCTION("""COMPUTED_VALUE"""),45724.0)</f>
        <v>45724</v>
      </c>
      <c r="FT85" s="179">
        <f>IFERROR(__xludf.DUMMYFUNCTION("""COMPUTED_VALUE"""),0.0)</f>
        <v>0</v>
      </c>
      <c r="FU85" s="180">
        <f>IFERROR(__xludf.DUMMYFUNCTION("""COMPUTED_VALUE"""),45755.0)</f>
        <v>45755</v>
      </c>
      <c r="FV85" s="179">
        <f>IFERROR(__xludf.DUMMYFUNCTION("""COMPUTED_VALUE"""),0.0)</f>
        <v>0</v>
      </c>
      <c r="FW85" s="180">
        <f>IFERROR(__xludf.DUMMYFUNCTION("""COMPUTED_VALUE"""),45755.0)</f>
        <v>45755</v>
      </c>
      <c r="FX85" s="179">
        <f>IFERROR(__xludf.DUMMYFUNCTION("""COMPUTED_VALUE"""),0.0)</f>
        <v>0</v>
      </c>
      <c r="FY85" s="180">
        <f>IFERROR(__xludf.DUMMYFUNCTION("""COMPUTED_VALUE"""),45665.0)</f>
        <v>45665</v>
      </c>
      <c r="FZ85" s="179">
        <f>IFERROR(__xludf.DUMMYFUNCTION("""COMPUTED_VALUE"""),0.0)</f>
        <v>0</v>
      </c>
      <c r="GA85" s="182">
        <f>IFERROR(__xludf.DUMMYFUNCTION("""COMPUTED_VALUE"""),45755.0)</f>
        <v>45755</v>
      </c>
      <c r="GB85" s="179">
        <f>IFERROR(__xludf.DUMMYFUNCTION("""COMPUTED_VALUE"""),0.0)</f>
        <v>0</v>
      </c>
      <c r="GC85" s="180">
        <f>IFERROR(__xludf.DUMMYFUNCTION("""COMPUTED_VALUE"""),45724.0)</f>
        <v>45724</v>
      </c>
      <c r="GD85" s="179">
        <f>IFERROR(__xludf.DUMMYFUNCTION("""COMPUTED_VALUE"""),0.0)</f>
        <v>0</v>
      </c>
      <c r="GE85" s="180">
        <f>IFERROR(__xludf.DUMMYFUNCTION("""COMPUTED_VALUE"""),45724.0)</f>
        <v>45724</v>
      </c>
      <c r="GF85" s="179">
        <f>IFERROR(__xludf.DUMMYFUNCTION("""COMPUTED_VALUE"""),0.0)</f>
        <v>0</v>
      </c>
      <c r="GG85" s="180">
        <f>IFERROR(__xludf.DUMMYFUNCTION("""COMPUTED_VALUE"""),45724.0)</f>
        <v>45724</v>
      </c>
      <c r="GH85" s="179">
        <f>IFERROR(__xludf.DUMMYFUNCTION("""COMPUTED_VALUE"""),0.0)</f>
        <v>0</v>
      </c>
      <c r="GI85" s="180">
        <f>IFERROR(__xludf.DUMMYFUNCTION("""COMPUTED_VALUE"""),45755.0)</f>
        <v>45755</v>
      </c>
      <c r="GJ85" s="179">
        <f>IFERROR(__xludf.DUMMYFUNCTION("""COMPUTED_VALUE"""),0.0)</f>
        <v>0</v>
      </c>
      <c r="GK85" s="180">
        <f>IFERROR(__xludf.DUMMYFUNCTION("""COMPUTED_VALUE"""),45755.0)</f>
        <v>45755</v>
      </c>
      <c r="GL85" s="179">
        <f>IFERROR(__xludf.DUMMYFUNCTION("""COMPUTED_VALUE"""),0.0)</f>
        <v>0</v>
      </c>
      <c r="GM85" s="180">
        <f>IFERROR(__xludf.DUMMYFUNCTION("""COMPUTED_VALUE"""),45665.0)</f>
        <v>45665</v>
      </c>
      <c r="GN85" s="179">
        <f>IFERROR(__xludf.DUMMYFUNCTION("""COMPUTED_VALUE"""),0.0)</f>
        <v>0</v>
      </c>
      <c r="GO85" s="180">
        <f>IFERROR(__xludf.DUMMYFUNCTION("""COMPUTED_VALUE"""),45755.0)</f>
        <v>45755</v>
      </c>
      <c r="GP85" s="179">
        <f>IFERROR(__xludf.DUMMYFUNCTION("""COMPUTED_VALUE"""),0.0)</f>
        <v>0</v>
      </c>
      <c r="GQ85" s="180">
        <f>IFERROR(__xludf.DUMMYFUNCTION("""COMPUTED_VALUE"""),45755.0)</f>
        <v>45755</v>
      </c>
      <c r="GR85" s="179">
        <f>IFERROR(__xludf.DUMMYFUNCTION("""COMPUTED_VALUE"""),0.0)</f>
        <v>0</v>
      </c>
      <c r="GS85" s="180">
        <f>IFERROR(__xludf.DUMMYFUNCTION("""COMPUTED_VALUE"""),45696.0)</f>
        <v>45696</v>
      </c>
      <c r="GT85" s="179">
        <f>IFERROR(__xludf.DUMMYFUNCTION("""COMPUTED_VALUE"""),0.0)</f>
        <v>0</v>
      </c>
    </row>
    <row r="86" ht="31.5" customHeight="1">
      <c r="B86" s="183"/>
      <c r="C86" s="178">
        <f>IFERROR(__xludf.DUMMYFUNCTION("""COMPUTED_VALUE"""),45756.0)</f>
        <v>45756</v>
      </c>
      <c r="D86" s="179">
        <f>IFERROR(__xludf.DUMMYFUNCTION("""COMPUTED_VALUE"""),0.0)</f>
        <v>0</v>
      </c>
      <c r="E86" s="180">
        <f>IFERROR(__xludf.DUMMYFUNCTION("""COMPUTED_VALUE"""),45756.0)</f>
        <v>45756</v>
      </c>
      <c r="F86" s="179">
        <f>IFERROR(__xludf.DUMMYFUNCTION("""COMPUTED_VALUE"""),0.0)</f>
        <v>0</v>
      </c>
      <c r="G86" s="180">
        <f>IFERROR(__xludf.DUMMYFUNCTION("""COMPUTED_VALUE"""),45756.0)</f>
        <v>45756</v>
      </c>
      <c r="H86" s="179">
        <f>IFERROR(__xludf.DUMMYFUNCTION("""COMPUTED_VALUE"""),0.0)</f>
        <v>0</v>
      </c>
      <c r="I86" s="180">
        <f>IFERROR(__xludf.DUMMYFUNCTION("""COMPUTED_VALUE"""),45756.0)</f>
        <v>45756</v>
      </c>
      <c r="J86" s="179">
        <f>IFERROR(__xludf.DUMMYFUNCTION("""COMPUTED_VALUE"""),0.0)</f>
        <v>0</v>
      </c>
      <c r="K86" s="180">
        <f>IFERROR(__xludf.DUMMYFUNCTION("""COMPUTED_VALUE"""),45756.0)</f>
        <v>45756</v>
      </c>
      <c r="L86" s="179">
        <f>IFERROR(__xludf.DUMMYFUNCTION("""COMPUTED_VALUE"""),0.0)</f>
        <v>0</v>
      </c>
      <c r="M86" s="180">
        <f>IFERROR(__xludf.DUMMYFUNCTION("""COMPUTED_VALUE"""),45756.0)</f>
        <v>45756</v>
      </c>
      <c r="N86" s="179">
        <f>IFERROR(__xludf.DUMMYFUNCTION("""COMPUTED_VALUE"""),0.0)</f>
        <v>0</v>
      </c>
      <c r="O86" s="180">
        <f>IFERROR(__xludf.DUMMYFUNCTION("""COMPUTED_VALUE"""),45756.0)</f>
        <v>45756</v>
      </c>
      <c r="P86" s="179">
        <f>IFERROR(__xludf.DUMMYFUNCTION("""COMPUTED_VALUE"""),0.0)</f>
        <v>0</v>
      </c>
      <c r="Q86" s="180">
        <f>IFERROR(__xludf.DUMMYFUNCTION("""COMPUTED_VALUE"""),45756.0)</f>
        <v>45756</v>
      </c>
      <c r="R86" s="179">
        <f>IFERROR(__xludf.DUMMYFUNCTION("""COMPUTED_VALUE"""),0.0)</f>
        <v>0</v>
      </c>
      <c r="S86" s="180">
        <f>IFERROR(__xludf.DUMMYFUNCTION("""COMPUTED_VALUE"""),45756.0)</f>
        <v>45756</v>
      </c>
      <c r="T86" s="179">
        <f>IFERROR(__xludf.DUMMYFUNCTION("""COMPUTED_VALUE"""),0.0)</f>
        <v>0</v>
      </c>
      <c r="U86" s="180">
        <f>IFERROR(__xludf.DUMMYFUNCTION("""COMPUTED_VALUE"""),45756.0)</f>
        <v>45756</v>
      </c>
      <c r="V86" s="181">
        <f>IFERROR(__xludf.DUMMYFUNCTION("""COMPUTED_VALUE"""),0.0)</f>
        <v>0</v>
      </c>
      <c r="W86" s="178">
        <f>IFERROR(__xludf.DUMMYFUNCTION("""COMPUTED_VALUE"""),45756.0)</f>
        <v>45756</v>
      </c>
      <c r="X86" s="179">
        <f>IFERROR(__xludf.DUMMYFUNCTION("""COMPUTED_VALUE"""),0.0)</f>
        <v>0</v>
      </c>
      <c r="Y86" s="180">
        <f>IFERROR(__xludf.DUMMYFUNCTION("""COMPUTED_VALUE"""),45938.0)</f>
        <v>45938</v>
      </c>
      <c r="Z86" s="179">
        <f>IFERROR(__xludf.DUMMYFUNCTION("""COMPUTED_VALUE"""),0.0)</f>
        <v>0</v>
      </c>
      <c r="AA86" s="180">
        <f>IFERROR(__xludf.DUMMYFUNCTION("""COMPUTED_VALUE"""),45756.0)</f>
        <v>45756</v>
      </c>
      <c r="AB86" s="179">
        <f>IFERROR(__xludf.DUMMYFUNCTION("""COMPUTED_VALUE"""),0.0)</f>
        <v>0</v>
      </c>
      <c r="AC86" s="180">
        <f>IFERROR(__xludf.DUMMYFUNCTION("""COMPUTED_VALUE"""),45846.0)</f>
        <v>45846</v>
      </c>
      <c r="AD86" s="179">
        <f>IFERROR(__xludf.DUMMYFUNCTION("""COMPUTED_VALUE"""),0.0)</f>
        <v>0</v>
      </c>
      <c r="AE86" s="180">
        <f>IFERROR(__xludf.DUMMYFUNCTION("""COMPUTED_VALUE"""),45938.0)</f>
        <v>45938</v>
      </c>
      <c r="AF86" s="179">
        <f>IFERROR(__xludf.DUMMYFUNCTION("""COMPUTED_VALUE"""),0.0)</f>
        <v>0</v>
      </c>
      <c r="AG86" s="180">
        <f>IFERROR(__xludf.DUMMYFUNCTION("""COMPUTED_VALUE"""),45756.0)</f>
        <v>45756</v>
      </c>
      <c r="AH86" s="179">
        <f>IFERROR(__xludf.DUMMYFUNCTION("""COMPUTED_VALUE"""),0.0)</f>
        <v>0</v>
      </c>
      <c r="AI86" s="180">
        <f>IFERROR(__xludf.DUMMYFUNCTION("""COMPUTED_VALUE"""),45908.0)</f>
        <v>45908</v>
      </c>
      <c r="AJ86" s="179">
        <f>IFERROR(__xludf.DUMMYFUNCTION("""COMPUTED_VALUE"""),0.0)</f>
        <v>0</v>
      </c>
      <c r="AK86" s="180">
        <f>IFERROR(__xludf.DUMMYFUNCTION("""COMPUTED_VALUE"""),45666.0)</f>
        <v>45666</v>
      </c>
      <c r="AL86" s="179">
        <f>IFERROR(__xludf.DUMMYFUNCTION("""COMPUTED_VALUE"""),0.0)</f>
        <v>0</v>
      </c>
      <c r="AM86" s="180">
        <f>IFERROR(__xludf.DUMMYFUNCTION("""COMPUTED_VALUE"""),45756.0)</f>
        <v>45756</v>
      </c>
      <c r="AN86" s="179">
        <f>IFERROR(__xludf.DUMMYFUNCTION("""COMPUTED_VALUE"""),0.0)</f>
        <v>0</v>
      </c>
      <c r="AO86" s="180">
        <f>IFERROR(__xludf.DUMMYFUNCTION("""COMPUTED_VALUE"""),45666.0)</f>
        <v>45666</v>
      </c>
      <c r="AP86" s="181">
        <f>IFERROR(__xludf.DUMMYFUNCTION("""COMPUTED_VALUE"""),0.0)</f>
        <v>0</v>
      </c>
      <c r="AQ86" s="178">
        <f>IFERROR(__xludf.DUMMYFUNCTION("""COMPUTED_VALUE"""),45756.0)</f>
        <v>45756</v>
      </c>
      <c r="AR86" s="179">
        <f>IFERROR(__xludf.DUMMYFUNCTION("""COMPUTED_VALUE"""),0.0)</f>
        <v>0</v>
      </c>
      <c r="AS86" s="180">
        <f>IFERROR(__xludf.DUMMYFUNCTION("""COMPUTED_VALUE"""),45756.0)</f>
        <v>45756</v>
      </c>
      <c r="AT86" s="179">
        <f>IFERROR(__xludf.DUMMYFUNCTION("""COMPUTED_VALUE"""),0.0)</f>
        <v>0</v>
      </c>
      <c r="AU86" s="180">
        <f>IFERROR(__xludf.DUMMYFUNCTION("""COMPUTED_VALUE"""),45725.0)</f>
        <v>45725</v>
      </c>
      <c r="AV86" s="179">
        <f>IFERROR(__xludf.DUMMYFUNCTION("""COMPUTED_VALUE"""),0.0)</f>
        <v>0</v>
      </c>
      <c r="AW86" s="180">
        <f>IFERROR(__xludf.DUMMYFUNCTION("""COMPUTED_VALUE"""),45725.0)</f>
        <v>45725</v>
      </c>
      <c r="AX86" s="179">
        <f>IFERROR(__xludf.DUMMYFUNCTION("""COMPUTED_VALUE"""),0.0)</f>
        <v>0</v>
      </c>
      <c r="AY86" s="180">
        <f>IFERROR(__xludf.DUMMYFUNCTION("""COMPUTED_VALUE"""),45756.0)</f>
        <v>45756</v>
      </c>
      <c r="AZ86" s="179">
        <f>IFERROR(__xludf.DUMMYFUNCTION("""COMPUTED_VALUE"""),0.0)</f>
        <v>0</v>
      </c>
      <c r="BA86" s="180">
        <f>IFERROR(__xludf.DUMMYFUNCTION("""COMPUTED_VALUE"""),45756.0)</f>
        <v>45756</v>
      </c>
      <c r="BB86" s="179">
        <f>IFERROR(__xludf.DUMMYFUNCTION("""COMPUTED_VALUE"""),0.0)</f>
        <v>0</v>
      </c>
      <c r="BC86" s="180">
        <f>IFERROR(__xludf.DUMMYFUNCTION("""COMPUTED_VALUE"""),45725.0)</f>
        <v>45725</v>
      </c>
      <c r="BD86" s="179">
        <f>IFERROR(__xludf.DUMMYFUNCTION("""COMPUTED_VALUE"""),0.0)</f>
        <v>0</v>
      </c>
      <c r="BE86" s="180">
        <f>IFERROR(__xludf.DUMMYFUNCTION("""COMPUTED_VALUE"""),45756.0)</f>
        <v>45756</v>
      </c>
      <c r="BF86" s="179">
        <f>IFERROR(__xludf.DUMMYFUNCTION("""COMPUTED_VALUE"""),0.0)</f>
        <v>0</v>
      </c>
      <c r="BG86" s="180">
        <f>IFERROR(__xludf.DUMMYFUNCTION("""COMPUTED_VALUE"""),45725.0)</f>
        <v>45725</v>
      </c>
      <c r="BH86" s="179">
        <f>IFERROR(__xludf.DUMMYFUNCTION("""COMPUTED_VALUE"""),0.0)</f>
        <v>0</v>
      </c>
      <c r="BI86" s="180">
        <f>IFERROR(__xludf.DUMMYFUNCTION("""COMPUTED_VALUE"""),45756.0)</f>
        <v>45756</v>
      </c>
      <c r="BJ86" s="179">
        <f>IFERROR(__xludf.DUMMYFUNCTION("""COMPUTED_VALUE"""),0.0)</f>
        <v>0</v>
      </c>
      <c r="BK86" s="182">
        <f>IFERROR(__xludf.DUMMYFUNCTION("""COMPUTED_VALUE"""),45756.0)</f>
        <v>45756</v>
      </c>
      <c r="BL86" s="179">
        <f>IFERROR(__xludf.DUMMYFUNCTION("""COMPUTED_VALUE"""),0.0)</f>
        <v>0</v>
      </c>
      <c r="BM86" s="180">
        <f>IFERROR(__xludf.DUMMYFUNCTION("""COMPUTED_VALUE"""),45756.0)</f>
        <v>45756</v>
      </c>
      <c r="BN86" s="179">
        <f>IFERROR(__xludf.DUMMYFUNCTION("""COMPUTED_VALUE"""),0.0)</f>
        <v>0</v>
      </c>
      <c r="BO86" s="180">
        <f>IFERROR(__xludf.DUMMYFUNCTION("""COMPUTED_VALUE"""),45725.0)</f>
        <v>45725</v>
      </c>
      <c r="BP86" s="179">
        <f>IFERROR(__xludf.DUMMYFUNCTION("""COMPUTED_VALUE"""),0.0)</f>
        <v>0</v>
      </c>
      <c r="BQ86" s="180">
        <f>IFERROR(__xludf.DUMMYFUNCTION("""COMPUTED_VALUE"""),45725.0)</f>
        <v>45725</v>
      </c>
      <c r="BR86" s="179">
        <f>IFERROR(__xludf.DUMMYFUNCTION("""COMPUTED_VALUE"""),0.0)</f>
        <v>0</v>
      </c>
      <c r="BS86" s="180">
        <f>IFERROR(__xludf.DUMMYFUNCTION("""COMPUTED_VALUE"""),45756.0)</f>
        <v>45756</v>
      </c>
      <c r="BT86" s="179">
        <f>IFERROR(__xludf.DUMMYFUNCTION("""COMPUTED_VALUE"""),0.0)</f>
        <v>0</v>
      </c>
      <c r="BU86" s="180">
        <f>IFERROR(__xludf.DUMMYFUNCTION("""COMPUTED_VALUE"""),45756.0)</f>
        <v>45756</v>
      </c>
      <c r="BV86" s="179">
        <f>IFERROR(__xludf.DUMMYFUNCTION("""COMPUTED_VALUE"""),0.0)</f>
        <v>0</v>
      </c>
      <c r="BW86" s="180">
        <f>IFERROR(__xludf.DUMMYFUNCTION("""COMPUTED_VALUE"""),45756.0)</f>
        <v>45756</v>
      </c>
      <c r="BX86" s="179">
        <f>IFERROR(__xludf.DUMMYFUNCTION("""COMPUTED_VALUE"""),0.0)</f>
        <v>0</v>
      </c>
      <c r="BY86" s="180">
        <f>IFERROR(__xludf.DUMMYFUNCTION("""COMPUTED_VALUE"""),45725.0)</f>
        <v>45725</v>
      </c>
      <c r="BZ86" s="179">
        <f>IFERROR(__xludf.DUMMYFUNCTION("""COMPUTED_VALUE"""),0.0)</f>
        <v>0</v>
      </c>
      <c r="CA86" s="180">
        <f>IFERROR(__xludf.DUMMYFUNCTION("""COMPUTED_VALUE"""),45756.0)</f>
        <v>45756</v>
      </c>
      <c r="CB86" s="179">
        <f>IFERROR(__xludf.DUMMYFUNCTION("""COMPUTED_VALUE"""),0.0)</f>
        <v>0</v>
      </c>
      <c r="CC86" s="180">
        <f>IFERROR(__xludf.DUMMYFUNCTION("""COMPUTED_VALUE"""),45756.0)</f>
        <v>45756</v>
      </c>
      <c r="CD86" s="179">
        <f>IFERROR(__xludf.DUMMYFUNCTION("""COMPUTED_VALUE"""),0.0)</f>
        <v>0</v>
      </c>
      <c r="CE86" s="182">
        <f>IFERROR(__xludf.DUMMYFUNCTION("""COMPUTED_VALUE"""),45756.0)</f>
        <v>45756</v>
      </c>
      <c r="CF86" s="179">
        <f>IFERROR(__xludf.DUMMYFUNCTION("""COMPUTED_VALUE"""),0.0)</f>
        <v>0</v>
      </c>
      <c r="CG86" s="180">
        <f>IFERROR(__xludf.DUMMYFUNCTION("""COMPUTED_VALUE"""),45938.0)</f>
        <v>45938</v>
      </c>
      <c r="CH86" s="179">
        <f>IFERROR(__xludf.DUMMYFUNCTION("""COMPUTED_VALUE"""),0.0)</f>
        <v>0</v>
      </c>
      <c r="CI86" s="180">
        <f>IFERROR(__xludf.DUMMYFUNCTION("""COMPUTED_VALUE"""),45938.0)</f>
        <v>45938</v>
      </c>
      <c r="CJ86" s="179">
        <f>IFERROR(__xludf.DUMMYFUNCTION("""COMPUTED_VALUE"""),0.0)</f>
        <v>0</v>
      </c>
      <c r="CK86" s="180">
        <f>IFERROR(__xludf.DUMMYFUNCTION("""COMPUTED_VALUE"""),45666.0)</f>
        <v>45666</v>
      </c>
      <c r="CL86" s="179">
        <f>IFERROR(__xludf.DUMMYFUNCTION("""COMPUTED_VALUE"""),0.0)</f>
        <v>0</v>
      </c>
      <c r="CM86" s="180">
        <f>IFERROR(__xludf.DUMMYFUNCTION("""COMPUTED_VALUE"""),45756.0)</f>
        <v>45756</v>
      </c>
      <c r="CN86" s="179">
        <f>IFERROR(__xludf.DUMMYFUNCTION("""COMPUTED_VALUE"""),0.0)</f>
        <v>0</v>
      </c>
      <c r="CO86" s="180">
        <f>IFERROR(__xludf.DUMMYFUNCTION("""COMPUTED_VALUE"""),45725.0)</f>
        <v>45725</v>
      </c>
      <c r="CP86" s="179">
        <f>IFERROR(__xludf.DUMMYFUNCTION("""COMPUTED_VALUE"""),0.0)</f>
        <v>0</v>
      </c>
      <c r="CQ86" s="180">
        <f>IFERROR(__xludf.DUMMYFUNCTION("""COMPUTED_VALUE"""),45938.0)</f>
        <v>45938</v>
      </c>
      <c r="CR86" s="179">
        <f>IFERROR(__xludf.DUMMYFUNCTION("""COMPUTED_VALUE"""),0.0)</f>
        <v>0</v>
      </c>
      <c r="CS86" s="180">
        <f>IFERROR(__xludf.DUMMYFUNCTION("""COMPUTED_VALUE"""),45725.0)</f>
        <v>45725</v>
      </c>
      <c r="CT86" s="179">
        <f>IFERROR(__xludf.DUMMYFUNCTION("""COMPUTED_VALUE"""),0.0)</f>
        <v>0</v>
      </c>
      <c r="CU86" s="180">
        <f>IFERROR(__xludf.DUMMYFUNCTION("""COMPUTED_VALUE"""),45756.0)</f>
        <v>45756</v>
      </c>
      <c r="CV86" s="179">
        <f>IFERROR(__xludf.DUMMYFUNCTION("""COMPUTED_VALUE"""),0.0)</f>
        <v>0</v>
      </c>
      <c r="CW86" s="180">
        <f>IFERROR(__xludf.DUMMYFUNCTION("""COMPUTED_VALUE"""),45816.0)</f>
        <v>45816</v>
      </c>
      <c r="CX86" s="179">
        <f>IFERROR(__xludf.DUMMYFUNCTION("""COMPUTED_VALUE"""),0.0)</f>
        <v>0</v>
      </c>
      <c r="CY86" s="182">
        <f>IFERROR(__xludf.DUMMYFUNCTION("""COMPUTED_VALUE"""),45756.0)</f>
        <v>45756</v>
      </c>
      <c r="CZ86" s="179">
        <f>IFERROR(__xludf.DUMMYFUNCTION("""COMPUTED_VALUE"""),0.0)</f>
        <v>0</v>
      </c>
      <c r="DA86" s="180">
        <f>IFERROR(__xludf.DUMMYFUNCTION("""COMPUTED_VALUE"""),45756.0)</f>
        <v>45756</v>
      </c>
      <c r="DB86" s="179">
        <f>IFERROR(__xludf.DUMMYFUNCTION("""COMPUTED_VALUE"""),0.0)</f>
        <v>0</v>
      </c>
      <c r="DC86" s="180">
        <f>IFERROR(__xludf.DUMMYFUNCTION("""COMPUTED_VALUE"""),45756.0)</f>
        <v>45756</v>
      </c>
      <c r="DD86" s="179">
        <f>IFERROR(__xludf.DUMMYFUNCTION("""COMPUTED_VALUE"""),0.0)</f>
        <v>0</v>
      </c>
      <c r="DE86" s="180">
        <f>IFERROR(__xludf.DUMMYFUNCTION("""COMPUTED_VALUE"""),45756.0)</f>
        <v>45756</v>
      </c>
      <c r="DF86" s="179">
        <f>IFERROR(__xludf.DUMMYFUNCTION("""COMPUTED_VALUE"""),0.0)</f>
        <v>0</v>
      </c>
      <c r="DG86" s="180">
        <f>IFERROR(__xludf.DUMMYFUNCTION("""COMPUTED_VALUE"""),45756.0)</f>
        <v>45756</v>
      </c>
      <c r="DH86" s="179">
        <f>IFERROR(__xludf.DUMMYFUNCTION("""COMPUTED_VALUE"""),0.0)</f>
        <v>0</v>
      </c>
      <c r="DI86" s="180">
        <f>IFERROR(__xludf.DUMMYFUNCTION("""COMPUTED_VALUE"""),45756.0)</f>
        <v>45756</v>
      </c>
      <c r="DJ86" s="179">
        <f>IFERROR(__xludf.DUMMYFUNCTION("""COMPUTED_VALUE"""),0.0)</f>
        <v>0</v>
      </c>
      <c r="DK86" s="180">
        <f>IFERROR(__xludf.DUMMYFUNCTION("""COMPUTED_VALUE"""),45756.0)</f>
        <v>45756</v>
      </c>
      <c r="DL86" s="179">
        <f>IFERROR(__xludf.DUMMYFUNCTION("""COMPUTED_VALUE"""),0.0)</f>
        <v>0</v>
      </c>
      <c r="DM86" s="180">
        <f>IFERROR(__xludf.DUMMYFUNCTION("""COMPUTED_VALUE"""),45756.0)</f>
        <v>45756</v>
      </c>
      <c r="DN86" s="179">
        <f>IFERROR(__xludf.DUMMYFUNCTION("""COMPUTED_VALUE"""),0.0)</f>
        <v>0</v>
      </c>
      <c r="DO86" s="180">
        <f>IFERROR(__xludf.DUMMYFUNCTION("""COMPUTED_VALUE"""),45756.0)</f>
        <v>45756</v>
      </c>
      <c r="DP86" s="179">
        <f>IFERROR(__xludf.DUMMYFUNCTION("""COMPUTED_VALUE"""),0.0)</f>
        <v>0</v>
      </c>
      <c r="DQ86" s="180">
        <f>IFERROR(__xludf.DUMMYFUNCTION("""COMPUTED_VALUE"""),45756.0)</f>
        <v>45756</v>
      </c>
      <c r="DR86" s="179">
        <f>IFERROR(__xludf.DUMMYFUNCTION("""COMPUTED_VALUE"""),0.0)</f>
        <v>0</v>
      </c>
      <c r="DS86" s="182">
        <f>IFERROR(__xludf.DUMMYFUNCTION("""COMPUTED_VALUE"""),45756.0)</f>
        <v>45756</v>
      </c>
      <c r="DT86" s="179">
        <f>IFERROR(__xludf.DUMMYFUNCTION("""COMPUTED_VALUE"""),0.0)</f>
        <v>0</v>
      </c>
      <c r="DU86" s="180">
        <f>IFERROR(__xludf.DUMMYFUNCTION("""COMPUTED_VALUE"""),45756.0)</f>
        <v>45756</v>
      </c>
      <c r="DV86" s="179">
        <f>IFERROR(__xludf.DUMMYFUNCTION("""COMPUTED_VALUE"""),0.0)</f>
        <v>0</v>
      </c>
      <c r="DW86" s="180">
        <f>IFERROR(__xludf.DUMMYFUNCTION("""COMPUTED_VALUE"""),45756.0)</f>
        <v>45756</v>
      </c>
      <c r="DX86" s="179">
        <f>IFERROR(__xludf.DUMMYFUNCTION("""COMPUTED_VALUE"""),0.0)</f>
        <v>0</v>
      </c>
      <c r="DY86" s="180">
        <f>IFERROR(__xludf.DUMMYFUNCTION("""COMPUTED_VALUE"""),45756.0)</f>
        <v>45756</v>
      </c>
      <c r="DZ86" s="179">
        <f>IFERROR(__xludf.DUMMYFUNCTION("""COMPUTED_VALUE"""),0.0)</f>
        <v>0</v>
      </c>
      <c r="EA86" s="180">
        <f>IFERROR(__xludf.DUMMYFUNCTION("""COMPUTED_VALUE"""),45756.0)</f>
        <v>45756</v>
      </c>
      <c r="EB86" s="179">
        <f>IFERROR(__xludf.DUMMYFUNCTION("""COMPUTED_VALUE"""),0.0)</f>
        <v>0</v>
      </c>
      <c r="EC86" s="180">
        <f>IFERROR(__xludf.DUMMYFUNCTION("""COMPUTED_VALUE"""),45756.0)</f>
        <v>45756</v>
      </c>
      <c r="ED86" s="179">
        <f>IFERROR(__xludf.DUMMYFUNCTION("""COMPUTED_VALUE"""),0.0)</f>
        <v>0</v>
      </c>
      <c r="EE86" s="180">
        <f>IFERROR(__xludf.DUMMYFUNCTION("""COMPUTED_VALUE"""),45756.0)</f>
        <v>45756</v>
      </c>
      <c r="EF86" s="179">
        <f>IFERROR(__xludf.DUMMYFUNCTION("""COMPUTED_VALUE"""),0.0)</f>
        <v>0</v>
      </c>
      <c r="EG86" s="180">
        <f>IFERROR(__xludf.DUMMYFUNCTION("""COMPUTED_VALUE"""),45756.0)</f>
        <v>45756</v>
      </c>
      <c r="EH86" s="179">
        <f>IFERROR(__xludf.DUMMYFUNCTION("""COMPUTED_VALUE"""),0.0)</f>
        <v>0</v>
      </c>
      <c r="EI86" s="180">
        <f>IFERROR(__xludf.DUMMYFUNCTION("""COMPUTED_VALUE"""),45756.0)</f>
        <v>45756</v>
      </c>
      <c r="EJ86" s="179">
        <f>IFERROR(__xludf.DUMMYFUNCTION("""COMPUTED_VALUE"""),0.0)</f>
        <v>0</v>
      </c>
      <c r="EK86" s="180">
        <f>IFERROR(__xludf.DUMMYFUNCTION("""COMPUTED_VALUE"""),45756.0)</f>
        <v>45756</v>
      </c>
      <c r="EL86" s="179">
        <f>IFERROR(__xludf.DUMMYFUNCTION("""COMPUTED_VALUE"""),0.0)</f>
        <v>0</v>
      </c>
      <c r="EM86" s="182">
        <f>IFERROR(__xludf.DUMMYFUNCTION("""COMPUTED_VALUE"""),45756.0)</f>
        <v>45756</v>
      </c>
      <c r="EN86" s="179">
        <f>IFERROR(__xludf.DUMMYFUNCTION("""COMPUTED_VALUE"""),0.0)</f>
        <v>0</v>
      </c>
      <c r="EO86" s="180">
        <f>IFERROR(__xludf.DUMMYFUNCTION("""COMPUTED_VALUE"""),45756.0)</f>
        <v>45756</v>
      </c>
      <c r="EP86" s="179">
        <f>IFERROR(__xludf.DUMMYFUNCTION("""COMPUTED_VALUE"""),0.0)</f>
        <v>0</v>
      </c>
      <c r="EQ86" s="180">
        <f>IFERROR(__xludf.DUMMYFUNCTION("""COMPUTED_VALUE"""),45756.0)</f>
        <v>45756</v>
      </c>
      <c r="ER86" s="179">
        <f>IFERROR(__xludf.DUMMYFUNCTION("""COMPUTED_VALUE"""),0.0)</f>
        <v>0</v>
      </c>
      <c r="ES86" s="180">
        <f>IFERROR(__xludf.DUMMYFUNCTION("""COMPUTED_VALUE"""),45756.0)</f>
        <v>45756</v>
      </c>
      <c r="ET86" s="179">
        <f>IFERROR(__xludf.DUMMYFUNCTION("""COMPUTED_VALUE"""),0.0)</f>
        <v>0</v>
      </c>
      <c r="EU86" s="180">
        <f>IFERROR(__xludf.DUMMYFUNCTION("""COMPUTED_VALUE"""),45756.0)</f>
        <v>45756</v>
      </c>
      <c r="EV86" s="179">
        <f>IFERROR(__xludf.DUMMYFUNCTION("""COMPUTED_VALUE"""),0.0)</f>
        <v>0</v>
      </c>
      <c r="EW86" s="180">
        <f>IFERROR(__xludf.DUMMYFUNCTION("""COMPUTED_VALUE"""),45756.0)</f>
        <v>45756</v>
      </c>
      <c r="EX86" s="179">
        <f>IFERROR(__xludf.DUMMYFUNCTION("""COMPUTED_VALUE"""),0.0)</f>
        <v>0</v>
      </c>
      <c r="EY86" s="180">
        <f>IFERROR(__xludf.DUMMYFUNCTION("""COMPUTED_VALUE"""),45756.0)</f>
        <v>45756</v>
      </c>
      <c r="EZ86" s="179">
        <f>IFERROR(__xludf.DUMMYFUNCTION("""COMPUTED_VALUE"""),0.0)</f>
        <v>0</v>
      </c>
      <c r="FA86" s="180">
        <f>IFERROR(__xludf.DUMMYFUNCTION("""COMPUTED_VALUE"""),45756.0)</f>
        <v>45756</v>
      </c>
      <c r="FB86" s="179">
        <f>IFERROR(__xludf.DUMMYFUNCTION("""COMPUTED_VALUE"""),0.0)</f>
        <v>0</v>
      </c>
      <c r="FC86" s="180">
        <f>IFERROR(__xludf.DUMMYFUNCTION("""COMPUTED_VALUE"""),45756.0)</f>
        <v>45756</v>
      </c>
      <c r="FD86" s="179">
        <f>IFERROR(__xludf.DUMMYFUNCTION("""COMPUTED_VALUE"""),0.0)</f>
        <v>0</v>
      </c>
      <c r="FE86" s="180">
        <f>IFERROR(__xludf.DUMMYFUNCTION("""COMPUTED_VALUE"""),45756.0)</f>
        <v>45756</v>
      </c>
      <c r="FF86" s="179">
        <f>IFERROR(__xludf.DUMMYFUNCTION("""COMPUTED_VALUE"""),0.0)</f>
        <v>0</v>
      </c>
      <c r="FG86" s="182">
        <f>IFERROR(__xludf.DUMMYFUNCTION("""COMPUTED_VALUE"""),45785.0)</f>
        <v>45785</v>
      </c>
      <c r="FH86" s="179">
        <f>IFERROR(__xludf.DUMMYFUNCTION("""COMPUTED_VALUE"""),0.0)</f>
        <v>0</v>
      </c>
      <c r="FI86" s="180">
        <f>IFERROR(__xludf.DUMMYFUNCTION("""COMPUTED_VALUE"""),45755.0)</f>
        <v>45755</v>
      </c>
      <c r="FJ86" s="179">
        <f>IFERROR(__xludf.DUMMYFUNCTION("""COMPUTED_VALUE"""),0.0)</f>
        <v>0</v>
      </c>
      <c r="FK86" s="180">
        <f>IFERROR(__xludf.DUMMYFUNCTION("""COMPUTED_VALUE"""),45907.0)</f>
        <v>45907</v>
      </c>
      <c r="FL86" s="179">
        <f>IFERROR(__xludf.DUMMYFUNCTION("""COMPUTED_VALUE"""),0.0)</f>
        <v>0</v>
      </c>
      <c r="FM86" s="180">
        <f>IFERROR(__xludf.DUMMYFUNCTION("""COMPUTED_VALUE"""),45785.0)</f>
        <v>45785</v>
      </c>
      <c r="FN86" s="179">
        <f>IFERROR(__xludf.DUMMYFUNCTION("""COMPUTED_VALUE"""),0.0)</f>
        <v>0</v>
      </c>
      <c r="FO86" s="180">
        <f>IFERROR(__xludf.DUMMYFUNCTION("""COMPUTED_VALUE"""),45785.0)</f>
        <v>45785</v>
      </c>
      <c r="FP86" s="179">
        <f>IFERROR(__xludf.DUMMYFUNCTION("""COMPUTED_VALUE"""),0.0)</f>
        <v>0</v>
      </c>
      <c r="FQ86" s="180">
        <f>IFERROR(__xludf.DUMMYFUNCTION("""COMPUTED_VALUE"""),45785.0)</f>
        <v>45785</v>
      </c>
      <c r="FR86" s="179">
        <f>IFERROR(__xludf.DUMMYFUNCTION("""COMPUTED_VALUE"""),0.0)</f>
        <v>0</v>
      </c>
      <c r="FS86" s="180">
        <f>IFERROR(__xludf.DUMMYFUNCTION("""COMPUTED_VALUE"""),45755.0)</f>
        <v>45755</v>
      </c>
      <c r="FT86" s="179">
        <f>IFERROR(__xludf.DUMMYFUNCTION("""COMPUTED_VALUE"""),0.0)</f>
        <v>0</v>
      </c>
      <c r="FU86" s="180">
        <f>IFERROR(__xludf.DUMMYFUNCTION("""COMPUTED_VALUE"""),45785.0)</f>
        <v>45785</v>
      </c>
      <c r="FV86" s="179">
        <f>IFERROR(__xludf.DUMMYFUNCTION("""COMPUTED_VALUE"""),0.0)</f>
        <v>0</v>
      </c>
      <c r="FW86" s="180">
        <f>IFERROR(__xludf.DUMMYFUNCTION("""COMPUTED_VALUE"""),45785.0)</f>
        <v>45785</v>
      </c>
      <c r="FX86" s="179">
        <f>IFERROR(__xludf.DUMMYFUNCTION("""COMPUTED_VALUE"""),0.0)</f>
        <v>0</v>
      </c>
      <c r="FY86" s="180">
        <f>IFERROR(__xludf.DUMMYFUNCTION("""COMPUTED_VALUE"""),45696.0)</f>
        <v>45696</v>
      </c>
      <c r="FZ86" s="179">
        <f>IFERROR(__xludf.DUMMYFUNCTION("""COMPUTED_VALUE"""),0.0)</f>
        <v>0</v>
      </c>
      <c r="GA86" s="182">
        <f>IFERROR(__xludf.DUMMYFUNCTION("""COMPUTED_VALUE"""),45785.0)</f>
        <v>45785</v>
      </c>
      <c r="GB86" s="179">
        <f>IFERROR(__xludf.DUMMYFUNCTION("""COMPUTED_VALUE"""),0.0)</f>
        <v>0</v>
      </c>
      <c r="GC86" s="180">
        <f>IFERROR(__xludf.DUMMYFUNCTION("""COMPUTED_VALUE"""),45755.0)</f>
        <v>45755</v>
      </c>
      <c r="GD86" s="179">
        <f>IFERROR(__xludf.DUMMYFUNCTION("""COMPUTED_VALUE"""),0.0)</f>
        <v>0</v>
      </c>
      <c r="GE86" s="180">
        <f>IFERROR(__xludf.DUMMYFUNCTION("""COMPUTED_VALUE"""),45755.0)</f>
        <v>45755</v>
      </c>
      <c r="GF86" s="179">
        <f>IFERROR(__xludf.DUMMYFUNCTION("""COMPUTED_VALUE"""),0.0)</f>
        <v>0</v>
      </c>
      <c r="GG86" s="180">
        <f>IFERROR(__xludf.DUMMYFUNCTION("""COMPUTED_VALUE"""),45755.0)</f>
        <v>45755</v>
      </c>
      <c r="GH86" s="179">
        <f>IFERROR(__xludf.DUMMYFUNCTION("""COMPUTED_VALUE"""),0.0)</f>
        <v>0</v>
      </c>
      <c r="GI86" s="180">
        <f>IFERROR(__xludf.DUMMYFUNCTION("""COMPUTED_VALUE"""),45785.0)</f>
        <v>45785</v>
      </c>
      <c r="GJ86" s="179">
        <f>IFERROR(__xludf.DUMMYFUNCTION("""COMPUTED_VALUE"""),0.0)</f>
        <v>0</v>
      </c>
      <c r="GK86" s="180">
        <f>IFERROR(__xludf.DUMMYFUNCTION("""COMPUTED_VALUE"""),45785.0)</f>
        <v>45785</v>
      </c>
      <c r="GL86" s="179">
        <f>IFERROR(__xludf.DUMMYFUNCTION("""COMPUTED_VALUE"""),0.0)</f>
        <v>0</v>
      </c>
      <c r="GM86" s="180">
        <f>IFERROR(__xludf.DUMMYFUNCTION("""COMPUTED_VALUE"""),45696.0)</f>
        <v>45696</v>
      </c>
      <c r="GN86" s="179">
        <f>IFERROR(__xludf.DUMMYFUNCTION("""COMPUTED_VALUE"""),0.0)</f>
        <v>0</v>
      </c>
      <c r="GO86" s="180">
        <f>IFERROR(__xludf.DUMMYFUNCTION("""COMPUTED_VALUE"""),45785.0)</f>
        <v>45785</v>
      </c>
      <c r="GP86" s="179">
        <f>IFERROR(__xludf.DUMMYFUNCTION("""COMPUTED_VALUE"""),0.0)</f>
        <v>0</v>
      </c>
      <c r="GQ86" s="180">
        <f>IFERROR(__xludf.DUMMYFUNCTION("""COMPUTED_VALUE"""),45785.0)</f>
        <v>45785</v>
      </c>
      <c r="GR86" s="179">
        <f>IFERROR(__xludf.DUMMYFUNCTION("""COMPUTED_VALUE"""),0.0)</f>
        <v>0</v>
      </c>
      <c r="GS86" s="180">
        <f>IFERROR(__xludf.DUMMYFUNCTION("""COMPUTED_VALUE"""),45724.0)</f>
        <v>45724</v>
      </c>
      <c r="GT86" s="179">
        <f>IFERROR(__xludf.DUMMYFUNCTION("""COMPUTED_VALUE"""),0.0)</f>
        <v>0</v>
      </c>
    </row>
    <row r="87" ht="31.5" customHeight="1">
      <c r="B87" s="183"/>
      <c r="C87" s="178">
        <f>IFERROR(__xludf.DUMMYFUNCTION("""COMPUTED_VALUE"""),45786.0)</f>
        <v>45786</v>
      </c>
      <c r="D87" s="179">
        <f>IFERROR(__xludf.DUMMYFUNCTION("""COMPUTED_VALUE"""),0.0)</f>
        <v>0</v>
      </c>
      <c r="E87" s="180">
        <f>IFERROR(__xludf.DUMMYFUNCTION("""COMPUTED_VALUE"""),45786.0)</f>
        <v>45786</v>
      </c>
      <c r="F87" s="179">
        <f>IFERROR(__xludf.DUMMYFUNCTION("""COMPUTED_VALUE"""),0.0)</f>
        <v>0</v>
      </c>
      <c r="G87" s="180">
        <f>IFERROR(__xludf.DUMMYFUNCTION("""COMPUTED_VALUE"""),45786.0)</f>
        <v>45786</v>
      </c>
      <c r="H87" s="179">
        <f>IFERROR(__xludf.DUMMYFUNCTION("""COMPUTED_VALUE"""),0.0)</f>
        <v>0</v>
      </c>
      <c r="I87" s="180">
        <f>IFERROR(__xludf.DUMMYFUNCTION("""COMPUTED_VALUE"""),45786.0)</f>
        <v>45786</v>
      </c>
      <c r="J87" s="179">
        <f>IFERROR(__xludf.DUMMYFUNCTION("""COMPUTED_VALUE"""),0.0)</f>
        <v>0</v>
      </c>
      <c r="K87" s="180">
        <f>IFERROR(__xludf.DUMMYFUNCTION("""COMPUTED_VALUE"""),45786.0)</f>
        <v>45786</v>
      </c>
      <c r="L87" s="179">
        <f>IFERROR(__xludf.DUMMYFUNCTION("""COMPUTED_VALUE"""),0.0)</f>
        <v>0</v>
      </c>
      <c r="M87" s="180">
        <f>IFERROR(__xludf.DUMMYFUNCTION("""COMPUTED_VALUE"""),45786.0)</f>
        <v>45786</v>
      </c>
      <c r="N87" s="179">
        <f>IFERROR(__xludf.DUMMYFUNCTION("""COMPUTED_VALUE"""),0.0)</f>
        <v>0</v>
      </c>
      <c r="O87" s="180">
        <f>IFERROR(__xludf.DUMMYFUNCTION("""COMPUTED_VALUE"""),45786.0)</f>
        <v>45786</v>
      </c>
      <c r="P87" s="179">
        <f>IFERROR(__xludf.DUMMYFUNCTION("""COMPUTED_VALUE"""),0.0)</f>
        <v>0</v>
      </c>
      <c r="Q87" s="180">
        <f>IFERROR(__xludf.DUMMYFUNCTION("""COMPUTED_VALUE"""),45786.0)</f>
        <v>45786</v>
      </c>
      <c r="R87" s="179">
        <f>IFERROR(__xludf.DUMMYFUNCTION("""COMPUTED_VALUE"""),0.0)</f>
        <v>0</v>
      </c>
      <c r="S87" s="180">
        <f>IFERROR(__xludf.DUMMYFUNCTION("""COMPUTED_VALUE"""),45786.0)</f>
        <v>45786</v>
      </c>
      <c r="T87" s="179">
        <f>IFERROR(__xludf.DUMMYFUNCTION("""COMPUTED_VALUE"""),0.0)</f>
        <v>0</v>
      </c>
      <c r="U87" s="180">
        <f>IFERROR(__xludf.DUMMYFUNCTION("""COMPUTED_VALUE"""),45786.0)</f>
        <v>45786</v>
      </c>
      <c r="V87" s="181">
        <f>IFERROR(__xludf.DUMMYFUNCTION("""COMPUTED_VALUE"""),0.0)</f>
        <v>0</v>
      </c>
      <c r="W87" s="178">
        <f>IFERROR(__xludf.DUMMYFUNCTION("""COMPUTED_VALUE"""),45786.0)</f>
        <v>45786</v>
      </c>
      <c r="X87" s="179">
        <f>IFERROR(__xludf.DUMMYFUNCTION("""COMPUTED_VALUE"""),0.0)</f>
        <v>0</v>
      </c>
      <c r="Y87" s="180">
        <f>IFERROR(__xludf.DUMMYFUNCTION("""COMPUTED_VALUE"""),45666.0)</f>
        <v>45666</v>
      </c>
      <c r="Z87" s="179">
        <f>IFERROR(__xludf.DUMMYFUNCTION("""COMPUTED_VALUE"""),0.0)</f>
        <v>0</v>
      </c>
      <c r="AA87" s="180">
        <f>IFERROR(__xludf.DUMMYFUNCTION("""COMPUTED_VALUE"""),45786.0)</f>
        <v>45786</v>
      </c>
      <c r="AB87" s="179">
        <f>IFERROR(__xludf.DUMMYFUNCTION("""COMPUTED_VALUE"""),0.0)</f>
        <v>0</v>
      </c>
      <c r="AC87" s="180">
        <f>IFERROR(__xludf.DUMMYFUNCTION("""COMPUTED_VALUE"""),45877.0)</f>
        <v>45877</v>
      </c>
      <c r="AD87" s="179">
        <f>IFERROR(__xludf.DUMMYFUNCTION("""COMPUTED_VALUE"""),0.0)</f>
        <v>0</v>
      </c>
      <c r="AE87" s="180">
        <f>IFERROR(__xludf.DUMMYFUNCTION("""COMPUTED_VALUE"""),45666.0)</f>
        <v>45666</v>
      </c>
      <c r="AF87" s="179">
        <f>IFERROR(__xludf.DUMMYFUNCTION("""COMPUTED_VALUE"""),0.0)</f>
        <v>0</v>
      </c>
      <c r="AG87" s="180">
        <f>IFERROR(__xludf.DUMMYFUNCTION("""COMPUTED_VALUE"""),45786.0)</f>
        <v>45786</v>
      </c>
      <c r="AH87" s="179">
        <f>IFERROR(__xludf.DUMMYFUNCTION("""COMPUTED_VALUE"""),0.0)</f>
        <v>0</v>
      </c>
      <c r="AI87" s="180">
        <f>IFERROR(__xludf.DUMMYFUNCTION("""COMPUTED_VALUE"""),45938.0)</f>
        <v>45938</v>
      </c>
      <c r="AJ87" s="179">
        <f>IFERROR(__xludf.DUMMYFUNCTION("""COMPUTED_VALUE"""),0.0)</f>
        <v>0</v>
      </c>
      <c r="AK87" s="180">
        <f>IFERROR(__xludf.DUMMYFUNCTION("""COMPUTED_VALUE"""),45725.0)</f>
        <v>45725</v>
      </c>
      <c r="AL87" s="179">
        <f>IFERROR(__xludf.DUMMYFUNCTION("""COMPUTED_VALUE"""),0.0)</f>
        <v>0</v>
      </c>
      <c r="AM87" s="180">
        <f>IFERROR(__xludf.DUMMYFUNCTION("""COMPUTED_VALUE"""),45786.0)</f>
        <v>45786</v>
      </c>
      <c r="AN87" s="179">
        <f>IFERROR(__xludf.DUMMYFUNCTION("""COMPUTED_VALUE"""),0.0)</f>
        <v>0</v>
      </c>
      <c r="AO87" s="180">
        <f>IFERROR(__xludf.DUMMYFUNCTION("""COMPUTED_VALUE"""),45725.0)</f>
        <v>45725</v>
      </c>
      <c r="AP87" s="181">
        <f>IFERROR(__xludf.DUMMYFUNCTION("""COMPUTED_VALUE"""),0.0)</f>
        <v>0</v>
      </c>
      <c r="AQ87" s="178">
        <f>IFERROR(__xludf.DUMMYFUNCTION("""COMPUTED_VALUE"""),45786.0)</f>
        <v>45786</v>
      </c>
      <c r="AR87" s="179">
        <f>IFERROR(__xludf.DUMMYFUNCTION("""COMPUTED_VALUE"""),0.0)</f>
        <v>0</v>
      </c>
      <c r="AS87" s="180">
        <f>IFERROR(__xludf.DUMMYFUNCTION("""COMPUTED_VALUE"""),45786.0)</f>
        <v>45786</v>
      </c>
      <c r="AT87" s="179">
        <f>IFERROR(__xludf.DUMMYFUNCTION("""COMPUTED_VALUE"""),0.0)</f>
        <v>0</v>
      </c>
      <c r="AU87" s="180">
        <f>IFERROR(__xludf.DUMMYFUNCTION("""COMPUTED_VALUE"""),45756.0)</f>
        <v>45756</v>
      </c>
      <c r="AV87" s="179">
        <f>IFERROR(__xludf.DUMMYFUNCTION("""COMPUTED_VALUE"""),0.0)</f>
        <v>0</v>
      </c>
      <c r="AW87" s="180">
        <f>IFERROR(__xludf.DUMMYFUNCTION("""COMPUTED_VALUE"""),45756.0)</f>
        <v>45756</v>
      </c>
      <c r="AX87" s="179">
        <f>IFERROR(__xludf.DUMMYFUNCTION("""COMPUTED_VALUE"""),0.0)</f>
        <v>0</v>
      </c>
      <c r="AY87" s="180">
        <f>IFERROR(__xludf.DUMMYFUNCTION("""COMPUTED_VALUE"""),45786.0)</f>
        <v>45786</v>
      </c>
      <c r="AZ87" s="179">
        <f>IFERROR(__xludf.DUMMYFUNCTION("""COMPUTED_VALUE"""),0.0)</f>
        <v>0</v>
      </c>
      <c r="BA87" s="180">
        <f>IFERROR(__xludf.DUMMYFUNCTION("""COMPUTED_VALUE"""),45786.0)</f>
        <v>45786</v>
      </c>
      <c r="BB87" s="179">
        <f>IFERROR(__xludf.DUMMYFUNCTION("""COMPUTED_VALUE"""),0.0)</f>
        <v>0</v>
      </c>
      <c r="BC87" s="180">
        <f>IFERROR(__xludf.DUMMYFUNCTION("""COMPUTED_VALUE"""),45756.0)</f>
        <v>45756</v>
      </c>
      <c r="BD87" s="179">
        <f>IFERROR(__xludf.DUMMYFUNCTION("""COMPUTED_VALUE"""),0.0)</f>
        <v>0</v>
      </c>
      <c r="BE87" s="180">
        <f>IFERROR(__xludf.DUMMYFUNCTION("""COMPUTED_VALUE"""),45786.0)</f>
        <v>45786</v>
      </c>
      <c r="BF87" s="179">
        <f>IFERROR(__xludf.DUMMYFUNCTION("""COMPUTED_VALUE"""),0.0)</f>
        <v>0</v>
      </c>
      <c r="BG87" s="180">
        <f>IFERROR(__xludf.DUMMYFUNCTION("""COMPUTED_VALUE"""),45756.0)</f>
        <v>45756</v>
      </c>
      <c r="BH87" s="179">
        <f>IFERROR(__xludf.DUMMYFUNCTION("""COMPUTED_VALUE"""),0.0)</f>
        <v>0</v>
      </c>
      <c r="BI87" s="180">
        <f>IFERROR(__xludf.DUMMYFUNCTION("""COMPUTED_VALUE"""),45786.0)</f>
        <v>45786</v>
      </c>
      <c r="BJ87" s="179">
        <f>IFERROR(__xludf.DUMMYFUNCTION("""COMPUTED_VALUE"""),0.0)</f>
        <v>0</v>
      </c>
      <c r="BK87" s="182">
        <f>IFERROR(__xludf.DUMMYFUNCTION("""COMPUTED_VALUE"""),45786.0)</f>
        <v>45786</v>
      </c>
      <c r="BL87" s="179">
        <f>IFERROR(__xludf.DUMMYFUNCTION("""COMPUTED_VALUE"""),0.0)</f>
        <v>0</v>
      </c>
      <c r="BM87" s="180">
        <f>IFERROR(__xludf.DUMMYFUNCTION("""COMPUTED_VALUE"""),45786.0)</f>
        <v>45786</v>
      </c>
      <c r="BN87" s="179">
        <f>IFERROR(__xludf.DUMMYFUNCTION("""COMPUTED_VALUE"""),0.0)</f>
        <v>0</v>
      </c>
      <c r="BO87" s="180">
        <f>IFERROR(__xludf.DUMMYFUNCTION("""COMPUTED_VALUE"""),45756.0)</f>
        <v>45756</v>
      </c>
      <c r="BP87" s="179">
        <f>IFERROR(__xludf.DUMMYFUNCTION("""COMPUTED_VALUE"""),0.0)</f>
        <v>0</v>
      </c>
      <c r="BQ87" s="180">
        <f>IFERROR(__xludf.DUMMYFUNCTION("""COMPUTED_VALUE"""),45756.0)</f>
        <v>45756</v>
      </c>
      <c r="BR87" s="179">
        <f>IFERROR(__xludf.DUMMYFUNCTION("""COMPUTED_VALUE"""),0.0)</f>
        <v>0</v>
      </c>
      <c r="BS87" s="180">
        <f>IFERROR(__xludf.DUMMYFUNCTION("""COMPUTED_VALUE"""),45786.0)</f>
        <v>45786</v>
      </c>
      <c r="BT87" s="179">
        <f>IFERROR(__xludf.DUMMYFUNCTION("""COMPUTED_VALUE"""),0.0)</f>
        <v>0</v>
      </c>
      <c r="BU87" s="180">
        <f>IFERROR(__xludf.DUMMYFUNCTION("""COMPUTED_VALUE"""),45786.0)</f>
        <v>45786</v>
      </c>
      <c r="BV87" s="179">
        <f>IFERROR(__xludf.DUMMYFUNCTION("""COMPUTED_VALUE"""),0.0)</f>
        <v>0</v>
      </c>
      <c r="BW87" s="180">
        <f>IFERROR(__xludf.DUMMYFUNCTION("""COMPUTED_VALUE"""),45786.0)</f>
        <v>45786</v>
      </c>
      <c r="BX87" s="179">
        <f>IFERROR(__xludf.DUMMYFUNCTION("""COMPUTED_VALUE"""),0.0)</f>
        <v>0</v>
      </c>
      <c r="BY87" s="180">
        <f>IFERROR(__xludf.DUMMYFUNCTION("""COMPUTED_VALUE"""),45756.0)</f>
        <v>45756</v>
      </c>
      <c r="BZ87" s="179">
        <f>IFERROR(__xludf.DUMMYFUNCTION("""COMPUTED_VALUE"""),0.0)</f>
        <v>0</v>
      </c>
      <c r="CA87" s="180">
        <f>IFERROR(__xludf.DUMMYFUNCTION("""COMPUTED_VALUE"""),45786.0)</f>
        <v>45786</v>
      </c>
      <c r="CB87" s="179">
        <f>IFERROR(__xludf.DUMMYFUNCTION("""COMPUTED_VALUE"""),0.0)</f>
        <v>0</v>
      </c>
      <c r="CC87" s="180">
        <f>IFERROR(__xludf.DUMMYFUNCTION("""COMPUTED_VALUE"""),45786.0)</f>
        <v>45786</v>
      </c>
      <c r="CD87" s="179">
        <f>IFERROR(__xludf.DUMMYFUNCTION("""COMPUTED_VALUE"""),0.0)</f>
        <v>0</v>
      </c>
      <c r="CE87" s="182">
        <f>IFERROR(__xludf.DUMMYFUNCTION("""COMPUTED_VALUE"""),45786.0)</f>
        <v>45786</v>
      </c>
      <c r="CF87" s="179">
        <f>IFERROR(__xludf.DUMMYFUNCTION("""COMPUTED_VALUE"""),0.0)</f>
        <v>0</v>
      </c>
      <c r="CG87" s="180">
        <f>IFERROR(__xludf.DUMMYFUNCTION("""COMPUTED_VALUE"""),45666.0)</f>
        <v>45666</v>
      </c>
      <c r="CH87" s="179">
        <f>IFERROR(__xludf.DUMMYFUNCTION("""COMPUTED_VALUE"""),0.0)</f>
        <v>0</v>
      </c>
      <c r="CI87" s="180">
        <f>IFERROR(__xludf.DUMMYFUNCTION("""COMPUTED_VALUE"""),45666.0)</f>
        <v>45666</v>
      </c>
      <c r="CJ87" s="179">
        <f>IFERROR(__xludf.DUMMYFUNCTION("""COMPUTED_VALUE"""),0.0)</f>
        <v>0</v>
      </c>
      <c r="CK87" s="180">
        <f>IFERROR(__xludf.DUMMYFUNCTION("""COMPUTED_VALUE"""),45697.0)</f>
        <v>45697</v>
      </c>
      <c r="CL87" s="179">
        <f>IFERROR(__xludf.DUMMYFUNCTION("""COMPUTED_VALUE"""),0.0)</f>
        <v>0</v>
      </c>
      <c r="CM87" s="180">
        <f>IFERROR(__xludf.DUMMYFUNCTION("""COMPUTED_VALUE"""),45786.0)</f>
        <v>45786</v>
      </c>
      <c r="CN87" s="179">
        <f>IFERROR(__xludf.DUMMYFUNCTION("""COMPUTED_VALUE"""),0.0)</f>
        <v>0</v>
      </c>
      <c r="CO87" s="180">
        <f>IFERROR(__xludf.DUMMYFUNCTION("""COMPUTED_VALUE"""),45756.0)</f>
        <v>45756</v>
      </c>
      <c r="CP87" s="179">
        <f>IFERROR(__xludf.DUMMYFUNCTION("""COMPUTED_VALUE"""),0.0)</f>
        <v>0</v>
      </c>
      <c r="CQ87" s="180">
        <f>IFERROR(__xludf.DUMMYFUNCTION("""COMPUTED_VALUE"""),45666.0)</f>
        <v>45666</v>
      </c>
      <c r="CR87" s="179">
        <f>IFERROR(__xludf.DUMMYFUNCTION("""COMPUTED_VALUE"""),0.0)</f>
        <v>0</v>
      </c>
      <c r="CS87" s="180">
        <f>IFERROR(__xludf.DUMMYFUNCTION("""COMPUTED_VALUE"""),45756.0)</f>
        <v>45756</v>
      </c>
      <c r="CT87" s="179">
        <f>IFERROR(__xludf.DUMMYFUNCTION("""COMPUTED_VALUE"""),0.0)</f>
        <v>0</v>
      </c>
      <c r="CU87" s="180">
        <f>IFERROR(__xludf.DUMMYFUNCTION("""COMPUTED_VALUE"""),45786.0)</f>
        <v>45786</v>
      </c>
      <c r="CV87" s="179">
        <f>IFERROR(__xludf.DUMMYFUNCTION("""COMPUTED_VALUE"""),0.0)</f>
        <v>0</v>
      </c>
      <c r="CW87" s="180">
        <f>IFERROR(__xludf.DUMMYFUNCTION("""COMPUTED_VALUE"""),45846.0)</f>
        <v>45846</v>
      </c>
      <c r="CX87" s="179">
        <f>IFERROR(__xludf.DUMMYFUNCTION("""COMPUTED_VALUE"""),0.0)</f>
        <v>0</v>
      </c>
      <c r="CY87" s="182">
        <f>IFERROR(__xludf.DUMMYFUNCTION("""COMPUTED_VALUE"""),45786.0)</f>
        <v>45786</v>
      </c>
      <c r="CZ87" s="179">
        <f>IFERROR(__xludf.DUMMYFUNCTION("""COMPUTED_VALUE"""),0.0)</f>
        <v>0</v>
      </c>
      <c r="DA87" s="180">
        <f>IFERROR(__xludf.DUMMYFUNCTION("""COMPUTED_VALUE"""),45786.0)</f>
        <v>45786</v>
      </c>
      <c r="DB87" s="179">
        <f>IFERROR(__xludf.DUMMYFUNCTION("""COMPUTED_VALUE"""),0.0)</f>
        <v>0</v>
      </c>
      <c r="DC87" s="180">
        <f>IFERROR(__xludf.DUMMYFUNCTION("""COMPUTED_VALUE"""),45786.0)</f>
        <v>45786</v>
      </c>
      <c r="DD87" s="179">
        <f>IFERROR(__xludf.DUMMYFUNCTION("""COMPUTED_VALUE"""),0.0)</f>
        <v>0</v>
      </c>
      <c r="DE87" s="180">
        <f>IFERROR(__xludf.DUMMYFUNCTION("""COMPUTED_VALUE"""),45786.0)</f>
        <v>45786</v>
      </c>
      <c r="DF87" s="179">
        <f>IFERROR(__xludf.DUMMYFUNCTION("""COMPUTED_VALUE"""),0.0)</f>
        <v>0</v>
      </c>
      <c r="DG87" s="180">
        <f>IFERROR(__xludf.DUMMYFUNCTION("""COMPUTED_VALUE"""),45786.0)</f>
        <v>45786</v>
      </c>
      <c r="DH87" s="179">
        <f>IFERROR(__xludf.DUMMYFUNCTION("""COMPUTED_VALUE"""),0.0)</f>
        <v>0</v>
      </c>
      <c r="DI87" s="180">
        <f>IFERROR(__xludf.DUMMYFUNCTION("""COMPUTED_VALUE"""),45786.0)</f>
        <v>45786</v>
      </c>
      <c r="DJ87" s="179">
        <f>IFERROR(__xludf.DUMMYFUNCTION("""COMPUTED_VALUE"""),0.0)</f>
        <v>0</v>
      </c>
      <c r="DK87" s="180">
        <f>IFERROR(__xludf.DUMMYFUNCTION("""COMPUTED_VALUE"""),45786.0)</f>
        <v>45786</v>
      </c>
      <c r="DL87" s="179">
        <f>IFERROR(__xludf.DUMMYFUNCTION("""COMPUTED_VALUE"""),0.0)</f>
        <v>0</v>
      </c>
      <c r="DM87" s="180">
        <f>IFERROR(__xludf.DUMMYFUNCTION("""COMPUTED_VALUE"""),45786.0)</f>
        <v>45786</v>
      </c>
      <c r="DN87" s="179">
        <f>IFERROR(__xludf.DUMMYFUNCTION("""COMPUTED_VALUE"""),0.0)</f>
        <v>0</v>
      </c>
      <c r="DO87" s="180">
        <f>IFERROR(__xludf.DUMMYFUNCTION("""COMPUTED_VALUE"""),45786.0)</f>
        <v>45786</v>
      </c>
      <c r="DP87" s="179">
        <f>IFERROR(__xludf.DUMMYFUNCTION("""COMPUTED_VALUE"""),0.0)</f>
        <v>0</v>
      </c>
      <c r="DQ87" s="180">
        <f>IFERROR(__xludf.DUMMYFUNCTION("""COMPUTED_VALUE"""),45786.0)</f>
        <v>45786</v>
      </c>
      <c r="DR87" s="179">
        <f>IFERROR(__xludf.DUMMYFUNCTION("""COMPUTED_VALUE"""),0.0)</f>
        <v>0</v>
      </c>
      <c r="DS87" s="182">
        <f>IFERROR(__xludf.DUMMYFUNCTION("""COMPUTED_VALUE"""),45786.0)</f>
        <v>45786</v>
      </c>
      <c r="DT87" s="179">
        <f>IFERROR(__xludf.DUMMYFUNCTION("""COMPUTED_VALUE"""),0.0)</f>
        <v>0</v>
      </c>
      <c r="DU87" s="180">
        <f>IFERROR(__xludf.DUMMYFUNCTION("""COMPUTED_VALUE"""),45786.0)</f>
        <v>45786</v>
      </c>
      <c r="DV87" s="179">
        <f>IFERROR(__xludf.DUMMYFUNCTION("""COMPUTED_VALUE"""),0.0)</f>
        <v>0</v>
      </c>
      <c r="DW87" s="180">
        <f>IFERROR(__xludf.DUMMYFUNCTION("""COMPUTED_VALUE"""),45786.0)</f>
        <v>45786</v>
      </c>
      <c r="DX87" s="179">
        <f>IFERROR(__xludf.DUMMYFUNCTION("""COMPUTED_VALUE"""),0.0)</f>
        <v>0</v>
      </c>
      <c r="DY87" s="180">
        <f>IFERROR(__xludf.DUMMYFUNCTION("""COMPUTED_VALUE"""),45786.0)</f>
        <v>45786</v>
      </c>
      <c r="DZ87" s="179">
        <f>IFERROR(__xludf.DUMMYFUNCTION("""COMPUTED_VALUE"""),0.0)</f>
        <v>0</v>
      </c>
      <c r="EA87" s="180">
        <f>IFERROR(__xludf.DUMMYFUNCTION("""COMPUTED_VALUE"""),45786.0)</f>
        <v>45786</v>
      </c>
      <c r="EB87" s="179">
        <f>IFERROR(__xludf.DUMMYFUNCTION("""COMPUTED_VALUE"""),0.0)</f>
        <v>0</v>
      </c>
      <c r="EC87" s="180">
        <f>IFERROR(__xludf.DUMMYFUNCTION("""COMPUTED_VALUE"""),45786.0)</f>
        <v>45786</v>
      </c>
      <c r="ED87" s="179">
        <f>IFERROR(__xludf.DUMMYFUNCTION("""COMPUTED_VALUE"""),0.0)</f>
        <v>0</v>
      </c>
      <c r="EE87" s="180">
        <f>IFERROR(__xludf.DUMMYFUNCTION("""COMPUTED_VALUE"""),45786.0)</f>
        <v>45786</v>
      </c>
      <c r="EF87" s="179">
        <f>IFERROR(__xludf.DUMMYFUNCTION("""COMPUTED_VALUE"""),0.0)</f>
        <v>0</v>
      </c>
      <c r="EG87" s="180">
        <f>IFERROR(__xludf.DUMMYFUNCTION("""COMPUTED_VALUE"""),45786.0)</f>
        <v>45786</v>
      </c>
      <c r="EH87" s="179">
        <f>IFERROR(__xludf.DUMMYFUNCTION("""COMPUTED_VALUE"""),0.0)</f>
        <v>0</v>
      </c>
      <c r="EI87" s="180">
        <f>IFERROR(__xludf.DUMMYFUNCTION("""COMPUTED_VALUE"""),45786.0)</f>
        <v>45786</v>
      </c>
      <c r="EJ87" s="179">
        <f>IFERROR(__xludf.DUMMYFUNCTION("""COMPUTED_VALUE"""),0.0)</f>
        <v>0</v>
      </c>
      <c r="EK87" s="180">
        <f>IFERROR(__xludf.DUMMYFUNCTION("""COMPUTED_VALUE"""),45786.0)</f>
        <v>45786</v>
      </c>
      <c r="EL87" s="179">
        <f>IFERROR(__xludf.DUMMYFUNCTION("""COMPUTED_VALUE"""),0.0)</f>
        <v>0</v>
      </c>
      <c r="EM87" s="182">
        <f>IFERROR(__xludf.DUMMYFUNCTION("""COMPUTED_VALUE"""),45786.0)</f>
        <v>45786</v>
      </c>
      <c r="EN87" s="179">
        <f>IFERROR(__xludf.DUMMYFUNCTION("""COMPUTED_VALUE"""),0.0)</f>
        <v>0</v>
      </c>
      <c r="EO87" s="180">
        <f>IFERROR(__xludf.DUMMYFUNCTION("""COMPUTED_VALUE"""),45786.0)</f>
        <v>45786</v>
      </c>
      <c r="EP87" s="179">
        <f>IFERROR(__xludf.DUMMYFUNCTION("""COMPUTED_VALUE"""),0.0)</f>
        <v>0</v>
      </c>
      <c r="EQ87" s="180">
        <f>IFERROR(__xludf.DUMMYFUNCTION("""COMPUTED_VALUE"""),45786.0)</f>
        <v>45786</v>
      </c>
      <c r="ER87" s="179">
        <f>IFERROR(__xludf.DUMMYFUNCTION("""COMPUTED_VALUE"""),0.0)</f>
        <v>0</v>
      </c>
      <c r="ES87" s="180">
        <f>IFERROR(__xludf.DUMMYFUNCTION("""COMPUTED_VALUE"""),45786.0)</f>
        <v>45786</v>
      </c>
      <c r="ET87" s="179">
        <f>IFERROR(__xludf.DUMMYFUNCTION("""COMPUTED_VALUE"""),0.0)</f>
        <v>0</v>
      </c>
      <c r="EU87" s="180">
        <f>IFERROR(__xludf.DUMMYFUNCTION("""COMPUTED_VALUE"""),45786.0)</f>
        <v>45786</v>
      </c>
      <c r="EV87" s="179">
        <f>IFERROR(__xludf.DUMMYFUNCTION("""COMPUTED_VALUE"""),0.0)</f>
        <v>0</v>
      </c>
      <c r="EW87" s="180">
        <f>IFERROR(__xludf.DUMMYFUNCTION("""COMPUTED_VALUE"""),45786.0)</f>
        <v>45786</v>
      </c>
      <c r="EX87" s="179">
        <f>IFERROR(__xludf.DUMMYFUNCTION("""COMPUTED_VALUE"""),0.0)</f>
        <v>0</v>
      </c>
      <c r="EY87" s="180">
        <f>IFERROR(__xludf.DUMMYFUNCTION("""COMPUTED_VALUE"""),45786.0)</f>
        <v>45786</v>
      </c>
      <c r="EZ87" s="179">
        <f>IFERROR(__xludf.DUMMYFUNCTION("""COMPUTED_VALUE"""),0.0)</f>
        <v>0</v>
      </c>
      <c r="FA87" s="180">
        <f>IFERROR(__xludf.DUMMYFUNCTION("""COMPUTED_VALUE"""),45786.0)</f>
        <v>45786</v>
      </c>
      <c r="FB87" s="179">
        <f>IFERROR(__xludf.DUMMYFUNCTION("""COMPUTED_VALUE"""),0.0)</f>
        <v>0</v>
      </c>
      <c r="FC87" s="180">
        <f>IFERROR(__xludf.DUMMYFUNCTION("""COMPUTED_VALUE"""),45786.0)</f>
        <v>45786</v>
      </c>
      <c r="FD87" s="179">
        <f>IFERROR(__xludf.DUMMYFUNCTION("""COMPUTED_VALUE"""),0.0)</f>
        <v>0</v>
      </c>
      <c r="FE87" s="180">
        <f>IFERROR(__xludf.DUMMYFUNCTION("""COMPUTED_VALUE"""),45786.0)</f>
        <v>45786</v>
      </c>
      <c r="FF87" s="179">
        <f>IFERROR(__xludf.DUMMYFUNCTION("""COMPUTED_VALUE"""),0.0)</f>
        <v>0</v>
      </c>
      <c r="FG87" s="182">
        <f>IFERROR(__xludf.DUMMYFUNCTION("""COMPUTED_VALUE"""),45816.0)</f>
        <v>45816</v>
      </c>
      <c r="FH87" s="179">
        <f>IFERROR(__xludf.DUMMYFUNCTION("""COMPUTED_VALUE"""),0.0)</f>
        <v>0</v>
      </c>
      <c r="FI87" s="180">
        <f>IFERROR(__xludf.DUMMYFUNCTION("""COMPUTED_VALUE"""),45785.0)</f>
        <v>45785</v>
      </c>
      <c r="FJ87" s="179">
        <f>IFERROR(__xludf.DUMMYFUNCTION("""COMPUTED_VALUE"""),0.0)</f>
        <v>0</v>
      </c>
      <c r="FK87" s="180">
        <f>IFERROR(__xludf.DUMMYFUNCTION("""COMPUTED_VALUE"""),45937.0)</f>
        <v>45937</v>
      </c>
      <c r="FL87" s="179">
        <f>IFERROR(__xludf.DUMMYFUNCTION("""COMPUTED_VALUE"""),0.0)</f>
        <v>0</v>
      </c>
      <c r="FM87" s="180">
        <f>IFERROR(__xludf.DUMMYFUNCTION("""COMPUTED_VALUE"""),45816.0)</f>
        <v>45816</v>
      </c>
      <c r="FN87" s="179">
        <f>IFERROR(__xludf.DUMMYFUNCTION("""COMPUTED_VALUE"""),0.0)</f>
        <v>0</v>
      </c>
      <c r="FO87" s="180">
        <f>IFERROR(__xludf.DUMMYFUNCTION("""COMPUTED_VALUE"""),45816.0)</f>
        <v>45816</v>
      </c>
      <c r="FP87" s="179">
        <f>IFERROR(__xludf.DUMMYFUNCTION("""COMPUTED_VALUE"""),0.0)</f>
        <v>0</v>
      </c>
      <c r="FQ87" s="180">
        <f>IFERROR(__xludf.DUMMYFUNCTION("""COMPUTED_VALUE"""),45816.0)</f>
        <v>45816</v>
      </c>
      <c r="FR87" s="179">
        <f>IFERROR(__xludf.DUMMYFUNCTION("""COMPUTED_VALUE"""),0.0)</f>
        <v>0</v>
      </c>
      <c r="FS87" s="180">
        <f>IFERROR(__xludf.DUMMYFUNCTION("""COMPUTED_VALUE"""),45785.0)</f>
        <v>45785</v>
      </c>
      <c r="FT87" s="179">
        <f>IFERROR(__xludf.DUMMYFUNCTION("""COMPUTED_VALUE"""),0.0)</f>
        <v>0</v>
      </c>
      <c r="FU87" s="180">
        <f>IFERROR(__xludf.DUMMYFUNCTION("""COMPUTED_VALUE"""),45816.0)</f>
        <v>45816</v>
      </c>
      <c r="FV87" s="179">
        <f>IFERROR(__xludf.DUMMYFUNCTION("""COMPUTED_VALUE"""),0.0)</f>
        <v>0</v>
      </c>
      <c r="FW87" s="180">
        <f>IFERROR(__xludf.DUMMYFUNCTION("""COMPUTED_VALUE"""),45816.0)</f>
        <v>45816</v>
      </c>
      <c r="FX87" s="179">
        <f>IFERROR(__xludf.DUMMYFUNCTION("""COMPUTED_VALUE"""),0.0)</f>
        <v>0</v>
      </c>
      <c r="FY87" s="180">
        <f>IFERROR(__xludf.DUMMYFUNCTION("""COMPUTED_VALUE"""),45724.0)</f>
        <v>45724</v>
      </c>
      <c r="FZ87" s="179">
        <f>IFERROR(__xludf.DUMMYFUNCTION("""COMPUTED_VALUE"""),0.0)</f>
        <v>0</v>
      </c>
      <c r="GA87" s="182">
        <f>IFERROR(__xludf.DUMMYFUNCTION("""COMPUTED_VALUE"""),45816.0)</f>
        <v>45816</v>
      </c>
      <c r="GB87" s="179">
        <f>IFERROR(__xludf.DUMMYFUNCTION("""COMPUTED_VALUE"""),0.0)</f>
        <v>0</v>
      </c>
      <c r="GC87" s="180">
        <f>IFERROR(__xludf.DUMMYFUNCTION("""COMPUTED_VALUE"""),45785.0)</f>
        <v>45785</v>
      </c>
      <c r="GD87" s="179">
        <f>IFERROR(__xludf.DUMMYFUNCTION("""COMPUTED_VALUE"""),0.0)</f>
        <v>0</v>
      </c>
      <c r="GE87" s="180">
        <f>IFERROR(__xludf.DUMMYFUNCTION("""COMPUTED_VALUE"""),45785.0)</f>
        <v>45785</v>
      </c>
      <c r="GF87" s="179">
        <f>IFERROR(__xludf.DUMMYFUNCTION("""COMPUTED_VALUE"""),0.0)</f>
        <v>0</v>
      </c>
      <c r="GG87" s="180">
        <f>IFERROR(__xludf.DUMMYFUNCTION("""COMPUTED_VALUE"""),45785.0)</f>
        <v>45785</v>
      </c>
      <c r="GH87" s="179">
        <f>IFERROR(__xludf.DUMMYFUNCTION("""COMPUTED_VALUE"""),0.0)</f>
        <v>0</v>
      </c>
      <c r="GI87" s="180">
        <f>IFERROR(__xludf.DUMMYFUNCTION("""COMPUTED_VALUE"""),45816.0)</f>
        <v>45816</v>
      </c>
      <c r="GJ87" s="179">
        <f>IFERROR(__xludf.DUMMYFUNCTION("""COMPUTED_VALUE"""),0.0)</f>
        <v>0</v>
      </c>
      <c r="GK87" s="180">
        <f>IFERROR(__xludf.DUMMYFUNCTION("""COMPUTED_VALUE"""),45816.0)</f>
        <v>45816</v>
      </c>
      <c r="GL87" s="179">
        <f>IFERROR(__xludf.DUMMYFUNCTION("""COMPUTED_VALUE"""),0.0)</f>
        <v>0</v>
      </c>
      <c r="GM87" s="180">
        <f>IFERROR(__xludf.DUMMYFUNCTION("""COMPUTED_VALUE"""),45724.0)</f>
        <v>45724</v>
      </c>
      <c r="GN87" s="179">
        <f>IFERROR(__xludf.DUMMYFUNCTION("""COMPUTED_VALUE"""),0.0)</f>
        <v>0</v>
      </c>
      <c r="GO87" s="180">
        <f>IFERROR(__xludf.DUMMYFUNCTION("""COMPUTED_VALUE"""),45816.0)</f>
        <v>45816</v>
      </c>
      <c r="GP87" s="179">
        <f>IFERROR(__xludf.DUMMYFUNCTION("""COMPUTED_VALUE"""),0.0)</f>
        <v>0</v>
      </c>
      <c r="GQ87" s="180">
        <f>IFERROR(__xludf.DUMMYFUNCTION("""COMPUTED_VALUE"""),45816.0)</f>
        <v>45816</v>
      </c>
      <c r="GR87" s="179">
        <f>IFERROR(__xludf.DUMMYFUNCTION("""COMPUTED_VALUE"""),0.0)</f>
        <v>0</v>
      </c>
      <c r="GS87" s="180">
        <f>IFERROR(__xludf.DUMMYFUNCTION("""COMPUTED_VALUE"""),45755.0)</f>
        <v>45755</v>
      </c>
      <c r="GT87" s="179">
        <f>IFERROR(__xludf.DUMMYFUNCTION("""COMPUTED_VALUE"""),0.0)</f>
        <v>0</v>
      </c>
    </row>
    <row r="88" ht="31.5" customHeight="1">
      <c r="B88" s="183"/>
      <c r="C88" s="178">
        <f>IFERROR(__xludf.DUMMYFUNCTION("""COMPUTED_VALUE"""),45817.0)</f>
        <v>45817</v>
      </c>
      <c r="D88" s="179">
        <f>IFERROR(__xludf.DUMMYFUNCTION("""COMPUTED_VALUE"""),0.0)</f>
        <v>0</v>
      </c>
      <c r="E88" s="180">
        <f>IFERROR(__xludf.DUMMYFUNCTION("""COMPUTED_VALUE"""),45817.0)</f>
        <v>45817</v>
      </c>
      <c r="F88" s="179">
        <f>IFERROR(__xludf.DUMMYFUNCTION("""COMPUTED_VALUE"""),0.0)</f>
        <v>0</v>
      </c>
      <c r="G88" s="180">
        <f>IFERROR(__xludf.DUMMYFUNCTION("""COMPUTED_VALUE"""),45817.0)</f>
        <v>45817</v>
      </c>
      <c r="H88" s="179">
        <f>IFERROR(__xludf.DUMMYFUNCTION("""COMPUTED_VALUE"""),0.0)</f>
        <v>0</v>
      </c>
      <c r="I88" s="180">
        <f>IFERROR(__xludf.DUMMYFUNCTION("""COMPUTED_VALUE"""),45817.0)</f>
        <v>45817</v>
      </c>
      <c r="J88" s="179">
        <f>IFERROR(__xludf.DUMMYFUNCTION("""COMPUTED_VALUE"""),0.0)</f>
        <v>0</v>
      </c>
      <c r="K88" s="180">
        <f>IFERROR(__xludf.DUMMYFUNCTION("""COMPUTED_VALUE"""),45817.0)</f>
        <v>45817</v>
      </c>
      <c r="L88" s="179">
        <f>IFERROR(__xludf.DUMMYFUNCTION("""COMPUTED_VALUE"""),0.0)</f>
        <v>0</v>
      </c>
      <c r="M88" s="180">
        <f>IFERROR(__xludf.DUMMYFUNCTION("""COMPUTED_VALUE"""),45817.0)</f>
        <v>45817</v>
      </c>
      <c r="N88" s="179">
        <f>IFERROR(__xludf.DUMMYFUNCTION("""COMPUTED_VALUE"""),0.0)</f>
        <v>0</v>
      </c>
      <c r="O88" s="180">
        <f>IFERROR(__xludf.DUMMYFUNCTION("""COMPUTED_VALUE"""),45817.0)</f>
        <v>45817</v>
      </c>
      <c r="P88" s="179">
        <f>IFERROR(__xludf.DUMMYFUNCTION("""COMPUTED_VALUE"""),0.0)</f>
        <v>0</v>
      </c>
      <c r="Q88" s="180">
        <f>IFERROR(__xludf.DUMMYFUNCTION("""COMPUTED_VALUE"""),45817.0)</f>
        <v>45817</v>
      </c>
      <c r="R88" s="179">
        <f>IFERROR(__xludf.DUMMYFUNCTION("""COMPUTED_VALUE"""),0.0)</f>
        <v>0</v>
      </c>
      <c r="S88" s="180">
        <f>IFERROR(__xludf.DUMMYFUNCTION("""COMPUTED_VALUE"""),45817.0)</f>
        <v>45817</v>
      </c>
      <c r="T88" s="179">
        <f>IFERROR(__xludf.DUMMYFUNCTION("""COMPUTED_VALUE"""),0.0)</f>
        <v>0</v>
      </c>
      <c r="U88" s="180">
        <f>IFERROR(__xludf.DUMMYFUNCTION("""COMPUTED_VALUE"""),45817.0)</f>
        <v>45817</v>
      </c>
      <c r="V88" s="181">
        <f>IFERROR(__xludf.DUMMYFUNCTION("""COMPUTED_VALUE"""),0.0)</f>
        <v>0</v>
      </c>
      <c r="W88" s="178">
        <f>IFERROR(__xludf.DUMMYFUNCTION("""COMPUTED_VALUE"""),45817.0)</f>
        <v>45817</v>
      </c>
      <c r="X88" s="179">
        <f>IFERROR(__xludf.DUMMYFUNCTION("""COMPUTED_VALUE"""),0.0)</f>
        <v>0</v>
      </c>
      <c r="Y88" s="180">
        <f>IFERROR(__xludf.DUMMYFUNCTION("""COMPUTED_VALUE"""),45725.0)</f>
        <v>45725</v>
      </c>
      <c r="Z88" s="179">
        <f>IFERROR(__xludf.DUMMYFUNCTION("""COMPUTED_VALUE"""),0.0)</f>
        <v>0</v>
      </c>
      <c r="AA88" s="180">
        <f>IFERROR(__xludf.DUMMYFUNCTION("""COMPUTED_VALUE"""),45817.0)</f>
        <v>45817</v>
      </c>
      <c r="AB88" s="179">
        <f>IFERROR(__xludf.DUMMYFUNCTION("""COMPUTED_VALUE"""),0.0)</f>
        <v>0</v>
      </c>
      <c r="AC88" s="180">
        <f>IFERROR(__xludf.DUMMYFUNCTION("""COMPUTED_VALUE"""),45908.0)</f>
        <v>45908</v>
      </c>
      <c r="AD88" s="179">
        <f>IFERROR(__xludf.DUMMYFUNCTION("""COMPUTED_VALUE"""),0.0)</f>
        <v>0</v>
      </c>
      <c r="AE88" s="180">
        <f>IFERROR(__xludf.DUMMYFUNCTION("""COMPUTED_VALUE"""),45725.0)</f>
        <v>45725</v>
      </c>
      <c r="AF88" s="179">
        <f>IFERROR(__xludf.DUMMYFUNCTION("""COMPUTED_VALUE"""),0.0)</f>
        <v>0</v>
      </c>
      <c r="AG88" s="180">
        <f>IFERROR(__xludf.DUMMYFUNCTION("""COMPUTED_VALUE"""),45817.0)</f>
        <v>45817</v>
      </c>
      <c r="AH88" s="179">
        <f>IFERROR(__xludf.DUMMYFUNCTION("""COMPUTED_VALUE"""),0.0)</f>
        <v>0</v>
      </c>
      <c r="AI88" s="180">
        <f>IFERROR(__xludf.DUMMYFUNCTION("""COMPUTED_VALUE"""),45666.0)</f>
        <v>45666</v>
      </c>
      <c r="AJ88" s="179">
        <f>IFERROR(__xludf.DUMMYFUNCTION("""COMPUTED_VALUE"""),0.0)</f>
        <v>0</v>
      </c>
      <c r="AK88" s="180">
        <f>IFERROR(__xludf.DUMMYFUNCTION("""COMPUTED_VALUE"""),45756.0)</f>
        <v>45756</v>
      </c>
      <c r="AL88" s="179">
        <f>IFERROR(__xludf.DUMMYFUNCTION("""COMPUTED_VALUE"""),0.0)</f>
        <v>0</v>
      </c>
      <c r="AM88" s="180">
        <f>IFERROR(__xludf.DUMMYFUNCTION("""COMPUTED_VALUE"""),45817.0)</f>
        <v>45817</v>
      </c>
      <c r="AN88" s="179">
        <f>IFERROR(__xludf.DUMMYFUNCTION("""COMPUTED_VALUE"""),0.0)</f>
        <v>0</v>
      </c>
      <c r="AO88" s="180">
        <f>IFERROR(__xludf.DUMMYFUNCTION("""COMPUTED_VALUE"""),45756.0)</f>
        <v>45756</v>
      </c>
      <c r="AP88" s="181">
        <f>IFERROR(__xludf.DUMMYFUNCTION("""COMPUTED_VALUE"""),0.0)</f>
        <v>0</v>
      </c>
      <c r="AQ88" s="178">
        <f>IFERROR(__xludf.DUMMYFUNCTION("""COMPUTED_VALUE"""),45817.0)</f>
        <v>45817</v>
      </c>
      <c r="AR88" s="179">
        <f>IFERROR(__xludf.DUMMYFUNCTION("""COMPUTED_VALUE"""),0.0)</f>
        <v>0</v>
      </c>
      <c r="AS88" s="180">
        <f>IFERROR(__xludf.DUMMYFUNCTION("""COMPUTED_VALUE"""),45817.0)</f>
        <v>45817</v>
      </c>
      <c r="AT88" s="179">
        <f>IFERROR(__xludf.DUMMYFUNCTION("""COMPUTED_VALUE"""),0.0)</f>
        <v>0</v>
      </c>
      <c r="AU88" s="180">
        <f>IFERROR(__xludf.DUMMYFUNCTION("""COMPUTED_VALUE"""),45786.0)</f>
        <v>45786</v>
      </c>
      <c r="AV88" s="179">
        <f>IFERROR(__xludf.DUMMYFUNCTION("""COMPUTED_VALUE"""),0.0)</f>
        <v>0</v>
      </c>
      <c r="AW88" s="180">
        <f>IFERROR(__xludf.DUMMYFUNCTION("""COMPUTED_VALUE"""),45786.0)</f>
        <v>45786</v>
      </c>
      <c r="AX88" s="179">
        <f>IFERROR(__xludf.DUMMYFUNCTION("""COMPUTED_VALUE"""),0.0)</f>
        <v>0</v>
      </c>
      <c r="AY88" s="180">
        <f>IFERROR(__xludf.DUMMYFUNCTION("""COMPUTED_VALUE"""),45817.0)</f>
        <v>45817</v>
      </c>
      <c r="AZ88" s="179">
        <f>IFERROR(__xludf.DUMMYFUNCTION("""COMPUTED_VALUE"""),0.0)</f>
        <v>0</v>
      </c>
      <c r="BA88" s="180">
        <f>IFERROR(__xludf.DUMMYFUNCTION("""COMPUTED_VALUE"""),45817.0)</f>
        <v>45817</v>
      </c>
      <c r="BB88" s="179">
        <f>IFERROR(__xludf.DUMMYFUNCTION("""COMPUTED_VALUE"""),0.0)</f>
        <v>0</v>
      </c>
      <c r="BC88" s="180">
        <f>IFERROR(__xludf.DUMMYFUNCTION("""COMPUTED_VALUE"""),45786.0)</f>
        <v>45786</v>
      </c>
      <c r="BD88" s="179">
        <f>IFERROR(__xludf.DUMMYFUNCTION("""COMPUTED_VALUE"""),0.0)</f>
        <v>0</v>
      </c>
      <c r="BE88" s="180">
        <f>IFERROR(__xludf.DUMMYFUNCTION("""COMPUTED_VALUE"""),45817.0)</f>
        <v>45817</v>
      </c>
      <c r="BF88" s="179">
        <f>IFERROR(__xludf.DUMMYFUNCTION("""COMPUTED_VALUE"""),0.0)</f>
        <v>0</v>
      </c>
      <c r="BG88" s="180">
        <f>IFERROR(__xludf.DUMMYFUNCTION("""COMPUTED_VALUE"""),45786.0)</f>
        <v>45786</v>
      </c>
      <c r="BH88" s="179">
        <f>IFERROR(__xludf.DUMMYFUNCTION("""COMPUTED_VALUE"""),0.0)</f>
        <v>0</v>
      </c>
      <c r="BI88" s="180">
        <f>IFERROR(__xludf.DUMMYFUNCTION("""COMPUTED_VALUE"""),45817.0)</f>
        <v>45817</v>
      </c>
      <c r="BJ88" s="179">
        <f>IFERROR(__xludf.DUMMYFUNCTION("""COMPUTED_VALUE"""),0.0)</f>
        <v>0</v>
      </c>
      <c r="BK88" s="182">
        <f>IFERROR(__xludf.DUMMYFUNCTION("""COMPUTED_VALUE"""),45817.0)</f>
        <v>45817</v>
      </c>
      <c r="BL88" s="179">
        <f>IFERROR(__xludf.DUMMYFUNCTION("""COMPUTED_VALUE"""),0.0)</f>
        <v>0</v>
      </c>
      <c r="BM88" s="180">
        <f>IFERROR(__xludf.DUMMYFUNCTION("""COMPUTED_VALUE"""),45817.0)</f>
        <v>45817</v>
      </c>
      <c r="BN88" s="179">
        <f>IFERROR(__xludf.DUMMYFUNCTION("""COMPUTED_VALUE"""),0.0)</f>
        <v>0</v>
      </c>
      <c r="BO88" s="180">
        <f>IFERROR(__xludf.DUMMYFUNCTION("""COMPUTED_VALUE"""),45786.0)</f>
        <v>45786</v>
      </c>
      <c r="BP88" s="179">
        <f>IFERROR(__xludf.DUMMYFUNCTION("""COMPUTED_VALUE"""),0.0)</f>
        <v>0</v>
      </c>
      <c r="BQ88" s="180">
        <f>IFERROR(__xludf.DUMMYFUNCTION("""COMPUTED_VALUE"""),45786.0)</f>
        <v>45786</v>
      </c>
      <c r="BR88" s="179">
        <f>IFERROR(__xludf.DUMMYFUNCTION("""COMPUTED_VALUE"""),0.0)</f>
        <v>0</v>
      </c>
      <c r="BS88" s="180">
        <f>IFERROR(__xludf.DUMMYFUNCTION("""COMPUTED_VALUE"""),45817.0)</f>
        <v>45817</v>
      </c>
      <c r="BT88" s="179">
        <f>IFERROR(__xludf.DUMMYFUNCTION("""COMPUTED_VALUE"""),0.0)</f>
        <v>0</v>
      </c>
      <c r="BU88" s="180">
        <f>IFERROR(__xludf.DUMMYFUNCTION("""COMPUTED_VALUE"""),45817.0)</f>
        <v>45817</v>
      </c>
      <c r="BV88" s="179">
        <f>IFERROR(__xludf.DUMMYFUNCTION("""COMPUTED_VALUE"""),0.0)</f>
        <v>0</v>
      </c>
      <c r="BW88" s="180">
        <f>IFERROR(__xludf.DUMMYFUNCTION("""COMPUTED_VALUE"""),45817.0)</f>
        <v>45817</v>
      </c>
      <c r="BX88" s="179">
        <f>IFERROR(__xludf.DUMMYFUNCTION("""COMPUTED_VALUE"""),0.0)</f>
        <v>0</v>
      </c>
      <c r="BY88" s="180">
        <f>IFERROR(__xludf.DUMMYFUNCTION("""COMPUTED_VALUE"""),45786.0)</f>
        <v>45786</v>
      </c>
      <c r="BZ88" s="179">
        <f>IFERROR(__xludf.DUMMYFUNCTION("""COMPUTED_VALUE"""),0.0)</f>
        <v>0</v>
      </c>
      <c r="CA88" s="180">
        <f>IFERROR(__xludf.DUMMYFUNCTION("""COMPUTED_VALUE"""),45817.0)</f>
        <v>45817</v>
      </c>
      <c r="CB88" s="179">
        <f>IFERROR(__xludf.DUMMYFUNCTION("""COMPUTED_VALUE"""),0.0)</f>
        <v>0</v>
      </c>
      <c r="CC88" s="180">
        <f>IFERROR(__xludf.DUMMYFUNCTION("""COMPUTED_VALUE"""),45817.0)</f>
        <v>45817</v>
      </c>
      <c r="CD88" s="179">
        <f>IFERROR(__xludf.DUMMYFUNCTION("""COMPUTED_VALUE"""),0.0)</f>
        <v>0</v>
      </c>
      <c r="CE88" s="182">
        <f>IFERROR(__xludf.DUMMYFUNCTION("""COMPUTED_VALUE"""),45817.0)</f>
        <v>45817</v>
      </c>
      <c r="CF88" s="179">
        <f>IFERROR(__xludf.DUMMYFUNCTION("""COMPUTED_VALUE"""),0.0)</f>
        <v>0</v>
      </c>
      <c r="CG88" s="180">
        <f>IFERROR(__xludf.DUMMYFUNCTION("""COMPUTED_VALUE"""),45725.0)</f>
        <v>45725</v>
      </c>
      <c r="CH88" s="179">
        <f>IFERROR(__xludf.DUMMYFUNCTION("""COMPUTED_VALUE"""),0.0)</f>
        <v>0</v>
      </c>
      <c r="CI88" s="180">
        <f>IFERROR(__xludf.DUMMYFUNCTION("""COMPUTED_VALUE"""),45725.0)</f>
        <v>45725</v>
      </c>
      <c r="CJ88" s="179">
        <f>IFERROR(__xludf.DUMMYFUNCTION("""COMPUTED_VALUE"""),0.0)</f>
        <v>0</v>
      </c>
      <c r="CK88" s="180">
        <f>IFERROR(__xludf.DUMMYFUNCTION("""COMPUTED_VALUE"""),45725.0)</f>
        <v>45725</v>
      </c>
      <c r="CL88" s="179">
        <f>IFERROR(__xludf.DUMMYFUNCTION("""COMPUTED_VALUE"""),0.0)</f>
        <v>0</v>
      </c>
      <c r="CM88" s="180">
        <f>IFERROR(__xludf.DUMMYFUNCTION("""COMPUTED_VALUE"""),45817.0)</f>
        <v>45817</v>
      </c>
      <c r="CN88" s="179">
        <f>IFERROR(__xludf.DUMMYFUNCTION("""COMPUTED_VALUE"""),0.0)</f>
        <v>0</v>
      </c>
      <c r="CO88" s="180">
        <f>IFERROR(__xludf.DUMMYFUNCTION("""COMPUTED_VALUE"""),45786.0)</f>
        <v>45786</v>
      </c>
      <c r="CP88" s="179">
        <f>IFERROR(__xludf.DUMMYFUNCTION("""COMPUTED_VALUE"""),0.0)</f>
        <v>0</v>
      </c>
      <c r="CQ88" s="180">
        <f>IFERROR(__xludf.DUMMYFUNCTION("""COMPUTED_VALUE"""),45697.0)</f>
        <v>45697</v>
      </c>
      <c r="CR88" s="179">
        <f>IFERROR(__xludf.DUMMYFUNCTION("""COMPUTED_VALUE"""),0.0)</f>
        <v>0</v>
      </c>
      <c r="CS88" s="180">
        <f>IFERROR(__xludf.DUMMYFUNCTION("""COMPUTED_VALUE"""),45786.0)</f>
        <v>45786</v>
      </c>
      <c r="CT88" s="179">
        <f>IFERROR(__xludf.DUMMYFUNCTION("""COMPUTED_VALUE"""),0.0)</f>
        <v>0</v>
      </c>
      <c r="CU88" s="180">
        <f>IFERROR(__xludf.DUMMYFUNCTION("""COMPUTED_VALUE"""),45817.0)</f>
        <v>45817</v>
      </c>
      <c r="CV88" s="179">
        <f>IFERROR(__xludf.DUMMYFUNCTION("""COMPUTED_VALUE"""),0.0)</f>
        <v>0</v>
      </c>
      <c r="CW88" s="180">
        <f>IFERROR(__xludf.DUMMYFUNCTION("""COMPUTED_VALUE"""),45877.0)</f>
        <v>45877</v>
      </c>
      <c r="CX88" s="179">
        <f>IFERROR(__xludf.DUMMYFUNCTION("""COMPUTED_VALUE"""),0.0)</f>
        <v>0</v>
      </c>
      <c r="CY88" s="182">
        <f>IFERROR(__xludf.DUMMYFUNCTION("""COMPUTED_VALUE"""),45817.0)</f>
        <v>45817</v>
      </c>
      <c r="CZ88" s="179">
        <f>IFERROR(__xludf.DUMMYFUNCTION("""COMPUTED_VALUE"""),0.0)</f>
        <v>0</v>
      </c>
      <c r="DA88" s="180">
        <f>IFERROR(__xludf.DUMMYFUNCTION("""COMPUTED_VALUE"""),45817.0)</f>
        <v>45817</v>
      </c>
      <c r="DB88" s="179">
        <f>IFERROR(__xludf.DUMMYFUNCTION("""COMPUTED_VALUE"""),0.0)</f>
        <v>0</v>
      </c>
      <c r="DC88" s="180">
        <f>IFERROR(__xludf.DUMMYFUNCTION("""COMPUTED_VALUE"""),45817.0)</f>
        <v>45817</v>
      </c>
      <c r="DD88" s="179">
        <f>IFERROR(__xludf.DUMMYFUNCTION("""COMPUTED_VALUE"""),0.0)</f>
        <v>0</v>
      </c>
      <c r="DE88" s="180">
        <f>IFERROR(__xludf.DUMMYFUNCTION("""COMPUTED_VALUE"""),45817.0)</f>
        <v>45817</v>
      </c>
      <c r="DF88" s="179">
        <f>IFERROR(__xludf.DUMMYFUNCTION("""COMPUTED_VALUE"""),0.0)</f>
        <v>0</v>
      </c>
      <c r="DG88" s="180">
        <f>IFERROR(__xludf.DUMMYFUNCTION("""COMPUTED_VALUE"""),45817.0)</f>
        <v>45817</v>
      </c>
      <c r="DH88" s="179">
        <f>IFERROR(__xludf.DUMMYFUNCTION("""COMPUTED_VALUE"""),0.0)</f>
        <v>0</v>
      </c>
      <c r="DI88" s="180">
        <f>IFERROR(__xludf.DUMMYFUNCTION("""COMPUTED_VALUE"""),45817.0)</f>
        <v>45817</v>
      </c>
      <c r="DJ88" s="179">
        <f>IFERROR(__xludf.DUMMYFUNCTION("""COMPUTED_VALUE"""),0.0)</f>
        <v>0</v>
      </c>
      <c r="DK88" s="180">
        <f>IFERROR(__xludf.DUMMYFUNCTION("""COMPUTED_VALUE"""),45817.0)</f>
        <v>45817</v>
      </c>
      <c r="DL88" s="179">
        <f>IFERROR(__xludf.DUMMYFUNCTION("""COMPUTED_VALUE"""),0.0)</f>
        <v>0</v>
      </c>
      <c r="DM88" s="180">
        <f>IFERROR(__xludf.DUMMYFUNCTION("""COMPUTED_VALUE"""),45817.0)</f>
        <v>45817</v>
      </c>
      <c r="DN88" s="179">
        <f>IFERROR(__xludf.DUMMYFUNCTION("""COMPUTED_VALUE"""),0.0)</f>
        <v>0</v>
      </c>
      <c r="DO88" s="180">
        <f>IFERROR(__xludf.DUMMYFUNCTION("""COMPUTED_VALUE"""),45817.0)</f>
        <v>45817</v>
      </c>
      <c r="DP88" s="179">
        <f>IFERROR(__xludf.DUMMYFUNCTION("""COMPUTED_VALUE"""),0.0)</f>
        <v>0</v>
      </c>
      <c r="DQ88" s="180">
        <f>IFERROR(__xludf.DUMMYFUNCTION("""COMPUTED_VALUE"""),45817.0)</f>
        <v>45817</v>
      </c>
      <c r="DR88" s="179">
        <f>IFERROR(__xludf.DUMMYFUNCTION("""COMPUTED_VALUE"""),0.0)</f>
        <v>0</v>
      </c>
      <c r="DS88" s="182">
        <f>IFERROR(__xludf.DUMMYFUNCTION("""COMPUTED_VALUE"""),45817.0)</f>
        <v>45817</v>
      </c>
      <c r="DT88" s="179">
        <f>IFERROR(__xludf.DUMMYFUNCTION("""COMPUTED_VALUE"""),0.0)</f>
        <v>0</v>
      </c>
      <c r="DU88" s="180">
        <f>IFERROR(__xludf.DUMMYFUNCTION("""COMPUTED_VALUE"""),45817.0)</f>
        <v>45817</v>
      </c>
      <c r="DV88" s="179">
        <f>IFERROR(__xludf.DUMMYFUNCTION("""COMPUTED_VALUE"""),0.0)</f>
        <v>0</v>
      </c>
      <c r="DW88" s="180">
        <f>IFERROR(__xludf.DUMMYFUNCTION("""COMPUTED_VALUE"""),45817.0)</f>
        <v>45817</v>
      </c>
      <c r="DX88" s="179">
        <f>IFERROR(__xludf.DUMMYFUNCTION("""COMPUTED_VALUE"""),0.0)</f>
        <v>0</v>
      </c>
      <c r="DY88" s="180">
        <f>IFERROR(__xludf.DUMMYFUNCTION("""COMPUTED_VALUE"""),45817.0)</f>
        <v>45817</v>
      </c>
      <c r="DZ88" s="179">
        <f>IFERROR(__xludf.DUMMYFUNCTION("""COMPUTED_VALUE"""),0.0)</f>
        <v>0</v>
      </c>
      <c r="EA88" s="180">
        <f>IFERROR(__xludf.DUMMYFUNCTION("""COMPUTED_VALUE"""),45817.0)</f>
        <v>45817</v>
      </c>
      <c r="EB88" s="179">
        <f>IFERROR(__xludf.DUMMYFUNCTION("""COMPUTED_VALUE"""),0.0)</f>
        <v>0</v>
      </c>
      <c r="EC88" s="180">
        <f>IFERROR(__xludf.DUMMYFUNCTION("""COMPUTED_VALUE"""),45817.0)</f>
        <v>45817</v>
      </c>
      <c r="ED88" s="179">
        <f>IFERROR(__xludf.DUMMYFUNCTION("""COMPUTED_VALUE"""),0.0)</f>
        <v>0</v>
      </c>
      <c r="EE88" s="180">
        <f>IFERROR(__xludf.DUMMYFUNCTION("""COMPUTED_VALUE"""),45817.0)</f>
        <v>45817</v>
      </c>
      <c r="EF88" s="179">
        <f>IFERROR(__xludf.DUMMYFUNCTION("""COMPUTED_VALUE"""),0.0)</f>
        <v>0</v>
      </c>
      <c r="EG88" s="180">
        <f>IFERROR(__xludf.DUMMYFUNCTION("""COMPUTED_VALUE"""),45817.0)</f>
        <v>45817</v>
      </c>
      <c r="EH88" s="179">
        <f>IFERROR(__xludf.DUMMYFUNCTION("""COMPUTED_VALUE"""),0.0)</f>
        <v>0</v>
      </c>
      <c r="EI88" s="180">
        <f>IFERROR(__xludf.DUMMYFUNCTION("""COMPUTED_VALUE"""),45817.0)</f>
        <v>45817</v>
      </c>
      <c r="EJ88" s="179">
        <f>IFERROR(__xludf.DUMMYFUNCTION("""COMPUTED_VALUE"""),0.0)</f>
        <v>0</v>
      </c>
      <c r="EK88" s="180">
        <f>IFERROR(__xludf.DUMMYFUNCTION("""COMPUTED_VALUE"""),45817.0)</f>
        <v>45817</v>
      </c>
      <c r="EL88" s="179">
        <f>IFERROR(__xludf.DUMMYFUNCTION("""COMPUTED_VALUE"""),0.0)</f>
        <v>0</v>
      </c>
      <c r="EM88" s="182">
        <f>IFERROR(__xludf.DUMMYFUNCTION("""COMPUTED_VALUE"""),45817.0)</f>
        <v>45817</v>
      </c>
      <c r="EN88" s="179">
        <f>IFERROR(__xludf.DUMMYFUNCTION("""COMPUTED_VALUE"""),0.0)</f>
        <v>0</v>
      </c>
      <c r="EO88" s="180">
        <f>IFERROR(__xludf.DUMMYFUNCTION("""COMPUTED_VALUE"""),45817.0)</f>
        <v>45817</v>
      </c>
      <c r="EP88" s="179">
        <f>IFERROR(__xludf.DUMMYFUNCTION("""COMPUTED_VALUE"""),0.0)</f>
        <v>0</v>
      </c>
      <c r="EQ88" s="180">
        <f>IFERROR(__xludf.DUMMYFUNCTION("""COMPUTED_VALUE"""),45817.0)</f>
        <v>45817</v>
      </c>
      <c r="ER88" s="179">
        <f>IFERROR(__xludf.DUMMYFUNCTION("""COMPUTED_VALUE"""),0.0)</f>
        <v>0</v>
      </c>
      <c r="ES88" s="180">
        <f>IFERROR(__xludf.DUMMYFUNCTION("""COMPUTED_VALUE"""),45817.0)</f>
        <v>45817</v>
      </c>
      <c r="ET88" s="179">
        <f>IFERROR(__xludf.DUMMYFUNCTION("""COMPUTED_VALUE"""),0.0)</f>
        <v>0</v>
      </c>
      <c r="EU88" s="180">
        <f>IFERROR(__xludf.DUMMYFUNCTION("""COMPUTED_VALUE"""),45817.0)</f>
        <v>45817</v>
      </c>
      <c r="EV88" s="179">
        <f>IFERROR(__xludf.DUMMYFUNCTION("""COMPUTED_VALUE"""),0.0)</f>
        <v>0</v>
      </c>
      <c r="EW88" s="180">
        <f>IFERROR(__xludf.DUMMYFUNCTION("""COMPUTED_VALUE"""),45817.0)</f>
        <v>45817</v>
      </c>
      <c r="EX88" s="179">
        <f>IFERROR(__xludf.DUMMYFUNCTION("""COMPUTED_VALUE"""),0.0)</f>
        <v>0</v>
      </c>
      <c r="EY88" s="180">
        <f>IFERROR(__xludf.DUMMYFUNCTION("""COMPUTED_VALUE"""),45817.0)</f>
        <v>45817</v>
      </c>
      <c r="EZ88" s="179">
        <f>IFERROR(__xludf.DUMMYFUNCTION("""COMPUTED_VALUE"""),0.0)</f>
        <v>0</v>
      </c>
      <c r="FA88" s="180">
        <f>IFERROR(__xludf.DUMMYFUNCTION("""COMPUTED_VALUE"""),45817.0)</f>
        <v>45817</v>
      </c>
      <c r="FB88" s="179">
        <f>IFERROR(__xludf.DUMMYFUNCTION("""COMPUTED_VALUE"""),0.0)</f>
        <v>0</v>
      </c>
      <c r="FC88" s="180">
        <f>IFERROR(__xludf.DUMMYFUNCTION("""COMPUTED_VALUE"""),45817.0)</f>
        <v>45817</v>
      </c>
      <c r="FD88" s="179">
        <f>IFERROR(__xludf.DUMMYFUNCTION("""COMPUTED_VALUE"""),0.0)</f>
        <v>0</v>
      </c>
      <c r="FE88" s="180">
        <f>IFERROR(__xludf.DUMMYFUNCTION("""COMPUTED_VALUE"""),45817.0)</f>
        <v>45817</v>
      </c>
      <c r="FF88" s="179">
        <f>IFERROR(__xludf.DUMMYFUNCTION("""COMPUTED_VALUE"""),0.0)</f>
        <v>0</v>
      </c>
      <c r="FG88" s="182">
        <f>IFERROR(__xludf.DUMMYFUNCTION("""COMPUTED_VALUE"""),45846.0)</f>
        <v>45846</v>
      </c>
      <c r="FH88" s="179">
        <f>IFERROR(__xludf.DUMMYFUNCTION("""COMPUTED_VALUE"""),0.0)</f>
        <v>0</v>
      </c>
      <c r="FI88" s="180">
        <f>IFERROR(__xludf.DUMMYFUNCTION("""COMPUTED_VALUE"""),45816.0)</f>
        <v>45816</v>
      </c>
      <c r="FJ88" s="179">
        <f>IFERROR(__xludf.DUMMYFUNCTION("""COMPUTED_VALUE"""),0.0)</f>
        <v>0</v>
      </c>
      <c r="FK88" s="180">
        <f>IFERROR(__xludf.DUMMYFUNCTION("""COMPUTED_VALUE"""),45665.0)</f>
        <v>45665</v>
      </c>
      <c r="FL88" s="179">
        <f>IFERROR(__xludf.DUMMYFUNCTION("""COMPUTED_VALUE"""),0.0)</f>
        <v>0</v>
      </c>
      <c r="FM88" s="180">
        <f>IFERROR(__xludf.DUMMYFUNCTION("""COMPUTED_VALUE"""),45846.0)</f>
        <v>45846</v>
      </c>
      <c r="FN88" s="179">
        <f>IFERROR(__xludf.DUMMYFUNCTION("""COMPUTED_VALUE"""),0.0)</f>
        <v>0</v>
      </c>
      <c r="FO88" s="180">
        <f>IFERROR(__xludf.DUMMYFUNCTION("""COMPUTED_VALUE"""),45846.0)</f>
        <v>45846</v>
      </c>
      <c r="FP88" s="179">
        <f>IFERROR(__xludf.DUMMYFUNCTION("""COMPUTED_VALUE"""),0.0)</f>
        <v>0</v>
      </c>
      <c r="FQ88" s="180">
        <f>IFERROR(__xludf.DUMMYFUNCTION("""COMPUTED_VALUE"""),45846.0)</f>
        <v>45846</v>
      </c>
      <c r="FR88" s="179">
        <f>IFERROR(__xludf.DUMMYFUNCTION("""COMPUTED_VALUE"""),0.0)</f>
        <v>0</v>
      </c>
      <c r="FS88" s="180">
        <f>IFERROR(__xludf.DUMMYFUNCTION("""COMPUTED_VALUE"""),45816.0)</f>
        <v>45816</v>
      </c>
      <c r="FT88" s="179">
        <f>IFERROR(__xludf.DUMMYFUNCTION("""COMPUTED_VALUE"""),0.0)</f>
        <v>0</v>
      </c>
      <c r="FU88" s="180">
        <f>IFERROR(__xludf.DUMMYFUNCTION("""COMPUTED_VALUE"""),45846.0)</f>
        <v>45846</v>
      </c>
      <c r="FV88" s="179">
        <f>IFERROR(__xludf.DUMMYFUNCTION("""COMPUTED_VALUE"""),0.0)</f>
        <v>0</v>
      </c>
      <c r="FW88" s="180">
        <f>IFERROR(__xludf.DUMMYFUNCTION("""COMPUTED_VALUE"""),45846.0)</f>
        <v>45846</v>
      </c>
      <c r="FX88" s="179">
        <f>IFERROR(__xludf.DUMMYFUNCTION("""COMPUTED_VALUE"""),0.0)</f>
        <v>0</v>
      </c>
      <c r="FY88" s="180">
        <f>IFERROR(__xludf.DUMMYFUNCTION("""COMPUTED_VALUE"""),45755.0)</f>
        <v>45755</v>
      </c>
      <c r="FZ88" s="179">
        <f>IFERROR(__xludf.DUMMYFUNCTION("""COMPUTED_VALUE"""),0.0)</f>
        <v>0</v>
      </c>
      <c r="GA88" s="182">
        <f>IFERROR(__xludf.DUMMYFUNCTION("""COMPUTED_VALUE"""),45846.0)</f>
        <v>45846</v>
      </c>
      <c r="GB88" s="179">
        <f>IFERROR(__xludf.DUMMYFUNCTION("""COMPUTED_VALUE"""),0.0)</f>
        <v>0</v>
      </c>
      <c r="GC88" s="180">
        <f>IFERROR(__xludf.DUMMYFUNCTION("""COMPUTED_VALUE"""),45816.0)</f>
        <v>45816</v>
      </c>
      <c r="GD88" s="179">
        <f>IFERROR(__xludf.DUMMYFUNCTION("""COMPUTED_VALUE"""),0.0)</f>
        <v>0</v>
      </c>
      <c r="GE88" s="180">
        <f>IFERROR(__xludf.DUMMYFUNCTION("""COMPUTED_VALUE"""),45816.0)</f>
        <v>45816</v>
      </c>
      <c r="GF88" s="179">
        <f>IFERROR(__xludf.DUMMYFUNCTION("""COMPUTED_VALUE"""),0.0)</f>
        <v>0</v>
      </c>
      <c r="GG88" s="180">
        <f>IFERROR(__xludf.DUMMYFUNCTION("""COMPUTED_VALUE"""),45816.0)</f>
        <v>45816</v>
      </c>
      <c r="GH88" s="179">
        <f>IFERROR(__xludf.DUMMYFUNCTION("""COMPUTED_VALUE"""),0.0)</f>
        <v>0</v>
      </c>
      <c r="GI88" s="180">
        <f>IFERROR(__xludf.DUMMYFUNCTION("""COMPUTED_VALUE"""),45846.0)</f>
        <v>45846</v>
      </c>
      <c r="GJ88" s="179">
        <f>IFERROR(__xludf.DUMMYFUNCTION("""COMPUTED_VALUE"""),0.0)</f>
        <v>0</v>
      </c>
      <c r="GK88" s="180">
        <f>IFERROR(__xludf.DUMMYFUNCTION("""COMPUTED_VALUE"""),45846.0)</f>
        <v>45846</v>
      </c>
      <c r="GL88" s="179">
        <f>IFERROR(__xludf.DUMMYFUNCTION("""COMPUTED_VALUE"""),0.0)</f>
        <v>0</v>
      </c>
      <c r="GM88" s="180">
        <f>IFERROR(__xludf.DUMMYFUNCTION("""COMPUTED_VALUE"""),45755.0)</f>
        <v>45755</v>
      </c>
      <c r="GN88" s="179">
        <f>IFERROR(__xludf.DUMMYFUNCTION("""COMPUTED_VALUE"""),0.0)</f>
        <v>0</v>
      </c>
      <c r="GO88" s="180">
        <f>IFERROR(__xludf.DUMMYFUNCTION("""COMPUTED_VALUE"""),45846.0)</f>
        <v>45846</v>
      </c>
      <c r="GP88" s="179">
        <f>IFERROR(__xludf.DUMMYFUNCTION("""COMPUTED_VALUE"""),0.0)</f>
        <v>0</v>
      </c>
      <c r="GQ88" s="180">
        <f>IFERROR(__xludf.DUMMYFUNCTION("""COMPUTED_VALUE"""),45846.0)</f>
        <v>45846</v>
      </c>
      <c r="GR88" s="179">
        <f>IFERROR(__xludf.DUMMYFUNCTION("""COMPUTED_VALUE"""),0.0)</f>
        <v>0</v>
      </c>
      <c r="GS88" s="180">
        <f>IFERROR(__xludf.DUMMYFUNCTION("""COMPUTED_VALUE"""),45785.0)</f>
        <v>45785</v>
      </c>
      <c r="GT88" s="179">
        <f>IFERROR(__xludf.DUMMYFUNCTION("""COMPUTED_VALUE"""),0.0)</f>
        <v>0</v>
      </c>
    </row>
    <row r="89" ht="31.5" customHeight="1">
      <c r="B89" s="183"/>
      <c r="C89" s="178">
        <f>IFERROR(__xludf.DUMMYFUNCTION("""COMPUTED_VALUE"""),45847.0)</f>
        <v>45847</v>
      </c>
      <c r="D89" s="179">
        <f>IFERROR(__xludf.DUMMYFUNCTION("""COMPUTED_VALUE"""),0.0)</f>
        <v>0</v>
      </c>
      <c r="E89" s="180">
        <f>IFERROR(__xludf.DUMMYFUNCTION("""COMPUTED_VALUE"""),45847.0)</f>
        <v>45847</v>
      </c>
      <c r="F89" s="179">
        <f>IFERROR(__xludf.DUMMYFUNCTION("""COMPUTED_VALUE"""),0.0)</f>
        <v>0</v>
      </c>
      <c r="G89" s="180">
        <f>IFERROR(__xludf.DUMMYFUNCTION("""COMPUTED_VALUE"""),45847.0)</f>
        <v>45847</v>
      </c>
      <c r="H89" s="179">
        <f>IFERROR(__xludf.DUMMYFUNCTION("""COMPUTED_VALUE"""),0.0)</f>
        <v>0</v>
      </c>
      <c r="I89" s="180">
        <f>IFERROR(__xludf.DUMMYFUNCTION("""COMPUTED_VALUE"""),45847.0)</f>
        <v>45847</v>
      </c>
      <c r="J89" s="179">
        <f>IFERROR(__xludf.DUMMYFUNCTION("""COMPUTED_VALUE"""),0.0)</f>
        <v>0</v>
      </c>
      <c r="K89" s="180">
        <f>IFERROR(__xludf.DUMMYFUNCTION("""COMPUTED_VALUE"""),45847.0)</f>
        <v>45847</v>
      </c>
      <c r="L89" s="179">
        <f>IFERROR(__xludf.DUMMYFUNCTION("""COMPUTED_VALUE"""),0.0)</f>
        <v>0</v>
      </c>
      <c r="M89" s="180">
        <f>IFERROR(__xludf.DUMMYFUNCTION("""COMPUTED_VALUE"""),45847.0)</f>
        <v>45847</v>
      </c>
      <c r="N89" s="179">
        <f>IFERROR(__xludf.DUMMYFUNCTION("""COMPUTED_VALUE"""),0.0)</f>
        <v>0</v>
      </c>
      <c r="O89" s="180">
        <f>IFERROR(__xludf.DUMMYFUNCTION("""COMPUTED_VALUE"""),45847.0)</f>
        <v>45847</v>
      </c>
      <c r="P89" s="179">
        <f>IFERROR(__xludf.DUMMYFUNCTION("""COMPUTED_VALUE"""),0.0)</f>
        <v>0</v>
      </c>
      <c r="Q89" s="180">
        <f>IFERROR(__xludf.DUMMYFUNCTION("""COMPUTED_VALUE"""),45847.0)</f>
        <v>45847</v>
      </c>
      <c r="R89" s="179">
        <f>IFERROR(__xludf.DUMMYFUNCTION("""COMPUTED_VALUE"""),0.0)</f>
        <v>0</v>
      </c>
      <c r="S89" s="180">
        <f>IFERROR(__xludf.DUMMYFUNCTION("""COMPUTED_VALUE"""),45847.0)</f>
        <v>45847</v>
      </c>
      <c r="T89" s="179">
        <f>IFERROR(__xludf.DUMMYFUNCTION("""COMPUTED_VALUE"""),0.0)</f>
        <v>0</v>
      </c>
      <c r="U89" s="180">
        <f>IFERROR(__xludf.DUMMYFUNCTION("""COMPUTED_VALUE"""),45847.0)</f>
        <v>45847</v>
      </c>
      <c r="V89" s="181">
        <f>IFERROR(__xludf.DUMMYFUNCTION("""COMPUTED_VALUE"""),0.0)</f>
        <v>0</v>
      </c>
      <c r="W89" s="178">
        <f>IFERROR(__xludf.DUMMYFUNCTION("""COMPUTED_VALUE"""),45847.0)</f>
        <v>45847</v>
      </c>
      <c r="X89" s="179">
        <f>IFERROR(__xludf.DUMMYFUNCTION("""COMPUTED_VALUE"""),0.0)</f>
        <v>0</v>
      </c>
      <c r="Y89" s="180">
        <f>IFERROR(__xludf.DUMMYFUNCTION("""COMPUTED_VALUE"""),45817.0)</f>
        <v>45817</v>
      </c>
      <c r="Z89" s="179">
        <f>IFERROR(__xludf.DUMMYFUNCTION("""COMPUTED_VALUE"""),0.0)</f>
        <v>0</v>
      </c>
      <c r="AA89" s="180">
        <f>IFERROR(__xludf.DUMMYFUNCTION("""COMPUTED_VALUE"""),45847.0)</f>
        <v>45847</v>
      </c>
      <c r="AB89" s="179">
        <f>IFERROR(__xludf.DUMMYFUNCTION("""COMPUTED_VALUE"""),0.0)</f>
        <v>0</v>
      </c>
      <c r="AC89" s="180">
        <f>IFERROR(__xludf.DUMMYFUNCTION("""COMPUTED_VALUE"""),45938.0)</f>
        <v>45938</v>
      </c>
      <c r="AD89" s="179">
        <f>IFERROR(__xludf.DUMMYFUNCTION("""COMPUTED_VALUE"""),0.0)</f>
        <v>0</v>
      </c>
      <c r="AE89" s="180">
        <f>IFERROR(__xludf.DUMMYFUNCTION("""COMPUTED_VALUE"""),45817.0)</f>
        <v>45817</v>
      </c>
      <c r="AF89" s="179">
        <f>IFERROR(__xludf.DUMMYFUNCTION("""COMPUTED_VALUE"""),0.0)</f>
        <v>0</v>
      </c>
      <c r="AG89" s="180">
        <f>IFERROR(__xludf.DUMMYFUNCTION("""COMPUTED_VALUE"""),45847.0)</f>
        <v>45847</v>
      </c>
      <c r="AH89" s="179">
        <f>IFERROR(__xludf.DUMMYFUNCTION("""COMPUTED_VALUE"""),0.0)</f>
        <v>0</v>
      </c>
      <c r="AI89" s="180">
        <f>IFERROR(__xludf.DUMMYFUNCTION("""COMPUTED_VALUE"""),45725.0)</f>
        <v>45725</v>
      </c>
      <c r="AJ89" s="179">
        <f>IFERROR(__xludf.DUMMYFUNCTION("""COMPUTED_VALUE"""),0.0)</f>
        <v>0</v>
      </c>
      <c r="AK89" s="180">
        <f>IFERROR(__xludf.DUMMYFUNCTION("""COMPUTED_VALUE"""),45786.0)</f>
        <v>45786</v>
      </c>
      <c r="AL89" s="179">
        <f>IFERROR(__xludf.DUMMYFUNCTION("""COMPUTED_VALUE"""),0.0)</f>
        <v>0</v>
      </c>
      <c r="AM89" s="180">
        <f>IFERROR(__xludf.DUMMYFUNCTION("""COMPUTED_VALUE"""),45847.0)</f>
        <v>45847</v>
      </c>
      <c r="AN89" s="179">
        <f>IFERROR(__xludf.DUMMYFUNCTION("""COMPUTED_VALUE"""),0.0)</f>
        <v>0</v>
      </c>
      <c r="AO89" s="180">
        <f>IFERROR(__xludf.DUMMYFUNCTION("""COMPUTED_VALUE"""),45786.0)</f>
        <v>45786</v>
      </c>
      <c r="AP89" s="181">
        <f>IFERROR(__xludf.DUMMYFUNCTION("""COMPUTED_VALUE"""),0.0)</f>
        <v>0</v>
      </c>
      <c r="AQ89" s="178">
        <f>IFERROR(__xludf.DUMMYFUNCTION("""COMPUTED_VALUE"""),45847.0)</f>
        <v>45847</v>
      </c>
      <c r="AR89" s="179">
        <f>IFERROR(__xludf.DUMMYFUNCTION("""COMPUTED_VALUE"""),0.0)</f>
        <v>0</v>
      </c>
      <c r="AS89" s="180">
        <f>IFERROR(__xludf.DUMMYFUNCTION("""COMPUTED_VALUE"""),45847.0)</f>
        <v>45847</v>
      </c>
      <c r="AT89" s="179">
        <f>IFERROR(__xludf.DUMMYFUNCTION("""COMPUTED_VALUE"""),0.0)</f>
        <v>0</v>
      </c>
      <c r="AU89" s="180">
        <f>IFERROR(__xludf.DUMMYFUNCTION("""COMPUTED_VALUE"""),45817.0)</f>
        <v>45817</v>
      </c>
      <c r="AV89" s="179">
        <f>IFERROR(__xludf.DUMMYFUNCTION("""COMPUTED_VALUE"""),0.0)</f>
        <v>0</v>
      </c>
      <c r="AW89" s="180">
        <f>IFERROR(__xludf.DUMMYFUNCTION("""COMPUTED_VALUE"""),45817.0)</f>
        <v>45817</v>
      </c>
      <c r="AX89" s="179">
        <f>IFERROR(__xludf.DUMMYFUNCTION("""COMPUTED_VALUE"""),0.0)</f>
        <v>0</v>
      </c>
      <c r="AY89" s="180">
        <f>IFERROR(__xludf.DUMMYFUNCTION("""COMPUTED_VALUE"""),45847.0)</f>
        <v>45847</v>
      </c>
      <c r="AZ89" s="179">
        <f>IFERROR(__xludf.DUMMYFUNCTION("""COMPUTED_VALUE"""),0.0)</f>
        <v>0</v>
      </c>
      <c r="BA89" s="180">
        <f>IFERROR(__xludf.DUMMYFUNCTION("""COMPUTED_VALUE"""),45847.0)</f>
        <v>45847</v>
      </c>
      <c r="BB89" s="179">
        <f>IFERROR(__xludf.DUMMYFUNCTION("""COMPUTED_VALUE"""),0.0)</f>
        <v>0</v>
      </c>
      <c r="BC89" s="180">
        <f>IFERROR(__xludf.DUMMYFUNCTION("""COMPUTED_VALUE"""),45817.0)</f>
        <v>45817</v>
      </c>
      <c r="BD89" s="179">
        <f>IFERROR(__xludf.DUMMYFUNCTION("""COMPUTED_VALUE"""),0.0)</f>
        <v>0</v>
      </c>
      <c r="BE89" s="180">
        <f>IFERROR(__xludf.DUMMYFUNCTION("""COMPUTED_VALUE"""),45847.0)</f>
        <v>45847</v>
      </c>
      <c r="BF89" s="179">
        <f>IFERROR(__xludf.DUMMYFUNCTION("""COMPUTED_VALUE"""),0.0)</f>
        <v>0</v>
      </c>
      <c r="BG89" s="180">
        <f>IFERROR(__xludf.DUMMYFUNCTION("""COMPUTED_VALUE"""),45817.0)</f>
        <v>45817</v>
      </c>
      <c r="BH89" s="179">
        <f>IFERROR(__xludf.DUMMYFUNCTION("""COMPUTED_VALUE"""),0.0)</f>
        <v>0</v>
      </c>
      <c r="BI89" s="180">
        <f>IFERROR(__xludf.DUMMYFUNCTION("""COMPUTED_VALUE"""),45847.0)</f>
        <v>45847</v>
      </c>
      <c r="BJ89" s="179">
        <f>IFERROR(__xludf.DUMMYFUNCTION("""COMPUTED_VALUE"""),0.0)</f>
        <v>0</v>
      </c>
      <c r="BK89" s="182">
        <f>IFERROR(__xludf.DUMMYFUNCTION("""COMPUTED_VALUE"""),45847.0)</f>
        <v>45847</v>
      </c>
      <c r="BL89" s="179">
        <f>IFERROR(__xludf.DUMMYFUNCTION("""COMPUTED_VALUE"""),0.0)</f>
        <v>0</v>
      </c>
      <c r="BM89" s="180">
        <f>IFERROR(__xludf.DUMMYFUNCTION("""COMPUTED_VALUE"""),45847.0)</f>
        <v>45847</v>
      </c>
      <c r="BN89" s="179">
        <f>IFERROR(__xludf.DUMMYFUNCTION("""COMPUTED_VALUE"""),0.0)</f>
        <v>0</v>
      </c>
      <c r="BO89" s="180">
        <f>IFERROR(__xludf.DUMMYFUNCTION("""COMPUTED_VALUE"""),45817.0)</f>
        <v>45817</v>
      </c>
      <c r="BP89" s="179">
        <f>IFERROR(__xludf.DUMMYFUNCTION("""COMPUTED_VALUE"""),0.0)</f>
        <v>0</v>
      </c>
      <c r="BQ89" s="180">
        <f>IFERROR(__xludf.DUMMYFUNCTION("""COMPUTED_VALUE"""),45817.0)</f>
        <v>45817</v>
      </c>
      <c r="BR89" s="179">
        <f>IFERROR(__xludf.DUMMYFUNCTION("""COMPUTED_VALUE"""),0.0)</f>
        <v>0</v>
      </c>
      <c r="BS89" s="180">
        <f>IFERROR(__xludf.DUMMYFUNCTION("""COMPUTED_VALUE"""),45847.0)</f>
        <v>45847</v>
      </c>
      <c r="BT89" s="179">
        <f>IFERROR(__xludf.DUMMYFUNCTION("""COMPUTED_VALUE"""),0.0)</f>
        <v>0</v>
      </c>
      <c r="BU89" s="180">
        <f>IFERROR(__xludf.DUMMYFUNCTION("""COMPUTED_VALUE"""),45847.0)</f>
        <v>45847</v>
      </c>
      <c r="BV89" s="179">
        <f>IFERROR(__xludf.DUMMYFUNCTION("""COMPUTED_VALUE"""),0.0)</f>
        <v>0</v>
      </c>
      <c r="BW89" s="180">
        <f>IFERROR(__xludf.DUMMYFUNCTION("""COMPUTED_VALUE"""),45847.0)</f>
        <v>45847</v>
      </c>
      <c r="BX89" s="179">
        <f>IFERROR(__xludf.DUMMYFUNCTION("""COMPUTED_VALUE"""),0.0)</f>
        <v>0</v>
      </c>
      <c r="BY89" s="180">
        <f>IFERROR(__xludf.DUMMYFUNCTION("""COMPUTED_VALUE"""),45817.0)</f>
        <v>45817</v>
      </c>
      <c r="BZ89" s="179">
        <f>IFERROR(__xludf.DUMMYFUNCTION("""COMPUTED_VALUE"""),0.0)</f>
        <v>0</v>
      </c>
      <c r="CA89" s="180">
        <f>IFERROR(__xludf.DUMMYFUNCTION("""COMPUTED_VALUE"""),45847.0)</f>
        <v>45847</v>
      </c>
      <c r="CB89" s="179">
        <f>IFERROR(__xludf.DUMMYFUNCTION("""COMPUTED_VALUE"""),0.0)</f>
        <v>0</v>
      </c>
      <c r="CC89" s="180">
        <f>IFERROR(__xludf.DUMMYFUNCTION("""COMPUTED_VALUE"""),45847.0)</f>
        <v>45847</v>
      </c>
      <c r="CD89" s="179">
        <f>IFERROR(__xludf.DUMMYFUNCTION("""COMPUTED_VALUE"""),0.0)</f>
        <v>0</v>
      </c>
      <c r="CE89" s="182">
        <f>IFERROR(__xludf.DUMMYFUNCTION("""COMPUTED_VALUE"""),45847.0)</f>
        <v>45847</v>
      </c>
      <c r="CF89" s="179">
        <f>IFERROR(__xludf.DUMMYFUNCTION("""COMPUTED_VALUE"""),0.0)</f>
        <v>0</v>
      </c>
      <c r="CG89" s="180">
        <f>IFERROR(__xludf.DUMMYFUNCTION("""COMPUTED_VALUE"""),45756.0)</f>
        <v>45756</v>
      </c>
      <c r="CH89" s="179">
        <f>IFERROR(__xludf.DUMMYFUNCTION("""COMPUTED_VALUE"""),0.0)</f>
        <v>0</v>
      </c>
      <c r="CI89" s="180">
        <f>IFERROR(__xludf.DUMMYFUNCTION("""COMPUTED_VALUE"""),45756.0)</f>
        <v>45756</v>
      </c>
      <c r="CJ89" s="179">
        <f>IFERROR(__xludf.DUMMYFUNCTION("""COMPUTED_VALUE"""),0.0)</f>
        <v>0</v>
      </c>
      <c r="CK89" s="180">
        <f>IFERROR(__xludf.DUMMYFUNCTION("""COMPUTED_VALUE"""),45756.0)</f>
        <v>45756</v>
      </c>
      <c r="CL89" s="179">
        <f>IFERROR(__xludf.DUMMYFUNCTION("""COMPUTED_VALUE"""),0.0)</f>
        <v>0</v>
      </c>
      <c r="CM89" s="180">
        <f>IFERROR(__xludf.DUMMYFUNCTION("""COMPUTED_VALUE"""),45847.0)</f>
        <v>45847</v>
      </c>
      <c r="CN89" s="179">
        <f>IFERROR(__xludf.DUMMYFUNCTION("""COMPUTED_VALUE"""),0.0)</f>
        <v>0</v>
      </c>
      <c r="CO89" s="180">
        <f>IFERROR(__xludf.DUMMYFUNCTION("""COMPUTED_VALUE"""),45817.0)</f>
        <v>45817</v>
      </c>
      <c r="CP89" s="179">
        <f>IFERROR(__xludf.DUMMYFUNCTION("""COMPUTED_VALUE"""),0.0)</f>
        <v>0</v>
      </c>
      <c r="CQ89" s="180">
        <f>IFERROR(__xludf.DUMMYFUNCTION("""COMPUTED_VALUE"""),45756.0)</f>
        <v>45756</v>
      </c>
      <c r="CR89" s="179">
        <f>IFERROR(__xludf.DUMMYFUNCTION("""COMPUTED_VALUE"""),0.0)</f>
        <v>0</v>
      </c>
      <c r="CS89" s="180">
        <f>IFERROR(__xludf.DUMMYFUNCTION("""COMPUTED_VALUE"""),45817.0)</f>
        <v>45817</v>
      </c>
      <c r="CT89" s="179">
        <f>IFERROR(__xludf.DUMMYFUNCTION("""COMPUTED_VALUE"""),0.0)</f>
        <v>0</v>
      </c>
      <c r="CU89" s="180">
        <f>IFERROR(__xludf.DUMMYFUNCTION("""COMPUTED_VALUE"""),45847.0)</f>
        <v>45847</v>
      </c>
      <c r="CV89" s="179">
        <f>IFERROR(__xludf.DUMMYFUNCTION("""COMPUTED_VALUE"""),0.0)</f>
        <v>0</v>
      </c>
      <c r="CW89" s="180">
        <f>IFERROR(__xludf.DUMMYFUNCTION("""COMPUTED_VALUE"""),45908.0)</f>
        <v>45908</v>
      </c>
      <c r="CX89" s="179">
        <f>IFERROR(__xludf.DUMMYFUNCTION("""COMPUTED_VALUE"""),0.0)</f>
        <v>0</v>
      </c>
      <c r="CY89" s="182">
        <f>IFERROR(__xludf.DUMMYFUNCTION("""COMPUTED_VALUE"""),45847.0)</f>
        <v>45847</v>
      </c>
      <c r="CZ89" s="179">
        <f>IFERROR(__xludf.DUMMYFUNCTION("""COMPUTED_VALUE"""),0.0)</f>
        <v>0</v>
      </c>
      <c r="DA89" s="180">
        <f>IFERROR(__xludf.DUMMYFUNCTION("""COMPUTED_VALUE"""),45847.0)</f>
        <v>45847</v>
      </c>
      <c r="DB89" s="179">
        <f>IFERROR(__xludf.DUMMYFUNCTION("""COMPUTED_VALUE"""),0.0)</f>
        <v>0</v>
      </c>
      <c r="DC89" s="180">
        <f>IFERROR(__xludf.DUMMYFUNCTION("""COMPUTED_VALUE"""),45847.0)</f>
        <v>45847</v>
      </c>
      <c r="DD89" s="179">
        <f>IFERROR(__xludf.DUMMYFUNCTION("""COMPUTED_VALUE"""),0.0)</f>
        <v>0</v>
      </c>
      <c r="DE89" s="180">
        <f>IFERROR(__xludf.DUMMYFUNCTION("""COMPUTED_VALUE"""),45847.0)</f>
        <v>45847</v>
      </c>
      <c r="DF89" s="179">
        <f>IFERROR(__xludf.DUMMYFUNCTION("""COMPUTED_VALUE"""),0.0)</f>
        <v>0</v>
      </c>
      <c r="DG89" s="180">
        <f>IFERROR(__xludf.DUMMYFUNCTION("""COMPUTED_VALUE"""),45847.0)</f>
        <v>45847</v>
      </c>
      <c r="DH89" s="179">
        <f>IFERROR(__xludf.DUMMYFUNCTION("""COMPUTED_VALUE"""),0.0)</f>
        <v>0</v>
      </c>
      <c r="DI89" s="180">
        <f>IFERROR(__xludf.DUMMYFUNCTION("""COMPUTED_VALUE"""),45847.0)</f>
        <v>45847</v>
      </c>
      <c r="DJ89" s="179">
        <f>IFERROR(__xludf.DUMMYFUNCTION("""COMPUTED_VALUE"""),0.0)</f>
        <v>0</v>
      </c>
      <c r="DK89" s="180">
        <f>IFERROR(__xludf.DUMMYFUNCTION("""COMPUTED_VALUE"""),45847.0)</f>
        <v>45847</v>
      </c>
      <c r="DL89" s="179">
        <f>IFERROR(__xludf.DUMMYFUNCTION("""COMPUTED_VALUE"""),0.0)</f>
        <v>0</v>
      </c>
      <c r="DM89" s="180">
        <f>IFERROR(__xludf.DUMMYFUNCTION("""COMPUTED_VALUE"""),45847.0)</f>
        <v>45847</v>
      </c>
      <c r="DN89" s="179">
        <f>IFERROR(__xludf.DUMMYFUNCTION("""COMPUTED_VALUE"""),0.0)</f>
        <v>0</v>
      </c>
      <c r="DO89" s="180">
        <f>IFERROR(__xludf.DUMMYFUNCTION("""COMPUTED_VALUE"""),45847.0)</f>
        <v>45847</v>
      </c>
      <c r="DP89" s="179">
        <f>IFERROR(__xludf.DUMMYFUNCTION("""COMPUTED_VALUE"""),0.0)</f>
        <v>0</v>
      </c>
      <c r="DQ89" s="180">
        <f>IFERROR(__xludf.DUMMYFUNCTION("""COMPUTED_VALUE"""),45847.0)</f>
        <v>45847</v>
      </c>
      <c r="DR89" s="179">
        <f>IFERROR(__xludf.DUMMYFUNCTION("""COMPUTED_VALUE"""),0.0)</f>
        <v>0</v>
      </c>
      <c r="DS89" s="182">
        <f>IFERROR(__xludf.DUMMYFUNCTION("""COMPUTED_VALUE"""),45847.0)</f>
        <v>45847</v>
      </c>
      <c r="DT89" s="179">
        <f>IFERROR(__xludf.DUMMYFUNCTION("""COMPUTED_VALUE"""),0.0)</f>
        <v>0</v>
      </c>
      <c r="DU89" s="180">
        <f>IFERROR(__xludf.DUMMYFUNCTION("""COMPUTED_VALUE"""),45847.0)</f>
        <v>45847</v>
      </c>
      <c r="DV89" s="179">
        <f>IFERROR(__xludf.DUMMYFUNCTION("""COMPUTED_VALUE"""),0.0)</f>
        <v>0</v>
      </c>
      <c r="DW89" s="180">
        <f>IFERROR(__xludf.DUMMYFUNCTION("""COMPUTED_VALUE"""),45847.0)</f>
        <v>45847</v>
      </c>
      <c r="DX89" s="179">
        <f>IFERROR(__xludf.DUMMYFUNCTION("""COMPUTED_VALUE"""),0.0)</f>
        <v>0</v>
      </c>
      <c r="DY89" s="180">
        <f>IFERROR(__xludf.DUMMYFUNCTION("""COMPUTED_VALUE"""),45847.0)</f>
        <v>45847</v>
      </c>
      <c r="DZ89" s="179">
        <f>IFERROR(__xludf.DUMMYFUNCTION("""COMPUTED_VALUE"""),0.0)</f>
        <v>0</v>
      </c>
      <c r="EA89" s="180">
        <f>IFERROR(__xludf.DUMMYFUNCTION("""COMPUTED_VALUE"""),45847.0)</f>
        <v>45847</v>
      </c>
      <c r="EB89" s="179">
        <f>IFERROR(__xludf.DUMMYFUNCTION("""COMPUTED_VALUE"""),0.0)</f>
        <v>0</v>
      </c>
      <c r="EC89" s="180">
        <f>IFERROR(__xludf.DUMMYFUNCTION("""COMPUTED_VALUE"""),45847.0)</f>
        <v>45847</v>
      </c>
      <c r="ED89" s="179">
        <f>IFERROR(__xludf.DUMMYFUNCTION("""COMPUTED_VALUE"""),0.0)</f>
        <v>0</v>
      </c>
      <c r="EE89" s="180">
        <f>IFERROR(__xludf.DUMMYFUNCTION("""COMPUTED_VALUE"""),45847.0)</f>
        <v>45847</v>
      </c>
      <c r="EF89" s="179">
        <f>IFERROR(__xludf.DUMMYFUNCTION("""COMPUTED_VALUE"""),0.0)</f>
        <v>0</v>
      </c>
      <c r="EG89" s="180">
        <f>IFERROR(__xludf.DUMMYFUNCTION("""COMPUTED_VALUE"""),45847.0)</f>
        <v>45847</v>
      </c>
      <c r="EH89" s="179">
        <f>IFERROR(__xludf.DUMMYFUNCTION("""COMPUTED_VALUE"""),0.0)</f>
        <v>0</v>
      </c>
      <c r="EI89" s="180">
        <f>IFERROR(__xludf.DUMMYFUNCTION("""COMPUTED_VALUE"""),45847.0)</f>
        <v>45847</v>
      </c>
      <c r="EJ89" s="179">
        <f>IFERROR(__xludf.DUMMYFUNCTION("""COMPUTED_VALUE"""),0.0)</f>
        <v>0</v>
      </c>
      <c r="EK89" s="180">
        <f>IFERROR(__xludf.DUMMYFUNCTION("""COMPUTED_VALUE"""),45847.0)</f>
        <v>45847</v>
      </c>
      <c r="EL89" s="179">
        <f>IFERROR(__xludf.DUMMYFUNCTION("""COMPUTED_VALUE"""),0.0)</f>
        <v>0</v>
      </c>
      <c r="EM89" s="182">
        <f>IFERROR(__xludf.DUMMYFUNCTION("""COMPUTED_VALUE"""),45847.0)</f>
        <v>45847</v>
      </c>
      <c r="EN89" s="179">
        <f>IFERROR(__xludf.DUMMYFUNCTION("""COMPUTED_VALUE"""),0.0)</f>
        <v>0</v>
      </c>
      <c r="EO89" s="180">
        <f>IFERROR(__xludf.DUMMYFUNCTION("""COMPUTED_VALUE"""),45847.0)</f>
        <v>45847</v>
      </c>
      <c r="EP89" s="179">
        <f>IFERROR(__xludf.DUMMYFUNCTION("""COMPUTED_VALUE"""),0.0)</f>
        <v>0</v>
      </c>
      <c r="EQ89" s="180">
        <f>IFERROR(__xludf.DUMMYFUNCTION("""COMPUTED_VALUE"""),45847.0)</f>
        <v>45847</v>
      </c>
      <c r="ER89" s="179">
        <f>IFERROR(__xludf.DUMMYFUNCTION("""COMPUTED_VALUE"""),0.0)</f>
        <v>0</v>
      </c>
      <c r="ES89" s="180">
        <f>IFERROR(__xludf.DUMMYFUNCTION("""COMPUTED_VALUE"""),45847.0)</f>
        <v>45847</v>
      </c>
      <c r="ET89" s="179">
        <f>IFERROR(__xludf.DUMMYFUNCTION("""COMPUTED_VALUE"""),0.0)</f>
        <v>0</v>
      </c>
      <c r="EU89" s="180">
        <f>IFERROR(__xludf.DUMMYFUNCTION("""COMPUTED_VALUE"""),45847.0)</f>
        <v>45847</v>
      </c>
      <c r="EV89" s="179">
        <f>IFERROR(__xludf.DUMMYFUNCTION("""COMPUTED_VALUE"""),0.0)</f>
        <v>0</v>
      </c>
      <c r="EW89" s="180">
        <f>IFERROR(__xludf.DUMMYFUNCTION("""COMPUTED_VALUE"""),45847.0)</f>
        <v>45847</v>
      </c>
      <c r="EX89" s="179">
        <f>IFERROR(__xludf.DUMMYFUNCTION("""COMPUTED_VALUE"""),0.0)</f>
        <v>0</v>
      </c>
      <c r="EY89" s="180">
        <f>IFERROR(__xludf.DUMMYFUNCTION("""COMPUTED_VALUE"""),45847.0)</f>
        <v>45847</v>
      </c>
      <c r="EZ89" s="179">
        <f>IFERROR(__xludf.DUMMYFUNCTION("""COMPUTED_VALUE"""),0.0)</f>
        <v>0</v>
      </c>
      <c r="FA89" s="180">
        <f>IFERROR(__xludf.DUMMYFUNCTION("""COMPUTED_VALUE"""),45847.0)</f>
        <v>45847</v>
      </c>
      <c r="FB89" s="179">
        <f>IFERROR(__xludf.DUMMYFUNCTION("""COMPUTED_VALUE"""),0.0)</f>
        <v>0</v>
      </c>
      <c r="FC89" s="180">
        <f>IFERROR(__xludf.DUMMYFUNCTION("""COMPUTED_VALUE"""),45847.0)</f>
        <v>45847</v>
      </c>
      <c r="FD89" s="179">
        <f>IFERROR(__xludf.DUMMYFUNCTION("""COMPUTED_VALUE"""),0.0)</f>
        <v>0</v>
      </c>
      <c r="FE89" s="180">
        <f>IFERROR(__xludf.DUMMYFUNCTION("""COMPUTED_VALUE"""),45847.0)</f>
        <v>45847</v>
      </c>
      <c r="FF89" s="179">
        <f>IFERROR(__xludf.DUMMYFUNCTION("""COMPUTED_VALUE"""),0.0)</f>
        <v>0</v>
      </c>
      <c r="FG89" s="182">
        <f>IFERROR(__xludf.DUMMYFUNCTION("""COMPUTED_VALUE"""),45877.0)</f>
        <v>45877</v>
      </c>
      <c r="FH89" s="179">
        <f>IFERROR(__xludf.DUMMYFUNCTION("""COMPUTED_VALUE"""),0.0)</f>
        <v>0</v>
      </c>
      <c r="FI89" s="180">
        <f>IFERROR(__xludf.DUMMYFUNCTION("""COMPUTED_VALUE"""),45846.0)</f>
        <v>45846</v>
      </c>
      <c r="FJ89" s="179">
        <f>IFERROR(__xludf.DUMMYFUNCTION("""COMPUTED_VALUE"""),0.0)</f>
        <v>0</v>
      </c>
      <c r="FK89" s="180">
        <f>IFERROR(__xludf.DUMMYFUNCTION("""COMPUTED_VALUE"""),45696.0)</f>
        <v>45696</v>
      </c>
      <c r="FL89" s="179">
        <f>IFERROR(__xludf.DUMMYFUNCTION("""COMPUTED_VALUE"""),0.0)</f>
        <v>0</v>
      </c>
      <c r="FM89" s="180">
        <f>IFERROR(__xludf.DUMMYFUNCTION("""COMPUTED_VALUE"""),45877.0)</f>
        <v>45877</v>
      </c>
      <c r="FN89" s="179">
        <f>IFERROR(__xludf.DUMMYFUNCTION("""COMPUTED_VALUE"""),0.0)</f>
        <v>0</v>
      </c>
      <c r="FO89" s="180">
        <f>IFERROR(__xludf.DUMMYFUNCTION("""COMPUTED_VALUE"""),45877.0)</f>
        <v>45877</v>
      </c>
      <c r="FP89" s="179">
        <f>IFERROR(__xludf.DUMMYFUNCTION("""COMPUTED_VALUE"""),0.0)</f>
        <v>0</v>
      </c>
      <c r="FQ89" s="180">
        <f>IFERROR(__xludf.DUMMYFUNCTION("""COMPUTED_VALUE"""),45877.0)</f>
        <v>45877</v>
      </c>
      <c r="FR89" s="179">
        <f>IFERROR(__xludf.DUMMYFUNCTION("""COMPUTED_VALUE"""),0.0)</f>
        <v>0</v>
      </c>
      <c r="FS89" s="180">
        <f>IFERROR(__xludf.DUMMYFUNCTION("""COMPUTED_VALUE"""),45846.0)</f>
        <v>45846</v>
      </c>
      <c r="FT89" s="179">
        <f>IFERROR(__xludf.DUMMYFUNCTION("""COMPUTED_VALUE"""),0.0)</f>
        <v>0</v>
      </c>
      <c r="FU89" s="180">
        <f>IFERROR(__xludf.DUMMYFUNCTION("""COMPUTED_VALUE"""),45877.0)</f>
        <v>45877</v>
      </c>
      <c r="FV89" s="179">
        <f>IFERROR(__xludf.DUMMYFUNCTION("""COMPUTED_VALUE"""),0.0)</f>
        <v>0</v>
      </c>
      <c r="FW89" s="180">
        <f>IFERROR(__xludf.DUMMYFUNCTION("""COMPUTED_VALUE"""),45877.0)</f>
        <v>45877</v>
      </c>
      <c r="FX89" s="179">
        <f>IFERROR(__xludf.DUMMYFUNCTION("""COMPUTED_VALUE"""),0.0)</f>
        <v>0</v>
      </c>
      <c r="FY89" s="180">
        <f>IFERROR(__xludf.DUMMYFUNCTION("""COMPUTED_VALUE"""),45785.0)</f>
        <v>45785</v>
      </c>
      <c r="FZ89" s="179">
        <f>IFERROR(__xludf.DUMMYFUNCTION("""COMPUTED_VALUE"""),0.0)</f>
        <v>0</v>
      </c>
      <c r="GA89" s="182">
        <f>IFERROR(__xludf.DUMMYFUNCTION("""COMPUTED_VALUE"""),45877.0)</f>
        <v>45877</v>
      </c>
      <c r="GB89" s="179">
        <f>IFERROR(__xludf.DUMMYFUNCTION("""COMPUTED_VALUE"""),0.0)</f>
        <v>0</v>
      </c>
      <c r="GC89" s="180">
        <f>IFERROR(__xludf.DUMMYFUNCTION("""COMPUTED_VALUE"""),45846.0)</f>
        <v>45846</v>
      </c>
      <c r="GD89" s="179">
        <f>IFERROR(__xludf.DUMMYFUNCTION("""COMPUTED_VALUE"""),0.0)</f>
        <v>0</v>
      </c>
      <c r="GE89" s="180">
        <f>IFERROR(__xludf.DUMMYFUNCTION("""COMPUTED_VALUE"""),45846.0)</f>
        <v>45846</v>
      </c>
      <c r="GF89" s="179">
        <f>IFERROR(__xludf.DUMMYFUNCTION("""COMPUTED_VALUE"""),0.0)</f>
        <v>0</v>
      </c>
      <c r="GG89" s="180">
        <f>IFERROR(__xludf.DUMMYFUNCTION("""COMPUTED_VALUE"""),45846.0)</f>
        <v>45846</v>
      </c>
      <c r="GH89" s="179">
        <f>IFERROR(__xludf.DUMMYFUNCTION("""COMPUTED_VALUE"""),0.0)</f>
        <v>0</v>
      </c>
      <c r="GI89" s="180">
        <f>IFERROR(__xludf.DUMMYFUNCTION("""COMPUTED_VALUE"""),45877.0)</f>
        <v>45877</v>
      </c>
      <c r="GJ89" s="179">
        <f>IFERROR(__xludf.DUMMYFUNCTION("""COMPUTED_VALUE"""),0.0)</f>
        <v>0</v>
      </c>
      <c r="GK89" s="180">
        <f>IFERROR(__xludf.DUMMYFUNCTION("""COMPUTED_VALUE"""),45877.0)</f>
        <v>45877</v>
      </c>
      <c r="GL89" s="179">
        <f>IFERROR(__xludf.DUMMYFUNCTION("""COMPUTED_VALUE"""),0.0)</f>
        <v>0</v>
      </c>
      <c r="GM89" s="180">
        <f>IFERROR(__xludf.DUMMYFUNCTION("""COMPUTED_VALUE"""),45785.0)</f>
        <v>45785</v>
      </c>
      <c r="GN89" s="179">
        <f>IFERROR(__xludf.DUMMYFUNCTION("""COMPUTED_VALUE"""),0.0)</f>
        <v>0</v>
      </c>
      <c r="GO89" s="180">
        <f>IFERROR(__xludf.DUMMYFUNCTION("""COMPUTED_VALUE"""),45877.0)</f>
        <v>45877</v>
      </c>
      <c r="GP89" s="179">
        <f>IFERROR(__xludf.DUMMYFUNCTION("""COMPUTED_VALUE"""),0.0)</f>
        <v>0</v>
      </c>
      <c r="GQ89" s="180">
        <f>IFERROR(__xludf.DUMMYFUNCTION("""COMPUTED_VALUE"""),45877.0)</f>
        <v>45877</v>
      </c>
      <c r="GR89" s="179">
        <f>IFERROR(__xludf.DUMMYFUNCTION("""COMPUTED_VALUE"""),0.0)</f>
        <v>0</v>
      </c>
      <c r="GS89" s="180">
        <f>IFERROR(__xludf.DUMMYFUNCTION("""COMPUTED_VALUE"""),45816.0)</f>
        <v>45816</v>
      </c>
      <c r="GT89" s="179">
        <f>IFERROR(__xludf.DUMMYFUNCTION("""COMPUTED_VALUE"""),0.0)</f>
        <v>0</v>
      </c>
    </row>
    <row r="90" ht="31.5" customHeight="1">
      <c r="B90" s="183"/>
      <c r="C90" s="178">
        <f>IFERROR(__xludf.DUMMYFUNCTION("""COMPUTED_VALUE"""),45878.0)</f>
        <v>45878</v>
      </c>
      <c r="D90" s="179">
        <f>IFERROR(__xludf.DUMMYFUNCTION("""COMPUTED_VALUE"""),0.0)</f>
        <v>0</v>
      </c>
      <c r="E90" s="180">
        <f>IFERROR(__xludf.DUMMYFUNCTION("""COMPUTED_VALUE"""),45878.0)</f>
        <v>45878</v>
      </c>
      <c r="F90" s="179">
        <f>IFERROR(__xludf.DUMMYFUNCTION("""COMPUTED_VALUE"""),0.0)</f>
        <v>0</v>
      </c>
      <c r="G90" s="180">
        <f>IFERROR(__xludf.DUMMYFUNCTION("""COMPUTED_VALUE"""),45878.0)</f>
        <v>45878</v>
      </c>
      <c r="H90" s="179">
        <f>IFERROR(__xludf.DUMMYFUNCTION("""COMPUTED_VALUE"""),0.0)</f>
        <v>0</v>
      </c>
      <c r="I90" s="180">
        <f>IFERROR(__xludf.DUMMYFUNCTION("""COMPUTED_VALUE"""),45878.0)</f>
        <v>45878</v>
      </c>
      <c r="J90" s="179">
        <f>IFERROR(__xludf.DUMMYFUNCTION("""COMPUTED_VALUE"""),0.0)</f>
        <v>0</v>
      </c>
      <c r="K90" s="180">
        <f>IFERROR(__xludf.DUMMYFUNCTION("""COMPUTED_VALUE"""),45878.0)</f>
        <v>45878</v>
      </c>
      <c r="L90" s="179">
        <f>IFERROR(__xludf.DUMMYFUNCTION("""COMPUTED_VALUE"""),0.0)</f>
        <v>0</v>
      </c>
      <c r="M90" s="180">
        <f>IFERROR(__xludf.DUMMYFUNCTION("""COMPUTED_VALUE"""),45878.0)</f>
        <v>45878</v>
      </c>
      <c r="N90" s="179">
        <f>IFERROR(__xludf.DUMMYFUNCTION("""COMPUTED_VALUE"""),0.0)</f>
        <v>0</v>
      </c>
      <c r="O90" s="180">
        <f>IFERROR(__xludf.DUMMYFUNCTION("""COMPUTED_VALUE"""),45878.0)</f>
        <v>45878</v>
      </c>
      <c r="P90" s="179">
        <f>IFERROR(__xludf.DUMMYFUNCTION("""COMPUTED_VALUE"""),0.0)</f>
        <v>0</v>
      </c>
      <c r="Q90" s="180">
        <f>IFERROR(__xludf.DUMMYFUNCTION("""COMPUTED_VALUE"""),45878.0)</f>
        <v>45878</v>
      </c>
      <c r="R90" s="179">
        <f>IFERROR(__xludf.DUMMYFUNCTION("""COMPUTED_VALUE"""),0.0)</f>
        <v>0</v>
      </c>
      <c r="S90" s="180">
        <f>IFERROR(__xludf.DUMMYFUNCTION("""COMPUTED_VALUE"""),45878.0)</f>
        <v>45878</v>
      </c>
      <c r="T90" s="179">
        <f>IFERROR(__xludf.DUMMYFUNCTION("""COMPUTED_VALUE"""),0.0)</f>
        <v>0</v>
      </c>
      <c r="U90" s="180">
        <f>IFERROR(__xludf.DUMMYFUNCTION("""COMPUTED_VALUE"""),45878.0)</f>
        <v>45878</v>
      </c>
      <c r="V90" s="181">
        <f>IFERROR(__xludf.DUMMYFUNCTION("""COMPUTED_VALUE"""),0.0)</f>
        <v>0</v>
      </c>
      <c r="W90" s="178">
        <f>IFERROR(__xludf.DUMMYFUNCTION("""COMPUTED_VALUE"""),45878.0)</f>
        <v>45878</v>
      </c>
      <c r="X90" s="179">
        <f>IFERROR(__xludf.DUMMYFUNCTION("""COMPUTED_VALUE"""),0.0)</f>
        <v>0</v>
      </c>
      <c r="Y90" s="180">
        <f>IFERROR(__xludf.DUMMYFUNCTION("""COMPUTED_VALUE"""),45878.0)</f>
        <v>45878</v>
      </c>
      <c r="Z90" s="179">
        <f>IFERROR(__xludf.DUMMYFUNCTION("""COMPUTED_VALUE"""),0.0)</f>
        <v>0</v>
      </c>
      <c r="AA90" s="180">
        <f>IFERROR(__xludf.DUMMYFUNCTION("""COMPUTED_VALUE"""),45878.0)</f>
        <v>45878</v>
      </c>
      <c r="AB90" s="179">
        <f>IFERROR(__xludf.DUMMYFUNCTION("""COMPUTED_VALUE"""),0.0)</f>
        <v>0</v>
      </c>
      <c r="AC90" s="180">
        <f>IFERROR(__xludf.DUMMYFUNCTION("""COMPUTED_VALUE"""),45666.0)</f>
        <v>45666</v>
      </c>
      <c r="AD90" s="179">
        <f>IFERROR(__xludf.DUMMYFUNCTION("""COMPUTED_VALUE"""),0.0)</f>
        <v>0</v>
      </c>
      <c r="AE90" s="180">
        <f>IFERROR(__xludf.DUMMYFUNCTION("""COMPUTED_VALUE"""),45878.0)</f>
        <v>45878</v>
      </c>
      <c r="AF90" s="179">
        <f>IFERROR(__xludf.DUMMYFUNCTION("""COMPUTED_VALUE"""),0.0)</f>
        <v>0</v>
      </c>
      <c r="AG90" s="180">
        <f>IFERROR(__xludf.DUMMYFUNCTION("""COMPUTED_VALUE"""),45878.0)</f>
        <v>45878</v>
      </c>
      <c r="AH90" s="179">
        <f>IFERROR(__xludf.DUMMYFUNCTION("""COMPUTED_VALUE"""),0.0)</f>
        <v>0</v>
      </c>
      <c r="AI90" s="180">
        <f>IFERROR(__xludf.DUMMYFUNCTION("""COMPUTED_VALUE"""),45817.0)</f>
        <v>45817</v>
      </c>
      <c r="AJ90" s="179">
        <f>IFERROR(__xludf.DUMMYFUNCTION("""COMPUTED_VALUE"""),0.0)</f>
        <v>0</v>
      </c>
      <c r="AK90" s="180">
        <f>IFERROR(__xludf.DUMMYFUNCTION("""COMPUTED_VALUE"""),45817.0)</f>
        <v>45817</v>
      </c>
      <c r="AL90" s="179">
        <f>IFERROR(__xludf.DUMMYFUNCTION("""COMPUTED_VALUE"""),0.0)</f>
        <v>0</v>
      </c>
      <c r="AM90" s="180">
        <f>IFERROR(__xludf.DUMMYFUNCTION("""COMPUTED_VALUE"""),45878.0)</f>
        <v>45878</v>
      </c>
      <c r="AN90" s="179">
        <f>IFERROR(__xludf.DUMMYFUNCTION("""COMPUTED_VALUE"""),0.0)</f>
        <v>0</v>
      </c>
      <c r="AO90" s="180">
        <f>IFERROR(__xludf.DUMMYFUNCTION("""COMPUTED_VALUE"""),45817.0)</f>
        <v>45817</v>
      </c>
      <c r="AP90" s="181">
        <f>IFERROR(__xludf.DUMMYFUNCTION("""COMPUTED_VALUE"""),0.0)</f>
        <v>0</v>
      </c>
      <c r="AQ90" s="178">
        <f>IFERROR(__xludf.DUMMYFUNCTION("""COMPUTED_VALUE"""),45878.0)</f>
        <v>45878</v>
      </c>
      <c r="AR90" s="179">
        <f>IFERROR(__xludf.DUMMYFUNCTION("""COMPUTED_VALUE"""),0.0)</f>
        <v>0</v>
      </c>
      <c r="AS90" s="180">
        <f>IFERROR(__xludf.DUMMYFUNCTION("""COMPUTED_VALUE"""),45878.0)</f>
        <v>45878</v>
      </c>
      <c r="AT90" s="179">
        <f>IFERROR(__xludf.DUMMYFUNCTION("""COMPUTED_VALUE"""),0.0)</f>
        <v>0</v>
      </c>
      <c r="AU90" s="180">
        <f>IFERROR(__xludf.DUMMYFUNCTION("""COMPUTED_VALUE"""),45847.0)</f>
        <v>45847</v>
      </c>
      <c r="AV90" s="179">
        <f>IFERROR(__xludf.DUMMYFUNCTION("""COMPUTED_VALUE"""),0.0)</f>
        <v>0</v>
      </c>
      <c r="AW90" s="180">
        <f>IFERROR(__xludf.DUMMYFUNCTION("""COMPUTED_VALUE"""),45847.0)</f>
        <v>45847</v>
      </c>
      <c r="AX90" s="179">
        <f>IFERROR(__xludf.DUMMYFUNCTION("""COMPUTED_VALUE"""),0.0)</f>
        <v>0</v>
      </c>
      <c r="AY90" s="180">
        <f>IFERROR(__xludf.DUMMYFUNCTION("""COMPUTED_VALUE"""),45878.0)</f>
        <v>45878</v>
      </c>
      <c r="AZ90" s="179">
        <f>IFERROR(__xludf.DUMMYFUNCTION("""COMPUTED_VALUE"""),0.0)</f>
        <v>0</v>
      </c>
      <c r="BA90" s="180">
        <f>IFERROR(__xludf.DUMMYFUNCTION("""COMPUTED_VALUE"""),45878.0)</f>
        <v>45878</v>
      </c>
      <c r="BB90" s="179">
        <f>IFERROR(__xludf.DUMMYFUNCTION("""COMPUTED_VALUE"""),0.0)</f>
        <v>0</v>
      </c>
      <c r="BC90" s="180">
        <f>IFERROR(__xludf.DUMMYFUNCTION("""COMPUTED_VALUE"""),45847.0)</f>
        <v>45847</v>
      </c>
      <c r="BD90" s="179">
        <f>IFERROR(__xludf.DUMMYFUNCTION("""COMPUTED_VALUE"""),0.0)</f>
        <v>0</v>
      </c>
      <c r="BE90" s="180">
        <f>IFERROR(__xludf.DUMMYFUNCTION("""COMPUTED_VALUE"""),45878.0)</f>
        <v>45878</v>
      </c>
      <c r="BF90" s="179">
        <f>IFERROR(__xludf.DUMMYFUNCTION("""COMPUTED_VALUE"""),0.0)</f>
        <v>0</v>
      </c>
      <c r="BG90" s="180">
        <f>IFERROR(__xludf.DUMMYFUNCTION("""COMPUTED_VALUE"""),45847.0)</f>
        <v>45847</v>
      </c>
      <c r="BH90" s="179">
        <f>IFERROR(__xludf.DUMMYFUNCTION("""COMPUTED_VALUE"""),0.0)</f>
        <v>0</v>
      </c>
      <c r="BI90" s="180">
        <f>IFERROR(__xludf.DUMMYFUNCTION("""COMPUTED_VALUE"""),45878.0)</f>
        <v>45878</v>
      </c>
      <c r="BJ90" s="179">
        <f>IFERROR(__xludf.DUMMYFUNCTION("""COMPUTED_VALUE"""),0.0)</f>
        <v>0</v>
      </c>
      <c r="BK90" s="182">
        <f>IFERROR(__xludf.DUMMYFUNCTION("""COMPUTED_VALUE"""),45878.0)</f>
        <v>45878</v>
      </c>
      <c r="BL90" s="179">
        <f>IFERROR(__xludf.DUMMYFUNCTION("""COMPUTED_VALUE"""),0.0)</f>
        <v>0</v>
      </c>
      <c r="BM90" s="180">
        <f>IFERROR(__xludf.DUMMYFUNCTION("""COMPUTED_VALUE"""),45878.0)</f>
        <v>45878</v>
      </c>
      <c r="BN90" s="179">
        <f>IFERROR(__xludf.DUMMYFUNCTION("""COMPUTED_VALUE"""),0.0)</f>
        <v>0</v>
      </c>
      <c r="BO90" s="180">
        <f>IFERROR(__xludf.DUMMYFUNCTION("""COMPUTED_VALUE"""),45847.0)</f>
        <v>45847</v>
      </c>
      <c r="BP90" s="179">
        <f>IFERROR(__xludf.DUMMYFUNCTION("""COMPUTED_VALUE"""),0.0)</f>
        <v>0</v>
      </c>
      <c r="BQ90" s="180">
        <f>IFERROR(__xludf.DUMMYFUNCTION("""COMPUTED_VALUE"""),45847.0)</f>
        <v>45847</v>
      </c>
      <c r="BR90" s="179">
        <f>IFERROR(__xludf.DUMMYFUNCTION("""COMPUTED_VALUE"""),0.0)</f>
        <v>0</v>
      </c>
      <c r="BS90" s="180">
        <f>IFERROR(__xludf.DUMMYFUNCTION("""COMPUTED_VALUE"""),45878.0)</f>
        <v>45878</v>
      </c>
      <c r="BT90" s="179">
        <f>IFERROR(__xludf.DUMMYFUNCTION("""COMPUTED_VALUE"""),0.0)</f>
        <v>0</v>
      </c>
      <c r="BU90" s="180">
        <f>IFERROR(__xludf.DUMMYFUNCTION("""COMPUTED_VALUE"""),45878.0)</f>
        <v>45878</v>
      </c>
      <c r="BV90" s="179">
        <f>IFERROR(__xludf.DUMMYFUNCTION("""COMPUTED_VALUE"""),0.0)</f>
        <v>0</v>
      </c>
      <c r="BW90" s="180">
        <f>IFERROR(__xludf.DUMMYFUNCTION("""COMPUTED_VALUE"""),45878.0)</f>
        <v>45878</v>
      </c>
      <c r="BX90" s="179">
        <f>IFERROR(__xludf.DUMMYFUNCTION("""COMPUTED_VALUE"""),0.0)</f>
        <v>0</v>
      </c>
      <c r="BY90" s="180">
        <f>IFERROR(__xludf.DUMMYFUNCTION("""COMPUTED_VALUE"""),45847.0)</f>
        <v>45847</v>
      </c>
      <c r="BZ90" s="179">
        <f>IFERROR(__xludf.DUMMYFUNCTION("""COMPUTED_VALUE"""),0.0)</f>
        <v>0</v>
      </c>
      <c r="CA90" s="180">
        <f>IFERROR(__xludf.DUMMYFUNCTION("""COMPUTED_VALUE"""),45878.0)</f>
        <v>45878</v>
      </c>
      <c r="CB90" s="179">
        <f>IFERROR(__xludf.DUMMYFUNCTION("""COMPUTED_VALUE"""),0.0)</f>
        <v>0</v>
      </c>
      <c r="CC90" s="180">
        <f>IFERROR(__xludf.DUMMYFUNCTION("""COMPUTED_VALUE"""),45878.0)</f>
        <v>45878</v>
      </c>
      <c r="CD90" s="179">
        <f>IFERROR(__xludf.DUMMYFUNCTION("""COMPUTED_VALUE"""),0.0)</f>
        <v>0</v>
      </c>
      <c r="CE90" s="182">
        <f>IFERROR(__xludf.DUMMYFUNCTION("""COMPUTED_VALUE"""),45878.0)</f>
        <v>45878</v>
      </c>
      <c r="CF90" s="179">
        <f>IFERROR(__xludf.DUMMYFUNCTION("""COMPUTED_VALUE"""),0.0)</f>
        <v>0</v>
      </c>
      <c r="CG90" s="180">
        <f>IFERROR(__xludf.DUMMYFUNCTION("""COMPUTED_VALUE"""),45786.0)</f>
        <v>45786</v>
      </c>
      <c r="CH90" s="179">
        <f>IFERROR(__xludf.DUMMYFUNCTION("""COMPUTED_VALUE"""),0.0)</f>
        <v>0</v>
      </c>
      <c r="CI90" s="180">
        <f>IFERROR(__xludf.DUMMYFUNCTION("""COMPUTED_VALUE"""),45786.0)</f>
        <v>45786</v>
      </c>
      <c r="CJ90" s="179">
        <f>IFERROR(__xludf.DUMMYFUNCTION("""COMPUTED_VALUE"""),0.0)</f>
        <v>0</v>
      </c>
      <c r="CK90" s="180">
        <f>IFERROR(__xludf.DUMMYFUNCTION("""COMPUTED_VALUE"""),45786.0)</f>
        <v>45786</v>
      </c>
      <c r="CL90" s="179">
        <f>IFERROR(__xludf.DUMMYFUNCTION("""COMPUTED_VALUE"""),0.0)</f>
        <v>0</v>
      </c>
      <c r="CM90" s="180">
        <f>IFERROR(__xludf.DUMMYFUNCTION("""COMPUTED_VALUE"""),45878.0)</f>
        <v>45878</v>
      </c>
      <c r="CN90" s="179">
        <f>IFERROR(__xludf.DUMMYFUNCTION("""COMPUTED_VALUE"""),0.0)</f>
        <v>0</v>
      </c>
      <c r="CO90" s="180">
        <f>IFERROR(__xludf.DUMMYFUNCTION("""COMPUTED_VALUE"""),45847.0)</f>
        <v>45847</v>
      </c>
      <c r="CP90" s="179">
        <f>IFERROR(__xludf.DUMMYFUNCTION("""COMPUTED_VALUE"""),0.0)</f>
        <v>0</v>
      </c>
      <c r="CQ90" s="180">
        <f>IFERROR(__xludf.DUMMYFUNCTION("""COMPUTED_VALUE"""),45786.0)</f>
        <v>45786</v>
      </c>
      <c r="CR90" s="179">
        <f>IFERROR(__xludf.DUMMYFUNCTION("""COMPUTED_VALUE"""),0.0)</f>
        <v>0</v>
      </c>
      <c r="CS90" s="180">
        <f>IFERROR(__xludf.DUMMYFUNCTION("""COMPUTED_VALUE"""),45847.0)</f>
        <v>45847</v>
      </c>
      <c r="CT90" s="179">
        <f>IFERROR(__xludf.DUMMYFUNCTION("""COMPUTED_VALUE"""),0.0)</f>
        <v>0</v>
      </c>
      <c r="CU90" s="180">
        <f>IFERROR(__xludf.DUMMYFUNCTION("""COMPUTED_VALUE"""),45878.0)</f>
        <v>45878</v>
      </c>
      <c r="CV90" s="179">
        <f>IFERROR(__xludf.DUMMYFUNCTION("""COMPUTED_VALUE"""),0.0)</f>
        <v>0</v>
      </c>
      <c r="CW90" s="180">
        <f>IFERROR(__xludf.DUMMYFUNCTION("""COMPUTED_VALUE"""),45938.0)</f>
        <v>45938</v>
      </c>
      <c r="CX90" s="179">
        <f>IFERROR(__xludf.DUMMYFUNCTION("""COMPUTED_VALUE"""),0.0)</f>
        <v>0</v>
      </c>
      <c r="CY90" s="182">
        <f>IFERROR(__xludf.DUMMYFUNCTION("""COMPUTED_VALUE"""),45878.0)</f>
        <v>45878</v>
      </c>
      <c r="CZ90" s="179">
        <f>IFERROR(__xludf.DUMMYFUNCTION("""COMPUTED_VALUE"""),0.0)</f>
        <v>0</v>
      </c>
      <c r="DA90" s="180">
        <f>IFERROR(__xludf.DUMMYFUNCTION("""COMPUTED_VALUE"""),45878.0)</f>
        <v>45878</v>
      </c>
      <c r="DB90" s="179">
        <f>IFERROR(__xludf.DUMMYFUNCTION("""COMPUTED_VALUE"""),0.0)</f>
        <v>0</v>
      </c>
      <c r="DC90" s="180">
        <f>IFERROR(__xludf.DUMMYFUNCTION("""COMPUTED_VALUE"""),45878.0)</f>
        <v>45878</v>
      </c>
      <c r="DD90" s="179">
        <f>IFERROR(__xludf.DUMMYFUNCTION("""COMPUTED_VALUE"""),0.0)</f>
        <v>0</v>
      </c>
      <c r="DE90" s="180">
        <f>IFERROR(__xludf.DUMMYFUNCTION("""COMPUTED_VALUE"""),45878.0)</f>
        <v>45878</v>
      </c>
      <c r="DF90" s="179">
        <f>IFERROR(__xludf.DUMMYFUNCTION("""COMPUTED_VALUE"""),0.0)</f>
        <v>0</v>
      </c>
      <c r="DG90" s="180">
        <f>IFERROR(__xludf.DUMMYFUNCTION("""COMPUTED_VALUE"""),45878.0)</f>
        <v>45878</v>
      </c>
      <c r="DH90" s="179">
        <f>IFERROR(__xludf.DUMMYFUNCTION("""COMPUTED_VALUE"""),0.0)</f>
        <v>0</v>
      </c>
      <c r="DI90" s="180">
        <f>IFERROR(__xludf.DUMMYFUNCTION("""COMPUTED_VALUE"""),45878.0)</f>
        <v>45878</v>
      </c>
      <c r="DJ90" s="179">
        <f>IFERROR(__xludf.DUMMYFUNCTION("""COMPUTED_VALUE"""),0.0)</f>
        <v>0</v>
      </c>
      <c r="DK90" s="180">
        <f>IFERROR(__xludf.DUMMYFUNCTION("""COMPUTED_VALUE"""),45878.0)</f>
        <v>45878</v>
      </c>
      <c r="DL90" s="179">
        <f>IFERROR(__xludf.DUMMYFUNCTION("""COMPUTED_VALUE"""),0.0)</f>
        <v>0</v>
      </c>
      <c r="DM90" s="180">
        <f>IFERROR(__xludf.DUMMYFUNCTION("""COMPUTED_VALUE"""),45878.0)</f>
        <v>45878</v>
      </c>
      <c r="DN90" s="179">
        <f>IFERROR(__xludf.DUMMYFUNCTION("""COMPUTED_VALUE"""),0.0)</f>
        <v>0</v>
      </c>
      <c r="DO90" s="180">
        <f>IFERROR(__xludf.DUMMYFUNCTION("""COMPUTED_VALUE"""),45878.0)</f>
        <v>45878</v>
      </c>
      <c r="DP90" s="179">
        <f>IFERROR(__xludf.DUMMYFUNCTION("""COMPUTED_VALUE"""),0.0)</f>
        <v>0</v>
      </c>
      <c r="DQ90" s="180">
        <f>IFERROR(__xludf.DUMMYFUNCTION("""COMPUTED_VALUE"""),45878.0)</f>
        <v>45878</v>
      </c>
      <c r="DR90" s="179">
        <f>IFERROR(__xludf.DUMMYFUNCTION("""COMPUTED_VALUE"""),0.0)</f>
        <v>0</v>
      </c>
      <c r="DS90" s="182">
        <f>IFERROR(__xludf.DUMMYFUNCTION("""COMPUTED_VALUE"""),45878.0)</f>
        <v>45878</v>
      </c>
      <c r="DT90" s="179">
        <f>IFERROR(__xludf.DUMMYFUNCTION("""COMPUTED_VALUE"""),0.0)</f>
        <v>0</v>
      </c>
      <c r="DU90" s="180">
        <f>IFERROR(__xludf.DUMMYFUNCTION("""COMPUTED_VALUE"""),45878.0)</f>
        <v>45878</v>
      </c>
      <c r="DV90" s="179">
        <f>IFERROR(__xludf.DUMMYFUNCTION("""COMPUTED_VALUE"""),0.0)</f>
        <v>0</v>
      </c>
      <c r="DW90" s="180">
        <f>IFERROR(__xludf.DUMMYFUNCTION("""COMPUTED_VALUE"""),45878.0)</f>
        <v>45878</v>
      </c>
      <c r="DX90" s="179">
        <f>IFERROR(__xludf.DUMMYFUNCTION("""COMPUTED_VALUE"""),0.0)</f>
        <v>0</v>
      </c>
      <c r="DY90" s="180">
        <f>IFERROR(__xludf.DUMMYFUNCTION("""COMPUTED_VALUE"""),45878.0)</f>
        <v>45878</v>
      </c>
      <c r="DZ90" s="179">
        <f>IFERROR(__xludf.DUMMYFUNCTION("""COMPUTED_VALUE"""),0.0)</f>
        <v>0</v>
      </c>
      <c r="EA90" s="180">
        <f>IFERROR(__xludf.DUMMYFUNCTION("""COMPUTED_VALUE"""),45878.0)</f>
        <v>45878</v>
      </c>
      <c r="EB90" s="179">
        <f>IFERROR(__xludf.DUMMYFUNCTION("""COMPUTED_VALUE"""),0.0)</f>
        <v>0</v>
      </c>
      <c r="EC90" s="180">
        <f>IFERROR(__xludf.DUMMYFUNCTION("""COMPUTED_VALUE"""),45878.0)</f>
        <v>45878</v>
      </c>
      <c r="ED90" s="179">
        <f>IFERROR(__xludf.DUMMYFUNCTION("""COMPUTED_VALUE"""),0.0)</f>
        <v>0</v>
      </c>
      <c r="EE90" s="180">
        <f>IFERROR(__xludf.DUMMYFUNCTION("""COMPUTED_VALUE"""),45878.0)</f>
        <v>45878</v>
      </c>
      <c r="EF90" s="179">
        <f>IFERROR(__xludf.DUMMYFUNCTION("""COMPUTED_VALUE"""),0.0)</f>
        <v>0</v>
      </c>
      <c r="EG90" s="180">
        <f>IFERROR(__xludf.DUMMYFUNCTION("""COMPUTED_VALUE"""),45878.0)</f>
        <v>45878</v>
      </c>
      <c r="EH90" s="179">
        <f>IFERROR(__xludf.DUMMYFUNCTION("""COMPUTED_VALUE"""),0.0)</f>
        <v>0</v>
      </c>
      <c r="EI90" s="180">
        <f>IFERROR(__xludf.DUMMYFUNCTION("""COMPUTED_VALUE"""),45878.0)</f>
        <v>45878</v>
      </c>
      <c r="EJ90" s="179">
        <f>IFERROR(__xludf.DUMMYFUNCTION("""COMPUTED_VALUE"""),0.0)</f>
        <v>0</v>
      </c>
      <c r="EK90" s="180">
        <f>IFERROR(__xludf.DUMMYFUNCTION("""COMPUTED_VALUE"""),45878.0)</f>
        <v>45878</v>
      </c>
      <c r="EL90" s="179">
        <f>IFERROR(__xludf.DUMMYFUNCTION("""COMPUTED_VALUE"""),0.0)</f>
        <v>0</v>
      </c>
      <c r="EM90" s="182">
        <f>IFERROR(__xludf.DUMMYFUNCTION("""COMPUTED_VALUE"""),45878.0)</f>
        <v>45878</v>
      </c>
      <c r="EN90" s="179">
        <f>IFERROR(__xludf.DUMMYFUNCTION("""COMPUTED_VALUE"""),0.0)</f>
        <v>0</v>
      </c>
      <c r="EO90" s="180">
        <f>IFERROR(__xludf.DUMMYFUNCTION("""COMPUTED_VALUE"""),45878.0)</f>
        <v>45878</v>
      </c>
      <c r="EP90" s="179">
        <f>IFERROR(__xludf.DUMMYFUNCTION("""COMPUTED_VALUE"""),0.0)</f>
        <v>0</v>
      </c>
      <c r="EQ90" s="180">
        <f>IFERROR(__xludf.DUMMYFUNCTION("""COMPUTED_VALUE"""),45878.0)</f>
        <v>45878</v>
      </c>
      <c r="ER90" s="179">
        <f>IFERROR(__xludf.DUMMYFUNCTION("""COMPUTED_VALUE"""),0.0)</f>
        <v>0</v>
      </c>
      <c r="ES90" s="180">
        <f>IFERROR(__xludf.DUMMYFUNCTION("""COMPUTED_VALUE"""),45878.0)</f>
        <v>45878</v>
      </c>
      <c r="ET90" s="179">
        <f>IFERROR(__xludf.DUMMYFUNCTION("""COMPUTED_VALUE"""),0.0)</f>
        <v>0</v>
      </c>
      <c r="EU90" s="180">
        <f>IFERROR(__xludf.DUMMYFUNCTION("""COMPUTED_VALUE"""),45878.0)</f>
        <v>45878</v>
      </c>
      <c r="EV90" s="179">
        <f>IFERROR(__xludf.DUMMYFUNCTION("""COMPUTED_VALUE"""),0.0)</f>
        <v>0</v>
      </c>
      <c r="EW90" s="180">
        <f>IFERROR(__xludf.DUMMYFUNCTION("""COMPUTED_VALUE"""),45878.0)</f>
        <v>45878</v>
      </c>
      <c r="EX90" s="179">
        <f>IFERROR(__xludf.DUMMYFUNCTION("""COMPUTED_VALUE"""),0.0)</f>
        <v>0</v>
      </c>
      <c r="EY90" s="180">
        <f>IFERROR(__xludf.DUMMYFUNCTION("""COMPUTED_VALUE"""),45878.0)</f>
        <v>45878</v>
      </c>
      <c r="EZ90" s="179">
        <f>IFERROR(__xludf.DUMMYFUNCTION("""COMPUTED_VALUE"""),0.0)</f>
        <v>0</v>
      </c>
      <c r="FA90" s="180">
        <f>IFERROR(__xludf.DUMMYFUNCTION("""COMPUTED_VALUE"""),45878.0)</f>
        <v>45878</v>
      </c>
      <c r="FB90" s="179">
        <f>IFERROR(__xludf.DUMMYFUNCTION("""COMPUTED_VALUE"""),0.0)</f>
        <v>0</v>
      </c>
      <c r="FC90" s="180">
        <f>IFERROR(__xludf.DUMMYFUNCTION("""COMPUTED_VALUE"""),45878.0)</f>
        <v>45878</v>
      </c>
      <c r="FD90" s="179">
        <f>IFERROR(__xludf.DUMMYFUNCTION("""COMPUTED_VALUE"""),0.0)</f>
        <v>0</v>
      </c>
      <c r="FE90" s="180">
        <f>IFERROR(__xludf.DUMMYFUNCTION("""COMPUTED_VALUE"""),45878.0)</f>
        <v>45878</v>
      </c>
      <c r="FF90" s="179">
        <f>IFERROR(__xludf.DUMMYFUNCTION("""COMPUTED_VALUE"""),0.0)</f>
        <v>0</v>
      </c>
      <c r="FG90" s="182">
        <f>IFERROR(__xludf.DUMMYFUNCTION("""COMPUTED_VALUE"""),45908.0)</f>
        <v>45908</v>
      </c>
      <c r="FH90" s="179">
        <f>IFERROR(__xludf.DUMMYFUNCTION("""COMPUTED_VALUE"""),0.0)</f>
        <v>0</v>
      </c>
      <c r="FI90" s="180">
        <f>IFERROR(__xludf.DUMMYFUNCTION("""COMPUTED_VALUE"""),45877.0)</f>
        <v>45877</v>
      </c>
      <c r="FJ90" s="179">
        <f>IFERROR(__xludf.DUMMYFUNCTION("""COMPUTED_VALUE"""),0.0)</f>
        <v>0</v>
      </c>
      <c r="FK90" s="180">
        <f>IFERROR(__xludf.DUMMYFUNCTION("""COMPUTED_VALUE"""),45755.0)</f>
        <v>45755</v>
      </c>
      <c r="FL90" s="179">
        <f>IFERROR(__xludf.DUMMYFUNCTION("""COMPUTED_VALUE"""),0.0)</f>
        <v>0</v>
      </c>
      <c r="FM90" s="180">
        <f>IFERROR(__xludf.DUMMYFUNCTION("""COMPUTED_VALUE"""),45908.0)</f>
        <v>45908</v>
      </c>
      <c r="FN90" s="179">
        <f>IFERROR(__xludf.DUMMYFUNCTION("""COMPUTED_VALUE"""),0.0)</f>
        <v>0</v>
      </c>
      <c r="FO90" s="180">
        <f>IFERROR(__xludf.DUMMYFUNCTION("""COMPUTED_VALUE"""),45908.0)</f>
        <v>45908</v>
      </c>
      <c r="FP90" s="179">
        <f>IFERROR(__xludf.DUMMYFUNCTION("""COMPUTED_VALUE"""),0.0)</f>
        <v>0</v>
      </c>
      <c r="FQ90" s="180">
        <f>IFERROR(__xludf.DUMMYFUNCTION("""COMPUTED_VALUE"""),45908.0)</f>
        <v>45908</v>
      </c>
      <c r="FR90" s="179">
        <f>IFERROR(__xludf.DUMMYFUNCTION("""COMPUTED_VALUE"""),0.0)</f>
        <v>0</v>
      </c>
      <c r="FS90" s="180">
        <f>IFERROR(__xludf.DUMMYFUNCTION("""COMPUTED_VALUE"""),45877.0)</f>
        <v>45877</v>
      </c>
      <c r="FT90" s="179">
        <f>IFERROR(__xludf.DUMMYFUNCTION("""COMPUTED_VALUE"""),0.0)</f>
        <v>0</v>
      </c>
      <c r="FU90" s="180">
        <f>IFERROR(__xludf.DUMMYFUNCTION("""COMPUTED_VALUE"""),45908.0)</f>
        <v>45908</v>
      </c>
      <c r="FV90" s="179">
        <f>IFERROR(__xludf.DUMMYFUNCTION("""COMPUTED_VALUE"""),0.0)</f>
        <v>0</v>
      </c>
      <c r="FW90" s="180">
        <f>IFERROR(__xludf.DUMMYFUNCTION("""COMPUTED_VALUE"""),45908.0)</f>
        <v>45908</v>
      </c>
      <c r="FX90" s="179">
        <f>IFERROR(__xludf.DUMMYFUNCTION("""COMPUTED_VALUE"""),0.0)</f>
        <v>0</v>
      </c>
      <c r="FY90" s="180">
        <f>IFERROR(__xludf.DUMMYFUNCTION("""COMPUTED_VALUE"""),45816.0)</f>
        <v>45816</v>
      </c>
      <c r="FZ90" s="179">
        <f>IFERROR(__xludf.DUMMYFUNCTION("""COMPUTED_VALUE"""),0.0)</f>
        <v>0</v>
      </c>
      <c r="GA90" s="182">
        <f>IFERROR(__xludf.DUMMYFUNCTION("""COMPUTED_VALUE"""),45908.0)</f>
        <v>45908</v>
      </c>
      <c r="GB90" s="179">
        <f>IFERROR(__xludf.DUMMYFUNCTION("""COMPUTED_VALUE"""),0.0)</f>
        <v>0</v>
      </c>
      <c r="GC90" s="180">
        <f>IFERROR(__xludf.DUMMYFUNCTION("""COMPUTED_VALUE"""),45877.0)</f>
        <v>45877</v>
      </c>
      <c r="GD90" s="179">
        <f>IFERROR(__xludf.DUMMYFUNCTION("""COMPUTED_VALUE"""),0.0)</f>
        <v>0</v>
      </c>
      <c r="GE90" s="180">
        <f>IFERROR(__xludf.DUMMYFUNCTION("""COMPUTED_VALUE"""),45877.0)</f>
        <v>45877</v>
      </c>
      <c r="GF90" s="179">
        <f>IFERROR(__xludf.DUMMYFUNCTION("""COMPUTED_VALUE"""),0.0)</f>
        <v>0</v>
      </c>
      <c r="GG90" s="180">
        <f>IFERROR(__xludf.DUMMYFUNCTION("""COMPUTED_VALUE"""),45877.0)</f>
        <v>45877</v>
      </c>
      <c r="GH90" s="179">
        <f>IFERROR(__xludf.DUMMYFUNCTION("""COMPUTED_VALUE"""),0.0)</f>
        <v>0</v>
      </c>
      <c r="GI90" s="180">
        <f>IFERROR(__xludf.DUMMYFUNCTION("""COMPUTED_VALUE"""),45908.0)</f>
        <v>45908</v>
      </c>
      <c r="GJ90" s="179">
        <f>IFERROR(__xludf.DUMMYFUNCTION("""COMPUTED_VALUE"""),0.0)</f>
        <v>0</v>
      </c>
      <c r="GK90" s="180">
        <f>IFERROR(__xludf.DUMMYFUNCTION("""COMPUTED_VALUE"""),45908.0)</f>
        <v>45908</v>
      </c>
      <c r="GL90" s="179">
        <f>IFERROR(__xludf.DUMMYFUNCTION("""COMPUTED_VALUE"""),0.0)</f>
        <v>0</v>
      </c>
      <c r="GM90" s="180">
        <f>IFERROR(__xludf.DUMMYFUNCTION("""COMPUTED_VALUE"""),45816.0)</f>
        <v>45816</v>
      </c>
      <c r="GN90" s="179">
        <f>IFERROR(__xludf.DUMMYFUNCTION("""COMPUTED_VALUE"""),0.0)</f>
        <v>0</v>
      </c>
      <c r="GO90" s="180">
        <f>IFERROR(__xludf.DUMMYFUNCTION("""COMPUTED_VALUE"""),45908.0)</f>
        <v>45908</v>
      </c>
      <c r="GP90" s="179">
        <f>IFERROR(__xludf.DUMMYFUNCTION("""COMPUTED_VALUE"""),0.0)</f>
        <v>0</v>
      </c>
      <c r="GQ90" s="180">
        <f>IFERROR(__xludf.DUMMYFUNCTION("""COMPUTED_VALUE"""),45908.0)</f>
        <v>45908</v>
      </c>
      <c r="GR90" s="179">
        <f>IFERROR(__xludf.DUMMYFUNCTION("""COMPUTED_VALUE"""),0.0)</f>
        <v>0</v>
      </c>
      <c r="GS90" s="180">
        <f>IFERROR(__xludf.DUMMYFUNCTION("""COMPUTED_VALUE"""),45846.0)</f>
        <v>45846</v>
      </c>
      <c r="GT90" s="179">
        <f>IFERROR(__xludf.DUMMYFUNCTION("""COMPUTED_VALUE"""),0.0)</f>
        <v>0</v>
      </c>
    </row>
    <row r="91" ht="31.5" customHeight="1">
      <c r="B91" s="183"/>
      <c r="C91" s="178">
        <f>IFERROR(__xludf.DUMMYFUNCTION("""COMPUTED_VALUE"""),45909.0)</f>
        <v>45909</v>
      </c>
      <c r="D91" s="179">
        <f>IFERROR(__xludf.DUMMYFUNCTION("""COMPUTED_VALUE"""),0.0)</f>
        <v>0</v>
      </c>
      <c r="E91" s="180">
        <f>IFERROR(__xludf.DUMMYFUNCTION("""COMPUTED_VALUE"""),45909.0)</f>
        <v>45909</v>
      </c>
      <c r="F91" s="179">
        <f>IFERROR(__xludf.DUMMYFUNCTION("""COMPUTED_VALUE"""),0.0)</f>
        <v>0</v>
      </c>
      <c r="G91" s="180">
        <f>IFERROR(__xludf.DUMMYFUNCTION("""COMPUTED_VALUE"""),45909.0)</f>
        <v>45909</v>
      </c>
      <c r="H91" s="179">
        <f>IFERROR(__xludf.DUMMYFUNCTION("""COMPUTED_VALUE"""),0.0)</f>
        <v>0</v>
      </c>
      <c r="I91" s="180">
        <f>IFERROR(__xludf.DUMMYFUNCTION("""COMPUTED_VALUE"""),45909.0)</f>
        <v>45909</v>
      </c>
      <c r="J91" s="179">
        <f>IFERROR(__xludf.DUMMYFUNCTION("""COMPUTED_VALUE"""),0.0)</f>
        <v>0</v>
      </c>
      <c r="K91" s="180">
        <f>IFERROR(__xludf.DUMMYFUNCTION("""COMPUTED_VALUE"""),45909.0)</f>
        <v>45909</v>
      </c>
      <c r="L91" s="179">
        <f>IFERROR(__xludf.DUMMYFUNCTION("""COMPUTED_VALUE"""),0.0)</f>
        <v>0</v>
      </c>
      <c r="M91" s="180">
        <f>IFERROR(__xludf.DUMMYFUNCTION("""COMPUTED_VALUE"""),45909.0)</f>
        <v>45909</v>
      </c>
      <c r="N91" s="179">
        <f>IFERROR(__xludf.DUMMYFUNCTION("""COMPUTED_VALUE"""),0.0)</f>
        <v>0</v>
      </c>
      <c r="O91" s="180">
        <f>IFERROR(__xludf.DUMMYFUNCTION("""COMPUTED_VALUE"""),45909.0)</f>
        <v>45909</v>
      </c>
      <c r="P91" s="179">
        <f>IFERROR(__xludf.DUMMYFUNCTION("""COMPUTED_VALUE"""),0.0)</f>
        <v>0</v>
      </c>
      <c r="Q91" s="180">
        <f>IFERROR(__xludf.DUMMYFUNCTION("""COMPUTED_VALUE"""),45909.0)</f>
        <v>45909</v>
      </c>
      <c r="R91" s="179">
        <f>IFERROR(__xludf.DUMMYFUNCTION("""COMPUTED_VALUE"""),0.0)</f>
        <v>0</v>
      </c>
      <c r="S91" s="180">
        <f>IFERROR(__xludf.DUMMYFUNCTION("""COMPUTED_VALUE"""),45909.0)</f>
        <v>45909</v>
      </c>
      <c r="T91" s="179">
        <f>IFERROR(__xludf.DUMMYFUNCTION("""COMPUTED_VALUE"""),0.0)</f>
        <v>0</v>
      </c>
      <c r="U91" s="180">
        <f>IFERROR(__xludf.DUMMYFUNCTION("""COMPUTED_VALUE"""),45909.0)</f>
        <v>45909</v>
      </c>
      <c r="V91" s="181">
        <f>IFERROR(__xludf.DUMMYFUNCTION("""COMPUTED_VALUE"""),0.0)</f>
        <v>0</v>
      </c>
      <c r="W91" s="178">
        <f>IFERROR(__xludf.DUMMYFUNCTION("""COMPUTED_VALUE"""),45909.0)</f>
        <v>45909</v>
      </c>
      <c r="X91" s="179">
        <f>IFERROR(__xludf.DUMMYFUNCTION("""COMPUTED_VALUE"""),0.0)</f>
        <v>0</v>
      </c>
      <c r="Y91" s="180">
        <f>IFERROR(__xludf.DUMMYFUNCTION("""COMPUTED_VALUE"""),45909.0)</f>
        <v>45909</v>
      </c>
      <c r="Z91" s="179">
        <f>IFERROR(__xludf.DUMMYFUNCTION("""COMPUTED_VALUE"""),0.0)</f>
        <v>0</v>
      </c>
      <c r="AA91" s="180">
        <f>IFERROR(__xludf.DUMMYFUNCTION("""COMPUTED_VALUE"""),45909.0)</f>
        <v>45909</v>
      </c>
      <c r="AB91" s="179">
        <f>IFERROR(__xludf.DUMMYFUNCTION("""COMPUTED_VALUE"""),0.0)</f>
        <v>0</v>
      </c>
      <c r="AC91" s="180">
        <f>IFERROR(__xludf.DUMMYFUNCTION("""COMPUTED_VALUE"""),45725.0)</f>
        <v>45725</v>
      </c>
      <c r="AD91" s="179">
        <f>IFERROR(__xludf.DUMMYFUNCTION("""COMPUTED_VALUE"""),0.0)</f>
        <v>0</v>
      </c>
      <c r="AE91" s="180">
        <f>IFERROR(__xludf.DUMMYFUNCTION("""COMPUTED_VALUE"""),45909.0)</f>
        <v>45909</v>
      </c>
      <c r="AF91" s="179">
        <f>IFERROR(__xludf.DUMMYFUNCTION("""COMPUTED_VALUE"""),0.0)</f>
        <v>0</v>
      </c>
      <c r="AG91" s="180">
        <f>IFERROR(__xludf.DUMMYFUNCTION("""COMPUTED_VALUE"""),45909.0)</f>
        <v>45909</v>
      </c>
      <c r="AH91" s="179">
        <f>IFERROR(__xludf.DUMMYFUNCTION("""COMPUTED_VALUE"""),0.0)</f>
        <v>0</v>
      </c>
      <c r="AI91" s="180">
        <f>IFERROR(__xludf.DUMMYFUNCTION("""COMPUTED_VALUE"""),45909.0)</f>
        <v>45909</v>
      </c>
      <c r="AJ91" s="179">
        <f>IFERROR(__xludf.DUMMYFUNCTION("""COMPUTED_VALUE"""),0.0)</f>
        <v>0</v>
      </c>
      <c r="AK91" s="180">
        <f>IFERROR(__xludf.DUMMYFUNCTION("""COMPUTED_VALUE"""),45909.0)</f>
        <v>45909</v>
      </c>
      <c r="AL91" s="179">
        <f>IFERROR(__xludf.DUMMYFUNCTION("""COMPUTED_VALUE"""),0.0)</f>
        <v>0</v>
      </c>
      <c r="AM91" s="180">
        <f>IFERROR(__xludf.DUMMYFUNCTION("""COMPUTED_VALUE"""),45909.0)</f>
        <v>45909</v>
      </c>
      <c r="AN91" s="179">
        <f>IFERROR(__xludf.DUMMYFUNCTION("""COMPUTED_VALUE"""),0.0)</f>
        <v>0</v>
      </c>
      <c r="AO91" s="180">
        <f>IFERROR(__xludf.DUMMYFUNCTION("""COMPUTED_VALUE"""),45909.0)</f>
        <v>45909</v>
      </c>
      <c r="AP91" s="181">
        <f>IFERROR(__xludf.DUMMYFUNCTION("""COMPUTED_VALUE"""),0.0)</f>
        <v>0</v>
      </c>
      <c r="AQ91" s="178">
        <f>IFERROR(__xludf.DUMMYFUNCTION("""COMPUTED_VALUE"""),45909.0)</f>
        <v>45909</v>
      </c>
      <c r="AR91" s="179">
        <f>IFERROR(__xludf.DUMMYFUNCTION("""COMPUTED_VALUE"""),0.0)</f>
        <v>0</v>
      </c>
      <c r="AS91" s="180">
        <f>IFERROR(__xludf.DUMMYFUNCTION("""COMPUTED_VALUE"""),45909.0)</f>
        <v>45909</v>
      </c>
      <c r="AT91" s="179">
        <f>IFERROR(__xludf.DUMMYFUNCTION("""COMPUTED_VALUE"""),0.0)</f>
        <v>0</v>
      </c>
      <c r="AU91" s="180">
        <f>IFERROR(__xludf.DUMMYFUNCTION("""COMPUTED_VALUE"""),45878.0)</f>
        <v>45878</v>
      </c>
      <c r="AV91" s="179">
        <f>IFERROR(__xludf.DUMMYFUNCTION("""COMPUTED_VALUE"""),0.0)</f>
        <v>0</v>
      </c>
      <c r="AW91" s="180">
        <f>IFERROR(__xludf.DUMMYFUNCTION("""COMPUTED_VALUE"""),45878.0)</f>
        <v>45878</v>
      </c>
      <c r="AX91" s="179">
        <f>IFERROR(__xludf.DUMMYFUNCTION("""COMPUTED_VALUE"""),0.0)</f>
        <v>0</v>
      </c>
      <c r="AY91" s="180">
        <f>IFERROR(__xludf.DUMMYFUNCTION("""COMPUTED_VALUE"""),45909.0)</f>
        <v>45909</v>
      </c>
      <c r="AZ91" s="179">
        <f>IFERROR(__xludf.DUMMYFUNCTION("""COMPUTED_VALUE"""),0.0)</f>
        <v>0</v>
      </c>
      <c r="BA91" s="180">
        <f>IFERROR(__xludf.DUMMYFUNCTION("""COMPUTED_VALUE"""),45909.0)</f>
        <v>45909</v>
      </c>
      <c r="BB91" s="179">
        <f>IFERROR(__xludf.DUMMYFUNCTION("""COMPUTED_VALUE"""),0.0)</f>
        <v>0</v>
      </c>
      <c r="BC91" s="180">
        <f>IFERROR(__xludf.DUMMYFUNCTION("""COMPUTED_VALUE"""),45878.0)</f>
        <v>45878</v>
      </c>
      <c r="BD91" s="179">
        <f>IFERROR(__xludf.DUMMYFUNCTION("""COMPUTED_VALUE"""),0.0)</f>
        <v>0</v>
      </c>
      <c r="BE91" s="180">
        <f>IFERROR(__xludf.DUMMYFUNCTION("""COMPUTED_VALUE"""),45909.0)</f>
        <v>45909</v>
      </c>
      <c r="BF91" s="179">
        <f>IFERROR(__xludf.DUMMYFUNCTION("""COMPUTED_VALUE"""),0.0)</f>
        <v>0</v>
      </c>
      <c r="BG91" s="180">
        <f>IFERROR(__xludf.DUMMYFUNCTION("""COMPUTED_VALUE"""),45878.0)</f>
        <v>45878</v>
      </c>
      <c r="BH91" s="179">
        <f>IFERROR(__xludf.DUMMYFUNCTION("""COMPUTED_VALUE"""),0.0)</f>
        <v>0</v>
      </c>
      <c r="BI91" s="180">
        <f>IFERROR(__xludf.DUMMYFUNCTION("""COMPUTED_VALUE"""),45909.0)</f>
        <v>45909</v>
      </c>
      <c r="BJ91" s="179">
        <f>IFERROR(__xludf.DUMMYFUNCTION("""COMPUTED_VALUE"""),0.0)</f>
        <v>0</v>
      </c>
      <c r="BK91" s="182">
        <f>IFERROR(__xludf.DUMMYFUNCTION("""COMPUTED_VALUE"""),45909.0)</f>
        <v>45909</v>
      </c>
      <c r="BL91" s="179">
        <f>IFERROR(__xludf.DUMMYFUNCTION("""COMPUTED_VALUE"""),0.0)</f>
        <v>0</v>
      </c>
      <c r="BM91" s="180">
        <f>IFERROR(__xludf.DUMMYFUNCTION("""COMPUTED_VALUE"""),45909.0)</f>
        <v>45909</v>
      </c>
      <c r="BN91" s="179">
        <f>IFERROR(__xludf.DUMMYFUNCTION("""COMPUTED_VALUE"""),0.0)</f>
        <v>0</v>
      </c>
      <c r="BO91" s="180">
        <f>IFERROR(__xludf.DUMMYFUNCTION("""COMPUTED_VALUE"""),45878.0)</f>
        <v>45878</v>
      </c>
      <c r="BP91" s="179">
        <f>IFERROR(__xludf.DUMMYFUNCTION("""COMPUTED_VALUE"""),0.0)</f>
        <v>0</v>
      </c>
      <c r="BQ91" s="180">
        <f>IFERROR(__xludf.DUMMYFUNCTION("""COMPUTED_VALUE"""),45878.0)</f>
        <v>45878</v>
      </c>
      <c r="BR91" s="179">
        <f>IFERROR(__xludf.DUMMYFUNCTION("""COMPUTED_VALUE"""),0.0)</f>
        <v>0</v>
      </c>
      <c r="BS91" s="180">
        <f>IFERROR(__xludf.DUMMYFUNCTION("""COMPUTED_VALUE"""),45909.0)</f>
        <v>45909</v>
      </c>
      <c r="BT91" s="179">
        <f>IFERROR(__xludf.DUMMYFUNCTION("""COMPUTED_VALUE"""),0.0)</f>
        <v>0</v>
      </c>
      <c r="BU91" s="180">
        <f>IFERROR(__xludf.DUMMYFUNCTION("""COMPUTED_VALUE"""),45909.0)</f>
        <v>45909</v>
      </c>
      <c r="BV91" s="179">
        <f>IFERROR(__xludf.DUMMYFUNCTION("""COMPUTED_VALUE"""),0.0)</f>
        <v>0</v>
      </c>
      <c r="BW91" s="180">
        <f>IFERROR(__xludf.DUMMYFUNCTION("""COMPUTED_VALUE"""),45909.0)</f>
        <v>45909</v>
      </c>
      <c r="BX91" s="179">
        <f>IFERROR(__xludf.DUMMYFUNCTION("""COMPUTED_VALUE"""),0.0)</f>
        <v>0</v>
      </c>
      <c r="BY91" s="180">
        <f>IFERROR(__xludf.DUMMYFUNCTION("""COMPUTED_VALUE"""),45878.0)</f>
        <v>45878</v>
      </c>
      <c r="BZ91" s="179">
        <f>IFERROR(__xludf.DUMMYFUNCTION("""COMPUTED_VALUE"""),0.0)</f>
        <v>0</v>
      </c>
      <c r="CA91" s="180">
        <f>IFERROR(__xludf.DUMMYFUNCTION("""COMPUTED_VALUE"""),45909.0)</f>
        <v>45909</v>
      </c>
      <c r="CB91" s="179">
        <f>IFERROR(__xludf.DUMMYFUNCTION("""COMPUTED_VALUE"""),0.0)</f>
        <v>0</v>
      </c>
      <c r="CC91" s="180">
        <f>IFERROR(__xludf.DUMMYFUNCTION("""COMPUTED_VALUE"""),45909.0)</f>
        <v>45909</v>
      </c>
      <c r="CD91" s="179">
        <f>IFERROR(__xludf.DUMMYFUNCTION("""COMPUTED_VALUE"""),0.0)</f>
        <v>0</v>
      </c>
      <c r="CE91" s="182">
        <f>IFERROR(__xludf.DUMMYFUNCTION("""COMPUTED_VALUE"""),45909.0)</f>
        <v>45909</v>
      </c>
      <c r="CF91" s="179">
        <f>IFERROR(__xludf.DUMMYFUNCTION("""COMPUTED_VALUE"""),0.0)</f>
        <v>0</v>
      </c>
      <c r="CG91" s="180">
        <f>IFERROR(__xludf.DUMMYFUNCTION("""COMPUTED_VALUE"""),45817.0)</f>
        <v>45817</v>
      </c>
      <c r="CH91" s="179">
        <f>IFERROR(__xludf.DUMMYFUNCTION("""COMPUTED_VALUE"""),0.0)</f>
        <v>0</v>
      </c>
      <c r="CI91" s="180">
        <f>IFERROR(__xludf.DUMMYFUNCTION("""COMPUTED_VALUE"""),45817.0)</f>
        <v>45817</v>
      </c>
      <c r="CJ91" s="179">
        <f>IFERROR(__xludf.DUMMYFUNCTION("""COMPUTED_VALUE"""),0.0)</f>
        <v>0</v>
      </c>
      <c r="CK91" s="180">
        <f>IFERROR(__xludf.DUMMYFUNCTION("""COMPUTED_VALUE"""),45817.0)</f>
        <v>45817</v>
      </c>
      <c r="CL91" s="179">
        <f>IFERROR(__xludf.DUMMYFUNCTION("""COMPUTED_VALUE"""),0.0)</f>
        <v>0</v>
      </c>
      <c r="CM91" s="180">
        <f>IFERROR(__xludf.DUMMYFUNCTION("""COMPUTED_VALUE"""),45909.0)</f>
        <v>45909</v>
      </c>
      <c r="CN91" s="179">
        <f>IFERROR(__xludf.DUMMYFUNCTION("""COMPUTED_VALUE"""),0.0)</f>
        <v>0</v>
      </c>
      <c r="CO91" s="180">
        <f>IFERROR(__xludf.DUMMYFUNCTION("""COMPUTED_VALUE"""),45878.0)</f>
        <v>45878</v>
      </c>
      <c r="CP91" s="179">
        <f>IFERROR(__xludf.DUMMYFUNCTION("""COMPUTED_VALUE"""),0.0)</f>
        <v>0</v>
      </c>
      <c r="CQ91" s="180">
        <f>IFERROR(__xludf.DUMMYFUNCTION("""COMPUTED_VALUE"""),45817.0)</f>
        <v>45817</v>
      </c>
      <c r="CR91" s="179">
        <f>IFERROR(__xludf.DUMMYFUNCTION("""COMPUTED_VALUE"""),0.0)</f>
        <v>0</v>
      </c>
      <c r="CS91" s="180">
        <f>IFERROR(__xludf.DUMMYFUNCTION("""COMPUTED_VALUE"""),45878.0)</f>
        <v>45878</v>
      </c>
      <c r="CT91" s="179">
        <f>IFERROR(__xludf.DUMMYFUNCTION("""COMPUTED_VALUE"""),0.0)</f>
        <v>0</v>
      </c>
      <c r="CU91" s="180">
        <f>IFERROR(__xludf.DUMMYFUNCTION("""COMPUTED_VALUE"""),45909.0)</f>
        <v>45909</v>
      </c>
      <c r="CV91" s="179">
        <f>IFERROR(__xludf.DUMMYFUNCTION("""COMPUTED_VALUE"""),0.0)</f>
        <v>0</v>
      </c>
      <c r="CW91" s="180">
        <f>IFERROR(__xludf.DUMMYFUNCTION("""COMPUTED_VALUE"""),45756.0)</f>
        <v>45756</v>
      </c>
      <c r="CX91" s="179">
        <f>IFERROR(__xludf.DUMMYFUNCTION("""COMPUTED_VALUE"""),0.0)</f>
        <v>0</v>
      </c>
      <c r="CY91" s="182">
        <f>IFERROR(__xludf.DUMMYFUNCTION("""COMPUTED_VALUE"""),45909.0)</f>
        <v>45909</v>
      </c>
      <c r="CZ91" s="179">
        <f>IFERROR(__xludf.DUMMYFUNCTION("""COMPUTED_VALUE"""),0.0)</f>
        <v>0</v>
      </c>
      <c r="DA91" s="180">
        <f>IFERROR(__xludf.DUMMYFUNCTION("""COMPUTED_VALUE"""),45909.0)</f>
        <v>45909</v>
      </c>
      <c r="DB91" s="179">
        <f>IFERROR(__xludf.DUMMYFUNCTION("""COMPUTED_VALUE"""),0.0)</f>
        <v>0</v>
      </c>
      <c r="DC91" s="180">
        <f>IFERROR(__xludf.DUMMYFUNCTION("""COMPUTED_VALUE"""),45909.0)</f>
        <v>45909</v>
      </c>
      <c r="DD91" s="179">
        <f>IFERROR(__xludf.DUMMYFUNCTION("""COMPUTED_VALUE"""),0.0)</f>
        <v>0</v>
      </c>
      <c r="DE91" s="180">
        <f>IFERROR(__xludf.DUMMYFUNCTION("""COMPUTED_VALUE"""),45909.0)</f>
        <v>45909</v>
      </c>
      <c r="DF91" s="179">
        <f>IFERROR(__xludf.DUMMYFUNCTION("""COMPUTED_VALUE"""),0.0)</f>
        <v>0</v>
      </c>
      <c r="DG91" s="180">
        <f>IFERROR(__xludf.DUMMYFUNCTION("""COMPUTED_VALUE"""),45909.0)</f>
        <v>45909</v>
      </c>
      <c r="DH91" s="179">
        <f>IFERROR(__xludf.DUMMYFUNCTION("""COMPUTED_VALUE"""),0.0)</f>
        <v>0</v>
      </c>
      <c r="DI91" s="180">
        <f>IFERROR(__xludf.DUMMYFUNCTION("""COMPUTED_VALUE"""),45909.0)</f>
        <v>45909</v>
      </c>
      <c r="DJ91" s="179">
        <f>IFERROR(__xludf.DUMMYFUNCTION("""COMPUTED_VALUE"""),0.0)</f>
        <v>0</v>
      </c>
      <c r="DK91" s="180">
        <f>IFERROR(__xludf.DUMMYFUNCTION("""COMPUTED_VALUE"""),45909.0)</f>
        <v>45909</v>
      </c>
      <c r="DL91" s="179">
        <f>IFERROR(__xludf.DUMMYFUNCTION("""COMPUTED_VALUE"""),0.0)</f>
        <v>0</v>
      </c>
      <c r="DM91" s="180">
        <f>IFERROR(__xludf.DUMMYFUNCTION("""COMPUTED_VALUE"""),45909.0)</f>
        <v>45909</v>
      </c>
      <c r="DN91" s="179">
        <f>IFERROR(__xludf.DUMMYFUNCTION("""COMPUTED_VALUE"""),0.0)</f>
        <v>0</v>
      </c>
      <c r="DO91" s="180">
        <f>IFERROR(__xludf.DUMMYFUNCTION("""COMPUTED_VALUE"""),45909.0)</f>
        <v>45909</v>
      </c>
      <c r="DP91" s="179">
        <f>IFERROR(__xludf.DUMMYFUNCTION("""COMPUTED_VALUE"""),0.0)</f>
        <v>0</v>
      </c>
      <c r="DQ91" s="180">
        <f>IFERROR(__xludf.DUMMYFUNCTION("""COMPUTED_VALUE"""),45909.0)</f>
        <v>45909</v>
      </c>
      <c r="DR91" s="179">
        <f>IFERROR(__xludf.DUMMYFUNCTION("""COMPUTED_VALUE"""),0.0)</f>
        <v>0</v>
      </c>
      <c r="DS91" s="182">
        <f>IFERROR(__xludf.DUMMYFUNCTION("""COMPUTED_VALUE"""),45909.0)</f>
        <v>45909</v>
      </c>
      <c r="DT91" s="179">
        <f>IFERROR(__xludf.DUMMYFUNCTION("""COMPUTED_VALUE"""),0.0)</f>
        <v>0</v>
      </c>
      <c r="DU91" s="180">
        <f>IFERROR(__xludf.DUMMYFUNCTION("""COMPUTED_VALUE"""),45909.0)</f>
        <v>45909</v>
      </c>
      <c r="DV91" s="179">
        <f>IFERROR(__xludf.DUMMYFUNCTION("""COMPUTED_VALUE"""),0.0)</f>
        <v>0</v>
      </c>
      <c r="DW91" s="180">
        <f>IFERROR(__xludf.DUMMYFUNCTION("""COMPUTED_VALUE"""),45909.0)</f>
        <v>45909</v>
      </c>
      <c r="DX91" s="179">
        <f>IFERROR(__xludf.DUMMYFUNCTION("""COMPUTED_VALUE"""),0.0)</f>
        <v>0</v>
      </c>
      <c r="DY91" s="180">
        <f>IFERROR(__xludf.DUMMYFUNCTION("""COMPUTED_VALUE"""),45909.0)</f>
        <v>45909</v>
      </c>
      <c r="DZ91" s="179">
        <f>IFERROR(__xludf.DUMMYFUNCTION("""COMPUTED_VALUE"""),0.0)</f>
        <v>0</v>
      </c>
      <c r="EA91" s="180">
        <f>IFERROR(__xludf.DUMMYFUNCTION("""COMPUTED_VALUE"""),45909.0)</f>
        <v>45909</v>
      </c>
      <c r="EB91" s="179">
        <f>IFERROR(__xludf.DUMMYFUNCTION("""COMPUTED_VALUE"""),0.0)</f>
        <v>0</v>
      </c>
      <c r="EC91" s="180">
        <f>IFERROR(__xludf.DUMMYFUNCTION("""COMPUTED_VALUE"""),45909.0)</f>
        <v>45909</v>
      </c>
      <c r="ED91" s="179">
        <f>IFERROR(__xludf.DUMMYFUNCTION("""COMPUTED_VALUE"""),0.0)</f>
        <v>0</v>
      </c>
      <c r="EE91" s="180">
        <f>IFERROR(__xludf.DUMMYFUNCTION("""COMPUTED_VALUE"""),45909.0)</f>
        <v>45909</v>
      </c>
      <c r="EF91" s="179">
        <f>IFERROR(__xludf.DUMMYFUNCTION("""COMPUTED_VALUE"""),0.0)</f>
        <v>0</v>
      </c>
      <c r="EG91" s="180">
        <f>IFERROR(__xludf.DUMMYFUNCTION("""COMPUTED_VALUE"""),45909.0)</f>
        <v>45909</v>
      </c>
      <c r="EH91" s="179">
        <f>IFERROR(__xludf.DUMMYFUNCTION("""COMPUTED_VALUE"""),0.0)</f>
        <v>0</v>
      </c>
      <c r="EI91" s="180">
        <f>IFERROR(__xludf.DUMMYFUNCTION("""COMPUTED_VALUE"""),45909.0)</f>
        <v>45909</v>
      </c>
      <c r="EJ91" s="179">
        <f>IFERROR(__xludf.DUMMYFUNCTION("""COMPUTED_VALUE"""),0.0)</f>
        <v>0</v>
      </c>
      <c r="EK91" s="180">
        <f>IFERROR(__xludf.DUMMYFUNCTION("""COMPUTED_VALUE"""),45909.0)</f>
        <v>45909</v>
      </c>
      <c r="EL91" s="179">
        <f>IFERROR(__xludf.DUMMYFUNCTION("""COMPUTED_VALUE"""),0.0)</f>
        <v>0</v>
      </c>
      <c r="EM91" s="182">
        <f>IFERROR(__xludf.DUMMYFUNCTION("""COMPUTED_VALUE"""),45909.0)</f>
        <v>45909</v>
      </c>
      <c r="EN91" s="179">
        <f>IFERROR(__xludf.DUMMYFUNCTION("""COMPUTED_VALUE"""),0.0)</f>
        <v>0</v>
      </c>
      <c r="EO91" s="180">
        <f>IFERROR(__xludf.DUMMYFUNCTION("""COMPUTED_VALUE"""),45909.0)</f>
        <v>45909</v>
      </c>
      <c r="EP91" s="179">
        <f>IFERROR(__xludf.DUMMYFUNCTION("""COMPUTED_VALUE"""),0.0)</f>
        <v>0</v>
      </c>
      <c r="EQ91" s="180">
        <f>IFERROR(__xludf.DUMMYFUNCTION("""COMPUTED_VALUE"""),45909.0)</f>
        <v>45909</v>
      </c>
      <c r="ER91" s="179">
        <f>IFERROR(__xludf.DUMMYFUNCTION("""COMPUTED_VALUE"""),0.0)</f>
        <v>0</v>
      </c>
      <c r="ES91" s="180">
        <f>IFERROR(__xludf.DUMMYFUNCTION("""COMPUTED_VALUE"""),45909.0)</f>
        <v>45909</v>
      </c>
      <c r="ET91" s="179">
        <f>IFERROR(__xludf.DUMMYFUNCTION("""COMPUTED_VALUE"""),0.0)</f>
        <v>0</v>
      </c>
      <c r="EU91" s="180">
        <f>IFERROR(__xludf.DUMMYFUNCTION("""COMPUTED_VALUE"""),45909.0)</f>
        <v>45909</v>
      </c>
      <c r="EV91" s="179">
        <f>IFERROR(__xludf.DUMMYFUNCTION("""COMPUTED_VALUE"""),0.0)</f>
        <v>0</v>
      </c>
      <c r="EW91" s="180">
        <f>IFERROR(__xludf.DUMMYFUNCTION("""COMPUTED_VALUE"""),45909.0)</f>
        <v>45909</v>
      </c>
      <c r="EX91" s="179">
        <f>IFERROR(__xludf.DUMMYFUNCTION("""COMPUTED_VALUE"""),0.0)</f>
        <v>0</v>
      </c>
      <c r="EY91" s="180">
        <f>IFERROR(__xludf.DUMMYFUNCTION("""COMPUTED_VALUE"""),45909.0)</f>
        <v>45909</v>
      </c>
      <c r="EZ91" s="179">
        <f>IFERROR(__xludf.DUMMYFUNCTION("""COMPUTED_VALUE"""),0.0)</f>
        <v>0</v>
      </c>
      <c r="FA91" s="180">
        <f>IFERROR(__xludf.DUMMYFUNCTION("""COMPUTED_VALUE"""),45909.0)</f>
        <v>45909</v>
      </c>
      <c r="FB91" s="179">
        <f>IFERROR(__xludf.DUMMYFUNCTION("""COMPUTED_VALUE"""),0.0)</f>
        <v>0</v>
      </c>
      <c r="FC91" s="180">
        <f>IFERROR(__xludf.DUMMYFUNCTION("""COMPUTED_VALUE"""),45909.0)</f>
        <v>45909</v>
      </c>
      <c r="FD91" s="179">
        <f>IFERROR(__xludf.DUMMYFUNCTION("""COMPUTED_VALUE"""),0.0)</f>
        <v>0</v>
      </c>
      <c r="FE91" s="180">
        <f>IFERROR(__xludf.DUMMYFUNCTION("""COMPUTED_VALUE"""),45909.0)</f>
        <v>45909</v>
      </c>
      <c r="FF91" s="179">
        <f>IFERROR(__xludf.DUMMYFUNCTION("""COMPUTED_VALUE"""),0.0)</f>
        <v>0</v>
      </c>
      <c r="FG91" s="182">
        <f>IFERROR(__xludf.DUMMYFUNCTION("""COMPUTED_VALUE"""),45938.0)</f>
        <v>45938</v>
      </c>
      <c r="FH91" s="179">
        <f>IFERROR(__xludf.DUMMYFUNCTION("""COMPUTED_VALUE"""),0.0)</f>
        <v>0</v>
      </c>
      <c r="FI91" s="180">
        <f>IFERROR(__xludf.DUMMYFUNCTION("""COMPUTED_VALUE"""),45908.0)</f>
        <v>45908</v>
      </c>
      <c r="FJ91" s="179">
        <f>IFERROR(__xludf.DUMMYFUNCTION("""COMPUTED_VALUE"""),0.0)</f>
        <v>0</v>
      </c>
      <c r="FK91" s="180">
        <f>IFERROR(__xludf.DUMMYFUNCTION("""COMPUTED_VALUE"""),45816.0)</f>
        <v>45816</v>
      </c>
      <c r="FL91" s="179">
        <f>IFERROR(__xludf.DUMMYFUNCTION("""COMPUTED_VALUE"""),0.0)</f>
        <v>0</v>
      </c>
      <c r="FM91" s="180">
        <f>IFERROR(__xludf.DUMMYFUNCTION("""COMPUTED_VALUE"""),45938.0)</f>
        <v>45938</v>
      </c>
      <c r="FN91" s="179">
        <f>IFERROR(__xludf.DUMMYFUNCTION("""COMPUTED_VALUE"""),0.0)</f>
        <v>0</v>
      </c>
      <c r="FO91" s="180">
        <f>IFERROR(__xludf.DUMMYFUNCTION("""COMPUTED_VALUE"""),45938.0)</f>
        <v>45938</v>
      </c>
      <c r="FP91" s="179">
        <f>IFERROR(__xludf.DUMMYFUNCTION("""COMPUTED_VALUE"""),0.0)</f>
        <v>0</v>
      </c>
      <c r="FQ91" s="180">
        <f>IFERROR(__xludf.DUMMYFUNCTION("""COMPUTED_VALUE"""),45938.0)</f>
        <v>45938</v>
      </c>
      <c r="FR91" s="179">
        <f>IFERROR(__xludf.DUMMYFUNCTION("""COMPUTED_VALUE"""),0.0)</f>
        <v>0</v>
      </c>
      <c r="FS91" s="180">
        <f>IFERROR(__xludf.DUMMYFUNCTION("""COMPUTED_VALUE"""),45908.0)</f>
        <v>45908</v>
      </c>
      <c r="FT91" s="179">
        <f>IFERROR(__xludf.DUMMYFUNCTION("""COMPUTED_VALUE"""),0.0)</f>
        <v>0</v>
      </c>
      <c r="FU91" s="180">
        <f>IFERROR(__xludf.DUMMYFUNCTION("""COMPUTED_VALUE"""),45938.0)</f>
        <v>45938</v>
      </c>
      <c r="FV91" s="179">
        <f>IFERROR(__xludf.DUMMYFUNCTION("""COMPUTED_VALUE"""),0.0)</f>
        <v>0</v>
      </c>
      <c r="FW91" s="180">
        <f>IFERROR(__xludf.DUMMYFUNCTION("""COMPUTED_VALUE"""),45938.0)</f>
        <v>45938</v>
      </c>
      <c r="FX91" s="179">
        <f>IFERROR(__xludf.DUMMYFUNCTION("""COMPUTED_VALUE"""),0.0)</f>
        <v>0</v>
      </c>
      <c r="FY91" s="180">
        <f>IFERROR(__xludf.DUMMYFUNCTION("""COMPUTED_VALUE"""),45846.0)</f>
        <v>45846</v>
      </c>
      <c r="FZ91" s="179">
        <f>IFERROR(__xludf.DUMMYFUNCTION("""COMPUTED_VALUE"""),0.0)</f>
        <v>0</v>
      </c>
      <c r="GA91" s="182">
        <f>IFERROR(__xludf.DUMMYFUNCTION("""COMPUTED_VALUE"""),45938.0)</f>
        <v>45938</v>
      </c>
      <c r="GB91" s="179">
        <f>IFERROR(__xludf.DUMMYFUNCTION("""COMPUTED_VALUE"""),0.0)</f>
        <v>0</v>
      </c>
      <c r="GC91" s="180">
        <f>IFERROR(__xludf.DUMMYFUNCTION("""COMPUTED_VALUE"""),45908.0)</f>
        <v>45908</v>
      </c>
      <c r="GD91" s="179">
        <f>IFERROR(__xludf.DUMMYFUNCTION("""COMPUTED_VALUE"""),0.0)</f>
        <v>0</v>
      </c>
      <c r="GE91" s="180">
        <f>IFERROR(__xludf.DUMMYFUNCTION("""COMPUTED_VALUE"""),45908.0)</f>
        <v>45908</v>
      </c>
      <c r="GF91" s="179">
        <f>IFERROR(__xludf.DUMMYFUNCTION("""COMPUTED_VALUE"""),0.0)</f>
        <v>0</v>
      </c>
      <c r="GG91" s="180">
        <f>IFERROR(__xludf.DUMMYFUNCTION("""COMPUTED_VALUE"""),45908.0)</f>
        <v>45908</v>
      </c>
      <c r="GH91" s="179">
        <f>IFERROR(__xludf.DUMMYFUNCTION("""COMPUTED_VALUE"""),0.0)</f>
        <v>0</v>
      </c>
      <c r="GI91" s="180">
        <f>IFERROR(__xludf.DUMMYFUNCTION("""COMPUTED_VALUE"""),45938.0)</f>
        <v>45938</v>
      </c>
      <c r="GJ91" s="179">
        <f>IFERROR(__xludf.DUMMYFUNCTION("""COMPUTED_VALUE"""),0.0)</f>
        <v>0</v>
      </c>
      <c r="GK91" s="180">
        <f>IFERROR(__xludf.DUMMYFUNCTION("""COMPUTED_VALUE"""),45938.0)</f>
        <v>45938</v>
      </c>
      <c r="GL91" s="179">
        <f>IFERROR(__xludf.DUMMYFUNCTION("""COMPUTED_VALUE"""),0.0)</f>
        <v>0</v>
      </c>
      <c r="GM91" s="180">
        <f>IFERROR(__xludf.DUMMYFUNCTION("""COMPUTED_VALUE"""),45846.0)</f>
        <v>45846</v>
      </c>
      <c r="GN91" s="179">
        <f>IFERROR(__xludf.DUMMYFUNCTION("""COMPUTED_VALUE"""),0.0)</f>
        <v>0</v>
      </c>
      <c r="GO91" s="180">
        <f>IFERROR(__xludf.DUMMYFUNCTION("""COMPUTED_VALUE"""),45938.0)</f>
        <v>45938</v>
      </c>
      <c r="GP91" s="179">
        <f>IFERROR(__xludf.DUMMYFUNCTION("""COMPUTED_VALUE"""),0.0)</f>
        <v>0</v>
      </c>
      <c r="GQ91" s="180">
        <f>IFERROR(__xludf.DUMMYFUNCTION("""COMPUTED_VALUE"""),45938.0)</f>
        <v>45938</v>
      </c>
      <c r="GR91" s="179">
        <f>IFERROR(__xludf.DUMMYFUNCTION("""COMPUTED_VALUE"""),0.0)</f>
        <v>0</v>
      </c>
      <c r="GS91" s="180">
        <f>IFERROR(__xludf.DUMMYFUNCTION("""COMPUTED_VALUE"""),45877.0)</f>
        <v>45877</v>
      </c>
      <c r="GT91" s="179">
        <f>IFERROR(__xludf.DUMMYFUNCTION("""COMPUTED_VALUE"""),0.0)</f>
        <v>0</v>
      </c>
    </row>
    <row r="92" ht="31.5" customHeight="1">
      <c r="B92" s="183"/>
      <c r="C92" s="178">
        <f>IFERROR(__xludf.DUMMYFUNCTION("""COMPUTED_VALUE"""),45939.0)</f>
        <v>45939</v>
      </c>
      <c r="D92" s="179">
        <f>IFERROR(__xludf.DUMMYFUNCTION("""COMPUTED_VALUE"""),0.0)</f>
        <v>0</v>
      </c>
      <c r="E92" s="180">
        <f>IFERROR(__xludf.DUMMYFUNCTION("""COMPUTED_VALUE"""),45939.0)</f>
        <v>45939</v>
      </c>
      <c r="F92" s="179">
        <f>IFERROR(__xludf.DUMMYFUNCTION("""COMPUTED_VALUE"""),0.0)</f>
        <v>0</v>
      </c>
      <c r="G92" s="180">
        <f>IFERROR(__xludf.DUMMYFUNCTION("""COMPUTED_VALUE"""),45939.0)</f>
        <v>45939</v>
      </c>
      <c r="H92" s="179">
        <f>IFERROR(__xludf.DUMMYFUNCTION("""COMPUTED_VALUE"""),0.0)</f>
        <v>0</v>
      </c>
      <c r="I92" s="180">
        <f>IFERROR(__xludf.DUMMYFUNCTION("""COMPUTED_VALUE"""),45939.0)</f>
        <v>45939</v>
      </c>
      <c r="J92" s="179">
        <f>IFERROR(__xludf.DUMMYFUNCTION("""COMPUTED_VALUE"""),0.0)</f>
        <v>0</v>
      </c>
      <c r="K92" s="180">
        <f>IFERROR(__xludf.DUMMYFUNCTION("""COMPUTED_VALUE"""),45939.0)</f>
        <v>45939</v>
      </c>
      <c r="L92" s="179">
        <f>IFERROR(__xludf.DUMMYFUNCTION("""COMPUTED_VALUE"""),0.0)</f>
        <v>0</v>
      </c>
      <c r="M92" s="180">
        <f>IFERROR(__xludf.DUMMYFUNCTION("""COMPUTED_VALUE"""),45939.0)</f>
        <v>45939</v>
      </c>
      <c r="N92" s="179">
        <f>IFERROR(__xludf.DUMMYFUNCTION("""COMPUTED_VALUE"""),0.0)</f>
        <v>0</v>
      </c>
      <c r="O92" s="180">
        <f>IFERROR(__xludf.DUMMYFUNCTION("""COMPUTED_VALUE"""),45939.0)</f>
        <v>45939</v>
      </c>
      <c r="P92" s="179">
        <f>IFERROR(__xludf.DUMMYFUNCTION("""COMPUTED_VALUE"""),0.0)</f>
        <v>0</v>
      </c>
      <c r="Q92" s="180">
        <f>IFERROR(__xludf.DUMMYFUNCTION("""COMPUTED_VALUE"""),45939.0)</f>
        <v>45939</v>
      </c>
      <c r="R92" s="179">
        <f>IFERROR(__xludf.DUMMYFUNCTION("""COMPUTED_VALUE"""),0.0)</f>
        <v>0</v>
      </c>
      <c r="S92" s="180">
        <f>IFERROR(__xludf.DUMMYFUNCTION("""COMPUTED_VALUE"""),45939.0)</f>
        <v>45939</v>
      </c>
      <c r="T92" s="179">
        <f>IFERROR(__xludf.DUMMYFUNCTION("""COMPUTED_VALUE"""),0.0)</f>
        <v>0</v>
      </c>
      <c r="U92" s="180">
        <f>IFERROR(__xludf.DUMMYFUNCTION("""COMPUTED_VALUE"""),45939.0)</f>
        <v>45939</v>
      </c>
      <c r="V92" s="181">
        <f>IFERROR(__xludf.DUMMYFUNCTION("""COMPUTED_VALUE"""),0.0)</f>
        <v>0</v>
      </c>
      <c r="W92" s="178">
        <f>IFERROR(__xludf.DUMMYFUNCTION("""COMPUTED_VALUE"""),45939.0)</f>
        <v>45939</v>
      </c>
      <c r="X92" s="179">
        <f>IFERROR(__xludf.DUMMYFUNCTION("""COMPUTED_VALUE"""),0.0)</f>
        <v>0</v>
      </c>
      <c r="Y92" s="180">
        <f>IFERROR(__xludf.DUMMYFUNCTION("""COMPUTED_VALUE"""),45939.0)</f>
        <v>45939</v>
      </c>
      <c r="Z92" s="179">
        <f>IFERROR(__xludf.DUMMYFUNCTION("""COMPUTED_VALUE"""),0.0)</f>
        <v>0</v>
      </c>
      <c r="AA92" s="180">
        <f>IFERROR(__xludf.DUMMYFUNCTION("""COMPUTED_VALUE"""),45939.0)</f>
        <v>45939</v>
      </c>
      <c r="AB92" s="179">
        <f>IFERROR(__xludf.DUMMYFUNCTION("""COMPUTED_VALUE"""),0.0)</f>
        <v>0</v>
      </c>
      <c r="AC92" s="180">
        <f>IFERROR(__xludf.DUMMYFUNCTION("""COMPUTED_VALUE"""),45817.0)</f>
        <v>45817</v>
      </c>
      <c r="AD92" s="179">
        <f>IFERROR(__xludf.DUMMYFUNCTION("""COMPUTED_VALUE"""),0.0)</f>
        <v>0</v>
      </c>
      <c r="AE92" s="180">
        <f>IFERROR(__xludf.DUMMYFUNCTION("""COMPUTED_VALUE"""),45939.0)</f>
        <v>45939</v>
      </c>
      <c r="AF92" s="179">
        <f>IFERROR(__xludf.DUMMYFUNCTION("""COMPUTED_VALUE"""),0.0)</f>
        <v>0</v>
      </c>
      <c r="AG92" s="180">
        <f>IFERROR(__xludf.DUMMYFUNCTION("""COMPUTED_VALUE"""),45939.0)</f>
        <v>45939</v>
      </c>
      <c r="AH92" s="179">
        <f>IFERROR(__xludf.DUMMYFUNCTION("""COMPUTED_VALUE"""),0.0)</f>
        <v>0</v>
      </c>
      <c r="AI92" s="180">
        <f>IFERROR(__xludf.DUMMYFUNCTION("""COMPUTED_VALUE"""),45939.0)</f>
        <v>45939</v>
      </c>
      <c r="AJ92" s="179">
        <f>IFERROR(__xludf.DUMMYFUNCTION("""COMPUTED_VALUE"""),0.0)</f>
        <v>0</v>
      </c>
      <c r="AK92" s="180">
        <f>IFERROR(__xludf.DUMMYFUNCTION("""COMPUTED_VALUE"""),45939.0)</f>
        <v>45939</v>
      </c>
      <c r="AL92" s="179">
        <f>IFERROR(__xludf.DUMMYFUNCTION("""COMPUTED_VALUE"""),0.0)</f>
        <v>0</v>
      </c>
      <c r="AM92" s="180">
        <f>IFERROR(__xludf.DUMMYFUNCTION("""COMPUTED_VALUE"""),45939.0)</f>
        <v>45939</v>
      </c>
      <c r="AN92" s="179">
        <f>IFERROR(__xludf.DUMMYFUNCTION("""COMPUTED_VALUE"""),0.0)</f>
        <v>0</v>
      </c>
      <c r="AO92" s="180">
        <f>IFERROR(__xludf.DUMMYFUNCTION("""COMPUTED_VALUE"""),45939.0)</f>
        <v>45939</v>
      </c>
      <c r="AP92" s="181">
        <f>IFERROR(__xludf.DUMMYFUNCTION("""COMPUTED_VALUE"""),0.0)</f>
        <v>0</v>
      </c>
      <c r="AQ92" s="178">
        <f>IFERROR(__xludf.DUMMYFUNCTION("""COMPUTED_VALUE"""),45939.0)</f>
        <v>45939</v>
      </c>
      <c r="AR92" s="179">
        <f>IFERROR(__xludf.DUMMYFUNCTION("""COMPUTED_VALUE"""),0.0)</f>
        <v>0</v>
      </c>
      <c r="AS92" s="180">
        <f>IFERROR(__xludf.DUMMYFUNCTION("""COMPUTED_VALUE"""),45939.0)</f>
        <v>45939</v>
      </c>
      <c r="AT92" s="179">
        <f>IFERROR(__xludf.DUMMYFUNCTION("""COMPUTED_VALUE"""),0.0)</f>
        <v>0</v>
      </c>
      <c r="AU92" s="180">
        <f>IFERROR(__xludf.DUMMYFUNCTION("""COMPUTED_VALUE"""),45909.0)</f>
        <v>45909</v>
      </c>
      <c r="AV92" s="179">
        <f>IFERROR(__xludf.DUMMYFUNCTION("""COMPUTED_VALUE"""),0.0)</f>
        <v>0</v>
      </c>
      <c r="AW92" s="180">
        <f>IFERROR(__xludf.DUMMYFUNCTION("""COMPUTED_VALUE"""),45909.0)</f>
        <v>45909</v>
      </c>
      <c r="AX92" s="179">
        <f>IFERROR(__xludf.DUMMYFUNCTION("""COMPUTED_VALUE"""),0.0)</f>
        <v>0</v>
      </c>
      <c r="AY92" s="180">
        <f>IFERROR(__xludf.DUMMYFUNCTION("""COMPUTED_VALUE"""),45939.0)</f>
        <v>45939</v>
      </c>
      <c r="AZ92" s="179">
        <f>IFERROR(__xludf.DUMMYFUNCTION("""COMPUTED_VALUE"""),0.0)</f>
        <v>0</v>
      </c>
      <c r="BA92" s="180">
        <f>IFERROR(__xludf.DUMMYFUNCTION("""COMPUTED_VALUE"""),45939.0)</f>
        <v>45939</v>
      </c>
      <c r="BB92" s="179">
        <f>IFERROR(__xludf.DUMMYFUNCTION("""COMPUTED_VALUE"""),0.0)</f>
        <v>0</v>
      </c>
      <c r="BC92" s="180">
        <f>IFERROR(__xludf.DUMMYFUNCTION("""COMPUTED_VALUE"""),45909.0)</f>
        <v>45909</v>
      </c>
      <c r="BD92" s="179">
        <f>IFERROR(__xludf.DUMMYFUNCTION("""COMPUTED_VALUE"""),0.0)</f>
        <v>0</v>
      </c>
      <c r="BE92" s="180">
        <f>IFERROR(__xludf.DUMMYFUNCTION("""COMPUTED_VALUE"""),45939.0)</f>
        <v>45939</v>
      </c>
      <c r="BF92" s="179">
        <f>IFERROR(__xludf.DUMMYFUNCTION("""COMPUTED_VALUE"""),0.0)</f>
        <v>0</v>
      </c>
      <c r="BG92" s="180">
        <f>IFERROR(__xludf.DUMMYFUNCTION("""COMPUTED_VALUE"""),45909.0)</f>
        <v>45909</v>
      </c>
      <c r="BH92" s="179">
        <f>IFERROR(__xludf.DUMMYFUNCTION("""COMPUTED_VALUE"""),0.0)</f>
        <v>0</v>
      </c>
      <c r="BI92" s="180">
        <f>IFERROR(__xludf.DUMMYFUNCTION("""COMPUTED_VALUE"""),45939.0)</f>
        <v>45939</v>
      </c>
      <c r="BJ92" s="179">
        <f>IFERROR(__xludf.DUMMYFUNCTION("""COMPUTED_VALUE"""),0.0)</f>
        <v>0</v>
      </c>
      <c r="BK92" s="182">
        <f>IFERROR(__xludf.DUMMYFUNCTION("""COMPUTED_VALUE"""),45939.0)</f>
        <v>45939</v>
      </c>
      <c r="BL92" s="179">
        <f>IFERROR(__xludf.DUMMYFUNCTION("""COMPUTED_VALUE"""),0.0)</f>
        <v>0</v>
      </c>
      <c r="BM92" s="180">
        <f>IFERROR(__xludf.DUMMYFUNCTION("""COMPUTED_VALUE"""),45939.0)</f>
        <v>45939</v>
      </c>
      <c r="BN92" s="179">
        <f>IFERROR(__xludf.DUMMYFUNCTION("""COMPUTED_VALUE"""),0.0)</f>
        <v>0</v>
      </c>
      <c r="BO92" s="180">
        <f>IFERROR(__xludf.DUMMYFUNCTION("""COMPUTED_VALUE"""),45909.0)</f>
        <v>45909</v>
      </c>
      <c r="BP92" s="179">
        <f>IFERROR(__xludf.DUMMYFUNCTION("""COMPUTED_VALUE"""),0.0)</f>
        <v>0</v>
      </c>
      <c r="BQ92" s="180">
        <f>IFERROR(__xludf.DUMMYFUNCTION("""COMPUTED_VALUE"""),45909.0)</f>
        <v>45909</v>
      </c>
      <c r="BR92" s="179">
        <f>IFERROR(__xludf.DUMMYFUNCTION("""COMPUTED_VALUE"""),0.0)</f>
        <v>0</v>
      </c>
      <c r="BS92" s="180">
        <f>IFERROR(__xludf.DUMMYFUNCTION("""COMPUTED_VALUE"""),45939.0)</f>
        <v>45939</v>
      </c>
      <c r="BT92" s="179">
        <f>IFERROR(__xludf.DUMMYFUNCTION("""COMPUTED_VALUE"""),0.0)</f>
        <v>0</v>
      </c>
      <c r="BU92" s="180">
        <f>IFERROR(__xludf.DUMMYFUNCTION("""COMPUTED_VALUE"""),45939.0)</f>
        <v>45939</v>
      </c>
      <c r="BV92" s="179">
        <f>IFERROR(__xludf.DUMMYFUNCTION("""COMPUTED_VALUE"""),0.0)</f>
        <v>0</v>
      </c>
      <c r="BW92" s="180">
        <f>IFERROR(__xludf.DUMMYFUNCTION("""COMPUTED_VALUE"""),45939.0)</f>
        <v>45939</v>
      </c>
      <c r="BX92" s="179">
        <f>IFERROR(__xludf.DUMMYFUNCTION("""COMPUTED_VALUE"""),0.0)</f>
        <v>0</v>
      </c>
      <c r="BY92" s="180">
        <f>IFERROR(__xludf.DUMMYFUNCTION("""COMPUTED_VALUE"""),45909.0)</f>
        <v>45909</v>
      </c>
      <c r="BZ92" s="179">
        <f>IFERROR(__xludf.DUMMYFUNCTION("""COMPUTED_VALUE"""),0.0)</f>
        <v>0</v>
      </c>
      <c r="CA92" s="180">
        <f>IFERROR(__xludf.DUMMYFUNCTION("""COMPUTED_VALUE"""),45939.0)</f>
        <v>45939</v>
      </c>
      <c r="CB92" s="179">
        <f>IFERROR(__xludf.DUMMYFUNCTION("""COMPUTED_VALUE"""),0.0)</f>
        <v>0</v>
      </c>
      <c r="CC92" s="180">
        <f>IFERROR(__xludf.DUMMYFUNCTION("""COMPUTED_VALUE"""),45939.0)</f>
        <v>45939</v>
      </c>
      <c r="CD92" s="179">
        <f>IFERROR(__xludf.DUMMYFUNCTION("""COMPUTED_VALUE"""),0.0)</f>
        <v>0</v>
      </c>
      <c r="CE92" s="182">
        <f>IFERROR(__xludf.DUMMYFUNCTION("""COMPUTED_VALUE"""),45939.0)</f>
        <v>45939</v>
      </c>
      <c r="CF92" s="179">
        <f>IFERROR(__xludf.DUMMYFUNCTION("""COMPUTED_VALUE"""),0.0)</f>
        <v>0</v>
      </c>
      <c r="CG92" s="180">
        <f>IFERROR(__xludf.DUMMYFUNCTION("""COMPUTED_VALUE"""),45878.0)</f>
        <v>45878</v>
      </c>
      <c r="CH92" s="179">
        <f>IFERROR(__xludf.DUMMYFUNCTION("""COMPUTED_VALUE"""),0.0)</f>
        <v>0</v>
      </c>
      <c r="CI92" s="180">
        <f>IFERROR(__xludf.DUMMYFUNCTION("""COMPUTED_VALUE"""),45878.0)</f>
        <v>45878</v>
      </c>
      <c r="CJ92" s="179">
        <f>IFERROR(__xludf.DUMMYFUNCTION("""COMPUTED_VALUE"""),0.0)</f>
        <v>0</v>
      </c>
      <c r="CK92" s="180">
        <f>IFERROR(__xludf.DUMMYFUNCTION("""COMPUTED_VALUE"""),45847.0)</f>
        <v>45847</v>
      </c>
      <c r="CL92" s="179">
        <f>IFERROR(__xludf.DUMMYFUNCTION("""COMPUTED_VALUE"""),0.0)</f>
        <v>0</v>
      </c>
      <c r="CM92" s="180">
        <f>IFERROR(__xludf.DUMMYFUNCTION("""COMPUTED_VALUE"""),45939.0)</f>
        <v>45939</v>
      </c>
      <c r="CN92" s="179">
        <f>IFERROR(__xludf.DUMMYFUNCTION("""COMPUTED_VALUE"""),0.0)</f>
        <v>0</v>
      </c>
      <c r="CO92" s="180">
        <f>IFERROR(__xludf.DUMMYFUNCTION("""COMPUTED_VALUE"""),45909.0)</f>
        <v>45909</v>
      </c>
      <c r="CP92" s="179">
        <f>IFERROR(__xludf.DUMMYFUNCTION("""COMPUTED_VALUE"""),0.0)</f>
        <v>0</v>
      </c>
      <c r="CQ92" s="180">
        <f>IFERROR(__xludf.DUMMYFUNCTION("""COMPUTED_VALUE"""),45847.0)</f>
        <v>45847</v>
      </c>
      <c r="CR92" s="179">
        <f>IFERROR(__xludf.DUMMYFUNCTION("""COMPUTED_VALUE"""),0.0)</f>
        <v>0</v>
      </c>
      <c r="CS92" s="180">
        <f>IFERROR(__xludf.DUMMYFUNCTION("""COMPUTED_VALUE"""),45909.0)</f>
        <v>45909</v>
      </c>
      <c r="CT92" s="179">
        <f>IFERROR(__xludf.DUMMYFUNCTION("""COMPUTED_VALUE"""),0.0)</f>
        <v>0</v>
      </c>
      <c r="CU92" s="180">
        <f>IFERROR(__xludf.DUMMYFUNCTION("""COMPUTED_VALUE"""),45939.0)</f>
        <v>45939</v>
      </c>
      <c r="CV92" s="179">
        <f>IFERROR(__xludf.DUMMYFUNCTION("""COMPUTED_VALUE"""),0.0)</f>
        <v>0</v>
      </c>
      <c r="CW92" s="180">
        <f>IFERROR(__xludf.DUMMYFUNCTION("""COMPUTED_VALUE"""),45786.0)</f>
        <v>45786</v>
      </c>
      <c r="CX92" s="179">
        <f>IFERROR(__xludf.DUMMYFUNCTION("""COMPUTED_VALUE"""),0.0)</f>
        <v>0</v>
      </c>
      <c r="CY92" s="182">
        <f>IFERROR(__xludf.DUMMYFUNCTION("""COMPUTED_VALUE"""),45939.0)</f>
        <v>45939</v>
      </c>
      <c r="CZ92" s="179">
        <f>IFERROR(__xludf.DUMMYFUNCTION("""COMPUTED_VALUE"""),0.0)</f>
        <v>0</v>
      </c>
      <c r="DA92" s="180">
        <f>IFERROR(__xludf.DUMMYFUNCTION("""COMPUTED_VALUE"""),45939.0)</f>
        <v>45939</v>
      </c>
      <c r="DB92" s="179">
        <f>IFERROR(__xludf.DUMMYFUNCTION("""COMPUTED_VALUE"""),0.0)</f>
        <v>0</v>
      </c>
      <c r="DC92" s="180">
        <f>IFERROR(__xludf.DUMMYFUNCTION("""COMPUTED_VALUE"""),45939.0)</f>
        <v>45939</v>
      </c>
      <c r="DD92" s="179">
        <f>IFERROR(__xludf.DUMMYFUNCTION("""COMPUTED_VALUE"""),0.0)</f>
        <v>0</v>
      </c>
      <c r="DE92" s="180">
        <f>IFERROR(__xludf.DUMMYFUNCTION("""COMPUTED_VALUE"""),45939.0)</f>
        <v>45939</v>
      </c>
      <c r="DF92" s="179">
        <f>IFERROR(__xludf.DUMMYFUNCTION("""COMPUTED_VALUE"""),0.0)</f>
        <v>0</v>
      </c>
      <c r="DG92" s="180">
        <f>IFERROR(__xludf.DUMMYFUNCTION("""COMPUTED_VALUE"""),45939.0)</f>
        <v>45939</v>
      </c>
      <c r="DH92" s="179">
        <f>IFERROR(__xludf.DUMMYFUNCTION("""COMPUTED_VALUE"""),0.0)</f>
        <v>0</v>
      </c>
      <c r="DI92" s="180">
        <f>IFERROR(__xludf.DUMMYFUNCTION("""COMPUTED_VALUE"""),45939.0)</f>
        <v>45939</v>
      </c>
      <c r="DJ92" s="179">
        <f>IFERROR(__xludf.DUMMYFUNCTION("""COMPUTED_VALUE"""),0.0)</f>
        <v>0</v>
      </c>
      <c r="DK92" s="180">
        <f>IFERROR(__xludf.DUMMYFUNCTION("""COMPUTED_VALUE"""),45939.0)</f>
        <v>45939</v>
      </c>
      <c r="DL92" s="179">
        <f>IFERROR(__xludf.DUMMYFUNCTION("""COMPUTED_VALUE"""),0.0)</f>
        <v>0</v>
      </c>
      <c r="DM92" s="180">
        <f>IFERROR(__xludf.DUMMYFUNCTION("""COMPUTED_VALUE"""),45939.0)</f>
        <v>45939</v>
      </c>
      <c r="DN92" s="179">
        <f>IFERROR(__xludf.DUMMYFUNCTION("""COMPUTED_VALUE"""),0.0)</f>
        <v>0</v>
      </c>
      <c r="DO92" s="180">
        <f>IFERROR(__xludf.DUMMYFUNCTION("""COMPUTED_VALUE"""),45939.0)</f>
        <v>45939</v>
      </c>
      <c r="DP92" s="179">
        <f>IFERROR(__xludf.DUMMYFUNCTION("""COMPUTED_VALUE"""),0.0)</f>
        <v>0</v>
      </c>
      <c r="DQ92" s="180">
        <f>IFERROR(__xludf.DUMMYFUNCTION("""COMPUTED_VALUE"""),45939.0)</f>
        <v>45939</v>
      </c>
      <c r="DR92" s="179">
        <f>IFERROR(__xludf.DUMMYFUNCTION("""COMPUTED_VALUE"""),0.0)</f>
        <v>0</v>
      </c>
      <c r="DS92" s="182">
        <f>IFERROR(__xludf.DUMMYFUNCTION("""COMPUTED_VALUE"""),45939.0)</f>
        <v>45939</v>
      </c>
      <c r="DT92" s="179">
        <f>IFERROR(__xludf.DUMMYFUNCTION("""COMPUTED_VALUE"""),0.0)</f>
        <v>0</v>
      </c>
      <c r="DU92" s="180">
        <f>IFERROR(__xludf.DUMMYFUNCTION("""COMPUTED_VALUE"""),45939.0)</f>
        <v>45939</v>
      </c>
      <c r="DV92" s="179">
        <f>IFERROR(__xludf.DUMMYFUNCTION("""COMPUTED_VALUE"""),0.0)</f>
        <v>0</v>
      </c>
      <c r="DW92" s="180">
        <f>IFERROR(__xludf.DUMMYFUNCTION("""COMPUTED_VALUE"""),45939.0)</f>
        <v>45939</v>
      </c>
      <c r="DX92" s="179">
        <f>IFERROR(__xludf.DUMMYFUNCTION("""COMPUTED_VALUE"""),0.0)</f>
        <v>0</v>
      </c>
      <c r="DY92" s="180">
        <f>IFERROR(__xludf.DUMMYFUNCTION("""COMPUTED_VALUE"""),45939.0)</f>
        <v>45939</v>
      </c>
      <c r="DZ92" s="179">
        <f>IFERROR(__xludf.DUMMYFUNCTION("""COMPUTED_VALUE"""),0.0)</f>
        <v>0</v>
      </c>
      <c r="EA92" s="180">
        <f>IFERROR(__xludf.DUMMYFUNCTION("""COMPUTED_VALUE"""),45939.0)</f>
        <v>45939</v>
      </c>
      <c r="EB92" s="179">
        <f>IFERROR(__xludf.DUMMYFUNCTION("""COMPUTED_VALUE"""),0.0)</f>
        <v>0</v>
      </c>
      <c r="EC92" s="180">
        <f>IFERROR(__xludf.DUMMYFUNCTION("""COMPUTED_VALUE"""),45939.0)</f>
        <v>45939</v>
      </c>
      <c r="ED92" s="179">
        <f>IFERROR(__xludf.DUMMYFUNCTION("""COMPUTED_VALUE"""),0.0)</f>
        <v>0</v>
      </c>
      <c r="EE92" s="180">
        <f>IFERROR(__xludf.DUMMYFUNCTION("""COMPUTED_VALUE"""),45939.0)</f>
        <v>45939</v>
      </c>
      <c r="EF92" s="179">
        <f>IFERROR(__xludf.DUMMYFUNCTION("""COMPUTED_VALUE"""),0.0)</f>
        <v>0</v>
      </c>
      <c r="EG92" s="180">
        <f>IFERROR(__xludf.DUMMYFUNCTION("""COMPUTED_VALUE"""),45939.0)</f>
        <v>45939</v>
      </c>
      <c r="EH92" s="179">
        <f>IFERROR(__xludf.DUMMYFUNCTION("""COMPUTED_VALUE"""),0.0)</f>
        <v>0</v>
      </c>
      <c r="EI92" s="180">
        <f>IFERROR(__xludf.DUMMYFUNCTION("""COMPUTED_VALUE"""),45939.0)</f>
        <v>45939</v>
      </c>
      <c r="EJ92" s="179">
        <f>IFERROR(__xludf.DUMMYFUNCTION("""COMPUTED_VALUE"""),0.0)</f>
        <v>0</v>
      </c>
      <c r="EK92" s="180">
        <f>IFERROR(__xludf.DUMMYFUNCTION("""COMPUTED_VALUE"""),45939.0)</f>
        <v>45939</v>
      </c>
      <c r="EL92" s="179">
        <f>IFERROR(__xludf.DUMMYFUNCTION("""COMPUTED_VALUE"""),0.0)</f>
        <v>0</v>
      </c>
      <c r="EM92" s="182">
        <f>IFERROR(__xludf.DUMMYFUNCTION("""COMPUTED_VALUE"""),45939.0)</f>
        <v>45939</v>
      </c>
      <c r="EN92" s="179">
        <f>IFERROR(__xludf.DUMMYFUNCTION("""COMPUTED_VALUE"""),0.0)</f>
        <v>0</v>
      </c>
      <c r="EO92" s="180">
        <f>IFERROR(__xludf.DUMMYFUNCTION("""COMPUTED_VALUE"""),45939.0)</f>
        <v>45939</v>
      </c>
      <c r="EP92" s="179">
        <f>IFERROR(__xludf.DUMMYFUNCTION("""COMPUTED_VALUE"""),0.0)</f>
        <v>0</v>
      </c>
      <c r="EQ92" s="180">
        <f>IFERROR(__xludf.DUMMYFUNCTION("""COMPUTED_VALUE"""),45939.0)</f>
        <v>45939</v>
      </c>
      <c r="ER92" s="179">
        <f>IFERROR(__xludf.DUMMYFUNCTION("""COMPUTED_VALUE"""),0.0)</f>
        <v>0</v>
      </c>
      <c r="ES92" s="180">
        <f>IFERROR(__xludf.DUMMYFUNCTION("""COMPUTED_VALUE"""),45939.0)</f>
        <v>45939</v>
      </c>
      <c r="ET92" s="179">
        <f>IFERROR(__xludf.DUMMYFUNCTION("""COMPUTED_VALUE"""),0.0)</f>
        <v>0</v>
      </c>
      <c r="EU92" s="180">
        <f>IFERROR(__xludf.DUMMYFUNCTION("""COMPUTED_VALUE"""),45939.0)</f>
        <v>45939</v>
      </c>
      <c r="EV92" s="179">
        <f>IFERROR(__xludf.DUMMYFUNCTION("""COMPUTED_VALUE"""),0.0)</f>
        <v>0</v>
      </c>
      <c r="EW92" s="180">
        <f>IFERROR(__xludf.DUMMYFUNCTION("""COMPUTED_VALUE"""),45939.0)</f>
        <v>45939</v>
      </c>
      <c r="EX92" s="179">
        <f>IFERROR(__xludf.DUMMYFUNCTION("""COMPUTED_VALUE"""),0.0)</f>
        <v>0</v>
      </c>
      <c r="EY92" s="180">
        <f>IFERROR(__xludf.DUMMYFUNCTION("""COMPUTED_VALUE"""),45939.0)</f>
        <v>45939</v>
      </c>
      <c r="EZ92" s="179">
        <f>IFERROR(__xludf.DUMMYFUNCTION("""COMPUTED_VALUE"""),0.0)</f>
        <v>0</v>
      </c>
      <c r="FA92" s="180">
        <f>IFERROR(__xludf.DUMMYFUNCTION("""COMPUTED_VALUE"""),45939.0)</f>
        <v>45939</v>
      </c>
      <c r="FB92" s="179">
        <f>IFERROR(__xludf.DUMMYFUNCTION("""COMPUTED_VALUE"""),0.0)</f>
        <v>0</v>
      </c>
      <c r="FC92" s="180">
        <f>IFERROR(__xludf.DUMMYFUNCTION("""COMPUTED_VALUE"""),45939.0)</f>
        <v>45939</v>
      </c>
      <c r="FD92" s="179">
        <f>IFERROR(__xludf.DUMMYFUNCTION("""COMPUTED_VALUE"""),0.0)</f>
        <v>0</v>
      </c>
      <c r="FE92" s="180">
        <f>IFERROR(__xludf.DUMMYFUNCTION("""COMPUTED_VALUE"""),45939.0)</f>
        <v>45939</v>
      </c>
      <c r="FF92" s="179">
        <f>IFERROR(__xludf.DUMMYFUNCTION("""COMPUTED_VALUE"""),0.0)</f>
        <v>0</v>
      </c>
      <c r="FG92" s="182">
        <f>IFERROR(__xludf.DUMMYFUNCTION("""COMPUTED_VALUE"""),45666.0)</f>
        <v>45666</v>
      </c>
      <c r="FH92" s="179">
        <f>IFERROR(__xludf.DUMMYFUNCTION("""COMPUTED_VALUE"""),0.0)</f>
        <v>0</v>
      </c>
      <c r="FI92" s="180">
        <f>IFERROR(__xludf.DUMMYFUNCTION("""COMPUTED_VALUE"""),45938.0)</f>
        <v>45938</v>
      </c>
      <c r="FJ92" s="179">
        <f>IFERROR(__xludf.DUMMYFUNCTION("""COMPUTED_VALUE"""),0.0)</f>
        <v>0</v>
      </c>
      <c r="FK92" s="180">
        <f>IFERROR(__xludf.DUMMYFUNCTION("""COMPUTED_VALUE"""),45846.0)</f>
        <v>45846</v>
      </c>
      <c r="FL92" s="179">
        <f>IFERROR(__xludf.DUMMYFUNCTION("""COMPUTED_VALUE"""),0.0)</f>
        <v>0</v>
      </c>
      <c r="FM92" s="180">
        <f>IFERROR(__xludf.DUMMYFUNCTION("""COMPUTED_VALUE"""),45756.0)</f>
        <v>45756</v>
      </c>
      <c r="FN92" s="179">
        <f>IFERROR(__xludf.DUMMYFUNCTION("""COMPUTED_VALUE"""),0.0)</f>
        <v>0</v>
      </c>
      <c r="FO92" s="180">
        <f>IFERROR(__xludf.DUMMYFUNCTION("""COMPUTED_VALUE"""),45786.0)</f>
        <v>45786</v>
      </c>
      <c r="FP92" s="179">
        <f>IFERROR(__xludf.DUMMYFUNCTION("""COMPUTED_VALUE"""),0.0)</f>
        <v>0</v>
      </c>
      <c r="FQ92" s="180">
        <f>IFERROR(__xludf.DUMMYFUNCTION("""COMPUTED_VALUE"""),45817.0)</f>
        <v>45817</v>
      </c>
      <c r="FR92" s="179">
        <f>IFERROR(__xludf.DUMMYFUNCTION("""COMPUTED_VALUE"""),0.0)</f>
        <v>0</v>
      </c>
      <c r="FS92" s="180">
        <f>IFERROR(__xludf.DUMMYFUNCTION("""COMPUTED_VALUE"""),45938.0)</f>
        <v>45938</v>
      </c>
      <c r="FT92" s="179">
        <f>IFERROR(__xludf.DUMMYFUNCTION("""COMPUTED_VALUE"""),0.0)</f>
        <v>0</v>
      </c>
      <c r="FU92" s="180">
        <f>IFERROR(__xludf.DUMMYFUNCTION("""COMPUTED_VALUE"""),45878.0)</f>
        <v>45878</v>
      </c>
      <c r="FV92" s="179">
        <f>IFERROR(__xludf.DUMMYFUNCTION("""COMPUTED_VALUE"""),0.0)</f>
        <v>0</v>
      </c>
      <c r="FW92" s="180">
        <f>IFERROR(__xludf.DUMMYFUNCTION("""COMPUTED_VALUE"""),45909.0)</f>
        <v>45909</v>
      </c>
      <c r="FX92" s="179">
        <f>IFERROR(__xludf.DUMMYFUNCTION("""COMPUTED_VALUE"""),0.0)</f>
        <v>0</v>
      </c>
      <c r="FY92" s="180">
        <f>IFERROR(__xludf.DUMMYFUNCTION("""COMPUTED_VALUE"""),45877.0)</f>
        <v>45877</v>
      </c>
      <c r="FZ92" s="179">
        <f>IFERROR(__xludf.DUMMYFUNCTION("""COMPUTED_VALUE"""),0.0)</f>
        <v>0</v>
      </c>
      <c r="GA92" s="182">
        <f>IFERROR(__xludf.DUMMYFUNCTION("""COMPUTED_VALUE"""),45666.0)</f>
        <v>45666</v>
      </c>
      <c r="GB92" s="179">
        <f>IFERROR(__xludf.DUMMYFUNCTION("""COMPUTED_VALUE"""),0.0)</f>
        <v>0</v>
      </c>
      <c r="GC92" s="180">
        <f>IFERROR(__xludf.DUMMYFUNCTION("""COMPUTED_VALUE"""),45938.0)</f>
        <v>45938</v>
      </c>
      <c r="GD92" s="179">
        <f>IFERROR(__xludf.DUMMYFUNCTION("""COMPUTED_VALUE"""),0.0)</f>
        <v>0</v>
      </c>
      <c r="GE92" s="180">
        <f>IFERROR(__xludf.DUMMYFUNCTION("""COMPUTED_VALUE"""),45938.0)</f>
        <v>45938</v>
      </c>
      <c r="GF92" s="179">
        <f>IFERROR(__xludf.DUMMYFUNCTION("""COMPUTED_VALUE"""),0.0)</f>
        <v>0</v>
      </c>
      <c r="GG92" s="180">
        <f>IFERROR(__xludf.DUMMYFUNCTION("""COMPUTED_VALUE"""),45938.0)</f>
        <v>45938</v>
      </c>
      <c r="GH92" s="179">
        <f>IFERROR(__xludf.DUMMYFUNCTION("""COMPUTED_VALUE"""),0.0)</f>
        <v>0</v>
      </c>
      <c r="GI92" s="180">
        <f>IFERROR(__xludf.DUMMYFUNCTION("""COMPUTED_VALUE"""),45666.0)</f>
        <v>45666</v>
      </c>
      <c r="GJ92" s="179">
        <f>IFERROR(__xludf.DUMMYFUNCTION("""COMPUTED_VALUE"""),0.0)</f>
        <v>0</v>
      </c>
      <c r="GK92" s="180">
        <f>IFERROR(__xludf.DUMMYFUNCTION("""COMPUTED_VALUE"""),45666.0)</f>
        <v>45666</v>
      </c>
      <c r="GL92" s="179">
        <f>IFERROR(__xludf.DUMMYFUNCTION("""COMPUTED_VALUE"""),0.0)</f>
        <v>0</v>
      </c>
      <c r="GM92" s="180">
        <f>IFERROR(__xludf.DUMMYFUNCTION("""COMPUTED_VALUE"""),45877.0)</f>
        <v>45877</v>
      </c>
      <c r="GN92" s="179">
        <f>IFERROR(__xludf.DUMMYFUNCTION("""COMPUTED_VALUE"""),0.0)</f>
        <v>0</v>
      </c>
      <c r="GO92" s="180">
        <f>IFERROR(__xludf.DUMMYFUNCTION("""COMPUTED_VALUE"""),45666.0)</f>
        <v>45666</v>
      </c>
      <c r="GP92" s="179">
        <f>IFERROR(__xludf.DUMMYFUNCTION("""COMPUTED_VALUE"""),0.0)</f>
        <v>0</v>
      </c>
      <c r="GQ92" s="180">
        <f>IFERROR(__xludf.DUMMYFUNCTION("""COMPUTED_VALUE"""),45666.0)</f>
        <v>45666</v>
      </c>
      <c r="GR92" s="179">
        <f>IFERROR(__xludf.DUMMYFUNCTION("""COMPUTED_VALUE"""),0.0)</f>
        <v>0</v>
      </c>
      <c r="GS92" s="180">
        <f>IFERROR(__xludf.DUMMYFUNCTION("""COMPUTED_VALUE"""),45908.0)</f>
        <v>45908</v>
      </c>
      <c r="GT92" s="179">
        <f>IFERROR(__xludf.DUMMYFUNCTION("""COMPUTED_VALUE"""),0.0)</f>
        <v>0</v>
      </c>
    </row>
    <row r="93" ht="31.5" customHeight="1">
      <c r="B93" s="183"/>
      <c r="C93" s="178">
        <f>IFERROR(__xludf.DUMMYFUNCTION("""COMPUTED_VALUE"""),45667.0)</f>
        <v>45667</v>
      </c>
      <c r="D93" s="179">
        <f>IFERROR(__xludf.DUMMYFUNCTION("""COMPUTED_VALUE"""),0.0)</f>
        <v>0</v>
      </c>
      <c r="E93" s="180">
        <f>IFERROR(__xludf.DUMMYFUNCTION("""COMPUTED_VALUE"""),45667.0)</f>
        <v>45667</v>
      </c>
      <c r="F93" s="179">
        <f>IFERROR(__xludf.DUMMYFUNCTION("""COMPUTED_VALUE"""),0.0)</f>
        <v>0</v>
      </c>
      <c r="G93" s="180">
        <f>IFERROR(__xludf.DUMMYFUNCTION("""COMPUTED_VALUE"""),45667.0)</f>
        <v>45667</v>
      </c>
      <c r="H93" s="179">
        <f>IFERROR(__xludf.DUMMYFUNCTION("""COMPUTED_VALUE"""),0.0)</f>
        <v>0</v>
      </c>
      <c r="I93" s="180">
        <f>IFERROR(__xludf.DUMMYFUNCTION("""COMPUTED_VALUE"""),45667.0)</f>
        <v>45667</v>
      </c>
      <c r="J93" s="179">
        <f>IFERROR(__xludf.DUMMYFUNCTION("""COMPUTED_VALUE"""),0.0)</f>
        <v>0</v>
      </c>
      <c r="K93" s="180">
        <f>IFERROR(__xludf.DUMMYFUNCTION("""COMPUTED_VALUE"""),45667.0)</f>
        <v>45667</v>
      </c>
      <c r="L93" s="179">
        <f>IFERROR(__xludf.DUMMYFUNCTION("""COMPUTED_VALUE"""),0.0)</f>
        <v>0</v>
      </c>
      <c r="M93" s="180">
        <f>IFERROR(__xludf.DUMMYFUNCTION("""COMPUTED_VALUE"""),45667.0)</f>
        <v>45667</v>
      </c>
      <c r="N93" s="179">
        <f>IFERROR(__xludf.DUMMYFUNCTION("""COMPUTED_VALUE"""),0.0)</f>
        <v>0</v>
      </c>
      <c r="O93" s="180">
        <f>IFERROR(__xludf.DUMMYFUNCTION("""COMPUTED_VALUE"""),45667.0)</f>
        <v>45667</v>
      </c>
      <c r="P93" s="179">
        <f>IFERROR(__xludf.DUMMYFUNCTION("""COMPUTED_VALUE"""),0.0)</f>
        <v>0</v>
      </c>
      <c r="Q93" s="180">
        <f>IFERROR(__xludf.DUMMYFUNCTION("""COMPUTED_VALUE"""),45667.0)</f>
        <v>45667</v>
      </c>
      <c r="R93" s="179">
        <f>IFERROR(__xludf.DUMMYFUNCTION("""COMPUTED_VALUE"""),0.0)</f>
        <v>0</v>
      </c>
      <c r="S93" s="180">
        <f>IFERROR(__xludf.DUMMYFUNCTION("""COMPUTED_VALUE"""),45667.0)</f>
        <v>45667</v>
      </c>
      <c r="T93" s="179">
        <f>IFERROR(__xludf.DUMMYFUNCTION("""COMPUTED_VALUE"""),0.0)</f>
        <v>0</v>
      </c>
      <c r="U93" s="180">
        <f>IFERROR(__xludf.DUMMYFUNCTION("""COMPUTED_VALUE"""),45667.0)</f>
        <v>45667</v>
      </c>
      <c r="V93" s="181">
        <f>IFERROR(__xludf.DUMMYFUNCTION("""COMPUTED_VALUE"""),0.0)</f>
        <v>0</v>
      </c>
      <c r="W93" s="178">
        <f>IFERROR(__xludf.DUMMYFUNCTION("""COMPUTED_VALUE"""),45667.0)</f>
        <v>45667</v>
      </c>
      <c r="X93" s="179">
        <f>IFERROR(__xludf.DUMMYFUNCTION("""COMPUTED_VALUE"""),0.0)</f>
        <v>0</v>
      </c>
      <c r="Y93" s="180">
        <f>IFERROR(__xludf.DUMMYFUNCTION("""COMPUTED_VALUE"""),45667.0)</f>
        <v>45667</v>
      </c>
      <c r="Z93" s="179">
        <f>IFERROR(__xludf.DUMMYFUNCTION("""COMPUTED_VALUE"""),0.0)</f>
        <v>0</v>
      </c>
      <c r="AA93" s="180">
        <f>IFERROR(__xludf.DUMMYFUNCTION("""COMPUTED_VALUE"""),45667.0)</f>
        <v>45667</v>
      </c>
      <c r="AB93" s="179">
        <f>IFERROR(__xludf.DUMMYFUNCTION("""COMPUTED_VALUE"""),0.0)</f>
        <v>0</v>
      </c>
      <c r="AC93" s="180">
        <f>IFERROR(__xludf.DUMMYFUNCTION("""COMPUTED_VALUE"""),45878.0)</f>
        <v>45878</v>
      </c>
      <c r="AD93" s="179">
        <f>IFERROR(__xludf.DUMMYFUNCTION("""COMPUTED_VALUE"""),0.0)</f>
        <v>0</v>
      </c>
      <c r="AE93" s="180">
        <f>IFERROR(__xludf.DUMMYFUNCTION("""COMPUTED_VALUE"""),45667.0)</f>
        <v>45667</v>
      </c>
      <c r="AF93" s="179">
        <f>IFERROR(__xludf.DUMMYFUNCTION("""COMPUTED_VALUE"""),0.0)</f>
        <v>0</v>
      </c>
      <c r="AG93" s="180">
        <f>IFERROR(__xludf.DUMMYFUNCTION("""COMPUTED_VALUE"""),45667.0)</f>
        <v>45667</v>
      </c>
      <c r="AH93" s="179">
        <f>IFERROR(__xludf.DUMMYFUNCTION("""COMPUTED_VALUE"""),0.0)</f>
        <v>0</v>
      </c>
      <c r="AI93" s="180">
        <f>IFERROR(__xludf.DUMMYFUNCTION("""COMPUTED_VALUE"""),45667.0)</f>
        <v>45667</v>
      </c>
      <c r="AJ93" s="179">
        <f>IFERROR(__xludf.DUMMYFUNCTION("""COMPUTED_VALUE"""),0.0)</f>
        <v>0</v>
      </c>
      <c r="AK93" s="180">
        <f>IFERROR(__xludf.DUMMYFUNCTION("""COMPUTED_VALUE"""),45667.0)</f>
        <v>45667</v>
      </c>
      <c r="AL93" s="179">
        <f>IFERROR(__xludf.DUMMYFUNCTION("""COMPUTED_VALUE"""),0.0)</f>
        <v>0</v>
      </c>
      <c r="AM93" s="180">
        <f>IFERROR(__xludf.DUMMYFUNCTION("""COMPUTED_VALUE"""),45667.0)</f>
        <v>45667</v>
      </c>
      <c r="AN93" s="179">
        <f>IFERROR(__xludf.DUMMYFUNCTION("""COMPUTED_VALUE"""),0.0)</f>
        <v>0</v>
      </c>
      <c r="AO93" s="180">
        <f>IFERROR(__xludf.DUMMYFUNCTION("""COMPUTED_VALUE"""),45667.0)</f>
        <v>45667</v>
      </c>
      <c r="AP93" s="181">
        <f>IFERROR(__xludf.DUMMYFUNCTION("""COMPUTED_VALUE"""),0.0)</f>
        <v>0</v>
      </c>
      <c r="AQ93" s="178">
        <f>IFERROR(__xludf.DUMMYFUNCTION("""COMPUTED_VALUE"""),45667.0)</f>
        <v>45667</v>
      </c>
      <c r="AR93" s="179">
        <f>IFERROR(__xludf.DUMMYFUNCTION("""COMPUTED_VALUE"""),0.0)</f>
        <v>0</v>
      </c>
      <c r="AS93" s="180">
        <f>IFERROR(__xludf.DUMMYFUNCTION("""COMPUTED_VALUE"""),45667.0)</f>
        <v>45667</v>
      </c>
      <c r="AT93" s="179">
        <f>IFERROR(__xludf.DUMMYFUNCTION("""COMPUTED_VALUE"""),0.0)</f>
        <v>0</v>
      </c>
      <c r="AU93" s="180">
        <f>IFERROR(__xludf.DUMMYFUNCTION("""COMPUTED_VALUE"""),45939.0)</f>
        <v>45939</v>
      </c>
      <c r="AV93" s="179">
        <f>IFERROR(__xludf.DUMMYFUNCTION("""COMPUTED_VALUE"""),0.0)</f>
        <v>0</v>
      </c>
      <c r="AW93" s="180">
        <f>IFERROR(__xludf.DUMMYFUNCTION("""COMPUTED_VALUE"""),45939.0)</f>
        <v>45939</v>
      </c>
      <c r="AX93" s="179">
        <f>IFERROR(__xludf.DUMMYFUNCTION("""COMPUTED_VALUE"""),0.0)</f>
        <v>0</v>
      </c>
      <c r="AY93" s="180">
        <f>IFERROR(__xludf.DUMMYFUNCTION("""COMPUTED_VALUE"""),45667.0)</f>
        <v>45667</v>
      </c>
      <c r="AZ93" s="179">
        <f>IFERROR(__xludf.DUMMYFUNCTION("""COMPUTED_VALUE"""),0.0)</f>
        <v>0</v>
      </c>
      <c r="BA93" s="180">
        <f>IFERROR(__xludf.DUMMYFUNCTION("""COMPUTED_VALUE"""),45667.0)</f>
        <v>45667</v>
      </c>
      <c r="BB93" s="179">
        <f>IFERROR(__xludf.DUMMYFUNCTION("""COMPUTED_VALUE"""),0.0)</f>
        <v>0</v>
      </c>
      <c r="BC93" s="180">
        <f>IFERROR(__xludf.DUMMYFUNCTION("""COMPUTED_VALUE"""),45939.0)</f>
        <v>45939</v>
      </c>
      <c r="BD93" s="179">
        <f>IFERROR(__xludf.DUMMYFUNCTION("""COMPUTED_VALUE"""),0.0)</f>
        <v>0</v>
      </c>
      <c r="BE93" s="180">
        <f>IFERROR(__xludf.DUMMYFUNCTION("""COMPUTED_VALUE"""),45667.0)</f>
        <v>45667</v>
      </c>
      <c r="BF93" s="179">
        <f>IFERROR(__xludf.DUMMYFUNCTION("""COMPUTED_VALUE"""),0.0)</f>
        <v>0</v>
      </c>
      <c r="BG93" s="180">
        <f>IFERROR(__xludf.DUMMYFUNCTION("""COMPUTED_VALUE"""),45939.0)</f>
        <v>45939</v>
      </c>
      <c r="BH93" s="179">
        <f>IFERROR(__xludf.DUMMYFUNCTION("""COMPUTED_VALUE"""),0.0)</f>
        <v>0</v>
      </c>
      <c r="BI93" s="180">
        <f>IFERROR(__xludf.DUMMYFUNCTION("""COMPUTED_VALUE"""),45667.0)</f>
        <v>45667</v>
      </c>
      <c r="BJ93" s="179">
        <f>IFERROR(__xludf.DUMMYFUNCTION("""COMPUTED_VALUE"""),0.0)</f>
        <v>0</v>
      </c>
      <c r="BK93" s="182">
        <f>IFERROR(__xludf.DUMMYFUNCTION("""COMPUTED_VALUE"""),45667.0)</f>
        <v>45667</v>
      </c>
      <c r="BL93" s="179">
        <f>IFERROR(__xludf.DUMMYFUNCTION("""COMPUTED_VALUE"""),0.0)</f>
        <v>0</v>
      </c>
      <c r="BM93" s="180">
        <f>IFERROR(__xludf.DUMMYFUNCTION("""COMPUTED_VALUE"""),45667.0)</f>
        <v>45667</v>
      </c>
      <c r="BN93" s="179">
        <f>IFERROR(__xludf.DUMMYFUNCTION("""COMPUTED_VALUE"""),0.0)</f>
        <v>0</v>
      </c>
      <c r="BO93" s="180">
        <f>IFERROR(__xludf.DUMMYFUNCTION("""COMPUTED_VALUE"""),45939.0)</f>
        <v>45939</v>
      </c>
      <c r="BP93" s="179">
        <f>IFERROR(__xludf.DUMMYFUNCTION("""COMPUTED_VALUE"""),0.0)</f>
        <v>0</v>
      </c>
      <c r="BQ93" s="180">
        <f>IFERROR(__xludf.DUMMYFUNCTION("""COMPUTED_VALUE"""),45939.0)</f>
        <v>45939</v>
      </c>
      <c r="BR93" s="179">
        <f>IFERROR(__xludf.DUMMYFUNCTION("""COMPUTED_VALUE"""),0.0)</f>
        <v>0</v>
      </c>
      <c r="BS93" s="180">
        <f>IFERROR(__xludf.DUMMYFUNCTION("""COMPUTED_VALUE"""),45667.0)</f>
        <v>45667</v>
      </c>
      <c r="BT93" s="179">
        <f>IFERROR(__xludf.DUMMYFUNCTION("""COMPUTED_VALUE"""),0.0)</f>
        <v>0</v>
      </c>
      <c r="BU93" s="180">
        <f>IFERROR(__xludf.DUMMYFUNCTION("""COMPUTED_VALUE"""),45667.0)</f>
        <v>45667</v>
      </c>
      <c r="BV93" s="179">
        <f>IFERROR(__xludf.DUMMYFUNCTION("""COMPUTED_VALUE"""),0.0)</f>
        <v>0</v>
      </c>
      <c r="BW93" s="180">
        <f>IFERROR(__xludf.DUMMYFUNCTION("""COMPUTED_VALUE"""),45667.0)</f>
        <v>45667</v>
      </c>
      <c r="BX93" s="179">
        <f>IFERROR(__xludf.DUMMYFUNCTION("""COMPUTED_VALUE"""),0.0)</f>
        <v>0</v>
      </c>
      <c r="BY93" s="180">
        <f>IFERROR(__xludf.DUMMYFUNCTION("""COMPUTED_VALUE"""),45939.0)</f>
        <v>45939</v>
      </c>
      <c r="BZ93" s="179">
        <f>IFERROR(__xludf.DUMMYFUNCTION("""COMPUTED_VALUE"""),0.0)</f>
        <v>0</v>
      </c>
      <c r="CA93" s="180">
        <f>IFERROR(__xludf.DUMMYFUNCTION("""COMPUTED_VALUE"""),45667.0)</f>
        <v>45667</v>
      </c>
      <c r="CB93" s="179">
        <f>IFERROR(__xludf.DUMMYFUNCTION("""COMPUTED_VALUE"""),0.0)</f>
        <v>0</v>
      </c>
      <c r="CC93" s="180">
        <f>IFERROR(__xludf.DUMMYFUNCTION("""COMPUTED_VALUE"""),45667.0)</f>
        <v>45667</v>
      </c>
      <c r="CD93" s="179">
        <f>IFERROR(__xludf.DUMMYFUNCTION("""COMPUTED_VALUE"""),0.0)</f>
        <v>0</v>
      </c>
      <c r="CE93" s="182">
        <f>IFERROR(__xludf.DUMMYFUNCTION("""COMPUTED_VALUE"""),45667.0)</f>
        <v>45667</v>
      </c>
      <c r="CF93" s="179">
        <f>IFERROR(__xludf.DUMMYFUNCTION("""COMPUTED_VALUE"""),0.0)</f>
        <v>0</v>
      </c>
      <c r="CG93" s="180">
        <f>IFERROR(__xludf.DUMMYFUNCTION("""COMPUTED_VALUE"""),45909.0)</f>
        <v>45909</v>
      </c>
      <c r="CH93" s="179">
        <f>IFERROR(__xludf.DUMMYFUNCTION("""COMPUTED_VALUE"""),0.0)</f>
        <v>0</v>
      </c>
      <c r="CI93" s="180">
        <f>IFERROR(__xludf.DUMMYFUNCTION("""COMPUTED_VALUE"""),45909.0)</f>
        <v>45909</v>
      </c>
      <c r="CJ93" s="179">
        <f>IFERROR(__xludf.DUMMYFUNCTION("""COMPUTED_VALUE"""),0.0)</f>
        <v>0</v>
      </c>
      <c r="CK93" s="180">
        <f>IFERROR(__xludf.DUMMYFUNCTION("""COMPUTED_VALUE"""),45878.0)</f>
        <v>45878</v>
      </c>
      <c r="CL93" s="179">
        <f>IFERROR(__xludf.DUMMYFUNCTION("""COMPUTED_VALUE"""),0.0)</f>
        <v>0</v>
      </c>
      <c r="CM93" s="180">
        <f>IFERROR(__xludf.DUMMYFUNCTION("""COMPUTED_VALUE"""),45667.0)</f>
        <v>45667</v>
      </c>
      <c r="CN93" s="179">
        <f>IFERROR(__xludf.DUMMYFUNCTION("""COMPUTED_VALUE"""),0.0)</f>
        <v>0</v>
      </c>
      <c r="CO93" s="180">
        <f>IFERROR(__xludf.DUMMYFUNCTION("""COMPUTED_VALUE"""),45667.0)</f>
        <v>45667</v>
      </c>
      <c r="CP93" s="179">
        <f>IFERROR(__xludf.DUMMYFUNCTION("""COMPUTED_VALUE"""),0.0)</f>
        <v>0</v>
      </c>
      <c r="CQ93" s="180">
        <f>IFERROR(__xludf.DUMMYFUNCTION("""COMPUTED_VALUE"""),45878.0)</f>
        <v>45878</v>
      </c>
      <c r="CR93" s="179">
        <f>IFERROR(__xludf.DUMMYFUNCTION("""COMPUTED_VALUE"""),0.0)</f>
        <v>0</v>
      </c>
      <c r="CS93" s="180">
        <f>IFERROR(__xludf.DUMMYFUNCTION("""COMPUTED_VALUE"""),45667.0)</f>
        <v>45667</v>
      </c>
      <c r="CT93" s="179">
        <f>IFERROR(__xludf.DUMMYFUNCTION("""COMPUTED_VALUE"""),0.0)</f>
        <v>0</v>
      </c>
      <c r="CU93" s="180">
        <f>IFERROR(__xludf.DUMMYFUNCTION("""COMPUTED_VALUE"""),45667.0)</f>
        <v>45667</v>
      </c>
      <c r="CV93" s="179">
        <f>IFERROR(__xludf.DUMMYFUNCTION("""COMPUTED_VALUE"""),0.0)</f>
        <v>0</v>
      </c>
      <c r="CW93" s="180">
        <f>IFERROR(__xludf.DUMMYFUNCTION("""COMPUTED_VALUE"""),45817.0)</f>
        <v>45817</v>
      </c>
      <c r="CX93" s="179">
        <f>IFERROR(__xludf.DUMMYFUNCTION("""COMPUTED_VALUE"""),0.0)</f>
        <v>0</v>
      </c>
      <c r="CY93" s="182">
        <f>IFERROR(__xludf.DUMMYFUNCTION("""COMPUTED_VALUE"""),45667.0)</f>
        <v>45667</v>
      </c>
      <c r="CZ93" s="179">
        <f>IFERROR(__xludf.DUMMYFUNCTION("""COMPUTED_VALUE"""),0.0)</f>
        <v>0</v>
      </c>
      <c r="DA93" s="180">
        <f>IFERROR(__xludf.DUMMYFUNCTION("""COMPUTED_VALUE"""),45667.0)</f>
        <v>45667</v>
      </c>
      <c r="DB93" s="179">
        <f>IFERROR(__xludf.DUMMYFUNCTION("""COMPUTED_VALUE"""),0.0)</f>
        <v>0</v>
      </c>
      <c r="DC93" s="180">
        <f>IFERROR(__xludf.DUMMYFUNCTION("""COMPUTED_VALUE"""),45667.0)</f>
        <v>45667</v>
      </c>
      <c r="DD93" s="179">
        <f>IFERROR(__xludf.DUMMYFUNCTION("""COMPUTED_VALUE"""),0.0)</f>
        <v>0</v>
      </c>
      <c r="DE93" s="180">
        <f>IFERROR(__xludf.DUMMYFUNCTION("""COMPUTED_VALUE"""),45667.0)</f>
        <v>45667</v>
      </c>
      <c r="DF93" s="179">
        <f>IFERROR(__xludf.DUMMYFUNCTION("""COMPUTED_VALUE"""),0.0)</f>
        <v>0</v>
      </c>
      <c r="DG93" s="180">
        <f>IFERROR(__xludf.DUMMYFUNCTION("""COMPUTED_VALUE"""),45667.0)</f>
        <v>45667</v>
      </c>
      <c r="DH93" s="179">
        <f>IFERROR(__xludf.DUMMYFUNCTION("""COMPUTED_VALUE"""),0.0)</f>
        <v>0</v>
      </c>
      <c r="DI93" s="180">
        <f>IFERROR(__xludf.DUMMYFUNCTION("""COMPUTED_VALUE"""),45667.0)</f>
        <v>45667</v>
      </c>
      <c r="DJ93" s="179">
        <f>IFERROR(__xludf.DUMMYFUNCTION("""COMPUTED_VALUE"""),0.0)</f>
        <v>0</v>
      </c>
      <c r="DK93" s="180">
        <f>IFERROR(__xludf.DUMMYFUNCTION("""COMPUTED_VALUE"""),45667.0)</f>
        <v>45667</v>
      </c>
      <c r="DL93" s="179">
        <f>IFERROR(__xludf.DUMMYFUNCTION("""COMPUTED_VALUE"""),0.0)</f>
        <v>0</v>
      </c>
      <c r="DM93" s="180">
        <f>IFERROR(__xludf.DUMMYFUNCTION("""COMPUTED_VALUE"""),45667.0)</f>
        <v>45667</v>
      </c>
      <c r="DN93" s="179">
        <f>IFERROR(__xludf.DUMMYFUNCTION("""COMPUTED_VALUE"""),0.0)</f>
        <v>0</v>
      </c>
      <c r="DO93" s="180">
        <f>IFERROR(__xludf.DUMMYFUNCTION("""COMPUTED_VALUE"""),45667.0)</f>
        <v>45667</v>
      </c>
      <c r="DP93" s="179">
        <f>IFERROR(__xludf.DUMMYFUNCTION("""COMPUTED_VALUE"""),0.0)</f>
        <v>0</v>
      </c>
      <c r="DQ93" s="180">
        <f>IFERROR(__xludf.DUMMYFUNCTION("""COMPUTED_VALUE"""),45667.0)</f>
        <v>45667</v>
      </c>
      <c r="DR93" s="179">
        <f>IFERROR(__xludf.DUMMYFUNCTION("""COMPUTED_VALUE"""),0.0)</f>
        <v>0</v>
      </c>
      <c r="DS93" s="182">
        <f>IFERROR(__xludf.DUMMYFUNCTION("""COMPUTED_VALUE"""),45667.0)</f>
        <v>45667</v>
      </c>
      <c r="DT93" s="179">
        <f>IFERROR(__xludf.DUMMYFUNCTION("""COMPUTED_VALUE"""),0.0)</f>
        <v>0</v>
      </c>
      <c r="DU93" s="180">
        <f>IFERROR(__xludf.DUMMYFUNCTION("""COMPUTED_VALUE"""),45667.0)</f>
        <v>45667</v>
      </c>
      <c r="DV93" s="179">
        <f>IFERROR(__xludf.DUMMYFUNCTION("""COMPUTED_VALUE"""),0.0)</f>
        <v>0</v>
      </c>
      <c r="DW93" s="180">
        <f>IFERROR(__xludf.DUMMYFUNCTION("""COMPUTED_VALUE"""),45667.0)</f>
        <v>45667</v>
      </c>
      <c r="DX93" s="179">
        <f>IFERROR(__xludf.DUMMYFUNCTION("""COMPUTED_VALUE"""),0.0)</f>
        <v>0</v>
      </c>
      <c r="DY93" s="180">
        <f>IFERROR(__xludf.DUMMYFUNCTION("""COMPUTED_VALUE"""),45667.0)</f>
        <v>45667</v>
      </c>
      <c r="DZ93" s="179">
        <f>IFERROR(__xludf.DUMMYFUNCTION("""COMPUTED_VALUE"""),0.0)</f>
        <v>0</v>
      </c>
      <c r="EA93" s="180">
        <f>IFERROR(__xludf.DUMMYFUNCTION("""COMPUTED_VALUE"""),45667.0)</f>
        <v>45667</v>
      </c>
      <c r="EB93" s="179">
        <f>IFERROR(__xludf.DUMMYFUNCTION("""COMPUTED_VALUE"""),0.0)</f>
        <v>0</v>
      </c>
      <c r="EC93" s="180">
        <f>IFERROR(__xludf.DUMMYFUNCTION("""COMPUTED_VALUE"""),45667.0)</f>
        <v>45667</v>
      </c>
      <c r="ED93" s="179">
        <f>IFERROR(__xludf.DUMMYFUNCTION("""COMPUTED_VALUE"""),0.0)</f>
        <v>0</v>
      </c>
      <c r="EE93" s="180">
        <f>IFERROR(__xludf.DUMMYFUNCTION("""COMPUTED_VALUE"""),45667.0)</f>
        <v>45667</v>
      </c>
      <c r="EF93" s="179">
        <f>IFERROR(__xludf.DUMMYFUNCTION("""COMPUTED_VALUE"""),0.0)</f>
        <v>0</v>
      </c>
      <c r="EG93" s="180">
        <f>IFERROR(__xludf.DUMMYFUNCTION("""COMPUTED_VALUE"""),45667.0)</f>
        <v>45667</v>
      </c>
      <c r="EH93" s="179">
        <f>IFERROR(__xludf.DUMMYFUNCTION("""COMPUTED_VALUE"""),0.0)</f>
        <v>0</v>
      </c>
      <c r="EI93" s="180">
        <f>IFERROR(__xludf.DUMMYFUNCTION("""COMPUTED_VALUE"""),45667.0)</f>
        <v>45667</v>
      </c>
      <c r="EJ93" s="179">
        <f>IFERROR(__xludf.DUMMYFUNCTION("""COMPUTED_VALUE"""),0.0)</f>
        <v>0</v>
      </c>
      <c r="EK93" s="180">
        <f>IFERROR(__xludf.DUMMYFUNCTION("""COMPUTED_VALUE"""),45667.0)</f>
        <v>45667</v>
      </c>
      <c r="EL93" s="179">
        <f>IFERROR(__xludf.DUMMYFUNCTION("""COMPUTED_VALUE"""),0.0)</f>
        <v>0</v>
      </c>
      <c r="EM93" s="182">
        <f>IFERROR(__xludf.DUMMYFUNCTION("""COMPUTED_VALUE"""),45667.0)</f>
        <v>45667</v>
      </c>
      <c r="EN93" s="179">
        <f>IFERROR(__xludf.DUMMYFUNCTION("""COMPUTED_VALUE"""),0.0)</f>
        <v>0</v>
      </c>
      <c r="EO93" s="180">
        <f>IFERROR(__xludf.DUMMYFUNCTION("""COMPUTED_VALUE"""),45667.0)</f>
        <v>45667</v>
      </c>
      <c r="EP93" s="179">
        <f>IFERROR(__xludf.DUMMYFUNCTION("""COMPUTED_VALUE"""),0.0)</f>
        <v>0</v>
      </c>
      <c r="EQ93" s="180">
        <f>IFERROR(__xludf.DUMMYFUNCTION("""COMPUTED_VALUE"""),45667.0)</f>
        <v>45667</v>
      </c>
      <c r="ER93" s="179">
        <f>IFERROR(__xludf.DUMMYFUNCTION("""COMPUTED_VALUE"""),0.0)</f>
        <v>0</v>
      </c>
      <c r="ES93" s="180">
        <f>IFERROR(__xludf.DUMMYFUNCTION("""COMPUTED_VALUE"""),45667.0)</f>
        <v>45667</v>
      </c>
      <c r="ET93" s="179">
        <f>IFERROR(__xludf.DUMMYFUNCTION("""COMPUTED_VALUE"""),0.0)</f>
        <v>0</v>
      </c>
      <c r="EU93" s="180">
        <f>IFERROR(__xludf.DUMMYFUNCTION("""COMPUTED_VALUE"""),45667.0)</f>
        <v>45667</v>
      </c>
      <c r="EV93" s="179">
        <f>IFERROR(__xludf.DUMMYFUNCTION("""COMPUTED_VALUE"""),0.0)</f>
        <v>0</v>
      </c>
      <c r="EW93" s="180">
        <f>IFERROR(__xludf.DUMMYFUNCTION("""COMPUTED_VALUE"""),45667.0)</f>
        <v>45667</v>
      </c>
      <c r="EX93" s="179">
        <f>IFERROR(__xludf.DUMMYFUNCTION("""COMPUTED_VALUE"""),0.0)</f>
        <v>0</v>
      </c>
      <c r="EY93" s="180">
        <f>IFERROR(__xludf.DUMMYFUNCTION("""COMPUTED_VALUE"""),45667.0)</f>
        <v>45667</v>
      </c>
      <c r="EZ93" s="179">
        <f>IFERROR(__xludf.DUMMYFUNCTION("""COMPUTED_VALUE"""),0.0)</f>
        <v>0</v>
      </c>
      <c r="FA93" s="180">
        <f>IFERROR(__xludf.DUMMYFUNCTION("""COMPUTED_VALUE"""),45667.0)</f>
        <v>45667</v>
      </c>
      <c r="FB93" s="179">
        <f>IFERROR(__xludf.DUMMYFUNCTION("""COMPUTED_VALUE"""),0.0)</f>
        <v>0</v>
      </c>
      <c r="FC93" s="180">
        <f>IFERROR(__xludf.DUMMYFUNCTION("""COMPUTED_VALUE"""),45667.0)</f>
        <v>45667</v>
      </c>
      <c r="FD93" s="179">
        <f>IFERROR(__xludf.DUMMYFUNCTION("""COMPUTED_VALUE"""),0.0)</f>
        <v>0</v>
      </c>
      <c r="FE93" s="180">
        <f>IFERROR(__xludf.DUMMYFUNCTION("""COMPUTED_VALUE"""),45667.0)</f>
        <v>45667</v>
      </c>
      <c r="FF93" s="179">
        <f>IFERROR(__xludf.DUMMYFUNCTION("""COMPUTED_VALUE"""),0.0)</f>
        <v>0</v>
      </c>
      <c r="FG93" s="182">
        <f>IFERROR(__xludf.DUMMYFUNCTION("""COMPUTED_VALUE"""),45667.0)</f>
        <v>45667</v>
      </c>
      <c r="FH93" s="179">
        <f>IFERROR(__xludf.DUMMYFUNCTION("""COMPUTED_VALUE"""),0.0)</f>
        <v>0</v>
      </c>
      <c r="FI93" s="180">
        <f>IFERROR(__xludf.DUMMYFUNCTION("""COMPUTED_VALUE"""),45697.0)</f>
        <v>45697</v>
      </c>
      <c r="FJ93" s="179">
        <f>IFERROR(__xludf.DUMMYFUNCTION("""COMPUTED_VALUE"""),0.0)</f>
        <v>0</v>
      </c>
      <c r="FK93" s="180">
        <f>IFERROR(__xludf.DUMMYFUNCTION("""COMPUTED_VALUE"""),45908.0)</f>
        <v>45908</v>
      </c>
      <c r="FL93" s="179">
        <f>IFERROR(__xludf.DUMMYFUNCTION("""COMPUTED_VALUE"""),0.0)</f>
        <v>0</v>
      </c>
      <c r="FM93" s="180">
        <f>IFERROR(__xludf.DUMMYFUNCTION("""COMPUTED_VALUE"""),45667.0)</f>
        <v>45667</v>
      </c>
      <c r="FN93" s="179">
        <f>IFERROR(__xludf.DUMMYFUNCTION("""COMPUTED_VALUE"""),0.0)</f>
        <v>0</v>
      </c>
      <c r="FO93" s="180">
        <f>IFERROR(__xludf.DUMMYFUNCTION("""COMPUTED_VALUE"""),45667.0)</f>
        <v>45667</v>
      </c>
      <c r="FP93" s="179">
        <f>IFERROR(__xludf.DUMMYFUNCTION("""COMPUTED_VALUE"""),0.0)</f>
        <v>0</v>
      </c>
      <c r="FQ93" s="180">
        <f>IFERROR(__xludf.DUMMYFUNCTION("""COMPUTED_VALUE"""),45667.0)</f>
        <v>45667</v>
      </c>
      <c r="FR93" s="179">
        <f>IFERROR(__xludf.DUMMYFUNCTION("""COMPUTED_VALUE"""),0.0)</f>
        <v>0</v>
      </c>
      <c r="FS93" s="180">
        <f>IFERROR(__xludf.DUMMYFUNCTION("""COMPUTED_VALUE"""),45847.0)</f>
        <v>45847</v>
      </c>
      <c r="FT93" s="179">
        <f>IFERROR(__xludf.DUMMYFUNCTION("""COMPUTED_VALUE"""),0.0)</f>
        <v>0</v>
      </c>
      <c r="FU93" s="180">
        <f>IFERROR(__xludf.DUMMYFUNCTION("""COMPUTED_VALUE"""),45667.0)</f>
        <v>45667</v>
      </c>
      <c r="FV93" s="179">
        <f>IFERROR(__xludf.DUMMYFUNCTION("""COMPUTED_VALUE"""),0.0)</f>
        <v>0</v>
      </c>
      <c r="FW93" s="180">
        <f>IFERROR(__xludf.DUMMYFUNCTION("""COMPUTED_VALUE"""),45667.0)</f>
        <v>45667</v>
      </c>
      <c r="FX93" s="179">
        <f>IFERROR(__xludf.DUMMYFUNCTION("""COMPUTED_VALUE"""),0.0)</f>
        <v>0</v>
      </c>
      <c r="FY93" s="180">
        <f>IFERROR(__xludf.DUMMYFUNCTION("""COMPUTED_VALUE"""),45908.0)</f>
        <v>45908</v>
      </c>
      <c r="FZ93" s="179">
        <f>IFERROR(__xludf.DUMMYFUNCTION("""COMPUTED_VALUE"""),0.0)</f>
        <v>0</v>
      </c>
      <c r="GA93" s="182">
        <f>IFERROR(__xludf.DUMMYFUNCTION("""COMPUTED_VALUE"""),45697.0)</f>
        <v>45697</v>
      </c>
      <c r="GB93" s="179">
        <f>IFERROR(__xludf.DUMMYFUNCTION("""COMPUTED_VALUE"""),0.0)</f>
        <v>0</v>
      </c>
      <c r="GC93" s="180">
        <f>IFERROR(__xludf.DUMMYFUNCTION("""COMPUTED_VALUE"""),45666.0)</f>
        <v>45666</v>
      </c>
      <c r="GD93" s="179">
        <f>IFERROR(__xludf.DUMMYFUNCTION("""COMPUTED_VALUE"""),0.0)</f>
        <v>0</v>
      </c>
      <c r="GE93" s="180">
        <f>IFERROR(__xludf.DUMMYFUNCTION("""COMPUTED_VALUE"""),45666.0)</f>
        <v>45666</v>
      </c>
      <c r="GF93" s="179">
        <f>IFERROR(__xludf.DUMMYFUNCTION("""COMPUTED_VALUE"""),0.0)</f>
        <v>0</v>
      </c>
      <c r="GG93" s="180">
        <f>IFERROR(__xludf.DUMMYFUNCTION("""COMPUTED_VALUE"""),45666.0)</f>
        <v>45666</v>
      </c>
      <c r="GH93" s="179">
        <f>IFERROR(__xludf.DUMMYFUNCTION("""COMPUTED_VALUE"""),0.0)</f>
        <v>0</v>
      </c>
      <c r="GI93" s="180">
        <f>IFERROR(__xludf.DUMMYFUNCTION("""COMPUTED_VALUE"""),45697.0)</f>
        <v>45697</v>
      </c>
      <c r="GJ93" s="179">
        <f>IFERROR(__xludf.DUMMYFUNCTION("""COMPUTED_VALUE"""),0.0)</f>
        <v>0</v>
      </c>
      <c r="GK93" s="180">
        <f>IFERROR(__xludf.DUMMYFUNCTION("""COMPUTED_VALUE"""),45697.0)</f>
        <v>45697</v>
      </c>
      <c r="GL93" s="179">
        <f>IFERROR(__xludf.DUMMYFUNCTION("""COMPUTED_VALUE"""),0.0)</f>
        <v>0</v>
      </c>
      <c r="GM93" s="180">
        <f>IFERROR(__xludf.DUMMYFUNCTION("""COMPUTED_VALUE"""),45908.0)</f>
        <v>45908</v>
      </c>
      <c r="GN93" s="179">
        <f>IFERROR(__xludf.DUMMYFUNCTION("""COMPUTED_VALUE"""),0.0)</f>
        <v>0</v>
      </c>
      <c r="GO93" s="180">
        <f>IFERROR(__xludf.DUMMYFUNCTION("""COMPUTED_VALUE"""),45697.0)</f>
        <v>45697</v>
      </c>
      <c r="GP93" s="179">
        <f>IFERROR(__xludf.DUMMYFUNCTION("""COMPUTED_VALUE"""),0.0)</f>
        <v>0</v>
      </c>
      <c r="GQ93" s="180">
        <f>IFERROR(__xludf.DUMMYFUNCTION("""COMPUTED_VALUE"""),45697.0)</f>
        <v>45697</v>
      </c>
      <c r="GR93" s="179">
        <f>IFERROR(__xludf.DUMMYFUNCTION("""COMPUTED_VALUE"""),0.0)</f>
        <v>0</v>
      </c>
      <c r="GS93" s="180">
        <f>IFERROR(__xludf.DUMMYFUNCTION("""COMPUTED_VALUE"""),45938.0)</f>
        <v>45938</v>
      </c>
      <c r="GT93" s="179">
        <f>IFERROR(__xludf.DUMMYFUNCTION("""COMPUTED_VALUE"""),0.0)</f>
        <v>0</v>
      </c>
    </row>
    <row r="94" ht="31.5" customHeight="1">
      <c r="B94" s="183"/>
      <c r="C94" s="178">
        <f>IFERROR(__xludf.DUMMYFUNCTION("""COMPUTED_VALUE"""),45698.0)</f>
        <v>45698</v>
      </c>
      <c r="D94" s="179">
        <f>IFERROR(__xludf.DUMMYFUNCTION("""COMPUTED_VALUE"""),0.0)</f>
        <v>0</v>
      </c>
      <c r="E94" s="180">
        <f>IFERROR(__xludf.DUMMYFUNCTION("""COMPUTED_VALUE"""),45698.0)</f>
        <v>45698</v>
      </c>
      <c r="F94" s="179">
        <f>IFERROR(__xludf.DUMMYFUNCTION("""COMPUTED_VALUE"""),0.0)</f>
        <v>0</v>
      </c>
      <c r="G94" s="180">
        <f>IFERROR(__xludf.DUMMYFUNCTION("""COMPUTED_VALUE"""),45698.0)</f>
        <v>45698</v>
      </c>
      <c r="H94" s="179">
        <f>IFERROR(__xludf.DUMMYFUNCTION("""COMPUTED_VALUE"""),0.0)</f>
        <v>0</v>
      </c>
      <c r="I94" s="180">
        <f>IFERROR(__xludf.DUMMYFUNCTION("""COMPUTED_VALUE"""),45698.0)</f>
        <v>45698</v>
      </c>
      <c r="J94" s="179">
        <f>IFERROR(__xludf.DUMMYFUNCTION("""COMPUTED_VALUE"""),0.0)</f>
        <v>0</v>
      </c>
      <c r="K94" s="180">
        <f>IFERROR(__xludf.DUMMYFUNCTION("""COMPUTED_VALUE"""),45698.0)</f>
        <v>45698</v>
      </c>
      <c r="L94" s="179">
        <f>IFERROR(__xludf.DUMMYFUNCTION("""COMPUTED_VALUE"""),0.0)</f>
        <v>0</v>
      </c>
      <c r="M94" s="180">
        <f>IFERROR(__xludf.DUMMYFUNCTION("""COMPUTED_VALUE"""),45698.0)</f>
        <v>45698</v>
      </c>
      <c r="N94" s="179">
        <f>IFERROR(__xludf.DUMMYFUNCTION("""COMPUTED_VALUE"""),0.0)</f>
        <v>0</v>
      </c>
      <c r="O94" s="180">
        <f>IFERROR(__xludf.DUMMYFUNCTION("""COMPUTED_VALUE"""),45698.0)</f>
        <v>45698</v>
      </c>
      <c r="P94" s="179">
        <f>IFERROR(__xludf.DUMMYFUNCTION("""COMPUTED_VALUE"""),0.0)</f>
        <v>0</v>
      </c>
      <c r="Q94" s="180">
        <f>IFERROR(__xludf.DUMMYFUNCTION("""COMPUTED_VALUE"""),45698.0)</f>
        <v>45698</v>
      </c>
      <c r="R94" s="179">
        <f>IFERROR(__xludf.DUMMYFUNCTION("""COMPUTED_VALUE"""),0.0)</f>
        <v>0</v>
      </c>
      <c r="S94" s="180">
        <f>IFERROR(__xludf.DUMMYFUNCTION("""COMPUTED_VALUE"""),45698.0)</f>
        <v>45698</v>
      </c>
      <c r="T94" s="179">
        <f>IFERROR(__xludf.DUMMYFUNCTION("""COMPUTED_VALUE"""),0.0)</f>
        <v>0</v>
      </c>
      <c r="U94" s="180">
        <f>IFERROR(__xludf.DUMMYFUNCTION("""COMPUTED_VALUE"""),45698.0)</f>
        <v>45698</v>
      </c>
      <c r="V94" s="181">
        <f>IFERROR(__xludf.DUMMYFUNCTION("""COMPUTED_VALUE"""),0.0)</f>
        <v>0</v>
      </c>
      <c r="W94" s="178">
        <f>IFERROR(__xludf.DUMMYFUNCTION("""COMPUTED_VALUE"""),45698.0)</f>
        <v>45698</v>
      </c>
      <c r="X94" s="179">
        <f>IFERROR(__xludf.DUMMYFUNCTION("""COMPUTED_VALUE"""),0.0)</f>
        <v>0</v>
      </c>
      <c r="Y94" s="180">
        <f>IFERROR(__xludf.DUMMYFUNCTION("""COMPUTED_VALUE"""),45698.0)</f>
        <v>45698</v>
      </c>
      <c r="Z94" s="179">
        <f>IFERROR(__xludf.DUMMYFUNCTION("""COMPUTED_VALUE"""),0.0)</f>
        <v>0</v>
      </c>
      <c r="AA94" s="180">
        <f>IFERROR(__xludf.DUMMYFUNCTION("""COMPUTED_VALUE"""),45698.0)</f>
        <v>45698</v>
      </c>
      <c r="AB94" s="179">
        <f>IFERROR(__xludf.DUMMYFUNCTION("""COMPUTED_VALUE"""),0.0)</f>
        <v>0</v>
      </c>
      <c r="AC94" s="180">
        <f>IFERROR(__xludf.DUMMYFUNCTION("""COMPUTED_VALUE"""),45909.0)</f>
        <v>45909</v>
      </c>
      <c r="AD94" s="179">
        <f>IFERROR(__xludf.DUMMYFUNCTION("""COMPUTED_VALUE"""),0.0)</f>
        <v>0</v>
      </c>
      <c r="AE94" s="180">
        <f>IFERROR(__xludf.DUMMYFUNCTION("""COMPUTED_VALUE"""),45698.0)</f>
        <v>45698</v>
      </c>
      <c r="AF94" s="179">
        <f>IFERROR(__xludf.DUMMYFUNCTION("""COMPUTED_VALUE"""),0.0)</f>
        <v>0</v>
      </c>
      <c r="AG94" s="180">
        <f>IFERROR(__xludf.DUMMYFUNCTION("""COMPUTED_VALUE"""),45698.0)</f>
        <v>45698</v>
      </c>
      <c r="AH94" s="179">
        <f>IFERROR(__xludf.DUMMYFUNCTION("""COMPUTED_VALUE"""),0.0)</f>
        <v>0</v>
      </c>
      <c r="AI94" s="180">
        <f>IFERROR(__xludf.DUMMYFUNCTION("""COMPUTED_VALUE"""),45698.0)</f>
        <v>45698</v>
      </c>
      <c r="AJ94" s="179">
        <f>IFERROR(__xludf.DUMMYFUNCTION("""COMPUTED_VALUE"""),0.0)</f>
        <v>0</v>
      </c>
      <c r="AK94" s="180">
        <f>IFERROR(__xludf.DUMMYFUNCTION("""COMPUTED_VALUE"""),45698.0)</f>
        <v>45698</v>
      </c>
      <c r="AL94" s="179">
        <f>IFERROR(__xludf.DUMMYFUNCTION("""COMPUTED_VALUE"""),0.0)</f>
        <v>0</v>
      </c>
      <c r="AM94" s="180">
        <f>IFERROR(__xludf.DUMMYFUNCTION("""COMPUTED_VALUE"""),45698.0)</f>
        <v>45698</v>
      </c>
      <c r="AN94" s="179">
        <f>IFERROR(__xludf.DUMMYFUNCTION("""COMPUTED_VALUE"""),0.0)</f>
        <v>0</v>
      </c>
      <c r="AO94" s="180">
        <f>IFERROR(__xludf.DUMMYFUNCTION("""COMPUTED_VALUE"""),45698.0)</f>
        <v>45698</v>
      </c>
      <c r="AP94" s="181">
        <f>IFERROR(__xludf.DUMMYFUNCTION("""COMPUTED_VALUE"""),0.0)</f>
        <v>0</v>
      </c>
      <c r="AQ94" s="178">
        <f>IFERROR(__xludf.DUMMYFUNCTION("""COMPUTED_VALUE"""),45698.0)</f>
        <v>45698</v>
      </c>
      <c r="AR94" s="179">
        <f>IFERROR(__xludf.DUMMYFUNCTION("""COMPUTED_VALUE"""),0.0)</f>
        <v>0</v>
      </c>
      <c r="AS94" s="180">
        <f>IFERROR(__xludf.DUMMYFUNCTION("""COMPUTED_VALUE"""),45698.0)</f>
        <v>45698</v>
      </c>
      <c r="AT94" s="179">
        <f>IFERROR(__xludf.DUMMYFUNCTION("""COMPUTED_VALUE"""),0.0)</f>
        <v>0</v>
      </c>
      <c r="AU94" s="180">
        <f>IFERROR(__xludf.DUMMYFUNCTION("""COMPUTED_VALUE"""),45667.0)</f>
        <v>45667</v>
      </c>
      <c r="AV94" s="179">
        <f>IFERROR(__xludf.DUMMYFUNCTION("""COMPUTED_VALUE"""),0.0)</f>
        <v>0</v>
      </c>
      <c r="AW94" s="180">
        <f>IFERROR(__xludf.DUMMYFUNCTION("""COMPUTED_VALUE"""),45667.0)</f>
        <v>45667</v>
      </c>
      <c r="AX94" s="179">
        <f>IFERROR(__xludf.DUMMYFUNCTION("""COMPUTED_VALUE"""),0.0)</f>
        <v>0</v>
      </c>
      <c r="AY94" s="180">
        <f>IFERROR(__xludf.DUMMYFUNCTION("""COMPUTED_VALUE"""),45698.0)</f>
        <v>45698</v>
      </c>
      <c r="AZ94" s="179">
        <f>IFERROR(__xludf.DUMMYFUNCTION("""COMPUTED_VALUE"""),0.0)</f>
        <v>0</v>
      </c>
      <c r="BA94" s="180">
        <f>IFERROR(__xludf.DUMMYFUNCTION("""COMPUTED_VALUE"""),45698.0)</f>
        <v>45698</v>
      </c>
      <c r="BB94" s="179">
        <f>IFERROR(__xludf.DUMMYFUNCTION("""COMPUTED_VALUE"""),0.0)</f>
        <v>0</v>
      </c>
      <c r="BC94" s="180">
        <f>IFERROR(__xludf.DUMMYFUNCTION("""COMPUTED_VALUE"""),45667.0)</f>
        <v>45667</v>
      </c>
      <c r="BD94" s="179">
        <f>IFERROR(__xludf.DUMMYFUNCTION("""COMPUTED_VALUE"""),0.0)</f>
        <v>0</v>
      </c>
      <c r="BE94" s="180">
        <f>IFERROR(__xludf.DUMMYFUNCTION("""COMPUTED_VALUE"""),45698.0)</f>
        <v>45698</v>
      </c>
      <c r="BF94" s="179">
        <f>IFERROR(__xludf.DUMMYFUNCTION("""COMPUTED_VALUE"""),0.0)</f>
        <v>0</v>
      </c>
      <c r="BG94" s="180">
        <f>IFERROR(__xludf.DUMMYFUNCTION("""COMPUTED_VALUE"""),45667.0)</f>
        <v>45667</v>
      </c>
      <c r="BH94" s="179">
        <f>IFERROR(__xludf.DUMMYFUNCTION("""COMPUTED_VALUE"""),0.0)</f>
        <v>0</v>
      </c>
      <c r="BI94" s="180">
        <f>IFERROR(__xludf.DUMMYFUNCTION("""COMPUTED_VALUE"""),45698.0)</f>
        <v>45698</v>
      </c>
      <c r="BJ94" s="179">
        <f>IFERROR(__xludf.DUMMYFUNCTION("""COMPUTED_VALUE"""),0.0)</f>
        <v>0</v>
      </c>
      <c r="BK94" s="182">
        <f>IFERROR(__xludf.DUMMYFUNCTION("""COMPUTED_VALUE"""),45698.0)</f>
        <v>45698</v>
      </c>
      <c r="BL94" s="179">
        <f>IFERROR(__xludf.DUMMYFUNCTION("""COMPUTED_VALUE"""),0.0)</f>
        <v>0</v>
      </c>
      <c r="BM94" s="180">
        <f>IFERROR(__xludf.DUMMYFUNCTION("""COMPUTED_VALUE"""),45698.0)</f>
        <v>45698</v>
      </c>
      <c r="BN94" s="179">
        <f>IFERROR(__xludf.DUMMYFUNCTION("""COMPUTED_VALUE"""),0.0)</f>
        <v>0</v>
      </c>
      <c r="BO94" s="180">
        <f>IFERROR(__xludf.DUMMYFUNCTION("""COMPUTED_VALUE"""),45667.0)</f>
        <v>45667</v>
      </c>
      <c r="BP94" s="179">
        <f>IFERROR(__xludf.DUMMYFUNCTION("""COMPUTED_VALUE"""),0.0)</f>
        <v>0</v>
      </c>
      <c r="BQ94" s="180">
        <f>IFERROR(__xludf.DUMMYFUNCTION("""COMPUTED_VALUE"""),45667.0)</f>
        <v>45667</v>
      </c>
      <c r="BR94" s="179">
        <f>IFERROR(__xludf.DUMMYFUNCTION("""COMPUTED_VALUE"""),0.0)</f>
        <v>0</v>
      </c>
      <c r="BS94" s="180">
        <f>IFERROR(__xludf.DUMMYFUNCTION("""COMPUTED_VALUE"""),45698.0)</f>
        <v>45698</v>
      </c>
      <c r="BT94" s="179">
        <f>IFERROR(__xludf.DUMMYFUNCTION("""COMPUTED_VALUE"""),0.0)</f>
        <v>0</v>
      </c>
      <c r="BU94" s="180">
        <f>IFERROR(__xludf.DUMMYFUNCTION("""COMPUTED_VALUE"""),45698.0)</f>
        <v>45698</v>
      </c>
      <c r="BV94" s="179">
        <f>IFERROR(__xludf.DUMMYFUNCTION("""COMPUTED_VALUE"""),0.0)</f>
        <v>0</v>
      </c>
      <c r="BW94" s="180">
        <f>IFERROR(__xludf.DUMMYFUNCTION("""COMPUTED_VALUE"""),45698.0)</f>
        <v>45698</v>
      </c>
      <c r="BX94" s="179">
        <f>IFERROR(__xludf.DUMMYFUNCTION("""COMPUTED_VALUE"""),0.0)</f>
        <v>0</v>
      </c>
      <c r="BY94" s="180">
        <f>IFERROR(__xludf.DUMMYFUNCTION("""COMPUTED_VALUE"""),45667.0)</f>
        <v>45667</v>
      </c>
      <c r="BZ94" s="179">
        <f>IFERROR(__xludf.DUMMYFUNCTION("""COMPUTED_VALUE"""),0.0)</f>
        <v>0</v>
      </c>
      <c r="CA94" s="180">
        <f>IFERROR(__xludf.DUMMYFUNCTION("""COMPUTED_VALUE"""),45698.0)</f>
        <v>45698</v>
      </c>
      <c r="CB94" s="179">
        <f>IFERROR(__xludf.DUMMYFUNCTION("""COMPUTED_VALUE"""),0.0)</f>
        <v>0</v>
      </c>
      <c r="CC94" s="180">
        <f>IFERROR(__xludf.DUMMYFUNCTION("""COMPUTED_VALUE"""),45698.0)</f>
        <v>45698</v>
      </c>
      <c r="CD94" s="179">
        <f>IFERROR(__xludf.DUMMYFUNCTION("""COMPUTED_VALUE"""),0.0)</f>
        <v>0</v>
      </c>
      <c r="CE94" s="182">
        <f>IFERROR(__xludf.DUMMYFUNCTION("""COMPUTED_VALUE"""),45698.0)</f>
        <v>45698</v>
      </c>
      <c r="CF94" s="179">
        <f>IFERROR(__xludf.DUMMYFUNCTION("""COMPUTED_VALUE"""),0.0)</f>
        <v>0</v>
      </c>
      <c r="CG94" s="180">
        <f>IFERROR(__xludf.DUMMYFUNCTION("""COMPUTED_VALUE"""),45667.0)</f>
        <v>45667</v>
      </c>
      <c r="CH94" s="179">
        <f>IFERROR(__xludf.DUMMYFUNCTION("""COMPUTED_VALUE"""),0.0)</f>
        <v>0</v>
      </c>
      <c r="CI94" s="180">
        <f>IFERROR(__xludf.DUMMYFUNCTION("""COMPUTED_VALUE"""),45667.0)</f>
        <v>45667</v>
      </c>
      <c r="CJ94" s="179">
        <f>IFERROR(__xludf.DUMMYFUNCTION("""COMPUTED_VALUE"""),0.0)</f>
        <v>0</v>
      </c>
      <c r="CK94" s="180">
        <f>IFERROR(__xludf.DUMMYFUNCTION("""COMPUTED_VALUE"""),45909.0)</f>
        <v>45909</v>
      </c>
      <c r="CL94" s="179">
        <f>IFERROR(__xludf.DUMMYFUNCTION("""COMPUTED_VALUE"""),0.0)</f>
        <v>0</v>
      </c>
      <c r="CM94" s="180">
        <f>IFERROR(__xludf.DUMMYFUNCTION("""COMPUTED_VALUE"""),45698.0)</f>
        <v>45698</v>
      </c>
      <c r="CN94" s="179">
        <f>IFERROR(__xludf.DUMMYFUNCTION("""COMPUTED_VALUE"""),0.0)</f>
        <v>0</v>
      </c>
      <c r="CO94" s="180">
        <f>IFERROR(__xludf.DUMMYFUNCTION("""COMPUTED_VALUE"""),45698.0)</f>
        <v>45698</v>
      </c>
      <c r="CP94" s="179">
        <f>IFERROR(__xludf.DUMMYFUNCTION("""COMPUTED_VALUE"""),0.0)</f>
        <v>0</v>
      </c>
      <c r="CQ94" s="180">
        <f>IFERROR(__xludf.DUMMYFUNCTION("""COMPUTED_VALUE"""),45909.0)</f>
        <v>45909</v>
      </c>
      <c r="CR94" s="179">
        <f>IFERROR(__xludf.DUMMYFUNCTION("""COMPUTED_VALUE"""),0.0)</f>
        <v>0</v>
      </c>
      <c r="CS94" s="180">
        <f>IFERROR(__xludf.DUMMYFUNCTION("""COMPUTED_VALUE"""),45698.0)</f>
        <v>45698</v>
      </c>
      <c r="CT94" s="179">
        <f>IFERROR(__xludf.DUMMYFUNCTION("""COMPUTED_VALUE"""),0.0)</f>
        <v>0</v>
      </c>
      <c r="CU94" s="180">
        <f>IFERROR(__xludf.DUMMYFUNCTION("""COMPUTED_VALUE"""),45698.0)</f>
        <v>45698</v>
      </c>
      <c r="CV94" s="179">
        <f>IFERROR(__xludf.DUMMYFUNCTION("""COMPUTED_VALUE"""),0.0)</f>
        <v>0</v>
      </c>
      <c r="CW94" s="180">
        <f>IFERROR(__xludf.DUMMYFUNCTION("""COMPUTED_VALUE"""),45878.0)</f>
        <v>45878</v>
      </c>
      <c r="CX94" s="179">
        <f>IFERROR(__xludf.DUMMYFUNCTION("""COMPUTED_VALUE"""),0.0)</f>
        <v>0</v>
      </c>
      <c r="CY94" s="182">
        <f>IFERROR(__xludf.DUMMYFUNCTION("""COMPUTED_VALUE"""),45698.0)</f>
        <v>45698</v>
      </c>
      <c r="CZ94" s="179">
        <f>IFERROR(__xludf.DUMMYFUNCTION("""COMPUTED_VALUE"""),0.0)</f>
        <v>0</v>
      </c>
      <c r="DA94" s="180">
        <f>IFERROR(__xludf.DUMMYFUNCTION("""COMPUTED_VALUE"""),45698.0)</f>
        <v>45698</v>
      </c>
      <c r="DB94" s="179">
        <f>IFERROR(__xludf.DUMMYFUNCTION("""COMPUTED_VALUE"""),0.0)</f>
        <v>0</v>
      </c>
      <c r="DC94" s="180">
        <f>IFERROR(__xludf.DUMMYFUNCTION("""COMPUTED_VALUE"""),45698.0)</f>
        <v>45698</v>
      </c>
      <c r="DD94" s="179">
        <f>IFERROR(__xludf.DUMMYFUNCTION("""COMPUTED_VALUE"""),0.0)</f>
        <v>0</v>
      </c>
      <c r="DE94" s="180">
        <f>IFERROR(__xludf.DUMMYFUNCTION("""COMPUTED_VALUE"""),45698.0)</f>
        <v>45698</v>
      </c>
      <c r="DF94" s="179">
        <f>IFERROR(__xludf.DUMMYFUNCTION("""COMPUTED_VALUE"""),0.0)</f>
        <v>0</v>
      </c>
      <c r="DG94" s="180">
        <f>IFERROR(__xludf.DUMMYFUNCTION("""COMPUTED_VALUE"""),45698.0)</f>
        <v>45698</v>
      </c>
      <c r="DH94" s="179">
        <f>IFERROR(__xludf.DUMMYFUNCTION("""COMPUTED_VALUE"""),0.0)</f>
        <v>0</v>
      </c>
      <c r="DI94" s="180">
        <f>IFERROR(__xludf.DUMMYFUNCTION("""COMPUTED_VALUE"""),45698.0)</f>
        <v>45698</v>
      </c>
      <c r="DJ94" s="179">
        <f>IFERROR(__xludf.DUMMYFUNCTION("""COMPUTED_VALUE"""),0.0)</f>
        <v>0</v>
      </c>
      <c r="DK94" s="180">
        <f>IFERROR(__xludf.DUMMYFUNCTION("""COMPUTED_VALUE"""),45698.0)</f>
        <v>45698</v>
      </c>
      <c r="DL94" s="179">
        <f>IFERROR(__xludf.DUMMYFUNCTION("""COMPUTED_VALUE"""),0.0)</f>
        <v>0</v>
      </c>
      <c r="DM94" s="180">
        <f>IFERROR(__xludf.DUMMYFUNCTION("""COMPUTED_VALUE"""),45698.0)</f>
        <v>45698</v>
      </c>
      <c r="DN94" s="179">
        <f>IFERROR(__xludf.DUMMYFUNCTION("""COMPUTED_VALUE"""),0.0)</f>
        <v>0</v>
      </c>
      <c r="DO94" s="180">
        <f>IFERROR(__xludf.DUMMYFUNCTION("""COMPUTED_VALUE"""),45698.0)</f>
        <v>45698</v>
      </c>
      <c r="DP94" s="179">
        <f>IFERROR(__xludf.DUMMYFUNCTION("""COMPUTED_VALUE"""),0.0)</f>
        <v>0</v>
      </c>
      <c r="DQ94" s="180">
        <f>IFERROR(__xludf.DUMMYFUNCTION("""COMPUTED_VALUE"""),45698.0)</f>
        <v>45698</v>
      </c>
      <c r="DR94" s="179">
        <f>IFERROR(__xludf.DUMMYFUNCTION("""COMPUTED_VALUE"""),0.0)</f>
        <v>0</v>
      </c>
      <c r="DS94" s="182">
        <f>IFERROR(__xludf.DUMMYFUNCTION("""COMPUTED_VALUE"""),45698.0)</f>
        <v>45698</v>
      </c>
      <c r="DT94" s="179">
        <f>IFERROR(__xludf.DUMMYFUNCTION("""COMPUTED_VALUE"""),0.0)</f>
        <v>0</v>
      </c>
      <c r="DU94" s="180">
        <f>IFERROR(__xludf.DUMMYFUNCTION("""COMPUTED_VALUE"""),45698.0)</f>
        <v>45698</v>
      </c>
      <c r="DV94" s="179">
        <f>IFERROR(__xludf.DUMMYFUNCTION("""COMPUTED_VALUE"""),0.0)</f>
        <v>0</v>
      </c>
      <c r="DW94" s="180">
        <f>IFERROR(__xludf.DUMMYFUNCTION("""COMPUTED_VALUE"""),45698.0)</f>
        <v>45698</v>
      </c>
      <c r="DX94" s="179">
        <f>IFERROR(__xludf.DUMMYFUNCTION("""COMPUTED_VALUE"""),0.0)</f>
        <v>0</v>
      </c>
      <c r="DY94" s="180">
        <f>IFERROR(__xludf.DUMMYFUNCTION("""COMPUTED_VALUE"""),45698.0)</f>
        <v>45698</v>
      </c>
      <c r="DZ94" s="179">
        <f>IFERROR(__xludf.DUMMYFUNCTION("""COMPUTED_VALUE"""),0.0)</f>
        <v>0</v>
      </c>
      <c r="EA94" s="180">
        <f>IFERROR(__xludf.DUMMYFUNCTION("""COMPUTED_VALUE"""),45698.0)</f>
        <v>45698</v>
      </c>
      <c r="EB94" s="179">
        <f>IFERROR(__xludf.DUMMYFUNCTION("""COMPUTED_VALUE"""),0.0)</f>
        <v>0</v>
      </c>
      <c r="EC94" s="180">
        <f>IFERROR(__xludf.DUMMYFUNCTION("""COMPUTED_VALUE"""),45698.0)</f>
        <v>45698</v>
      </c>
      <c r="ED94" s="179">
        <f>IFERROR(__xludf.DUMMYFUNCTION("""COMPUTED_VALUE"""),0.0)</f>
        <v>0</v>
      </c>
      <c r="EE94" s="180">
        <f>IFERROR(__xludf.DUMMYFUNCTION("""COMPUTED_VALUE"""),45698.0)</f>
        <v>45698</v>
      </c>
      <c r="EF94" s="179">
        <f>IFERROR(__xludf.DUMMYFUNCTION("""COMPUTED_VALUE"""),0.0)</f>
        <v>0</v>
      </c>
      <c r="EG94" s="180">
        <f>IFERROR(__xludf.DUMMYFUNCTION("""COMPUTED_VALUE"""),45698.0)</f>
        <v>45698</v>
      </c>
      <c r="EH94" s="179">
        <f>IFERROR(__xludf.DUMMYFUNCTION("""COMPUTED_VALUE"""),0.0)</f>
        <v>0</v>
      </c>
      <c r="EI94" s="180">
        <f>IFERROR(__xludf.DUMMYFUNCTION("""COMPUTED_VALUE"""),45698.0)</f>
        <v>45698</v>
      </c>
      <c r="EJ94" s="179">
        <f>IFERROR(__xludf.DUMMYFUNCTION("""COMPUTED_VALUE"""),0.0)</f>
        <v>0</v>
      </c>
      <c r="EK94" s="180">
        <f>IFERROR(__xludf.DUMMYFUNCTION("""COMPUTED_VALUE"""),45698.0)</f>
        <v>45698</v>
      </c>
      <c r="EL94" s="179">
        <f>IFERROR(__xludf.DUMMYFUNCTION("""COMPUTED_VALUE"""),0.0)</f>
        <v>0</v>
      </c>
      <c r="EM94" s="182">
        <f>IFERROR(__xludf.DUMMYFUNCTION("""COMPUTED_VALUE"""),45698.0)</f>
        <v>45698</v>
      </c>
      <c r="EN94" s="179">
        <f>IFERROR(__xludf.DUMMYFUNCTION("""COMPUTED_VALUE"""),0.0)</f>
        <v>0</v>
      </c>
      <c r="EO94" s="180">
        <f>IFERROR(__xludf.DUMMYFUNCTION("""COMPUTED_VALUE"""),45698.0)</f>
        <v>45698</v>
      </c>
      <c r="EP94" s="179">
        <f>IFERROR(__xludf.DUMMYFUNCTION("""COMPUTED_VALUE"""),0.0)</f>
        <v>0</v>
      </c>
      <c r="EQ94" s="180">
        <f>IFERROR(__xludf.DUMMYFUNCTION("""COMPUTED_VALUE"""),45698.0)</f>
        <v>45698</v>
      </c>
      <c r="ER94" s="179">
        <f>IFERROR(__xludf.DUMMYFUNCTION("""COMPUTED_VALUE"""),0.0)</f>
        <v>0</v>
      </c>
      <c r="ES94" s="180">
        <f>IFERROR(__xludf.DUMMYFUNCTION("""COMPUTED_VALUE"""),45698.0)</f>
        <v>45698</v>
      </c>
      <c r="ET94" s="179">
        <f>IFERROR(__xludf.DUMMYFUNCTION("""COMPUTED_VALUE"""),0.0)</f>
        <v>0</v>
      </c>
      <c r="EU94" s="180">
        <f>IFERROR(__xludf.DUMMYFUNCTION("""COMPUTED_VALUE"""),45698.0)</f>
        <v>45698</v>
      </c>
      <c r="EV94" s="179">
        <f>IFERROR(__xludf.DUMMYFUNCTION("""COMPUTED_VALUE"""),0.0)</f>
        <v>0</v>
      </c>
      <c r="EW94" s="180">
        <f>IFERROR(__xludf.DUMMYFUNCTION("""COMPUTED_VALUE"""),45698.0)</f>
        <v>45698</v>
      </c>
      <c r="EX94" s="179">
        <f>IFERROR(__xludf.DUMMYFUNCTION("""COMPUTED_VALUE"""),0.0)</f>
        <v>0</v>
      </c>
      <c r="EY94" s="180">
        <f>IFERROR(__xludf.DUMMYFUNCTION("""COMPUTED_VALUE"""),45698.0)</f>
        <v>45698</v>
      </c>
      <c r="EZ94" s="179">
        <f>IFERROR(__xludf.DUMMYFUNCTION("""COMPUTED_VALUE"""),0.0)</f>
        <v>0</v>
      </c>
      <c r="FA94" s="180">
        <f>IFERROR(__xludf.DUMMYFUNCTION("""COMPUTED_VALUE"""),45698.0)</f>
        <v>45698</v>
      </c>
      <c r="FB94" s="179">
        <f>IFERROR(__xludf.DUMMYFUNCTION("""COMPUTED_VALUE"""),0.0)</f>
        <v>0</v>
      </c>
      <c r="FC94" s="180">
        <f>IFERROR(__xludf.DUMMYFUNCTION("""COMPUTED_VALUE"""),45698.0)</f>
        <v>45698</v>
      </c>
      <c r="FD94" s="179">
        <f>IFERROR(__xludf.DUMMYFUNCTION("""COMPUTED_VALUE"""),0.0)</f>
        <v>0</v>
      </c>
      <c r="FE94" s="180">
        <f>IFERROR(__xludf.DUMMYFUNCTION("""COMPUTED_VALUE"""),45698.0)</f>
        <v>45698</v>
      </c>
      <c r="FF94" s="179">
        <f>IFERROR(__xludf.DUMMYFUNCTION("""COMPUTED_VALUE"""),0.0)</f>
        <v>0</v>
      </c>
      <c r="FG94" s="182">
        <f>IFERROR(__xludf.DUMMYFUNCTION("""COMPUTED_VALUE"""),45698.0)</f>
        <v>45698</v>
      </c>
      <c r="FH94" s="179">
        <f>IFERROR(__xludf.DUMMYFUNCTION("""COMPUTED_VALUE"""),0.0)</f>
        <v>0</v>
      </c>
      <c r="FI94" s="180">
        <f>IFERROR(__xludf.DUMMYFUNCTION("""COMPUTED_VALUE"""),45667.0)</f>
        <v>45667</v>
      </c>
      <c r="FJ94" s="179">
        <f>IFERROR(__xludf.DUMMYFUNCTION("""COMPUTED_VALUE"""),0.0)</f>
        <v>0</v>
      </c>
      <c r="FK94" s="180">
        <f>IFERROR(__xludf.DUMMYFUNCTION("""COMPUTED_VALUE"""),45938.0)</f>
        <v>45938</v>
      </c>
      <c r="FL94" s="179">
        <f>IFERROR(__xludf.DUMMYFUNCTION("""COMPUTED_VALUE"""),0.0)</f>
        <v>0</v>
      </c>
      <c r="FM94" s="180">
        <f>IFERROR(__xludf.DUMMYFUNCTION("""COMPUTED_VALUE"""),45698.0)</f>
        <v>45698</v>
      </c>
      <c r="FN94" s="179">
        <f>IFERROR(__xludf.DUMMYFUNCTION("""COMPUTED_VALUE"""),0.0)</f>
        <v>0</v>
      </c>
      <c r="FO94" s="180">
        <f>IFERROR(__xludf.DUMMYFUNCTION("""COMPUTED_VALUE"""),45698.0)</f>
        <v>45698</v>
      </c>
      <c r="FP94" s="179">
        <f>IFERROR(__xludf.DUMMYFUNCTION("""COMPUTED_VALUE"""),0.0)</f>
        <v>0</v>
      </c>
      <c r="FQ94" s="180">
        <f>IFERROR(__xludf.DUMMYFUNCTION("""COMPUTED_VALUE"""),45698.0)</f>
        <v>45698</v>
      </c>
      <c r="FR94" s="179">
        <f>IFERROR(__xludf.DUMMYFUNCTION("""COMPUTED_VALUE"""),0.0)</f>
        <v>0</v>
      </c>
      <c r="FS94" s="180">
        <f>IFERROR(__xludf.DUMMYFUNCTION("""COMPUTED_VALUE"""),45667.0)</f>
        <v>45667</v>
      </c>
      <c r="FT94" s="179">
        <f>IFERROR(__xludf.DUMMYFUNCTION("""COMPUTED_VALUE"""),0.0)</f>
        <v>0</v>
      </c>
      <c r="FU94" s="180">
        <f>IFERROR(__xludf.DUMMYFUNCTION("""COMPUTED_VALUE"""),45698.0)</f>
        <v>45698</v>
      </c>
      <c r="FV94" s="179">
        <f>IFERROR(__xludf.DUMMYFUNCTION("""COMPUTED_VALUE"""),0.0)</f>
        <v>0</v>
      </c>
      <c r="FW94" s="180">
        <f>IFERROR(__xludf.DUMMYFUNCTION("""COMPUTED_VALUE"""),45698.0)</f>
        <v>45698</v>
      </c>
      <c r="FX94" s="179">
        <f>IFERROR(__xludf.DUMMYFUNCTION("""COMPUTED_VALUE"""),0.0)</f>
        <v>0</v>
      </c>
      <c r="FY94" s="180">
        <f>IFERROR(__xludf.DUMMYFUNCTION("""COMPUTED_VALUE"""),45938.0)</f>
        <v>45938</v>
      </c>
      <c r="FZ94" s="179">
        <f>IFERROR(__xludf.DUMMYFUNCTION("""COMPUTED_VALUE"""),0.0)</f>
        <v>0</v>
      </c>
      <c r="GA94" s="182">
        <f>IFERROR(__xludf.DUMMYFUNCTION("""COMPUTED_VALUE"""),45725.0)</f>
        <v>45725</v>
      </c>
      <c r="GB94" s="179">
        <f>IFERROR(__xludf.DUMMYFUNCTION("""COMPUTED_VALUE"""),0.0)</f>
        <v>0</v>
      </c>
      <c r="GC94" s="180">
        <f>IFERROR(__xludf.DUMMYFUNCTION("""COMPUTED_VALUE"""),45697.0)</f>
        <v>45697</v>
      </c>
      <c r="GD94" s="179">
        <f>IFERROR(__xludf.DUMMYFUNCTION("""COMPUTED_VALUE"""),0.0)</f>
        <v>0</v>
      </c>
      <c r="GE94" s="180">
        <f>IFERROR(__xludf.DUMMYFUNCTION("""COMPUTED_VALUE"""),45697.0)</f>
        <v>45697</v>
      </c>
      <c r="GF94" s="179">
        <f>IFERROR(__xludf.DUMMYFUNCTION("""COMPUTED_VALUE"""),0.0)</f>
        <v>0</v>
      </c>
      <c r="GG94" s="180">
        <f>IFERROR(__xludf.DUMMYFUNCTION("""COMPUTED_VALUE"""),45697.0)</f>
        <v>45697</v>
      </c>
      <c r="GH94" s="179">
        <f>IFERROR(__xludf.DUMMYFUNCTION("""COMPUTED_VALUE"""),0.0)</f>
        <v>0</v>
      </c>
      <c r="GI94" s="180">
        <f>IFERROR(__xludf.DUMMYFUNCTION("""COMPUTED_VALUE"""),45725.0)</f>
        <v>45725</v>
      </c>
      <c r="GJ94" s="179">
        <f>IFERROR(__xludf.DUMMYFUNCTION("""COMPUTED_VALUE"""),0.0)</f>
        <v>0</v>
      </c>
      <c r="GK94" s="180">
        <f>IFERROR(__xludf.DUMMYFUNCTION("""COMPUTED_VALUE"""),45725.0)</f>
        <v>45725</v>
      </c>
      <c r="GL94" s="179">
        <f>IFERROR(__xludf.DUMMYFUNCTION("""COMPUTED_VALUE"""),0.0)</f>
        <v>0</v>
      </c>
      <c r="GM94" s="180">
        <f>IFERROR(__xludf.DUMMYFUNCTION("""COMPUTED_VALUE"""),45938.0)</f>
        <v>45938</v>
      </c>
      <c r="GN94" s="179">
        <f>IFERROR(__xludf.DUMMYFUNCTION("""COMPUTED_VALUE"""),0.0)</f>
        <v>0</v>
      </c>
      <c r="GO94" s="180">
        <f>IFERROR(__xludf.DUMMYFUNCTION("""COMPUTED_VALUE"""),45725.0)</f>
        <v>45725</v>
      </c>
      <c r="GP94" s="179">
        <f>IFERROR(__xludf.DUMMYFUNCTION("""COMPUTED_VALUE"""),0.0)</f>
        <v>0</v>
      </c>
      <c r="GQ94" s="180">
        <f>IFERROR(__xludf.DUMMYFUNCTION("""COMPUTED_VALUE"""),45725.0)</f>
        <v>45725</v>
      </c>
      <c r="GR94" s="179">
        <f>IFERROR(__xludf.DUMMYFUNCTION("""COMPUTED_VALUE"""),0.0)</f>
        <v>0</v>
      </c>
      <c r="GS94" s="180">
        <f>IFERROR(__xludf.DUMMYFUNCTION("""COMPUTED_VALUE"""),45666.0)</f>
        <v>45666</v>
      </c>
      <c r="GT94" s="179">
        <f>IFERROR(__xludf.DUMMYFUNCTION("""COMPUTED_VALUE"""),0.0)</f>
        <v>0</v>
      </c>
    </row>
    <row r="95" ht="31.5" customHeight="1">
      <c r="B95" s="183"/>
      <c r="C95" s="178">
        <f>IFERROR(__xludf.DUMMYFUNCTION("""COMPUTED_VALUE"""),45726.0)</f>
        <v>45726</v>
      </c>
      <c r="D95" s="179">
        <f>IFERROR(__xludf.DUMMYFUNCTION("""COMPUTED_VALUE"""),0.0)</f>
        <v>0</v>
      </c>
      <c r="E95" s="180">
        <f>IFERROR(__xludf.DUMMYFUNCTION("""COMPUTED_VALUE"""),45726.0)</f>
        <v>45726</v>
      </c>
      <c r="F95" s="179">
        <f>IFERROR(__xludf.DUMMYFUNCTION("""COMPUTED_VALUE"""),0.0)</f>
        <v>0</v>
      </c>
      <c r="G95" s="180">
        <f>IFERROR(__xludf.DUMMYFUNCTION("""COMPUTED_VALUE"""),45726.0)</f>
        <v>45726</v>
      </c>
      <c r="H95" s="179">
        <f>IFERROR(__xludf.DUMMYFUNCTION("""COMPUTED_VALUE"""),0.0)</f>
        <v>0</v>
      </c>
      <c r="I95" s="180">
        <f>IFERROR(__xludf.DUMMYFUNCTION("""COMPUTED_VALUE"""),45726.0)</f>
        <v>45726</v>
      </c>
      <c r="J95" s="179">
        <f>IFERROR(__xludf.DUMMYFUNCTION("""COMPUTED_VALUE"""),0.0)</f>
        <v>0</v>
      </c>
      <c r="K95" s="180">
        <f>IFERROR(__xludf.DUMMYFUNCTION("""COMPUTED_VALUE"""),45726.0)</f>
        <v>45726</v>
      </c>
      <c r="L95" s="179">
        <f>IFERROR(__xludf.DUMMYFUNCTION("""COMPUTED_VALUE"""),0.0)</f>
        <v>0</v>
      </c>
      <c r="M95" s="180">
        <f>IFERROR(__xludf.DUMMYFUNCTION("""COMPUTED_VALUE"""),45726.0)</f>
        <v>45726</v>
      </c>
      <c r="N95" s="179">
        <f>IFERROR(__xludf.DUMMYFUNCTION("""COMPUTED_VALUE"""),0.0)</f>
        <v>0</v>
      </c>
      <c r="O95" s="180">
        <f>IFERROR(__xludf.DUMMYFUNCTION("""COMPUTED_VALUE"""),45726.0)</f>
        <v>45726</v>
      </c>
      <c r="P95" s="179">
        <f>IFERROR(__xludf.DUMMYFUNCTION("""COMPUTED_VALUE"""),0.0)</f>
        <v>0</v>
      </c>
      <c r="Q95" s="180">
        <f>IFERROR(__xludf.DUMMYFUNCTION("""COMPUTED_VALUE"""),45726.0)</f>
        <v>45726</v>
      </c>
      <c r="R95" s="179">
        <f>IFERROR(__xludf.DUMMYFUNCTION("""COMPUTED_VALUE"""),0.0)</f>
        <v>0</v>
      </c>
      <c r="S95" s="180">
        <f>IFERROR(__xludf.DUMMYFUNCTION("""COMPUTED_VALUE"""),45726.0)</f>
        <v>45726</v>
      </c>
      <c r="T95" s="179">
        <f>IFERROR(__xludf.DUMMYFUNCTION("""COMPUTED_VALUE"""),0.0)</f>
        <v>0</v>
      </c>
      <c r="U95" s="180">
        <f>IFERROR(__xludf.DUMMYFUNCTION("""COMPUTED_VALUE"""),45726.0)</f>
        <v>45726</v>
      </c>
      <c r="V95" s="181">
        <f>IFERROR(__xludf.DUMMYFUNCTION("""COMPUTED_VALUE"""),0.0)</f>
        <v>0</v>
      </c>
      <c r="W95" s="178">
        <f>IFERROR(__xludf.DUMMYFUNCTION("""COMPUTED_VALUE"""),45726.0)</f>
        <v>45726</v>
      </c>
      <c r="X95" s="179">
        <f>IFERROR(__xludf.DUMMYFUNCTION("""COMPUTED_VALUE"""),0.0)</f>
        <v>0</v>
      </c>
      <c r="Y95" s="180">
        <f>IFERROR(__xludf.DUMMYFUNCTION("""COMPUTED_VALUE"""),45726.0)</f>
        <v>45726</v>
      </c>
      <c r="Z95" s="179">
        <f>IFERROR(__xludf.DUMMYFUNCTION("""COMPUTED_VALUE"""),0.0)</f>
        <v>0</v>
      </c>
      <c r="AA95" s="180">
        <f>IFERROR(__xludf.DUMMYFUNCTION("""COMPUTED_VALUE"""),45726.0)</f>
        <v>45726</v>
      </c>
      <c r="AB95" s="179">
        <f>IFERROR(__xludf.DUMMYFUNCTION("""COMPUTED_VALUE"""),0.0)</f>
        <v>0</v>
      </c>
      <c r="AC95" s="180">
        <f>IFERROR(__xludf.DUMMYFUNCTION("""COMPUTED_VALUE"""),45939.0)</f>
        <v>45939</v>
      </c>
      <c r="AD95" s="179">
        <f>IFERROR(__xludf.DUMMYFUNCTION("""COMPUTED_VALUE"""),0.0)</f>
        <v>0</v>
      </c>
      <c r="AE95" s="180">
        <f>IFERROR(__xludf.DUMMYFUNCTION("""COMPUTED_VALUE"""),45726.0)</f>
        <v>45726</v>
      </c>
      <c r="AF95" s="179">
        <f>IFERROR(__xludf.DUMMYFUNCTION("""COMPUTED_VALUE"""),0.0)</f>
        <v>0</v>
      </c>
      <c r="AG95" s="180">
        <f>IFERROR(__xludf.DUMMYFUNCTION("""COMPUTED_VALUE"""),45726.0)</f>
        <v>45726</v>
      </c>
      <c r="AH95" s="179">
        <f>IFERROR(__xludf.DUMMYFUNCTION("""COMPUTED_VALUE"""),0.0)</f>
        <v>0</v>
      </c>
      <c r="AI95" s="180">
        <f>IFERROR(__xludf.DUMMYFUNCTION("""COMPUTED_VALUE"""),45726.0)</f>
        <v>45726</v>
      </c>
      <c r="AJ95" s="179">
        <f>IFERROR(__xludf.DUMMYFUNCTION("""COMPUTED_VALUE"""),0.0)</f>
        <v>0</v>
      </c>
      <c r="AK95" s="180">
        <f>IFERROR(__xludf.DUMMYFUNCTION("""COMPUTED_VALUE"""),45726.0)</f>
        <v>45726</v>
      </c>
      <c r="AL95" s="179">
        <f>IFERROR(__xludf.DUMMYFUNCTION("""COMPUTED_VALUE"""),0.0)</f>
        <v>0</v>
      </c>
      <c r="AM95" s="180">
        <f>IFERROR(__xludf.DUMMYFUNCTION("""COMPUTED_VALUE"""),45726.0)</f>
        <v>45726</v>
      </c>
      <c r="AN95" s="179">
        <f>IFERROR(__xludf.DUMMYFUNCTION("""COMPUTED_VALUE"""),0.0)</f>
        <v>0</v>
      </c>
      <c r="AO95" s="180">
        <f>IFERROR(__xludf.DUMMYFUNCTION("""COMPUTED_VALUE"""),45726.0)</f>
        <v>45726</v>
      </c>
      <c r="AP95" s="181">
        <f>IFERROR(__xludf.DUMMYFUNCTION("""COMPUTED_VALUE"""),0.0)</f>
        <v>0</v>
      </c>
      <c r="AQ95" s="178">
        <f>IFERROR(__xludf.DUMMYFUNCTION("""COMPUTED_VALUE"""),45726.0)</f>
        <v>45726</v>
      </c>
      <c r="AR95" s="179">
        <f>IFERROR(__xludf.DUMMYFUNCTION("""COMPUTED_VALUE"""),0.0)</f>
        <v>0</v>
      </c>
      <c r="AS95" s="180">
        <f>IFERROR(__xludf.DUMMYFUNCTION("""COMPUTED_VALUE"""),45726.0)</f>
        <v>45726</v>
      </c>
      <c r="AT95" s="179">
        <f>IFERROR(__xludf.DUMMYFUNCTION("""COMPUTED_VALUE"""),0.0)</f>
        <v>0</v>
      </c>
      <c r="AU95" s="180">
        <f>IFERROR(__xludf.DUMMYFUNCTION("""COMPUTED_VALUE"""),45698.0)</f>
        <v>45698</v>
      </c>
      <c r="AV95" s="179">
        <f>IFERROR(__xludf.DUMMYFUNCTION("""COMPUTED_VALUE"""),0.0)</f>
        <v>0</v>
      </c>
      <c r="AW95" s="180">
        <f>IFERROR(__xludf.DUMMYFUNCTION("""COMPUTED_VALUE"""),45698.0)</f>
        <v>45698</v>
      </c>
      <c r="AX95" s="179">
        <f>IFERROR(__xludf.DUMMYFUNCTION("""COMPUTED_VALUE"""),0.0)</f>
        <v>0</v>
      </c>
      <c r="AY95" s="180">
        <f>IFERROR(__xludf.DUMMYFUNCTION("""COMPUTED_VALUE"""),45726.0)</f>
        <v>45726</v>
      </c>
      <c r="AZ95" s="179">
        <f>IFERROR(__xludf.DUMMYFUNCTION("""COMPUTED_VALUE"""),0.0)</f>
        <v>0</v>
      </c>
      <c r="BA95" s="180">
        <f>IFERROR(__xludf.DUMMYFUNCTION("""COMPUTED_VALUE"""),45726.0)</f>
        <v>45726</v>
      </c>
      <c r="BB95" s="179">
        <f>IFERROR(__xludf.DUMMYFUNCTION("""COMPUTED_VALUE"""),0.0)</f>
        <v>0</v>
      </c>
      <c r="BC95" s="180">
        <f>IFERROR(__xludf.DUMMYFUNCTION("""COMPUTED_VALUE"""),45698.0)</f>
        <v>45698</v>
      </c>
      <c r="BD95" s="179">
        <f>IFERROR(__xludf.DUMMYFUNCTION("""COMPUTED_VALUE"""),0.0)</f>
        <v>0</v>
      </c>
      <c r="BE95" s="180">
        <f>IFERROR(__xludf.DUMMYFUNCTION("""COMPUTED_VALUE"""),45726.0)</f>
        <v>45726</v>
      </c>
      <c r="BF95" s="179">
        <f>IFERROR(__xludf.DUMMYFUNCTION("""COMPUTED_VALUE"""),0.0)</f>
        <v>0</v>
      </c>
      <c r="BG95" s="180">
        <f>IFERROR(__xludf.DUMMYFUNCTION("""COMPUTED_VALUE"""),45698.0)</f>
        <v>45698</v>
      </c>
      <c r="BH95" s="179">
        <f>IFERROR(__xludf.DUMMYFUNCTION("""COMPUTED_VALUE"""),0.0)</f>
        <v>0</v>
      </c>
      <c r="BI95" s="180">
        <f>IFERROR(__xludf.DUMMYFUNCTION("""COMPUTED_VALUE"""),45726.0)</f>
        <v>45726</v>
      </c>
      <c r="BJ95" s="179">
        <f>IFERROR(__xludf.DUMMYFUNCTION("""COMPUTED_VALUE"""),0.0)</f>
        <v>0</v>
      </c>
      <c r="BK95" s="182">
        <f>IFERROR(__xludf.DUMMYFUNCTION("""COMPUTED_VALUE"""),45726.0)</f>
        <v>45726</v>
      </c>
      <c r="BL95" s="179">
        <f>IFERROR(__xludf.DUMMYFUNCTION("""COMPUTED_VALUE"""),0.0)</f>
        <v>0</v>
      </c>
      <c r="BM95" s="180">
        <f>IFERROR(__xludf.DUMMYFUNCTION("""COMPUTED_VALUE"""),45726.0)</f>
        <v>45726</v>
      </c>
      <c r="BN95" s="179">
        <f>IFERROR(__xludf.DUMMYFUNCTION("""COMPUTED_VALUE"""),0.0)</f>
        <v>0</v>
      </c>
      <c r="BO95" s="180">
        <f>IFERROR(__xludf.DUMMYFUNCTION("""COMPUTED_VALUE"""),45698.0)</f>
        <v>45698</v>
      </c>
      <c r="BP95" s="179">
        <f>IFERROR(__xludf.DUMMYFUNCTION("""COMPUTED_VALUE"""),0.0)</f>
        <v>0</v>
      </c>
      <c r="BQ95" s="180">
        <f>IFERROR(__xludf.DUMMYFUNCTION("""COMPUTED_VALUE"""),45698.0)</f>
        <v>45698</v>
      </c>
      <c r="BR95" s="179">
        <f>IFERROR(__xludf.DUMMYFUNCTION("""COMPUTED_VALUE"""),0.0)</f>
        <v>0</v>
      </c>
      <c r="BS95" s="180">
        <f>IFERROR(__xludf.DUMMYFUNCTION("""COMPUTED_VALUE"""),45726.0)</f>
        <v>45726</v>
      </c>
      <c r="BT95" s="179">
        <f>IFERROR(__xludf.DUMMYFUNCTION("""COMPUTED_VALUE"""),0.0)</f>
        <v>0</v>
      </c>
      <c r="BU95" s="180">
        <f>IFERROR(__xludf.DUMMYFUNCTION("""COMPUTED_VALUE"""),45726.0)</f>
        <v>45726</v>
      </c>
      <c r="BV95" s="179">
        <f>IFERROR(__xludf.DUMMYFUNCTION("""COMPUTED_VALUE"""),0.0)</f>
        <v>0</v>
      </c>
      <c r="BW95" s="180">
        <f>IFERROR(__xludf.DUMMYFUNCTION("""COMPUTED_VALUE"""),45726.0)</f>
        <v>45726</v>
      </c>
      <c r="BX95" s="179">
        <f>IFERROR(__xludf.DUMMYFUNCTION("""COMPUTED_VALUE"""),0.0)</f>
        <v>0</v>
      </c>
      <c r="BY95" s="180">
        <f>IFERROR(__xludf.DUMMYFUNCTION("""COMPUTED_VALUE"""),45698.0)</f>
        <v>45698</v>
      </c>
      <c r="BZ95" s="179">
        <f>IFERROR(__xludf.DUMMYFUNCTION("""COMPUTED_VALUE"""),0.0)</f>
        <v>0</v>
      </c>
      <c r="CA95" s="180">
        <f>IFERROR(__xludf.DUMMYFUNCTION("""COMPUTED_VALUE"""),45726.0)</f>
        <v>45726</v>
      </c>
      <c r="CB95" s="179">
        <f>IFERROR(__xludf.DUMMYFUNCTION("""COMPUTED_VALUE"""),0.0)</f>
        <v>0</v>
      </c>
      <c r="CC95" s="180">
        <f>IFERROR(__xludf.DUMMYFUNCTION("""COMPUTED_VALUE"""),45726.0)</f>
        <v>45726</v>
      </c>
      <c r="CD95" s="179">
        <f>IFERROR(__xludf.DUMMYFUNCTION("""COMPUTED_VALUE"""),0.0)</f>
        <v>0</v>
      </c>
      <c r="CE95" s="182">
        <f>IFERROR(__xludf.DUMMYFUNCTION("""COMPUTED_VALUE"""),45726.0)</f>
        <v>45726</v>
      </c>
      <c r="CF95" s="179">
        <f>IFERROR(__xludf.DUMMYFUNCTION("""COMPUTED_VALUE"""),0.0)</f>
        <v>0</v>
      </c>
      <c r="CG95" s="180">
        <f>IFERROR(__xludf.DUMMYFUNCTION("""COMPUTED_VALUE"""),45698.0)</f>
        <v>45698</v>
      </c>
      <c r="CH95" s="179">
        <f>IFERROR(__xludf.DUMMYFUNCTION("""COMPUTED_VALUE"""),0.0)</f>
        <v>0</v>
      </c>
      <c r="CI95" s="180">
        <f>IFERROR(__xludf.DUMMYFUNCTION("""COMPUTED_VALUE"""),45698.0)</f>
        <v>45698</v>
      </c>
      <c r="CJ95" s="179">
        <f>IFERROR(__xludf.DUMMYFUNCTION("""COMPUTED_VALUE"""),0.0)</f>
        <v>0</v>
      </c>
      <c r="CK95" s="180">
        <f>IFERROR(__xludf.DUMMYFUNCTION("""COMPUTED_VALUE"""),45939.0)</f>
        <v>45939</v>
      </c>
      <c r="CL95" s="179">
        <f>IFERROR(__xludf.DUMMYFUNCTION("""COMPUTED_VALUE"""),0.0)</f>
        <v>0</v>
      </c>
      <c r="CM95" s="180">
        <f>IFERROR(__xludf.DUMMYFUNCTION("""COMPUTED_VALUE"""),45726.0)</f>
        <v>45726</v>
      </c>
      <c r="CN95" s="179">
        <f>IFERROR(__xludf.DUMMYFUNCTION("""COMPUTED_VALUE"""),0.0)</f>
        <v>0</v>
      </c>
      <c r="CO95" s="180">
        <f>IFERROR(__xludf.DUMMYFUNCTION("""COMPUTED_VALUE"""),45726.0)</f>
        <v>45726</v>
      </c>
      <c r="CP95" s="179">
        <f>IFERROR(__xludf.DUMMYFUNCTION("""COMPUTED_VALUE"""),0.0)</f>
        <v>0</v>
      </c>
      <c r="CQ95" s="180">
        <f>IFERROR(__xludf.DUMMYFUNCTION("""COMPUTED_VALUE"""),45939.0)</f>
        <v>45939</v>
      </c>
      <c r="CR95" s="179">
        <f>IFERROR(__xludf.DUMMYFUNCTION("""COMPUTED_VALUE"""),0.0)</f>
        <v>0</v>
      </c>
      <c r="CS95" s="180">
        <f>IFERROR(__xludf.DUMMYFUNCTION("""COMPUTED_VALUE"""),45726.0)</f>
        <v>45726</v>
      </c>
      <c r="CT95" s="179">
        <f>IFERROR(__xludf.DUMMYFUNCTION("""COMPUTED_VALUE"""),0.0)</f>
        <v>0</v>
      </c>
      <c r="CU95" s="180">
        <f>IFERROR(__xludf.DUMMYFUNCTION("""COMPUTED_VALUE"""),45726.0)</f>
        <v>45726</v>
      </c>
      <c r="CV95" s="179">
        <f>IFERROR(__xludf.DUMMYFUNCTION("""COMPUTED_VALUE"""),0.0)</f>
        <v>0</v>
      </c>
      <c r="CW95" s="180">
        <f>IFERROR(__xludf.DUMMYFUNCTION("""COMPUTED_VALUE"""),45909.0)</f>
        <v>45909</v>
      </c>
      <c r="CX95" s="179">
        <f>IFERROR(__xludf.DUMMYFUNCTION("""COMPUTED_VALUE"""),0.0)</f>
        <v>0</v>
      </c>
      <c r="CY95" s="182">
        <f>IFERROR(__xludf.DUMMYFUNCTION("""COMPUTED_VALUE"""),45726.0)</f>
        <v>45726</v>
      </c>
      <c r="CZ95" s="179">
        <f>IFERROR(__xludf.DUMMYFUNCTION("""COMPUTED_VALUE"""),0.0)</f>
        <v>0</v>
      </c>
      <c r="DA95" s="180">
        <f>IFERROR(__xludf.DUMMYFUNCTION("""COMPUTED_VALUE"""),45726.0)</f>
        <v>45726</v>
      </c>
      <c r="DB95" s="179">
        <f>IFERROR(__xludf.DUMMYFUNCTION("""COMPUTED_VALUE"""),0.0)</f>
        <v>0</v>
      </c>
      <c r="DC95" s="180">
        <f>IFERROR(__xludf.DUMMYFUNCTION("""COMPUTED_VALUE"""),45726.0)</f>
        <v>45726</v>
      </c>
      <c r="DD95" s="179">
        <f>IFERROR(__xludf.DUMMYFUNCTION("""COMPUTED_VALUE"""),0.0)</f>
        <v>0</v>
      </c>
      <c r="DE95" s="180">
        <f>IFERROR(__xludf.DUMMYFUNCTION("""COMPUTED_VALUE"""),45726.0)</f>
        <v>45726</v>
      </c>
      <c r="DF95" s="179">
        <f>IFERROR(__xludf.DUMMYFUNCTION("""COMPUTED_VALUE"""),0.0)</f>
        <v>0</v>
      </c>
      <c r="DG95" s="180">
        <f>IFERROR(__xludf.DUMMYFUNCTION("""COMPUTED_VALUE"""),45726.0)</f>
        <v>45726</v>
      </c>
      <c r="DH95" s="179">
        <f>IFERROR(__xludf.DUMMYFUNCTION("""COMPUTED_VALUE"""),0.0)</f>
        <v>0</v>
      </c>
      <c r="DI95" s="180">
        <f>IFERROR(__xludf.DUMMYFUNCTION("""COMPUTED_VALUE"""),45726.0)</f>
        <v>45726</v>
      </c>
      <c r="DJ95" s="179">
        <f>IFERROR(__xludf.DUMMYFUNCTION("""COMPUTED_VALUE"""),0.0)</f>
        <v>0</v>
      </c>
      <c r="DK95" s="180">
        <f>IFERROR(__xludf.DUMMYFUNCTION("""COMPUTED_VALUE"""),45726.0)</f>
        <v>45726</v>
      </c>
      <c r="DL95" s="179">
        <f>IFERROR(__xludf.DUMMYFUNCTION("""COMPUTED_VALUE"""),0.0)</f>
        <v>0</v>
      </c>
      <c r="DM95" s="180">
        <f>IFERROR(__xludf.DUMMYFUNCTION("""COMPUTED_VALUE"""),45726.0)</f>
        <v>45726</v>
      </c>
      <c r="DN95" s="179">
        <f>IFERROR(__xludf.DUMMYFUNCTION("""COMPUTED_VALUE"""),0.0)</f>
        <v>0</v>
      </c>
      <c r="DO95" s="180">
        <f>IFERROR(__xludf.DUMMYFUNCTION("""COMPUTED_VALUE"""),45726.0)</f>
        <v>45726</v>
      </c>
      <c r="DP95" s="179">
        <f>IFERROR(__xludf.DUMMYFUNCTION("""COMPUTED_VALUE"""),0.0)</f>
        <v>0</v>
      </c>
      <c r="DQ95" s="180">
        <f>IFERROR(__xludf.DUMMYFUNCTION("""COMPUTED_VALUE"""),45726.0)</f>
        <v>45726</v>
      </c>
      <c r="DR95" s="179">
        <f>IFERROR(__xludf.DUMMYFUNCTION("""COMPUTED_VALUE"""),0.0)</f>
        <v>0</v>
      </c>
      <c r="DS95" s="182">
        <f>IFERROR(__xludf.DUMMYFUNCTION("""COMPUTED_VALUE"""),45726.0)</f>
        <v>45726</v>
      </c>
      <c r="DT95" s="179">
        <f>IFERROR(__xludf.DUMMYFUNCTION("""COMPUTED_VALUE"""),0.0)</f>
        <v>0</v>
      </c>
      <c r="DU95" s="180">
        <f>IFERROR(__xludf.DUMMYFUNCTION("""COMPUTED_VALUE"""),45726.0)</f>
        <v>45726</v>
      </c>
      <c r="DV95" s="179">
        <f>IFERROR(__xludf.DUMMYFUNCTION("""COMPUTED_VALUE"""),0.0)</f>
        <v>0</v>
      </c>
      <c r="DW95" s="180">
        <f>IFERROR(__xludf.DUMMYFUNCTION("""COMPUTED_VALUE"""),45726.0)</f>
        <v>45726</v>
      </c>
      <c r="DX95" s="179">
        <f>IFERROR(__xludf.DUMMYFUNCTION("""COMPUTED_VALUE"""),0.0)</f>
        <v>0</v>
      </c>
      <c r="DY95" s="180">
        <f>IFERROR(__xludf.DUMMYFUNCTION("""COMPUTED_VALUE"""),45726.0)</f>
        <v>45726</v>
      </c>
      <c r="DZ95" s="179">
        <f>IFERROR(__xludf.DUMMYFUNCTION("""COMPUTED_VALUE"""),0.0)</f>
        <v>0</v>
      </c>
      <c r="EA95" s="180">
        <f>IFERROR(__xludf.DUMMYFUNCTION("""COMPUTED_VALUE"""),45726.0)</f>
        <v>45726</v>
      </c>
      <c r="EB95" s="179">
        <f>IFERROR(__xludf.DUMMYFUNCTION("""COMPUTED_VALUE"""),0.0)</f>
        <v>0</v>
      </c>
      <c r="EC95" s="180">
        <f>IFERROR(__xludf.DUMMYFUNCTION("""COMPUTED_VALUE"""),45726.0)</f>
        <v>45726</v>
      </c>
      <c r="ED95" s="179">
        <f>IFERROR(__xludf.DUMMYFUNCTION("""COMPUTED_VALUE"""),0.0)</f>
        <v>0</v>
      </c>
      <c r="EE95" s="180">
        <f>IFERROR(__xludf.DUMMYFUNCTION("""COMPUTED_VALUE"""),45726.0)</f>
        <v>45726</v>
      </c>
      <c r="EF95" s="179">
        <f>IFERROR(__xludf.DUMMYFUNCTION("""COMPUTED_VALUE"""),0.0)</f>
        <v>0</v>
      </c>
      <c r="EG95" s="180">
        <f>IFERROR(__xludf.DUMMYFUNCTION("""COMPUTED_VALUE"""),45726.0)</f>
        <v>45726</v>
      </c>
      <c r="EH95" s="179">
        <f>IFERROR(__xludf.DUMMYFUNCTION("""COMPUTED_VALUE"""),0.0)</f>
        <v>0</v>
      </c>
      <c r="EI95" s="180">
        <f>IFERROR(__xludf.DUMMYFUNCTION("""COMPUTED_VALUE"""),45726.0)</f>
        <v>45726</v>
      </c>
      <c r="EJ95" s="179">
        <f>IFERROR(__xludf.DUMMYFUNCTION("""COMPUTED_VALUE"""),0.0)</f>
        <v>0</v>
      </c>
      <c r="EK95" s="180">
        <f>IFERROR(__xludf.DUMMYFUNCTION("""COMPUTED_VALUE"""),45726.0)</f>
        <v>45726</v>
      </c>
      <c r="EL95" s="179">
        <f>IFERROR(__xludf.DUMMYFUNCTION("""COMPUTED_VALUE"""),0.0)</f>
        <v>0</v>
      </c>
      <c r="EM95" s="182">
        <f>IFERROR(__xludf.DUMMYFUNCTION("""COMPUTED_VALUE"""),45726.0)</f>
        <v>45726</v>
      </c>
      <c r="EN95" s="179">
        <f>IFERROR(__xludf.DUMMYFUNCTION("""COMPUTED_VALUE"""),0.0)</f>
        <v>0</v>
      </c>
      <c r="EO95" s="180">
        <f>IFERROR(__xludf.DUMMYFUNCTION("""COMPUTED_VALUE"""),45726.0)</f>
        <v>45726</v>
      </c>
      <c r="EP95" s="179">
        <f>IFERROR(__xludf.DUMMYFUNCTION("""COMPUTED_VALUE"""),0.0)</f>
        <v>0</v>
      </c>
      <c r="EQ95" s="180">
        <f>IFERROR(__xludf.DUMMYFUNCTION("""COMPUTED_VALUE"""),45726.0)</f>
        <v>45726</v>
      </c>
      <c r="ER95" s="179">
        <f>IFERROR(__xludf.DUMMYFUNCTION("""COMPUTED_VALUE"""),0.0)</f>
        <v>0</v>
      </c>
      <c r="ES95" s="180">
        <f>IFERROR(__xludf.DUMMYFUNCTION("""COMPUTED_VALUE"""),45726.0)</f>
        <v>45726</v>
      </c>
      <c r="ET95" s="179">
        <f>IFERROR(__xludf.DUMMYFUNCTION("""COMPUTED_VALUE"""),0.0)</f>
        <v>0</v>
      </c>
      <c r="EU95" s="180">
        <f>IFERROR(__xludf.DUMMYFUNCTION("""COMPUTED_VALUE"""),45726.0)</f>
        <v>45726</v>
      </c>
      <c r="EV95" s="179">
        <f>IFERROR(__xludf.DUMMYFUNCTION("""COMPUTED_VALUE"""),0.0)</f>
        <v>0</v>
      </c>
      <c r="EW95" s="180">
        <f>IFERROR(__xludf.DUMMYFUNCTION("""COMPUTED_VALUE"""),45726.0)</f>
        <v>45726</v>
      </c>
      <c r="EX95" s="179">
        <f>IFERROR(__xludf.DUMMYFUNCTION("""COMPUTED_VALUE"""),0.0)</f>
        <v>0</v>
      </c>
      <c r="EY95" s="180">
        <f>IFERROR(__xludf.DUMMYFUNCTION("""COMPUTED_VALUE"""),45726.0)</f>
        <v>45726</v>
      </c>
      <c r="EZ95" s="179">
        <f>IFERROR(__xludf.DUMMYFUNCTION("""COMPUTED_VALUE"""),0.0)</f>
        <v>0</v>
      </c>
      <c r="FA95" s="180">
        <f>IFERROR(__xludf.DUMMYFUNCTION("""COMPUTED_VALUE"""),45726.0)</f>
        <v>45726</v>
      </c>
      <c r="FB95" s="179">
        <f>IFERROR(__xludf.DUMMYFUNCTION("""COMPUTED_VALUE"""),0.0)</f>
        <v>0</v>
      </c>
      <c r="FC95" s="180">
        <f>IFERROR(__xludf.DUMMYFUNCTION("""COMPUTED_VALUE"""),45726.0)</f>
        <v>45726</v>
      </c>
      <c r="FD95" s="179">
        <f>IFERROR(__xludf.DUMMYFUNCTION("""COMPUTED_VALUE"""),0.0)</f>
        <v>0</v>
      </c>
      <c r="FE95" s="180">
        <f>IFERROR(__xludf.DUMMYFUNCTION("""COMPUTED_VALUE"""),45726.0)</f>
        <v>45726</v>
      </c>
      <c r="FF95" s="179">
        <f>IFERROR(__xludf.DUMMYFUNCTION("""COMPUTED_VALUE"""),0.0)</f>
        <v>0</v>
      </c>
      <c r="FG95" s="182">
        <f>IFERROR(__xludf.DUMMYFUNCTION("""COMPUTED_VALUE"""),45726.0)</f>
        <v>45726</v>
      </c>
      <c r="FH95" s="179">
        <f>IFERROR(__xludf.DUMMYFUNCTION("""COMPUTED_VALUE"""),0.0)</f>
        <v>0</v>
      </c>
      <c r="FI95" s="180">
        <f>IFERROR(__xludf.DUMMYFUNCTION("""COMPUTED_VALUE"""),45698.0)</f>
        <v>45698</v>
      </c>
      <c r="FJ95" s="179">
        <f>IFERROR(__xludf.DUMMYFUNCTION("""COMPUTED_VALUE"""),0.0)</f>
        <v>0</v>
      </c>
      <c r="FK95" s="180">
        <f>IFERROR(__xludf.DUMMYFUNCTION("""COMPUTED_VALUE"""),45725.0)</f>
        <v>45725</v>
      </c>
      <c r="FL95" s="179">
        <f>IFERROR(__xludf.DUMMYFUNCTION("""COMPUTED_VALUE"""),0.0)</f>
        <v>0</v>
      </c>
      <c r="FM95" s="180">
        <f>IFERROR(__xludf.DUMMYFUNCTION("""COMPUTED_VALUE"""),45726.0)</f>
        <v>45726</v>
      </c>
      <c r="FN95" s="179">
        <f>IFERROR(__xludf.DUMMYFUNCTION("""COMPUTED_VALUE"""),0.0)</f>
        <v>0</v>
      </c>
      <c r="FO95" s="180">
        <f>IFERROR(__xludf.DUMMYFUNCTION("""COMPUTED_VALUE"""),45726.0)</f>
        <v>45726</v>
      </c>
      <c r="FP95" s="179">
        <f>IFERROR(__xludf.DUMMYFUNCTION("""COMPUTED_VALUE"""),0.0)</f>
        <v>0</v>
      </c>
      <c r="FQ95" s="180">
        <f>IFERROR(__xludf.DUMMYFUNCTION("""COMPUTED_VALUE"""),45726.0)</f>
        <v>45726</v>
      </c>
      <c r="FR95" s="179">
        <f>IFERROR(__xludf.DUMMYFUNCTION("""COMPUTED_VALUE"""),0.0)</f>
        <v>0</v>
      </c>
      <c r="FS95" s="180">
        <f>IFERROR(__xludf.DUMMYFUNCTION("""COMPUTED_VALUE"""),45698.0)</f>
        <v>45698</v>
      </c>
      <c r="FT95" s="179">
        <f>IFERROR(__xludf.DUMMYFUNCTION("""COMPUTED_VALUE"""),0.0)</f>
        <v>0</v>
      </c>
      <c r="FU95" s="180">
        <f>IFERROR(__xludf.DUMMYFUNCTION("""COMPUTED_VALUE"""),45726.0)</f>
        <v>45726</v>
      </c>
      <c r="FV95" s="179">
        <f>IFERROR(__xludf.DUMMYFUNCTION("""COMPUTED_VALUE"""),0.0)</f>
        <v>0</v>
      </c>
      <c r="FW95" s="180">
        <f>IFERROR(__xludf.DUMMYFUNCTION("""COMPUTED_VALUE"""),45726.0)</f>
        <v>45726</v>
      </c>
      <c r="FX95" s="179">
        <f>IFERROR(__xludf.DUMMYFUNCTION("""COMPUTED_VALUE"""),0.0)</f>
        <v>0</v>
      </c>
      <c r="FY95" s="180">
        <f>IFERROR(__xludf.DUMMYFUNCTION("""COMPUTED_VALUE"""),45939.0)</f>
        <v>45939</v>
      </c>
      <c r="FZ95" s="179">
        <f>IFERROR(__xludf.DUMMYFUNCTION("""COMPUTED_VALUE"""),0.0)</f>
        <v>0</v>
      </c>
      <c r="GA95" s="182">
        <f>IFERROR(__xludf.DUMMYFUNCTION("""COMPUTED_VALUE"""),45756.0)</f>
        <v>45756</v>
      </c>
      <c r="GB95" s="179">
        <f>IFERROR(__xludf.DUMMYFUNCTION("""COMPUTED_VALUE"""),0.0)</f>
        <v>0</v>
      </c>
      <c r="GC95" s="180">
        <f>IFERROR(__xludf.DUMMYFUNCTION("""COMPUTED_VALUE"""),45756.0)</f>
        <v>45756</v>
      </c>
      <c r="GD95" s="179">
        <f>IFERROR(__xludf.DUMMYFUNCTION("""COMPUTED_VALUE"""),0.0)</f>
        <v>0</v>
      </c>
      <c r="GE95" s="180">
        <f>IFERROR(__xludf.DUMMYFUNCTION("""COMPUTED_VALUE"""),45756.0)</f>
        <v>45756</v>
      </c>
      <c r="GF95" s="179">
        <f>IFERROR(__xludf.DUMMYFUNCTION("""COMPUTED_VALUE"""),0.0)</f>
        <v>0</v>
      </c>
      <c r="GG95" s="180">
        <f>IFERROR(__xludf.DUMMYFUNCTION("""COMPUTED_VALUE"""),45725.0)</f>
        <v>45725</v>
      </c>
      <c r="GH95" s="179">
        <f>IFERROR(__xludf.DUMMYFUNCTION("""COMPUTED_VALUE"""),0.0)</f>
        <v>0</v>
      </c>
      <c r="GI95" s="180">
        <f>IFERROR(__xludf.DUMMYFUNCTION("""COMPUTED_VALUE"""),45756.0)</f>
        <v>45756</v>
      </c>
      <c r="GJ95" s="179">
        <f>IFERROR(__xludf.DUMMYFUNCTION("""COMPUTED_VALUE"""),0.0)</f>
        <v>0</v>
      </c>
      <c r="GK95" s="180">
        <f>IFERROR(__xludf.DUMMYFUNCTION("""COMPUTED_VALUE"""),45756.0)</f>
        <v>45756</v>
      </c>
      <c r="GL95" s="179">
        <f>IFERROR(__xludf.DUMMYFUNCTION("""COMPUTED_VALUE"""),0.0)</f>
        <v>0</v>
      </c>
      <c r="GM95" s="180">
        <f>IFERROR(__xludf.DUMMYFUNCTION("""COMPUTED_VALUE"""),45666.0)</f>
        <v>45666</v>
      </c>
      <c r="GN95" s="179">
        <f>IFERROR(__xludf.DUMMYFUNCTION("""COMPUTED_VALUE"""),0.0)</f>
        <v>0</v>
      </c>
      <c r="GO95" s="180">
        <f>IFERROR(__xludf.DUMMYFUNCTION("""COMPUTED_VALUE"""),45756.0)</f>
        <v>45756</v>
      </c>
      <c r="GP95" s="179">
        <f>IFERROR(__xludf.DUMMYFUNCTION("""COMPUTED_VALUE"""),0.0)</f>
        <v>0</v>
      </c>
      <c r="GQ95" s="180">
        <f>IFERROR(__xludf.DUMMYFUNCTION("""COMPUTED_VALUE"""),45756.0)</f>
        <v>45756</v>
      </c>
      <c r="GR95" s="179">
        <f>IFERROR(__xludf.DUMMYFUNCTION("""COMPUTED_VALUE"""),0.0)</f>
        <v>0</v>
      </c>
      <c r="GS95" s="180">
        <f>IFERROR(__xludf.DUMMYFUNCTION("""COMPUTED_VALUE"""),45697.0)</f>
        <v>45697</v>
      </c>
      <c r="GT95" s="179">
        <f>IFERROR(__xludf.DUMMYFUNCTION("""COMPUTED_VALUE"""),0.0)</f>
        <v>0</v>
      </c>
    </row>
    <row r="96" ht="31.5" customHeight="1">
      <c r="B96" s="183"/>
      <c r="C96" s="178">
        <f>IFERROR(__xludf.DUMMYFUNCTION("""COMPUTED_VALUE"""),45757.0)</f>
        <v>45757</v>
      </c>
      <c r="D96" s="179">
        <f>IFERROR(__xludf.DUMMYFUNCTION("""COMPUTED_VALUE"""),0.0)</f>
        <v>0</v>
      </c>
      <c r="E96" s="180">
        <f>IFERROR(__xludf.DUMMYFUNCTION("""COMPUTED_VALUE"""),45757.0)</f>
        <v>45757</v>
      </c>
      <c r="F96" s="179">
        <f>IFERROR(__xludf.DUMMYFUNCTION("""COMPUTED_VALUE"""),0.0)</f>
        <v>0</v>
      </c>
      <c r="G96" s="180">
        <f>IFERROR(__xludf.DUMMYFUNCTION("""COMPUTED_VALUE"""),45757.0)</f>
        <v>45757</v>
      </c>
      <c r="H96" s="179">
        <f>IFERROR(__xludf.DUMMYFUNCTION("""COMPUTED_VALUE"""),0.0)</f>
        <v>0</v>
      </c>
      <c r="I96" s="180">
        <f>IFERROR(__xludf.DUMMYFUNCTION("""COMPUTED_VALUE"""),45757.0)</f>
        <v>45757</v>
      </c>
      <c r="J96" s="179">
        <f>IFERROR(__xludf.DUMMYFUNCTION("""COMPUTED_VALUE"""),0.0)</f>
        <v>0</v>
      </c>
      <c r="K96" s="180">
        <f>IFERROR(__xludf.DUMMYFUNCTION("""COMPUTED_VALUE"""),45757.0)</f>
        <v>45757</v>
      </c>
      <c r="L96" s="179">
        <f>IFERROR(__xludf.DUMMYFUNCTION("""COMPUTED_VALUE"""),0.0)</f>
        <v>0</v>
      </c>
      <c r="M96" s="180">
        <f>IFERROR(__xludf.DUMMYFUNCTION("""COMPUTED_VALUE"""),45757.0)</f>
        <v>45757</v>
      </c>
      <c r="N96" s="179">
        <f>IFERROR(__xludf.DUMMYFUNCTION("""COMPUTED_VALUE"""),0.0)</f>
        <v>0</v>
      </c>
      <c r="O96" s="180">
        <f>IFERROR(__xludf.DUMMYFUNCTION("""COMPUTED_VALUE"""),45757.0)</f>
        <v>45757</v>
      </c>
      <c r="P96" s="179">
        <f>IFERROR(__xludf.DUMMYFUNCTION("""COMPUTED_VALUE"""),0.0)</f>
        <v>0</v>
      </c>
      <c r="Q96" s="180">
        <f>IFERROR(__xludf.DUMMYFUNCTION("""COMPUTED_VALUE"""),45757.0)</f>
        <v>45757</v>
      </c>
      <c r="R96" s="179">
        <f>IFERROR(__xludf.DUMMYFUNCTION("""COMPUTED_VALUE"""),0.0)</f>
        <v>0</v>
      </c>
      <c r="S96" s="180">
        <f>IFERROR(__xludf.DUMMYFUNCTION("""COMPUTED_VALUE"""),45757.0)</f>
        <v>45757</v>
      </c>
      <c r="T96" s="179">
        <f>IFERROR(__xludf.DUMMYFUNCTION("""COMPUTED_VALUE"""),0.0)</f>
        <v>0</v>
      </c>
      <c r="U96" s="180">
        <f>IFERROR(__xludf.DUMMYFUNCTION("""COMPUTED_VALUE"""),45757.0)</f>
        <v>45757</v>
      </c>
      <c r="V96" s="181">
        <f>IFERROR(__xludf.DUMMYFUNCTION("""COMPUTED_VALUE"""),0.0)</f>
        <v>0</v>
      </c>
      <c r="W96" s="178">
        <f>IFERROR(__xludf.DUMMYFUNCTION("""COMPUTED_VALUE"""),45757.0)</f>
        <v>45757</v>
      </c>
      <c r="X96" s="179">
        <f>IFERROR(__xludf.DUMMYFUNCTION("""COMPUTED_VALUE"""),0.0)</f>
        <v>0</v>
      </c>
      <c r="Y96" s="180">
        <f>IFERROR(__xludf.DUMMYFUNCTION("""COMPUTED_VALUE"""),45757.0)</f>
        <v>45757</v>
      </c>
      <c r="Z96" s="179">
        <f>IFERROR(__xludf.DUMMYFUNCTION("""COMPUTED_VALUE"""),0.0)</f>
        <v>0</v>
      </c>
      <c r="AA96" s="180">
        <f>IFERROR(__xludf.DUMMYFUNCTION("""COMPUTED_VALUE"""),45757.0)</f>
        <v>45757</v>
      </c>
      <c r="AB96" s="179">
        <f>IFERROR(__xludf.DUMMYFUNCTION("""COMPUTED_VALUE"""),0.0)</f>
        <v>0</v>
      </c>
      <c r="AC96" s="180">
        <f>IFERROR(__xludf.DUMMYFUNCTION("""COMPUTED_VALUE"""),45667.0)</f>
        <v>45667</v>
      </c>
      <c r="AD96" s="179">
        <f>IFERROR(__xludf.DUMMYFUNCTION("""COMPUTED_VALUE"""),0.0)</f>
        <v>0</v>
      </c>
      <c r="AE96" s="180">
        <f>IFERROR(__xludf.DUMMYFUNCTION("""COMPUTED_VALUE"""),45757.0)</f>
        <v>45757</v>
      </c>
      <c r="AF96" s="179">
        <f>IFERROR(__xludf.DUMMYFUNCTION("""COMPUTED_VALUE"""),0.0)</f>
        <v>0</v>
      </c>
      <c r="AG96" s="180">
        <f>IFERROR(__xludf.DUMMYFUNCTION("""COMPUTED_VALUE"""),45757.0)</f>
        <v>45757</v>
      </c>
      <c r="AH96" s="179">
        <f>IFERROR(__xludf.DUMMYFUNCTION("""COMPUTED_VALUE"""),0.0)</f>
        <v>0</v>
      </c>
      <c r="AI96" s="180">
        <f>IFERROR(__xludf.DUMMYFUNCTION("""COMPUTED_VALUE"""),45757.0)</f>
        <v>45757</v>
      </c>
      <c r="AJ96" s="179">
        <f>IFERROR(__xludf.DUMMYFUNCTION("""COMPUTED_VALUE"""),0.0)</f>
        <v>0</v>
      </c>
      <c r="AK96" s="180">
        <f>IFERROR(__xludf.DUMMYFUNCTION("""COMPUTED_VALUE"""),45757.0)</f>
        <v>45757</v>
      </c>
      <c r="AL96" s="179">
        <f>IFERROR(__xludf.DUMMYFUNCTION("""COMPUTED_VALUE"""),0.0)</f>
        <v>0</v>
      </c>
      <c r="AM96" s="180">
        <f>IFERROR(__xludf.DUMMYFUNCTION("""COMPUTED_VALUE"""),45757.0)</f>
        <v>45757</v>
      </c>
      <c r="AN96" s="179">
        <f>IFERROR(__xludf.DUMMYFUNCTION("""COMPUTED_VALUE"""),0.0)</f>
        <v>0</v>
      </c>
      <c r="AO96" s="180">
        <f>IFERROR(__xludf.DUMMYFUNCTION("""COMPUTED_VALUE"""),45757.0)</f>
        <v>45757</v>
      </c>
      <c r="AP96" s="181">
        <f>IFERROR(__xludf.DUMMYFUNCTION("""COMPUTED_VALUE"""),0.0)</f>
        <v>0</v>
      </c>
      <c r="AQ96" s="178">
        <f>IFERROR(__xludf.DUMMYFUNCTION("""COMPUTED_VALUE"""),45757.0)</f>
        <v>45757</v>
      </c>
      <c r="AR96" s="179">
        <f>IFERROR(__xludf.DUMMYFUNCTION("""COMPUTED_VALUE"""),0.0)</f>
        <v>0</v>
      </c>
      <c r="AS96" s="180">
        <f>IFERROR(__xludf.DUMMYFUNCTION("""COMPUTED_VALUE"""),45757.0)</f>
        <v>45757</v>
      </c>
      <c r="AT96" s="179">
        <f>IFERROR(__xludf.DUMMYFUNCTION("""COMPUTED_VALUE"""),0.0)</f>
        <v>0</v>
      </c>
      <c r="AU96" s="180">
        <f>IFERROR(__xludf.DUMMYFUNCTION("""COMPUTED_VALUE"""),45726.0)</f>
        <v>45726</v>
      </c>
      <c r="AV96" s="179">
        <f>IFERROR(__xludf.DUMMYFUNCTION("""COMPUTED_VALUE"""),0.0)</f>
        <v>0</v>
      </c>
      <c r="AW96" s="180">
        <f>IFERROR(__xludf.DUMMYFUNCTION("""COMPUTED_VALUE"""),45726.0)</f>
        <v>45726</v>
      </c>
      <c r="AX96" s="179">
        <f>IFERROR(__xludf.DUMMYFUNCTION("""COMPUTED_VALUE"""),0.0)</f>
        <v>0</v>
      </c>
      <c r="AY96" s="180">
        <f>IFERROR(__xludf.DUMMYFUNCTION("""COMPUTED_VALUE"""),45757.0)</f>
        <v>45757</v>
      </c>
      <c r="AZ96" s="179">
        <f>IFERROR(__xludf.DUMMYFUNCTION("""COMPUTED_VALUE"""),0.0)</f>
        <v>0</v>
      </c>
      <c r="BA96" s="180">
        <f>IFERROR(__xludf.DUMMYFUNCTION("""COMPUTED_VALUE"""),45757.0)</f>
        <v>45757</v>
      </c>
      <c r="BB96" s="179">
        <f>IFERROR(__xludf.DUMMYFUNCTION("""COMPUTED_VALUE"""),0.0)</f>
        <v>0</v>
      </c>
      <c r="BC96" s="180">
        <f>IFERROR(__xludf.DUMMYFUNCTION("""COMPUTED_VALUE"""),45726.0)</f>
        <v>45726</v>
      </c>
      <c r="BD96" s="179">
        <f>IFERROR(__xludf.DUMMYFUNCTION("""COMPUTED_VALUE"""),0.0)</f>
        <v>0</v>
      </c>
      <c r="BE96" s="180">
        <f>IFERROR(__xludf.DUMMYFUNCTION("""COMPUTED_VALUE"""),45757.0)</f>
        <v>45757</v>
      </c>
      <c r="BF96" s="179">
        <f>IFERROR(__xludf.DUMMYFUNCTION("""COMPUTED_VALUE"""),0.0)</f>
        <v>0</v>
      </c>
      <c r="BG96" s="180">
        <f>IFERROR(__xludf.DUMMYFUNCTION("""COMPUTED_VALUE"""),45726.0)</f>
        <v>45726</v>
      </c>
      <c r="BH96" s="179">
        <f>IFERROR(__xludf.DUMMYFUNCTION("""COMPUTED_VALUE"""),0.0)</f>
        <v>0</v>
      </c>
      <c r="BI96" s="180">
        <f>IFERROR(__xludf.DUMMYFUNCTION("""COMPUTED_VALUE"""),45757.0)</f>
        <v>45757</v>
      </c>
      <c r="BJ96" s="179">
        <f>IFERROR(__xludf.DUMMYFUNCTION("""COMPUTED_VALUE"""),0.0)</f>
        <v>0</v>
      </c>
      <c r="BK96" s="182">
        <f>IFERROR(__xludf.DUMMYFUNCTION("""COMPUTED_VALUE"""),45757.0)</f>
        <v>45757</v>
      </c>
      <c r="BL96" s="179">
        <f>IFERROR(__xludf.DUMMYFUNCTION("""COMPUTED_VALUE"""),0.0)</f>
        <v>0</v>
      </c>
      <c r="BM96" s="180">
        <f>IFERROR(__xludf.DUMMYFUNCTION("""COMPUTED_VALUE"""),45757.0)</f>
        <v>45757</v>
      </c>
      <c r="BN96" s="179">
        <f>IFERROR(__xludf.DUMMYFUNCTION("""COMPUTED_VALUE"""),0.0)</f>
        <v>0</v>
      </c>
      <c r="BO96" s="180">
        <f>IFERROR(__xludf.DUMMYFUNCTION("""COMPUTED_VALUE"""),45726.0)</f>
        <v>45726</v>
      </c>
      <c r="BP96" s="179">
        <f>IFERROR(__xludf.DUMMYFUNCTION("""COMPUTED_VALUE"""),0.0)</f>
        <v>0</v>
      </c>
      <c r="BQ96" s="180">
        <f>IFERROR(__xludf.DUMMYFUNCTION("""COMPUTED_VALUE"""),45726.0)</f>
        <v>45726</v>
      </c>
      <c r="BR96" s="179">
        <f>IFERROR(__xludf.DUMMYFUNCTION("""COMPUTED_VALUE"""),0.0)</f>
        <v>0</v>
      </c>
      <c r="BS96" s="180">
        <f>IFERROR(__xludf.DUMMYFUNCTION("""COMPUTED_VALUE"""),45757.0)</f>
        <v>45757</v>
      </c>
      <c r="BT96" s="179">
        <f>IFERROR(__xludf.DUMMYFUNCTION("""COMPUTED_VALUE"""),0.0)</f>
        <v>0</v>
      </c>
      <c r="BU96" s="180">
        <f>IFERROR(__xludf.DUMMYFUNCTION("""COMPUTED_VALUE"""),45757.0)</f>
        <v>45757</v>
      </c>
      <c r="BV96" s="179">
        <f>IFERROR(__xludf.DUMMYFUNCTION("""COMPUTED_VALUE"""),0.0)</f>
        <v>0</v>
      </c>
      <c r="BW96" s="180">
        <f>IFERROR(__xludf.DUMMYFUNCTION("""COMPUTED_VALUE"""),45757.0)</f>
        <v>45757</v>
      </c>
      <c r="BX96" s="179">
        <f>IFERROR(__xludf.DUMMYFUNCTION("""COMPUTED_VALUE"""),0.0)</f>
        <v>0</v>
      </c>
      <c r="BY96" s="180">
        <f>IFERROR(__xludf.DUMMYFUNCTION("""COMPUTED_VALUE"""),45726.0)</f>
        <v>45726</v>
      </c>
      <c r="BZ96" s="179">
        <f>IFERROR(__xludf.DUMMYFUNCTION("""COMPUTED_VALUE"""),0.0)</f>
        <v>0</v>
      </c>
      <c r="CA96" s="180">
        <f>IFERROR(__xludf.DUMMYFUNCTION("""COMPUTED_VALUE"""),45757.0)</f>
        <v>45757</v>
      </c>
      <c r="CB96" s="179">
        <f>IFERROR(__xludf.DUMMYFUNCTION("""COMPUTED_VALUE"""),0.0)</f>
        <v>0</v>
      </c>
      <c r="CC96" s="180">
        <f>IFERROR(__xludf.DUMMYFUNCTION("""COMPUTED_VALUE"""),45757.0)</f>
        <v>45757</v>
      </c>
      <c r="CD96" s="179">
        <f>IFERROR(__xludf.DUMMYFUNCTION("""COMPUTED_VALUE"""),0.0)</f>
        <v>0</v>
      </c>
      <c r="CE96" s="182">
        <f>IFERROR(__xludf.DUMMYFUNCTION("""COMPUTED_VALUE"""),45757.0)</f>
        <v>45757</v>
      </c>
      <c r="CF96" s="179">
        <f>IFERROR(__xludf.DUMMYFUNCTION("""COMPUTED_VALUE"""),0.0)</f>
        <v>0</v>
      </c>
      <c r="CG96" s="180">
        <f>IFERROR(__xludf.DUMMYFUNCTION("""COMPUTED_VALUE"""),45726.0)</f>
        <v>45726</v>
      </c>
      <c r="CH96" s="179">
        <f>IFERROR(__xludf.DUMMYFUNCTION("""COMPUTED_VALUE"""),0.0)</f>
        <v>0</v>
      </c>
      <c r="CI96" s="180">
        <f>IFERROR(__xludf.DUMMYFUNCTION("""COMPUTED_VALUE"""),45726.0)</f>
        <v>45726</v>
      </c>
      <c r="CJ96" s="179">
        <f>IFERROR(__xludf.DUMMYFUNCTION("""COMPUTED_VALUE"""),0.0)</f>
        <v>0</v>
      </c>
      <c r="CK96" s="180">
        <f>IFERROR(__xludf.DUMMYFUNCTION("""COMPUTED_VALUE"""),45667.0)</f>
        <v>45667</v>
      </c>
      <c r="CL96" s="179">
        <f>IFERROR(__xludf.DUMMYFUNCTION("""COMPUTED_VALUE"""),0.0)</f>
        <v>0</v>
      </c>
      <c r="CM96" s="180">
        <f>IFERROR(__xludf.DUMMYFUNCTION("""COMPUTED_VALUE"""),45757.0)</f>
        <v>45757</v>
      </c>
      <c r="CN96" s="179">
        <f>IFERROR(__xludf.DUMMYFUNCTION("""COMPUTED_VALUE"""),0.0)</f>
        <v>0</v>
      </c>
      <c r="CO96" s="180">
        <f>IFERROR(__xludf.DUMMYFUNCTION("""COMPUTED_VALUE"""),45757.0)</f>
        <v>45757</v>
      </c>
      <c r="CP96" s="179">
        <f>IFERROR(__xludf.DUMMYFUNCTION("""COMPUTED_VALUE"""),0.0)</f>
        <v>0</v>
      </c>
      <c r="CQ96" s="180">
        <f>IFERROR(__xludf.DUMMYFUNCTION("""COMPUTED_VALUE"""),45667.0)</f>
        <v>45667</v>
      </c>
      <c r="CR96" s="179">
        <f>IFERROR(__xludf.DUMMYFUNCTION("""COMPUTED_VALUE"""),0.0)</f>
        <v>0</v>
      </c>
      <c r="CS96" s="180">
        <f>IFERROR(__xludf.DUMMYFUNCTION("""COMPUTED_VALUE"""),45757.0)</f>
        <v>45757</v>
      </c>
      <c r="CT96" s="179">
        <f>IFERROR(__xludf.DUMMYFUNCTION("""COMPUTED_VALUE"""),0.0)</f>
        <v>0</v>
      </c>
      <c r="CU96" s="180">
        <f>IFERROR(__xludf.DUMMYFUNCTION("""COMPUTED_VALUE"""),45757.0)</f>
        <v>45757</v>
      </c>
      <c r="CV96" s="179">
        <f>IFERROR(__xludf.DUMMYFUNCTION("""COMPUTED_VALUE"""),0.0)</f>
        <v>0</v>
      </c>
      <c r="CW96" s="180">
        <f>IFERROR(__xludf.DUMMYFUNCTION("""COMPUTED_VALUE"""),45667.0)</f>
        <v>45667</v>
      </c>
      <c r="CX96" s="179">
        <f>IFERROR(__xludf.DUMMYFUNCTION("""COMPUTED_VALUE"""),0.0)</f>
        <v>0</v>
      </c>
      <c r="CY96" s="182">
        <f>IFERROR(__xludf.DUMMYFUNCTION("""COMPUTED_VALUE"""),45757.0)</f>
        <v>45757</v>
      </c>
      <c r="CZ96" s="179">
        <f>IFERROR(__xludf.DUMMYFUNCTION("""COMPUTED_VALUE"""),0.0)</f>
        <v>0</v>
      </c>
      <c r="DA96" s="180">
        <f>IFERROR(__xludf.DUMMYFUNCTION("""COMPUTED_VALUE"""),45757.0)</f>
        <v>45757</v>
      </c>
      <c r="DB96" s="179">
        <f>IFERROR(__xludf.DUMMYFUNCTION("""COMPUTED_VALUE"""),0.0)</f>
        <v>0</v>
      </c>
      <c r="DC96" s="180">
        <f>IFERROR(__xludf.DUMMYFUNCTION("""COMPUTED_VALUE"""),45757.0)</f>
        <v>45757</v>
      </c>
      <c r="DD96" s="179">
        <f>IFERROR(__xludf.DUMMYFUNCTION("""COMPUTED_VALUE"""),0.0)</f>
        <v>0</v>
      </c>
      <c r="DE96" s="180">
        <f>IFERROR(__xludf.DUMMYFUNCTION("""COMPUTED_VALUE"""),45757.0)</f>
        <v>45757</v>
      </c>
      <c r="DF96" s="179">
        <f>IFERROR(__xludf.DUMMYFUNCTION("""COMPUTED_VALUE"""),0.0)</f>
        <v>0</v>
      </c>
      <c r="DG96" s="180">
        <f>IFERROR(__xludf.DUMMYFUNCTION("""COMPUTED_VALUE"""),45757.0)</f>
        <v>45757</v>
      </c>
      <c r="DH96" s="179">
        <f>IFERROR(__xludf.DUMMYFUNCTION("""COMPUTED_VALUE"""),0.0)</f>
        <v>0</v>
      </c>
      <c r="DI96" s="180">
        <f>IFERROR(__xludf.DUMMYFUNCTION("""COMPUTED_VALUE"""),45757.0)</f>
        <v>45757</v>
      </c>
      <c r="DJ96" s="179">
        <f>IFERROR(__xludf.DUMMYFUNCTION("""COMPUTED_VALUE"""),0.0)</f>
        <v>0</v>
      </c>
      <c r="DK96" s="180">
        <f>IFERROR(__xludf.DUMMYFUNCTION("""COMPUTED_VALUE"""),45757.0)</f>
        <v>45757</v>
      </c>
      <c r="DL96" s="179">
        <f>IFERROR(__xludf.DUMMYFUNCTION("""COMPUTED_VALUE"""),0.0)</f>
        <v>0</v>
      </c>
      <c r="DM96" s="180">
        <f>IFERROR(__xludf.DUMMYFUNCTION("""COMPUTED_VALUE"""),45757.0)</f>
        <v>45757</v>
      </c>
      <c r="DN96" s="179">
        <f>IFERROR(__xludf.DUMMYFUNCTION("""COMPUTED_VALUE"""),0.0)</f>
        <v>0</v>
      </c>
      <c r="DO96" s="180">
        <f>IFERROR(__xludf.DUMMYFUNCTION("""COMPUTED_VALUE"""),45757.0)</f>
        <v>45757</v>
      </c>
      <c r="DP96" s="179">
        <f>IFERROR(__xludf.DUMMYFUNCTION("""COMPUTED_VALUE"""),0.0)</f>
        <v>0</v>
      </c>
      <c r="DQ96" s="180">
        <f>IFERROR(__xludf.DUMMYFUNCTION("""COMPUTED_VALUE"""),45757.0)</f>
        <v>45757</v>
      </c>
      <c r="DR96" s="179">
        <f>IFERROR(__xludf.DUMMYFUNCTION("""COMPUTED_VALUE"""),0.0)</f>
        <v>0</v>
      </c>
      <c r="DS96" s="182">
        <f>IFERROR(__xludf.DUMMYFUNCTION("""COMPUTED_VALUE"""),45757.0)</f>
        <v>45757</v>
      </c>
      <c r="DT96" s="179">
        <f>IFERROR(__xludf.DUMMYFUNCTION("""COMPUTED_VALUE"""),0.0)</f>
        <v>0</v>
      </c>
      <c r="DU96" s="180">
        <f>IFERROR(__xludf.DUMMYFUNCTION("""COMPUTED_VALUE"""),45757.0)</f>
        <v>45757</v>
      </c>
      <c r="DV96" s="179">
        <f>IFERROR(__xludf.DUMMYFUNCTION("""COMPUTED_VALUE"""),0.0)</f>
        <v>0</v>
      </c>
      <c r="DW96" s="180">
        <f>IFERROR(__xludf.DUMMYFUNCTION("""COMPUTED_VALUE"""),45757.0)</f>
        <v>45757</v>
      </c>
      <c r="DX96" s="179">
        <f>IFERROR(__xludf.DUMMYFUNCTION("""COMPUTED_VALUE"""),0.0)</f>
        <v>0</v>
      </c>
      <c r="DY96" s="180">
        <f>IFERROR(__xludf.DUMMYFUNCTION("""COMPUTED_VALUE"""),45757.0)</f>
        <v>45757</v>
      </c>
      <c r="DZ96" s="179">
        <f>IFERROR(__xludf.DUMMYFUNCTION("""COMPUTED_VALUE"""),0.0)</f>
        <v>0</v>
      </c>
      <c r="EA96" s="180">
        <f>IFERROR(__xludf.DUMMYFUNCTION("""COMPUTED_VALUE"""),45757.0)</f>
        <v>45757</v>
      </c>
      <c r="EB96" s="179">
        <f>IFERROR(__xludf.DUMMYFUNCTION("""COMPUTED_VALUE"""),0.0)</f>
        <v>0</v>
      </c>
      <c r="EC96" s="180">
        <f>IFERROR(__xludf.DUMMYFUNCTION("""COMPUTED_VALUE"""),45757.0)</f>
        <v>45757</v>
      </c>
      <c r="ED96" s="179">
        <f>IFERROR(__xludf.DUMMYFUNCTION("""COMPUTED_VALUE"""),0.0)</f>
        <v>0</v>
      </c>
      <c r="EE96" s="180">
        <f>IFERROR(__xludf.DUMMYFUNCTION("""COMPUTED_VALUE"""),45757.0)</f>
        <v>45757</v>
      </c>
      <c r="EF96" s="179">
        <f>IFERROR(__xludf.DUMMYFUNCTION("""COMPUTED_VALUE"""),0.0)</f>
        <v>0</v>
      </c>
      <c r="EG96" s="180">
        <f>IFERROR(__xludf.DUMMYFUNCTION("""COMPUTED_VALUE"""),45757.0)</f>
        <v>45757</v>
      </c>
      <c r="EH96" s="179">
        <f>IFERROR(__xludf.DUMMYFUNCTION("""COMPUTED_VALUE"""),0.0)</f>
        <v>0</v>
      </c>
      <c r="EI96" s="180">
        <f>IFERROR(__xludf.DUMMYFUNCTION("""COMPUTED_VALUE"""),45757.0)</f>
        <v>45757</v>
      </c>
      <c r="EJ96" s="179">
        <f>IFERROR(__xludf.DUMMYFUNCTION("""COMPUTED_VALUE"""),0.0)</f>
        <v>0</v>
      </c>
      <c r="EK96" s="180">
        <f>IFERROR(__xludf.DUMMYFUNCTION("""COMPUTED_VALUE"""),45757.0)</f>
        <v>45757</v>
      </c>
      <c r="EL96" s="179">
        <f>IFERROR(__xludf.DUMMYFUNCTION("""COMPUTED_VALUE"""),0.0)</f>
        <v>0</v>
      </c>
      <c r="EM96" s="182">
        <f>IFERROR(__xludf.DUMMYFUNCTION("""COMPUTED_VALUE"""),45757.0)</f>
        <v>45757</v>
      </c>
      <c r="EN96" s="179">
        <f>IFERROR(__xludf.DUMMYFUNCTION("""COMPUTED_VALUE"""),0.0)</f>
        <v>0</v>
      </c>
      <c r="EO96" s="180">
        <f>IFERROR(__xludf.DUMMYFUNCTION("""COMPUTED_VALUE"""),45757.0)</f>
        <v>45757</v>
      </c>
      <c r="EP96" s="179">
        <f>IFERROR(__xludf.DUMMYFUNCTION("""COMPUTED_VALUE"""),0.0)</f>
        <v>0</v>
      </c>
      <c r="EQ96" s="180">
        <f>IFERROR(__xludf.DUMMYFUNCTION("""COMPUTED_VALUE"""),45757.0)</f>
        <v>45757</v>
      </c>
      <c r="ER96" s="179">
        <f>IFERROR(__xludf.DUMMYFUNCTION("""COMPUTED_VALUE"""),0.0)</f>
        <v>0</v>
      </c>
      <c r="ES96" s="180">
        <f>IFERROR(__xludf.DUMMYFUNCTION("""COMPUTED_VALUE"""),45757.0)</f>
        <v>45757</v>
      </c>
      <c r="ET96" s="179">
        <f>IFERROR(__xludf.DUMMYFUNCTION("""COMPUTED_VALUE"""),0.0)</f>
        <v>0</v>
      </c>
      <c r="EU96" s="180">
        <f>IFERROR(__xludf.DUMMYFUNCTION("""COMPUTED_VALUE"""),45757.0)</f>
        <v>45757</v>
      </c>
      <c r="EV96" s="179">
        <f>IFERROR(__xludf.DUMMYFUNCTION("""COMPUTED_VALUE"""),0.0)</f>
        <v>0</v>
      </c>
      <c r="EW96" s="180">
        <f>IFERROR(__xludf.DUMMYFUNCTION("""COMPUTED_VALUE"""),45757.0)</f>
        <v>45757</v>
      </c>
      <c r="EX96" s="179">
        <f>IFERROR(__xludf.DUMMYFUNCTION("""COMPUTED_VALUE"""),0.0)</f>
        <v>0</v>
      </c>
      <c r="EY96" s="180">
        <f>IFERROR(__xludf.DUMMYFUNCTION("""COMPUTED_VALUE"""),45757.0)</f>
        <v>45757</v>
      </c>
      <c r="EZ96" s="179">
        <f>IFERROR(__xludf.DUMMYFUNCTION("""COMPUTED_VALUE"""),0.0)</f>
        <v>0</v>
      </c>
      <c r="FA96" s="180">
        <f>IFERROR(__xludf.DUMMYFUNCTION("""COMPUTED_VALUE"""),45757.0)</f>
        <v>45757</v>
      </c>
      <c r="FB96" s="179">
        <f>IFERROR(__xludf.DUMMYFUNCTION("""COMPUTED_VALUE"""),0.0)</f>
        <v>0</v>
      </c>
      <c r="FC96" s="180">
        <f>IFERROR(__xludf.DUMMYFUNCTION("""COMPUTED_VALUE"""),45757.0)</f>
        <v>45757</v>
      </c>
      <c r="FD96" s="179">
        <f>IFERROR(__xludf.DUMMYFUNCTION("""COMPUTED_VALUE"""),0.0)</f>
        <v>0</v>
      </c>
      <c r="FE96" s="180">
        <f>IFERROR(__xludf.DUMMYFUNCTION("""COMPUTED_VALUE"""),45757.0)</f>
        <v>45757</v>
      </c>
      <c r="FF96" s="179">
        <f>IFERROR(__xludf.DUMMYFUNCTION("""COMPUTED_VALUE"""),0.0)</f>
        <v>0</v>
      </c>
      <c r="FG96" s="182">
        <f>IFERROR(__xludf.DUMMYFUNCTION("""COMPUTED_VALUE"""),45757.0)</f>
        <v>45757</v>
      </c>
      <c r="FH96" s="179">
        <f>IFERROR(__xludf.DUMMYFUNCTION("""COMPUTED_VALUE"""),0.0)</f>
        <v>0</v>
      </c>
      <c r="FI96" s="180">
        <f>IFERROR(__xludf.DUMMYFUNCTION("""COMPUTED_VALUE"""),45726.0)</f>
        <v>45726</v>
      </c>
      <c r="FJ96" s="179">
        <f>IFERROR(__xludf.DUMMYFUNCTION("""COMPUTED_VALUE"""),0.0)</f>
        <v>0</v>
      </c>
      <c r="FK96" s="180">
        <f>IFERROR(__xludf.DUMMYFUNCTION("""COMPUTED_VALUE"""),45667.0)</f>
        <v>45667</v>
      </c>
      <c r="FL96" s="179">
        <f>IFERROR(__xludf.DUMMYFUNCTION("""COMPUTED_VALUE"""),0.0)</f>
        <v>0</v>
      </c>
      <c r="FM96" s="180">
        <f>IFERROR(__xludf.DUMMYFUNCTION("""COMPUTED_VALUE"""),45757.0)</f>
        <v>45757</v>
      </c>
      <c r="FN96" s="179">
        <f>IFERROR(__xludf.DUMMYFUNCTION("""COMPUTED_VALUE"""),0.0)</f>
        <v>0</v>
      </c>
      <c r="FO96" s="180">
        <f>IFERROR(__xludf.DUMMYFUNCTION("""COMPUTED_VALUE"""),45757.0)</f>
        <v>45757</v>
      </c>
      <c r="FP96" s="179">
        <f>IFERROR(__xludf.DUMMYFUNCTION("""COMPUTED_VALUE"""),0.0)</f>
        <v>0</v>
      </c>
      <c r="FQ96" s="180">
        <f>IFERROR(__xludf.DUMMYFUNCTION("""COMPUTED_VALUE"""),45757.0)</f>
        <v>45757</v>
      </c>
      <c r="FR96" s="179">
        <f>IFERROR(__xludf.DUMMYFUNCTION("""COMPUTED_VALUE"""),0.0)</f>
        <v>0</v>
      </c>
      <c r="FS96" s="180">
        <f>IFERROR(__xludf.DUMMYFUNCTION("""COMPUTED_VALUE"""),45726.0)</f>
        <v>45726</v>
      </c>
      <c r="FT96" s="179">
        <f>IFERROR(__xludf.DUMMYFUNCTION("""COMPUTED_VALUE"""),0.0)</f>
        <v>0</v>
      </c>
      <c r="FU96" s="180">
        <f>IFERROR(__xludf.DUMMYFUNCTION("""COMPUTED_VALUE"""),45757.0)</f>
        <v>45757</v>
      </c>
      <c r="FV96" s="179">
        <f>IFERROR(__xludf.DUMMYFUNCTION("""COMPUTED_VALUE"""),0.0)</f>
        <v>0</v>
      </c>
      <c r="FW96" s="180">
        <f>IFERROR(__xludf.DUMMYFUNCTION("""COMPUTED_VALUE"""),45757.0)</f>
        <v>45757</v>
      </c>
      <c r="FX96" s="179">
        <f>IFERROR(__xludf.DUMMYFUNCTION("""COMPUTED_VALUE"""),0.0)</f>
        <v>0</v>
      </c>
      <c r="FY96" s="180">
        <f>IFERROR(__xludf.DUMMYFUNCTION("""COMPUTED_VALUE"""),45667.0)</f>
        <v>45667</v>
      </c>
      <c r="FZ96" s="179">
        <f>IFERROR(__xludf.DUMMYFUNCTION("""COMPUTED_VALUE"""),0.0)</f>
        <v>0</v>
      </c>
      <c r="GA96" s="182">
        <f>IFERROR(__xludf.DUMMYFUNCTION("""COMPUTED_VALUE"""),45786.0)</f>
        <v>45786</v>
      </c>
      <c r="GB96" s="179">
        <f>IFERROR(__xludf.DUMMYFUNCTION("""COMPUTED_VALUE"""),0.0)</f>
        <v>0</v>
      </c>
      <c r="GC96" s="180">
        <f>IFERROR(__xludf.DUMMYFUNCTION("""COMPUTED_VALUE"""),45786.0)</f>
        <v>45786</v>
      </c>
      <c r="GD96" s="179">
        <f>IFERROR(__xludf.DUMMYFUNCTION("""COMPUTED_VALUE"""),0.0)</f>
        <v>0</v>
      </c>
      <c r="GE96" s="180">
        <f>IFERROR(__xludf.DUMMYFUNCTION("""COMPUTED_VALUE"""),45786.0)</f>
        <v>45786</v>
      </c>
      <c r="GF96" s="179">
        <f>IFERROR(__xludf.DUMMYFUNCTION("""COMPUTED_VALUE"""),0.0)</f>
        <v>0</v>
      </c>
      <c r="GG96" s="180">
        <f>IFERROR(__xludf.DUMMYFUNCTION("""COMPUTED_VALUE"""),45756.0)</f>
        <v>45756</v>
      </c>
      <c r="GH96" s="179">
        <f>IFERROR(__xludf.DUMMYFUNCTION("""COMPUTED_VALUE"""),0.0)</f>
        <v>0</v>
      </c>
      <c r="GI96" s="180">
        <f>IFERROR(__xludf.DUMMYFUNCTION("""COMPUTED_VALUE"""),45786.0)</f>
        <v>45786</v>
      </c>
      <c r="GJ96" s="179">
        <f>IFERROR(__xludf.DUMMYFUNCTION("""COMPUTED_VALUE"""),0.0)</f>
        <v>0</v>
      </c>
      <c r="GK96" s="180">
        <f>IFERROR(__xludf.DUMMYFUNCTION("""COMPUTED_VALUE"""),45786.0)</f>
        <v>45786</v>
      </c>
      <c r="GL96" s="179">
        <f>IFERROR(__xludf.DUMMYFUNCTION("""COMPUTED_VALUE"""),0.0)</f>
        <v>0</v>
      </c>
      <c r="GM96" s="180">
        <f>IFERROR(__xludf.DUMMYFUNCTION("""COMPUTED_VALUE"""),45725.0)</f>
        <v>45725</v>
      </c>
      <c r="GN96" s="179">
        <f>IFERROR(__xludf.DUMMYFUNCTION("""COMPUTED_VALUE"""),0.0)</f>
        <v>0</v>
      </c>
      <c r="GO96" s="180">
        <f>IFERROR(__xludf.DUMMYFUNCTION("""COMPUTED_VALUE"""),45786.0)</f>
        <v>45786</v>
      </c>
      <c r="GP96" s="179">
        <f>IFERROR(__xludf.DUMMYFUNCTION("""COMPUTED_VALUE"""),0.0)</f>
        <v>0</v>
      </c>
      <c r="GQ96" s="180">
        <f>IFERROR(__xludf.DUMMYFUNCTION("""COMPUTED_VALUE"""),45786.0)</f>
        <v>45786</v>
      </c>
      <c r="GR96" s="179">
        <f>IFERROR(__xludf.DUMMYFUNCTION("""COMPUTED_VALUE"""),0.0)</f>
        <v>0</v>
      </c>
      <c r="GS96" s="180">
        <f>IFERROR(__xludf.DUMMYFUNCTION("""COMPUTED_VALUE"""),45756.0)</f>
        <v>45756</v>
      </c>
      <c r="GT96" s="179">
        <f>IFERROR(__xludf.DUMMYFUNCTION("""COMPUTED_VALUE"""),0.0)</f>
        <v>0</v>
      </c>
    </row>
    <row r="97" ht="31.5" customHeight="1">
      <c r="B97" s="183"/>
      <c r="C97" s="178">
        <f>IFERROR(__xludf.DUMMYFUNCTION("""COMPUTED_VALUE"""),45787.0)</f>
        <v>45787</v>
      </c>
      <c r="D97" s="179">
        <f>IFERROR(__xludf.DUMMYFUNCTION("""COMPUTED_VALUE"""),0.0)</f>
        <v>0</v>
      </c>
      <c r="E97" s="180">
        <f>IFERROR(__xludf.DUMMYFUNCTION("""COMPUTED_VALUE"""),45787.0)</f>
        <v>45787</v>
      </c>
      <c r="F97" s="179">
        <f>IFERROR(__xludf.DUMMYFUNCTION("""COMPUTED_VALUE"""),0.0)</f>
        <v>0</v>
      </c>
      <c r="G97" s="180">
        <f>IFERROR(__xludf.DUMMYFUNCTION("""COMPUTED_VALUE"""),45787.0)</f>
        <v>45787</v>
      </c>
      <c r="H97" s="179">
        <f>IFERROR(__xludf.DUMMYFUNCTION("""COMPUTED_VALUE"""),0.0)</f>
        <v>0</v>
      </c>
      <c r="I97" s="180">
        <f>IFERROR(__xludf.DUMMYFUNCTION("""COMPUTED_VALUE"""),45787.0)</f>
        <v>45787</v>
      </c>
      <c r="J97" s="179">
        <f>IFERROR(__xludf.DUMMYFUNCTION("""COMPUTED_VALUE"""),0.0)</f>
        <v>0</v>
      </c>
      <c r="K97" s="180">
        <f>IFERROR(__xludf.DUMMYFUNCTION("""COMPUTED_VALUE"""),45787.0)</f>
        <v>45787</v>
      </c>
      <c r="L97" s="179">
        <f>IFERROR(__xludf.DUMMYFUNCTION("""COMPUTED_VALUE"""),0.0)</f>
        <v>0</v>
      </c>
      <c r="M97" s="180">
        <f>IFERROR(__xludf.DUMMYFUNCTION("""COMPUTED_VALUE"""),45787.0)</f>
        <v>45787</v>
      </c>
      <c r="N97" s="179">
        <f>IFERROR(__xludf.DUMMYFUNCTION("""COMPUTED_VALUE"""),0.0)</f>
        <v>0</v>
      </c>
      <c r="O97" s="180">
        <f>IFERROR(__xludf.DUMMYFUNCTION("""COMPUTED_VALUE"""),45787.0)</f>
        <v>45787</v>
      </c>
      <c r="P97" s="179">
        <f>IFERROR(__xludf.DUMMYFUNCTION("""COMPUTED_VALUE"""),0.0)</f>
        <v>0</v>
      </c>
      <c r="Q97" s="180">
        <f>IFERROR(__xludf.DUMMYFUNCTION("""COMPUTED_VALUE"""),45787.0)</f>
        <v>45787</v>
      </c>
      <c r="R97" s="179">
        <f>IFERROR(__xludf.DUMMYFUNCTION("""COMPUTED_VALUE"""),0.0)</f>
        <v>0</v>
      </c>
      <c r="S97" s="180">
        <f>IFERROR(__xludf.DUMMYFUNCTION("""COMPUTED_VALUE"""),45787.0)</f>
        <v>45787</v>
      </c>
      <c r="T97" s="179">
        <f>IFERROR(__xludf.DUMMYFUNCTION("""COMPUTED_VALUE"""),0.0)</f>
        <v>0</v>
      </c>
      <c r="U97" s="180">
        <f>IFERROR(__xludf.DUMMYFUNCTION("""COMPUTED_VALUE"""),45787.0)</f>
        <v>45787</v>
      </c>
      <c r="V97" s="181">
        <f>IFERROR(__xludf.DUMMYFUNCTION("""COMPUTED_VALUE"""),0.0)</f>
        <v>0</v>
      </c>
      <c r="W97" s="178">
        <f>IFERROR(__xludf.DUMMYFUNCTION("""COMPUTED_VALUE"""),45787.0)</f>
        <v>45787</v>
      </c>
      <c r="X97" s="179">
        <f>IFERROR(__xludf.DUMMYFUNCTION("""COMPUTED_VALUE"""),0.0)</f>
        <v>0</v>
      </c>
      <c r="Y97" s="180">
        <f>IFERROR(__xludf.DUMMYFUNCTION("""COMPUTED_VALUE"""),45787.0)</f>
        <v>45787</v>
      </c>
      <c r="Z97" s="179">
        <f>IFERROR(__xludf.DUMMYFUNCTION("""COMPUTED_VALUE"""),0.0)</f>
        <v>0</v>
      </c>
      <c r="AA97" s="180">
        <f>IFERROR(__xludf.DUMMYFUNCTION("""COMPUTED_VALUE"""),45787.0)</f>
        <v>45787</v>
      </c>
      <c r="AB97" s="179">
        <f>IFERROR(__xludf.DUMMYFUNCTION("""COMPUTED_VALUE"""),0.0)</f>
        <v>0</v>
      </c>
      <c r="AC97" s="180">
        <f>IFERROR(__xludf.DUMMYFUNCTION("""COMPUTED_VALUE"""),45698.0)</f>
        <v>45698</v>
      </c>
      <c r="AD97" s="179">
        <f>IFERROR(__xludf.DUMMYFUNCTION("""COMPUTED_VALUE"""),0.0)</f>
        <v>0</v>
      </c>
      <c r="AE97" s="180">
        <f>IFERROR(__xludf.DUMMYFUNCTION("""COMPUTED_VALUE"""),45787.0)</f>
        <v>45787</v>
      </c>
      <c r="AF97" s="179">
        <f>IFERROR(__xludf.DUMMYFUNCTION("""COMPUTED_VALUE"""),0.0)</f>
        <v>0</v>
      </c>
      <c r="AG97" s="180">
        <f>IFERROR(__xludf.DUMMYFUNCTION("""COMPUTED_VALUE"""),45787.0)</f>
        <v>45787</v>
      </c>
      <c r="AH97" s="179">
        <f>IFERROR(__xludf.DUMMYFUNCTION("""COMPUTED_VALUE"""),0.0)</f>
        <v>0</v>
      </c>
      <c r="AI97" s="180">
        <f>IFERROR(__xludf.DUMMYFUNCTION("""COMPUTED_VALUE"""),45787.0)</f>
        <v>45787</v>
      </c>
      <c r="AJ97" s="179">
        <f>IFERROR(__xludf.DUMMYFUNCTION("""COMPUTED_VALUE"""),0.0)</f>
        <v>0</v>
      </c>
      <c r="AK97" s="180">
        <f>IFERROR(__xludf.DUMMYFUNCTION("""COMPUTED_VALUE"""),45787.0)</f>
        <v>45787</v>
      </c>
      <c r="AL97" s="179">
        <f>IFERROR(__xludf.DUMMYFUNCTION("""COMPUTED_VALUE"""),0.0)</f>
        <v>0</v>
      </c>
      <c r="AM97" s="180">
        <f>IFERROR(__xludf.DUMMYFUNCTION("""COMPUTED_VALUE"""),45787.0)</f>
        <v>45787</v>
      </c>
      <c r="AN97" s="179">
        <f>IFERROR(__xludf.DUMMYFUNCTION("""COMPUTED_VALUE"""),0.0)</f>
        <v>0</v>
      </c>
      <c r="AO97" s="180">
        <f>IFERROR(__xludf.DUMMYFUNCTION("""COMPUTED_VALUE"""),45787.0)</f>
        <v>45787</v>
      </c>
      <c r="AP97" s="181">
        <f>IFERROR(__xludf.DUMMYFUNCTION("""COMPUTED_VALUE"""),0.0)</f>
        <v>0</v>
      </c>
      <c r="AQ97" s="178">
        <f>IFERROR(__xludf.DUMMYFUNCTION("""COMPUTED_VALUE"""),45787.0)</f>
        <v>45787</v>
      </c>
      <c r="AR97" s="179">
        <f>IFERROR(__xludf.DUMMYFUNCTION("""COMPUTED_VALUE"""),0.0)</f>
        <v>0</v>
      </c>
      <c r="AS97" s="180">
        <f>IFERROR(__xludf.DUMMYFUNCTION("""COMPUTED_VALUE"""),45787.0)</f>
        <v>45787</v>
      </c>
      <c r="AT97" s="179">
        <f>IFERROR(__xludf.DUMMYFUNCTION("""COMPUTED_VALUE"""),0.0)</f>
        <v>0</v>
      </c>
      <c r="AU97" s="180">
        <f>IFERROR(__xludf.DUMMYFUNCTION("""COMPUTED_VALUE"""),45757.0)</f>
        <v>45757</v>
      </c>
      <c r="AV97" s="179">
        <f>IFERROR(__xludf.DUMMYFUNCTION("""COMPUTED_VALUE"""),0.0)</f>
        <v>0</v>
      </c>
      <c r="AW97" s="180">
        <f>IFERROR(__xludf.DUMMYFUNCTION("""COMPUTED_VALUE"""),45757.0)</f>
        <v>45757</v>
      </c>
      <c r="AX97" s="179">
        <f>IFERROR(__xludf.DUMMYFUNCTION("""COMPUTED_VALUE"""),0.0)</f>
        <v>0</v>
      </c>
      <c r="AY97" s="180">
        <f>IFERROR(__xludf.DUMMYFUNCTION("""COMPUTED_VALUE"""),45787.0)</f>
        <v>45787</v>
      </c>
      <c r="AZ97" s="179">
        <f>IFERROR(__xludf.DUMMYFUNCTION("""COMPUTED_VALUE"""),0.0)</f>
        <v>0</v>
      </c>
      <c r="BA97" s="180">
        <f>IFERROR(__xludf.DUMMYFUNCTION("""COMPUTED_VALUE"""),45787.0)</f>
        <v>45787</v>
      </c>
      <c r="BB97" s="179">
        <f>IFERROR(__xludf.DUMMYFUNCTION("""COMPUTED_VALUE"""),0.0)</f>
        <v>0</v>
      </c>
      <c r="BC97" s="180">
        <f>IFERROR(__xludf.DUMMYFUNCTION("""COMPUTED_VALUE"""),45757.0)</f>
        <v>45757</v>
      </c>
      <c r="BD97" s="179">
        <f>IFERROR(__xludf.DUMMYFUNCTION("""COMPUTED_VALUE"""),0.0)</f>
        <v>0</v>
      </c>
      <c r="BE97" s="180">
        <f>IFERROR(__xludf.DUMMYFUNCTION("""COMPUTED_VALUE"""),45787.0)</f>
        <v>45787</v>
      </c>
      <c r="BF97" s="179">
        <f>IFERROR(__xludf.DUMMYFUNCTION("""COMPUTED_VALUE"""),0.0)</f>
        <v>0</v>
      </c>
      <c r="BG97" s="180">
        <f>IFERROR(__xludf.DUMMYFUNCTION("""COMPUTED_VALUE"""),45757.0)</f>
        <v>45757</v>
      </c>
      <c r="BH97" s="179">
        <f>IFERROR(__xludf.DUMMYFUNCTION("""COMPUTED_VALUE"""),0.0)</f>
        <v>0</v>
      </c>
      <c r="BI97" s="180">
        <f>IFERROR(__xludf.DUMMYFUNCTION("""COMPUTED_VALUE"""),45787.0)</f>
        <v>45787</v>
      </c>
      <c r="BJ97" s="179">
        <f>IFERROR(__xludf.DUMMYFUNCTION("""COMPUTED_VALUE"""),0.0)</f>
        <v>0</v>
      </c>
      <c r="BK97" s="182">
        <f>IFERROR(__xludf.DUMMYFUNCTION("""COMPUTED_VALUE"""),45787.0)</f>
        <v>45787</v>
      </c>
      <c r="BL97" s="179">
        <f>IFERROR(__xludf.DUMMYFUNCTION("""COMPUTED_VALUE"""),0.0)</f>
        <v>0</v>
      </c>
      <c r="BM97" s="180">
        <f>IFERROR(__xludf.DUMMYFUNCTION("""COMPUTED_VALUE"""),45787.0)</f>
        <v>45787</v>
      </c>
      <c r="BN97" s="179">
        <f>IFERROR(__xludf.DUMMYFUNCTION("""COMPUTED_VALUE"""),0.0)</f>
        <v>0</v>
      </c>
      <c r="BO97" s="180">
        <f>IFERROR(__xludf.DUMMYFUNCTION("""COMPUTED_VALUE"""),45757.0)</f>
        <v>45757</v>
      </c>
      <c r="BP97" s="179">
        <f>IFERROR(__xludf.DUMMYFUNCTION("""COMPUTED_VALUE"""),0.0)</f>
        <v>0</v>
      </c>
      <c r="BQ97" s="180">
        <f>IFERROR(__xludf.DUMMYFUNCTION("""COMPUTED_VALUE"""),45757.0)</f>
        <v>45757</v>
      </c>
      <c r="BR97" s="179">
        <f>IFERROR(__xludf.DUMMYFUNCTION("""COMPUTED_VALUE"""),0.0)</f>
        <v>0</v>
      </c>
      <c r="BS97" s="180">
        <f>IFERROR(__xludf.DUMMYFUNCTION("""COMPUTED_VALUE"""),45787.0)</f>
        <v>45787</v>
      </c>
      <c r="BT97" s="179">
        <f>IFERROR(__xludf.DUMMYFUNCTION("""COMPUTED_VALUE"""),0.0)</f>
        <v>0</v>
      </c>
      <c r="BU97" s="180">
        <f>IFERROR(__xludf.DUMMYFUNCTION("""COMPUTED_VALUE"""),45787.0)</f>
        <v>45787</v>
      </c>
      <c r="BV97" s="179">
        <f>IFERROR(__xludf.DUMMYFUNCTION("""COMPUTED_VALUE"""),0.0)</f>
        <v>0</v>
      </c>
      <c r="BW97" s="180">
        <f>IFERROR(__xludf.DUMMYFUNCTION("""COMPUTED_VALUE"""),45787.0)</f>
        <v>45787</v>
      </c>
      <c r="BX97" s="179">
        <f>IFERROR(__xludf.DUMMYFUNCTION("""COMPUTED_VALUE"""),0.0)</f>
        <v>0</v>
      </c>
      <c r="BY97" s="180">
        <f>IFERROR(__xludf.DUMMYFUNCTION("""COMPUTED_VALUE"""),45757.0)</f>
        <v>45757</v>
      </c>
      <c r="BZ97" s="179">
        <f>IFERROR(__xludf.DUMMYFUNCTION("""COMPUTED_VALUE"""),0.0)</f>
        <v>0</v>
      </c>
      <c r="CA97" s="180">
        <f>IFERROR(__xludf.DUMMYFUNCTION("""COMPUTED_VALUE"""),45787.0)</f>
        <v>45787</v>
      </c>
      <c r="CB97" s="179">
        <f>IFERROR(__xludf.DUMMYFUNCTION("""COMPUTED_VALUE"""),0.0)</f>
        <v>0</v>
      </c>
      <c r="CC97" s="180">
        <f>IFERROR(__xludf.DUMMYFUNCTION("""COMPUTED_VALUE"""),45787.0)</f>
        <v>45787</v>
      </c>
      <c r="CD97" s="179">
        <f>IFERROR(__xludf.DUMMYFUNCTION("""COMPUTED_VALUE"""),0.0)</f>
        <v>0</v>
      </c>
      <c r="CE97" s="182">
        <f>IFERROR(__xludf.DUMMYFUNCTION("""COMPUTED_VALUE"""),45787.0)</f>
        <v>45787</v>
      </c>
      <c r="CF97" s="179">
        <f>IFERROR(__xludf.DUMMYFUNCTION("""COMPUTED_VALUE"""),0.0)</f>
        <v>0</v>
      </c>
      <c r="CG97" s="180">
        <f>IFERROR(__xludf.DUMMYFUNCTION("""COMPUTED_VALUE"""),45757.0)</f>
        <v>45757</v>
      </c>
      <c r="CH97" s="179">
        <f>IFERROR(__xludf.DUMMYFUNCTION("""COMPUTED_VALUE"""),0.0)</f>
        <v>0</v>
      </c>
      <c r="CI97" s="180">
        <f>IFERROR(__xludf.DUMMYFUNCTION("""COMPUTED_VALUE"""),45757.0)</f>
        <v>45757</v>
      </c>
      <c r="CJ97" s="179">
        <f>IFERROR(__xludf.DUMMYFUNCTION("""COMPUTED_VALUE"""),0.0)</f>
        <v>0</v>
      </c>
      <c r="CK97" s="180">
        <f>IFERROR(__xludf.DUMMYFUNCTION("""COMPUTED_VALUE"""),45698.0)</f>
        <v>45698</v>
      </c>
      <c r="CL97" s="179">
        <f>IFERROR(__xludf.DUMMYFUNCTION("""COMPUTED_VALUE"""),0.0)</f>
        <v>0</v>
      </c>
      <c r="CM97" s="180">
        <f>IFERROR(__xludf.DUMMYFUNCTION("""COMPUTED_VALUE"""),45787.0)</f>
        <v>45787</v>
      </c>
      <c r="CN97" s="179">
        <f>IFERROR(__xludf.DUMMYFUNCTION("""COMPUTED_VALUE"""),0.0)</f>
        <v>0</v>
      </c>
      <c r="CO97" s="180">
        <f>IFERROR(__xludf.DUMMYFUNCTION("""COMPUTED_VALUE"""),45787.0)</f>
        <v>45787</v>
      </c>
      <c r="CP97" s="179">
        <f>IFERROR(__xludf.DUMMYFUNCTION("""COMPUTED_VALUE"""),0.0)</f>
        <v>0</v>
      </c>
      <c r="CQ97" s="180">
        <f>IFERROR(__xludf.DUMMYFUNCTION("""COMPUTED_VALUE"""),45757.0)</f>
        <v>45757</v>
      </c>
      <c r="CR97" s="179">
        <f>IFERROR(__xludf.DUMMYFUNCTION("""COMPUTED_VALUE"""),0.0)</f>
        <v>0</v>
      </c>
      <c r="CS97" s="180">
        <f>IFERROR(__xludf.DUMMYFUNCTION("""COMPUTED_VALUE"""),45787.0)</f>
        <v>45787</v>
      </c>
      <c r="CT97" s="179">
        <f>IFERROR(__xludf.DUMMYFUNCTION("""COMPUTED_VALUE"""),0.0)</f>
        <v>0</v>
      </c>
      <c r="CU97" s="180">
        <f>IFERROR(__xludf.DUMMYFUNCTION("""COMPUTED_VALUE"""),45787.0)</f>
        <v>45787</v>
      </c>
      <c r="CV97" s="179">
        <f>IFERROR(__xludf.DUMMYFUNCTION("""COMPUTED_VALUE"""),0.0)</f>
        <v>0</v>
      </c>
      <c r="CW97" s="180">
        <f>IFERROR(__xludf.DUMMYFUNCTION("""COMPUTED_VALUE"""),45757.0)</f>
        <v>45757</v>
      </c>
      <c r="CX97" s="179">
        <f>IFERROR(__xludf.DUMMYFUNCTION("""COMPUTED_VALUE"""),0.0)</f>
        <v>0</v>
      </c>
      <c r="CY97" s="182">
        <f>IFERROR(__xludf.DUMMYFUNCTION("""COMPUTED_VALUE"""),45787.0)</f>
        <v>45787</v>
      </c>
      <c r="CZ97" s="179">
        <f>IFERROR(__xludf.DUMMYFUNCTION("""COMPUTED_VALUE"""),0.0)</f>
        <v>0</v>
      </c>
      <c r="DA97" s="180">
        <f>IFERROR(__xludf.DUMMYFUNCTION("""COMPUTED_VALUE"""),45787.0)</f>
        <v>45787</v>
      </c>
      <c r="DB97" s="179">
        <f>IFERROR(__xludf.DUMMYFUNCTION("""COMPUTED_VALUE"""),0.0)</f>
        <v>0</v>
      </c>
      <c r="DC97" s="180">
        <f>IFERROR(__xludf.DUMMYFUNCTION("""COMPUTED_VALUE"""),45787.0)</f>
        <v>45787</v>
      </c>
      <c r="DD97" s="179">
        <f>IFERROR(__xludf.DUMMYFUNCTION("""COMPUTED_VALUE"""),0.0)</f>
        <v>0</v>
      </c>
      <c r="DE97" s="180">
        <f>IFERROR(__xludf.DUMMYFUNCTION("""COMPUTED_VALUE"""),45787.0)</f>
        <v>45787</v>
      </c>
      <c r="DF97" s="179">
        <f>IFERROR(__xludf.DUMMYFUNCTION("""COMPUTED_VALUE"""),0.0)</f>
        <v>0</v>
      </c>
      <c r="DG97" s="180">
        <f>IFERROR(__xludf.DUMMYFUNCTION("""COMPUTED_VALUE"""),45787.0)</f>
        <v>45787</v>
      </c>
      <c r="DH97" s="179">
        <f>IFERROR(__xludf.DUMMYFUNCTION("""COMPUTED_VALUE"""),0.0)</f>
        <v>0</v>
      </c>
      <c r="DI97" s="180">
        <f>IFERROR(__xludf.DUMMYFUNCTION("""COMPUTED_VALUE"""),45787.0)</f>
        <v>45787</v>
      </c>
      <c r="DJ97" s="179">
        <f>IFERROR(__xludf.DUMMYFUNCTION("""COMPUTED_VALUE"""),0.0)</f>
        <v>0</v>
      </c>
      <c r="DK97" s="180">
        <f>IFERROR(__xludf.DUMMYFUNCTION("""COMPUTED_VALUE"""),45787.0)</f>
        <v>45787</v>
      </c>
      <c r="DL97" s="179">
        <f>IFERROR(__xludf.DUMMYFUNCTION("""COMPUTED_VALUE"""),0.0)</f>
        <v>0</v>
      </c>
      <c r="DM97" s="180">
        <f>IFERROR(__xludf.DUMMYFUNCTION("""COMPUTED_VALUE"""),45787.0)</f>
        <v>45787</v>
      </c>
      <c r="DN97" s="179">
        <f>IFERROR(__xludf.DUMMYFUNCTION("""COMPUTED_VALUE"""),0.0)</f>
        <v>0</v>
      </c>
      <c r="DO97" s="180">
        <f>IFERROR(__xludf.DUMMYFUNCTION("""COMPUTED_VALUE"""),45787.0)</f>
        <v>45787</v>
      </c>
      <c r="DP97" s="179">
        <f>IFERROR(__xludf.DUMMYFUNCTION("""COMPUTED_VALUE"""),0.0)</f>
        <v>0</v>
      </c>
      <c r="DQ97" s="180">
        <f>IFERROR(__xludf.DUMMYFUNCTION("""COMPUTED_VALUE"""),45787.0)</f>
        <v>45787</v>
      </c>
      <c r="DR97" s="179">
        <f>IFERROR(__xludf.DUMMYFUNCTION("""COMPUTED_VALUE"""),0.0)</f>
        <v>0</v>
      </c>
      <c r="DS97" s="182">
        <f>IFERROR(__xludf.DUMMYFUNCTION("""COMPUTED_VALUE"""),45787.0)</f>
        <v>45787</v>
      </c>
      <c r="DT97" s="179">
        <f>IFERROR(__xludf.DUMMYFUNCTION("""COMPUTED_VALUE"""),0.0)</f>
        <v>0</v>
      </c>
      <c r="DU97" s="180">
        <f>IFERROR(__xludf.DUMMYFUNCTION("""COMPUTED_VALUE"""),45787.0)</f>
        <v>45787</v>
      </c>
      <c r="DV97" s="179">
        <f>IFERROR(__xludf.DUMMYFUNCTION("""COMPUTED_VALUE"""),0.0)</f>
        <v>0</v>
      </c>
      <c r="DW97" s="180">
        <f>IFERROR(__xludf.DUMMYFUNCTION("""COMPUTED_VALUE"""),45787.0)</f>
        <v>45787</v>
      </c>
      <c r="DX97" s="179">
        <f>IFERROR(__xludf.DUMMYFUNCTION("""COMPUTED_VALUE"""),0.0)</f>
        <v>0</v>
      </c>
      <c r="DY97" s="180">
        <f>IFERROR(__xludf.DUMMYFUNCTION("""COMPUTED_VALUE"""),45787.0)</f>
        <v>45787</v>
      </c>
      <c r="DZ97" s="179">
        <f>IFERROR(__xludf.DUMMYFUNCTION("""COMPUTED_VALUE"""),0.0)</f>
        <v>0</v>
      </c>
      <c r="EA97" s="180">
        <f>IFERROR(__xludf.DUMMYFUNCTION("""COMPUTED_VALUE"""),45787.0)</f>
        <v>45787</v>
      </c>
      <c r="EB97" s="179">
        <f>IFERROR(__xludf.DUMMYFUNCTION("""COMPUTED_VALUE"""),0.0)</f>
        <v>0</v>
      </c>
      <c r="EC97" s="180">
        <f>IFERROR(__xludf.DUMMYFUNCTION("""COMPUTED_VALUE"""),45787.0)</f>
        <v>45787</v>
      </c>
      <c r="ED97" s="179">
        <f>IFERROR(__xludf.DUMMYFUNCTION("""COMPUTED_VALUE"""),0.0)</f>
        <v>0</v>
      </c>
      <c r="EE97" s="180">
        <f>IFERROR(__xludf.DUMMYFUNCTION("""COMPUTED_VALUE"""),45787.0)</f>
        <v>45787</v>
      </c>
      <c r="EF97" s="179">
        <f>IFERROR(__xludf.DUMMYFUNCTION("""COMPUTED_VALUE"""),0.0)</f>
        <v>0</v>
      </c>
      <c r="EG97" s="180">
        <f>IFERROR(__xludf.DUMMYFUNCTION("""COMPUTED_VALUE"""),45787.0)</f>
        <v>45787</v>
      </c>
      <c r="EH97" s="179">
        <f>IFERROR(__xludf.DUMMYFUNCTION("""COMPUTED_VALUE"""),0.0)</f>
        <v>0</v>
      </c>
      <c r="EI97" s="180">
        <f>IFERROR(__xludf.DUMMYFUNCTION("""COMPUTED_VALUE"""),45787.0)</f>
        <v>45787</v>
      </c>
      <c r="EJ97" s="179">
        <f>IFERROR(__xludf.DUMMYFUNCTION("""COMPUTED_VALUE"""),0.0)</f>
        <v>0</v>
      </c>
      <c r="EK97" s="180">
        <f>IFERROR(__xludf.DUMMYFUNCTION("""COMPUTED_VALUE"""),45787.0)</f>
        <v>45787</v>
      </c>
      <c r="EL97" s="179">
        <f>IFERROR(__xludf.DUMMYFUNCTION("""COMPUTED_VALUE"""),0.0)</f>
        <v>0</v>
      </c>
      <c r="EM97" s="182">
        <f>IFERROR(__xludf.DUMMYFUNCTION("""COMPUTED_VALUE"""),45787.0)</f>
        <v>45787</v>
      </c>
      <c r="EN97" s="179">
        <f>IFERROR(__xludf.DUMMYFUNCTION("""COMPUTED_VALUE"""),0.0)</f>
        <v>0</v>
      </c>
      <c r="EO97" s="180">
        <f>IFERROR(__xludf.DUMMYFUNCTION("""COMPUTED_VALUE"""),45787.0)</f>
        <v>45787</v>
      </c>
      <c r="EP97" s="179">
        <f>IFERROR(__xludf.DUMMYFUNCTION("""COMPUTED_VALUE"""),0.0)</f>
        <v>0</v>
      </c>
      <c r="EQ97" s="180">
        <f>IFERROR(__xludf.DUMMYFUNCTION("""COMPUTED_VALUE"""),45787.0)</f>
        <v>45787</v>
      </c>
      <c r="ER97" s="179">
        <f>IFERROR(__xludf.DUMMYFUNCTION("""COMPUTED_VALUE"""),0.0)</f>
        <v>0</v>
      </c>
      <c r="ES97" s="180">
        <f>IFERROR(__xludf.DUMMYFUNCTION("""COMPUTED_VALUE"""),45787.0)</f>
        <v>45787</v>
      </c>
      <c r="ET97" s="179">
        <f>IFERROR(__xludf.DUMMYFUNCTION("""COMPUTED_VALUE"""),0.0)</f>
        <v>0</v>
      </c>
      <c r="EU97" s="180">
        <f>IFERROR(__xludf.DUMMYFUNCTION("""COMPUTED_VALUE"""),45787.0)</f>
        <v>45787</v>
      </c>
      <c r="EV97" s="179">
        <f>IFERROR(__xludf.DUMMYFUNCTION("""COMPUTED_VALUE"""),0.0)</f>
        <v>0</v>
      </c>
      <c r="EW97" s="180">
        <f>IFERROR(__xludf.DUMMYFUNCTION("""COMPUTED_VALUE"""),45787.0)</f>
        <v>45787</v>
      </c>
      <c r="EX97" s="179">
        <f>IFERROR(__xludf.DUMMYFUNCTION("""COMPUTED_VALUE"""),0.0)</f>
        <v>0</v>
      </c>
      <c r="EY97" s="180">
        <f>IFERROR(__xludf.DUMMYFUNCTION("""COMPUTED_VALUE"""),45787.0)</f>
        <v>45787</v>
      </c>
      <c r="EZ97" s="179">
        <f>IFERROR(__xludf.DUMMYFUNCTION("""COMPUTED_VALUE"""),0.0)</f>
        <v>0</v>
      </c>
      <c r="FA97" s="180">
        <f>IFERROR(__xludf.DUMMYFUNCTION("""COMPUTED_VALUE"""),45787.0)</f>
        <v>45787</v>
      </c>
      <c r="FB97" s="179">
        <f>IFERROR(__xludf.DUMMYFUNCTION("""COMPUTED_VALUE"""),0.0)</f>
        <v>0</v>
      </c>
      <c r="FC97" s="180">
        <f>IFERROR(__xludf.DUMMYFUNCTION("""COMPUTED_VALUE"""),45787.0)</f>
        <v>45787</v>
      </c>
      <c r="FD97" s="179">
        <f>IFERROR(__xludf.DUMMYFUNCTION("""COMPUTED_VALUE"""),0.0)</f>
        <v>0</v>
      </c>
      <c r="FE97" s="180">
        <f>IFERROR(__xludf.DUMMYFUNCTION("""COMPUTED_VALUE"""),45787.0)</f>
        <v>45787</v>
      </c>
      <c r="FF97" s="179">
        <f>IFERROR(__xludf.DUMMYFUNCTION("""COMPUTED_VALUE"""),0.0)</f>
        <v>0</v>
      </c>
      <c r="FG97" s="182">
        <f>IFERROR(__xludf.DUMMYFUNCTION("""COMPUTED_VALUE"""),45787.0)</f>
        <v>45787</v>
      </c>
      <c r="FH97" s="179">
        <f>IFERROR(__xludf.DUMMYFUNCTION("""COMPUTED_VALUE"""),0.0)</f>
        <v>0</v>
      </c>
      <c r="FI97" s="180">
        <f>IFERROR(__xludf.DUMMYFUNCTION("""COMPUTED_VALUE"""),45757.0)</f>
        <v>45757</v>
      </c>
      <c r="FJ97" s="179">
        <f>IFERROR(__xludf.DUMMYFUNCTION("""COMPUTED_VALUE"""),0.0)</f>
        <v>0</v>
      </c>
      <c r="FK97" s="180">
        <f>IFERROR(__xludf.DUMMYFUNCTION("""COMPUTED_VALUE"""),45757.0)</f>
        <v>45757</v>
      </c>
      <c r="FL97" s="179">
        <f>IFERROR(__xludf.DUMMYFUNCTION("""COMPUTED_VALUE"""),0.0)</f>
        <v>0</v>
      </c>
      <c r="FM97" s="180">
        <f>IFERROR(__xludf.DUMMYFUNCTION("""COMPUTED_VALUE"""),45787.0)</f>
        <v>45787</v>
      </c>
      <c r="FN97" s="179">
        <f>IFERROR(__xludf.DUMMYFUNCTION("""COMPUTED_VALUE"""),0.0)</f>
        <v>0</v>
      </c>
      <c r="FO97" s="180">
        <f>IFERROR(__xludf.DUMMYFUNCTION("""COMPUTED_VALUE"""),45787.0)</f>
        <v>45787</v>
      </c>
      <c r="FP97" s="179">
        <f>IFERROR(__xludf.DUMMYFUNCTION("""COMPUTED_VALUE"""),0.0)</f>
        <v>0</v>
      </c>
      <c r="FQ97" s="180">
        <f>IFERROR(__xludf.DUMMYFUNCTION("""COMPUTED_VALUE"""),45787.0)</f>
        <v>45787</v>
      </c>
      <c r="FR97" s="179">
        <f>IFERROR(__xludf.DUMMYFUNCTION("""COMPUTED_VALUE"""),0.0)</f>
        <v>0</v>
      </c>
      <c r="FS97" s="180">
        <f>IFERROR(__xludf.DUMMYFUNCTION("""COMPUTED_VALUE"""),45757.0)</f>
        <v>45757</v>
      </c>
      <c r="FT97" s="179">
        <f>IFERROR(__xludf.DUMMYFUNCTION("""COMPUTED_VALUE"""),0.0)</f>
        <v>0</v>
      </c>
      <c r="FU97" s="180">
        <f>IFERROR(__xludf.DUMMYFUNCTION("""COMPUTED_VALUE"""),45787.0)</f>
        <v>45787</v>
      </c>
      <c r="FV97" s="179">
        <f>IFERROR(__xludf.DUMMYFUNCTION("""COMPUTED_VALUE"""),0.0)</f>
        <v>0</v>
      </c>
      <c r="FW97" s="180">
        <f>IFERROR(__xludf.DUMMYFUNCTION("""COMPUTED_VALUE"""),45787.0)</f>
        <v>45787</v>
      </c>
      <c r="FX97" s="179">
        <f>IFERROR(__xludf.DUMMYFUNCTION("""COMPUTED_VALUE"""),0.0)</f>
        <v>0</v>
      </c>
      <c r="FY97" s="180">
        <f>IFERROR(__xludf.DUMMYFUNCTION("""COMPUTED_VALUE"""),45698.0)</f>
        <v>45698</v>
      </c>
      <c r="FZ97" s="179">
        <f>IFERROR(__xludf.DUMMYFUNCTION("""COMPUTED_VALUE"""),0.0)</f>
        <v>0</v>
      </c>
      <c r="GA97" s="182">
        <f>IFERROR(__xludf.DUMMYFUNCTION("""COMPUTED_VALUE"""),45817.0)</f>
        <v>45817</v>
      </c>
      <c r="GB97" s="179">
        <f>IFERROR(__xludf.DUMMYFUNCTION("""COMPUTED_VALUE"""),0.0)</f>
        <v>0</v>
      </c>
      <c r="GC97" s="180">
        <f>IFERROR(__xludf.DUMMYFUNCTION("""COMPUTED_VALUE"""),45817.0)</f>
        <v>45817</v>
      </c>
      <c r="GD97" s="179">
        <f>IFERROR(__xludf.DUMMYFUNCTION("""COMPUTED_VALUE"""),0.0)</f>
        <v>0</v>
      </c>
      <c r="GE97" s="180">
        <f>IFERROR(__xludf.DUMMYFUNCTION("""COMPUTED_VALUE"""),45817.0)</f>
        <v>45817</v>
      </c>
      <c r="GF97" s="179">
        <f>IFERROR(__xludf.DUMMYFUNCTION("""COMPUTED_VALUE"""),0.0)</f>
        <v>0</v>
      </c>
      <c r="GG97" s="180">
        <f>IFERROR(__xludf.DUMMYFUNCTION("""COMPUTED_VALUE"""),45786.0)</f>
        <v>45786</v>
      </c>
      <c r="GH97" s="179">
        <f>IFERROR(__xludf.DUMMYFUNCTION("""COMPUTED_VALUE"""),0.0)</f>
        <v>0</v>
      </c>
      <c r="GI97" s="180">
        <f>IFERROR(__xludf.DUMMYFUNCTION("""COMPUTED_VALUE"""),45817.0)</f>
        <v>45817</v>
      </c>
      <c r="GJ97" s="179">
        <f>IFERROR(__xludf.DUMMYFUNCTION("""COMPUTED_VALUE"""),0.0)</f>
        <v>0</v>
      </c>
      <c r="GK97" s="180">
        <f>IFERROR(__xludf.DUMMYFUNCTION("""COMPUTED_VALUE"""),45817.0)</f>
        <v>45817</v>
      </c>
      <c r="GL97" s="179">
        <f>IFERROR(__xludf.DUMMYFUNCTION("""COMPUTED_VALUE"""),0.0)</f>
        <v>0</v>
      </c>
      <c r="GM97" s="180">
        <f>IFERROR(__xludf.DUMMYFUNCTION("""COMPUTED_VALUE"""),45756.0)</f>
        <v>45756</v>
      </c>
      <c r="GN97" s="179">
        <f>IFERROR(__xludf.DUMMYFUNCTION("""COMPUTED_VALUE"""),0.0)</f>
        <v>0</v>
      </c>
      <c r="GO97" s="180">
        <f>IFERROR(__xludf.DUMMYFUNCTION("""COMPUTED_VALUE"""),45817.0)</f>
        <v>45817</v>
      </c>
      <c r="GP97" s="179">
        <f>IFERROR(__xludf.DUMMYFUNCTION("""COMPUTED_VALUE"""),0.0)</f>
        <v>0</v>
      </c>
      <c r="GQ97" s="180">
        <f>IFERROR(__xludf.DUMMYFUNCTION("""COMPUTED_VALUE"""),45817.0)</f>
        <v>45817</v>
      </c>
      <c r="GR97" s="179">
        <f>IFERROR(__xludf.DUMMYFUNCTION("""COMPUTED_VALUE"""),0.0)</f>
        <v>0</v>
      </c>
      <c r="GS97" s="180">
        <f>IFERROR(__xludf.DUMMYFUNCTION("""COMPUTED_VALUE"""),45786.0)</f>
        <v>45786</v>
      </c>
      <c r="GT97" s="179">
        <f>IFERROR(__xludf.DUMMYFUNCTION("""COMPUTED_VALUE"""),0.0)</f>
        <v>0</v>
      </c>
    </row>
    <row r="98" ht="31.5" customHeight="1">
      <c r="B98" s="183"/>
      <c r="C98" s="178">
        <f>IFERROR(__xludf.DUMMYFUNCTION("""COMPUTED_VALUE"""),45818.0)</f>
        <v>45818</v>
      </c>
      <c r="D98" s="179">
        <f>IFERROR(__xludf.DUMMYFUNCTION("""COMPUTED_VALUE"""),0.0)</f>
        <v>0</v>
      </c>
      <c r="E98" s="180">
        <f>IFERROR(__xludf.DUMMYFUNCTION("""COMPUTED_VALUE"""),45818.0)</f>
        <v>45818</v>
      </c>
      <c r="F98" s="179">
        <f>IFERROR(__xludf.DUMMYFUNCTION("""COMPUTED_VALUE"""),0.0)</f>
        <v>0</v>
      </c>
      <c r="G98" s="180">
        <f>IFERROR(__xludf.DUMMYFUNCTION("""COMPUTED_VALUE"""),45818.0)</f>
        <v>45818</v>
      </c>
      <c r="H98" s="179">
        <f>IFERROR(__xludf.DUMMYFUNCTION("""COMPUTED_VALUE"""),0.0)</f>
        <v>0</v>
      </c>
      <c r="I98" s="180">
        <f>IFERROR(__xludf.DUMMYFUNCTION("""COMPUTED_VALUE"""),45818.0)</f>
        <v>45818</v>
      </c>
      <c r="J98" s="179">
        <f>IFERROR(__xludf.DUMMYFUNCTION("""COMPUTED_VALUE"""),0.0)</f>
        <v>0</v>
      </c>
      <c r="K98" s="180">
        <f>IFERROR(__xludf.DUMMYFUNCTION("""COMPUTED_VALUE"""),45818.0)</f>
        <v>45818</v>
      </c>
      <c r="L98" s="179">
        <f>IFERROR(__xludf.DUMMYFUNCTION("""COMPUTED_VALUE"""),0.0)</f>
        <v>0</v>
      </c>
      <c r="M98" s="180">
        <f>IFERROR(__xludf.DUMMYFUNCTION("""COMPUTED_VALUE"""),45818.0)</f>
        <v>45818</v>
      </c>
      <c r="N98" s="179">
        <f>IFERROR(__xludf.DUMMYFUNCTION("""COMPUTED_VALUE"""),0.0)</f>
        <v>0</v>
      </c>
      <c r="O98" s="180">
        <f>IFERROR(__xludf.DUMMYFUNCTION("""COMPUTED_VALUE"""),45818.0)</f>
        <v>45818</v>
      </c>
      <c r="P98" s="179">
        <f>IFERROR(__xludf.DUMMYFUNCTION("""COMPUTED_VALUE"""),0.0)</f>
        <v>0</v>
      </c>
      <c r="Q98" s="180">
        <f>IFERROR(__xludf.DUMMYFUNCTION("""COMPUTED_VALUE"""),45818.0)</f>
        <v>45818</v>
      </c>
      <c r="R98" s="179">
        <f>IFERROR(__xludf.DUMMYFUNCTION("""COMPUTED_VALUE"""),0.0)</f>
        <v>0</v>
      </c>
      <c r="S98" s="180">
        <f>IFERROR(__xludf.DUMMYFUNCTION("""COMPUTED_VALUE"""),45818.0)</f>
        <v>45818</v>
      </c>
      <c r="T98" s="179">
        <f>IFERROR(__xludf.DUMMYFUNCTION("""COMPUTED_VALUE"""),0.0)</f>
        <v>0</v>
      </c>
      <c r="U98" s="180">
        <f>IFERROR(__xludf.DUMMYFUNCTION("""COMPUTED_VALUE"""),45818.0)</f>
        <v>45818</v>
      </c>
      <c r="V98" s="181">
        <f>IFERROR(__xludf.DUMMYFUNCTION("""COMPUTED_VALUE"""),0.0)</f>
        <v>0</v>
      </c>
      <c r="W98" s="178">
        <f>IFERROR(__xludf.DUMMYFUNCTION("""COMPUTED_VALUE"""),45818.0)</f>
        <v>45818</v>
      </c>
      <c r="X98" s="179">
        <f>IFERROR(__xludf.DUMMYFUNCTION("""COMPUTED_VALUE"""),0.0)</f>
        <v>0</v>
      </c>
      <c r="Y98" s="180">
        <f>IFERROR(__xludf.DUMMYFUNCTION("""COMPUTED_VALUE"""),45818.0)</f>
        <v>45818</v>
      </c>
      <c r="Z98" s="179">
        <f>IFERROR(__xludf.DUMMYFUNCTION("""COMPUTED_VALUE"""),0.0)</f>
        <v>0</v>
      </c>
      <c r="AA98" s="180">
        <f>IFERROR(__xludf.DUMMYFUNCTION("""COMPUTED_VALUE"""),45818.0)</f>
        <v>45818</v>
      </c>
      <c r="AB98" s="179">
        <f>IFERROR(__xludf.DUMMYFUNCTION("""COMPUTED_VALUE"""),0.0)</f>
        <v>0</v>
      </c>
      <c r="AC98" s="180">
        <f>IFERROR(__xludf.DUMMYFUNCTION("""COMPUTED_VALUE"""),45726.0)</f>
        <v>45726</v>
      </c>
      <c r="AD98" s="179">
        <f>IFERROR(__xludf.DUMMYFUNCTION("""COMPUTED_VALUE"""),0.0)</f>
        <v>0</v>
      </c>
      <c r="AE98" s="180">
        <f>IFERROR(__xludf.DUMMYFUNCTION("""COMPUTED_VALUE"""),45818.0)</f>
        <v>45818</v>
      </c>
      <c r="AF98" s="179">
        <f>IFERROR(__xludf.DUMMYFUNCTION("""COMPUTED_VALUE"""),0.0)</f>
        <v>0</v>
      </c>
      <c r="AG98" s="180">
        <f>IFERROR(__xludf.DUMMYFUNCTION("""COMPUTED_VALUE"""),45818.0)</f>
        <v>45818</v>
      </c>
      <c r="AH98" s="179">
        <f>IFERROR(__xludf.DUMMYFUNCTION("""COMPUTED_VALUE"""),0.0)</f>
        <v>0</v>
      </c>
      <c r="AI98" s="180">
        <f>IFERROR(__xludf.DUMMYFUNCTION("""COMPUTED_VALUE"""),45818.0)</f>
        <v>45818</v>
      </c>
      <c r="AJ98" s="179">
        <f>IFERROR(__xludf.DUMMYFUNCTION("""COMPUTED_VALUE"""),0.0)</f>
        <v>0</v>
      </c>
      <c r="AK98" s="180">
        <f>IFERROR(__xludf.DUMMYFUNCTION("""COMPUTED_VALUE"""),45818.0)</f>
        <v>45818</v>
      </c>
      <c r="AL98" s="179">
        <f>IFERROR(__xludf.DUMMYFUNCTION("""COMPUTED_VALUE"""),0.0)</f>
        <v>0</v>
      </c>
      <c r="AM98" s="180">
        <f>IFERROR(__xludf.DUMMYFUNCTION("""COMPUTED_VALUE"""),45818.0)</f>
        <v>45818</v>
      </c>
      <c r="AN98" s="179">
        <f>IFERROR(__xludf.DUMMYFUNCTION("""COMPUTED_VALUE"""),0.0)</f>
        <v>0</v>
      </c>
      <c r="AO98" s="180">
        <f>IFERROR(__xludf.DUMMYFUNCTION("""COMPUTED_VALUE"""),45818.0)</f>
        <v>45818</v>
      </c>
      <c r="AP98" s="181">
        <f>IFERROR(__xludf.DUMMYFUNCTION("""COMPUTED_VALUE"""),0.0)</f>
        <v>0</v>
      </c>
      <c r="AQ98" s="178">
        <f>IFERROR(__xludf.DUMMYFUNCTION("""COMPUTED_VALUE"""),45818.0)</f>
        <v>45818</v>
      </c>
      <c r="AR98" s="179">
        <f>IFERROR(__xludf.DUMMYFUNCTION("""COMPUTED_VALUE"""),0.0)</f>
        <v>0</v>
      </c>
      <c r="AS98" s="180">
        <f>IFERROR(__xludf.DUMMYFUNCTION("""COMPUTED_VALUE"""),45818.0)</f>
        <v>45818</v>
      </c>
      <c r="AT98" s="179">
        <f>IFERROR(__xludf.DUMMYFUNCTION("""COMPUTED_VALUE"""),0.0)</f>
        <v>0</v>
      </c>
      <c r="AU98" s="180">
        <f>IFERROR(__xludf.DUMMYFUNCTION("""COMPUTED_VALUE"""),45787.0)</f>
        <v>45787</v>
      </c>
      <c r="AV98" s="179">
        <f>IFERROR(__xludf.DUMMYFUNCTION("""COMPUTED_VALUE"""),0.0)</f>
        <v>0</v>
      </c>
      <c r="AW98" s="180">
        <f>IFERROR(__xludf.DUMMYFUNCTION("""COMPUTED_VALUE"""),45787.0)</f>
        <v>45787</v>
      </c>
      <c r="AX98" s="179">
        <f>IFERROR(__xludf.DUMMYFUNCTION("""COMPUTED_VALUE"""),0.0)</f>
        <v>0</v>
      </c>
      <c r="AY98" s="180">
        <f>IFERROR(__xludf.DUMMYFUNCTION("""COMPUTED_VALUE"""),45818.0)</f>
        <v>45818</v>
      </c>
      <c r="AZ98" s="179">
        <f>IFERROR(__xludf.DUMMYFUNCTION("""COMPUTED_VALUE"""),0.0)</f>
        <v>0</v>
      </c>
      <c r="BA98" s="180">
        <f>IFERROR(__xludf.DUMMYFUNCTION("""COMPUTED_VALUE"""),45818.0)</f>
        <v>45818</v>
      </c>
      <c r="BB98" s="179">
        <f>IFERROR(__xludf.DUMMYFUNCTION("""COMPUTED_VALUE"""),0.0)</f>
        <v>0</v>
      </c>
      <c r="BC98" s="180">
        <f>IFERROR(__xludf.DUMMYFUNCTION("""COMPUTED_VALUE"""),45787.0)</f>
        <v>45787</v>
      </c>
      <c r="BD98" s="179">
        <f>IFERROR(__xludf.DUMMYFUNCTION("""COMPUTED_VALUE"""),0.0)</f>
        <v>0</v>
      </c>
      <c r="BE98" s="180">
        <f>IFERROR(__xludf.DUMMYFUNCTION("""COMPUTED_VALUE"""),45818.0)</f>
        <v>45818</v>
      </c>
      <c r="BF98" s="179">
        <f>IFERROR(__xludf.DUMMYFUNCTION("""COMPUTED_VALUE"""),0.0)</f>
        <v>0</v>
      </c>
      <c r="BG98" s="180">
        <f>IFERROR(__xludf.DUMMYFUNCTION("""COMPUTED_VALUE"""),45787.0)</f>
        <v>45787</v>
      </c>
      <c r="BH98" s="179">
        <f>IFERROR(__xludf.DUMMYFUNCTION("""COMPUTED_VALUE"""),0.0)</f>
        <v>0</v>
      </c>
      <c r="BI98" s="180">
        <f>IFERROR(__xludf.DUMMYFUNCTION("""COMPUTED_VALUE"""),45818.0)</f>
        <v>45818</v>
      </c>
      <c r="BJ98" s="179">
        <f>IFERROR(__xludf.DUMMYFUNCTION("""COMPUTED_VALUE"""),0.0)</f>
        <v>0</v>
      </c>
      <c r="BK98" s="182">
        <f>IFERROR(__xludf.DUMMYFUNCTION("""COMPUTED_VALUE"""),45818.0)</f>
        <v>45818</v>
      </c>
      <c r="BL98" s="179">
        <f>IFERROR(__xludf.DUMMYFUNCTION("""COMPUTED_VALUE"""),0.0)</f>
        <v>0</v>
      </c>
      <c r="BM98" s="180">
        <f>IFERROR(__xludf.DUMMYFUNCTION("""COMPUTED_VALUE"""),45818.0)</f>
        <v>45818</v>
      </c>
      <c r="BN98" s="179">
        <f>IFERROR(__xludf.DUMMYFUNCTION("""COMPUTED_VALUE"""),0.0)</f>
        <v>0</v>
      </c>
      <c r="BO98" s="180">
        <f>IFERROR(__xludf.DUMMYFUNCTION("""COMPUTED_VALUE"""),45787.0)</f>
        <v>45787</v>
      </c>
      <c r="BP98" s="179">
        <f>IFERROR(__xludf.DUMMYFUNCTION("""COMPUTED_VALUE"""),0.0)</f>
        <v>0</v>
      </c>
      <c r="BQ98" s="180">
        <f>IFERROR(__xludf.DUMMYFUNCTION("""COMPUTED_VALUE"""),45787.0)</f>
        <v>45787</v>
      </c>
      <c r="BR98" s="179">
        <f>IFERROR(__xludf.DUMMYFUNCTION("""COMPUTED_VALUE"""),0.0)</f>
        <v>0</v>
      </c>
      <c r="BS98" s="180">
        <f>IFERROR(__xludf.DUMMYFUNCTION("""COMPUTED_VALUE"""),45818.0)</f>
        <v>45818</v>
      </c>
      <c r="BT98" s="179">
        <f>IFERROR(__xludf.DUMMYFUNCTION("""COMPUTED_VALUE"""),0.0)</f>
        <v>0</v>
      </c>
      <c r="BU98" s="180">
        <f>IFERROR(__xludf.DUMMYFUNCTION("""COMPUTED_VALUE"""),45818.0)</f>
        <v>45818</v>
      </c>
      <c r="BV98" s="179">
        <f>IFERROR(__xludf.DUMMYFUNCTION("""COMPUTED_VALUE"""),0.0)</f>
        <v>0</v>
      </c>
      <c r="BW98" s="180">
        <f>IFERROR(__xludf.DUMMYFUNCTION("""COMPUTED_VALUE"""),45818.0)</f>
        <v>45818</v>
      </c>
      <c r="BX98" s="179">
        <f>IFERROR(__xludf.DUMMYFUNCTION("""COMPUTED_VALUE"""),0.0)</f>
        <v>0</v>
      </c>
      <c r="BY98" s="180">
        <f>IFERROR(__xludf.DUMMYFUNCTION("""COMPUTED_VALUE"""),45787.0)</f>
        <v>45787</v>
      </c>
      <c r="BZ98" s="179">
        <f>IFERROR(__xludf.DUMMYFUNCTION("""COMPUTED_VALUE"""),0.0)</f>
        <v>0</v>
      </c>
      <c r="CA98" s="180">
        <f>IFERROR(__xludf.DUMMYFUNCTION("""COMPUTED_VALUE"""),45818.0)</f>
        <v>45818</v>
      </c>
      <c r="CB98" s="179">
        <f>IFERROR(__xludf.DUMMYFUNCTION("""COMPUTED_VALUE"""),0.0)</f>
        <v>0</v>
      </c>
      <c r="CC98" s="180">
        <f>IFERROR(__xludf.DUMMYFUNCTION("""COMPUTED_VALUE"""),45818.0)</f>
        <v>45818</v>
      </c>
      <c r="CD98" s="179">
        <f>IFERROR(__xludf.DUMMYFUNCTION("""COMPUTED_VALUE"""),0.0)</f>
        <v>0</v>
      </c>
      <c r="CE98" s="182">
        <f>IFERROR(__xludf.DUMMYFUNCTION("""COMPUTED_VALUE"""),45818.0)</f>
        <v>45818</v>
      </c>
      <c r="CF98" s="179">
        <f>IFERROR(__xludf.DUMMYFUNCTION("""COMPUTED_VALUE"""),0.0)</f>
        <v>0</v>
      </c>
      <c r="CG98" s="180">
        <f>IFERROR(__xludf.DUMMYFUNCTION("""COMPUTED_VALUE"""),45787.0)</f>
        <v>45787</v>
      </c>
      <c r="CH98" s="179">
        <f>IFERROR(__xludf.DUMMYFUNCTION("""COMPUTED_VALUE"""),0.0)</f>
        <v>0</v>
      </c>
      <c r="CI98" s="180">
        <f>IFERROR(__xludf.DUMMYFUNCTION("""COMPUTED_VALUE"""),45787.0)</f>
        <v>45787</v>
      </c>
      <c r="CJ98" s="179">
        <f>IFERROR(__xludf.DUMMYFUNCTION("""COMPUTED_VALUE"""),0.0)</f>
        <v>0</v>
      </c>
      <c r="CK98" s="180">
        <f>IFERROR(__xludf.DUMMYFUNCTION("""COMPUTED_VALUE"""),45726.0)</f>
        <v>45726</v>
      </c>
      <c r="CL98" s="179">
        <f>IFERROR(__xludf.DUMMYFUNCTION("""COMPUTED_VALUE"""),0.0)</f>
        <v>0</v>
      </c>
      <c r="CM98" s="180">
        <f>IFERROR(__xludf.DUMMYFUNCTION("""COMPUTED_VALUE"""),45818.0)</f>
        <v>45818</v>
      </c>
      <c r="CN98" s="179">
        <f>IFERROR(__xludf.DUMMYFUNCTION("""COMPUTED_VALUE"""),0.0)</f>
        <v>0</v>
      </c>
      <c r="CO98" s="180">
        <f>IFERROR(__xludf.DUMMYFUNCTION("""COMPUTED_VALUE"""),45818.0)</f>
        <v>45818</v>
      </c>
      <c r="CP98" s="179">
        <f>IFERROR(__xludf.DUMMYFUNCTION("""COMPUTED_VALUE"""),0.0)</f>
        <v>0</v>
      </c>
      <c r="CQ98" s="180">
        <f>IFERROR(__xludf.DUMMYFUNCTION("""COMPUTED_VALUE"""),45787.0)</f>
        <v>45787</v>
      </c>
      <c r="CR98" s="179">
        <f>IFERROR(__xludf.DUMMYFUNCTION("""COMPUTED_VALUE"""),0.0)</f>
        <v>0</v>
      </c>
      <c r="CS98" s="180">
        <f>IFERROR(__xludf.DUMMYFUNCTION("""COMPUTED_VALUE"""),45818.0)</f>
        <v>45818</v>
      </c>
      <c r="CT98" s="179">
        <f>IFERROR(__xludf.DUMMYFUNCTION("""COMPUTED_VALUE"""),0.0)</f>
        <v>0</v>
      </c>
      <c r="CU98" s="180">
        <f>IFERROR(__xludf.DUMMYFUNCTION("""COMPUTED_VALUE"""),45818.0)</f>
        <v>45818</v>
      </c>
      <c r="CV98" s="179">
        <f>IFERROR(__xludf.DUMMYFUNCTION("""COMPUTED_VALUE"""),0.0)</f>
        <v>0</v>
      </c>
      <c r="CW98" s="180">
        <f>IFERROR(__xludf.DUMMYFUNCTION("""COMPUTED_VALUE"""),45787.0)</f>
        <v>45787</v>
      </c>
      <c r="CX98" s="179">
        <f>IFERROR(__xludf.DUMMYFUNCTION("""COMPUTED_VALUE"""),0.0)</f>
        <v>0</v>
      </c>
      <c r="CY98" s="182">
        <f>IFERROR(__xludf.DUMMYFUNCTION("""COMPUTED_VALUE"""),45818.0)</f>
        <v>45818</v>
      </c>
      <c r="CZ98" s="179">
        <f>IFERROR(__xludf.DUMMYFUNCTION("""COMPUTED_VALUE"""),0.0)</f>
        <v>0</v>
      </c>
      <c r="DA98" s="180">
        <f>IFERROR(__xludf.DUMMYFUNCTION("""COMPUTED_VALUE"""),45818.0)</f>
        <v>45818</v>
      </c>
      <c r="DB98" s="179">
        <f>IFERROR(__xludf.DUMMYFUNCTION("""COMPUTED_VALUE"""),0.0)</f>
        <v>0</v>
      </c>
      <c r="DC98" s="180">
        <f>IFERROR(__xludf.DUMMYFUNCTION("""COMPUTED_VALUE"""),45818.0)</f>
        <v>45818</v>
      </c>
      <c r="DD98" s="179">
        <f>IFERROR(__xludf.DUMMYFUNCTION("""COMPUTED_VALUE"""),0.0)</f>
        <v>0</v>
      </c>
      <c r="DE98" s="180">
        <f>IFERROR(__xludf.DUMMYFUNCTION("""COMPUTED_VALUE"""),45818.0)</f>
        <v>45818</v>
      </c>
      <c r="DF98" s="179">
        <f>IFERROR(__xludf.DUMMYFUNCTION("""COMPUTED_VALUE"""),0.0)</f>
        <v>0</v>
      </c>
      <c r="DG98" s="180">
        <f>IFERROR(__xludf.DUMMYFUNCTION("""COMPUTED_VALUE"""),45818.0)</f>
        <v>45818</v>
      </c>
      <c r="DH98" s="179">
        <f>IFERROR(__xludf.DUMMYFUNCTION("""COMPUTED_VALUE"""),0.0)</f>
        <v>0</v>
      </c>
      <c r="DI98" s="180">
        <f>IFERROR(__xludf.DUMMYFUNCTION("""COMPUTED_VALUE"""),45818.0)</f>
        <v>45818</v>
      </c>
      <c r="DJ98" s="179">
        <f>IFERROR(__xludf.DUMMYFUNCTION("""COMPUTED_VALUE"""),0.0)</f>
        <v>0</v>
      </c>
      <c r="DK98" s="180">
        <f>IFERROR(__xludf.DUMMYFUNCTION("""COMPUTED_VALUE"""),45818.0)</f>
        <v>45818</v>
      </c>
      <c r="DL98" s="179">
        <f>IFERROR(__xludf.DUMMYFUNCTION("""COMPUTED_VALUE"""),0.0)</f>
        <v>0</v>
      </c>
      <c r="DM98" s="180">
        <f>IFERROR(__xludf.DUMMYFUNCTION("""COMPUTED_VALUE"""),45818.0)</f>
        <v>45818</v>
      </c>
      <c r="DN98" s="179">
        <f>IFERROR(__xludf.DUMMYFUNCTION("""COMPUTED_VALUE"""),0.0)</f>
        <v>0</v>
      </c>
      <c r="DO98" s="180">
        <f>IFERROR(__xludf.DUMMYFUNCTION("""COMPUTED_VALUE"""),45818.0)</f>
        <v>45818</v>
      </c>
      <c r="DP98" s="179">
        <f>IFERROR(__xludf.DUMMYFUNCTION("""COMPUTED_VALUE"""),0.0)</f>
        <v>0</v>
      </c>
      <c r="DQ98" s="180">
        <f>IFERROR(__xludf.DUMMYFUNCTION("""COMPUTED_VALUE"""),45818.0)</f>
        <v>45818</v>
      </c>
      <c r="DR98" s="179">
        <f>IFERROR(__xludf.DUMMYFUNCTION("""COMPUTED_VALUE"""),0.0)</f>
        <v>0</v>
      </c>
      <c r="DS98" s="182">
        <f>IFERROR(__xludf.DUMMYFUNCTION("""COMPUTED_VALUE"""),45818.0)</f>
        <v>45818</v>
      </c>
      <c r="DT98" s="179">
        <f>IFERROR(__xludf.DUMMYFUNCTION("""COMPUTED_VALUE"""),0.0)</f>
        <v>0</v>
      </c>
      <c r="DU98" s="180">
        <f>IFERROR(__xludf.DUMMYFUNCTION("""COMPUTED_VALUE"""),45818.0)</f>
        <v>45818</v>
      </c>
      <c r="DV98" s="179">
        <f>IFERROR(__xludf.DUMMYFUNCTION("""COMPUTED_VALUE"""),0.0)</f>
        <v>0</v>
      </c>
      <c r="DW98" s="180">
        <f>IFERROR(__xludf.DUMMYFUNCTION("""COMPUTED_VALUE"""),45818.0)</f>
        <v>45818</v>
      </c>
      <c r="DX98" s="179">
        <f>IFERROR(__xludf.DUMMYFUNCTION("""COMPUTED_VALUE"""),0.0)</f>
        <v>0</v>
      </c>
      <c r="DY98" s="180">
        <f>IFERROR(__xludf.DUMMYFUNCTION("""COMPUTED_VALUE"""),45818.0)</f>
        <v>45818</v>
      </c>
      <c r="DZ98" s="179">
        <f>IFERROR(__xludf.DUMMYFUNCTION("""COMPUTED_VALUE"""),0.0)</f>
        <v>0</v>
      </c>
      <c r="EA98" s="180">
        <f>IFERROR(__xludf.DUMMYFUNCTION("""COMPUTED_VALUE"""),45818.0)</f>
        <v>45818</v>
      </c>
      <c r="EB98" s="179">
        <f>IFERROR(__xludf.DUMMYFUNCTION("""COMPUTED_VALUE"""),0.0)</f>
        <v>0</v>
      </c>
      <c r="EC98" s="180">
        <f>IFERROR(__xludf.DUMMYFUNCTION("""COMPUTED_VALUE"""),45818.0)</f>
        <v>45818</v>
      </c>
      <c r="ED98" s="179">
        <f>IFERROR(__xludf.DUMMYFUNCTION("""COMPUTED_VALUE"""),0.0)</f>
        <v>0</v>
      </c>
      <c r="EE98" s="180">
        <f>IFERROR(__xludf.DUMMYFUNCTION("""COMPUTED_VALUE"""),45818.0)</f>
        <v>45818</v>
      </c>
      <c r="EF98" s="179">
        <f>IFERROR(__xludf.DUMMYFUNCTION("""COMPUTED_VALUE"""),0.0)</f>
        <v>0</v>
      </c>
      <c r="EG98" s="180">
        <f>IFERROR(__xludf.DUMMYFUNCTION("""COMPUTED_VALUE"""),45818.0)</f>
        <v>45818</v>
      </c>
      <c r="EH98" s="179">
        <f>IFERROR(__xludf.DUMMYFUNCTION("""COMPUTED_VALUE"""),0.0)</f>
        <v>0</v>
      </c>
      <c r="EI98" s="180">
        <f>IFERROR(__xludf.DUMMYFUNCTION("""COMPUTED_VALUE"""),45818.0)</f>
        <v>45818</v>
      </c>
      <c r="EJ98" s="179">
        <f>IFERROR(__xludf.DUMMYFUNCTION("""COMPUTED_VALUE"""),0.0)</f>
        <v>0</v>
      </c>
      <c r="EK98" s="180">
        <f>IFERROR(__xludf.DUMMYFUNCTION("""COMPUTED_VALUE"""),45818.0)</f>
        <v>45818</v>
      </c>
      <c r="EL98" s="179">
        <f>IFERROR(__xludf.DUMMYFUNCTION("""COMPUTED_VALUE"""),0.0)</f>
        <v>0</v>
      </c>
      <c r="EM98" s="182">
        <f>IFERROR(__xludf.DUMMYFUNCTION("""COMPUTED_VALUE"""),45818.0)</f>
        <v>45818</v>
      </c>
      <c r="EN98" s="179">
        <f>IFERROR(__xludf.DUMMYFUNCTION("""COMPUTED_VALUE"""),0.0)</f>
        <v>0</v>
      </c>
      <c r="EO98" s="180">
        <f>IFERROR(__xludf.DUMMYFUNCTION("""COMPUTED_VALUE"""),45818.0)</f>
        <v>45818</v>
      </c>
      <c r="EP98" s="179">
        <f>IFERROR(__xludf.DUMMYFUNCTION("""COMPUTED_VALUE"""),0.0)</f>
        <v>0</v>
      </c>
      <c r="EQ98" s="180">
        <f>IFERROR(__xludf.DUMMYFUNCTION("""COMPUTED_VALUE"""),45818.0)</f>
        <v>45818</v>
      </c>
      <c r="ER98" s="179">
        <f>IFERROR(__xludf.DUMMYFUNCTION("""COMPUTED_VALUE"""),0.0)</f>
        <v>0</v>
      </c>
      <c r="ES98" s="180">
        <f>IFERROR(__xludf.DUMMYFUNCTION("""COMPUTED_VALUE"""),45818.0)</f>
        <v>45818</v>
      </c>
      <c r="ET98" s="179">
        <f>IFERROR(__xludf.DUMMYFUNCTION("""COMPUTED_VALUE"""),0.0)</f>
        <v>0</v>
      </c>
      <c r="EU98" s="180">
        <f>IFERROR(__xludf.DUMMYFUNCTION("""COMPUTED_VALUE"""),45818.0)</f>
        <v>45818</v>
      </c>
      <c r="EV98" s="179">
        <f>IFERROR(__xludf.DUMMYFUNCTION("""COMPUTED_VALUE"""),0.0)</f>
        <v>0</v>
      </c>
      <c r="EW98" s="180">
        <f>IFERROR(__xludf.DUMMYFUNCTION("""COMPUTED_VALUE"""),45818.0)</f>
        <v>45818</v>
      </c>
      <c r="EX98" s="179">
        <f>IFERROR(__xludf.DUMMYFUNCTION("""COMPUTED_VALUE"""),0.0)</f>
        <v>0</v>
      </c>
      <c r="EY98" s="180">
        <f>IFERROR(__xludf.DUMMYFUNCTION("""COMPUTED_VALUE"""),45818.0)</f>
        <v>45818</v>
      </c>
      <c r="EZ98" s="179">
        <f>IFERROR(__xludf.DUMMYFUNCTION("""COMPUTED_VALUE"""),0.0)</f>
        <v>0</v>
      </c>
      <c r="FA98" s="180">
        <f>IFERROR(__xludf.DUMMYFUNCTION("""COMPUTED_VALUE"""),45818.0)</f>
        <v>45818</v>
      </c>
      <c r="FB98" s="179">
        <f>IFERROR(__xludf.DUMMYFUNCTION("""COMPUTED_VALUE"""),0.0)</f>
        <v>0</v>
      </c>
      <c r="FC98" s="180">
        <f>IFERROR(__xludf.DUMMYFUNCTION("""COMPUTED_VALUE"""),45818.0)</f>
        <v>45818</v>
      </c>
      <c r="FD98" s="179">
        <f>IFERROR(__xludf.DUMMYFUNCTION("""COMPUTED_VALUE"""),0.0)</f>
        <v>0</v>
      </c>
      <c r="FE98" s="180">
        <f>IFERROR(__xludf.DUMMYFUNCTION("""COMPUTED_VALUE"""),45818.0)</f>
        <v>45818</v>
      </c>
      <c r="FF98" s="179">
        <f>IFERROR(__xludf.DUMMYFUNCTION("""COMPUTED_VALUE"""),0.0)</f>
        <v>0</v>
      </c>
      <c r="FG98" s="182">
        <f>IFERROR(__xludf.DUMMYFUNCTION("""COMPUTED_VALUE"""),45818.0)</f>
        <v>45818</v>
      </c>
      <c r="FH98" s="179">
        <f>IFERROR(__xludf.DUMMYFUNCTION("""COMPUTED_VALUE"""),0.0)</f>
        <v>0</v>
      </c>
      <c r="FI98" s="180">
        <f>IFERROR(__xludf.DUMMYFUNCTION("""COMPUTED_VALUE"""),45787.0)</f>
        <v>45787</v>
      </c>
      <c r="FJ98" s="179">
        <f>IFERROR(__xludf.DUMMYFUNCTION("""COMPUTED_VALUE"""),0.0)</f>
        <v>0</v>
      </c>
      <c r="FK98" s="180">
        <f>IFERROR(__xludf.DUMMYFUNCTION("""COMPUTED_VALUE"""),45787.0)</f>
        <v>45787</v>
      </c>
      <c r="FL98" s="179">
        <f>IFERROR(__xludf.DUMMYFUNCTION("""COMPUTED_VALUE"""),0.0)</f>
        <v>0</v>
      </c>
      <c r="FM98" s="180">
        <f>IFERROR(__xludf.DUMMYFUNCTION("""COMPUTED_VALUE"""),45818.0)</f>
        <v>45818</v>
      </c>
      <c r="FN98" s="179">
        <f>IFERROR(__xludf.DUMMYFUNCTION("""COMPUTED_VALUE"""),0.0)</f>
        <v>0</v>
      </c>
      <c r="FO98" s="180">
        <f>IFERROR(__xludf.DUMMYFUNCTION("""COMPUTED_VALUE"""),45818.0)</f>
        <v>45818</v>
      </c>
      <c r="FP98" s="179">
        <f>IFERROR(__xludf.DUMMYFUNCTION("""COMPUTED_VALUE"""),0.0)</f>
        <v>0</v>
      </c>
      <c r="FQ98" s="180">
        <f>IFERROR(__xludf.DUMMYFUNCTION("""COMPUTED_VALUE"""),45818.0)</f>
        <v>45818</v>
      </c>
      <c r="FR98" s="179">
        <f>IFERROR(__xludf.DUMMYFUNCTION("""COMPUTED_VALUE"""),0.0)</f>
        <v>0</v>
      </c>
      <c r="FS98" s="180">
        <f>IFERROR(__xludf.DUMMYFUNCTION("""COMPUTED_VALUE"""),45787.0)</f>
        <v>45787</v>
      </c>
      <c r="FT98" s="179">
        <f>IFERROR(__xludf.DUMMYFUNCTION("""COMPUTED_VALUE"""),0.0)</f>
        <v>0</v>
      </c>
      <c r="FU98" s="180">
        <f>IFERROR(__xludf.DUMMYFUNCTION("""COMPUTED_VALUE"""),45818.0)</f>
        <v>45818</v>
      </c>
      <c r="FV98" s="179">
        <f>IFERROR(__xludf.DUMMYFUNCTION("""COMPUTED_VALUE"""),0.0)</f>
        <v>0</v>
      </c>
      <c r="FW98" s="180">
        <f>IFERROR(__xludf.DUMMYFUNCTION("""COMPUTED_VALUE"""),45818.0)</f>
        <v>45818</v>
      </c>
      <c r="FX98" s="179">
        <f>IFERROR(__xludf.DUMMYFUNCTION("""COMPUTED_VALUE"""),0.0)</f>
        <v>0</v>
      </c>
      <c r="FY98" s="180">
        <f>IFERROR(__xludf.DUMMYFUNCTION("""COMPUTED_VALUE"""),45726.0)</f>
        <v>45726</v>
      </c>
      <c r="FZ98" s="179">
        <f>IFERROR(__xludf.DUMMYFUNCTION("""COMPUTED_VALUE"""),0.0)</f>
        <v>0</v>
      </c>
      <c r="GA98" s="182">
        <f>IFERROR(__xludf.DUMMYFUNCTION("""COMPUTED_VALUE"""),45847.0)</f>
        <v>45847</v>
      </c>
      <c r="GB98" s="179">
        <f>IFERROR(__xludf.DUMMYFUNCTION("""COMPUTED_VALUE"""),0.0)</f>
        <v>0</v>
      </c>
      <c r="GC98" s="180">
        <f>IFERROR(__xludf.DUMMYFUNCTION("""COMPUTED_VALUE"""),45847.0)</f>
        <v>45847</v>
      </c>
      <c r="GD98" s="179">
        <f>IFERROR(__xludf.DUMMYFUNCTION("""COMPUTED_VALUE"""),0.0)</f>
        <v>0</v>
      </c>
      <c r="GE98" s="180">
        <f>IFERROR(__xludf.DUMMYFUNCTION("""COMPUTED_VALUE"""),45847.0)</f>
        <v>45847</v>
      </c>
      <c r="GF98" s="179">
        <f>IFERROR(__xludf.DUMMYFUNCTION("""COMPUTED_VALUE"""),0.0)</f>
        <v>0</v>
      </c>
      <c r="GG98" s="180">
        <f>IFERROR(__xludf.DUMMYFUNCTION("""COMPUTED_VALUE"""),45817.0)</f>
        <v>45817</v>
      </c>
      <c r="GH98" s="179">
        <f>IFERROR(__xludf.DUMMYFUNCTION("""COMPUTED_VALUE"""),0.0)</f>
        <v>0</v>
      </c>
      <c r="GI98" s="180">
        <f>IFERROR(__xludf.DUMMYFUNCTION("""COMPUTED_VALUE"""),45847.0)</f>
        <v>45847</v>
      </c>
      <c r="GJ98" s="179">
        <f>IFERROR(__xludf.DUMMYFUNCTION("""COMPUTED_VALUE"""),0.0)</f>
        <v>0</v>
      </c>
      <c r="GK98" s="180">
        <f>IFERROR(__xludf.DUMMYFUNCTION("""COMPUTED_VALUE"""),45847.0)</f>
        <v>45847</v>
      </c>
      <c r="GL98" s="179">
        <f>IFERROR(__xludf.DUMMYFUNCTION("""COMPUTED_VALUE"""),0.0)</f>
        <v>0</v>
      </c>
      <c r="GM98" s="180">
        <f>IFERROR(__xludf.DUMMYFUNCTION("""COMPUTED_VALUE"""),45786.0)</f>
        <v>45786</v>
      </c>
      <c r="GN98" s="179">
        <f>IFERROR(__xludf.DUMMYFUNCTION("""COMPUTED_VALUE"""),0.0)</f>
        <v>0</v>
      </c>
      <c r="GO98" s="180">
        <f>IFERROR(__xludf.DUMMYFUNCTION("""COMPUTED_VALUE"""),45847.0)</f>
        <v>45847</v>
      </c>
      <c r="GP98" s="179">
        <f>IFERROR(__xludf.DUMMYFUNCTION("""COMPUTED_VALUE"""),0.0)</f>
        <v>0</v>
      </c>
      <c r="GQ98" s="180">
        <f>IFERROR(__xludf.DUMMYFUNCTION("""COMPUTED_VALUE"""),45847.0)</f>
        <v>45847</v>
      </c>
      <c r="GR98" s="179">
        <f>IFERROR(__xludf.DUMMYFUNCTION("""COMPUTED_VALUE"""),0.0)</f>
        <v>0</v>
      </c>
      <c r="GS98" s="180">
        <f>IFERROR(__xludf.DUMMYFUNCTION("""COMPUTED_VALUE"""),45817.0)</f>
        <v>45817</v>
      </c>
      <c r="GT98" s="179">
        <f>IFERROR(__xludf.DUMMYFUNCTION("""COMPUTED_VALUE"""),0.0)</f>
        <v>0</v>
      </c>
    </row>
    <row r="99" ht="31.5" customHeight="1">
      <c r="B99" s="183"/>
      <c r="C99" s="178">
        <f>IFERROR(__xludf.DUMMYFUNCTION("""COMPUTED_VALUE"""),45848.0)</f>
        <v>45848</v>
      </c>
      <c r="D99" s="179">
        <f>IFERROR(__xludf.DUMMYFUNCTION("""COMPUTED_VALUE"""),0.0)</f>
        <v>0</v>
      </c>
      <c r="E99" s="180">
        <f>IFERROR(__xludf.DUMMYFUNCTION("""COMPUTED_VALUE"""),45848.0)</f>
        <v>45848</v>
      </c>
      <c r="F99" s="179">
        <f>IFERROR(__xludf.DUMMYFUNCTION("""COMPUTED_VALUE"""),0.0)</f>
        <v>0</v>
      </c>
      <c r="G99" s="180">
        <f>IFERROR(__xludf.DUMMYFUNCTION("""COMPUTED_VALUE"""),45848.0)</f>
        <v>45848</v>
      </c>
      <c r="H99" s="179">
        <f>IFERROR(__xludf.DUMMYFUNCTION("""COMPUTED_VALUE"""),0.0)</f>
        <v>0</v>
      </c>
      <c r="I99" s="180">
        <f>IFERROR(__xludf.DUMMYFUNCTION("""COMPUTED_VALUE"""),45848.0)</f>
        <v>45848</v>
      </c>
      <c r="J99" s="179">
        <f>IFERROR(__xludf.DUMMYFUNCTION("""COMPUTED_VALUE"""),0.0)</f>
        <v>0</v>
      </c>
      <c r="K99" s="180">
        <f>IFERROR(__xludf.DUMMYFUNCTION("""COMPUTED_VALUE"""),45848.0)</f>
        <v>45848</v>
      </c>
      <c r="L99" s="179">
        <f>IFERROR(__xludf.DUMMYFUNCTION("""COMPUTED_VALUE"""),0.0)</f>
        <v>0</v>
      </c>
      <c r="M99" s="180">
        <f>IFERROR(__xludf.DUMMYFUNCTION("""COMPUTED_VALUE"""),45848.0)</f>
        <v>45848</v>
      </c>
      <c r="N99" s="179">
        <f>IFERROR(__xludf.DUMMYFUNCTION("""COMPUTED_VALUE"""),0.0)</f>
        <v>0</v>
      </c>
      <c r="O99" s="180">
        <f>IFERROR(__xludf.DUMMYFUNCTION("""COMPUTED_VALUE"""),45848.0)</f>
        <v>45848</v>
      </c>
      <c r="P99" s="179">
        <f>IFERROR(__xludf.DUMMYFUNCTION("""COMPUTED_VALUE"""),0.0)</f>
        <v>0</v>
      </c>
      <c r="Q99" s="180">
        <f>IFERROR(__xludf.DUMMYFUNCTION("""COMPUTED_VALUE"""),45848.0)</f>
        <v>45848</v>
      </c>
      <c r="R99" s="179">
        <f>IFERROR(__xludf.DUMMYFUNCTION("""COMPUTED_VALUE"""),0.0)</f>
        <v>0</v>
      </c>
      <c r="S99" s="180">
        <f>IFERROR(__xludf.DUMMYFUNCTION("""COMPUTED_VALUE"""),45848.0)</f>
        <v>45848</v>
      </c>
      <c r="T99" s="179">
        <f>IFERROR(__xludf.DUMMYFUNCTION("""COMPUTED_VALUE"""),0.0)</f>
        <v>0</v>
      </c>
      <c r="U99" s="180">
        <f>IFERROR(__xludf.DUMMYFUNCTION("""COMPUTED_VALUE"""),45848.0)</f>
        <v>45848</v>
      </c>
      <c r="V99" s="181">
        <f>IFERROR(__xludf.DUMMYFUNCTION("""COMPUTED_VALUE"""),0.0)</f>
        <v>0</v>
      </c>
      <c r="W99" s="178">
        <f>IFERROR(__xludf.DUMMYFUNCTION("""COMPUTED_VALUE"""),45848.0)</f>
        <v>45848</v>
      </c>
      <c r="X99" s="179">
        <f>IFERROR(__xludf.DUMMYFUNCTION("""COMPUTED_VALUE"""),0.0)</f>
        <v>0</v>
      </c>
      <c r="Y99" s="180">
        <f>IFERROR(__xludf.DUMMYFUNCTION("""COMPUTED_VALUE"""),45848.0)</f>
        <v>45848</v>
      </c>
      <c r="Z99" s="179">
        <f>IFERROR(__xludf.DUMMYFUNCTION("""COMPUTED_VALUE"""),0.0)</f>
        <v>0</v>
      </c>
      <c r="AA99" s="180">
        <f>IFERROR(__xludf.DUMMYFUNCTION("""COMPUTED_VALUE"""),45848.0)</f>
        <v>45848</v>
      </c>
      <c r="AB99" s="179">
        <f>IFERROR(__xludf.DUMMYFUNCTION("""COMPUTED_VALUE"""),0.0)</f>
        <v>0</v>
      </c>
      <c r="AC99" s="180">
        <f>IFERROR(__xludf.DUMMYFUNCTION("""COMPUTED_VALUE"""),45787.0)</f>
        <v>45787</v>
      </c>
      <c r="AD99" s="179">
        <f>IFERROR(__xludf.DUMMYFUNCTION("""COMPUTED_VALUE"""),0.0)</f>
        <v>0</v>
      </c>
      <c r="AE99" s="180">
        <f>IFERROR(__xludf.DUMMYFUNCTION("""COMPUTED_VALUE"""),45848.0)</f>
        <v>45848</v>
      </c>
      <c r="AF99" s="179">
        <f>IFERROR(__xludf.DUMMYFUNCTION("""COMPUTED_VALUE"""),0.0)</f>
        <v>0</v>
      </c>
      <c r="AG99" s="180">
        <f>IFERROR(__xludf.DUMMYFUNCTION("""COMPUTED_VALUE"""),45848.0)</f>
        <v>45848</v>
      </c>
      <c r="AH99" s="179">
        <f>IFERROR(__xludf.DUMMYFUNCTION("""COMPUTED_VALUE"""),0.0)</f>
        <v>0</v>
      </c>
      <c r="AI99" s="180">
        <f>IFERROR(__xludf.DUMMYFUNCTION("""COMPUTED_VALUE"""),45848.0)</f>
        <v>45848</v>
      </c>
      <c r="AJ99" s="179">
        <f>IFERROR(__xludf.DUMMYFUNCTION("""COMPUTED_VALUE"""),0.0)</f>
        <v>0</v>
      </c>
      <c r="AK99" s="180">
        <f>IFERROR(__xludf.DUMMYFUNCTION("""COMPUTED_VALUE"""),45848.0)</f>
        <v>45848</v>
      </c>
      <c r="AL99" s="179">
        <f>IFERROR(__xludf.DUMMYFUNCTION("""COMPUTED_VALUE"""),0.0)</f>
        <v>0</v>
      </c>
      <c r="AM99" s="180">
        <f>IFERROR(__xludf.DUMMYFUNCTION("""COMPUTED_VALUE"""),45848.0)</f>
        <v>45848</v>
      </c>
      <c r="AN99" s="179">
        <f>IFERROR(__xludf.DUMMYFUNCTION("""COMPUTED_VALUE"""),0.0)</f>
        <v>0</v>
      </c>
      <c r="AO99" s="180">
        <f>IFERROR(__xludf.DUMMYFUNCTION("""COMPUTED_VALUE"""),45848.0)</f>
        <v>45848</v>
      </c>
      <c r="AP99" s="181">
        <f>IFERROR(__xludf.DUMMYFUNCTION("""COMPUTED_VALUE"""),0.0)</f>
        <v>0</v>
      </c>
      <c r="AQ99" s="178">
        <f>IFERROR(__xludf.DUMMYFUNCTION("""COMPUTED_VALUE"""),45848.0)</f>
        <v>45848</v>
      </c>
      <c r="AR99" s="179">
        <f>IFERROR(__xludf.DUMMYFUNCTION("""COMPUTED_VALUE"""),0.0)</f>
        <v>0</v>
      </c>
      <c r="AS99" s="180">
        <f>IFERROR(__xludf.DUMMYFUNCTION("""COMPUTED_VALUE"""),45848.0)</f>
        <v>45848</v>
      </c>
      <c r="AT99" s="179">
        <f>IFERROR(__xludf.DUMMYFUNCTION("""COMPUTED_VALUE"""),0.0)</f>
        <v>0</v>
      </c>
      <c r="AU99" s="180">
        <f>IFERROR(__xludf.DUMMYFUNCTION("""COMPUTED_VALUE"""),45818.0)</f>
        <v>45818</v>
      </c>
      <c r="AV99" s="179">
        <f>IFERROR(__xludf.DUMMYFUNCTION("""COMPUTED_VALUE"""),0.0)</f>
        <v>0</v>
      </c>
      <c r="AW99" s="180">
        <f>IFERROR(__xludf.DUMMYFUNCTION("""COMPUTED_VALUE"""),45818.0)</f>
        <v>45818</v>
      </c>
      <c r="AX99" s="179">
        <f>IFERROR(__xludf.DUMMYFUNCTION("""COMPUTED_VALUE"""),0.0)</f>
        <v>0</v>
      </c>
      <c r="AY99" s="180">
        <f>IFERROR(__xludf.DUMMYFUNCTION("""COMPUTED_VALUE"""),45848.0)</f>
        <v>45848</v>
      </c>
      <c r="AZ99" s="179">
        <f>IFERROR(__xludf.DUMMYFUNCTION("""COMPUTED_VALUE"""),0.0)</f>
        <v>0</v>
      </c>
      <c r="BA99" s="180">
        <f>IFERROR(__xludf.DUMMYFUNCTION("""COMPUTED_VALUE"""),45848.0)</f>
        <v>45848</v>
      </c>
      <c r="BB99" s="179">
        <f>IFERROR(__xludf.DUMMYFUNCTION("""COMPUTED_VALUE"""),0.0)</f>
        <v>0</v>
      </c>
      <c r="BC99" s="180">
        <f>IFERROR(__xludf.DUMMYFUNCTION("""COMPUTED_VALUE"""),45818.0)</f>
        <v>45818</v>
      </c>
      <c r="BD99" s="179">
        <f>IFERROR(__xludf.DUMMYFUNCTION("""COMPUTED_VALUE"""),0.0)</f>
        <v>0</v>
      </c>
      <c r="BE99" s="180">
        <f>IFERROR(__xludf.DUMMYFUNCTION("""COMPUTED_VALUE"""),45848.0)</f>
        <v>45848</v>
      </c>
      <c r="BF99" s="179">
        <f>IFERROR(__xludf.DUMMYFUNCTION("""COMPUTED_VALUE"""),0.0)</f>
        <v>0</v>
      </c>
      <c r="BG99" s="180">
        <f>IFERROR(__xludf.DUMMYFUNCTION("""COMPUTED_VALUE"""),45818.0)</f>
        <v>45818</v>
      </c>
      <c r="BH99" s="179">
        <f>IFERROR(__xludf.DUMMYFUNCTION("""COMPUTED_VALUE"""),0.0)</f>
        <v>0</v>
      </c>
      <c r="BI99" s="180">
        <f>IFERROR(__xludf.DUMMYFUNCTION("""COMPUTED_VALUE"""),45848.0)</f>
        <v>45848</v>
      </c>
      <c r="BJ99" s="179">
        <f>IFERROR(__xludf.DUMMYFUNCTION("""COMPUTED_VALUE"""),0.0)</f>
        <v>0</v>
      </c>
      <c r="BK99" s="182">
        <f>IFERROR(__xludf.DUMMYFUNCTION("""COMPUTED_VALUE"""),45848.0)</f>
        <v>45848</v>
      </c>
      <c r="BL99" s="179">
        <f>IFERROR(__xludf.DUMMYFUNCTION("""COMPUTED_VALUE"""),0.0)</f>
        <v>0</v>
      </c>
      <c r="BM99" s="180">
        <f>IFERROR(__xludf.DUMMYFUNCTION("""COMPUTED_VALUE"""),45848.0)</f>
        <v>45848</v>
      </c>
      <c r="BN99" s="179">
        <f>IFERROR(__xludf.DUMMYFUNCTION("""COMPUTED_VALUE"""),0.0)</f>
        <v>0</v>
      </c>
      <c r="BO99" s="180">
        <f>IFERROR(__xludf.DUMMYFUNCTION("""COMPUTED_VALUE"""),45818.0)</f>
        <v>45818</v>
      </c>
      <c r="BP99" s="179">
        <f>IFERROR(__xludf.DUMMYFUNCTION("""COMPUTED_VALUE"""),0.0)</f>
        <v>0</v>
      </c>
      <c r="BQ99" s="180">
        <f>IFERROR(__xludf.DUMMYFUNCTION("""COMPUTED_VALUE"""),45818.0)</f>
        <v>45818</v>
      </c>
      <c r="BR99" s="179">
        <f>IFERROR(__xludf.DUMMYFUNCTION("""COMPUTED_VALUE"""),0.0)</f>
        <v>0</v>
      </c>
      <c r="BS99" s="180">
        <f>IFERROR(__xludf.DUMMYFUNCTION("""COMPUTED_VALUE"""),45848.0)</f>
        <v>45848</v>
      </c>
      <c r="BT99" s="179">
        <f>IFERROR(__xludf.DUMMYFUNCTION("""COMPUTED_VALUE"""),0.0)</f>
        <v>0</v>
      </c>
      <c r="BU99" s="180">
        <f>IFERROR(__xludf.DUMMYFUNCTION("""COMPUTED_VALUE"""),45848.0)</f>
        <v>45848</v>
      </c>
      <c r="BV99" s="179">
        <f>IFERROR(__xludf.DUMMYFUNCTION("""COMPUTED_VALUE"""),0.0)</f>
        <v>0</v>
      </c>
      <c r="BW99" s="180">
        <f>IFERROR(__xludf.DUMMYFUNCTION("""COMPUTED_VALUE"""),45848.0)</f>
        <v>45848</v>
      </c>
      <c r="BX99" s="179">
        <f>IFERROR(__xludf.DUMMYFUNCTION("""COMPUTED_VALUE"""),0.0)</f>
        <v>0</v>
      </c>
      <c r="BY99" s="180">
        <f>IFERROR(__xludf.DUMMYFUNCTION("""COMPUTED_VALUE"""),45818.0)</f>
        <v>45818</v>
      </c>
      <c r="BZ99" s="179">
        <f>IFERROR(__xludf.DUMMYFUNCTION("""COMPUTED_VALUE"""),0.0)</f>
        <v>0</v>
      </c>
      <c r="CA99" s="180">
        <f>IFERROR(__xludf.DUMMYFUNCTION("""COMPUTED_VALUE"""),45848.0)</f>
        <v>45848</v>
      </c>
      <c r="CB99" s="179">
        <f>IFERROR(__xludf.DUMMYFUNCTION("""COMPUTED_VALUE"""),0.0)</f>
        <v>0</v>
      </c>
      <c r="CC99" s="180">
        <f>IFERROR(__xludf.DUMMYFUNCTION("""COMPUTED_VALUE"""),45848.0)</f>
        <v>45848</v>
      </c>
      <c r="CD99" s="179">
        <f>IFERROR(__xludf.DUMMYFUNCTION("""COMPUTED_VALUE"""),0.0)</f>
        <v>0</v>
      </c>
      <c r="CE99" s="182">
        <f>IFERROR(__xludf.DUMMYFUNCTION("""COMPUTED_VALUE"""),45848.0)</f>
        <v>45848</v>
      </c>
      <c r="CF99" s="179">
        <f>IFERROR(__xludf.DUMMYFUNCTION("""COMPUTED_VALUE"""),0.0)</f>
        <v>0</v>
      </c>
      <c r="CG99" s="180">
        <f>IFERROR(__xludf.DUMMYFUNCTION("""COMPUTED_VALUE"""),45818.0)</f>
        <v>45818</v>
      </c>
      <c r="CH99" s="179">
        <f>IFERROR(__xludf.DUMMYFUNCTION("""COMPUTED_VALUE"""),0.0)</f>
        <v>0</v>
      </c>
      <c r="CI99" s="180">
        <f>IFERROR(__xludf.DUMMYFUNCTION("""COMPUTED_VALUE"""),45818.0)</f>
        <v>45818</v>
      </c>
      <c r="CJ99" s="179">
        <f>IFERROR(__xludf.DUMMYFUNCTION("""COMPUTED_VALUE"""),0.0)</f>
        <v>0</v>
      </c>
      <c r="CK99" s="180">
        <f>IFERROR(__xludf.DUMMYFUNCTION("""COMPUTED_VALUE"""),45787.0)</f>
        <v>45787</v>
      </c>
      <c r="CL99" s="179">
        <f>IFERROR(__xludf.DUMMYFUNCTION("""COMPUTED_VALUE"""),0.0)</f>
        <v>0</v>
      </c>
      <c r="CM99" s="180">
        <f>IFERROR(__xludf.DUMMYFUNCTION("""COMPUTED_VALUE"""),45848.0)</f>
        <v>45848</v>
      </c>
      <c r="CN99" s="179">
        <f>IFERROR(__xludf.DUMMYFUNCTION("""COMPUTED_VALUE"""),0.0)</f>
        <v>0</v>
      </c>
      <c r="CO99" s="180">
        <f>IFERROR(__xludf.DUMMYFUNCTION("""COMPUTED_VALUE"""),45848.0)</f>
        <v>45848</v>
      </c>
      <c r="CP99" s="179">
        <f>IFERROR(__xludf.DUMMYFUNCTION("""COMPUTED_VALUE"""),0.0)</f>
        <v>0</v>
      </c>
      <c r="CQ99" s="180">
        <f>IFERROR(__xludf.DUMMYFUNCTION("""COMPUTED_VALUE"""),45818.0)</f>
        <v>45818</v>
      </c>
      <c r="CR99" s="179">
        <f>IFERROR(__xludf.DUMMYFUNCTION("""COMPUTED_VALUE"""),0.0)</f>
        <v>0</v>
      </c>
      <c r="CS99" s="180">
        <f>IFERROR(__xludf.DUMMYFUNCTION("""COMPUTED_VALUE"""),45848.0)</f>
        <v>45848</v>
      </c>
      <c r="CT99" s="179">
        <f>IFERROR(__xludf.DUMMYFUNCTION("""COMPUTED_VALUE"""),0.0)</f>
        <v>0</v>
      </c>
      <c r="CU99" s="180">
        <f>IFERROR(__xludf.DUMMYFUNCTION("""COMPUTED_VALUE"""),45848.0)</f>
        <v>45848</v>
      </c>
      <c r="CV99" s="179">
        <f>IFERROR(__xludf.DUMMYFUNCTION("""COMPUTED_VALUE"""),0.0)</f>
        <v>0</v>
      </c>
      <c r="CW99" s="180">
        <f>IFERROR(__xludf.DUMMYFUNCTION("""COMPUTED_VALUE"""),45818.0)</f>
        <v>45818</v>
      </c>
      <c r="CX99" s="179">
        <f>IFERROR(__xludf.DUMMYFUNCTION("""COMPUTED_VALUE"""),0.0)</f>
        <v>0</v>
      </c>
      <c r="CY99" s="182">
        <f>IFERROR(__xludf.DUMMYFUNCTION("""COMPUTED_VALUE"""),45848.0)</f>
        <v>45848</v>
      </c>
      <c r="CZ99" s="179">
        <f>IFERROR(__xludf.DUMMYFUNCTION("""COMPUTED_VALUE"""),0.0)</f>
        <v>0</v>
      </c>
      <c r="DA99" s="180">
        <f>IFERROR(__xludf.DUMMYFUNCTION("""COMPUTED_VALUE"""),45848.0)</f>
        <v>45848</v>
      </c>
      <c r="DB99" s="179">
        <f>IFERROR(__xludf.DUMMYFUNCTION("""COMPUTED_VALUE"""),0.0)</f>
        <v>0</v>
      </c>
      <c r="DC99" s="180">
        <f>IFERROR(__xludf.DUMMYFUNCTION("""COMPUTED_VALUE"""),45848.0)</f>
        <v>45848</v>
      </c>
      <c r="DD99" s="179">
        <f>IFERROR(__xludf.DUMMYFUNCTION("""COMPUTED_VALUE"""),0.0)</f>
        <v>0</v>
      </c>
      <c r="DE99" s="180">
        <f>IFERROR(__xludf.DUMMYFUNCTION("""COMPUTED_VALUE"""),45848.0)</f>
        <v>45848</v>
      </c>
      <c r="DF99" s="179">
        <f>IFERROR(__xludf.DUMMYFUNCTION("""COMPUTED_VALUE"""),0.0)</f>
        <v>0</v>
      </c>
      <c r="DG99" s="180">
        <f>IFERROR(__xludf.DUMMYFUNCTION("""COMPUTED_VALUE"""),45848.0)</f>
        <v>45848</v>
      </c>
      <c r="DH99" s="179">
        <f>IFERROR(__xludf.DUMMYFUNCTION("""COMPUTED_VALUE"""),0.0)</f>
        <v>0</v>
      </c>
      <c r="DI99" s="180">
        <f>IFERROR(__xludf.DUMMYFUNCTION("""COMPUTED_VALUE"""),45848.0)</f>
        <v>45848</v>
      </c>
      <c r="DJ99" s="179">
        <f>IFERROR(__xludf.DUMMYFUNCTION("""COMPUTED_VALUE"""),0.0)</f>
        <v>0</v>
      </c>
      <c r="DK99" s="180">
        <f>IFERROR(__xludf.DUMMYFUNCTION("""COMPUTED_VALUE"""),45848.0)</f>
        <v>45848</v>
      </c>
      <c r="DL99" s="179">
        <f>IFERROR(__xludf.DUMMYFUNCTION("""COMPUTED_VALUE"""),0.0)</f>
        <v>0</v>
      </c>
      <c r="DM99" s="180">
        <f>IFERROR(__xludf.DUMMYFUNCTION("""COMPUTED_VALUE"""),45848.0)</f>
        <v>45848</v>
      </c>
      <c r="DN99" s="179">
        <f>IFERROR(__xludf.DUMMYFUNCTION("""COMPUTED_VALUE"""),0.0)</f>
        <v>0</v>
      </c>
      <c r="DO99" s="180">
        <f>IFERROR(__xludf.DUMMYFUNCTION("""COMPUTED_VALUE"""),45848.0)</f>
        <v>45848</v>
      </c>
      <c r="DP99" s="179">
        <f>IFERROR(__xludf.DUMMYFUNCTION("""COMPUTED_VALUE"""),0.0)</f>
        <v>0</v>
      </c>
      <c r="DQ99" s="180">
        <f>IFERROR(__xludf.DUMMYFUNCTION("""COMPUTED_VALUE"""),45848.0)</f>
        <v>45848</v>
      </c>
      <c r="DR99" s="179">
        <f>IFERROR(__xludf.DUMMYFUNCTION("""COMPUTED_VALUE"""),0.0)</f>
        <v>0</v>
      </c>
      <c r="DS99" s="182">
        <f>IFERROR(__xludf.DUMMYFUNCTION("""COMPUTED_VALUE"""),45848.0)</f>
        <v>45848</v>
      </c>
      <c r="DT99" s="179">
        <f>IFERROR(__xludf.DUMMYFUNCTION("""COMPUTED_VALUE"""),0.0)</f>
        <v>0</v>
      </c>
      <c r="DU99" s="180">
        <f>IFERROR(__xludf.DUMMYFUNCTION("""COMPUTED_VALUE"""),45848.0)</f>
        <v>45848</v>
      </c>
      <c r="DV99" s="179">
        <f>IFERROR(__xludf.DUMMYFUNCTION("""COMPUTED_VALUE"""),0.0)</f>
        <v>0</v>
      </c>
      <c r="DW99" s="180">
        <f>IFERROR(__xludf.DUMMYFUNCTION("""COMPUTED_VALUE"""),45848.0)</f>
        <v>45848</v>
      </c>
      <c r="DX99" s="179">
        <f>IFERROR(__xludf.DUMMYFUNCTION("""COMPUTED_VALUE"""),0.0)</f>
        <v>0</v>
      </c>
      <c r="DY99" s="180">
        <f>IFERROR(__xludf.DUMMYFUNCTION("""COMPUTED_VALUE"""),45848.0)</f>
        <v>45848</v>
      </c>
      <c r="DZ99" s="179">
        <f>IFERROR(__xludf.DUMMYFUNCTION("""COMPUTED_VALUE"""),0.0)</f>
        <v>0</v>
      </c>
      <c r="EA99" s="180">
        <f>IFERROR(__xludf.DUMMYFUNCTION("""COMPUTED_VALUE"""),45848.0)</f>
        <v>45848</v>
      </c>
      <c r="EB99" s="179">
        <f>IFERROR(__xludf.DUMMYFUNCTION("""COMPUTED_VALUE"""),0.0)</f>
        <v>0</v>
      </c>
      <c r="EC99" s="180">
        <f>IFERROR(__xludf.DUMMYFUNCTION("""COMPUTED_VALUE"""),45848.0)</f>
        <v>45848</v>
      </c>
      <c r="ED99" s="179">
        <f>IFERROR(__xludf.DUMMYFUNCTION("""COMPUTED_VALUE"""),0.0)</f>
        <v>0</v>
      </c>
      <c r="EE99" s="180">
        <f>IFERROR(__xludf.DUMMYFUNCTION("""COMPUTED_VALUE"""),45848.0)</f>
        <v>45848</v>
      </c>
      <c r="EF99" s="179">
        <f>IFERROR(__xludf.DUMMYFUNCTION("""COMPUTED_VALUE"""),0.0)</f>
        <v>0</v>
      </c>
      <c r="EG99" s="180">
        <f>IFERROR(__xludf.DUMMYFUNCTION("""COMPUTED_VALUE"""),45848.0)</f>
        <v>45848</v>
      </c>
      <c r="EH99" s="179">
        <f>IFERROR(__xludf.DUMMYFUNCTION("""COMPUTED_VALUE"""),0.0)</f>
        <v>0</v>
      </c>
      <c r="EI99" s="180">
        <f>IFERROR(__xludf.DUMMYFUNCTION("""COMPUTED_VALUE"""),45848.0)</f>
        <v>45848</v>
      </c>
      <c r="EJ99" s="179">
        <f>IFERROR(__xludf.DUMMYFUNCTION("""COMPUTED_VALUE"""),0.0)</f>
        <v>0</v>
      </c>
      <c r="EK99" s="180">
        <f>IFERROR(__xludf.DUMMYFUNCTION("""COMPUTED_VALUE"""),45848.0)</f>
        <v>45848</v>
      </c>
      <c r="EL99" s="179">
        <f>IFERROR(__xludf.DUMMYFUNCTION("""COMPUTED_VALUE"""),0.0)</f>
        <v>0</v>
      </c>
      <c r="EM99" s="182">
        <f>IFERROR(__xludf.DUMMYFUNCTION("""COMPUTED_VALUE"""),45848.0)</f>
        <v>45848</v>
      </c>
      <c r="EN99" s="179">
        <f>IFERROR(__xludf.DUMMYFUNCTION("""COMPUTED_VALUE"""),0.0)</f>
        <v>0</v>
      </c>
      <c r="EO99" s="180">
        <f>IFERROR(__xludf.DUMMYFUNCTION("""COMPUTED_VALUE"""),45848.0)</f>
        <v>45848</v>
      </c>
      <c r="EP99" s="179">
        <f>IFERROR(__xludf.DUMMYFUNCTION("""COMPUTED_VALUE"""),0.0)</f>
        <v>0</v>
      </c>
      <c r="EQ99" s="180">
        <f>IFERROR(__xludf.DUMMYFUNCTION("""COMPUTED_VALUE"""),45848.0)</f>
        <v>45848</v>
      </c>
      <c r="ER99" s="179">
        <f>IFERROR(__xludf.DUMMYFUNCTION("""COMPUTED_VALUE"""),0.0)</f>
        <v>0</v>
      </c>
      <c r="ES99" s="180">
        <f>IFERROR(__xludf.DUMMYFUNCTION("""COMPUTED_VALUE"""),45848.0)</f>
        <v>45848</v>
      </c>
      <c r="ET99" s="179">
        <f>IFERROR(__xludf.DUMMYFUNCTION("""COMPUTED_VALUE"""),0.0)</f>
        <v>0</v>
      </c>
      <c r="EU99" s="180">
        <f>IFERROR(__xludf.DUMMYFUNCTION("""COMPUTED_VALUE"""),45848.0)</f>
        <v>45848</v>
      </c>
      <c r="EV99" s="179">
        <f>IFERROR(__xludf.DUMMYFUNCTION("""COMPUTED_VALUE"""),0.0)</f>
        <v>0</v>
      </c>
      <c r="EW99" s="180">
        <f>IFERROR(__xludf.DUMMYFUNCTION("""COMPUTED_VALUE"""),45848.0)</f>
        <v>45848</v>
      </c>
      <c r="EX99" s="179">
        <f>IFERROR(__xludf.DUMMYFUNCTION("""COMPUTED_VALUE"""),0.0)</f>
        <v>0</v>
      </c>
      <c r="EY99" s="180">
        <f>IFERROR(__xludf.DUMMYFUNCTION("""COMPUTED_VALUE"""),45848.0)</f>
        <v>45848</v>
      </c>
      <c r="EZ99" s="179">
        <f>IFERROR(__xludf.DUMMYFUNCTION("""COMPUTED_VALUE"""),0.0)</f>
        <v>0</v>
      </c>
      <c r="FA99" s="180">
        <f>IFERROR(__xludf.DUMMYFUNCTION("""COMPUTED_VALUE"""),45848.0)</f>
        <v>45848</v>
      </c>
      <c r="FB99" s="179">
        <f>IFERROR(__xludf.DUMMYFUNCTION("""COMPUTED_VALUE"""),0.0)</f>
        <v>0</v>
      </c>
      <c r="FC99" s="180">
        <f>IFERROR(__xludf.DUMMYFUNCTION("""COMPUTED_VALUE"""),45848.0)</f>
        <v>45848</v>
      </c>
      <c r="FD99" s="179">
        <f>IFERROR(__xludf.DUMMYFUNCTION("""COMPUTED_VALUE"""),0.0)</f>
        <v>0</v>
      </c>
      <c r="FE99" s="180">
        <f>IFERROR(__xludf.DUMMYFUNCTION("""COMPUTED_VALUE"""),45848.0)</f>
        <v>45848</v>
      </c>
      <c r="FF99" s="179">
        <f>IFERROR(__xludf.DUMMYFUNCTION("""COMPUTED_VALUE"""),0.0)</f>
        <v>0</v>
      </c>
      <c r="FG99" s="182">
        <f>IFERROR(__xludf.DUMMYFUNCTION("""COMPUTED_VALUE"""),45848.0)</f>
        <v>45848</v>
      </c>
      <c r="FH99" s="179">
        <f>IFERROR(__xludf.DUMMYFUNCTION("""COMPUTED_VALUE"""),0.0)</f>
        <v>0</v>
      </c>
      <c r="FI99" s="180">
        <f>IFERROR(__xludf.DUMMYFUNCTION("""COMPUTED_VALUE"""),45818.0)</f>
        <v>45818</v>
      </c>
      <c r="FJ99" s="179">
        <f>IFERROR(__xludf.DUMMYFUNCTION("""COMPUTED_VALUE"""),0.0)</f>
        <v>0</v>
      </c>
      <c r="FK99" s="180">
        <f>IFERROR(__xludf.DUMMYFUNCTION("""COMPUTED_VALUE"""),45818.0)</f>
        <v>45818</v>
      </c>
      <c r="FL99" s="179">
        <f>IFERROR(__xludf.DUMMYFUNCTION("""COMPUTED_VALUE"""),0.0)</f>
        <v>0</v>
      </c>
      <c r="FM99" s="180">
        <f>IFERROR(__xludf.DUMMYFUNCTION("""COMPUTED_VALUE"""),45848.0)</f>
        <v>45848</v>
      </c>
      <c r="FN99" s="179">
        <f>IFERROR(__xludf.DUMMYFUNCTION("""COMPUTED_VALUE"""),0.0)</f>
        <v>0</v>
      </c>
      <c r="FO99" s="180">
        <f>IFERROR(__xludf.DUMMYFUNCTION("""COMPUTED_VALUE"""),45848.0)</f>
        <v>45848</v>
      </c>
      <c r="FP99" s="179">
        <f>IFERROR(__xludf.DUMMYFUNCTION("""COMPUTED_VALUE"""),0.0)</f>
        <v>0</v>
      </c>
      <c r="FQ99" s="180">
        <f>IFERROR(__xludf.DUMMYFUNCTION("""COMPUTED_VALUE"""),45848.0)</f>
        <v>45848</v>
      </c>
      <c r="FR99" s="179">
        <f>IFERROR(__xludf.DUMMYFUNCTION("""COMPUTED_VALUE"""),0.0)</f>
        <v>0</v>
      </c>
      <c r="FS99" s="180">
        <f>IFERROR(__xludf.DUMMYFUNCTION("""COMPUTED_VALUE"""),45818.0)</f>
        <v>45818</v>
      </c>
      <c r="FT99" s="179">
        <f>IFERROR(__xludf.DUMMYFUNCTION("""COMPUTED_VALUE"""),0.0)</f>
        <v>0</v>
      </c>
      <c r="FU99" s="180">
        <f>IFERROR(__xludf.DUMMYFUNCTION("""COMPUTED_VALUE"""),45848.0)</f>
        <v>45848</v>
      </c>
      <c r="FV99" s="179">
        <f>IFERROR(__xludf.DUMMYFUNCTION("""COMPUTED_VALUE"""),0.0)</f>
        <v>0</v>
      </c>
      <c r="FW99" s="180">
        <f>IFERROR(__xludf.DUMMYFUNCTION("""COMPUTED_VALUE"""),45848.0)</f>
        <v>45848</v>
      </c>
      <c r="FX99" s="179">
        <f>IFERROR(__xludf.DUMMYFUNCTION("""COMPUTED_VALUE"""),0.0)</f>
        <v>0</v>
      </c>
      <c r="FY99" s="180">
        <f>IFERROR(__xludf.DUMMYFUNCTION("""COMPUTED_VALUE"""),45787.0)</f>
        <v>45787</v>
      </c>
      <c r="FZ99" s="179">
        <f>IFERROR(__xludf.DUMMYFUNCTION("""COMPUTED_VALUE"""),0.0)</f>
        <v>0</v>
      </c>
      <c r="GA99" s="182">
        <f>IFERROR(__xludf.DUMMYFUNCTION("""COMPUTED_VALUE"""),45878.0)</f>
        <v>45878</v>
      </c>
      <c r="GB99" s="179">
        <f>IFERROR(__xludf.DUMMYFUNCTION("""COMPUTED_VALUE"""),0.0)</f>
        <v>0</v>
      </c>
      <c r="GC99" s="180">
        <f>IFERROR(__xludf.DUMMYFUNCTION("""COMPUTED_VALUE"""),45878.0)</f>
        <v>45878</v>
      </c>
      <c r="GD99" s="179">
        <f>IFERROR(__xludf.DUMMYFUNCTION("""COMPUTED_VALUE"""),0.0)</f>
        <v>0</v>
      </c>
      <c r="GE99" s="180">
        <f>IFERROR(__xludf.DUMMYFUNCTION("""COMPUTED_VALUE"""),45878.0)</f>
        <v>45878</v>
      </c>
      <c r="GF99" s="179">
        <f>IFERROR(__xludf.DUMMYFUNCTION("""COMPUTED_VALUE"""),0.0)</f>
        <v>0</v>
      </c>
      <c r="GG99" s="180">
        <f>IFERROR(__xludf.DUMMYFUNCTION("""COMPUTED_VALUE"""),45847.0)</f>
        <v>45847</v>
      </c>
      <c r="GH99" s="179">
        <f>IFERROR(__xludf.DUMMYFUNCTION("""COMPUTED_VALUE"""),0.0)</f>
        <v>0</v>
      </c>
      <c r="GI99" s="180">
        <f>IFERROR(__xludf.DUMMYFUNCTION("""COMPUTED_VALUE"""),45878.0)</f>
        <v>45878</v>
      </c>
      <c r="GJ99" s="179">
        <f>IFERROR(__xludf.DUMMYFUNCTION("""COMPUTED_VALUE"""),0.0)</f>
        <v>0</v>
      </c>
      <c r="GK99" s="180">
        <f>IFERROR(__xludf.DUMMYFUNCTION("""COMPUTED_VALUE"""),45878.0)</f>
        <v>45878</v>
      </c>
      <c r="GL99" s="179">
        <f>IFERROR(__xludf.DUMMYFUNCTION("""COMPUTED_VALUE"""),0.0)</f>
        <v>0</v>
      </c>
      <c r="GM99" s="180">
        <f>IFERROR(__xludf.DUMMYFUNCTION("""COMPUTED_VALUE"""),45817.0)</f>
        <v>45817</v>
      </c>
      <c r="GN99" s="179">
        <f>IFERROR(__xludf.DUMMYFUNCTION("""COMPUTED_VALUE"""),0.0)</f>
        <v>0</v>
      </c>
      <c r="GO99" s="180">
        <f>IFERROR(__xludf.DUMMYFUNCTION("""COMPUTED_VALUE"""),45878.0)</f>
        <v>45878</v>
      </c>
      <c r="GP99" s="179">
        <f>IFERROR(__xludf.DUMMYFUNCTION("""COMPUTED_VALUE"""),0.0)</f>
        <v>0</v>
      </c>
      <c r="GQ99" s="180">
        <f>IFERROR(__xludf.DUMMYFUNCTION("""COMPUTED_VALUE"""),45878.0)</f>
        <v>45878</v>
      </c>
      <c r="GR99" s="179">
        <f>IFERROR(__xludf.DUMMYFUNCTION("""COMPUTED_VALUE"""),0.0)</f>
        <v>0</v>
      </c>
      <c r="GS99" s="180">
        <f>IFERROR(__xludf.DUMMYFUNCTION("""COMPUTED_VALUE"""),45847.0)</f>
        <v>45847</v>
      </c>
      <c r="GT99" s="179">
        <f>IFERROR(__xludf.DUMMYFUNCTION("""COMPUTED_VALUE"""),0.0)</f>
        <v>0</v>
      </c>
    </row>
    <row r="100" ht="31.5" customHeight="1">
      <c r="B100" s="183"/>
      <c r="C100" s="178">
        <f>IFERROR(__xludf.DUMMYFUNCTION("""COMPUTED_VALUE"""),45879.0)</f>
        <v>45879</v>
      </c>
      <c r="D100" s="179">
        <f>IFERROR(__xludf.DUMMYFUNCTION("""COMPUTED_VALUE"""),0.0)</f>
        <v>0</v>
      </c>
      <c r="E100" s="180">
        <f>IFERROR(__xludf.DUMMYFUNCTION("""COMPUTED_VALUE"""),45879.0)</f>
        <v>45879</v>
      </c>
      <c r="F100" s="179">
        <f>IFERROR(__xludf.DUMMYFUNCTION("""COMPUTED_VALUE"""),0.0)</f>
        <v>0</v>
      </c>
      <c r="G100" s="180">
        <f>IFERROR(__xludf.DUMMYFUNCTION("""COMPUTED_VALUE"""),45879.0)</f>
        <v>45879</v>
      </c>
      <c r="H100" s="179">
        <f>IFERROR(__xludf.DUMMYFUNCTION("""COMPUTED_VALUE"""),0.0)</f>
        <v>0</v>
      </c>
      <c r="I100" s="180">
        <f>IFERROR(__xludf.DUMMYFUNCTION("""COMPUTED_VALUE"""),45879.0)</f>
        <v>45879</v>
      </c>
      <c r="J100" s="179">
        <f>IFERROR(__xludf.DUMMYFUNCTION("""COMPUTED_VALUE"""),0.0)</f>
        <v>0</v>
      </c>
      <c r="K100" s="180">
        <f>IFERROR(__xludf.DUMMYFUNCTION("""COMPUTED_VALUE"""),45879.0)</f>
        <v>45879</v>
      </c>
      <c r="L100" s="179">
        <f>IFERROR(__xludf.DUMMYFUNCTION("""COMPUTED_VALUE"""),0.0)</f>
        <v>0</v>
      </c>
      <c r="M100" s="180">
        <f>IFERROR(__xludf.DUMMYFUNCTION("""COMPUTED_VALUE"""),45879.0)</f>
        <v>45879</v>
      </c>
      <c r="N100" s="179">
        <f>IFERROR(__xludf.DUMMYFUNCTION("""COMPUTED_VALUE"""),0.0)</f>
        <v>0</v>
      </c>
      <c r="O100" s="180">
        <f>IFERROR(__xludf.DUMMYFUNCTION("""COMPUTED_VALUE"""),45879.0)</f>
        <v>45879</v>
      </c>
      <c r="P100" s="179">
        <f>IFERROR(__xludf.DUMMYFUNCTION("""COMPUTED_VALUE"""),0.0)</f>
        <v>0</v>
      </c>
      <c r="Q100" s="180">
        <f>IFERROR(__xludf.DUMMYFUNCTION("""COMPUTED_VALUE"""),45879.0)</f>
        <v>45879</v>
      </c>
      <c r="R100" s="179">
        <f>IFERROR(__xludf.DUMMYFUNCTION("""COMPUTED_VALUE"""),0.0)</f>
        <v>0</v>
      </c>
      <c r="S100" s="180">
        <f>IFERROR(__xludf.DUMMYFUNCTION("""COMPUTED_VALUE"""),45879.0)</f>
        <v>45879</v>
      </c>
      <c r="T100" s="179">
        <f>IFERROR(__xludf.DUMMYFUNCTION("""COMPUTED_VALUE"""),0.0)</f>
        <v>0</v>
      </c>
      <c r="U100" s="180">
        <f>IFERROR(__xludf.DUMMYFUNCTION("""COMPUTED_VALUE"""),45879.0)</f>
        <v>45879</v>
      </c>
      <c r="V100" s="181">
        <f>IFERROR(__xludf.DUMMYFUNCTION("""COMPUTED_VALUE"""),0.0)</f>
        <v>0</v>
      </c>
      <c r="W100" s="178">
        <f>IFERROR(__xludf.DUMMYFUNCTION("""COMPUTED_VALUE"""),45879.0)</f>
        <v>45879</v>
      </c>
      <c r="X100" s="179">
        <f>IFERROR(__xludf.DUMMYFUNCTION("""COMPUTED_VALUE"""),0.0)</f>
        <v>0</v>
      </c>
      <c r="Y100" s="180">
        <f>IFERROR(__xludf.DUMMYFUNCTION("""COMPUTED_VALUE"""),45879.0)</f>
        <v>45879</v>
      </c>
      <c r="Z100" s="179">
        <f>IFERROR(__xludf.DUMMYFUNCTION("""COMPUTED_VALUE"""),0.0)</f>
        <v>0</v>
      </c>
      <c r="AA100" s="180">
        <f>IFERROR(__xludf.DUMMYFUNCTION("""COMPUTED_VALUE"""),45879.0)</f>
        <v>45879</v>
      </c>
      <c r="AB100" s="179">
        <f>IFERROR(__xludf.DUMMYFUNCTION("""COMPUTED_VALUE"""),0.0)</f>
        <v>0</v>
      </c>
      <c r="AC100" s="180">
        <f>IFERROR(__xludf.DUMMYFUNCTION("""COMPUTED_VALUE"""),45818.0)</f>
        <v>45818</v>
      </c>
      <c r="AD100" s="179">
        <f>IFERROR(__xludf.DUMMYFUNCTION("""COMPUTED_VALUE"""),0.0)</f>
        <v>0</v>
      </c>
      <c r="AE100" s="180">
        <f>IFERROR(__xludf.DUMMYFUNCTION("""COMPUTED_VALUE"""),45879.0)</f>
        <v>45879</v>
      </c>
      <c r="AF100" s="179">
        <f>IFERROR(__xludf.DUMMYFUNCTION("""COMPUTED_VALUE"""),0.0)</f>
        <v>0</v>
      </c>
      <c r="AG100" s="180">
        <f>IFERROR(__xludf.DUMMYFUNCTION("""COMPUTED_VALUE"""),45879.0)</f>
        <v>45879</v>
      </c>
      <c r="AH100" s="179">
        <f>IFERROR(__xludf.DUMMYFUNCTION("""COMPUTED_VALUE"""),0.0)</f>
        <v>0</v>
      </c>
      <c r="AI100" s="180">
        <f>IFERROR(__xludf.DUMMYFUNCTION("""COMPUTED_VALUE"""),45879.0)</f>
        <v>45879</v>
      </c>
      <c r="AJ100" s="179">
        <f>IFERROR(__xludf.DUMMYFUNCTION("""COMPUTED_VALUE"""),0.0)</f>
        <v>0</v>
      </c>
      <c r="AK100" s="180">
        <f>IFERROR(__xludf.DUMMYFUNCTION("""COMPUTED_VALUE"""),45879.0)</f>
        <v>45879</v>
      </c>
      <c r="AL100" s="179">
        <f>IFERROR(__xludf.DUMMYFUNCTION("""COMPUTED_VALUE"""),0.0)</f>
        <v>0</v>
      </c>
      <c r="AM100" s="180">
        <f>IFERROR(__xludf.DUMMYFUNCTION("""COMPUTED_VALUE"""),45879.0)</f>
        <v>45879</v>
      </c>
      <c r="AN100" s="179">
        <f>IFERROR(__xludf.DUMMYFUNCTION("""COMPUTED_VALUE"""),0.0)</f>
        <v>0</v>
      </c>
      <c r="AO100" s="180">
        <f>IFERROR(__xludf.DUMMYFUNCTION("""COMPUTED_VALUE"""),45879.0)</f>
        <v>45879</v>
      </c>
      <c r="AP100" s="181">
        <f>IFERROR(__xludf.DUMMYFUNCTION("""COMPUTED_VALUE"""),0.0)</f>
        <v>0</v>
      </c>
      <c r="AQ100" s="178">
        <f>IFERROR(__xludf.DUMMYFUNCTION("""COMPUTED_VALUE"""),45879.0)</f>
        <v>45879</v>
      </c>
      <c r="AR100" s="179">
        <f>IFERROR(__xludf.DUMMYFUNCTION("""COMPUTED_VALUE"""),0.0)</f>
        <v>0</v>
      </c>
      <c r="AS100" s="180">
        <f>IFERROR(__xludf.DUMMYFUNCTION("""COMPUTED_VALUE"""),45879.0)</f>
        <v>45879</v>
      </c>
      <c r="AT100" s="179">
        <f>IFERROR(__xludf.DUMMYFUNCTION("""COMPUTED_VALUE"""),0.0)</f>
        <v>0</v>
      </c>
      <c r="AU100" s="180">
        <f>IFERROR(__xludf.DUMMYFUNCTION("""COMPUTED_VALUE"""),45848.0)</f>
        <v>45848</v>
      </c>
      <c r="AV100" s="179">
        <f>IFERROR(__xludf.DUMMYFUNCTION("""COMPUTED_VALUE"""),0.0)</f>
        <v>0</v>
      </c>
      <c r="AW100" s="180">
        <f>IFERROR(__xludf.DUMMYFUNCTION("""COMPUTED_VALUE"""),45848.0)</f>
        <v>45848</v>
      </c>
      <c r="AX100" s="179">
        <f>IFERROR(__xludf.DUMMYFUNCTION("""COMPUTED_VALUE"""),0.0)</f>
        <v>0</v>
      </c>
      <c r="AY100" s="180">
        <f>IFERROR(__xludf.DUMMYFUNCTION("""COMPUTED_VALUE"""),45879.0)</f>
        <v>45879</v>
      </c>
      <c r="AZ100" s="179">
        <f>IFERROR(__xludf.DUMMYFUNCTION("""COMPUTED_VALUE"""),0.0)</f>
        <v>0</v>
      </c>
      <c r="BA100" s="180">
        <f>IFERROR(__xludf.DUMMYFUNCTION("""COMPUTED_VALUE"""),45879.0)</f>
        <v>45879</v>
      </c>
      <c r="BB100" s="179">
        <f>IFERROR(__xludf.DUMMYFUNCTION("""COMPUTED_VALUE"""),0.0)</f>
        <v>0</v>
      </c>
      <c r="BC100" s="180">
        <f>IFERROR(__xludf.DUMMYFUNCTION("""COMPUTED_VALUE"""),45848.0)</f>
        <v>45848</v>
      </c>
      <c r="BD100" s="179">
        <f>IFERROR(__xludf.DUMMYFUNCTION("""COMPUTED_VALUE"""),0.0)</f>
        <v>0</v>
      </c>
      <c r="BE100" s="180">
        <f>IFERROR(__xludf.DUMMYFUNCTION("""COMPUTED_VALUE"""),45879.0)</f>
        <v>45879</v>
      </c>
      <c r="BF100" s="179">
        <f>IFERROR(__xludf.DUMMYFUNCTION("""COMPUTED_VALUE"""),0.0)</f>
        <v>0</v>
      </c>
      <c r="BG100" s="180">
        <f>IFERROR(__xludf.DUMMYFUNCTION("""COMPUTED_VALUE"""),45848.0)</f>
        <v>45848</v>
      </c>
      <c r="BH100" s="179">
        <f>IFERROR(__xludf.DUMMYFUNCTION("""COMPUTED_VALUE"""),0.0)</f>
        <v>0</v>
      </c>
      <c r="BI100" s="180">
        <f>IFERROR(__xludf.DUMMYFUNCTION("""COMPUTED_VALUE"""),45879.0)</f>
        <v>45879</v>
      </c>
      <c r="BJ100" s="179">
        <f>IFERROR(__xludf.DUMMYFUNCTION("""COMPUTED_VALUE"""),0.0)</f>
        <v>0</v>
      </c>
      <c r="BK100" s="182">
        <f>IFERROR(__xludf.DUMMYFUNCTION("""COMPUTED_VALUE"""),45879.0)</f>
        <v>45879</v>
      </c>
      <c r="BL100" s="179">
        <f>IFERROR(__xludf.DUMMYFUNCTION("""COMPUTED_VALUE"""),0.0)</f>
        <v>0</v>
      </c>
      <c r="BM100" s="180">
        <f>IFERROR(__xludf.DUMMYFUNCTION("""COMPUTED_VALUE"""),45879.0)</f>
        <v>45879</v>
      </c>
      <c r="BN100" s="179">
        <f>IFERROR(__xludf.DUMMYFUNCTION("""COMPUTED_VALUE"""),0.0)</f>
        <v>0</v>
      </c>
      <c r="BO100" s="180">
        <f>IFERROR(__xludf.DUMMYFUNCTION("""COMPUTED_VALUE"""),45848.0)</f>
        <v>45848</v>
      </c>
      <c r="BP100" s="179">
        <f>IFERROR(__xludf.DUMMYFUNCTION("""COMPUTED_VALUE"""),0.0)</f>
        <v>0</v>
      </c>
      <c r="BQ100" s="180">
        <f>IFERROR(__xludf.DUMMYFUNCTION("""COMPUTED_VALUE"""),45848.0)</f>
        <v>45848</v>
      </c>
      <c r="BR100" s="179">
        <f>IFERROR(__xludf.DUMMYFUNCTION("""COMPUTED_VALUE"""),0.0)</f>
        <v>0</v>
      </c>
      <c r="BS100" s="180">
        <f>IFERROR(__xludf.DUMMYFUNCTION("""COMPUTED_VALUE"""),45879.0)</f>
        <v>45879</v>
      </c>
      <c r="BT100" s="179">
        <f>IFERROR(__xludf.DUMMYFUNCTION("""COMPUTED_VALUE"""),0.0)</f>
        <v>0</v>
      </c>
      <c r="BU100" s="180">
        <f>IFERROR(__xludf.DUMMYFUNCTION("""COMPUTED_VALUE"""),45879.0)</f>
        <v>45879</v>
      </c>
      <c r="BV100" s="179">
        <f>IFERROR(__xludf.DUMMYFUNCTION("""COMPUTED_VALUE"""),0.0)</f>
        <v>0</v>
      </c>
      <c r="BW100" s="180">
        <f>IFERROR(__xludf.DUMMYFUNCTION("""COMPUTED_VALUE"""),45879.0)</f>
        <v>45879</v>
      </c>
      <c r="BX100" s="179">
        <f>IFERROR(__xludf.DUMMYFUNCTION("""COMPUTED_VALUE"""),0.0)</f>
        <v>0</v>
      </c>
      <c r="BY100" s="180">
        <f>IFERROR(__xludf.DUMMYFUNCTION("""COMPUTED_VALUE"""),45848.0)</f>
        <v>45848</v>
      </c>
      <c r="BZ100" s="179">
        <f>IFERROR(__xludf.DUMMYFUNCTION("""COMPUTED_VALUE"""),0.0)</f>
        <v>0</v>
      </c>
      <c r="CA100" s="180">
        <f>IFERROR(__xludf.DUMMYFUNCTION("""COMPUTED_VALUE"""),45879.0)</f>
        <v>45879</v>
      </c>
      <c r="CB100" s="179">
        <f>IFERROR(__xludf.DUMMYFUNCTION("""COMPUTED_VALUE"""),0.0)</f>
        <v>0</v>
      </c>
      <c r="CC100" s="180">
        <f>IFERROR(__xludf.DUMMYFUNCTION("""COMPUTED_VALUE"""),45879.0)</f>
        <v>45879</v>
      </c>
      <c r="CD100" s="179">
        <f>IFERROR(__xludf.DUMMYFUNCTION("""COMPUTED_VALUE"""),0.0)</f>
        <v>0</v>
      </c>
      <c r="CE100" s="182">
        <f>IFERROR(__xludf.DUMMYFUNCTION("""COMPUTED_VALUE"""),45879.0)</f>
        <v>45879</v>
      </c>
      <c r="CF100" s="179">
        <f>IFERROR(__xludf.DUMMYFUNCTION("""COMPUTED_VALUE"""),0.0)</f>
        <v>0</v>
      </c>
      <c r="CG100" s="180">
        <f>IFERROR(__xludf.DUMMYFUNCTION("""COMPUTED_VALUE"""),45879.0)</f>
        <v>45879</v>
      </c>
      <c r="CH100" s="179">
        <f>IFERROR(__xludf.DUMMYFUNCTION("""COMPUTED_VALUE"""),0.0)</f>
        <v>0</v>
      </c>
      <c r="CI100" s="180">
        <f>IFERROR(__xludf.DUMMYFUNCTION("""COMPUTED_VALUE"""),45879.0)</f>
        <v>45879</v>
      </c>
      <c r="CJ100" s="179">
        <f>IFERROR(__xludf.DUMMYFUNCTION("""COMPUTED_VALUE"""),0.0)</f>
        <v>0</v>
      </c>
      <c r="CK100" s="180">
        <f>IFERROR(__xludf.DUMMYFUNCTION("""COMPUTED_VALUE"""),45818.0)</f>
        <v>45818</v>
      </c>
      <c r="CL100" s="179">
        <f>IFERROR(__xludf.DUMMYFUNCTION("""COMPUTED_VALUE"""),0.0)</f>
        <v>0</v>
      </c>
      <c r="CM100" s="180">
        <f>IFERROR(__xludf.DUMMYFUNCTION("""COMPUTED_VALUE"""),45879.0)</f>
        <v>45879</v>
      </c>
      <c r="CN100" s="179">
        <f>IFERROR(__xludf.DUMMYFUNCTION("""COMPUTED_VALUE"""),0.0)</f>
        <v>0</v>
      </c>
      <c r="CO100" s="180">
        <f>IFERROR(__xludf.DUMMYFUNCTION("""COMPUTED_VALUE"""),45879.0)</f>
        <v>45879</v>
      </c>
      <c r="CP100" s="179">
        <f>IFERROR(__xludf.DUMMYFUNCTION("""COMPUTED_VALUE"""),0.0)</f>
        <v>0</v>
      </c>
      <c r="CQ100" s="180">
        <f>IFERROR(__xludf.DUMMYFUNCTION("""COMPUTED_VALUE"""),45848.0)</f>
        <v>45848</v>
      </c>
      <c r="CR100" s="179">
        <f>IFERROR(__xludf.DUMMYFUNCTION("""COMPUTED_VALUE"""),0.0)</f>
        <v>0</v>
      </c>
      <c r="CS100" s="180">
        <f>IFERROR(__xludf.DUMMYFUNCTION("""COMPUTED_VALUE"""),45879.0)</f>
        <v>45879</v>
      </c>
      <c r="CT100" s="179">
        <f>IFERROR(__xludf.DUMMYFUNCTION("""COMPUTED_VALUE"""),0.0)</f>
        <v>0</v>
      </c>
      <c r="CU100" s="180">
        <f>IFERROR(__xludf.DUMMYFUNCTION("""COMPUTED_VALUE"""),45879.0)</f>
        <v>45879</v>
      </c>
      <c r="CV100" s="179">
        <f>IFERROR(__xludf.DUMMYFUNCTION("""COMPUTED_VALUE"""),0.0)</f>
        <v>0</v>
      </c>
      <c r="CW100" s="180">
        <f>IFERROR(__xludf.DUMMYFUNCTION("""COMPUTED_VALUE"""),45848.0)</f>
        <v>45848</v>
      </c>
      <c r="CX100" s="179">
        <f>IFERROR(__xludf.DUMMYFUNCTION("""COMPUTED_VALUE"""),0.0)</f>
        <v>0</v>
      </c>
      <c r="CY100" s="182">
        <f>IFERROR(__xludf.DUMMYFUNCTION("""COMPUTED_VALUE"""),45879.0)</f>
        <v>45879</v>
      </c>
      <c r="CZ100" s="179">
        <f>IFERROR(__xludf.DUMMYFUNCTION("""COMPUTED_VALUE"""),0.0)</f>
        <v>0</v>
      </c>
      <c r="DA100" s="180">
        <f>IFERROR(__xludf.DUMMYFUNCTION("""COMPUTED_VALUE"""),45879.0)</f>
        <v>45879</v>
      </c>
      <c r="DB100" s="179">
        <f>IFERROR(__xludf.DUMMYFUNCTION("""COMPUTED_VALUE"""),0.0)</f>
        <v>0</v>
      </c>
      <c r="DC100" s="180">
        <f>IFERROR(__xludf.DUMMYFUNCTION("""COMPUTED_VALUE"""),45879.0)</f>
        <v>45879</v>
      </c>
      <c r="DD100" s="179">
        <f>IFERROR(__xludf.DUMMYFUNCTION("""COMPUTED_VALUE"""),0.0)</f>
        <v>0</v>
      </c>
      <c r="DE100" s="180">
        <f>IFERROR(__xludf.DUMMYFUNCTION("""COMPUTED_VALUE"""),45879.0)</f>
        <v>45879</v>
      </c>
      <c r="DF100" s="179">
        <f>IFERROR(__xludf.DUMMYFUNCTION("""COMPUTED_VALUE"""),0.0)</f>
        <v>0</v>
      </c>
      <c r="DG100" s="180">
        <f>IFERROR(__xludf.DUMMYFUNCTION("""COMPUTED_VALUE"""),45879.0)</f>
        <v>45879</v>
      </c>
      <c r="DH100" s="179">
        <f>IFERROR(__xludf.DUMMYFUNCTION("""COMPUTED_VALUE"""),0.0)</f>
        <v>0</v>
      </c>
      <c r="DI100" s="180">
        <f>IFERROR(__xludf.DUMMYFUNCTION("""COMPUTED_VALUE"""),45879.0)</f>
        <v>45879</v>
      </c>
      <c r="DJ100" s="179">
        <f>IFERROR(__xludf.DUMMYFUNCTION("""COMPUTED_VALUE"""),0.0)</f>
        <v>0</v>
      </c>
      <c r="DK100" s="180">
        <f>IFERROR(__xludf.DUMMYFUNCTION("""COMPUTED_VALUE"""),45879.0)</f>
        <v>45879</v>
      </c>
      <c r="DL100" s="179">
        <f>IFERROR(__xludf.DUMMYFUNCTION("""COMPUTED_VALUE"""),0.0)</f>
        <v>0</v>
      </c>
      <c r="DM100" s="180">
        <f>IFERROR(__xludf.DUMMYFUNCTION("""COMPUTED_VALUE"""),45879.0)</f>
        <v>45879</v>
      </c>
      <c r="DN100" s="179">
        <f>IFERROR(__xludf.DUMMYFUNCTION("""COMPUTED_VALUE"""),0.0)</f>
        <v>0</v>
      </c>
      <c r="DO100" s="180">
        <f>IFERROR(__xludf.DUMMYFUNCTION("""COMPUTED_VALUE"""),45879.0)</f>
        <v>45879</v>
      </c>
      <c r="DP100" s="179">
        <f>IFERROR(__xludf.DUMMYFUNCTION("""COMPUTED_VALUE"""),0.0)</f>
        <v>0</v>
      </c>
      <c r="DQ100" s="180">
        <f>IFERROR(__xludf.DUMMYFUNCTION("""COMPUTED_VALUE"""),45879.0)</f>
        <v>45879</v>
      </c>
      <c r="DR100" s="179">
        <f>IFERROR(__xludf.DUMMYFUNCTION("""COMPUTED_VALUE"""),0.0)</f>
        <v>0</v>
      </c>
      <c r="DS100" s="182">
        <f>IFERROR(__xludf.DUMMYFUNCTION("""COMPUTED_VALUE"""),45879.0)</f>
        <v>45879</v>
      </c>
      <c r="DT100" s="179">
        <f>IFERROR(__xludf.DUMMYFUNCTION("""COMPUTED_VALUE"""),0.0)</f>
        <v>0</v>
      </c>
      <c r="DU100" s="180">
        <f>IFERROR(__xludf.DUMMYFUNCTION("""COMPUTED_VALUE"""),45879.0)</f>
        <v>45879</v>
      </c>
      <c r="DV100" s="179">
        <f>IFERROR(__xludf.DUMMYFUNCTION("""COMPUTED_VALUE"""),0.0)</f>
        <v>0</v>
      </c>
      <c r="DW100" s="180">
        <f>IFERROR(__xludf.DUMMYFUNCTION("""COMPUTED_VALUE"""),45879.0)</f>
        <v>45879</v>
      </c>
      <c r="DX100" s="179">
        <f>IFERROR(__xludf.DUMMYFUNCTION("""COMPUTED_VALUE"""),0.0)</f>
        <v>0</v>
      </c>
      <c r="DY100" s="180">
        <f>IFERROR(__xludf.DUMMYFUNCTION("""COMPUTED_VALUE"""),45879.0)</f>
        <v>45879</v>
      </c>
      <c r="DZ100" s="179">
        <f>IFERROR(__xludf.DUMMYFUNCTION("""COMPUTED_VALUE"""),0.0)</f>
        <v>0</v>
      </c>
      <c r="EA100" s="180">
        <f>IFERROR(__xludf.DUMMYFUNCTION("""COMPUTED_VALUE"""),45879.0)</f>
        <v>45879</v>
      </c>
      <c r="EB100" s="179">
        <f>IFERROR(__xludf.DUMMYFUNCTION("""COMPUTED_VALUE"""),0.0)</f>
        <v>0</v>
      </c>
      <c r="EC100" s="180">
        <f>IFERROR(__xludf.DUMMYFUNCTION("""COMPUTED_VALUE"""),45879.0)</f>
        <v>45879</v>
      </c>
      <c r="ED100" s="179">
        <f>IFERROR(__xludf.DUMMYFUNCTION("""COMPUTED_VALUE"""),0.0)</f>
        <v>0</v>
      </c>
      <c r="EE100" s="180">
        <f>IFERROR(__xludf.DUMMYFUNCTION("""COMPUTED_VALUE"""),45879.0)</f>
        <v>45879</v>
      </c>
      <c r="EF100" s="179">
        <f>IFERROR(__xludf.DUMMYFUNCTION("""COMPUTED_VALUE"""),0.0)</f>
        <v>0</v>
      </c>
      <c r="EG100" s="180">
        <f>IFERROR(__xludf.DUMMYFUNCTION("""COMPUTED_VALUE"""),45879.0)</f>
        <v>45879</v>
      </c>
      <c r="EH100" s="179">
        <f>IFERROR(__xludf.DUMMYFUNCTION("""COMPUTED_VALUE"""),0.0)</f>
        <v>0</v>
      </c>
      <c r="EI100" s="180">
        <f>IFERROR(__xludf.DUMMYFUNCTION("""COMPUTED_VALUE"""),45879.0)</f>
        <v>45879</v>
      </c>
      <c r="EJ100" s="179">
        <f>IFERROR(__xludf.DUMMYFUNCTION("""COMPUTED_VALUE"""),0.0)</f>
        <v>0</v>
      </c>
      <c r="EK100" s="180">
        <f>IFERROR(__xludf.DUMMYFUNCTION("""COMPUTED_VALUE"""),45879.0)</f>
        <v>45879</v>
      </c>
      <c r="EL100" s="179">
        <f>IFERROR(__xludf.DUMMYFUNCTION("""COMPUTED_VALUE"""),0.0)</f>
        <v>0</v>
      </c>
      <c r="EM100" s="182">
        <f>IFERROR(__xludf.DUMMYFUNCTION("""COMPUTED_VALUE"""),45879.0)</f>
        <v>45879</v>
      </c>
      <c r="EN100" s="179">
        <f>IFERROR(__xludf.DUMMYFUNCTION("""COMPUTED_VALUE"""),0.0)</f>
        <v>0</v>
      </c>
      <c r="EO100" s="180">
        <f>IFERROR(__xludf.DUMMYFUNCTION("""COMPUTED_VALUE"""),45879.0)</f>
        <v>45879</v>
      </c>
      <c r="EP100" s="179">
        <f>IFERROR(__xludf.DUMMYFUNCTION("""COMPUTED_VALUE"""),0.0)</f>
        <v>0</v>
      </c>
      <c r="EQ100" s="180">
        <f>IFERROR(__xludf.DUMMYFUNCTION("""COMPUTED_VALUE"""),45879.0)</f>
        <v>45879</v>
      </c>
      <c r="ER100" s="179">
        <f>IFERROR(__xludf.DUMMYFUNCTION("""COMPUTED_VALUE"""),0.0)</f>
        <v>0</v>
      </c>
      <c r="ES100" s="180">
        <f>IFERROR(__xludf.DUMMYFUNCTION("""COMPUTED_VALUE"""),45879.0)</f>
        <v>45879</v>
      </c>
      <c r="ET100" s="179">
        <f>IFERROR(__xludf.DUMMYFUNCTION("""COMPUTED_VALUE"""),0.0)</f>
        <v>0</v>
      </c>
      <c r="EU100" s="180">
        <f>IFERROR(__xludf.DUMMYFUNCTION("""COMPUTED_VALUE"""),45879.0)</f>
        <v>45879</v>
      </c>
      <c r="EV100" s="179">
        <f>IFERROR(__xludf.DUMMYFUNCTION("""COMPUTED_VALUE"""),0.0)</f>
        <v>0</v>
      </c>
      <c r="EW100" s="180">
        <f>IFERROR(__xludf.DUMMYFUNCTION("""COMPUTED_VALUE"""),45879.0)</f>
        <v>45879</v>
      </c>
      <c r="EX100" s="179">
        <f>IFERROR(__xludf.DUMMYFUNCTION("""COMPUTED_VALUE"""),0.0)</f>
        <v>0</v>
      </c>
      <c r="EY100" s="180">
        <f>IFERROR(__xludf.DUMMYFUNCTION("""COMPUTED_VALUE"""),45879.0)</f>
        <v>45879</v>
      </c>
      <c r="EZ100" s="179">
        <f>IFERROR(__xludf.DUMMYFUNCTION("""COMPUTED_VALUE"""),0.0)</f>
        <v>0</v>
      </c>
      <c r="FA100" s="180">
        <f>IFERROR(__xludf.DUMMYFUNCTION("""COMPUTED_VALUE"""),45879.0)</f>
        <v>45879</v>
      </c>
      <c r="FB100" s="179">
        <f>IFERROR(__xludf.DUMMYFUNCTION("""COMPUTED_VALUE"""),0.0)</f>
        <v>0</v>
      </c>
      <c r="FC100" s="180">
        <f>IFERROR(__xludf.DUMMYFUNCTION("""COMPUTED_VALUE"""),45879.0)</f>
        <v>45879</v>
      </c>
      <c r="FD100" s="179">
        <f>IFERROR(__xludf.DUMMYFUNCTION("""COMPUTED_VALUE"""),0.0)</f>
        <v>0</v>
      </c>
      <c r="FE100" s="180">
        <f>IFERROR(__xludf.DUMMYFUNCTION("""COMPUTED_VALUE"""),45879.0)</f>
        <v>45879</v>
      </c>
      <c r="FF100" s="179">
        <f>IFERROR(__xludf.DUMMYFUNCTION("""COMPUTED_VALUE"""),0.0)</f>
        <v>0</v>
      </c>
      <c r="FG100" s="182">
        <f>IFERROR(__xludf.DUMMYFUNCTION("""COMPUTED_VALUE"""),45879.0)</f>
        <v>45879</v>
      </c>
      <c r="FH100" s="179">
        <f>IFERROR(__xludf.DUMMYFUNCTION("""COMPUTED_VALUE"""),0.0)</f>
        <v>0</v>
      </c>
      <c r="FI100" s="180">
        <f>IFERROR(__xludf.DUMMYFUNCTION("""COMPUTED_VALUE"""),45879.0)</f>
        <v>45879</v>
      </c>
      <c r="FJ100" s="179">
        <f>IFERROR(__xludf.DUMMYFUNCTION("""COMPUTED_VALUE"""),0.0)</f>
        <v>0</v>
      </c>
      <c r="FK100" s="180">
        <f>IFERROR(__xludf.DUMMYFUNCTION("""COMPUTED_VALUE"""),45848.0)</f>
        <v>45848</v>
      </c>
      <c r="FL100" s="179">
        <f>IFERROR(__xludf.DUMMYFUNCTION("""COMPUTED_VALUE"""),0.0)</f>
        <v>0</v>
      </c>
      <c r="FM100" s="180">
        <f>IFERROR(__xludf.DUMMYFUNCTION("""COMPUTED_VALUE"""),45879.0)</f>
        <v>45879</v>
      </c>
      <c r="FN100" s="179">
        <f>IFERROR(__xludf.DUMMYFUNCTION("""COMPUTED_VALUE"""),0.0)</f>
        <v>0</v>
      </c>
      <c r="FO100" s="180">
        <f>IFERROR(__xludf.DUMMYFUNCTION("""COMPUTED_VALUE"""),45879.0)</f>
        <v>45879</v>
      </c>
      <c r="FP100" s="179">
        <f>IFERROR(__xludf.DUMMYFUNCTION("""COMPUTED_VALUE"""),0.0)</f>
        <v>0</v>
      </c>
      <c r="FQ100" s="180">
        <f>IFERROR(__xludf.DUMMYFUNCTION("""COMPUTED_VALUE"""),45879.0)</f>
        <v>45879</v>
      </c>
      <c r="FR100" s="179">
        <f>IFERROR(__xludf.DUMMYFUNCTION("""COMPUTED_VALUE"""),0.0)</f>
        <v>0</v>
      </c>
      <c r="FS100" s="180">
        <f>IFERROR(__xludf.DUMMYFUNCTION("""COMPUTED_VALUE"""),45879.0)</f>
        <v>45879</v>
      </c>
      <c r="FT100" s="179">
        <f>IFERROR(__xludf.DUMMYFUNCTION("""COMPUTED_VALUE"""),0.0)</f>
        <v>0</v>
      </c>
      <c r="FU100" s="180">
        <f>IFERROR(__xludf.DUMMYFUNCTION("""COMPUTED_VALUE"""),45879.0)</f>
        <v>45879</v>
      </c>
      <c r="FV100" s="179">
        <f>IFERROR(__xludf.DUMMYFUNCTION("""COMPUTED_VALUE"""),0.0)</f>
        <v>0</v>
      </c>
      <c r="FW100" s="180">
        <f>IFERROR(__xludf.DUMMYFUNCTION("""COMPUTED_VALUE"""),45879.0)</f>
        <v>45879</v>
      </c>
      <c r="FX100" s="179">
        <f>IFERROR(__xludf.DUMMYFUNCTION("""COMPUTED_VALUE"""),0.0)</f>
        <v>0</v>
      </c>
      <c r="FY100" s="180">
        <f>IFERROR(__xludf.DUMMYFUNCTION("""COMPUTED_VALUE"""),45818.0)</f>
        <v>45818</v>
      </c>
      <c r="FZ100" s="179">
        <f>IFERROR(__xludf.DUMMYFUNCTION("""COMPUTED_VALUE"""),0.0)</f>
        <v>0</v>
      </c>
      <c r="GA100" s="182">
        <f>IFERROR(__xludf.DUMMYFUNCTION("""COMPUTED_VALUE"""),45909.0)</f>
        <v>45909</v>
      </c>
      <c r="GB100" s="179">
        <f>IFERROR(__xludf.DUMMYFUNCTION("""COMPUTED_VALUE"""),0.0)</f>
        <v>0</v>
      </c>
      <c r="GC100" s="180">
        <f>IFERROR(__xludf.DUMMYFUNCTION("""COMPUTED_VALUE"""),45909.0)</f>
        <v>45909</v>
      </c>
      <c r="GD100" s="179">
        <f>IFERROR(__xludf.DUMMYFUNCTION("""COMPUTED_VALUE"""),0.0)</f>
        <v>0</v>
      </c>
      <c r="GE100" s="180">
        <f>IFERROR(__xludf.DUMMYFUNCTION("""COMPUTED_VALUE"""),45909.0)</f>
        <v>45909</v>
      </c>
      <c r="GF100" s="179">
        <f>IFERROR(__xludf.DUMMYFUNCTION("""COMPUTED_VALUE"""),0.0)</f>
        <v>0</v>
      </c>
      <c r="GG100" s="180">
        <f>IFERROR(__xludf.DUMMYFUNCTION("""COMPUTED_VALUE"""),45878.0)</f>
        <v>45878</v>
      </c>
      <c r="GH100" s="179">
        <f>IFERROR(__xludf.DUMMYFUNCTION("""COMPUTED_VALUE"""),0.0)</f>
        <v>0</v>
      </c>
      <c r="GI100" s="180">
        <f>IFERROR(__xludf.DUMMYFUNCTION("""COMPUTED_VALUE"""),45909.0)</f>
        <v>45909</v>
      </c>
      <c r="GJ100" s="179">
        <f>IFERROR(__xludf.DUMMYFUNCTION("""COMPUTED_VALUE"""),0.0)</f>
        <v>0</v>
      </c>
      <c r="GK100" s="180">
        <f>IFERROR(__xludf.DUMMYFUNCTION("""COMPUTED_VALUE"""),45909.0)</f>
        <v>45909</v>
      </c>
      <c r="GL100" s="179">
        <f>IFERROR(__xludf.DUMMYFUNCTION("""COMPUTED_VALUE"""),0.0)</f>
        <v>0</v>
      </c>
      <c r="GM100" s="180">
        <f>IFERROR(__xludf.DUMMYFUNCTION("""COMPUTED_VALUE"""),45878.0)</f>
        <v>45878</v>
      </c>
      <c r="GN100" s="179">
        <f>IFERROR(__xludf.DUMMYFUNCTION("""COMPUTED_VALUE"""),0.0)</f>
        <v>0</v>
      </c>
      <c r="GO100" s="180">
        <f>IFERROR(__xludf.DUMMYFUNCTION("""COMPUTED_VALUE"""),45909.0)</f>
        <v>45909</v>
      </c>
      <c r="GP100" s="179">
        <f>IFERROR(__xludf.DUMMYFUNCTION("""COMPUTED_VALUE"""),0.0)</f>
        <v>0</v>
      </c>
      <c r="GQ100" s="180">
        <f>IFERROR(__xludf.DUMMYFUNCTION("""COMPUTED_VALUE"""),45909.0)</f>
        <v>45909</v>
      </c>
      <c r="GR100" s="179">
        <f>IFERROR(__xludf.DUMMYFUNCTION("""COMPUTED_VALUE"""),0.0)</f>
        <v>0</v>
      </c>
      <c r="GS100" s="180">
        <f>IFERROR(__xludf.DUMMYFUNCTION("""COMPUTED_VALUE"""),45878.0)</f>
        <v>45878</v>
      </c>
      <c r="GT100" s="179">
        <f>IFERROR(__xludf.DUMMYFUNCTION("""COMPUTED_VALUE"""),0.0)</f>
        <v>0</v>
      </c>
    </row>
    <row r="101" ht="31.5" customHeight="1">
      <c r="B101" s="183"/>
      <c r="C101" s="178">
        <f>IFERROR(__xludf.DUMMYFUNCTION("""COMPUTED_VALUE"""),45910.0)</f>
        <v>45910</v>
      </c>
      <c r="D101" s="179">
        <f>IFERROR(__xludf.DUMMYFUNCTION("""COMPUTED_VALUE"""),0.0)</f>
        <v>0</v>
      </c>
      <c r="E101" s="180">
        <f>IFERROR(__xludf.DUMMYFUNCTION("""COMPUTED_VALUE"""),45910.0)</f>
        <v>45910</v>
      </c>
      <c r="F101" s="179">
        <f>IFERROR(__xludf.DUMMYFUNCTION("""COMPUTED_VALUE"""),0.0)</f>
        <v>0</v>
      </c>
      <c r="G101" s="180">
        <f>IFERROR(__xludf.DUMMYFUNCTION("""COMPUTED_VALUE"""),45910.0)</f>
        <v>45910</v>
      </c>
      <c r="H101" s="179">
        <f>IFERROR(__xludf.DUMMYFUNCTION("""COMPUTED_VALUE"""),0.0)</f>
        <v>0</v>
      </c>
      <c r="I101" s="180">
        <f>IFERROR(__xludf.DUMMYFUNCTION("""COMPUTED_VALUE"""),45910.0)</f>
        <v>45910</v>
      </c>
      <c r="J101" s="179">
        <f>IFERROR(__xludf.DUMMYFUNCTION("""COMPUTED_VALUE"""),0.0)</f>
        <v>0</v>
      </c>
      <c r="K101" s="180">
        <f>IFERROR(__xludf.DUMMYFUNCTION("""COMPUTED_VALUE"""),45910.0)</f>
        <v>45910</v>
      </c>
      <c r="L101" s="179">
        <f>IFERROR(__xludf.DUMMYFUNCTION("""COMPUTED_VALUE"""),0.0)</f>
        <v>0</v>
      </c>
      <c r="M101" s="180">
        <f>IFERROR(__xludf.DUMMYFUNCTION("""COMPUTED_VALUE"""),45910.0)</f>
        <v>45910</v>
      </c>
      <c r="N101" s="179">
        <f>IFERROR(__xludf.DUMMYFUNCTION("""COMPUTED_VALUE"""),0.0)</f>
        <v>0</v>
      </c>
      <c r="O101" s="180">
        <f>IFERROR(__xludf.DUMMYFUNCTION("""COMPUTED_VALUE"""),45910.0)</f>
        <v>45910</v>
      </c>
      <c r="P101" s="179">
        <f>IFERROR(__xludf.DUMMYFUNCTION("""COMPUTED_VALUE"""),0.0)</f>
        <v>0</v>
      </c>
      <c r="Q101" s="180">
        <f>IFERROR(__xludf.DUMMYFUNCTION("""COMPUTED_VALUE"""),45910.0)</f>
        <v>45910</v>
      </c>
      <c r="R101" s="179">
        <f>IFERROR(__xludf.DUMMYFUNCTION("""COMPUTED_VALUE"""),0.0)</f>
        <v>0</v>
      </c>
      <c r="S101" s="180">
        <f>IFERROR(__xludf.DUMMYFUNCTION("""COMPUTED_VALUE"""),45910.0)</f>
        <v>45910</v>
      </c>
      <c r="T101" s="179">
        <f>IFERROR(__xludf.DUMMYFUNCTION("""COMPUTED_VALUE"""),0.0)</f>
        <v>0</v>
      </c>
      <c r="U101" s="180">
        <f>IFERROR(__xludf.DUMMYFUNCTION("""COMPUTED_VALUE"""),45910.0)</f>
        <v>45910</v>
      </c>
      <c r="V101" s="181">
        <f>IFERROR(__xludf.DUMMYFUNCTION("""COMPUTED_VALUE"""),0.0)</f>
        <v>0</v>
      </c>
      <c r="W101" s="178">
        <f>IFERROR(__xludf.DUMMYFUNCTION("""COMPUTED_VALUE"""),45910.0)</f>
        <v>45910</v>
      </c>
      <c r="X101" s="179">
        <f>IFERROR(__xludf.DUMMYFUNCTION("""COMPUTED_VALUE"""),0.0)</f>
        <v>0</v>
      </c>
      <c r="Y101" s="180">
        <f>IFERROR(__xludf.DUMMYFUNCTION("""COMPUTED_VALUE"""),45910.0)</f>
        <v>45910</v>
      </c>
      <c r="Z101" s="179">
        <f>IFERROR(__xludf.DUMMYFUNCTION("""COMPUTED_VALUE"""),0.0)</f>
        <v>0</v>
      </c>
      <c r="AA101" s="180">
        <f>IFERROR(__xludf.DUMMYFUNCTION("""COMPUTED_VALUE"""),45910.0)</f>
        <v>45910</v>
      </c>
      <c r="AB101" s="179">
        <f>IFERROR(__xludf.DUMMYFUNCTION("""COMPUTED_VALUE"""),0.0)</f>
        <v>0</v>
      </c>
      <c r="AC101" s="180">
        <f>IFERROR(__xludf.DUMMYFUNCTION("""COMPUTED_VALUE"""),45848.0)</f>
        <v>45848</v>
      </c>
      <c r="AD101" s="179">
        <f>IFERROR(__xludf.DUMMYFUNCTION("""COMPUTED_VALUE"""),0.0)</f>
        <v>0</v>
      </c>
      <c r="AE101" s="180">
        <f>IFERROR(__xludf.DUMMYFUNCTION("""COMPUTED_VALUE"""),45910.0)</f>
        <v>45910</v>
      </c>
      <c r="AF101" s="179">
        <f>IFERROR(__xludf.DUMMYFUNCTION("""COMPUTED_VALUE"""),0.0)</f>
        <v>0</v>
      </c>
      <c r="AG101" s="180">
        <f>IFERROR(__xludf.DUMMYFUNCTION("""COMPUTED_VALUE"""),45910.0)</f>
        <v>45910</v>
      </c>
      <c r="AH101" s="179">
        <f>IFERROR(__xludf.DUMMYFUNCTION("""COMPUTED_VALUE"""),0.0)</f>
        <v>0</v>
      </c>
      <c r="AI101" s="180">
        <f>IFERROR(__xludf.DUMMYFUNCTION("""COMPUTED_VALUE"""),45910.0)</f>
        <v>45910</v>
      </c>
      <c r="AJ101" s="179">
        <f>IFERROR(__xludf.DUMMYFUNCTION("""COMPUTED_VALUE"""),0.0)</f>
        <v>0</v>
      </c>
      <c r="AK101" s="180">
        <f>IFERROR(__xludf.DUMMYFUNCTION("""COMPUTED_VALUE"""),45910.0)</f>
        <v>45910</v>
      </c>
      <c r="AL101" s="179">
        <f>IFERROR(__xludf.DUMMYFUNCTION("""COMPUTED_VALUE"""),0.0)</f>
        <v>0</v>
      </c>
      <c r="AM101" s="180">
        <f>IFERROR(__xludf.DUMMYFUNCTION("""COMPUTED_VALUE"""),45910.0)</f>
        <v>45910</v>
      </c>
      <c r="AN101" s="179">
        <f>IFERROR(__xludf.DUMMYFUNCTION("""COMPUTED_VALUE"""),0.0)</f>
        <v>0</v>
      </c>
      <c r="AO101" s="180">
        <f>IFERROR(__xludf.DUMMYFUNCTION("""COMPUTED_VALUE"""),45910.0)</f>
        <v>45910</v>
      </c>
      <c r="AP101" s="181">
        <f>IFERROR(__xludf.DUMMYFUNCTION("""COMPUTED_VALUE"""),0.0)</f>
        <v>0</v>
      </c>
      <c r="AQ101" s="178">
        <f>IFERROR(__xludf.DUMMYFUNCTION("""COMPUTED_VALUE"""),45910.0)</f>
        <v>45910</v>
      </c>
      <c r="AR101" s="179">
        <f>IFERROR(__xludf.DUMMYFUNCTION("""COMPUTED_VALUE"""),0.0)</f>
        <v>0</v>
      </c>
      <c r="AS101" s="180">
        <f>IFERROR(__xludf.DUMMYFUNCTION("""COMPUTED_VALUE"""),45910.0)</f>
        <v>45910</v>
      </c>
      <c r="AT101" s="179">
        <f>IFERROR(__xludf.DUMMYFUNCTION("""COMPUTED_VALUE"""),0.0)</f>
        <v>0</v>
      </c>
      <c r="AU101" s="180">
        <f>IFERROR(__xludf.DUMMYFUNCTION("""COMPUTED_VALUE"""),45879.0)</f>
        <v>45879</v>
      </c>
      <c r="AV101" s="179">
        <f>IFERROR(__xludf.DUMMYFUNCTION("""COMPUTED_VALUE"""),0.0)</f>
        <v>0</v>
      </c>
      <c r="AW101" s="180">
        <f>IFERROR(__xludf.DUMMYFUNCTION("""COMPUTED_VALUE"""),45879.0)</f>
        <v>45879</v>
      </c>
      <c r="AX101" s="179">
        <f>IFERROR(__xludf.DUMMYFUNCTION("""COMPUTED_VALUE"""),0.0)</f>
        <v>0</v>
      </c>
      <c r="AY101" s="180">
        <f>IFERROR(__xludf.DUMMYFUNCTION("""COMPUTED_VALUE"""),45910.0)</f>
        <v>45910</v>
      </c>
      <c r="AZ101" s="179">
        <f>IFERROR(__xludf.DUMMYFUNCTION("""COMPUTED_VALUE"""),0.0)</f>
        <v>0</v>
      </c>
      <c r="BA101" s="180">
        <f>IFERROR(__xludf.DUMMYFUNCTION("""COMPUTED_VALUE"""),45910.0)</f>
        <v>45910</v>
      </c>
      <c r="BB101" s="179">
        <f>IFERROR(__xludf.DUMMYFUNCTION("""COMPUTED_VALUE"""),0.0)</f>
        <v>0</v>
      </c>
      <c r="BC101" s="180">
        <f>IFERROR(__xludf.DUMMYFUNCTION("""COMPUTED_VALUE"""),45879.0)</f>
        <v>45879</v>
      </c>
      <c r="BD101" s="179">
        <f>IFERROR(__xludf.DUMMYFUNCTION("""COMPUTED_VALUE"""),0.0)</f>
        <v>0</v>
      </c>
      <c r="BE101" s="180">
        <f>IFERROR(__xludf.DUMMYFUNCTION("""COMPUTED_VALUE"""),45910.0)</f>
        <v>45910</v>
      </c>
      <c r="BF101" s="179">
        <f>IFERROR(__xludf.DUMMYFUNCTION("""COMPUTED_VALUE"""),0.0)</f>
        <v>0</v>
      </c>
      <c r="BG101" s="180">
        <f>IFERROR(__xludf.DUMMYFUNCTION("""COMPUTED_VALUE"""),45879.0)</f>
        <v>45879</v>
      </c>
      <c r="BH101" s="179">
        <f>IFERROR(__xludf.DUMMYFUNCTION("""COMPUTED_VALUE"""),0.0)</f>
        <v>0</v>
      </c>
      <c r="BI101" s="180">
        <f>IFERROR(__xludf.DUMMYFUNCTION("""COMPUTED_VALUE"""),45910.0)</f>
        <v>45910</v>
      </c>
      <c r="BJ101" s="179">
        <f>IFERROR(__xludf.DUMMYFUNCTION("""COMPUTED_VALUE"""),0.0)</f>
        <v>0</v>
      </c>
      <c r="BK101" s="182">
        <f>IFERROR(__xludf.DUMMYFUNCTION("""COMPUTED_VALUE"""),45910.0)</f>
        <v>45910</v>
      </c>
      <c r="BL101" s="179">
        <f>IFERROR(__xludf.DUMMYFUNCTION("""COMPUTED_VALUE"""),0.0)</f>
        <v>0</v>
      </c>
      <c r="BM101" s="180">
        <f>IFERROR(__xludf.DUMMYFUNCTION("""COMPUTED_VALUE"""),45910.0)</f>
        <v>45910</v>
      </c>
      <c r="BN101" s="179">
        <f>IFERROR(__xludf.DUMMYFUNCTION("""COMPUTED_VALUE"""),0.0)</f>
        <v>0</v>
      </c>
      <c r="BO101" s="180">
        <f>IFERROR(__xludf.DUMMYFUNCTION("""COMPUTED_VALUE"""),45879.0)</f>
        <v>45879</v>
      </c>
      <c r="BP101" s="179">
        <f>IFERROR(__xludf.DUMMYFUNCTION("""COMPUTED_VALUE"""),0.0)</f>
        <v>0</v>
      </c>
      <c r="BQ101" s="180">
        <f>IFERROR(__xludf.DUMMYFUNCTION("""COMPUTED_VALUE"""),45879.0)</f>
        <v>45879</v>
      </c>
      <c r="BR101" s="179">
        <f>IFERROR(__xludf.DUMMYFUNCTION("""COMPUTED_VALUE"""),0.0)</f>
        <v>0</v>
      </c>
      <c r="BS101" s="180">
        <f>IFERROR(__xludf.DUMMYFUNCTION("""COMPUTED_VALUE"""),45910.0)</f>
        <v>45910</v>
      </c>
      <c r="BT101" s="179">
        <f>IFERROR(__xludf.DUMMYFUNCTION("""COMPUTED_VALUE"""),0.0)</f>
        <v>0</v>
      </c>
      <c r="BU101" s="180">
        <f>IFERROR(__xludf.DUMMYFUNCTION("""COMPUTED_VALUE"""),45910.0)</f>
        <v>45910</v>
      </c>
      <c r="BV101" s="179">
        <f>IFERROR(__xludf.DUMMYFUNCTION("""COMPUTED_VALUE"""),0.0)</f>
        <v>0</v>
      </c>
      <c r="BW101" s="180">
        <f>IFERROR(__xludf.DUMMYFUNCTION("""COMPUTED_VALUE"""),45910.0)</f>
        <v>45910</v>
      </c>
      <c r="BX101" s="179">
        <f>IFERROR(__xludf.DUMMYFUNCTION("""COMPUTED_VALUE"""),0.0)</f>
        <v>0</v>
      </c>
      <c r="BY101" s="180">
        <f>IFERROR(__xludf.DUMMYFUNCTION("""COMPUTED_VALUE"""),45879.0)</f>
        <v>45879</v>
      </c>
      <c r="BZ101" s="179">
        <f>IFERROR(__xludf.DUMMYFUNCTION("""COMPUTED_VALUE"""),0.0)</f>
        <v>0</v>
      </c>
      <c r="CA101" s="180">
        <f>IFERROR(__xludf.DUMMYFUNCTION("""COMPUTED_VALUE"""),45910.0)</f>
        <v>45910</v>
      </c>
      <c r="CB101" s="179">
        <f>IFERROR(__xludf.DUMMYFUNCTION("""COMPUTED_VALUE"""),0.0)</f>
        <v>0</v>
      </c>
      <c r="CC101" s="180">
        <f>IFERROR(__xludf.DUMMYFUNCTION("""COMPUTED_VALUE"""),45910.0)</f>
        <v>45910</v>
      </c>
      <c r="CD101" s="179">
        <f>IFERROR(__xludf.DUMMYFUNCTION("""COMPUTED_VALUE"""),0.0)</f>
        <v>0</v>
      </c>
      <c r="CE101" s="182">
        <f>IFERROR(__xludf.DUMMYFUNCTION("""COMPUTED_VALUE"""),45910.0)</f>
        <v>45910</v>
      </c>
      <c r="CF101" s="179">
        <f>IFERROR(__xludf.DUMMYFUNCTION("""COMPUTED_VALUE"""),0.0)</f>
        <v>0</v>
      </c>
      <c r="CG101" s="180">
        <f>IFERROR(__xludf.DUMMYFUNCTION("""COMPUTED_VALUE"""),45910.0)</f>
        <v>45910</v>
      </c>
      <c r="CH101" s="179">
        <f>IFERROR(__xludf.DUMMYFUNCTION("""COMPUTED_VALUE"""),0.0)</f>
        <v>0</v>
      </c>
      <c r="CI101" s="180">
        <f>IFERROR(__xludf.DUMMYFUNCTION("""COMPUTED_VALUE"""),45910.0)</f>
        <v>45910</v>
      </c>
      <c r="CJ101" s="179">
        <f>IFERROR(__xludf.DUMMYFUNCTION("""COMPUTED_VALUE"""),0.0)</f>
        <v>0</v>
      </c>
      <c r="CK101" s="180">
        <f>IFERROR(__xludf.DUMMYFUNCTION("""COMPUTED_VALUE"""),45879.0)</f>
        <v>45879</v>
      </c>
      <c r="CL101" s="179">
        <f>IFERROR(__xludf.DUMMYFUNCTION("""COMPUTED_VALUE"""),0.0)</f>
        <v>0</v>
      </c>
      <c r="CM101" s="180">
        <f>IFERROR(__xludf.DUMMYFUNCTION("""COMPUTED_VALUE"""),45910.0)</f>
        <v>45910</v>
      </c>
      <c r="CN101" s="179">
        <f>IFERROR(__xludf.DUMMYFUNCTION("""COMPUTED_VALUE"""),0.0)</f>
        <v>0</v>
      </c>
      <c r="CO101" s="180">
        <f>IFERROR(__xludf.DUMMYFUNCTION("""COMPUTED_VALUE"""),45910.0)</f>
        <v>45910</v>
      </c>
      <c r="CP101" s="179">
        <f>IFERROR(__xludf.DUMMYFUNCTION("""COMPUTED_VALUE"""),0.0)</f>
        <v>0</v>
      </c>
      <c r="CQ101" s="180">
        <f>IFERROR(__xludf.DUMMYFUNCTION("""COMPUTED_VALUE"""),45879.0)</f>
        <v>45879</v>
      </c>
      <c r="CR101" s="179">
        <f>IFERROR(__xludf.DUMMYFUNCTION("""COMPUTED_VALUE"""),0.0)</f>
        <v>0</v>
      </c>
      <c r="CS101" s="180">
        <f>IFERROR(__xludf.DUMMYFUNCTION("""COMPUTED_VALUE"""),45910.0)</f>
        <v>45910</v>
      </c>
      <c r="CT101" s="179">
        <f>IFERROR(__xludf.DUMMYFUNCTION("""COMPUTED_VALUE"""),0.0)</f>
        <v>0</v>
      </c>
      <c r="CU101" s="180">
        <f>IFERROR(__xludf.DUMMYFUNCTION("""COMPUTED_VALUE"""),45910.0)</f>
        <v>45910</v>
      </c>
      <c r="CV101" s="179">
        <f>IFERROR(__xludf.DUMMYFUNCTION("""COMPUTED_VALUE"""),0.0)</f>
        <v>0</v>
      </c>
      <c r="CW101" s="180">
        <f>IFERROR(__xludf.DUMMYFUNCTION("""COMPUTED_VALUE"""),45879.0)</f>
        <v>45879</v>
      </c>
      <c r="CX101" s="179">
        <f>IFERROR(__xludf.DUMMYFUNCTION("""COMPUTED_VALUE"""),0.0)</f>
        <v>0</v>
      </c>
      <c r="CY101" s="182">
        <f>IFERROR(__xludf.DUMMYFUNCTION("""COMPUTED_VALUE"""),45910.0)</f>
        <v>45910</v>
      </c>
      <c r="CZ101" s="179">
        <f>IFERROR(__xludf.DUMMYFUNCTION("""COMPUTED_VALUE"""),0.0)</f>
        <v>0</v>
      </c>
      <c r="DA101" s="180">
        <f>IFERROR(__xludf.DUMMYFUNCTION("""COMPUTED_VALUE"""),45910.0)</f>
        <v>45910</v>
      </c>
      <c r="DB101" s="179">
        <f>IFERROR(__xludf.DUMMYFUNCTION("""COMPUTED_VALUE"""),0.0)</f>
        <v>0</v>
      </c>
      <c r="DC101" s="180">
        <f>IFERROR(__xludf.DUMMYFUNCTION("""COMPUTED_VALUE"""),45910.0)</f>
        <v>45910</v>
      </c>
      <c r="DD101" s="179">
        <f>IFERROR(__xludf.DUMMYFUNCTION("""COMPUTED_VALUE"""),0.0)</f>
        <v>0</v>
      </c>
      <c r="DE101" s="180">
        <f>IFERROR(__xludf.DUMMYFUNCTION("""COMPUTED_VALUE"""),45910.0)</f>
        <v>45910</v>
      </c>
      <c r="DF101" s="179">
        <f>IFERROR(__xludf.DUMMYFUNCTION("""COMPUTED_VALUE"""),0.0)</f>
        <v>0</v>
      </c>
      <c r="DG101" s="180">
        <f>IFERROR(__xludf.DUMMYFUNCTION("""COMPUTED_VALUE"""),45910.0)</f>
        <v>45910</v>
      </c>
      <c r="DH101" s="179">
        <f>IFERROR(__xludf.DUMMYFUNCTION("""COMPUTED_VALUE"""),0.0)</f>
        <v>0</v>
      </c>
      <c r="DI101" s="180">
        <f>IFERROR(__xludf.DUMMYFUNCTION("""COMPUTED_VALUE"""),45910.0)</f>
        <v>45910</v>
      </c>
      <c r="DJ101" s="179">
        <f>IFERROR(__xludf.DUMMYFUNCTION("""COMPUTED_VALUE"""),0.0)</f>
        <v>0</v>
      </c>
      <c r="DK101" s="180">
        <f>IFERROR(__xludf.DUMMYFUNCTION("""COMPUTED_VALUE"""),45910.0)</f>
        <v>45910</v>
      </c>
      <c r="DL101" s="179">
        <f>IFERROR(__xludf.DUMMYFUNCTION("""COMPUTED_VALUE"""),0.0)</f>
        <v>0</v>
      </c>
      <c r="DM101" s="180">
        <f>IFERROR(__xludf.DUMMYFUNCTION("""COMPUTED_VALUE"""),45910.0)</f>
        <v>45910</v>
      </c>
      <c r="DN101" s="179">
        <f>IFERROR(__xludf.DUMMYFUNCTION("""COMPUTED_VALUE"""),0.0)</f>
        <v>0</v>
      </c>
      <c r="DO101" s="180">
        <f>IFERROR(__xludf.DUMMYFUNCTION("""COMPUTED_VALUE"""),45910.0)</f>
        <v>45910</v>
      </c>
      <c r="DP101" s="179">
        <f>IFERROR(__xludf.DUMMYFUNCTION("""COMPUTED_VALUE"""),0.0)</f>
        <v>0</v>
      </c>
      <c r="DQ101" s="180">
        <f>IFERROR(__xludf.DUMMYFUNCTION("""COMPUTED_VALUE"""),45910.0)</f>
        <v>45910</v>
      </c>
      <c r="DR101" s="179">
        <f>IFERROR(__xludf.DUMMYFUNCTION("""COMPUTED_VALUE"""),0.0)</f>
        <v>0</v>
      </c>
      <c r="DS101" s="182">
        <f>IFERROR(__xludf.DUMMYFUNCTION("""COMPUTED_VALUE"""),45910.0)</f>
        <v>45910</v>
      </c>
      <c r="DT101" s="179">
        <f>IFERROR(__xludf.DUMMYFUNCTION("""COMPUTED_VALUE"""),0.0)</f>
        <v>0</v>
      </c>
      <c r="DU101" s="180">
        <f>IFERROR(__xludf.DUMMYFUNCTION("""COMPUTED_VALUE"""),45910.0)</f>
        <v>45910</v>
      </c>
      <c r="DV101" s="179">
        <f>IFERROR(__xludf.DUMMYFUNCTION("""COMPUTED_VALUE"""),0.0)</f>
        <v>0</v>
      </c>
      <c r="DW101" s="180">
        <f>IFERROR(__xludf.DUMMYFUNCTION("""COMPUTED_VALUE"""),45910.0)</f>
        <v>45910</v>
      </c>
      <c r="DX101" s="179">
        <f>IFERROR(__xludf.DUMMYFUNCTION("""COMPUTED_VALUE"""),0.0)</f>
        <v>0</v>
      </c>
      <c r="DY101" s="180">
        <f>IFERROR(__xludf.DUMMYFUNCTION("""COMPUTED_VALUE"""),45910.0)</f>
        <v>45910</v>
      </c>
      <c r="DZ101" s="179">
        <f>IFERROR(__xludf.DUMMYFUNCTION("""COMPUTED_VALUE"""),0.0)</f>
        <v>0</v>
      </c>
      <c r="EA101" s="180">
        <f>IFERROR(__xludf.DUMMYFUNCTION("""COMPUTED_VALUE"""),45910.0)</f>
        <v>45910</v>
      </c>
      <c r="EB101" s="179">
        <f>IFERROR(__xludf.DUMMYFUNCTION("""COMPUTED_VALUE"""),0.0)</f>
        <v>0</v>
      </c>
      <c r="EC101" s="180">
        <f>IFERROR(__xludf.DUMMYFUNCTION("""COMPUTED_VALUE"""),45910.0)</f>
        <v>45910</v>
      </c>
      <c r="ED101" s="179">
        <f>IFERROR(__xludf.DUMMYFUNCTION("""COMPUTED_VALUE"""),0.0)</f>
        <v>0</v>
      </c>
      <c r="EE101" s="180">
        <f>IFERROR(__xludf.DUMMYFUNCTION("""COMPUTED_VALUE"""),45910.0)</f>
        <v>45910</v>
      </c>
      <c r="EF101" s="179">
        <f>IFERROR(__xludf.DUMMYFUNCTION("""COMPUTED_VALUE"""),0.0)</f>
        <v>0</v>
      </c>
      <c r="EG101" s="180">
        <f>IFERROR(__xludf.DUMMYFUNCTION("""COMPUTED_VALUE"""),45910.0)</f>
        <v>45910</v>
      </c>
      <c r="EH101" s="179">
        <f>IFERROR(__xludf.DUMMYFUNCTION("""COMPUTED_VALUE"""),0.0)</f>
        <v>0</v>
      </c>
      <c r="EI101" s="180">
        <f>IFERROR(__xludf.DUMMYFUNCTION("""COMPUTED_VALUE"""),45910.0)</f>
        <v>45910</v>
      </c>
      <c r="EJ101" s="179">
        <f>IFERROR(__xludf.DUMMYFUNCTION("""COMPUTED_VALUE"""),0.0)</f>
        <v>0</v>
      </c>
      <c r="EK101" s="180">
        <f>IFERROR(__xludf.DUMMYFUNCTION("""COMPUTED_VALUE"""),45910.0)</f>
        <v>45910</v>
      </c>
      <c r="EL101" s="179">
        <f>IFERROR(__xludf.DUMMYFUNCTION("""COMPUTED_VALUE"""),0.0)</f>
        <v>0</v>
      </c>
      <c r="EM101" s="182">
        <f>IFERROR(__xludf.DUMMYFUNCTION("""COMPUTED_VALUE"""),45910.0)</f>
        <v>45910</v>
      </c>
      <c r="EN101" s="179">
        <f>IFERROR(__xludf.DUMMYFUNCTION("""COMPUTED_VALUE"""),0.0)</f>
        <v>0</v>
      </c>
      <c r="EO101" s="180">
        <f>IFERROR(__xludf.DUMMYFUNCTION("""COMPUTED_VALUE"""),45910.0)</f>
        <v>45910</v>
      </c>
      <c r="EP101" s="179">
        <f>IFERROR(__xludf.DUMMYFUNCTION("""COMPUTED_VALUE"""),0.0)</f>
        <v>0</v>
      </c>
      <c r="EQ101" s="180">
        <f>IFERROR(__xludf.DUMMYFUNCTION("""COMPUTED_VALUE"""),45910.0)</f>
        <v>45910</v>
      </c>
      <c r="ER101" s="179">
        <f>IFERROR(__xludf.DUMMYFUNCTION("""COMPUTED_VALUE"""),0.0)</f>
        <v>0</v>
      </c>
      <c r="ES101" s="180">
        <f>IFERROR(__xludf.DUMMYFUNCTION("""COMPUTED_VALUE"""),45910.0)</f>
        <v>45910</v>
      </c>
      <c r="ET101" s="179">
        <f>IFERROR(__xludf.DUMMYFUNCTION("""COMPUTED_VALUE"""),0.0)</f>
        <v>0</v>
      </c>
      <c r="EU101" s="180">
        <f>IFERROR(__xludf.DUMMYFUNCTION("""COMPUTED_VALUE"""),45910.0)</f>
        <v>45910</v>
      </c>
      <c r="EV101" s="179">
        <f>IFERROR(__xludf.DUMMYFUNCTION("""COMPUTED_VALUE"""),0.0)</f>
        <v>0</v>
      </c>
      <c r="EW101" s="180">
        <f>IFERROR(__xludf.DUMMYFUNCTION("""COMPUTED_VALUE"""),45910.0)</f>
        <v>45910</v>
      </c>
      <c r="EX101" s="179">
        <f>IFERROR(__xludf.DUMMYFUNCTION("""COMPUTED_VALUE"""),0.0)</f>
        <v>0</v>
      </c>
      <c r="EY101" s="180">
        <f>IFERROR(__xludf.DUMMYFUNCTION("""COMPUTED_VALUE"""),45910.0)</f>
        <v>45910</v>
      </c>
      <c r="EZ101" s="179">
        <f>IFERROR(__xludf.DUMMYFUNCTION("""COMPUTED_VALUE"""),0.0)</f>
        <v>0</v>
      </c>
      <c r="FA101" s="180">
        <f>IFERROR(__xludf.DUMMYFUNCTION("""COMPUTED_VALUE"""),45910.0)</f>
        <v>45910</v>
      </c>
      <c r="FB101" s="179">
        <f>IFERROR(__xludf.DUMMYFUNCTION("""COMPUTED_VALUE"""),0.0)</f>
        <v>0</v>
      </c>
      <c r="FC101" s="180">
        <f>IFERROR(__xludf.DUMMYFUNCTION("""COMPUTED_VALUE"""),45910.0)</f>
        <v>45910</v>
      </c>
      <c r="FD101" s="179">
        <f>IFERROR(__xludf.DUMMYFUNCTION("""COMPUTED_VALUE"""),0.0)</f>
        <v>0</v>
      </c>
      <c r="FE101" s="180">
        <f>IFERROR(__xludf.DUMMYFUNCTION("""COMPUTED_VALUE"""),45910.0)</f>
        <v>45910</v>
      </c>
      <c r="FF101" s="179">
        <f>IFERROR(__xludf.DUMMYFUNCTION("""COMPUTED_VALUE"""),0.0)</f>
        <v>0</v>
      </c>
      <c r="FG101" s="182">
        <f>IFERROR(__xludf.DUMMYFUNCTION("""COMPUTED_VALUE"""),45910.0)</f>
        <v>45910</v>
      </c>
      <c r="FH101" s="179">
        <f>IFERROR(__xludf.DUMMYFUNCTION("""COMPUTED_VALUE"""),0.0)</f>
        <v>0</v>
      </c>
      <c r="FI101" s="180">
        <f>IFERROR(__xludf.DUMMYFUNCTION("""COMPUTED_VALUE"""),45910.0)</f>
        <v>45910</v>
      </c>
      <c r="FJ101" s="179">
        <f>IFERROR(__xludf.DUMMYFUNCTION("""COMPUTED_VALUE"""),0.0)</f>
        <v>0</v>
      </c>
      <c r="FK101" s="180">
        <f>IFERROR(__xludf.DUMMYFUNCTION("""COMPUTED_VALUE"""),45879.0)</f>
        <v>45879</v>
      </c>
      <c r="FL101" s="179">
        <f>IFERROR(__xludf.DUMMYFUNCTION("""COMPUTED_VALUE"""),0.0)</f>
        <v>0</v>
      </c>
      <c r="FM101" s="180">
        <f>IFERROR(__xludf.DUMMYFUNCTION("""COMPUTED_VALUE"""),45910.0)</f>
        <v>45910</v>
      </c>
      <c r="FN101" s="179">
        <f>IFERROR(__xludf.DUMMYFUNCTION("""COMPUTED_VALUE"""),0.0)</f>
        <v>0</v>
      </c>
      <c r="FO101" s="180">
        <f>IFERROR(__xludf.DUMMYFUNCTION("""COMPUTED_VALUE"""),45910.0)</f>
        <v>45910</v>
      </c>
      <c r="FP101" s="179">
        <f>IFERROR(__xludf.DUMMYFUNCTION("""COMPUTED_VALUE"""),0.0)</f>
        <v>0</v>
      </c>
      <c r="FQ101" s="180">
        <f>IFERROR(__xludf.DUMMYFUNCTION("""COMPUTED_VALUE"""),45910.0)</f>
        <v>45910</v>
      </c>
      <c r="FR101" s="179">
        <f>IFERROR(__xludf.DUMMYFUNCTION("""COMPUTED_VALUE"""),0.0)</f>
        <v>0</v>
      </c>
      <c r="FS101" s="180">
        <f>IFERROR(__xludf.DUMMYFUNCTION("""COMPUTED_VALUE"""),45910.0)</f>
        <v>45910</v>
      </c>
      <c r="FT101" s="179">
        <f>IFERROR(__xludf.DUMMYFUNCTION("""COMPUTED_VALUE"""),0.0)</f>
        <v>0</v>
      </c>
      <c r="FU101" s="180">
        <f>IFERROR(__xludf.DUMMYFUNCTION("""COMPUTED_VALUE"""),45910.0)</f>
        <v>45910</v>
      </c>
      <c r="FV101" s="179">
        <f>IFERROR(__xludf.DUMMYFUNCTION("""COMPUTED_VALUE"""),0.0)</f>
        <v>0</v>
      </c>
      <c r="FW101" s="180">
        <f>IFERROR(__xludf.DUMMYFUNCTION("""COMPUTED_VALUE"""),45910.0)</f>
        <v>45910</v>
      </c>
      <c r="FX101" s="179">
        <f>IFERROR(__xludf.DUMMYFUNCTION("""COMPUTED_VALUE"""),0.0)</f>
        <v>0</v>
      </c>
      <c r="FY101" s="180">
        <f>IFERROR(__xludf.DUMMYFUNCTION("""COMPUTED_VALUE"""),45879.0)</f>
        <v>45879</v>
      </c>
      <c r="FZ101" s="179">
        <f>IFERROR(__xludf.DUMMYFUNCTION("""COMPUTED_VALUE"""),0.0)</f>
        <v>0</v>
      </c>
      <c r="GA101" s="182">
        <f>IFERROR(__xludf.DUMMYFUNCTION("""COMPUTED_VALUE"""),45939.0)</f>
        <v>45939</v>
      </c>
      <c r="GB101" s="179">
        <f>IFERROR(__xludf.DUMMYFUNCTION("""COMPUTED_VALUE"""),0.0)</f>
        <v>0</v>
      </c>
      <c r="GC101" s="180">
        <f>IFERROR(__xludf.DUMMYFUNCTION("""COMPUTED_VALUE"""),45939.0)</f>
        <v>45939</v>
      </c>
      <c r="GD101" s="179">
        <f>IFERROR(__xludf.DUMMYFUNCTION("""COMPUTED_VALUE"""),0.0)</f>
        <v>0</v>
      </c>
      <c r="GE101" s="180">
        <f>IFERROR(__xludf.DUMMYFUNCTION("""COMPUTED_VALUE"""),45939.0)</f>
        <v>45939</v>
      </c>
      <c r="GF101" s="179">
        <f>IFERROR(__xludf.DUMMYFUNCTION("""COMPUTED_VALUE"""),0.0)</f>
        <v>0</v>
      </c>
      <c r="GG101" s="180">
        <f>IFERROR(__xludf.DUMMYFUNCTION("""COMPUTED_VALUE"""),45909.0)</f>
        <v>45909</v>
      </c>
      <c r="GH101" s="179">
        <f>IFERROR(__xludf.DUMMYFUNCTION("""COMPUTED_VALUE"""),0.0)</f>
        <v>0</v>
      </c>
      <c r="GI101" s="180">
        <f>IFERROR(__xludf.DUMMYFUNCTION("""COMPUTED_VALUE"""),45939.0)</f>
        <v>45939</v>
      </c>
      <c r="GJ101" s="179">
        <f>IFERROR(__xludf.DUMMYFUNCTION("""COMPUTED_VALUE"""),0.0)</f>
        <v>0</v>
      </c>
      <c r="GK101" s="180">
        <f>IFERROR(__xludf.DUMMYFUNCTION("""COMPUTED_VALUE"""),45939.0)</f>
        <v>45939</v>
      </c>
      <c r="GL101" s="179">
        <f>IFERROR(__xludf.DUMMYFUNCTION("""COMPUTED_VALUE"""),0.0)</f>
        <v>0</v>
      </c>
      <c r="GM101" s="180">
        <f>IFERROR(__xludf.DUMMYFUNCTION("""COMPUTED_VALUE"""),45909.0)</f>
        <v>45909</v>
      </c>
      <c r="GN101" s="179">
        <f>IFERROR(__xludf.DUMMYFUNCTION("""COMPUTED_VALUE"""),0.0)</f>
        <v>0</v>
      </c>
      <c r="GO101" s="180">
        <f>IFERROR(__xludf.DUMMYFUNCTION("""COMPUTED_VALUE"""),45939.0)</f>
        <v>45939</v>
      </c>
      <c r="GP101" s="179">
        <f>IFERROR(__xludf.DUMMYFUNCTION("""COMPUTED_VALUE"""),0.0)</f>
        <v>0</v>
      </c>
      <c r="GQ101" s="180">
        <f>IFERROR(__xludf.DUMMYFUNCTION("""COMPUTED_VALUE"""),45939.0)</f>
        <v>45939</v>
      </c>
      <c r="GR101" s="179">
        <f>IFERROR(__xludf.DUMMYFUNCTION("""COMPUTED_VALUE"""),0.0)</f>
        <v>0</v>
      </c>
      <c r="GS101" s="180">
        <f>IFERROR(__xludf.DUMMYFUNCTION("""COMPUTED_VALUE"""),45909.0)</f>
        <v>45909</v>
      </c>
      <c r="GT101" s="179">
        <f>IFERROR(__xludf.DUMMYFUNCTION("""COMPUTED_VALUE"""),0.0)</f>
        <v>0</v>
      </c>
    </row>
    <row r="102" ht="31.5" customHeight="1">
      <c r="B102" s="183"/>
      <c r="C102" s="178">
        <f>IFERROR(__xludf.DUMMYFUNCTION("""COMPUTED_VALUE"""),45940.0)</f>
        <v>45940</v>
      </c>
      <c r="D102" s="179">
        <f>IFERROR(__xludf.DUMMYFUNCTION("""COMPUTED_VALUE"""),0.0)</f>
        <v>0</v>
      </c>
      <c r="E102" s="180">
        <f>IFERROR(__xludf.DUMMYFUNCTION("""COMPUTED_VALUE"""),45940.0)</f>
        <v>45940</v>
      </c>
      <c r="F102" s="179">
        <f>IFERROR(__xludf.DUMMYFUNCTION("""COMPUTED_VALUE"""),0.0)</f>
        <v>0</v>
      </c>
      <c r="G102" s="180">
        <f>IFERROR(__xludf.DUMMYFUNCTION("""COMPUTED_VALUE"""),45940.0)</f>
        <v>45940</v>
      </c>
      <c r="H102" s="179">
        <f>IFERROR(__xludf.DUMMYFUNCTION("""COMPUTED_VALUE"""),0.0)</f>
        <v>0</v>
      </c>
      <c r="I102" s="180">
        <f>IFERROR(__xludf.DUMMYFUNCTION("""COMPUTED_VALUE"""),45940.0)</f>
        <v>45940</v>
      </c>
      <c r="J102" s="179">
        <f>IFERROR(__xludf.DUMMYFUNCTION("""COMPUTED_VALUE"""),0.0)</f>
        <v>0</v>
      </c>
      <c r="K102" s="180">
        <f>IFERROR(__xludf.DUMMYFUNCTION("""COMPUTED_VALUE"""),45940.0)</f>
        <v>45940</v>
      </c>
      <c r="L102" s="179">
        <f>IFERROR(__xludf.DUMMYFUNCTION("""COMPUTED_VALUE"""),0.0)</f>
        <v>0</v>
      </c>
      <c r="M102" s="180">
        <f>IFERROR(__xludf.DUMMYFUNCTION("""COMPUTED_VALUE"""),45940.0)</f>
        <v>45940</v>
      </c>
      <c r="N102" s="179">
        <f>IFERROR(__xludf.DUMMYFUNCTION("""COMPUTED_VALUE"""),0.0)</f>
        <v>0</v>
      </c>
      <c r="O102" s="180">
        <f>IFERROR(__xludf.DUMMYFUNCTION("""COMPUTED_VALUE"""),45940.0)</f>
        <v>45940</v>
      </c>
      <c r="P102" s="179">
        <f>IFERROR(__xludf.DUMMYFUNCTION("""COMPUTED_VALUE"""),0.0)</f>
        <v>0</v>
      </c>
      <c r="Q102" s="180">
        <f>IFERROR(__xludf.DUMMYFUNCTION("""COMPUTED_VALUE"""),45940.0)</f>
        <v>45940</v>
      </c>
      <c r="R102" s="179">
        <f>IFERROR(__xludf.DUMMYFUNCTION("""COMPUTED_VALUE"""),0.0)</f>
        <v>0</v>
      </c>
      <c r="S102" s="180">
        <f>IFERROR(__xludf.DUMMYFUNCTION("""COMPUTED_VALUE"""),45940.0)</f>
        <v>45940</v>
      </c>
      <c r="T102" s="179">
        <f>IFERROR(__xludf.DUMMYFUNCTION("""COMPUTED_VALUE"""),0.0)</f>
        <v>0</v>
      </c>
      <c r="U102" s="180">
        <f>IFERROR(__xludf.DUMMYFUNCTION("""COMPUTED_VALUE"""),45940.0)</f>
        <v>45940</v>
      </c>
      <c r="V102" s="181">
        <f>IFERROR(__xludf.DUMMYFUNCTION("""COMPUTED_VALUE"""),0.0)</f>
        <v>0</v>
      </c>
      <c r="W102" s="178">
        <f>IFERROR(__xludf.DUMMYFUNCTION("""COMPUTED_VALUE"""),45940.0)</f>
        <v>45940</v>
      </c>
      <c r="X102" s="179">
        <f>IFERROR(__xludf.DUMMYFUNCTION("""COMPUTED_VALUE"""),0.0)</f>
        <v>0</v>
      </c>
      <c r="Y102" s="180">
        <f>IFERROR(__xludf.DUMMYFUNCTION("""COMPUTED_VALUE"""),45940.0)</f>
        <v>45940</v>
      </c>
      <c r="Z102" s="179">
        <f>IFERROR(__xludf.DUMMYFUNCTION("""COMPUTED_VALUE"""),0.0)</f>
        <v>0</v>
      </c>
      <c r="AA102" s="180">
        <f>IFERROR(__xludf.DUMMYFUNCTION("""COMPUTED_VALUE"""),45940.0)</f>
        <v>45940</v>
      </c>
      <c r="AB102" s="179">
        <f>IFERROR(__xludf.DUMMYFUNCTION("""COMPUTED_VALUE"""),0.0)</f>
        <v>0</v>
      </c>
      <c r="AC102" s="180">
        <f>IFERROR(__xludf.DUMMYFUNCTION("""COMPUTED_VALUE"""),45910.0)</f>
        <v>45910</v>
      </c>
      <c r="AD102" s="179">
        <f>IFERROR(__xludf.DUMMYFUNCTION("""COMPUTED_VALUE"""),0.0)</f>
        <v>0</v>
      </c>
      <c r="AE102" s="180">
        <f>IFERROR(__xludf.DUMMYFUNCTION("""COMPUTED_VALUE"""),45940.0)</f>
        <v>45940</v>
      </c>
      <c r="AF102" s="179">
        <f>IFERROR(__xludf.DUMMYFUNCTION("""COMPUTED_VALUE"""),0.0)</f>
        <v>0</v>
      </c>
      <c r="AG102" s="180">
        <f>IFERROR(__xludf.DUMMYFUNCTION("""COMPUTED_VALUE"""),45940.0)</f>
        <v>45940</v>
      </c>
      <c r="AH102" s="179">
        <f>IFERROR(__xludf.DUMMYFUNCTION("""COMPUTED_VALUE"""),0.0)</f>
        <v>0</v>
      </c>
      <c r="AI102" s="180">
        <f>IFERROR(__xludf.DUMMYFUNCTION("""COMPUTED_VALUE"""),45940.0)</f>
        <v>45940</v>
      </c>
      <c r="AJ102" s="179">
        <f>IFERROR(__xludf.DUMMYFUNCTION("""COMPUTED_VALUE"""),0.0)</f>
        <v>0</v>
      </c>
      <c r="AK102" s="180">
        <f>IFERROR(__xludf.DUMMYFUNCTION("""COMPUTED_VALUE"""),45940.0)</f>
        <v>45940</v>
      </c>
      <c r="AL102" s="179">
        <f>IFERROR(__xludf.DUMMYFUNCTION("""COMPUTED_VALUE"""),0.0)</f>
        <v>0</v>
      </c>
      <c r="AM102" s="180">
        <f>IFERROR(__xludf.DUMMYFUNCTION("""COMPUTED_VALUE"""),45940.0)</f>
        <v>45940</v>
      </c>
      <c r="AN102" s="179">
        <f>IFERROR(__xludf.DUMMYFUNCTION("""COMPUTED_VALUE"""),0.0)</f>
        <v>0</v>
      </c>
      <c r="AO102" s="180">
        <f>IFERROR(__xludf.DUMMYFUNCTION("""COMPUTED_VALUE"""),45940.0)</f>
        <v>45940</v>
      </c>
      <c r="AP102" s="181">
        <f>IFERROR(__xludf.DUMMYFUNCTION("""COMPUTED_VALUE"""),0.0)</f>
        <v>0</v>
      </c>
      <c r="AQ102" s="178">
        <f>IFERROR(__xludf.DUMMYFUNCTION("""COMPUTED_VALUE"""),45940.0)</f>
        <v>45940</v>
      </c>
      <c r="AR102" s="179">
        <f>IFERROR(__xludf.DUMMYFUNCTION("""COMPUTED_VALUE"""),0.0)</f>
        <v>0</v>
      </c>
      <c r="AS102" s="180">
        <f>IFERROR(__xludf.DUMMYFUNCTION("""COMPUTED_VALUE"""),45940.0)</f>
        <v>45940</v>
      </c>
      <c r="AT102" s="179">
        <f>IFERROR(__xludf.DUMMYFUNCTION("""COMPUTED_VALUE"""),0.0)</f>
        <v>0</v>
      </c>
      <c r="AU102" s="180">
        <f>IFERROR(__xludf.DUMMYFUNCTION("""COMPUTED_VALUE"""),45940.0)</f>
        <v>45940</v>
      </c>
      <c r="AV102" s="179">
        <f>IFERROR(__xludf.DUMMYFUNCTION("""COMPUTED_VALUE"""),0.0)</f>
        <v>0</v>
      </c>
      <c r="AW102" s="180">
        <f>IFERROR(__xludf.DUMMYFUNCTION("""COMPUTED_VALUE"""),45940.0)</f>
        <v>45940</v>
      </c>
      <c r="AX102" s="179">
        <f>IFERROR(__xludf.DUMMYFUNCTION("""COMPUTED_VALUE"""),0.0)</f>
        <v>0</v>
      </c>
      <c r="AY102" s="180">
        <f>IFERROR(__xludf.DUMMYFUNCTION("""COMPUTED_VALUE"""),45940.0)</f>
        <v>45940</v>
      </c>
      <c r="AZ102" s="179">
        <f>IFERROR(__xludf.DUMMYFUNCTION("""COMPUTED_VALUE"""),0.0)</f>
        <v>0</v>
      </c>
      <c r="BA102" s="180">
        <f>IFERROR(__xludf.DUMMYFUNCTION("""COMPUTED_VALUE"""),45940.0)</f>
        <v>45940</v>
      </c>
      <c r="BB102" s="179">
        <f>IFERROR(__xludf.DUMMYFUNCTION("""COMPUTED_VALUE"""),0.0)</f>
        <v>0</v>
      </c>
      <c r="BC102" s="180">
        <f>IFERROR(__xludf.DUMMYFUNCTION("""COMPUTED_VALUE"""),45940.0)</f>
        <v>45940</v>
      </c>
      <c r="BD102" s="179">
        <f>IFERROR(__xludf.DUMMYFUNCTION("""COMPUTED_VALUE"""),0.0)</f>
        <v>0</v>
      </c>
      <c r="BE102" s="180">
        <f>IFERROR(__xludf.DUMMYFUNCTION("""COMPUTED_VALUE"""),45940.0)</f>
        <v>45940</v>
      </c>
      <c r="BF102" s="179">
        <f>IFERROR(__xludf.DUMMYFUNCTION("""COMPUTED_VALUE"""),0.0)</f>
        <v>0</v>
      </c>
      <c r="BG102" s="180">
        <f>IFERROR(__xludf.DUMMYFUNCTION("""COMPUTED_VALUE"""),45940.0)</f>
        <v>45940</v>
      </c>
      <c r="BH102" s="179">
        <f>IFERROR(__xludf.DUMMYFUNCTION("""COMPUTED_VALUE"""),0.0)</f>
        <v>0</v>
      </c>
      <c r="BI102" s="180">
        <f>IFERROR(__xludf.DUMMYFUNCTION("""COMPUTED_VALUE"""),45940.0)</f>
        <v>45940</v>
      </c>
      <c r="BJ102" s="179">
        <f>IFERROR(__xludf.DUMMYFUNCTION("""COMPUTED_VALUE"""),0.0)</f>
        <v>0</v>
      </c>
      <c r="BK102" s="182">
        <f>IFERROR(__xludf.DUMMYFUNCTION("""COMPUTED_VALUE"""),45940.0)</f>
        <v>45940</v>
      </c>
      <c r="BL102" s="179">
        <f>IFERROR(__xludf.DUMMYFUNCTION("""COMPUTED_VALUE"""),0.0)</f>
        <v>0</v>
      </c>
      <c r="BM102" s="180">
        <f>IFERROR(__xludf.DUMMYFUNCTION("""COMPUTED_VALUE"""),45940.0)</f>
        <v>45940</v>
      </c>
      <c r="BN102" s="179">
        <f>IFERROR(__xludf.DUMMYFUNCTION("""COMPUTED_VALUE"""),0.0)</f>
        <v>0</v>
      </c>
      <c r="BO102" s="180">
        <f>IFERROR(__xludf.DUMMYFUNCTION("""COMPUTED_VALUE"""),45940.0)</f>
        <v>45940</v>
      </c>
      <c r="BP102" s="179">
        <f>IFERROR(__xludf.DUMMYFUNCTION("""COMPUTED_VALUE"""),0.0)</f>
        <v>0</v>
      </c>
      <c r="BQ102" s="180">
        <f>IFERROR(__xludf.DUMMYFUNCTION("""COMPUTED_VALUE"""),45910.0)</f>
        <v>45910</v>
      </c>
      <c r="BR102" s="179">
        <f>IFERROR(__xludf.DUMMYFUNCTION("""COMPUTED_VALUE"""),0.0)</f>
        <v>0</v>
      </c>
      <c r="BS102" s="180">
        <f>IFERROR(__xludf.DUMMYFUNCTION("""COMPUTED_VALUE"""),45940.0)</f>
        <v>45940</v>
      </c>
      <c r="BT102" s="179">
        <f>IFERROR(__xludf.DUMMYFUNCTION("""COMPUTED_VALUE"""),0.0)</f>
        <v>0</v>
      </c>
      <c r="BU102" s="180">
        <f>IFERROR(__xludf.DUMMYFUNCTION("""COMPUTED_VALUE"""),45940.0)</f>
        <v>45940</v>
      </c>
      <c r="BV102" s="179">
        <f>IFERROR(__xludf.DUMMYFUNCTION("""COMPUTED_VALUE"""),0.0)</f>
        <v>0</v>
      </c>
      <c r="BW102" s="180">
        <f>IFERROR(__xludf.DUMMYFUNCTION("""COMPUTED_VALUE"""),45940.0)</f>
        <v>45940</v>
      </c>
      <c r="BX102" s="179">
        <f>IFERROR(__xludf.DUMMYFUNCTION("""COMPUTED_VALUE"""),0.0)</f>
        <v>0</v>
      </c>
      <c r="BY102" s="180">
        <f>IFERROR(__xludf.DUMMYFUNCTION("""COMPUTED_VALUE"""),45910.0)</f>
        <v>45910</v>
      </c>
      <c r="BZ102" s="179">
        <f>IFERROR(__xludf.DUMMYFUNCTION("""COMPUTED_VALUE"""),0.0)</f>
        <v>0</v>
      </c>
      <c r="CA102" s="180">
        <f>IFERROR(__xludf.DUMMYFUNCTION("""COMPUTED_VALUE"""),45940.0)</f>
        <v>45940</v>
      </c>
      <c r="CB102" s="179">
        <f>IFERROR(__xludf.DUMMYFUNCTION("""COMPUTED_VALUE"""),0.0)</f>
        <v>0</v>
      </c>
      <c r="CC102" s="180">
        <f>IFERROR(__xludf.DUMMYFUNCTION("""COMPUTED_VALUE"""),45940.0)</f>
        <v>45940</v>
      </c>
      <c r="CD102" s="179">
        <f>IFERROR(__xludf.DUMMYFUNCTION("""COMPUTED_VALUE"""),0.0)</f>
        <v>0</v>
      </c>
      <c r="CE102" s="182">
        <f>IFERROR(__xludf.DUMMYFUNCTION("""COMPUTED_VALUE"""),45940.0)</f>
        <v>45940</v>
      </c>
      <c r="CF102" s="179">
        <f>IFERROR(__xludf.DUMMYFUNCTION("""COMPUTED_VALUE"""),0.0)</f>
        <v>0</v>
      </c>
      <c r="CG102" s="180">
        <f>IFERROR(__xludf.DUMMYFUNCTION("""COMPUTED_VALUE"""),45940.0)</f>
        <v>45940</v>
      </c>
      <c r="CH102" s="179">
        <f>IFERROR(__xludf.DUMMYFUNCTION("""COMPUTED_VALUE"""),0.0)</f>
        <v>0</v>
      </c>
      <c r="CI102" s="180">
        <f>IFERROR(__xludf.DUMMYFUNCTION("""COMPUTED_VALUE"""),45940.0)</f>
        <v>45940</v>
      </c>
      <c r="CJ102" s="179">
        <f>IFERROR(__xludf.DUMMYFUNCTION("""COMPUTED_VALUE"""),0.0)</f>
        <v>0</v>
      </c>
      <c r="CK102" s="180">
        <f>IFERROR(__xludf.DUMMYFUNCTION("""COMPUTED_VALUE"""),45910.0)</f>
        <v>45910</v>
      </c>
      <c r="CL102" s="179">
        <f>IFERROR(__xludf.DUMMYFUNCTION("""COMPUTED_VALUE"""),0.0)</f>
        <v>0</v>
      </c>
      <c r="CM102" s="180">
        <f>IFERROR(__xludf.DUMMYFUNCTION("""COMPUTED_VALUE"""),45940.0)</f>
        <v>45940</v>
      </c>
      <c r="CN102" s="179">
        <f>IFERROR(__xludf.DUMMYFUNCTION("""COMPUTED_VALUE"""),0.0)</f>
        <v>0</v>
      </c>
      <c r="CO102" s="180">
        <f>IFERROR(__xludf.DUMMYFUNCTION("""COMPUTED_VALUE"""),45940.0)</f>
        <v>45940</v>
      </c>
      <c r="CP102" s="179">
        <f>IFERROR(__xludf.DUMMYFUNCTION("""COMPUTED_VALUE"""),0.0)</f>
        <v>0</v>
      </c>
      <c r="CQ102" s="180">
        <f>IFERROR(__xludf.DUMMYFUNCTION("""COMPUTED_VALUE"""),45910.0)</f>
        <v>45910</v>
      </c>
      <c r="CR102" s="179">
        <f>IFERROR(__xludf.DUMMYFUNCTION("""COMPUTED_VALUE"""),0.0)</f>
        <v>0</v>
      </c>
      <c r="CS102" s="180">
        <f>IFERROR(__xludf.DUMMYFUNCTION("""COMPUTED_VALUE"""),45940.0)</f>
        <v>45940</v>
      </c>
      <c r="CT102" s="179">
        <f>IFERROR(__xludf.DUMMYFUNCTION("""COMPUTED_VALUE"""),0.0)</f>
        <v>0</v>
      </c>
      <c r="CU102" s="180">
        <f>IFERROR(__xludf.DUMMYFUNCTION("""COMPUTED_VALUE"""),45940.0)</f>
        <v>45940</v>
      </c>
      <c r="CV102" s="179">
        <f>IFERROR(__xludf.DUMMYFUNCTION("""COMPUTED_VALUE"""),0.0)</f>
        <v>0</v>
      </c>
      <c r="CW102" s="180">
        <f>IFERROR(__xludf.DUMMYFUNCTION("""COMPUTED_VALUE"""),45910.0)</f>
        <v>45910</v>
      </c>
      <c r="CX102" s="179">
        <f>IFERROR(__xludf.DUMMYFUNCTION("""COMPUTED_VALUE"""),0.0)</f>
        <v>0</v>
      </c>
      <c r="CY102" s="182">
        <f>IFERROR(__xludf.DUMMYFUNCTION("""COMPUTED_VALUE"""),45940.0)</f>
        <v>45940</v>
      </c>
      <c r="CZ102" s="179">
        <f>IFERROR(__xludf.DUMMYFUNCTION("""COMPUTED_VALUE"""),0.0)</f>
        <v>0</v>
      </c>
      <c r="DA102" s="180">
        <f>IFERROR(__xludf.DUMMYFUNCTION("""COMPUTED_VALUE"""),45940.0)</f>
        <v>45940</v>
      </c>
      <c r="DB102" s="179">
        <f>IFERROR(__xludf.DUMMYFUNCTION("""COMPUTED_VALUE"""),0.0)</f>
        <v>0</v>
      </c>
      <c r="DC102" s="180">
        <f>IFERROR(__xludf.DUMMYFUNCTION("""COMPUTED_VALUE"""),45940.0)</f>
        <v>45940</v>
      </c>
      <c r="DD102" s="179">
        <f>IFERROR(__xludf.DUMMYFUNCTION("""COMPUTED_VALUE"""),0.0)</f>
        <v>0</v>
      </c>
      <c r="DE102" s="180">
        <f>IFERROR(__xludf.DUMMYFUNCTION("""COMPUTED_VALUE"""),45940.0)</f>
        <v>45940</v>
      </c>
      <c r="DF102" s="179">
        <f>IFERROR(__xludf.DUMMYFUNCTION("""COMPUTED_VALUE"""),0.0)</f>
        <v>0</v>
      </c>
      <c r="DG102" s="180">
        <f>IFERROR(__xludf.DUMMYFUNCTION("""COMPUTED_VALUE"""),45940.0)</f>
        <v>45940</v>
      </c>
      <c r="DH102" s="179">
        <f>IFERROR(__xludf.DUMMYFUNCTION("""COMPUTED_VALUE"""),0.0)</f>
        <v>0</v>
      </c>
      <c r="DI102" s="180">
        <f>IFERROR(__xludf.DUMMYFUNCTION("""COMPUTED_VALUE"""),45940.0)</f>
        <v>45940</v>
      </c>
      <c r="DJ102" s="179">
        <f>IFERROR(__xludf.DUMMYFUNCTION("""COMPUTED_VALUE"""),0.0)</f>
        <v>0</v>
      </c>
      <c r="DK102" s="180">
        <f>IFERROR(__xludf.DUMMYFUNCTION("""COMPUTED_VALUE"""),45940.0)</f>
        <v>45940</v>
      </c>
      <c r="DL102" s="179">
        <f>IFERROR(__xludf.DUMMYFUNCTION("""COMPUTED_VALUE"""),0.0)</f>
        <v>0</v>
      </c>
      <c r="DM102" s="180">
        <f>IFERROR(__xludf.DUMMYFUNCTION("""COMPUTED_VALUE"""),45940.0)</f>
        <v>45940</v>
      </c>
      <c r="DN102" s="179">
        <f>IFERROR(__xludf.DUMMYFUNCTION("""COMPUTED_VALUE"""),0.0)</f>
        <v>0</v>
      </c>
      <c r="DO102" s="180">
        <f>IFERROR(__xludf.DUMMYFUNCTION("""COMPUTED_VALUE"""),45940.0)</f>
        <v>45940</v>
      </c>
      <c r="DP102" s="179">
        <f>IFERROR(__xludf.DUMMYFUNCTION("""COMPUTED_VALUE"""),0.0)</f>
        <v>0</v>
      </c>
      <c r="DQ102" s="180">
        <f>IFERROR(__xludf.DUMMYFUNCTION("""COMPUTED_VALUE"""),45940.0)</f>
        <v>45940</v>
      </c>
      <c r="DR102" s="179">
        <f>IFERROR(__xludf.DUMMYFUNCTION("""COMPUTED_VALUE"""),0.0)</f>
        <v>0</v>
      </c>
      <c r="DS102" s="182">
        <f>IFERROR(__xludf.DUMMYFUNCTION("""COMPUTED_VALUE"""),45940.0)</f>
        <v>45940</v>
      </c>
      <c r="DT102" s="179">
        <f>IFERROR(__xludf.DUMMYFUNCTION("""COMPUTED_VALUE"""),0.0)</f>
        <v>0</v>
      </c>
      <c r="DU102" s="180">
        <f>IFERROR(__xludf.DUMMYFUNCTION("""COMPUTED_VALUE"""),45940.0)</f>
        <v>45940</v>
      </c>
      <c r="DV102" s="179">
        <f>IFERROR(__xludf.DUMMYFUNCTION("""COMPUTED_VALUE"""),0.0)</f>
        <v>0</v>
      </c>
      <c r="DW102" s="180">
        <f>IFERROR(__xludf.DUMMYFUNCTION("""COMPUTED_VALUE"""),45940.0)</f>
        <v>45940</v>
      </c>
      <c r="DX102" s="179">
        <f>IFERROR(__xludf.DUMMYFUNCTION("""COMPUTED_VALUE"""),0.0)</f>
        <v>0</v>
      </c>
      <c r="DY102" s="180">
        <f>IFERROR(__xludf.DUMMYFUNCTION("""COMPUTED_VALUE"""),45940.0)</f>
        <v>45940</v>
      </c>
      <c r="DZ102" s="179">
        <f>IFERROR(__xludf.DUMMYFUNCTION("""COMPUTED_VALUE"""),0.0)</f>
        <v>0</v>
      </c>
      <c r="EA102" s="180">
        <f>IFERROR(__xludf.DUMMYFUNCTION("""COMPUTED_VALUE"""),45940.0)</f>
        <v>45940</v>
      </c>
      <c r="EB102" s="179">
        <f>IFERROR(__xludf.DUMMYFUNCTION("""COMPUTED_VALUE"""),0.0)</f>
        <v>0</v>
      </c>
      <c r="EC102" s="180">
        <f>IFERROR(__xludf.DUMMYFUNCTION("""COMPUTED_VALUE"""),45940.0)</f>
        <v>45940</v>
      </c>
      <c r="ED102" s="179">
        <f>IFERROR(__xludf.DUMMYFUNCTION("""COMPUTED_VALUE"""),0.0)</f>
        <v>0</v>
      </c>
      <c r="EE102" s="180">
        <f>IFERROR(__xludf.DUMMYFUNCTION("""COMPUTED_VALUE"""),45940.0)</f>
        <v>45940</v>
      </c>
      <c r="EF102" s="179">
        <f>IFERROR(__xludf.DUMMYFUNCTION("""COMPUTED_VALUE"""),0.0)</f>
        <v>0</v>
      </c>
      <c r="EG102" s="180">
        <f>IFERROR(__xludf.DUMMYFUNCTION("""COMPUTED_VALUE"""),45940.0)</f>
        <v>45940</v>
      </c>
      <c r="EH102" s="179">
        <f>IFERROR(__xludf.DUMMYFUNCTION("""COMPUTED_VALUE"""),0.0)</f>
        <v>0</v>
      </c>
      <c r="EI102" s="180">
        <f>IFERROR(__xludf.DUMMYFUNCTION("""COMPUTED_VALUE"""),45940.0)</f>
        <v>45940</v>
      </c>
      <c r="EJ102" s="179">
        <f>IFERROR(__xludf.DUMMYFUNCTION("""COMPUTED_VALUE"""),0.0)</f>
        <v>0</v>
      </c>
      <c r="EK102" s="180">
        <f>IFERROR(__xludf.DUMMYFUNCTION("""COMPUTED_VALUE"""),45940.0)</f>
        <v>45940</v>
      </c>
      <c r="EL102" s="179">
        <f>IFERROR(__xludf.DUMMYFUNCTION("""COMPUTED_VALUE"""),0.0)</f>
        <v>0</v>
      </c>
      <c r="EM102" s="182">
        <f>IFERROR(__xludf.DUMMYFUNCTION("""COMPUTED_VALUE"""),45940.0)</f>
        <v>45940</v>
      </c>
      <c r="EN102" s="179">
        <f>IFERROR(__xludf.DUMMYFUNCTION("""COMPUTED_VALUE"""),0.0)</f>
        <v>0</v>
      </c>
      <c r="EO102" s="180">
        <f>IFERROR(__xludf.DUMMYFUNCTION("""COMPUTED_VALUE"""),45940.0)</f>
        <v>45940</v>
      </c>
      <c r="EP102" s="179">
        <f>IFERROR(__xludf.DUMMYFUNCTION("""COMPUTED_VALUE"""),0.0)</f>
        <v>0</v>
      </c>
      <c r="EQ102" s="180">
        <f>IFERROR(__xludf.DUMMYFUNCTION("""COMPUTED_VALUE"""),45940.0)</f>
        <v>45940</v>
      </c>
      <c r="ER102" s="179">
        <f>IFERROR(__xludf.DUMMYFUNCTION("""COMPUTED_VALUE"""),0.0)</f>
        <v>0</v>
      </c>
      <c r="ES102" s="180">
        <f>IFERROR(__xludf.DUMMYFUNCTION("""COMPUTED_VALUE"""),45940.0)</f>
        <v>45940</v>
      </c>
      <c r="ET102" s="179">
        <f>IFERROR(__xludf.DUMMYFUNCTION("""COMPUTED_VALUE"""),0.0)</f>
        <v>0</v>
      </c>
      <c r="EU102" s="180">
        <f>IFERROR(__xludf.DUMMYFUNCTION("""COMPUTED_VALUE"""),45940.0)</f>
        <v>45940</v>
      </c>
      <c r="EV102" s="179">
        <f>IFERROR(__xludf.DUMMYFUNCTION("""COMPUTED_VALUE"""),0.0)</f>
        <v>0</v>
      </c>
      <c r="EW102" s="180">
        <f>IFERROR(__xludf.DUMMYFUNCTION("""COMPUTED_VALUE"""),45940.0)</f>
        <v>45940</v>
      </c>
      <c r="EX102" s="179">
        <f>IFERROR(__xludf.DUMMYFUNCTION("""COMPUTED_VALUE"""),0.0)</f>
        <v>0</v>
      </c>
      <c r="EY102" s="180">
        <f>IFERROR(__xludf.DUMMYFUNCTION("""COMPUTED_VALUE"""),45940.0)</f>
        <v>45940</v>
      </c>
      <c r="EZ102" s="179">
        <f>IFERROR(__xludf.DUMMYFUNCTION("""COMPUTED_VALUE"""),0.0)</f>
        <v>0</v>
      </c>
      <c r="FA102" s="180">
        <f>IFERROR(__xludf.DUMMYFUNCTION("""COMPUTED_VALUE"""),45940.0)</f>
        <v>45940</v>
      </c>
      <c r="FB102" s="179">
        <f>IFERROR(__xludf.DUMMYFUNCTION("""COMPUTED_VALUE"""),0.0)</f>
        <v>0</v>
      </c>
      <c r="FC102" s="180">
        <f>IFERROR(__xludf.DUMMYFUNCTION("""COMPUTED_VALUE"""),45940.0)</f>
        <v>45940</v>
      </c>
      <c r="FD102" s="179">
        <f>IFERROR(__xludf.DUMMYFUNCTION("""COMPUTED_VALUE"""),0.0)</f>
        <v>0</v>
      </c>
      <c r="FE102" s="180">
        <f>IFERROR(__xludf.DUMMYFUNCTION("""COMPUTED_VALUE"""),45940.0)</f>
        <v>45940</v>
      </c>
      <c r="FF102" s="179">
        <f>IFERROR(__xludf.DUMMYFUNCTION("""COMPUTED_VALUE"""),0.0)</f>
        <v>0</v>
      </c>
      <c r="FG102" s="182">
        <f>IFERROR(__xludf.DUMMYFUNCTION("""COMPUTED_VALUE"""),45940.0)</f>
        <v>45940</v>
      </c>
      <c r="FH102" s="179">
        <f>IFERROR(__xludf.DUMMYFUNCTION("""COMPUTED_VALUE"""),0.0)</f>
        <v>0</v>
      </c>
      <c r="FI102" s="180">
        <f>IFERROR(__xludf.DUMMYFUNCTION("""COMPUTED_VALUE"""),45940.0)</f>
        <v>45940</v>
      </c>
      <c r="FJ102" s="179">
        <f>IFERROR(__xludf.DUMMYFUNCTION("""COMPUTED_VALUE"""),0.0)</f>
        <v>0</v>
      </c>
      <c r="FK102" s="180">
        <f>IFERROR(__xludf.DUMMYFUNCTION("""COMPUTED_VALUE"""),45910.0)</f>
        <v>45910</v>
      </c>
      <c r="FL102" s="179">
        <f>IFERROR(__xludf.DUMMYFUNCTION("""COMPUTED_VALUE"""),0.0)</f>
        <v>0</v>
      </c>
      <c r="FM102" s="180">
        <f>IFERROR(__xludf.DUMMYFUNCTION("""COMPUTED_VALUE"""),45940.0)</f>
        <v>45940</v>
      </c>
      <c r="FN102" s="179">
        <f>IFERROR(__xludf.DUMMYFUNCTION("""COMPUTED_VALUE"""),0.0)</f>
        <v>0</v>
      </c>
      <c r="FO102" s="180">
        <f>IFERROR(__xludf.DUMMYFUNCTION("""COMPUTED_VALUE"""),45940.0)</f>
        <v>45940</v>
      </c>
      <c r="FP102" s="179">
        <f>IFERROR(__xludf.DUMMYFUNCTION("""COMPUTED_VALUE"""),0.0)</f>
        <v>0</v>
      </c>
      <c r="FQ102" s="180">
        <f>IFERROR(__xludf.DUMMYFUNCTION("""COMPUTED_VALUE"""),45940.0)</f>
        <v>45940</v>
      </c>
      <c r="FR102" s="179">
        <f>IFERROR(__xludf.DUMMYFUNCTION("""COMPUTED_VALUE"""),0.0)</f>
        <v>0</v>
      </c>
      <c r="FS102" s="180">
        <f>IFERROR(__xludf.DUMMYFUNCTION("""COMPUTED_VALUE"""),45940.0)</f>
        <v>45940</v>
      </c>
      <c r="FT102" s="179">
        <f>IFERROR(__xludf.DUMMYFUNCTION("""COMPUTED_VALUE"""),0.0)</f>
        <v>0</v>
      </c>
      <c r="FU102" s="180">
        <f>IFERROR(__xludf.DUMMYFUNCTION("""COMPUTED_VALUE"""),45940.0)</f>
        <v>45940</v>
      </c>
      <c r="FV102" s="179">
        <f>IFERROR(__xludf.DUMMYFUNCTION("""COMPUTED_VALUE"""),0.0)</f>
        <v>0</v>
      </c>
      <c r="FW102" s="180">
        <f>IFERROR(__xludf.DUMMYFUNCTION("""COMPUTED_VALUE"""),45940.0)</f>
        <v>45940</v>
      </c>
      <c r="FX102" s="179">
        <f>IFERROR(__xludf.DUMMYFUNCTION("""COMPUTED_VALUE"""),0.0)</f>
        <v>0</v>
      </c>
      <c r="FY102" s="180">
        <f>IFERROR(__xludf.DUMMYFUNCTION("""COMPUTED_VALUE"""),45910.0)</f>
        <v>45910</v>
      </c>
      <c r="FZ102" s="179">
        <f>IFERROR(__xludf.DUMMYFUNCTION("""COMPUTED_VALUE"""),0.0)</f>
        <v>0</v>
      </c>
      <c r="GA102" s="182">
        <f>IFERROR(__xludf.DUMMYFUNCTION("""COMPUTED_VALUE"""),45667.0)</f>
        <v>45667</v>
      </c>
      <c r="GB102" s="179">
        <f>IFERROR(__xludf.DUMMYFUNCTION("""COMPUTED_VALUE"""),0.0)</f>
        <v>0</v>
      </c>
      <c r="GC102" s="180">
        <f>IFERROR(__xludf.DUMMYFUNCTION("""COMPUTED_VALUE"""),45698.0)</f>
        <v>45698</v>
      </c>
      <c r="GD102" s="179">
        <f>IFERROR(__xludf.DUMMYFUNCTION("""COMPUTED_VALUE"""),0.0)</f>
        <v>0</v>
      </c>
      <c r="GE102" s="180">
        <f>IFERROR(__xludf.DUMMYFUNCTION("""COMPUTED_VALUE"""),45726.0)</f>
        <v>45726</v>
      </c>
      <c r="GF102" s="179">
        <f>IFERROR(__xludf.DUMMYFUNCTION("""COMPUTED_VALUE"""),0.0)</f>
        <v>0</v>
      </c>
      <c r="GG102" s="180">
        <f>IFERROR(__xludf.DUMMYFUNCTION("""COMPUTED_VALUE"""),45757.0)</f>
        <v>45757</v>
      </c>
      <c r="GH102" s="179">
        <f>IFERROR(__xludf.DUMMYFUNCTION("""COMPUTED_VALUE"""),0.0)</f>
        <v>0</v>
      </c>
      <c r="GI102" s="180">
        <f>IFERROR(__xludf.DUMMYFUNCTION("""COMPUTED_VALUE"""),45787.0)</f>
        <v>45787</v>
      </c>
      <c r="GJ102" s="179">
        <f>IFERROR(__xludf.DUMMYFUNCTION("""COMPUTED_VALUE"""),0.0)</f>
        <v>0</v>
      </c>
      <c r="GK102" s="180">
        <f>IFERROR(__xludf.DUMMYFUNCTION("""COMPUTED_VALUE"""),45818.0)</f>
        <v>45818</v>
      </c>
      <c r="GL102" s="179">
        <f>IFERROR(__xludf.DUMMYFUNCTION("""COMPUTED_VALUE"""),0.0)</f>
        <v>0</v>
      </c>
      <c r="GM102" s="180">
        <f>IFERROR(__xludf.DUMMYFUNCTION("""COMPUTED_VALUE"""),45848.0)</f>
        <v>45848</v>
      </c>
      <c r="GN102" s="179">
        <f>IFERROR(__xludf.DUMMYFUNCTION("""COMPUTED_VALUE"""),0.0)</f>
        <v>0</v>
      </c>
      <c r="GO102" s="180">
        <f>IFERROR(__xludf.DUMMYFUNCTION("""COMPUTED_VALUE"""),45879.0)</f>
        <v>45879</v>
      </c>
      <c r="GP102" s="179">
        <f>IFERROR(__xludf.DUMMYFUNCTION("""COMPUTED_VALUE"""),0.0)</f>
        <v>0</v>
      </c>
      <c r="GQ102" s="180">
        <f>IFERROR(__xludf.DUMMYFUNCTION("""COMPUTED_VALUE"""),45910.0)</f>
        <v>45910</v>
      </c>
      <c r="GR102" s="179">
        <f>IFERROR(__xludf.DUMMYFUNCTION("""COMPUTED_VALUE"""),0.0)</f>
        <v>0</v>
      </c>
      <c r="GS102" s="180">
        <f>IFERROR(__xludf.DUMMYFUNCTION("""COMPUTED_VALUE"""),45940.0)</f>
        <v>45940</v>
      </c>
      <c r="GT102" s="179">
        <f>IFERROR(__xludf.DUMMYFUNCTION("""COMPUTED_VALUE"""),0.0)</f>
        <v>0</v>
      </c>
    </row>
  </sheetData>
  <mergeCells count="121">
    <mergeCell ref="GG2:GH2"/>
    <mergeCell ref="GI2:GJ2"/>
    <mergeCell ref="GK2:GL2"/>
    <mergeCell ref="GM2:GN2"/>
    <mergeCell ref="GO2:GP2"/>
    <mergeCell ref="GQ2:GR2"/>
    <mergeCell ref="DS1:EL1"/>
    <mergeCell ref="EM1:FF1"/>
    <mergeCell ref="FG1:FZ1"/>
    <mergeCell ref="GA1:GT1"/>
    <mergeCell ref="EU2:EV2"/>
    <mergeCell ref="EW2:EX2"/>
    <mergeCell ref="EY2:EZ2"/>
    <mergeCell ref="GS2:GT2"/>
    <mergeCell ref="FE2:FF2"/>
    <mergeCell ref="FG2:FH2"/>
    <mergeCell ref="FI2:FJ2"/>
    <mergeCell ref="FK2:FL2"/>
    <mergeCell ref="FM2:FN2"/>
    <mergeCell ref="FO2:FP2"/>
    <mergeCell ref="FQ2:FR2"/>
    <mergeCell ref="FS2:FT2"/>
    <mergeCell ref="FU2:FV2"/>
    <mergeCell ref="FW2:FX2"/>
    <mergeCell ref="FY2:FZ2"/>
    <mergeCell ref="GA2:GB2"/>
    <mergeCell ref="GC2:GD2"/>
    <mergeCell ref="GE2:GF2"/>
    <mergeCell ref="AE2:AF2"/>
    <mergeCell ref="AG2:AH2"/>
    <mergeCell ref="AI2:AJ2"/>
    <mergeCell ref="AK2:AL2"/>
    <mergeCell ref="AM2:AN2"/>
    <mergeCell ref="AO2:AP2"/>
    <mergeCell ref="AQ2:AR2"/>
    <mergeCell ref="AS2:AT2"/>
    <mergeCell ref="AU2:AV2"/>
    <mergeCell ref="AW2:AX2"/>
    <mergeCell ref="AY2:AZ2"/>
    <mergeCell ref="BA2:BB2"/>
    <mergeCell ref="A8:B8"/>
    <mergeCell ref="A9:B9"/>
    <mergeCell ref="A10:B10"/>
    <mergeCell ref="A11:B11"/>
    <mergeCell ref="A12:B12"/>
    <mergeCell ref="AA2:AB2"/>
    <mergeCell ref="AC2:AD2"/>
    <mergeCell ref="A3:B3"/>
    <mergeCell ref="A4:B4"/>
    <mergeCell ref="A5:B5"/>
    <mergeCell ref="A6:B6"/>
    <mergeCell ref="A7:B7"/>
    <mergeCell ref="CE2:CF2"/>
    <mergeCell ref="CG2:CH2"/>
    <mergeCell ref="BQ2:BR2"/>
    <mergeCell ref="BS2:BT2"/>
    <mergeCell ref="BU2:BV2"/>
    <mergeCell ref="BW2:BX2"/>
    <mergeCell ref="BY2:BZ2"/>
    <mergeCell ref="CA2:CB2"/>
    <mergeCell ref="CC2:CD2"/>
    <mergeCell ref="DG2:DH2"/>
    <mergeCell ref="DI2:DJ2"/>
    <mergeCell ref="A1:B2"/>
    <mergeCell ref="C1:V1"/>
    <mergeCell ref="W1:AP1"/>
    <mergeCell ref="AQ1:BJ1"/>
    <mergeCell ref="BK1:CD1"/>
    <mergeCell ref="CE1:CX1"/>
    <mergeCell ref="CY1:DR1"/>
    <mergeCell ref="BC2:BD2"/>
    <mergeCell ref="BE2:BF2"/>
    <mergeCell ref="CI2:CJ2"/>
    <mergeCell ref="CK2:CL2"/>
    <mergeCell ref="CM2:CN2"/>
    <mergeCell ref="CO2:CP2"/>
    <mergeCell ref="CQ2:CR2"/>
    <mergeCell ref="CS2:CT2"/>
    <mergeCell ref="CU2:CV2"/>
    <mergeCell ref="CW2:CX2"/>
    <mergeCell ref="CY2:CZ2"/>
    <mergeCell ref="DA2:DB2"/>
    <mergeCell ref="DC2:DD2"/>
    <mergeCell ref="DE2:DF2"/>
    <mergeCell ref="DY2:DZ2"/>
    <mergeCell ref="EA2:EB2"/>
    <mergeCell ref="DK2:DL2"/>
    <mergeCell ref="DM2:DN2"/>
    <mergeCell ref="DO2:DP2"/>
    <mergeCell ref="DQ2:DR2"/>
    <mergeCell ref="DS2:DT2"/>
    <mergeCell ref="DU2:DV2"/>
    <mergeCell ref="DW2:DX2"/>
    <mergeCell ref="EQ2:ER2"/>
    <mergeCell ref="ES2:ET2"/>
    <mergeCell ref="EC2:ED2"/>
    <mergeCell ref="EE2:EF2"/>
    <mergeCell ref="EG2:EH2"/>
    <mergeCell ref="EI2:EJ2"/>
    <mergeCell ref="EK2:EL2"/>
    <mergeCell ref="EM2:EN2"/>
    <mergeCell ref="EO2:EP2"/>
    <mergeCell ref="C2:D2"/>
    <mergeCell ref="E2:F2"/>
    <mergeCell ref="G2:H2"/>
    <mergeCell ref="I2:J2"/>
    <mergeCell ref="K2:L2"/>
    <mergeCell ref="M2:N2"/>
    <mergeCell ref="O2:P2"/>
    <mergeCell ref="Q2:R2"/>
    <mergeCell ref="S2:T2"/>
    <mergeCell ref="U2:V2"/>
    <mergeCell ref="W2:X2"/>
    <mergeCell ref="Y2:Z2"/>
    <mergeCell ref="BG2:BH2"/>
    <mergeCell ref="BI2:BJ2"/>
    <mergeCell ref="BK2:BL2"/>
    <mergeCell ref="BM2:BN2"/>
    <mergeCell ref="BO2:BP2"/>
    <mergeCell ref="FA2:FB2"/>
    <mergeCell ref="FC2:FD2"/>
  </mergeCells>
  <drawing r:id="rId1"/>
</worksheet>
</file>